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20" yWindow="-120" windowWidth="20730" windowHeight="11040" tabRatio="814" firstSheet="14" activeTab="31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4" r:id="rId29"/>
    <sheet name="30" sheetId="40" r:id="rId30"/>
    <sheet name="31" sheetId="41" r:id="rId31"/>
    <sheet name="MONTHLY 31" sheetId="39" r:id="rId32"/>
    <sheet name="CALIBRATION REPORT" sheetId="6" r:id="rId33"/>
    <sheet name="POWER OFF" sheetId="5" r:id="rId34"/>
    <sheet name="MUX SIGNALS" sheetId="43" r:id="rId35"/>
  </sheets>
  <calcPr calcId="124519"/>
</workbook>
</file>

<file path=xl/calcChain.xml><?xml version="1.0" encoding="utf-8"?>
<calcChain xmlns="http://schemas.openxmlformats.org/spreadsheetml/2006/main">
  <c r="I110" i="29"/>
  <c r="I112" s="1"/>
  <c r="I110" i="28"/>
  <c r="I110" i="27"/>
  <c r="I112" s="1"/>
  <c r="H110" i="22"/>
  <c r="H112" s="1"/>
  <c r="G110"/>
  <c r="F110" i="8"/>
  <c r="F110" i="2"/>
  <c r="D23" i="5"/>
  <c r="D22"/>
  <c r="D21"/>
  <c r="D20"/>
  <c r="D19"/>
  <c r="D18"/>
  <c r="D17"/>
  <c r="D16"/>
  <c r="D15"/>
  <c r="D14"/>
  <c r="D13"/>
  <c r="D12"/>
  <c r="D11"/>
  <c r="D10"/>
  <c r="D9"/>
  <c r="D8"/>
  <c r="D24" s="1"/>
  <c r="I119" i="6"/>
  <c r="K115"/>
  <c r="J115"/>
  <c r="I115"/>
  <c r="K114"/>
  <c r="J114"/>
  <c r="I114"/>
  <c r="K113"/>
  <c r="J113"/>
  <c r="I113"/>
  <c r="K112"/>
  <c r="J112"/>
  <c r="I112"/>
  <c r="K111"/>
  <c r="J111"/>
  <c r="I111"/>
  <c r="K110"/>
  <c r="J110"/>
  <c r="I110"/>
  <c r="K109"/>
  <c r="J109"/>
  <c r="I109"/>
  <c r="K108"/>
  <c r="J108"/>
  <c r="I108"/>
  <c r="K107"/>
  <c r="J107"/>
  <c r="I107"/>
  <c r="J101"/>
  <c r="K92"/>
  <c r="J92"/>
  <c r="K91"/>
  <c r="J91"/>
  <c r="K90"/>
  <c r="J90"/>
  <c r="K89"/>
  <c r="J89"/>
  <c r="K88"/>
  <c r="J88"/>
  <c r="K87"/>
  <c r="J87"/>
  <c r="J81"/>
  <c r="K73"/>
  <c r="J73"/>
  <c r="K72"/>
  <c r="J72"/>
  <c r="K71"/>
  <c r="J71"/>
  <c r="K70"/>
  <c r="J70"/>
  <c r="K69"/>
  <c r="J69"/>
  <c r="K68"/>
  <c r="J68"/>
  <c r="K67"/>
  <c r="J67"/>
  <c r="J61"/>
  <c r="K51"/>
  <c r="J51"/>
  <c r="K50"/>
  <c r="J50"/>
  <c r="K49"/>
  <c r="J49"/>
  <c r="K48"/>
  <c r="J48"/>
  <c r="K47"/>
  <c r="J47"/>
  <c r="J41"/>
  <c r="T40"/>
  <c r="K33"/>
  <c r="J33"/>
  <c r="K32"/>
  <c r="J32"/>
  <c r="K31"/>
  <c r="J31"/>
  <c r="K30"/>
  <c r="J30"/>
  <c r="K29"/>
  <c r="J29"/>
  <c r="K28"/>
  <c r="J28"/>
  <c r="K27"/>
  <c r="J27"/>
  <c r="T21"/>
  <c r="I21"/>
  <c r="K14"/>
  <c r="J14"/>
  <c r="K13"/>
  <c r="J13"/>
  <c r="K12"/>
  <c r="J12"/>
  <c r="K11"/>
  <c r="J11"/>
  <c r="K10"/>
  <c r="J10"/>
  <c r="K9"/>
  <c r="J9"/>
  <c r="K8"/>
  <c r="J8"/>
  <c r="M37" i="39"/>
  <c r="Q33"/>
  <c r="E30"/>
  <c r="D30"/>
  <c r="O25"/>
  <c r="L22"/>
  <c r="Q110" i="41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9" i="39" s="1"/>
  <c r="P108" i="41"/>
  <c r="P39" i="39" s="1"/>
  <c r="O108" i="41"/>
  <c r="O39" i="39" s="1"/>
  <c r="N108" i="41"/>
  <c r="N39" i="39" s="1"/>
  <c r="M108" i="41"/>
  <c r="M39" i="39" s="1"/>
  <c r="L108" i="41"/>
  <c r="L39" i="39" s="1"/>
  <c r="K108" i="41"/>
  <c r="K39" i="39" s="1"/>
  <c r="J108" i="41"/>
  <c r="J39" i="39" s="1"/>
  <c r="I108" i="41"/>
  <c r="I39" i="39" s="1"/>
  <c r="H108" i="41"/>
  <c r="H39" i="39" s="1"/>
  <c r="G108" i="41"/>
  <c r="G39" i="39" s="1"/>
  <c r="F108" i="41"/>
  <c r="E108"/>
  <c r="E39" i="39" s="1"/>
  <c r="D108" i="41"/>
  <c r="D39" i="39" s="1"/>
  <c r="C108" i="41"/>
  <c r="C39" i="39" s="1"/>
  <c r="B108" i="41"/>
  <c r="B39" i="39" s="1"/>
  <c r="Q107" i="4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9" i="39" s="1"/>
  <c r="Q110" i="40"/>
  <c r="Q112" s="1"/>
  <c r="P110"/>
  <c r="P112" s="1"/>
  <c r="O110"/>
  <c r="O112" s="1"/>
  <c r="N110"/>
  <c r="N112" s="1"/>
  <c r="M110"/>
  <c r="M111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8" i="39" s="1"/>
  <c r="P108" i="40"/>
  <c r="P38" i="39" s="1"/>
  <c r="O108" i="40"/>
  <c r="O38" i="39" s="1"/>
  <c r="N108" i="40"/>
  <c r="N38" i="39" s="1"/>
  <c r="M108" i="40"/>
  <c r="M38" i="39" s="1"/>
  <c r="L108" i="40"/>
  <c r="L38" i="39" s="1"/>
  <c r="K108" i="40"/>
  <c r="K38" i="39" s="1"/>
  <c r="J108" i="40"/>
  <c r="J38" i="39" s="1"/>
  <c r="I108" i="40"/>
  <c r="I38" i="39" s="1"/>
  <c r="H108" i="40"/>
  <c r="H38" i="39" s="1"/>
  <c r="G108" i="40"/>
  <c r="G38" i="39" s="1"/>
  <c r="F108" i="40"/>
  <c r="E108"/>
  <c r="E38" i="39" s="1"/>
  <c r="D108" i="40"/>
  <c r="D38" i="39" s="1"/>
  <c r="C108" i="40"/>
  <c r="C38" i="39" s="1"/>
  <c r="B108" i="40"/>
  <c r="B38" i="39" s="1"/>
  <c r="Q107" i="4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8" i="39" s="1"/>
  <c r="Q110" i="44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1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7" i="39" s="1"/>
  <c r="P108" i="44"/>
  <c r="P37" i="39" s="1"/>
  <c r="O108" i="44"/>
  <c r="O37" i="39" s="1"/>
  <c r="N108" i="44"/>
  <c r="N37" i="39" s="1"/>
  <c r="M108" i="44"/>
  <c r="L108"/>
  <c r="L37" i="39" s="1"/>
  <c r="K108" i="44"/>
  <c r="K37" i="39" s="1"/>
  <c r="J108" i="44"/>
  <c r="J37" i="39" s="1"/>
  <c r="I108" i="44"/>
  <c r="I37" i="39" s="1"/>
  <c r="H108" i="44"/>
  <c r="H37" i="39" s="1"/>
  <c r="G108" i="44"/>
  <c r="G37" i="39" s="1"/>
  <c r="F108" i="44"/>
  <c r="E108"/>
  <c r="E37" i="39" s="1"/>
  <c r="D108" i="44"/>
  <c r="D37" i="39" s="1"/>
  <c r="C108" i="44"/>
  <c r="C37" i="39" s="1"/>
  <c r="B108" i="44"/>
  <c r="B37" i="39" s="1"/>
  <c r="Q107" i="44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7" i="39" s="1"/>
  <c r="O112" i="33"/>
  <c r="O111"/>
  <c r="Q110"/>
  <c r="Q112" s="1"/>
  <c r="P110"/>
  <c r="P112" s="1"/>
  <c r="O110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6" i="39" s="1"/>
  <c r="P108" i="33"/>
  <c r="P36" i="39" s="1"/>
  <c r="O108" i="33"/>
  <c r="O36" i="39" s="1"/>
  <c r="N108" i="33"/>
  <c r="N36" i="39" s="1"/>
  <c r="M108" i="33"/>
  <c r="M36" i="39" s="1"/>
  <c r="L108" i="33"/>
  <c r="L36" i="39" s="1"/>
  <c r="K108" i="33"/>
  <c r="K36" i="39" s="1"/>
  <c r="J108" i="33"/>
  <c r="J36" i="39" s="1"/>
  <c r="I108" i="33"/>
  <c r="I36" i="39" s="1"/>
  <c r="H108" i="33"/>
  <c r="H36" i="39" s="1"/>
  <c r="G108" i="33"/>
  <c r="G36" i="39" s="1"/>
  <c r="F108" i="33"/>
  <c r="E108"/>
  <c r="E36" i="39" s="1"/>
  <c r="D108" i="33"/>
  <c r="D36" i="39" s="1"/>
  <c r="C108" i="33"/>
  <c r="C36" i="39" s="1"/>
  <c r="B108" i="33"/>
  <c r="B36" i="39" s="1"/>
  <c r="Q107" i="3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6" i="39" s="1"/>
  <c r="Q110" i="32"/>
  <c r="Q112" s="1"/>
  <c r="P110"/>
  <c r="P111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1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5" i="39" s="1"/>
  <c r="P108" i="32"/>
  <c r="P35" i="39" s="1"/>
  <c r="O108" i="32"/>
  <c r="O35" i="39" s="1"/>
  <c r="N108" i="32"/>
  <c r="N35" i="39" s="1"/>
  <c r="M108" i="32"/>
  <c r="M35" i="39" s="1"/>
  <c r="L108" i="32"/>
  <c r="L35" i="39" s="1"/>
  <c r="K108" i="32"/>
  <c r="K35" i="39" s="1"/>
  <c r="J108" i="32"/>
  <c r="J35" i="39" s="1"/>
  <c r="I108" i="32"/>
  <c r="I35" i="39" s="1"/>
  <c r="H108" i="32"/>
  <c r="H35" i="39" s="1"/>
  <c r="G108" i="32"/>
  <c r="G35" i="39" s="1"/>
  <c r="F108" i="32"/>
  <c r="E108"/>
  <c r="E35" i="39" s="1"/>
  <c r="D108" i="32"/>
  <c r="D35" i="39" s="1"/>
  <c r="C108" i="32"/>
  <c r="C35" i="39" s="1"/>
  <c r="B108" i="32"/>
  <c r="B35" i="39" s="1"/>
  <c r="Q107" i="3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5" i="39" s="1"/>
  <c r="Q110" i="31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4" i="39" s="1"/>
  <c r="P108" i="31"/>
  <c r="P34" i="39" s="1"/>
  <c r="O108" i="31"/>
  <c r="O34" i="39" s="1"/>
  <c r="N108" i="31"/>
  <c r="N34" i="39" s="1"/>
  <c r="M108" i="31"/>
  <c r="M34" i="39" s="1"/>
  <c r="L108" i="31"/>
  <c r="L34" i="39" s="1"/>
  <c r="K108" i="31"/>
  <c r="K34" i="39" s="1"/>
  <c r="J108" i="31"/>
  <c r="J34" i="39" s="1"/>
  <c r="I108" i="31"/>
  <c r="I34" i="39" s="1"/>
  <c r="H108" i="31"/>
  <c r="H34" i="39" s="1"/>
  <c r="G108" i="31"/>
  <c r="G34" i="39" s="1"/>
  <c r="F108" i="31"/>
  <c r="E108"/>
  <c r="E34" i="39" s="1"/>
  <c r="D108" i="31"/>
  <c r="D34" i="39" s="1"/>
  <c r="C108" i="31"/>
  <c r="C34" i="39" s="1"/>
  <c r="B108" i="31"/>
  <c r="B34" i="39" s="1"/>
  <c r="Q107" i="3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4" i="39" s="1"/>
  <c r="Q111" i="30"/>
  <c r="E111"/>
  <c r="Q11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1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P108"/>
  <c r="P33" i="39" s="1"/>
  <c r="O108" i="30"/>
  <c r="O33" i="39" s="1"/>
  <c r="N108" i="30"/>
  <c r="N33" i="39" s="1"/>
  <c r="M108" i="30"/>
  <c r="M33" i="39" s="1"/>
  <c r="L108" i="30"/>
  <c r="L33" i="39" s="1"/>
  <c r="K108" i="30"/>
  <c r="K33" i="39" s="1"/>
  <c r="J108" i="30"/>
  <c r="J33" i="39" s="1"/>
  <c r="I108" i="30"/>
  <c r="I33" i="39" s="1"/>
  <c r="H108" i="30"/>
  <c r="H33" i="39" s="1"/>
  <c r="G108" i="30"/>
  <c r="G33" i="39" s="1"/>
  <c r="F108" i="30"/>
  <c r="E108"/>
  <c r="E33" i="39" s="1"/>
  <c r="D108" i="30"/>
  <c r="D33" i="39" s="1"/>
  <c r="C108" i="30"/>
  <c r="C33" i="39" s="1"/>
  <c r="B108" i="30"/>
  <c r="B33" i="39" s="1"/>
  <c r="Q107" i="3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3" i="39" s="1"/>
  <c r="C112" i="29"/>
  <c r="Q11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H110"/>
  <c r="H112" s="1"/>
  <c r="G110"/>
  <c r="G112" s="1"/>
  <c r="F110"/>
  <c r="F111" s="1"/>
  <c r="E110"/>
  <c r="E112" s="1"/>
  <c r="D110"/>
  <c r="D111" s="1"/>
  <c r="C110"/>
  <c r="C111" s="1"/>
  <c r="B110"/>
  <c r="B111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2" i="39" s="1"/>
  <c r="P108" i="29"/>
  <c r="P32" i="39" s="1"/>
  <c r="O108" i="29"/>
  <c r="O32" i="39" s="1"/>
  <c r="N108" i="29"/>
  <c r="N32" i="39" s="1"/>
  <c r="M108" i="29"/>
  <c r="M32" i="39" s="1"/>
  <c r="L108" i="29"/>
  <c r="L32" i="39" s="1"/>
  <c r="K108" i="29"/>
  <c r="K32" i="39" s="1"/>
  <c r="J108" i="29"/>
  <c r="J32" i="39" s="1"/>
  <c r="I108" i="29"/>
  <c r="I32" i="39" s="1"/>
  <c r="H108" i="29"/>
  <c r="H32" i="39" s="1"/>
  <c r="G108" i="29"/>
  <c r="G32" i="39" s="1"/>
  <c r="F108" i="29"/>
  <c r="E108"/>
  <c r="E32" i="39" s="1"/>
  <c r="D108" i="29"/>
  <c r="D32" i="39" s="1"/>
  <c r="C108" i="29"/>
  <c r="C32" i="39" s="1"/>
  <c r="B108" i="29"/>
  <c r="B32" i="39" s="1"/>
  <c r="Q107" i="2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2" i="39" s="1"/>
  <c r="G111" i="28"/>
  <c r="Q11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2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1" i="39" s="1"/>
  <c r="P108" i="28"/>
  <c r="P31" i="39" s="1"/>
  <c r="O108" i="28"/>
  <c r="O31" i="39" s="1"/>
  <c r="N108" i="28"/>
  <c r="N31" i="39" s="1"/>
  <c r="M108" i="28"/>
  <c r="M31" i="39" s="1"/>
  <c r="L108" i="28"/>
  <c r="L31" i="39" s="1"/>
  <c r="K108" i="28"/>
  <c r="K31" i="39" s="1"/>
  <c r="J108" i="28"/>
  <c r="J31" i="39" s="1"/>
  <c r="I108" i="28"/>
  <c r="H108"/>
  <c r="H31" i="39" s="1"/>
  <c r="G108" i="28"/>
  <c r="G31" i="39" s="1"/>
  <c r="F108" i="28"/>
  <c r="E108"/>
  <c r="E31" i="39" s="1"/>
  <c r="D108" i="28"/>
  <c r="D31" i="39" s="1"/>
  <c r="C108" i="28"/>
  <c r="C31" i="39" s="1"/>
  <c r="B108" i="28"/>
  <c r="B31" i="39" s="1"/>
  <c r="Q107" i="2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1" i="39" s="1"/>
  <c r="Q110" i="27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H110"/>
  <c r="H112" s="1"/>
  <c r="G110"/>
  <c r="G112" s="1"/>
  <c r="F110"/>
  <c r="F112" s="1"/>
  <c r="E110"/>
  <c r="E111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0" i="39" s="1"/>
  <c r="P108" i="27"/>
  <c r="P30" i="39" s="1"/>
  <c r="O108" i="27"/>
  <c r="O30" i="39" s="1"/>
  <c r="N108" i="27"/>
  <c r="N30" i="39" s="1"/>
  <c r="M108" i="27"/>
  <c r="M30" i="39" s="1"/>
  <c r="L108" i="27"/>
  <c r="L30" i="39" s="1"/>
  <c r="K108" i="27"/>
  <c r="K30" i="39" s="1"/>
  <c r="J108" i="27"/>
  <c r="J30" i="39" s="1"/>
  <c r="I108" i="27"/>
  <c r="H108"/>
  <c r="H30" i="39" s="1"/>
  <c r="G108" i="27"/>
  <c r="G30" i="39" s="1"/>
  <c r="F108" i="27"/>
  <c r="E108"/>
  <c r="D108"/>
  <c r="C108"/>
  <c r="C30" i="39" s="1"/>
  <c r="B108" i="27"/>
  <c r="B30" i="39" s="1"/>
  <c r="Q107" i="2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0" i="39" s="1"/>
  <c r="Q110" i="26"/>
  <c r="Q112" s="1"/>
  <c r="P110"/>
  <c r="P112" s="1"/>
  <c r="O110"/>
  <c r="O112" s="1"/>
  <c r="N110"/>
  <c r="N112" s="1"/>
  <c r="M110"/>
  <c r="M112" s="1"/>
  <c r="L110"/>
  <c r="L112" s="1"/>
  <c r="K110"/>
  <c r="K111" s="1"/>
  <c r="J110"/>
  <c r="J112" s="1"/>
  <c r="I110"/>
  <c r="I111" s="1"/>
  <c r="H110"/>
  <c r="H112" s="1"/>
  <c r="G110"/>
  <c r="G111" s="1"/>
  <c r="F110"/>
  <c r="F112" s="1"/>
  <c r="E110"/>
  <c r="E111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9" i="39" s="1"/>
  <c r="P108" i="26"/>
  <c r="P29" i="39" s="1"/>
  <c r="O108" i="26"/>
  <c r="O29" i="39" s="1"/>
  <c r="N108" i="26"/>
  <c r="N29" i="39" s="1"/>
  <c r="M108" i="26"/>
  <c r="M29" i="39" s="1"/>
  <c r="L108" i="26"/>
  <c r="L29" i="39" s="1"/>
  <c r="K108" i="26"/>
  <c r="K29" i="39" s="1"/>
  <c r="J108" i="26"/>
  <c r="J29" i="39" s="1"/>
  <c r="I108" i="26"/>
  <c r="I29" i="39" s="1"/>
  <c r="H108" i="26"/>
  <c r="H29" i="39" s="1"/>
  <c r="G108" i="26"/>
  <c r="G29" i="39" s="1"/>
  <c r="F108" i="26"/>
  <c r="E108"/>
  <c r="E29" i="39" s="1"/>
  <c r="D108" i="26"/>
  <c r="D29" i="39" s="1"/>
  <c r="C108" i="26"/>
  <c r="C29" i="39" s="1"/>
  <c r="B108" i="26"/>
  <c r="B29" i="39" s="1"/>
  <c r="Q107" i="26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9" i="39" s="1"/>
  <c r="Q110" i="25"/>
  <c r="Q112" s="1"/>
  <c r="P110"/>
  <c r="P112" s="1"/>
  <c r="O110"/>
  <c r="O112" s="1"/>
  <c r="N110"/>
  <c r="N112" s="1"/>
  <c r="M110"/>
  <c r="M112" s="1"/>
  <c r="L110"/>
  <c r="L111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8" i="39" s="1"/>
  <c r="P108" i="25"/>
  <c r="P28" i="39" s="1"/>
  <c r="O108" i="25"/>
  <c r="O28" i="39" s="1"/>
  <c r="N108" i="25"/>
  <c r="N28" i="39" s="1"/>
  <c r="M108" i="25"/>
  <c r="M28" i="39" s="1"/>
  <c r="L108" i="25"/>
  <c r="L28" i="39" s="1"/>
  <c r="K108" i="25"/>
  <c r="K28" i="39" s="1"/>
  <c r="J108" i="25"/>
  <c r="J28" i="39" s="1"/>
  <c r="I108" i="25"/>
  <c r="I28" i="39" s="1"/>
  <c r="H108" i="25"/>
  <c r="H28" i="39" s="1"/>
  <c r="G108" i="25"/>
  <c r="G28" i="39" s="1"/>
  <c r="F108" i="25"/>
  <c r="E108"/>
  <c r="E28" i="39" s="1"/>
  <c r="D108" i="25"/>
  <c r="D28" i="39" s="1"/>
  <c r="C108" i="25"/>
  <c r="C28" i="39" s="1"/>
  <c r="B108" i="25"/>
  <c r="B28" i="39" s="1"/>
  <c r="Q107" i="25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8" i="39" s="1"/>
  <c r="Q110" i="24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7" i="39" s="1"/>
  <c r="P108" i="24"/>
  <c r="P27" i="39" s="1"/>
  <c r="O108" i="24"/>
  <c r="O27" i="39" s="1"/>
  <c r="N108" i="24"/>
  <c r="N27" i="39" s="1"/>
  <c r="M108" i="24"/>
  <c r="M27" i="39" s="1"/>
  <c r="L108" i="24"/>
  <c r="L27" i="39" s="1"/>
  <c r="K108" i="24"/>
  <c r="K27" i="39" s="1"/>
  <c r="J108" i="24"/>
  <c r="J27" i="39" s="1"/>
  <c r="I108" i="24"/>
  <c r="I27" i="39" s="1"/>
  <c r="H108" i="24"/>
  <c r="H27" i="39" s="1"/>
  <c r="G108" i="24"/>
  <c r="G27" i="39" s="1"/>
  <c r="F108" i="24"/>
  <c r="E108"/>
  <c r="E27" i="39" s="1"/>
  <c r="D108" i="24"/>
  <c r="D27" i="39" s="1"/>
  <c r="C108" i="24"/>
  <c r="C27" i="39" s="1"/>
  <c r="B108" i="24"/>
  <c r="B27" i="39" s="1"/>
  <c r="Q107" i="24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7" i="39" s="1"/>
  <c r="I112" i="23"/>
  <c r="Q110"/>
  <c r="Q112" s="1"/>
  <c r="P110"/>
  <c r="P112" s="1"/>
  <c r="O110"/>
  <c r="O112" s="1"/>
  <c r="N110"/>
  <c r="N112" s="1"/>
  <c r="M110"/>
  <c r="M112" s="1"/>
  <c r="L110"/>
  <c r="L111" s="1"/>
  <c r="K110"/>
  <c r="K112" s="1"/>
  <c r="J110"/>
  <c r="J111" s="1"/>
  <c r="I110"/>
  <c r="I111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6" i="39" s="1"/>
  <c r="P108" i="23"/>
  <c r="P26" i="39" s="1"/>
  <c r="O108" i="23"/>
  <c r="O26" i="39" s="1"/>
  <c r="N108" i="23"/>
  <c r="N26" i="39" s="1"/>
  <c r="M108" i="23"/>
  <c r="M26" i="39" s="1"/>
  <c r="L108" i="23"/>
  <c r="L26" i="39" s="1"/>
  <c r="K108" i="23"/>
  <c r="K26" i="39" s="1"/>
  <c r="J108" i="23"/>
  <c r="J26" i="39" s="1"/>
  <c r="I108" i="23"/>
  <c r="I26" i="39" s="1"/>
  <c r="H108" i="23"/>
  <c r="H26" i="39" s="1"/>
  <c r="G108" i="23"/>
  <c r="G26" i="39" s="1"/>
  <c r="F108" i="23"/>
  <c r="E108"/>
  <c r="E26" i="39" s="1"/>
  <c r="D108" i="23"/>
  <c r="D26" i="39" s="1"/>
  <c r="C108" i="23"/>
  <c r="C26" i="39" s="1"/>
  <c r="B108" i="23"/>
  <c r="B26" i="39" s="1"/>
  <c r="Q107" i="2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6" i="39" s="1"/>
  <c r="M111" i="22"/>
  <c r="K111"/>
  <c r="J111"/>
  <c r="Q11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1" s="1"/>
  <c r="G112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5" i="39" s="1"/>
  <c r="P108" i="22"/>
  <c r="P25" i="39" s="1"/>
  <c r="O108" i="22"/>
  <c r="N108"/>
  <c r="N25" i="39" s="1"/>
  <c r="M108" i="22"/>
  <c r="M25" i="39" s="1"/>
  <c r="L108" i="22"/>
  <c r="L25" i="39" s="1"/>
  <c r="K108" i="22"/>
  <c r="K25" i="39" s="1"/>
  <c r="J108" i="22"/>
  <c r="J25" i="39" s="1"/>
  <c r="I108" i="22"/>
  <c r="I25" i="39" s="1"/>
  <c r="H108" i="22"/>
  <c r="H25" i="39" s="1"/>
  <c r="G108" i="22"/>
  <c r="G25" i="39" s="1"/>
  <c r="F108" i="22"/>
  <c r="E108"/>
  <c r="E25" i="39" s="1"/>
  <c r="D108" i="22"/>
  <c r="D25" i="39" s="1"/>
  <c r="C108" i="22"/>
  <c r="C25" i="39" s="1"/>
  <c r="B108" i="22"/>
  <c r="B25" i="39" s="1"/>
  <c r="Q107" i="2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5" i="39" s="1"/>
  <c r="Q110" i="21"/>
  <c r="Q112" s="1"/>
  <c r="P110"/>
  <c r="P112" s="1"/>
  <c r="O110"/>
  <c r="O112" s="1"/>
  <c r="N110"/>
  <c r="N112" s="1"/>
  <c r="M110"/>
  <c r="M112" s="1"/>
  <c r="L110"/>
  <c r="L112" s="1"/>
  <c r="K110"/>
  <c r="K111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4" i="39" s="1"/>
  <c r="P108" i="21"/>
  <c r="P24" i="39" s="1"/>
  <c r="O108" i="21"/>
  <c r="O24" i="39" s="1"/>
  <c r="N108" i="21"/>
  <c r="N24" i="39" s="1"/>
  <c r="M108" i="21"/>
  <c r="M24" i="39" s="1"/>
  <c r="L108" i="21"/>
  <c r="L24" i="39" s="1"/>
  <c r="K108" i="21"/>
  <c r="K24" i="39" s="1"/>
  <c r="J108" i="21"/>
  <c r="J24" i="39" s="1"/>
  <c r="I108" i="21"/>
  <c r="I24" i="39" s="1"/>
  <c r="H108" i="21"/>
  <c r="H24" i="39" s="1"/>
  <c r="G108" i="21"/>
  <c r="G24" i="39" s="1"/>
  <c r="F108" i="21"/>
  <c r="E108"/>
  <c r="E24" i="39" s="1"/>
  <c r="D108" i="21"/>
  <c r="D24" i="39" s="1"/>
  <c r="C108" i="21"/>
  <c r="C24" i="39" s="1"/>
  <c r="B108" i="21"/>
  <c r="B24" i="39" s="1"/>
  <c r="Q107" i="2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4" i="39" s="1"/>
  <c r="Q110" i="20"/>
  <c r="Q111" s="1"/>
  <c r="P110"/>
  <c r="P112" s="1"/>
  <c r="O110"/>
  <c r="O112" s="1"/>
  <c r="N110"/>
  <c r="N112" s="1"/>
  <c r="M110"/>
  <c r="M111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3" i="39" s="1"/>
  <c r="P108" i="20"/>
  <c r="P23" i="39" s="1"/>
  <c r="O108" i="20"/>
  <c r="O23" i="39" s="1"/>
  <c r="N108" i="20"/>
  <c r="N23" i="39" s="1"/>
  <c r="M108" i="20"/>
  <c r="M23" i="39" s="1"/>
  <c r="L108" i="20"/>
  <c r="L23" i="39" s="1"/>
  <c r="K108" i="20"/>
  <c r="K23" i="39" s="1"/>
  <c r="J108" i="20"/>
  <c r="J23" i="39" s="1"/>
  <c r="I108" i="20"/>
  <c r="I23" i="39" s="1"/>
  <c r="H108" i="20"/>
  <c r="H23" i="39" s="1"/>
  <c r="G108" i="20"/>
  <c r="G23" i="39" s="1"/>
  <c r="F108" i="20"/>
  <c r="E108"/>
  <c r="E23" i="39" s="1"/>
  <c r="D108" i="20"/>
  <c r="D23" i="39" s="1"/>
  <c r="C108" i="20"/>
  <c r="C23" i="39" s="1"/>
  <c r="B108" i="20"/>
  <c r="B23" i="39" s="1"/>
  <c r="Q107" i="2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3" i="39" s="1"/>
  <c r="N111" i="19"/>
  <c r="Q110"/>
  <c r="Q112" s="1"/>
  <c r="P110"/>
  <c r="P112" s="1"/>
  <c r="O110"/>
  <c r="O112" s="1"/>
  <c r="N110"/>
  <c r="N112" s="1"/>
  <c r="M110"/>
  <c r="M112" s="1"/>
  <c r="L110"/>
  <c r="L111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1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2" i="39" s="1"/>
  <c r="P108" i="19"/>
  <c r="P22" i="39" s="1"/>
  <c r="O108" i="19"/>
  <c r="O22" i="39" s="1"/>
  <c r="N108" i="19"/>
  <c r="N22" i="39" s="1"/>
  <c r="M108" i="19"/>
  <c r="M22" i="39" s="1"/>
  <c r="L108" i="19"/>
  <c r="K108"/>
  <c r="K22" i="39" s="1"/>
  <c r="J108" i="19"/>
  <c r="J22" i="39" s="1"/>
  <c r="I108" i="19"/>
  <c r="I22" i="39" s="1"/>
  <c r="H108" i="19"/>
  <c r="H22" i="39" s="1"/>
  <c r="G108" i="19"/>
  <c r="G22" i="39" s="1"/>
  <c r="F108" i="19"/>
  <c r="E108"/>
  <c r="E22" i="39" s="1"/>
  <c r="D108" i="19"/>
  <c r="D22" i="39" s="1"/>
  <c r="C108" i="19"/>
  <c r="C22" i="39" s="1"/>
  <c r="B108" i="19"/>
  <c r="B22" i="39" s="1"/>
  <c r="Q107" i="1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2" i="39" s="1"/>
  <c r="Q110" i="18"/>
  <c r="Q112" s="1"/>
  <c r="P110"/>
  <c r="P112" s="1"/>
  <c r="O110"/>
  <c r="O112" s="1"/>
  <c r="N110"/>
  <c r="N111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1" i="39" s="1"/>
  <c r="P108" i="18"/>
  <c r="P21" i="39" s="1"/>
  <c r="O108" i="18"/>
  <c r="O21" i="39" s="1"/>
  <c r="N108" i="18"/>
  <c r="N21" i="39" s="1"/>
  <c r="M108" i="18"/>
  <c r="M21" i="39" s="1"/>
  <c r="L108" i="18"/>
  <c r="L21" i="39" s="1"/>
  <c r="K108" i="18"/>
  <c r="K21" i="39" s="1"/>
  <c r="J108" i="18"/>
  <c r="J21" i="39" s="1"/>
  <c r="I108" i="18"/>
  <c r="I21" i="39" s="1"/>
  <c r="H108" i="18"/>
  <c r="H21" i="39" s="1"/>
  <c r="G108" i="18"/>
  <c r="G21" i="39" s="1"/>
  <c r="F108" i="18"/>
  <c r="E108"/>
  <c r="E21" i="39" s="1"/>
  <c r="D108" i="18"/>
  <c r="D21" i="39" s="1"/>
  <c r="C108" i="18"/>
  <c r="C21" i="39" s="1"/>
  <c r="B108" i="18"/>
  <c r="B21" i="39" s="1"/>
  <c r="Q107" i="1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1" i="39" s="1"/>
  <c r="P112" i="17"/>
  <c r="O112"/>
  <c r="P111"/>
  <c r="Q110"/>
  <c r="Q112" s="1"/>
  <c r="P110"/>
  <c r="O110"/>
  <c r="O111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1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0" i="39" s="1"/>
  <c r="P108" i="17"/>
  <c r="P20" i="39" s="1"/>
  <c r="O108" i="17"/>
  <c r="O20" i="39" s="1"/>
  <c r="N108" i="17"/>
  <c r="N20" i="39" s="1"/>
  <c r="M108" i="17"/>
  <c r="M20" i="39" s="1"/>
  <c r="L108" i="17"/>
  <c r="L20" i="39" s="1"/>
  <c r="K108" i="17"/>
  <c r="K20" i="39" s="1"/>
  <c r="J108" i="17"/>
  <c r="J20" i="39" s="1"/>
  <c r="I108" i="17"/>
  <c r="I20" i="39" s="1"/>
  <c r="H108" i="17"/>
  <c r="H20" i="39" s="1"/>
  <c r="G108" i="17"/>
  <c r="G20" i="39" s="1"/>
  <c r="F108" i="17"/>
  <c r="E108"/>
  <c r="E20" i="39" s="1"/>
  <c r="D108" i="17"/>
  <c r="D20" i="39" s="1"/>
  <c r="C108" i="17"/>
  <c r="C20" i="39" s="1"/>
  <c r="B108" i="17"/>
  <c r="B20" i="39" s="1"/>
  <c r="Q107" i="1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0" i="39" s="1"/>
  <c r="Q110" i="16"/>
  <c r="Q112" s="1"/>
  <c r="P110"/>
  <c r="P112" s="1"/>
  <c r="O110"/>
  <c r="O111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1" s="1"/>
  <c r="D110"/>
  <c r="D112" s="1"/>
  <c r="C110"/>
  <c r="C111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9" i="39" s="1"/>
  <c r="P108" i="16"/>
  <c r="P19" i="39" s="1"/>
  <c r="O108" i="16"/>
  <c r="O19" i="39" s="1"/>
  <c r="N108" i="16"/>
  <c r="N19" i="39" s="1"/>
  <c r="M108" i="16"/>
  <c r="M19" i="39" s="1"/>
  <c r="L108" i="16"/>
  <c r="L19" i="39" s="1"/>
  <c r="K108" i="16"/>
  <c r="K19" i="39" s="1"/>
  <c r="J108" i="16"/>
  <c r="J19" i="39" s="1"/>
  <c r="I108" i="16"/>
  <c r="I19" i="39" s="1"/>
  <c r="H108" i="16"/>
  <c r="H19" i="39" s="1"/>
  <c r="G108" i="16"/>
  <c r="G19" i="39" s="1"/>
  <c r="F108" i="16"/>
  <c r="E108"/>
  <c r="E19" i="39" s="1"/>
  <c r="D108" i="16"/>
  <c r="D19" i="39" s="1"/>
  <c r="C108" i="16"/>
  <c r="C19" i="39" s="1"/>
  <c r="B108" i="16"/>
  <c r="B19" i="39" s="1"/>
  <c r="Q107" i="16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9" i="39" s="1"/>
  <c r="Q110" i="15"/>
  <c r="Q112" s="1"/>
  <c r="P110"/>
  <c r="P112" s="1"/>
  <c r="O110"/>
  <c r="O112" s="1"/>
  <c r="N110"/>
  <c r="N112" s="1"/>
  <c r="M110"/>
  <c r="M112" s="1"/>
  <c r="L110"/>
  <c r="K110"/>
  <c r="J110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8" i="39" s="1"/>
  <c r="P108" i="15"/>
  <c r="P18" i="39" s="1"/>
  <c r="O108" i="15"/>
  <c r="O18" i="39" s="1"/>
  <c r="N108" i="15"/>
  <c r="N18" i="39" s="1"/>
  <c r="M108" i="15"/>
  <c r="M18" i="39" s="1"/>
  <c r="L108" i="15"/>
  <c r="L18" i="39" s="1"/>
  <c r="K108" i="15"/>
  <c r="K18" i="39" s="1"/>
  <c r="J108" i="15"/>
  <c r="J18" i="39" s="1"/>
  <c r="I108" i="15"/>
  <c r="I18" i="39" s="1"/>
  <c r="H108" i="15"/>
  <c r="H18" i="39" s="1"/>
  <c r="G108" i="15"/>
  <c r="G18" i="39" s="1"/>
  <c r="F108" i="15"/>
  <c r="E108"/>
  <c r="E18" i="39" s="1"/>
  <c r="D108" i="15"/>
  <c r="D18" i="39" s="1"/>
  <c r="C108" i="15"/>
  <c r="C18" i="39" s="1"/>
  <c r="B108" i="15"/>
  <c r="B18" i="39" s="1"/>
  <c r="Q107" i="15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8" i="39" s="1"/>
  <c r="Q110" i="14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1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7" i="39" s="1"/>
  <c r="P108" i="14"/>
  <c r="P17" i="39" s="1"/>
  <c r="O108" i="14"/>
  <c r="O17" i="39" s="1"/>
  <c r="N108" i="14"/>
  <c r="N17" i="39" s="1"/>
  <c r="M108" i="14"/>
  <c r="M17" i="39" s="1"/>
  <c r="L108" i="14"/>
  <c r="L17" i="39" s="1"/>
  <c r="K108" i="14"/>
  <c r="K17" i="39" s="1"/>
  <c r="J108" i="14"/>
  <c r="J17" i="39" s="1"/>
  <c r="I108" i="14"/>
  <c r="I17" i="39" s="1"/>
  <c r="H108" i="14"/>
  <c r="H17" i="39" s="1"/>
  <c r="G108" i="14"/>
  <c r="G17" i="39" s="1"/>
  <c r="F108" i="14"/>
  <c r="E108"/>
  <c r="E17" i="39" s="1"/>
  <c r="D108" i="14"/>
  <c r="D17" i="39" s="1"/>
  <c r="C108" i="14"/>
  <c r="C17" i="39" s="1"/>
  <c r="B108" i="14"/>
  <c r="B17" i="39" s="1"/>
  <c r="Q107" i="14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7" i="39" s="1"/>
  <c r="Q110" i="13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1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6" i="39" s="1"/>
  <c r="P108" i="13"/>
  <c r="P16" i="39" s="1"/>
  <c r="O108" i="13"/>
  <c r="O16" i="39" s="1"/>
  <c r="N108" i="13"/>
  <c r="N16" i="39" s="1"/>
  <c r="M108" i="13"/>
  <c r="M16" i="39" s="1"/>
  <c r="L108" i="13"/>
  <c r="L16" i="39" s="1"/>
  <c r="K108" i="13"/>
  <c r="K16" i="39" s="1"/>
  <c r="J108" i="13"/>
  <c r="J16" i="39" s="1"/>
  <c r="I108" i="13"/>
  <c r="I16" i="39" s="1"/>
  <c r="H108" i="13"/>
  <c r="H16" i="39" s="1"/>
  <c r="G108" i="13"/>
  <c r="G16" i="39" s="1"/>
  <c r="F108" i="13"/>
  <c r="E108"/>
  <c r="E16" i="39" s="1"/>
  <c r="D108" i="13"/>
  <c r="D16" i="39" s="1"/>
  <c r="C108" i="13"/>
  <c r="C16" i="39" s="1"/>
  <c r="B108" i="13"/>
  <c r="B16" i="39" s="1"/>
  <c r="Q107" i="1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6" i="39" s="1"/>
  <c r="Q110" i="1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5" i="39" s="1"/>
  <c r="P108" i="12"/>
  <c r="P15" i="39" s="1"/>
  <c r="O108" i="12"/>
  <c r="O15" i="39" s="1"/>
  <c r="N108" i="12"/>
  <c r="N15" i="39" s="1"/>
  <c r="M108" i="12"/>
  <c r="M15" i="39" s="1"/>
  <c r="L108" i="12"/>
  <c r="L15" i="39" s="1"/>
  <c r="K108" i="12"/>
  <c r="K15" i="39" s="1"/>
  <c r="J108" i="12"/>
  <c r="J15" i="39" s="1"/>
  <c r="I108" i="12"/>
  <c r="I15" i="39" s="1"/>
  <c r="H108" i="12"/>
  <c r="H15" i="39" s="1"/>
  <c r="G108" i="12"/>
  <c r="G15" i="39" s="1"/>
  <c r="F108" i="12"/>
  <c r="E108"/>
  <c r="E15" i="39" s="1"/>
  <c r="D108" i="12"/>
  <c r="D15" i="39" s="1"/>
  <c r="C108" i="12"/>
  <c r="C15" i="39" s="1"/>
  <c r="B108" i="12"/>
  <c r="B15" i="39" s="1"/>
  <c r="Q107" i="1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5" i="39" s="1"/>
  <c r="Q110" i="11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4" i="39" s="1"/>
  <c r="P108" i="11"/>
  <c r="P14" i="39" s="1"/>
  <c r="O108" i="11"/>
  <c r="O14" i="39" s="1"/>
  <c r="N108" i="11"/>
  <c r="N14" i="39" s="1"/>
  <c r="M108" i="11"/>
  <c r="M14" i="39" s="1"/>
  <c r="L108" i="11"/>
  <c r="L14" i="39" s="1"/>
  <c r="K108" i="11"/>
  <c r="K14" i="39" s="1"/>
  <c r="J108" i="11"/>
  <c r="J14" i="39" s="1"/>
  <c r="I108" i="11"/>
  <c r="I14" i="39" s="1"/>
  <c r="H108" i="11"/>
  <c r="H14" i="39" s="1"/>
  <c r="G108" i="11"/>
  <c r="G14" i="39" s="1"/>
  <c r="F108" i="11"/>
  <c r="E108"/>
  <c r="E14" i="39" s="1"/>
  <c r="D108" i="11"/>
  <c r="D14" i="39" s="1"/>
  <c r="C108" i="11"/>
  <c r="C14" i="39" s="1"/>
  <c r="B108" i="11"/>
  <c r="B14" i="39" s="1"/>
  <c r="Q107" i="1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4" i="39" s="1"/>
  <c r="Q110" i="1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1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3" i="39" s="1"/>
  <c r="P108" i="10"/>
  <c r="P13" i="39" s="1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J13" i="39" s="1"/>
  <c r="I108" i="10"/>
  <c r="I13" i="39" s="1"/>
  <c r="H108" i="10"/>
  <c r="H13" i="39" s="1"/>
  <c r="G108" i="10"/>
  <c r="G13" i="39" s="1"/>
  <c r="F108" i="10"/>
  <c r="E108"/>
  <c r="E13" i="39" s="1"/>
  <c r="D108" i="10"/>
  <c r="D13" i="39" s="1"/>
  <c r="C108" i="10"/>
  <c r="C13" i="39" s="1"/>
  <c r="B108" i="10"/>
  <c r="B13" i="39" s="1"/>
  <c r="Q107" i="1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3" i="39" s="1"/>
  <c r="Q110" i="9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1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2" i="39" s="1"/>
  <c r="P108" i="9"/>
  <c r="P12" i="39" s="1"/>
  <c r="O108" i="9"/>
  <c r="O12" i="39" s="1"/>
  <c r="N108" i="9"/>
  <c r="N12" i="39" s="1"/>
  <c r="M108" i="9"/>
  <c r="M12" i="39" s="1"/>
  <c r="L108" i="9"/>
  <c r="L12" i="39" s="1"/>
  <c r="K108" i="9"/>
  <c r="K12" i="39" s="1"/>
  <c r="J108" i="9"/>
  <c r="J12" i="39" s="1"/>
  <c r="I108" i="9"/>
  <c r="I12" i="39" s="1"/>
  <c r="H108" i="9"/>
  <c r="H12" i="39" s="1"/>
  <c r="G108" i="9"/>
  <c r="G12" i="39" s="1"/>
  <c r="F108" i="9"/>
  <c r="E108"/>
  <c r="E12" i="39" s="1"/>
  <c r="D108" i="9"/>
  <c r="D12" i="39" s="1"/>
  <c r="C108" i="9"/>
  <c r="C12" i="39" s="1"/>
  <c r="B108" i="9"/>
  <c r="B12" i="39" s="1"/>
  <c r="Q107" i="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2" i="39" s="1"/>
  <c r="Q110" i="8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1" s="1"/>
  <c r="H110"/>
  <c r="H112" s="1"/>
  <c r="G110"/>
  <c r="G112" s="1"/>
  <c r="F112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1" i="39" s="1"/>
  <c r="P108" i="8"/>
  <c r="P11" i="39" s="1"/>
  <c r="O108" i="8"/>
  <c r="O11" i="39" s="1"/>
  <c r="N108" i="8"/>
  <c r="N11" i="39" s="1"/>
  <c r="M108" i="8"/>
  <c r="M11" i="39" s="1"/>
  <c r="L108" i="8"/>
  <c r="L11" i="39" s="1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E108"/>
  <c r="E11" i="39" s="1"/>
  <c r="D108" i="8"/>
  <c r="D11" i="39" s="1"/>
  <c r="C108" i="8"/>
  <c r="C11" i="39" s="1"/>
  <c r="B108" i="8"/>
  <c r="B11" i="39" s="1"/>
  <c r="Q107" i="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1" i="39" s="1"/>
  <c r="Q110" i="3"/>
  <c r="Q112" s="1"/>
  <c r="P110"/>
  <c r="P112" s="1"/>
  <c r="O110"/>
  <c r="O112" s="1"/>
  <c r="N110"/>
  <c r="N112" s="1"/>
  <c r="M110"/>
  <c r="M112" s="1"/>
  <c r="L110"/>
  <c r="L111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0" i="39" s="1"/>
  <c r="P108" i="3"/>
  <c r="P10" i="39" s="1"/>
  <c r="O108" i="3"/>
  <c r="O10" i="39" s="1"/>
  <c r="N108" i="3"/>
  <c r="N10" i="39" s="1"/>
  <c r="M108" i="3"/>
  <c r="M10" i="39" s="1"/>
  <c r="L108" i="3"/>
  <c r="L10" i="39" s="1"/>
  <c r="K108" i="3"/>
  <c r="K10" i="39" s="1"/>
  <c r="J108" i="3"/>
  <c r="J10" i="39" s="1"/>
  <c r="I108" i="3"/>
  <c r="I10" i="39" s="1"/>
  <c r="H108" i="3"/>
  <c r="H10" i="39" s="1"/>
  <c r="G108" i="3"/>
  <c r="G10" i="39" s="1"/>
  <c r="F108" i="3"/>
  <c r="E108"/>
  <c r="E10" i="39" s="1"/>
  <c r="D108" i="3"/>
  <c r="D10" i="39" s="1"/>
  <c r="C108" i="3"/>
  <c r="C10" i="39" s="1"/>
  <c r="B108" i="3"/>
  <c r="B10" i="39" s="1"/>
  <c r="Q107" i="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0" i="39" s="1"/>
  <c r="Q110" i="2"/>
  <c r="Q111" s="1"/>
  <c r="P110"/>
  <c r="P112" s="1"/>
  <c r="O110"/>
  <c r="O112" s="1"/>
  <c r="N110"/>
  <c r="N112" s="1"/>
  <c r="M110"/>
  <c r="M111" s="1"/>
  <c r="L110"/>
  <c r="L112" s="1"/>
  <c r="K110"/>
  <c r="K112" s="1"/>
  <c r="J110"/>
  <c r="J111" s="1"/>
  <c r="I110"/>
  <c r="I111" s="1"/>
  <c r="H110"/>
  <c r="H112" s="1"/>
  <c r="G110"/>
  <c r="G112" s="1"/>
  <c r="F112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9" i="39" s="1"/>
  <c r="P108" i="2"/>
  <c r="P9" i="39" s="1"/>
  <c r="O108" i="2"/>
  <c r="O9" i="39" s="1"/>
  <c r="N108" i="2"/>
  <c r="N9" i="39" s="1"/>
  <c r="M108" i="2"/>
  <c r="M9" i="39" s="1"/>
  <c r="L108" i="2"/>
  <c r="L9" i="39" s="1"/>
  <c r="K108" i="2"/>
  <c r="K9" i="39" s="1"/>
  <c r="J108" i="2"/>
  <c r="J9" i="39" s="1"/>
  <c r="I108" i="2"/>
  <c r="I9" i="39" s="1"/>
  <c r="H108" i="2"/>
  <c r="H9" i="39" s="1"/>
  <c r="G108" i="2"/>
  <c r="G9" i="39" s="1"/>
  <c r="F108" i="2"/>
  <c r="E108"/>
  <c r="E9" i="39" s="1"/>
  <c r="D108" i="2"/>
  <c r="D9" i="39" s="1"/>
  <c r="C108" i="2"/>
  <c r="C9" i="39" s="1"/>
  <c r="B108" i="2"/>
  <c r="B9" i="39" s="1"/>
  <c r="Q107" i="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9" i="39" s="1"/>
  <c r="B2" s="1"/>
  <c r="D2" i="5" s="1"/>
  <c r="K111" i="41" l="1"/>
  <c r="L111"/>
  <c r="M112" i="40"/>
  <c r="M111" i="44"/>
  <c r="N111"/>
  <c r="O111"/>
  <c r="O111" i="32"/>
  <c r="Q111"/>
  <c r="F111" i="31"/>
  <c r="B112" i="30"/>
  <c r="H111" i="29"/>
  <c r="B112"/>
  <c r="C111" i="28"/>
  <c r="D111"/>
  <c r="F111" i="27"/>
  <c r="E112"/>
  <c r="F111" i="26"/>
  <c r="E112"/>
  <c r="L112" i="25"/>
  <c r="F111"/>
  <c r="G111"/>
  <c r="H111"/>
  <c r="K111" i="24"/>
  <c r="M42" i="39"/>
  <c r="N111" i="23"/>
  <c r="J112"/>
  <c r="L112"/>
  <c r="I112" i="22"/>
  <c r="K112" i="21"/>
  <c r="L111" i="20"/>
  <c r="O111"/>
  <c r="M112"/>
  <c r="Q112"/>
  <c r="M111" i="19"/>
  <c r="L112"/>
  <c r="P111"/>
  <c r="N112" i="18"/>
  <c r="M111"/>
  <c r="D112" i="17"/>
  <c r="P111" i="16"/>
  <c r="Q111"/>
  <c r="C112"/>
  <c r="O112"/>
  <c r="F111" i="15"/>
  <c r="Q41" i="39"/>
  <c r="L42"/>
  <c r="Q45"/>
  <c r="O45"/>
  <c r="O44"/>
  <c r="O43"/>
  <c r="O42"/>
  <c r="O41"/>
  <c r="K45"/>
  <c r="K44"/>
  <c r="K41"/>
  <c r="K42"/>
  <c r="K43"/>
  <c r="I45"/>
  <c r="I44"/>
  <c r="I43"/>
  <c r="I42"/>
  <c r="I41"/>
  <c r="J45"/>
  <c r="J44"/>
  <c r="J43"/>
  <c r="J42"/>
  <c r="J41"/>
  <c r="H111" i="3"/>
  <c r="G111" i="8"/>
  <c r="F111" i="9"/>
  <c r="D112" i="13"/>
  <c r="B111" i="15"/>
  <c r="G112" i="26"/>
  <c r="B111" i="31"/>
  <c r="F111" i="10"/>
  <c r="K111" i="2"/>
  <c r="H111" i="9"/>
  <c r="C111" i="14"/>
  <c r="L45" i="39"/>
  <c r="L44"/>
  <c r="L111" i="2"/>
  <c r="K111" i="3"/>
  <c r="J111" i="8"/>
  <c r="I111" i="9"/>
  <c r="H111" i="10"/>
  <c r="G111" i="11"/>
  <c r="F111" i="12"/>
  <c r="E111" i="13"/>
  <c r="D111" i="14"/>
  <c r="D111" i="15"/>
  <c r="E112" i="16"/>
  <c r="C111" i="18"/>
  <c r="B112" i="19"/>
  <c r="O111" i="22"/>
  <c r="J111" i="25"/>
  <c r="I112" i="26"/>
  <c r="E111" i="28"/>
  <c r="D112" i="29"/>
  <c r="D111" i="31"/>
  <c r="P112" i="32"/>
  <c r="C112" i="44"/>
  <c r="M111" i="41"/>
  <c r="D44" i="5"/>
  <c r="J112" i="2"/>
  <c r="I111" i="3"/>
  <c r="H111" i="8"/>
  <c r="E112" i="32"/>
  <c r="G111" i="10"/>
  <c r="M112" i="2"/>
  <c r="L112" i="3"/>
  <c r="J112" i="9"/>
  <c r="H111" i="11"/>
  <c r="G111" i="12"/>
  <c r="F111" i="13"/>
  <c r="E111" i="14"/>
  <c r="J111" i="21"/>
  <c r="K112" i="26"/>
  <c r="F112" i="29"/>
  <c r="Q111" i="41"/>
  <c r="Q42" i="39"/>
  <c r="E111" i="10"/>
  <c r="G111" i="9"/>
  <c r="D111" i="12"/>
  <c r="M45" i="39"/>
  <c r="M44"/>
  <c r="K111" i="8"/>
  <c r="I112" i="10"/>
  <c r="N45" i="39"/>
  <c r="N44"/>
  <c r="N43"/>
  <c r="N42"/>
  <c r="N41"/>
  <c r="N111" i="2"/>
  <c r="M111" i="3"/>
  <c r="L111" i="8"/>
  <c r="K111" i="9"/>
  <c r="J111" i="10"/>
  <c r="I111" i="11"/>
  <c r="H111" i="12"/>
  <c r="G111" i="13"/>
  <c r="F111" i="14"/>
  <c r="P111" i="15"/>
  <c r="G111" i="24"/>
  <c r="I111" i="28"/>
  <c r="P111" i="31"/>
  <c r="E111" i="11"/>
  <c r="B112" i="14"/>
  <c r="I112" i="8"/>
  <c r="O111" i="2"/>
  <c r="N111" i="3"/>
  <c r="M111" i="8"/>
  <c r="L111" i="9"/>
  <c r="K111" i="10"/>
  <c r="J111" i="11"/>
  <c r="I111" i="12"/>
  <c r="H111" i="13"/>
  <c r="G111" i="14"/>
  <c r="Q111" i="15"/>
  <c r="O111" i="18"/>
  <c r="L111" i="21"/>
  <c r="H111" i="24"/>
  <c r="D111" i="27"/>
  <c r="Q111" i="31"/>
  <c r="D111" i="33"/>
  <c r="L43" i="39"/>
  <c r="J111" i="3"/>
  <c r="P45" i="39"/>
  <c r="P44"/>
  <c r="P43"/>
  <c r="P42"/>
  <c r="P41"/>
  <c r="P111" i="2"/>
  <c r="O111" i="3"/>
  <c r="N111" i="8"/>
  <c r="M111" i="9"/>
  <c r="L111" i="10"/>
  <c r="K111" i="11"/>
  <c r="J111" i="12"/>
  <c r="I111" i="13"/>
  <c r="H111" i="14"/>
  <c r="Q111" i="18"/>
  <c r="N111" i="21"/>
  <c r="I111" i="24"/>
  <c r="N111" i="33"/>
  <c r="M43" i="39"/>
  <c r="C111" i="12"/>
  <c r="Q111" i="14"/>
  <c r="Q112" i="2"/>
  <c r="P111" i="3"/>
  <c r="N111" i="9"/>
  <c r="M111" i="10"/>
  <c r="L111" i="11"/>
  <c r="K111" i="12"/>
  <c r="J111" i="13"/>
  <c r="I111" i="14"/>
  <c r="B111" i="17"/>
  <c r="P111" i="21"/>
  <c r="C111" i="30"/>
  <c r="B111" i="40"/>
  <c r="Q43" i="39"/>
  <c r="I112" i="2"/>
  <c r="F111" i="11"/>
  <c r="E111" i="12"/>
  <c r="O111" i="8"/>
  <c r="B45" i="39"/>
  <c r="B44"/>
  <c r="B43"/>
  <c r="B42"/>
  <c r="B41"/>
  <c r="B111" i="2"/>
  <c r="Q111" i="3"/>
  <c r="P111" i="8"/>
  <c r="O111" i="9"/>
  <c r="N111" i="10"/>
  <c r="M111" i="11"/>
  <c r="L111" i="12"/>
  <c r="K111" i="13"/>
  <c r="J111" i="14"/>
  <c r="K111" i="20"/>
  <c r="M111" i="24"/>
  <c r="H111" i="27"/>
  <c r="P111" i="33"/>
  <c r="L111" i="40"/>
  <c r="Q44" i="39"/>
  <c r="B111" i="13"/>
  <c r="B111" i="3"/>
  <c r="Q111" i="8"/>
  <c r="P111" i="9"/>
  <c r="O111" i="10"/>
  <c r="N111" i="11"/>
  <c r="M111" i="12"/>
  <c r="L111" i="13"/>
  <c r="K111" i="14"/>
  <c r="J112" i="15"/>
  <c r="J111"/>
  <c r="N111" i="17"/>
  <c r="H111" i="23"/>
  <c r="J111" i="27"/>
  <c r="G111" i="30"/>
  <c r="D111" i="11"/>
  <c r="C111" i="13"/>
  <c r="C45" i="39"/>
  <c r="C44"/>
  <c r="C43"/>
  <c r="C42"/>
  <c r="C41"/>
  <c r="C111" i="2"/>
  <c r="D45" i="39"/>
  <c r="D44"/>
  <c r="D43"/>
  <c r="D42"/>
  <c r="D41"/>
  <c r="D111" i="2"/>
  <c r="C111" i="3"/>
  <c r="B111" i="8"/>
  <c r="Q111" i="9"/>
  <c r="P111" i="10"/>
  <c r="O111" i="11"/>
  <c r="N111" i="12"/>
  <c r="M111" i="13"/>
  <c r="L111" i="14"/>
  <c r="K112" i="15"/>
  <c r="K111"/>
  <c r="N111" i="40"/>
  <c r="E111" i="2"/>
  <c r="D111" i="3"/>
  <c r="C111" i="8"/>
  <c r="B111" i="9"/>
  <c r="Q111" i="10"/>
  <c r="P111" i="11"/>
  <c r="O111" i="12"/>
  <c r="N111" i="13"/>
  <c r="M111" i="14"/>
  <c r="L112" i="15"/>
  <c r="L111"/>
  <c r="E45" i="39"/>
  <c r="E44"/>
  <c r="E43"/>
  <c r="E42"/>
  <c r="E41"/>
  <c r="F45"/>
  <c r="F44"/>
  <c r="F43"/>
  <c r="F42"/>
  <c r="F41"/>
  <c r="F111" i="2"/>
  <c r="E111" i="3"/>
  <c r="D111" i="8"/>
  <c r="C111" i="9"/>
  <c r="B111" i="10"/>
  <c r="Q111" i="11"/>
  <c r="P111" i="12"/>
  <c r="O111" i="13"/>
  <c r="N111" i="14"/>
  <c r="E111" i="8"/>
  <c r="D111" i="9"/>
  <c r="C111" i="10"/>
  <c r="B111" i="11"/>
  <c r="Q111" i="12"/>
  <c r="P111" i="13"/>
  <c r="O111" i="14"/>
  <c r="L41" i="39"/>
  <c r="G45"/>
  <c r="G44"/>
  <c r="G43"/>
  <c r="G42"/>
  <c r="G41"/>
  <c r="G111" i="2"/>
  <c r="F111" i="3"/>
  <c r="H45" i="39"/>
  <c r="H44"/>
  <c r="H43"/>
  <c r="H42"/>
  <c r="H41"/>
  <c r="H111" i="2"/>
  <c r="G111" i="3"/>
  <c r="F111" i="8"/>
  <c r="E111" i="9"/>
  <c r="D111" i="10"/>
  <c r="C111" i="11"/>
  <c r="B111" i="12"/>
  <c r="Q111" i="13"/>
  <c r="P111" i="14"/>
  <c r="M41" i="39"/>
  <c r="M111" i="15"/>
  <c r="L111" i="16"/>
  <c r="K111" i="17"/>
  <c r="J111" i="18"/>
  <c r="I111" i="19"/>
  <c r="H111" i="20"/>
  <c r="G111" i="21"/>
  <c r="F111" i="22"/>
  <c r="E111" i="23"/>
  <c r="D111" i="24"/>
  <c r="C111" i="25"/>
  <c r="B111" i="26"/>
  <c r="Q111" i="27"/>
  <c r="P111" i="28"/>
  <c r="O111" i="29"/>
  <c r="N111" i="30"/>
  <c r="M111" i="31"/>
  <c r="L111" i="32"/>
  <c r="K111" i="33"/>
  <c r="J111" i="44"/>
  <c r="I111" i="40"/>
  <c r="H111" i="41"/>
  <c r="N111" i="15"/>
  <c r="M111" i="16"/>
  <c r="L111" i="17"/>
  <c r="K111" i="18"/>
  <c r="J111" i="19"/>
  <c r="I111" i="20"/>
  <c r="H111" i="21"/>
  <c r="G111" i="22"/>
  <c r="F111" i="23"/>
  <c r="E111" i="24"/>
  <c r="D111" i="25"/>
  <c r="C111" i="26"/>
  <c r="B111" i="27"/>
  <c r="Q111" i="28"/>
  <c r="P111" i="29"/>
  <c r="O111" i="30"/>
  <c r="N111" i="31"/>
  <c r="M111" i="32"/>
  <c r="L111" i="33"/>
  <c r="K111" i="44"/>
  <c r="J111" i="40"/>
  <c r="I111" i="41"/>
  <c r="O111" i="15"/>
  <c r="N111" i="16"/>
  <c r="M111" i="17"/>
  <c r="L111" i="18"/>
  <c r="K111" i="19"/>
  <c r="J111" i="20"/>
  <c r="I111" i="21"/>
  <c r="H111" i="22"/>
  <c r="G111" i="23"/>
  <c r="F111" i="24"/>
  <c r="E111" i="25"/>
  <c r="D111" i="26"/>
  <c r="C111" i="27"/>
  <c r="B111" i="28"/>
  <c r="Q111" i="29"/>
  <c r="P111" i="30"/>
  <c r="O111" i="31"/>
  <c r="N111" i="32"/>
  <c r="M111" i="33"/>
  <c r="L111" i="44"/>
  <c r="K111" i="40"/>
  <c r="J111" i="41"/>
  <c r="C111" i="15"/>
  <c r="B111" i="16"/>
  <c r="Q111" i="17"/>
  <c r="P111" i="18"/>
  <c r="O111" i="19"/>
  <c r="N111" i="20"/>
  <c r="M111" i="21"/>
  <c r="L111" i="22"/>
  <c r="K111" i="23"/>
  <c r="J111" i="24"/>
  <c r="I111" i="25"/>
  <c r="H111" i="26"/>
  <c r="G111" i="27"/>
  <c r="F111" i="28"/>
  <c r="E111" i="29"/>
  <c r="D111" i="30"/>
  <c r="C111" i="31"/>
  <c r="B111" i="32"/>
  <c r="Q111" i="33"/>
  <c r="P111" i="44"/>
  <c r="O111" i="40"/>
  <c r="N111" i="41"/>
  <c r="C111" i="32"/>
  <c r="B111" i="33"/>
  <c r="Q111" i="44"/>
  <c r="P111" i="40"/>
  <c r="O111" i="41"/>
  <c r="E111" i="15"/>
  <c r="D111" i="16"/>
  <c r="C111" i="17"/>
  <c r="B111" i="18"/>
  <c r="Q111" i="19"/>
  <c r="P111" i="20"/>
  <c r="O111" i="21"/>
  <c r="N111" i="22"/>
  <c r="M111" i="23"/>
  <c r="L111" i="24"/>
  <c r="K111" i="25"/>
  <c r="J111" i="26"/>
  <c r="I111" i="27"/>
  <c r="H111" i="28"/>
  <c r="G111" i="29"/>
  <c r="F111" i="30"/>
  <c r="E111" i="31"/>
  <c r="D111" i="32"/>
  <c r="C111" i="33"/>
  <c r="B111" i="44"/>
  <c r="Q111" i="40"/>
  <c r="P111" i="41"/>
  <c r="G111" i="15"/>
  <c r="F111" i="16"/>
  <c r="E111" i="17"/>
  <c r="D111" i="18"/>
  <c r="C111" i="19"/>
  <c r="B111" i="20"/>
  <c r="Q111" i="21"/>
  <c r="P111" i="22"/>
  <c r="O111" i="23"/>
  <c r="N111" i="24"/>
  <c r="M111" i="25"/>
  <c r="L111" i="26"/>
  <c r="K111" i="27"/>
  <c r="J111" i="28"/>
  <c r="I111" i="29"/>
  <c r="H111" i="30"/>
  <c r="G111" i="31"/>
  <c r="F111" i="32"/>
  <c r="E111" i="33"/>
  <c r="D111" i="44"/>
  <c r="C111" i="40"/>
  <c r="B111" i="41"/>
  <c r="H111" i="15"/>
  <c r="G111" i="16"/>
  <c r="F111" i="17"/>
  <c r="E111" i="18"/>
  <c r="D111" i="19"/>
  <c r="C111" i="20"/>
  <c r="B111" i="21"/>
  <c r="Q111" i="22"/>
  <c r="P111" i="23"/>
  <c r="O111" i="24"/>
  <c r="N111" i="25"/>
  <c r="M111" i="26"/>
  <c r="L111" i="27"/>
  <c r="K111" i="28"/>
  <c r="J111" i="29"/>
  <c r="I111" i="30"/>
  <c r="H111" i="31"/>
  <c r="G111" i="32"/>
  <c r="F111" i="33"/>
  <c r="E111" i="44"/>
  <c r="D111" i="40"/>
  <c r="C111" i="41"/>
  <c r="I111" i="15"/>
  <c r="H111" i="16"/>
  <c r="G111" i="17"/>
  <c r="F111" i="18"/>
  <c r="E111" i="19"/>
  <c r="D111" i="20"/>
  <c r="C111" i="21"/>
  <c r="B111" i="22"/>
  <c r="Q111" i="23"/>
  <c r="P111" i="24"/>
  <c r="O111" i="25"/>
  <c r="N111" i="26"/>
  <c r="M111" i="27"/>
  <c r="L111" i="28"/>
  <c r="K111" i="29"/>
  <c r="J111" i="30"/>
  <c r="I111" i="31"/>
  <c r="H111" i="32"/>
  <c r="G111" i="33"/>
  <c r="F111" i="44"/>
  <c r="E111" i="40"/>
  <c r="D111" i="41"/>
  <c r="I111" i="16"/>
  <c r="H111" i="17"/>
  <c r="G111" i="18"/>
  <c r="F111" i="19"/>
  <c r="E111" i="20"/>
  <c r="D111" i="21"/>
  <c r="C111" i="22"/>
  <c r="B111" i="23"/>
  <c r="Q111" i="24"/>
  <c r="P111" i="25"/>
  <c r="O111" i="26"/>
  <c r="N111" i="27"/>
  <c r="M111" i="28"/>
  <c r="L111" i="29"/>
  <c r="K111" i="30"/>
  <c r="J111" i="31"/>
  <c r="I111" i="32"/>
  <c r="H111" i="33"/>
  <c r="G111" i="44"/>
  <c r="F111" i="40"/>
  <c r="E111" i="41"/>
  <c r="J111" i="16"/>
  <c r="I111" i="17"/>
  <c r="H111" i="18"/>
  <c r="G111" i="19"/>
  <c r="F111" i="20"/>
  <c r="E111" i="21"/>
  <c r="D111" i="22"/>
  <c r="C111" i="23"/>
  <c r="B111" i="24"/>
  <c r="Q111" i="25"/>
  <c r="P111" i="26"/>
  <c r="O111" i="27"/>
  <c r="N111" i="28"/>
  <c r="M111" i="29"/>
  <c r="L111" i="30"/>
  <c r="K111" i="31"/>
  <c r="J111" i="32"/>
  <c r="I111" i="33"/>
  <c r="H111" i="44"/>
  <c r="G111" i="40"/>
  <c r="F111" i="41"/>
  <c r="K111" i="16"/>
  <c r="J111" i="17"/>
  <c r="I111" i="18"/>
  <c r="H111" i="19"/>
  <c r="G111" i="20"/>
  <c r="F111" i="21"/>
  <c r="E111" i="22"/>
  <c r="D111" i="23"/>
  <c r="C111" i="24"/>
  <c r="B111" i="25"/>
  <c r="Q111" i="26"/>
  <c r="P111" i="27"/>
  <c r="O111" i="28"/>
  <c r="N111" i="29"/>
  <c r="M111" i="30"/>
  <c r="L111" i="31"/>
  <c r="K111" i="32"/>
  <c r="J111" i="33"/>
  <c r="I111" i="44"/>
  <c r="H111" i="40"/>
  <c r="G111" i="41"/>
  <c r="I47" i="39" l="1"/>
  <c r="I46"/>
  <c r="F47"/>
  <c r="F46"/>
  <c r="M47"/>
  <c r="M46"/>
  <c r="D47"/>
  <c r="D46"/>
  <c r="B47"/>
  <c r="B46"/>
  <c r="P47"/>
  <c r="P46"/>
  <c r="H47"/>
  <c r="H46"/>
  <c r="K47"/>
  <c r="K46"/>
  <c r="E47"/>
  <c r="E46"/>
  <c r="C47"/>
  <c r="C46"/>
  <c r="N47"/>
  <c r="N46"/>
  <c r="O47"/>
  <c r="O46"/>
  <c r="G47"/>
  <c r="G46"/>
  <c r="L47"/>
  <c r="L46"/>
  <c r="J47"/>
  <c r="J46"/>
  <c r="Q47"/>
  <c r="Q46"/>
</calcChain>
</file>

<file path=xl/sharedStrings.xml><?xml version="1.0" encoding="utf-8"?>
<sst xmlns="http://schemas.openxmlformats.org/spreadsheetml/2006/main" count="8876" uniqueCount="3215">
  <si>
    <t>Station:</t>
  </si>
  <si>
    <t>IGKV 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</si>
  <si>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</si>
  <si>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</si>
  <si>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</si>
  <si>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</si>
  <si>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</si>
  <si>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</si>
  <si>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</si>
  <si>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</si>
  <si>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</si>
  <si>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</si>
  <si>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</si>
  <si>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</si>
  <si>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</si>
  <si>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</si>
  <si>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</si>
  <si>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</si>
  <si>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</si>
  <si>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</si>
  <si>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</si>
  <si>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</si>
  <si>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</si>
  <si>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NO</t>
  </si>
  <si>
    <t xml:space="preserve">NO2 </t>
  </si>
  <si>
    <t xml:space="preserve">NOX </t>
  </si>
  <si>
    <t xml:space="preserve">SO2 </t>
  </si>
  <si>
    <t xml:space="preserve">O3 </t>
  </si>
  <si>
    <t xml:space="preserve">PM 10 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</si>
  <si>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</si>
  <si>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</si>
  <si>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</si>
  <si>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</si>
  <si>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</si>
  <si>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</si>
  <si>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</si>
  <si>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</si>
  <si>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</si>
  <si>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</si>
  <si>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</si>
  <si>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</si>
  <si>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m/sec</t>
  </si>
  <si>
    <t>deg</t>
  </si>
  <si>
    <t>degreC</t>
  </si>
  <si>
    <t>%</t>
  </si>
  <si>
    <t>w/m2</t>
  </si>
  <si>
    <t>mm</t>
  </si>
  <si>
    <t>mg/m3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</si>
  <si>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</si>
  <si>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</si>
  <si>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</si>
  <si>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</si>
  <si>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</si>
  <si>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</si>
  <si>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</si>
  <si>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</si>
  <si>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</si>
  <si>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</si>
  <si>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</si>
  <si>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</si>
  <si>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Report:</t>
  </si>
  <si>
    <t>Calibration Report Of IGKV, RAIPUR</t>
  </si>
  <si>
    <t>01/10/2022 00:15 - 31/10/2022 00:00</t>
  </si>
  <si>
    <t>SO2</t>
  </si>
  <si>
    <t>PM 10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</si>
  <si>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</si>
  <si>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</si>
  <si>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</si>
  <si>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</si>
  <si>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</si>
  <si>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</si>
  <si>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</si>
  <si>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</si>
  <si>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</si>
  <si>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</si>
  <si>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</si>
  <si>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Blanks Count</t>
  </si>
  <si>
    <t>Referance Gauge</t>
  </si>
  <si>
    <t>Measure</t>
  </si>
  <si>
    <t>Old K</t>
  </si>
  <si>
    <t>New K</t>
  </si>
  <si>
    <t>Valid</t>
  </si>
  <si>
    <t>864 ug/cm2</t>
  </si>
  <si>
    <r>
      <rPr>
        <b/>
        <sz val="10"/>
        <color theme="0"/>
        <rFont val="Arial"/>
        <charset val="134"/>
      </rPr>
      <t>NO OF VALID CALIBRATION OF SO2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</si>
  <si>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 OF VALID CALIBRATION OF PM 10</t>
    </r>
    <r>
      <rPr>
        <b/>
        <sz val="10"/>
        <color indexed="9"/>
        <rFont val="Arial"/>
        <charset val="134"/>
      </rPr>
      <t xml:space="preserve"> ARE </t>
    </r>
  </si>
  <si>
    <t>NOX</t>
  </si>
  <si>
    <t>Nox</t>
  </si>
  <si>
    <t>789 ug/cm2</t>
  </si>
  <si>
    <r>
      <rPr>
        <b/>
        <sz val="10"/>
        <color theme="0"/>
        <rFont val="Arial"/>
        <charset val="134"/>
      </rPr>
      <t>NO OF VALID CALIBRATION OF PM 2.5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</si>
  <si>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NOX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</si>
  <si>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NH3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</si>
  <si>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CO</t>
    </r>
    <r>
      <rPr>
        <b/>
        <sz val="10"/>
        <color indexed="9"/>
        <rFont val="Arial"/>
        <charset val="134"/>
      </rPr>
      <t xml:space="preserve"> ARE </t>
    </r>
  </si>
  <si>
    <t>VOC</t>
  </si>
  <si>
    <r>
      <rPr>
        <b/>
        <sz val="10"/>
        <color theme="0"/>
        <rFont val="Arial"/>
        <charset val="134"/>
      </rPr>
      <t>No. OF VALID CALIBRATION OF VOC</t>
    </r>
    <r>
      <rPr>
        <b/>
        <sz val="10"/>
        <color indexed="9"/>
        <rFont val="Arial"/>
        <charset val="134"/>
      </rPr>
      <t xml:space="preserve"> ARE </t>
    </r>
  </si>
  <si>
    <t>O3</t>
  </si>
  <si>
    <r>
      <rPr>
        <b/>
        <sz val="10"/>
        <color theme="0"/>
        <rFont val="Arial"/>
        <charset val="134"/>
      </rPr>
      <t>NO OF VALID CALIBRATION OF O3</t>
    </r>
    <r>
      <rPr>
        <b/>
        <sz val="10"/>
        <color indexed="9"/>
        <rFont val="Arial"/>
        <charset val="134"/>
      </rPr>
      <t xml:space="preserve"> ARE </t>
    </r>
  </si>
  <si>
    <t>POWER OFF REPORT OF IGKV, RAIPUR</t>
  </si>
  <si>
    <t>Month of</t>
  </si>
  <si>
    <t>Start Date</t>
  </si>
  <si>
    <t>Stop Date</t>
  </si>
  <si>
    <t>Duration  (HH:MM)</t>
  </si>
  <si>
    <t>TOTAL</t>
  </si>
  <si>
    <t>MUX signal Report REPORT OF IGKV, RAIPUR MONTH OF</t>
  </si>
  <si>
    <t>MUX</t>
  </si>
  <si>
    <t>DATE</t>
  </si>
  <si>
    <t xml:space="preserve"> +24v</t>
  </si>
  <si>
    <t>5v</t>
  </si>
  <si>
    <t>4mv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</si>
  <si>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</si>
  <si>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</si>
  <si>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</si>
  <si>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</si>
  <si>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</si>
  <si>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</si>
  <si>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</si>
  <si>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</si>
  <si>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</si>
  <si>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</si>
  <si>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</si>
  <si>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</si>
  <si>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</si>
  <si>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</si>
  <si>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</si>
  <si>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</si>
  <si>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</si>
  <si>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</si>
  <si>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</si>
  <si>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</si>
  <si>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</si>
  <si>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</si>
  <si>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</si>
  <si>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</si>
  <si>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</si>
  <si>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</si>
  <si>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4v</t>
  </si>
  <si>
    <t>GND</t>
  </si>
  <si>
    <t>Int. T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</si>
  <si>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</si>
  <si>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</si>
  <si>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</si>
  <si>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</si>
  <si>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</si>
  <si>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</si>
  <si>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</si>
  <si>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</si>
  <si>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</si>
  <si>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</si>
  <si>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</si>
  <si>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</si>
  <si>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Cham. T</t>
  </si>
  <si>
    <t>2.5v Ref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</si>
  <si>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</si>
  <si>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</si>
  <si>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</si>
  <si>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</si>
  <si>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</si>
  <si>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</si>
  <si>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</si>
  <si>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</si>
  <si>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</si>
  <si>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</si>
  <si>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</si>
  <si>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</si>
  <si>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</si>
  <si>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</si>
  <si>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</si>
  <si>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</si>
  <si>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</si>
  <si>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</si>
  <si>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</si>
  <si>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</si>
  <si>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</si>
  <si>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>RPM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</si>
  <si>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</si>
  <si>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</si>
  <si>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</si>
  <si>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</si>
  <si>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</si>
  <si>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</si>
  <si>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</si>
  <si>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</si>
  <si>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</si>
  <si>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</si>
  <si>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Ref .ratio</t>
  </si>
  <si>
    <t xml:space="preserve"> Mean sig</t>
  </si>
  <si>
    <t xml:space="preserve"> Raw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</si>
  <si>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</si>
  <si>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</si>
  <si>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</si>
  <si>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</si>
  <si>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</si>
  <si>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Raw trend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</si>
  <si>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</si>
  <si>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</si>
  <si>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</si>
  <si>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</si>
  <si>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</si>
  <si>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</si>
  <si>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</si>
  <si>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</si>
  <si>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</si>
  <si>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</si>
  <si>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</si>
  <si>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</si>
  <si>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</si>
  <si>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</si>
  <si>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</si>
  <si>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</si>
  <si>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</si>
  <si>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</si>
  <si>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</si>
  <si>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</si>
  <si>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</si>
  <si>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</si>
  <si>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</si>
  <si>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</si>
  <si>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</si>
  <si>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</si>
  <si>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</si>
  <si>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</si>
  <si>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</si>
  <si>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</si>
  <si>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</si>
  <si>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</si>
  <si>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Cooling fan</t>
  </si>
  <si>
    <t>Temp.</t>
  </si>
  <si>
    <t xml:space="preserve">Mixing fan </t>
  </si>
  <si>
    <t>Carrier gaz</t>
  </si>
  <si>
    <t>Column pr.</t>
  </si>
  <si>
    <t>Supply pr.</t>
  </si>
  <si>
    <t>Hot box</t>
  </si>
  <si>
    <t>Vacuum pump</t>
  </si>
  <si>
    <t>Trap pr.</t>
  </si>
  <si>
    <t>Atmo. Pr.</t>
  </si>
  <si>
    <t>Purge value</t>
  </si>
  <si>
    <t>Pilot value</t>
  </si>
  <si>
    <t>Zero valve</t>
  </si>
  <si>
    <t>Span valve</t>
  </si>
  <si>
    <t>K.Karmakar</t>
  </si>
  <si>
    <t>01/03/2025 00:15</t>
  </si>
  <si>
    <t>01/03/2025 00:30</t>
  </si>
  <si>
    <t>01/03/2025 00:45</t>
  </si>
  <si>
    <t>01/03/2025 01:00</t>
  </si>
  <si>
    <t>01/03/2025 01:15</t>
  </si>
  <si>
    <t>01/03/2025 01:30</t>
  </si>
  <si>
    <t>01/03/2025 01:45</t>
  </si>
  <si>
    <t>01/03/2025 02:00</t>
  </si>
  <si>
    <t>01/03/2025 02:15</t>
  </si>
  <si>
    <t>01/03/2025 02:30</t>
  </si>
  <si>
    <t>01/03/2025 02:45</t>
  </si>
  <si>
    <t>01/03/2025 03:00</t>
  </si>
  <si>
    <t>01/03/2025 03:15</t>
  </si>
  <si>
    <t>01/03/2025 03:30</t>
  </si>
  <si>
    <t>01/03/2025 03:45</t>
  </si>
  <si>
    <t>01/03/2025 04:00</t>
  </si>
  <si>
    <t>01/03/2025 04:15</t>
  </si>
  <si>
    <t>01/03/2025 04:30</t>
  </si>
  <si>
    <t>01/03/2025 04:45</t>
  </si>
  <si>
    <t>01/03/2025 05:00</t>
  </si>
  <si>
    <t>01/03/2025 05:15</t>
  </si>
  <si>
    <t>01/03/2025 05:30</t>
  </si>
  <si>
    <t>01/03/2025 05:45</t>
  </si>
  <si>
    <t>01/03/2025 06:00</t>
  </si>
  <si>
    <t>01/03/2025 06:15</t>
  </si>
  <si>
    <t>01/03/2025 06:30</t>
  </si>
  <si>
    <t>01/03/2025 06:45</t>
  </si>
  <si>
    <t>01/03/2025 07:00</t>
  </si>
  <si>
    <t>01/03/2025 07:15</t>
  </si>
  <si>
    <t>01/03/2025 07:30</t>
  </si>
  <si>
    <t>01/03/2025 07:45</t>
  </si>
  <si>
    <t>01/03/2025 08:00</t>
  </si>
  <si>
    <t>01/03/2025 08:15</t>
  </si>
  <si>
    <t>01/03/2025 08:30</t>
  </si>
  <si>
    <t>01/03/2025 08:45</t>
  </si>
  <si>
    <t>01/03/2025 09:00</t>
  </si>
  <si>
    <t>01/03/2025 09:15</t>
  </si>
  <si>
    <t>01/03/2025 09:30</t>
  </si>
  <si>
    <t>01/03/2025 09:45</t>
  </si>
  <si>
    <t>01/03/2025 10:00</t>
  </si>
  <si>
    <t>01/03/2025 10:15</t>
  </si>
  <si>
    <t>01/03/2025 10:30</t>
  </si>
  <si>
    <t>01/03/2025 10:45</t>
  </si>
  <si>
    <t>01/03/2025 11:00</t>
  </si>
  <si>
    <t>01/03/2025 11:15</t>
  </si>
  <si>
    <t>01/03/2025 11:30</t>
  </si>
  <si>
    <t>01/03/2025 11:45</t>
  </si>
  <si>
    <t>01/03/2025 12:00</t>
  </si>
  <si>
    <t>01/03/2025 12:15</t>
  </si>
  <si>
    <t>01/03/2025 12:30</t>
  </si>
  <si>
    <t>01/03/2025 12:45</t>
  </si>
  <si>
    <t>01/03/2025 13:00</t>
  </si>
  <si>
    <t>01/03/2025 13:15</t>
  </si>
  <si>
    <t>01/03/2025 13:30</t>
  </si>
  <si>
    <t>01/03/2025 13:45</t>
  </si>
  <si>
    <t>01/03/2025 14:00</t>
  </si>
  <si>
    <t>01/03/2025 14:15</t>
  </si>
  <si>
    <t>01/03/2025 14:30</t>
  </si>
  <si>
    <t>01/03/2025 14:45</t>
  </si>
  <si>
    <t>01/03/2025 15:00</t>
  </si>
  <si>
    <t>01/03/2025 15:15</t>
  </si>
  <si>
    <t>01/03/2025 15:30</t>
  </si>
  <si>
    <t>01/03/2025 15:45</t>
  </si>
  <si>
    <t>01/03/2025 16:00</t>
  </si>
  <si>
    <t>01/03/2025 16:15</t>
  </si>
  <si>
    <t>01/03/2025 16:30</t>
  </si>
  <si>
    <t>01/03/2025 16:45</t>
  </si>
  <si>
    <t>01/03/2025 17:00</t>
  </si>
  <si>
    <t>01/03/2025 17:15</t>
  </si>
  <si>
    <t>01/03/2025 17:30</t>
  </si>
  <si>
    <t>01/03/2025 17:45</t>
  </si>
  <si>
    <t>01/03/2025 18:00</t>
  </si>
  <si>
    <t>01/03/2025 18:15</t>
  </si>
  <si>
    <t>01/03/2025 18:30</t>
  </si>
  <si>
    <t>01/03/2025 18:45</t>
  </si>
  <si>
    <t>01/03/2025 19:00</t>
  </si>
  <si>
    <t>01/03/2025 19:15</t>
  </si>
  <si>
    <t>01/03/2025 19:30</t>
  </si>
  <si>
    <t>01/03/2025 19:45</t>
  </si>
  <si>
    <t>01/03/2025 20:00</t>
  </si>
  <si>
    <t>01/03/2025 20:15</t>
  </si>
  <si>
    <t>01/03/2025 20:30</t>
  </si>
  <si>
    <t>01/03/2025 20:45</t>
  </si>
  <si>
    <t>01/03/2025 21:00</t>
  </si>
  <si>
    <t>01/03/2025 21:15</t>
  </si>
  <si>
    <t>01/03/2025 21:30</t>
  </si>
  <si>
    <t>01/03/2025 21:45</t>
  </si>
  <si>
    <t>01/03/2025 22:00</t>
  </si>
  <si>
    <t>01/03/2025 22:15</t>
  </si>
  <si>
    <t>01/03/2025 22:30</t>
  </si>
  <si>
    <t>01/03/2025 22:45</t>
  </si>
  <si>
    <t>01/03/2025 23:00</t>
  </si>
  <si>
    <t>01/03/2025 23:15</t>
  </si>
  <si>
    <t>01/03/2025 23:30</t>
  </si>
  <si>
    <t>01/03/2025 23:45</t>
  </si>
  <si>
    <t>01/03/2025 24:00</t>
  </si>
  <si>
    <t>02/03/2025 00:15</t>
  </si>
  <si>
    <t>02/03/2025 00:30</t>
  </si>
  <si>
    <t>02/03/2025 00:45</t>
  </si>
  <si>
    <t>02/03/2025 01:00</t>
  </si>
  <si>
    <t>02/03/2025 01:15</t>
  </si>
  <si>
    <t>02/03/2025 01:30</t>
  </si>
  <si>
    <t>02/03/2025 01:45</t>
  </si>
  <si>
    <t>02/03/2025 02:00</t>
  </si>
  <si>
    <t>02/03/2025 02:15</t>
  </si>
  <si>
    <t>02/03/2025 02:30</t>
  </si>
  <si>
    <t>02/03/2025 02:45</t>
  </si>
  <si>
    <t>02/03/2025 03:00</t>
  </si>
  <si>
    <t>02/03/2025 03:15</t>
  </si>
  <si>
    <t>02/03/2025 03:30</t>
  </si>
  <si>
    <t>02/03/2025 03:45</t>
  </si>
  <si>
    <t>02/03/2025 04:00</t>
  </si>
  <si>
    <t>02/03/2025 04:15</t>
  </si>
  <si>
    <t>02/03/2025 04:30</t>
  </si>
  <si>
    <t>02/03/2025 04:45</t>
  </si>
  <si>
    <t>02/03/2025 05:00</t>
  </si>
  <si>
    <t>02/03/2025 05:15</t>
  </si>
  <si>
    <t>02/03/2025 05:30</t>
  </si>
  <si>
    <t>02/03/2025 05:45</t>
  </si>
  <si>
    <t>02/03/2025 06:00</t>
  </si>
  <si>
    <t>02/03/2025 06:15</t>
  </si>
  <si>
    <t>02/03/2025 06:30</t>
  </si>
  <si>
    <t>02/03/2025 06:45</t>
  </si>
  <si>
    <t>02/03/2025 07:00</t>
  </si>
  <si>
    <t>02/03/2025 07:15</t>
  </si>
  <si>
    <t>02/03/2025 07:30</t>
  </si>
  <si>
    <t>02/03/2025 07:45</t>
  </si>
  <si>
    <t>02/03/2025 08:00</t>
  </si>
  <si>
    <t>02/03/2025 08:15</t>
  </si>
  <si>
    <t>02/03/2025 08:30</t>
  </si>
  <si>
    <t>02/03/2025 08:45</t>
  </si>
  <si>
    <t>02/03/2025 09:00</t>
  </si>
  <si>
    <t>02/03/2025 09:15</t>
  </si>
  <si>
    <t>02/03/2025 09:30</t>
  </si>
  <si>
    <t>02/03/2025 09:45</t>
  </si>
  <si>
    <t>02/03/2025 10:00</t>
  </si>
  <si>
    <t>02/03/2025 10:15</t>
  </si>
  <si>
    <t>02/03/2025 10:30</t>
  </si>
  <si>
    <t>02/03/2025 10:45</t>
  </si>
  <si>
    <t>02/03/2025 11:00</t>
  </si>
  <si>
    <t>02/03/2025 11:15</t>
  </si>
  <si>
    <t>02/03/2025 11:30</t>
  </si>
  <si>
    <t>02/03/2025 11:45</t>
  </si>
  <si>
    <t>02/03/2025 12:00</t>
  </si>
  <si>
    <t>02/03/2025 12:15</t>
  </si>
  <si>
    <t>02/03/2025 12:30</t>
  </si>
  <si>
    <t>02/03/2025 12:45</t>
  </si>
  <si>
    <t>02/03/2025 13:00</t>
  </si>
  <si>
    <t>02/03/2025 13:15</t>
  </si>
  <si>
    <t>02/03/2025 13:30</t>
  </si>
  <si>
    <t>02/03/2025 13:45</t>
  </si>
  <si>
    <t>02/03/2025 14:00</t>
  </si>
  <si>
    <t>02/03/2025 14:15</t>
  </si>
  <si>
    <t>02/03/2025 14:30</t>
  </si>
  <si>
    <t>02/03/2025 14:45</t>
  </si>
  <si>
    <t>02/03/2025 15:00</t>
  </si>
  <si>
    <t>02/03/2025 15:15</t>
  </si>
  <si>
    <t>02/03/2025 15:30</t>
  </si>
  <si>
    <t>02/03/2025 15:45</t>
  </si>
  <si>
    <t>02/03/2025 16:00</t>
  </si>
  <si>
    <t>02/03/2025 16:15</t>
  </si>
  <si>
    <t>02/03/2025 16:30</t>
  </si>
  <si>
    <t>02/03/2025 16:45</t>
  </si>
  <si>
    <t>02/03/2025 17:00</t>
  </si>
  <si>
    <t>02/03/2025 17:15</t>
  </si>
  <si>
    <t>02/03/2025 17:30</t>
  </si>
  <si>
    <t>02/03/2025 17:45</t>
  </si>
  <si>
    <t>02/03/2025 18:00</t>
  </si>
  <si>
    <t>02/03/2025 18:15</t>
  </si>
  <si>
    <t>02/03/2025 18:30</t>
  </si>
  <si>
    <t>02/03/2025 18:45</t>
  </si>
  <si>
    <t>02/03/2025 19:00</t>
  </si>
  <si>
    <t>02/03/2025 19:15</t>
  </si>
  <si>
    <t>02/03/2025 19:30</t>
  </si>
  <si>
    <t>02/03/2025 19:45</t>
  </si>
  <si>
    <t>02/03/2025 20:00</t>
  </si>
  <si>
    <t>02/03/2025 20:15</t>
  </si>
  <si>
    <t>02/03/2025 20:30</t>
  </si>
  <si>
    <t>02/03/2025 20:45</t>
  </si>
  <si>
    <t>02/03/2025 21:00</t>
  </si>
  <si>
    <t>02/03/2025 21:15</t>
  </si>
  <si>
    <t>02/03/2025 21:30</t>
  </si>
  <si>
    <t>02/03/2025 21:45</t>
  </si>
  <si>
    <t>02/03/2025 22:00</t>
  </si>
  <si>
    <t>02/03/2025 22:15</t>
  </si>
  <si>
    <t>02/03/2025 22:30</t>
  </si>
  <si>
    <t>02/03/2025 22:45</t>
  </si>
  <si>
    <t>02/03/2025 23:00</t>
  </si>
  <si>
    <t>02/03/2025 23:15</t>
  </si>
  <si>
    <t>02/03/2025 23:30</t>
  </si>
  <si>
    <t>02/03/2025 23:45</t>
  </si>
  <si>
    <t>02/03/2025 24:00</t>
  </si>
  <si>
    <t>03/03/2025 00:15</t>
  </si>
  <si>
    <t>03/03/2025 00:30</t>
  </si>
  <si>
    <t>03/03/2025 00:45</t>
  </si>
  <si>
    <t>03/03/2025 01:00</t>
  </si>
  <si>
    <t>03/03/2025 01:15</t>
  </si>
  <si>
    <t>03/03/2025 01:30</t>
  </si>
  <si>
    <t>03/03/2025 01:45</t>
  </si>
  <si>
    <t>03/03/2025 02:00</t>
  </si>
  <si>
    <t>03/03/2025 02:15</t>
  </si>
  <si>
    <t>03/03/2025 02:30</t>
  </si>
  <si>
    <t>03/03/2025 02:45</t>
  </si>
  <si>
    <t>03/03/2025 03:00</t>
  </si>
  <si>
    <t>03/03/2025 03:15</t>
  </si>
  <si>
    <t>03/03/2025 03:30</t>
  </si>
  <si>
    <t>03/03/2025 03:45</t>
  </si>
  <si>
    <t>03/03/2025 04:00</t>
  </si>
  <si>
    <t>03/03/2025 04:15</t>
  </si>
  <si>
    <t>03/03/2025 04:30</t>
  </si>
  <si>
    <t>03/03/2025 04:45</t>
  </si>
  <si>
    <t>03/03/2025 05:00</t>
  </si>
  <si>
    <t>03/03/2025 05:15</t>
  </si>
  <si>
    <t>03/03/2025 05:30</t>
  </si>
  <si>
    <t>03/03/2025 05:45</t>
  </si>
  <si>
    <t>03/03/2025 06:00</t>
  </si>
  <si>
    <t>03/03/2025 06:15</t>
  </si>
  <si>
    <t>03/03/2025 06:30</t>
  </si>
  <si>
    <t>03/03/2025 06:45</t>
  </si>
  <si>
    <t>03/03/2025 07:00</t>
  </si>
  <si>
    <t>03/03/2025 07:15</t>
  </si>
  <si>
    <t>03/03/2025 07:30</t>
  </si>
  <si>
    <t>03/03/2025 07:45</t>
  </si>
  <si>
    <t>03/03/2025 08:00</t>
  </si>
  <si>
    <t>03/03/2025 08:15</t>
  </si>
  <si>
    <t>03/03/2025 08:30</t>
  </si>
  <si>
    <t>03/03/2025 08:45</t>
  </si>
  <si>
    <t>03/03/2025 09:00</t>
  </si>
  <si>
    <t>03/03/2025 09:15</t>
  </si>
  <si>
    <t>03/03/2025 09:30</t>
  </si>
  <si>
    <t>03/03/2025 09:45</t>
  </si>
  <si>
    <t>03/03/2025 10:00</t>
  </si>
  <si>
    <t>03/03/2025 10:15</t>
  </si>
  <si>
    <t>03/03/2025 10:30</t>
  </si>
  <si>
    <t>03/03/2025 10:45</t>
  </si>
  <si>
    <t>03/03/2025 11:00</t>
  </si>
  <si>
    <t>03/03/2025 11:15</t>
  </si>
  <si>
    <t>03/03/2025 11:30</t>
  </si>
  <si>
    <t>03/03/2025 11:45</t>
  </si>
  <si>
    <t>03/03/2025 12:00</t>
  </si>
  <si>
    <t>03/03/2025 12:15</t>
  </si>
  <si>
    <t>03/03/2025 12:30</t>
  </si>
  <si>
    <t>03/03/2025 12:45</t>
  </si>
  <si>
    <t>03/03/2025 13:00</t>
  </si>
  <si>
    <t>03/03/2025 13:15</t>
  </si>
  <si>
    <t>03/03/2025 13:30</t>
  </si>
  <si>
    <t>03/03/2025 13:45</t>
  </si>
  <si>
    <t>03/03/2025 14:00</t>
  </si>
  <si>
    <t>03/03/2025 14:15</t>
  </si>
  <si>
    <t>03/03/2025 14:30</t>
  </si>
  <si>
    <t>03/03/2025 14:45</t>
  </si>
  <si>
    <t>03/03/2025 15:00</t>
  </si>
  <si>
    <t>03/03/2025 15:15</t>
  </si>
  <si>
    <t>03/03/2025 15:30</t>
  </si>
  <si>
    <t>03/03/2025 15:45</t>
  </si>
  <si>
    <t>03/03/2025 16:00</t>
  </si>
  <si>
    <t>03/03/2025 16:15</t>
  </si>
  <si>
    <t>03/03/2025 16:30</t>
  </si>
  <si>
    <t>03/03/2025 16:45</t>
  </si>
  <si>
    <t>03/03/2025 17:00</t>
  </si>
  <si>
    <t>03/03/2025 17:15</t>
  </si>
  <si>
    <t>03/03/2025 17:30</t>
  </si>
  <si>
    <t>03/03/2025 17:45</t>
  </si>
  <si>
    <t>03/03/2025 18:00</t>
  </si>
  <si>
    <t>03/03/2025 18:15</t>
  </si>
  <si>
    <t>03/03/2025 18:30</t>
  </si>
  <si>
    <t>03/03/2025 18:45</t>
  </si>
  <si>
    <t>03/03/2025 19:00</t>
  </si>
  <si>
    <t>03/03/2025 19:15</t>
  </si>
  <si>
    <t>03/03/2025 19:30</t>
  </si>
  <si>
    <t>03/03/2025 19:45</t>
  </si>
  <si>
    <t>03/03/2025 20:00</t>
  </si>
  <si>
    <t>03/03/2025 20:15</t>
  </si>
  <si>
    <t>03/03/2025 20:30</t>
  </si>
  <si>
    <t>03/03/2025 20:45</t>
  </si>
  <si>
    <t>03/03/2025 21:00</t>
  </si>
  <si>
    <t>03/03/2025 21:15</t>
  </si>
  <si>
    <t>03/03/2025 21:30</t>
  </si>
  <si>
    <t>03/03/2025 21:45</t>
  </si>
  <si>
    <t>03/03/2025 22:00</t>
  </si>
  <si>
    <t>03/03/2025 22:15</t>
  </si>
  <si>
    <t>03/03/2025 22:30</t>
  </si>
  <si>
    <t>03/03/2025 22:45</t>
  </si>
  <si>
    <t>03/03/2025 23:00</t>
  </si>
  <si>
    <t>03/03/2025 23:15</t>
  </si>
  <si>
    <t>03/03/2025 23:30</t>
  </si>
  <si>
    <t>03/03/2025 23:45</t>
  </si>
  <si>
    <t>03/03/2025 24:00</t>
  </si>
  <si>
    <t>04/03/2025 00:15</t>
  </si>
  <si>
    <t>04/03/2025 00:30</t>
  </si>
  <si>
    <t>04/03/2025 00:45</t>
  </si>
  <si>
    <t>04/03/2025 01:00</t>
  </si>
  <si>
    <t>04/03/2025 01:15</t>
  </si>
  <si>
    <t>04/03/2025 01:30</t>
  </si>
  <si>
    <t>04/03/2025 01:45</t>
  </si>
  <si>
    <t>04/03/2025 02:00</t>
  </si>
  <si>
    <t>04/03/2025 02:15</t>
  </si>
  <si>
    <t>04/03/2025 02:30</t>
  </si>
  <si>
    <t>04/03/2025 02:45</t>
  </si>
  <si>
    <t>04/03/2025 03:00</t>
  </si>
  <si>
    <t>04/03/2025 03:15</t>
  </si>
  <si>
    <t>04/03/2025 03:30</t>
  </si>
  <si>
    <t>04/03/2025 03:45</t>
  </si>
  <si>
    <t>04/03/2025 04:00</t>
  </si>
  <si>
    <t>04/03/2025 04:15</t>
  </si>
  <si>
    <t>04/03/2025 04:30</t>
  </si>
  <si>
    <t>04/03/2025 04:45</t>
  </si>
  <si>
    <t>04/03/2025 05:00</t>
  </si>
  <si>
    <t>04/03/2025 05:15</t>
  </si>
  <si>
    <t>04/03/2025 05:30</t>
  </si>
  <si>
    <t>04/03/2025 05:45</t>
  </si>
  <si>
    <t>04/03/2025 06:00</t>
  </si>
  <si>
    <t>04/03/2025 06:15</t>
  </si>
  <si>
    <t>04/03/2025 06:30</t>
  </si>
  <si>
    <t>04/03/2025 06:45</t>
  </si>
  <si>
    <t>04/03/2025 07:00</t>
  </si>
  <si>
    <t>04/03/2025 07:15</t>
  </si>
  <si>
    <t>04/03/2025 07:30</t>
  </si>
  <si>
    <t>04/03/2025 07:45</t>
  </si>
  <si>
    <t>04/03/2025 08:00</t>
  </si>
  <si>
    <t>04/03/2025 08:15</t>
  </si>
  <si>
    <t>04/03/2025 08:30</t>
  </si>
  <si>
    <t>04/03/2025 08:45</t>
  </si>
  <si>
    <t>04/03/2025 09:00</t>
  </si>
  <si>
    <t>04/03/2025 09:15</t>
  </si>
  <si>
    <t>04/03/2025 09:30</t>
  </si>
  <si>
    <t>04/03/2025 09:45</t>
  </si>
  <si>
    <t>04/03/2025 10:00</t>
  </si>
  <si>
    <t>04/03/2025 10:15</t>
  </si>
  <si>
    <t>04/03/2025 10:30</t>
  </si>
  <si>
    <t>04/03/2025 10:45</t>
  </si>
  <si>
    <t>04/03/2025 11:00</t>
  </si>
  <si>
    <t>04/03/2025 11:15</t>
  </si>
  <si>
    <t>04/03/2025 11:30</t>
  </si>
  <si>
    <t>04/03/2025 11:45</t>
  </si>
  <si>
    <t>04/03/2025 12:00</t>
  </si>
  <si>
    <t>04/03/2025 12:15</t>
  </si>
  <si>
    <t>04/03/2025 12:30</t>
  </si>
  <si>
    <t>04/03/2025 12:45</t>
  </si>
  <si>
    <t>04/03/2025 13:00</t>
  </si>
  <si>
    <t>04/03/2025 13:15</t>
  </si>
  <si>
    <t>04/03/2025 13:30</t>
  </si>
  <si>
    <t>04/03/2025 13:45</t>
  </si>
  <si>
    <t>04/03/2025 14:00</t>
  </si>
  <si>
    <t>04/03/2025 14:15</t>
  </si>
  <si>
    <t>04/03/2025 14:30</t>
  </si>
  <si>
    <t>04/03/2025 14:45</t>
  </si>
  <si>
    <t>04/03/2025 15:00</t>
  </si>
  <si>
    <t>04/03/2025 15:15</t>
  </si>
  <si>
    <t>04/03/2025 15:30</t>
  </si>
  <si>
    <t>04/03/2025 15:45</t>
  </si>
  <si>
    <t>04/03/2025 16:00</t>
  </si>
  <si>
    <t>04/03/2025 16:15</t>
  </si>
  <si>
    <t>04/03/2025 16:30</t>
  </si>
  <si>
    <t>04/03/2025 16:45</t>
  </si>
  <si>
    <t>04/03/2025 17:00</t>
  </si>
  <si>
    <t>04/03/2025 17:15</t>
  </si>
  <si>
    <t>04/03/2025 17:30</t>
  </si>
  <si>
    <t>04/03/2025 17:45</t>
  </si>
  <si>
    <t>04/03/2025 18:00</t>
  </si>
  <si>
    <t>04/03/2025 18:15</t>
  </si>
  <si>
    <t>04/03/2025 18:30</t>
  </si>
  <si>
    <t>04/03/2025 18:45</t>
  </si>
  <si>
    <t>04/03/2025 19:00</t>
  </si>
  <si>
    <t>04/03/2025 19:15</t>
  </si>
  <si>
    <t>04/03/2025 19:30</t>
  </si>
  <si>
    <t>04/03/2025 19:45</t>
  </si>
  <si>
    <t>04/03/2025 20:00</t>
  </si>
  <si>
    <t>04/03/2025 20:15</t>
  </si>
  <si>
    <t>04/03/2025 20:30</t>
  </si>
  <si>
    <t>04/03/2025 20:45</t>
  </si>
  <si>
    <t>04/03/2025 21:00</t>
  </si>
  <si>
    <t>04/03/2025 21:15</t>
  </si>
  <si>
    <t>04/03/2025 21:30</t>
  </si>
  <si>
    <t>04/03/2025 21:45</t>
  </si>
  <si>
    <t>04/03/2025 22:00</t>
  </si>
  <si>
    <t>04/03/2025 22:15</t>
  </si>
  <si>
    <t>04/03/2025 22:30</t>
  </si>
  <si>
    <t>04/03/2025 22:45</t>
  </si>
  <si>
    <t>04/03/2025 23:00</t>
  </si>
  <si>
    <t>04/03/2025 23:15</t>
  </si>
  <si>
    <t>04/03/2025 23:30</t>
  </si>
  <si>
    <t>04/03/2025 23:45</t>
  </si>
  <si>
    <t>04/03/2025 24:00</t>
  </si>
  <si>
    <t>05/03/2025 00:15</t>
  </si>
  <si>
    <t>05/03/2025 00:30</t>
  </si>
  <si>
    <t>05/03/2025 00:45</t>
  </si>
  <si>
    <t>05/03/2025 01:00</t>
  </si>
  <si>
    <t>05/03/2025 01:15</t>
  </si>
  <si>
    <t>05/03/2025 01:30</t>
  </si>
  <si>
    <t>05/03/2025 01:45</t>
  </si>
  <si>
    <t>05/03/2025 02:00</t>
  </si>
  <si>
    <t>05/03/2025 02:15</t>
  </si>
  <si>
    <t>05/03/2025 02:30</t>
  </si>
  <si>
    <t>05/03/2025 02:45</t>
  </si>
  <si>
    <t>05/03/2025 03:00</t>
  </si>
  <si>
    <t>05/03/2025 03:15</t>
  </si>
  <si>
    <t>05/03/2025 03:30</t>
  </si>
  <si>
    <t>05/03/2025 03:45</t>
  </si>
  <si>
    <t>05/03/2025 04:00</t>
  </si>
  <si>
    <t>05/03/2025 04:15</t>
  </si>
  <si>
    <t>05/03/2025 04:30</t>
  </si>
  <si>
    <t>05/03/2025 04:45</t>
  </si>
  <si>
    <t>05/03/2025 05:00</t>
  </si>
  <si>
    <t>05/03/2025 05:15</t>
  </si>
  <si>
    <t>05/03/2025 05:30</t>
  </si>
  <si>
    <t>05/03/2025 05:45</t>
  </si>
  <si>
    <t>05/03/2025 06:00</t>
  </si>
  <si>
    <t>05/03/2025 06:15</t>
  </si>
  <si>
    <t>05/03/2025 06:30</t>
  </si>
  <si>
    <t>05/03/2025 06:45</t>
  </si>
  <si>
    <t>05/03/2025 07:00</t>
  </si>
  <si>
    <t>05/03/2025 07:15</t>
  </si>
  <si>
    <t>05/03/2025 07:30</t>
  </si>
  <si>
    <t>05/03/2025 07:45</t>
  </si>
  <si>
    <t>05/03/2025 08:00</t>
  </si>
  <si>
    <t>05/03/2025 08:15</t>
  </si>
  <si>
    <t>05/03/2025 08:30</t>
  </si>
  <si>
    <t>05/03/2025 08:45</t>
  </si>
  <si>
    <t>05/03/2025 09:00</t>
  </si>
  <si>
    <t>05/03/2025 09:15</t>
  </si>
  <si>
    <t>05/03/2025 09:30</t>
  </si>
  <si>
    <t>05/03/2025 09:45</t>
  </si>
  <si>
    <t>05/03/2025 10:00</t>
  </si>
  <si>
    <t>05/03/2025 10:15</t>
  </si>
  <si>
    <t>05/03/2025 10:30</t>
  </si>
  <si>
    <t>05/03/2025 10:45</t>
  </si>
  <si>
    <t>05/03/2025 11:00</t>
  </si>
  <si>
    <t>05/03/2025 11:15</t>
  </si>
  <si>
    <t>05/03/2025 11:30</t>
  </si>
  <si>
    <t>05/03/2025 11:45</t>
  </si>
  <si>
    <t>05/03/2025 12:00</t>
  </si>
  <si>
    <t>05/03/2025 12:15</t>
  </si>
  <si>
    <t>05/03/2025 12:30</t>
  </si>
  <si>
    <t>05/03/2025 12:45</t>
  </si>
  <si>
    <t>05/03/2025 13:00</t>
  </si>
  <si>
    <t>05/03/2025 13:15</t>
  </si>
  <si>
    <t>05/03/2025 13:30</t>
  </si>
  <si>
    <t>05/03/2025 13:45</t>
  </si>
  <si>
    <t>05/03/2025 14:00</t>
  </si>
  <si>
    <t>05/03/2025 14:15</t>
  </si>
  <si>
    <t>05/03/2025 14:30</t>
  </si>
  <si>
    <t>05/03/2025 14:45</t>
  </si>
  <si>
    <t>05/03/2025 15:00</t>
  </si>
  <si>
    <t>05/03/2025 15:15</t>
  </si>
  <si>
    <t>05/03/2025 15:30</t>
  </si>
  <si>
    <t>05/03/2025 15:45</t>
  </si>
  <si>
    <t>05/03/2025 16:00</t>
  </si>
  <si>
    <t>05/03/2025 16:15</t>
  </si>
  <si>
    <t>05/03/2025 16:30</t>
  </si>
  <si>
    <t>05/03/2025 16:45</t>
  </si>
  <si>
    <t>05/03/2025 17:00</t>
  </si>
  <si>
    <t>05/03/2025 17:15</t>
  </si>
  <si>
    <t>05/03/2025 17:30</t>
  </si>
  <si>
    <t>05/03/2025 17:45</t>
  </si>
  <si>
    <t>05/03/2025 18:00</t>
  </si>
  <si>
    <t>05/03/2025 18:15</t>
  </si>
  <si>
    <t>05/03/2025 18:30</t>
  </si>
  <si>
    <t>05/03/2025 18:45</t>
  </si>
  <si>
    <t>05/03/2025 19:00</t>
  </si>
  <si>
    <t>05/03/2025 19:15</t>
  </si>
  <si>
    <t>05/03/2025 19:30</t>
  </si>
  <si>
    <t>05/03/2025 19:45</t>
  </si>
  <si>
    <t>05/03/2025 20:00</t>
  </si>
  <si>
    <t>05/03/2025 20:15</t>
  </si>
  <si>
    <t>05/03/2025 20:30</t>
  </si>
  <si>
    <t>05/03/2025 20:45</t>
  </si>
  <si>
    <t>05/03/2025 21:00</t>
  </si>
  <si>
    <t>05/03/2025 21:15</t>
  </si>
  <si>
    <t>05/03/2025 21:30</t>
  </si>
  <si>
    <t>05/03/2025 21:45</t>
  </si>
  <si>
    <t>05/03/2025 22:00</t>
  </si>
  <si>
    <t>05/03/2025 22:15</t>
  </si>
  <si>
    <t>05/03/2025 22:30</t>
  </si>
  <si>
    <t>05/03/2025 22:45</t>
  </si>
  <si>
    <t>05/03/2025 23:00</t>
  </si>
  <si>
    <t>05/03/2025 23:15</t>
  </si>
  <si>
    <t>05/03/2025 23:30</t>
  </si>
  <si>
    <t>05/03/2025 23:45</t>
  </si>
  <si>
    <t>05/03/2025 24:00</t>
  </si>
  <si>
    <t>06/03/2025 00:15</t>
  </si>
  <si>
    <t>06/03/2025 00:30</t>
  </si>
  <si>
    <t>06/03/2025 00:45</t>
  </si>
  <si>
    <t>06/03/2025 01:00</t>
  </si>
  <si>
    <t>06/03/2025 01:15</t>
  </si>
  <si>
    <t>06/03/2025 01:30</t>
  </si>
  <si>
    <t>06/03/2025 01:45</t>
  </si>
  <si>
    <t>06/03/2025 02:00</t>
  </si>
  <si>
    <t>06/03/2025 02:15</t>
  </si>
  <si>
    <t>06/03/2025 02:30</t>
  </si>
  <si>
    <t>06/03/2025 02:45</t>
  </si>
  <si>
    <t>06/03/2025 03:00</t>
  </si>
  <si>
    <t>06/03/2025 03:15</t>
  </si>
  <si>
    <t>06/03/2025 03:30</t>
  </si>
  <si>
    <t>06/03/2025 03:45</t>
  </si>
  <si>
    <t>06/03/2025 04:00</t>
  </si>
  <si>
    <t>06/03/2025 04:15</t>
  </si>
  <si>
    <t>06/03/2025 04:30</t>
  </si>
  <si>
    <t>06/03/2025 04:45</t>
  </si>
  <si>
    <t>06/03/2025 05:00</t>
  </si>
  <si>
    <t>06/03/2025 05:15</t>
  </si>
  <si>
    <t>06/03/2025 05:30</t>
  </si>
  <si>
    <t>06/03/2025 05:45</t>
  </si>
  <si>
    <t>06/03/2025 06:00</t>
  </si>
  <si>
    <t>06/03/2025 06:15</t>
  </si>
  <si>
    <t>06/03/2025 06:30</t>
  </si>
  <si>
    <t>06/03/2025 06:45</t>
  </si>
  <si>
    <t>06/03/2025 07:00</t>
  </si>
  <si>
    <t>06/03/2025 07:15</t>
  </si>
  <si>
    <t>06/03/2025 07:30</t>
  </si>
  <si>
    <t>06/03/2025 07:45</t>
  </si>
  <si>
    <t>06/03/2025 08:00</t>
  </si>
  <si>
    <t>06/03/2025 08:15</t>
  </si>
  <si>
    <t>06/03/2025 08:30</t>
  </si>
  <si>
    <t>06/03/2025 08:45</t>
  </si>
  <si>
    <t>06/03/2025 09:00</t>
  </si>
  <si>
    <t>06/03/2025 09:15</t>
  </si>
  <si>
    <t>06/03/2025 09:30</t>
  </si>
  <si>
    <t>06/03/2025 09:45</t>
  </si>
  <si>
    <t>06/03/2025 10:00</t>
  </si>
  <si>
    <t>06/03/2025 10:15</t>
  </si>
  <si>
    <t>06/03/2025 10:30</t>
  </si>
  <si>
    <t>06/03/2025 10:45</t>
  </si>
  <si>
    <t>06/03/2025 11:00</t>
  </si>
  <si>
    <t>06/03/2025 11:15</t>
  </si>
  <si>
    <t>06/03/2025 11:30</t>
  </si>
  <si>
    <t>06/03/2025 11:45</t>
  </si>
  <si>
    <t>06/03/2025 12:00</t>
  </si>
  <si>
    <t>06/03/2025 12:15</t>
  </si>
  <si>
    <t>06/03/2025 12:30</t>
  </si>
  <si>
    <t>06/03/2025 12:45</t>
  </si>
  <si>
    <t>06/03/2025 13:00</t>
  </si>
  <si>
    <t>06/03/2025 13:15</t>
  </si>
  <si>
    <t>06/03/2025 13:30</t>
  </si>
  <si>
    <t>06/03/2025 13:45</t>
  </si>
  <si>
    <t>06/03/2025 14:00</t>
  </si>
  <si>
    <t>06/03/2025 14:15</t>
  </si>
  <si>
    <t>06/03/2025 14:30</t>
  </si>
  <si>
    <t>06/03/2025 14:45</t>
  </si>
  <si>
    <t>06/03/2025 15:00</t>
  </si>
  <si>
    <t>06/03/2025 15:15</t>
  </si>
  <si>
    <t>06/03/2025 15:30</t>
  </si>
  <si>
    <t>06/03/2025 15:45</t>
  </si>
  <si>
    <t>06/03/2025 16:00</t>
  </si>
  <si>
    <t>06/03/2025 16:15</t>
  </si>
  <si>
    <t>06/03/2025 16:30</t>
  </si>
  <si>
    <t>06/03/2025 16:45</t>
  </si>
  <si>
    <t>06/03/2025 17:00</t>
  </si>
  <si>
    <t>06/03/2025 17:15</t>
  </si>
  <si>
    <t>06/03/2025 17:30</t>
  </si>
  <si>
    <t>06/03/2025 17:45</t>
  </si>
  <si>
    <t>06/03/2025 18:00</t>
  </si>
  <si>
    <t>06/03/2025 18:15</t>
  </si>
  <si>
    <t>06/03/2025 18:30</t>
  </si>
  <si>
    <t>06/03/2025 18:45</t>
  </si>
  <si>
    <t>06/03/2025 19:00</t>
  </si>
  <si>
    <t>06/03/2025 19:15</t>
  </si>
  <si>
    <t>06/03/2025 19:30</t>
  </si>
  <si>
    <t>06/03/2025 19:45</t>
  </si>
  <si>
    <t>06/03/2025 20:00</t>
  </si>
  <si>
    <t>06/03/2025 20:15</t>
  </si>
  <si>
    <t>06/03/2025 20:30</t>
  </si>
  <si>
    <t>06/03/2025 20:45</t>
  </si>
  <si>
    <t>06/03/2025 21:00</t>
  </si>
  <si>
    <t>06/03/2025 21:15</t>
  </si>
  <si>
    <t>06/03/2025 21:30</t>
  </si>
  <si>
    <t>06/03/2025 21:45</t>
  </si>
  <si>
    <t>06/03/2025 22:00</t>
  </si>
  <si>
    <t>06/03/2025 22:15</t>
  </si>
  <si>
    <t>06/03/2025 22:30</t>
  </si>
  <si>
    <t>06/03/2025 22:45</t>
  </si>
  <si>
    <t>06/03/2025 23:00</t>
  </si>
  <si>
    <t>06/03/2025 23:15</t>
  </si>
  <si>
    <t>06/03/2025 23:30</t>
  </si>
  <si>
    <t>06/03/2025 23:45</t>
  </si>
  <si>
    <t>06/03/2025 24:00</t>
  </si>
  <si>
    <t>07/03/2025 00:15</t>
  </si>
  <si>
    <t>07/03/2025 00:30</t>
  </si>
  <si>
    <t>07/03/2025 00:45</t>
  </si>
  <si>
    <t>07/03/2025 01:00</t>
  </si>
  <si>
    <t>07/03/2025 01:15</t>
  </si>
  <si>
    <t>07/03/2025 01:30</t>
  </si>
  <si>
    <t>07/03/2025 01:45</t>
  </si>
  <si>
    <t>07/03/2025 02:00</t>
  </si>
  <si>
    <t>07/03/2025 02:15</t>
  </si>
  <si>
    <t>07/03/2025 02:30</t>
  </si>
  <si>
    <t>07/03/2025 02:45</t>
  </si>
  <si>
    <t>07/03/2025 03:00</t>
  </si>
  <si>
    <t>07/03/2025 03:15</t>
  </si>
  <si>
    <t>07/03/2025 03:30</t>
  </si>
  <si>
    <t>07/03/2025 03:45</t>
  </si>
  <si>
    <t>07/03/2025 04:00</t>
  </si>
  <si>
    <t>07/03/2025 04:15</t>
  </si>
  <si>
    <t>07/03/2025 04:30</t>
  </si>
  <si>
    <t>07/03/2025 04:45</t>
  </si>
  <si>
    <t>07/03/2025 05:00</t>
  </si>
  <si>
    <t>07/03/2025 05:15</t>
  </si>
  <si>
    <t>07/03/2025 05:30</t>
  </si>
  <si>
    <t>07/03/2025 05:45</t>
  </si>
  <si>
    <t>07/03/2025 06:00</t>
  </si>
  <si>
    <t>07/03/2025 06:15</t>
  </si>
  <si>
    <t>07/03/2025 06:30</t>
  </si>
  <si>
    <t>07/03/2025 06:45</t>
  </si>
  <si>
    <t>07/03/2025 07:00</t>
  </si>
  <si>
    <t>07/03/2025 07:15</t>
  </si>
  <si>
    <t>07/03/2025 07:30</t>
  </si>
  <si>
    <t>07/03/2025 07:45</t>
  </si>
  <si>
    <t>07/03/2025 08:00</t>
  </si>
  <si>
    <t>07/03/2025 08:15</t>
  </si>
  <si>
    <t>07/03/2025 08:30</t>
  </si>
  <si>
    <t>07/03/2025 08:45</t>
  </si>
  <si>
    <t>07/03/2025 09:00</t>
  </si>
  <si>
    <t>07/03/2025 09:15</t>
  </si>
  <si>
    <t>07/03/2025 09:30</t>
  </si>
  <si>
    <t>07/03/2025 09:45</t>
  </si>
  <si>
    <t>07/03/2025 10:00</t>
  </si>
  <si>
    <t>07/03/2025 10:15</t>
  </si>
  <si>
    <t>07/03/2025 10:30</t>
  </si>
  <si>
    <t>07/03/2025 10:45</t>
  </si>
  <si>
    <t>07/03/2025 11:00</t>
  </si>
  <si>
    <t>07/03/2025 11:15</t>
  </si>
  <si>
    <t>07/03/2025 11:30</t>
  </si>
  <si>
    <t>07/03/2025 11:45</t>
  </si>
  <si>
    <t>07/03/2025 12:00</t>
  </si>
  <si>
    <t>07/03/2025 12:15</t>
  </si>
  <si>
    <t>07/03/2025 12:30</t>
  </si>
  <si>
    <t>07/03/2025 12:45</t>
  </si>
  <si>
    <t>07/03/2025 13:00</t>
  </si>
  <si>
    <t>07/03/2025 13:15</t>
  </si>
  <si>
    <t>07/03/2025 13:30</t>
  </si>
  <si>
    <t>07/03/2025 13:45</t>
  </si>
  <si>
    <t>07/03/2025 14:00</t>
  </si>
  <si>
    <t>07/03/2025 14:15</t>
  </si>
  <si>
    <t>07/03/2025 14:30</t>
  </si>
  <si>
    <t>07/03/2025 14:45</t>
  </si>
  <si>
    <t>07/03/2025 15:00</t>
  </si>
  <si>
    <t>07/03/2025 15:15</t>
  </si>
  <si>
    <t>07/03/2025 15:30</t>
  </si>
  <si>
    <t>07/03/2025 15:45</t>
  </si>
  <si>
    <t>07/03/2025 16:00</t>
  </si>
  <si>
    <t>07/03/2025 16:15</t>
  </si>
  <si>
    <t>07/03/2025 16:30</t>
  </si>
  <si>
    <t>07/03/2025 16:45</t>
  </si>
  <si>
    <t>07/03/2025 17:00</t>
  </si>
  <si>
    <t>07/03/2025 17:15</t>
  </si>
  <si>
    <t>07/03/2025 17:30</t>
  </si>
  <si>
    <t>07/03/2025 17:45</t>
  </si>
  <si>
    <t>07/03/2025 18:00</t>
  </si>
  <si>
    <t>07/03/2025 18:15</t>
  </si>
  <si>
    <t>07/03/2025 18:30</t>
  </si>
  <si>
    <t>07/03/2025 18:45</t>
  </si>
  <si>
    <t>07/03/2025 19:00</t>
  </si>
  <si>
    <t>07/03/2025 19:15</t>
  </si>
  <si>
    <t>07/03/2025 19:30</t>
  </si>
  <si>
    <t>07/03/2025 19:45</t>
  </si>
  <si>
    <t>07/03/2025 20:00</t>
  </si>
  <si>
    <t>07/03/2025 20:15</t>
  </si>
  <si>
    <t>07/03/2025 20:30</t>
  </si>
  <si>
    <t>07/03/2025 20:45</t>
  </si>
  <si>
    <t>07/03/2025 21:00</t>
  </si>
  <si>
    <t>07/03/2025 21:15</t>
  </si>
  <si>
    <t>07/03/2025 21:30</t>
  </si>
  <si>
    <t>07/03/2025 21:45</t>
  </si>
  <si>
    <t>07/03/2025 22:00</t>
  </si>
  <si>
    <t>07/03/2025 22:15</t>
  </si>
  <si>
    <t>07/03/2025 22:30</t>
  </si>
  <si>
    <t>07/03/2025 22:45</t>
  </si>
  <si>
    <t>07/03/2025 23:00</t>
  </si>
  <si>
    <t>07/03/2025 23:15</t>
  </si>
  <si>
    <t>07/03/2025 23:30</t>
  </si>
  <si>
    <t>07/03/2025 23:45</t>
  </si>
  <si>
    <t>07/03/2025 24:00</t>
  </si>
  <si>
    <t>08/03/2025 00:15</t>
  </si>
  <si>
    <t>08/03/2025 00:30</t>
  </si>
  <si>
    <t>08/03/2025 00:45</t>
  </si>
  <si>
    <t>08/03/2025 01:00</t>
  </si>
  <si>
    <t>08/03/2025 01:15</t>
  </si>
  <si>
    <t>08/03/2025 01:30</t>
  </si>
  <si>
    <t>08/03/2025 01:45</t>
  </si>
  <si>
    <t>08/03/2025 02:00</t>
  </si>
  <si>
    <t>08/03/2025 02:15</t>
  </si>
  <si>
    <t>08/03/2025 02:30</t>
  </si>
  <si>
    <t>08/03/2025 02:45</t>
  </si>
  <si>
    <t>08/03/2025 03:00</t>
  </si>
  <si>
    <t>08/03/2025 03:15</t>
  </si>
  <si>
    <t>08/03/2025 03:30</t>
  </si>
  <si>
    <t>08/03/2025 03:45</t>
  </si>
  <si>
    <t>08/03/2025 04:00</t>
  </si>
  <si>
    <t>08/03/2025 04:15</t>
  </si>
  <si>
    <t>08/03/2025 04:30</t>
  </si>
  <si>
    <t>08/03/2025 04:45</t>
  </si>
  <si>
    <t>08/03/2025 05:00</t>
  </si>
  <si>
    <t>08/03/2025 05:15</t>
  </si>
  <si>
    <t>08/03/2025 05:30</t>
  </si>
  <si>
    <t>08/03/2025 05:45</t>
  </si>
  <si>
    <t>08/03/2025 06:00</t>
  </si>
  <si>
    <t>08/03/2025 06:15</t>
  </si>
  <si>
    <t>08/03/2025 06:30</t>
  </si>
  <si>
    <t>08/03/2025 06:45</t>
  </si>
  <si>
    <t>08/03/2025 07:00</t>
  </si>
  <si>
    <t>08/03/2025 07:15</t>
  </si>
  <si>
    <t>08/03/2025 07:30</t>
  </si>
  <si>
    <t>08/03/2025 07:45</t>
  </si>
  <si>
    <t>08/03/2025 08:00</t>
  </si>
  <si>
    <t>08/03/2025 08:15</t>
  </si>
  <si>
    <t>08/03/2025 08:30</t>
  </si>
  <si>
    <t>08/03/2025 08:45</t>
  </si>
  <si>
    <t>08/03/2025 09:00</t>
  </si>
  <si>
    <t>08/03/2025 09:15</t>
  </si>
  <si>
    <t>08/03/2025 09:30</t>
  </si>
  <si>
    <t>08/03/2025 09:45</t>
  </si>
  <si>
    <t>08/03/2025 10:00</t>
  </si>
  <si>
    <t>08/03/2025 10:15</t>
  </si>
  <si>
    <t>08/03/2025 10:30</t>
  </si>
  <si>
    <t>08/03/2025 10:45</t>
  </si>
  <si>
    <t>08/03/2025 11:00</t>
  </si>
  <si>
    <t>08/03/2025 11:15</t>
  </si>
  <si>
    <t>08/03/2025 11:30</t>
  </si>
  <si>
    <t>08/03/2025 11:45</t>
  </si>
  <si>
    <t>08/03/2025 12:00</t>
  </si>
  <si>
    <t>08/03/2025 12:15</t>
  </si>
  <si>
    <t>08/03/2025 12:30</t>
  </si>
  <si>
    <t>08/03/2025 12:45</t>
  </si>
  <si>
    <t>08/03/2025 13:00</t>
  </si>
  <si>
    <t>08/03/2025 13:15</t>
  </si>
  <si>
    <t>08/03/2025 13:30</t>
  </si>
  <si>
    <t>08/03/2025 13:45</t>
  </si>
  <si>
    <t>08/03/2025 14:00</t>
  </si>
  <si>
    <t>08/03/2025 14:15</t>
  </si>
  <si>
    <t>08/03/2025 14:30</t>
  </si>
  <si>
    <t>08/03/2025 14:45</t>
  </si>
  <si>
    <t>08/03/2025 15:00</t>
  </si>
  <si>
    <t>08/03/2025 15:15</t>
  </si>
  <si>
    <t>08/03/2025 15:30</t>
  </si>
  <si>
    <t>08/03/2025 15:45</t>
  </si>
  <si>
    <t>08/03/2025 16:00</t>
  </si>
  <si>
    <t>08/03/2025 16:15</t>
  </si>
  <si>
    <t>08/03/2025 16:30</t>
  </si>
  <si>
    <t>08/03/2025 16:45</t>
  </si>
  <si>
    <t>08/03/2025 17:00</t>
  </si>
  <si>
    <t>08/03/2025 17:15</t>
  </si>
  <si>
    <t>08/03/2025 17:30</t>
  </si>
  <si>
    <t>08/03/2025 17:45</t>
  </si>
  <si>
    <t>08/03/2025 18:00</t>
  </si>
  <si>
    <t>08/03/2025 18:15</t>
  </si>
  <si>
    <t>08/03/2025 18:30</t>
  </si>
  <si>
    <t>08/03/2025 18:45</t>
  </si>
  <si>
    <t>08/03/2025 19:00</t>
  </si>
  <si>
    <t>08/03/2025 19:15</t>
  </si>
  <si>
    <t>08/03/2025 19:30</t>
  </si>
  <si>
    <t>08/03/2025 19:45</t>
  </si>
  <si>
    <t>08/03/2025 20:00</t>
  </si>
  <si>
    <t>08/03/2025 20:15</t>
  </si>
  <si>
    <t>08/03/2025 20:30</t>
  </si>
  <si>
    <t>08/03/2025 20:45</t>
  </si>
  <si>
    <t>08/03/2025 21:00</t>
  </si>
  <si>
    <t>08/03/2025 21:15</t>
  </si>
  <si>
    <t>08/03/2025 21:30</t>
  </si>
  <si>
    <t>08/03/2025 21:45</t>
  </si>
  <si>
    <t>08/03/2025 22:00</t>
  </si>
  <si>
    <t>08/03/2025 22:15</t>
  </si>
  <si>
    <t>08/03/2025 22:30</t>
  </si>
  <si>
    <t>08/03/2025 22:45</t>
  </si>
  <si>
    <t>08/03/2025 23:00</t>
  </si>
  <si>
    <t>08/03/2025 23:15</t>
  </si>
  <si>
    <t>08/03/2025 23:30</t>
  </si>
  <si>
    <t>08/03/2025 23:45</t>
  </si>
  <si>
    <t>08/03/2025 24:00</t>
  </si>
  <si>
    <t>09/03/2025 00:15</t>
  </si>
  <si>
    <t>09/03/2025 00:30</t>
  </si>
  <si>
    <t>09/03/2025 00:45</t>
  </si>
  <si>
    <t>09/03/2025 01:00</t>
  </si>
  <si>
    <t>09/03/2025 01:15</t>
  </si>
  <si>
    <t>09/03/2025 01:30</t>
  </si>
  <si>
    <t>09/03/2025 01:45</t>
  </si>
  <si>
    <t>09/03/2025 02:00</t>
  </si>
  <si>
    <t>09/03/2025 02:15</t>
  </si>
  <si>
    <t>09/03/2025 02:30</t>
  </si>
  <si>
    <t>09/03/2025 02:45</t>
  </si>
  <si>
    <t>09/03/2025 03:00</t>
  </si>
  <si>
    <t>09/03/2025 03:15</t>
  </si>
  <si>
    <t>09/03/2025 03:30</t>
  </si>
  <si>
    <t>09/03/2025 03:45</t>
  </si>
  <si>
    <t>09/03/2025 04:00</t>
  </si>
  <si>
    <t>09/03/2025 04:15</t>
  </si>
  <si>
    <t>09/03/2025 04:30</t>
  </si>
  <si>
    <t>09/03/2025 04:45</t>
  </si>
  <si>
    <t>09/03/2025 05:00</t>
  </si>
  <si>
    <t>09/03/2025 05:15</t>
  </si>
  <si>
    <t>09/03/2025 05:30</t>
  </si>
  <si>
    <t>09/03/2025 05:45</t>
  </si>
  <si>
    <t>09/03/2025 06:00</t>
  </si>
  <si>
    <t>09/03/2025 06:15</t>
  </si>
  <si>
    <t>09/03/2025 06:30</t>
  </si>
  <si>
    <t>09/03/2025 06:45</t>
  </si>
  <si>
    <t>09/03/2025 07:00</t>
  </si>
  <si>
    <t>09/03/2025 07:15</t>
  </si>
  <si>
    <t>09/03/2025 07:30</t>
  </si>
  <si>
    <t>09/03/2025 07:45</t>
  </si>
  <si>
    <t>09/03/2025 08:00</t>
  </si>
  <si>
    <t>09/03/2025 08:15</t>
  </si>
  <si>
    <t>09/03/2025 08:30</t>
  </si>
  <si>
    <t>09/03/2025 08:45</t>
  </si>
  <si>
    <t>09/03/2025 09:00</t>
  </si>
  <si>
    <t>09/03/2025 09:15</t>
  </si>
  <si>
    <t>09/03/2025 09:30</t>
  </si>
  <si>
    <t>09/03/2025 09:45</t>
  </si>
  <si>
    <t>09/03/2025 10:00</t>
  </si>
  <si>
    <t>09/03/2025 10:15</t>
  </si>
  <si>
    <t>09/03/2025 10:30</t>
  </si>
  <si>
    <t>09/03/2025 10:45</t>
  </si>
  <si>
    <t>09/03/2025 11:00</t>
  </si>
  <si>
    <t>09/03/2025 11:15</t>
  </si>
  <si>
    <t>09/03/2025 11:30</t>
  </si>
  <si>
    <t>09/03/2025 11:45</t>
  </si>
  <si>
    <t>09/03/2025 12:00</t>
  </si>
  <si>
    <t>09/03/2025 12:15</t>
  </si>
  <si>
    <t>09/03/2025 12:30</t>
  </si>
  <si>
    <t>09/03/2025 12:45</t>
  </si>
  <si>
    <t>09/03/2025 13:00</t>
  </si>
  <si>
    <t>09/03/2025 13:15</t>
  </si>
  <si>
    <t>09/03/2025 13:30</t>
  </si>
  <si>
    <t>09/03/2025 13:45</t>
  </si>
  <si>
    <t>09/03/2025 14:00</t>
  </si>
  <si>
    <t>09/03/2025 14:15</t>
  </si>
  <si>
    <t>09/03/2025 14:30</t>
  </si>
  <si>
    <t>09/03/2025 14:45</t>
  </si>
  <si>
    <t>09/03/2025 15:00</t>
  </si>
  <si>
    <t>09/03/2025 15:15</t>
  </si>
  <si>
    <t>09/03/2025 15:30</t>
  </si>
  <si>
    <t>09/03/2025 15:45</t>
  </si>
  <si>
    <t>09/03/2025 16:00</t>
  </si>
  <si>
    <t>09/03/2025 16:15</t>
  </si>
  <si>
    <t>09/03/2025 16:30</t>
  </si>
  <si>
    <t>09/03/2025 16:45</t>
  </si>
  <si>
    <t>09/03/2025 17:00</t>
  </si>
  <si>
    <t>09/03/2025 17:15</t>
  </si>
  <si>
    <t>09/03/2025 17:30</t>
  </si>
  <si>
    <t>09/03/2025 17:45</t>
  </si>
  <si>
    <t>09/03/2025 18:00</t>
  </si>
  <si>
    <t>09/03/2025 18:15</t>
  </si>
  <si>
    <t>09/03/2025 18:30</t>
  </si>
  <si>
    <t>09/03/2025 18:45</t>
  </si>
  <si>
    <t>09/03/2025 19:00</t>
  </si>
  <si>
    <t>09/03/2025 19:15</t>
  </si>
  <si>
    <t>09/03/2025 19:30</t>
  </si>
  <si>
    <t>09/03/2025 19:45</t>
  </si>
  <si>
    <t>09/03/2025 20:00</t>
  </si>
  <si>
    <t>09/03/2025 20:15</t>
  </si>
  <si>
    <t>09/03/2025 20:30</t>
  </si>
  <si>
    <t>09/03/2025 20:45</t>
  </si>
  <si>
    <t>09/03/2025 21:00</t>
  </si>
  <si>
    <t>09/03/2025 21:15</t>
  </si>
  <si>
    <t>09/03/2025 21:30</t>
  </si>
  <si>
    <t>09/03/2025 21:45</t>
  </si>
  <si>
    <t>09/03/2025 22:00</t>
  </si>
  <si>
    <t>09/03/2025 22:15</t>
  </si>
  <si>
    <t>09/03/2025 22:30</t>
  </si>
  <si>
    <t>09/03/2025 22:45</t>
  </si>
  <si>
    <t>09/03/2025 23:00</t>
  </si>
  <si>
    <t>09/03/2025 23:15</t>
  </si>
  <si>
    <t>09/03/2025 23:30</t>
  </si>
  <si>
    <t>09/03/2025 23:45</t>
  </si>
  <si>
    <t>09/03/2025 24:00</t>
  </si>
  <si>
    <t>10/03/2025 00:15</t>
  </si>
  <si>
    <t>10/03/2025 00:30</t>
  </si>
  <si>
    <t>10/03/2025 00:45</t>
  </si>
  <si>
    <t>10/03/2025 01:00</t>
  </si>
  <si>
    <t>10/03/2025 01:15</t>
  </si>
  <si>
    <t>10/03/2025 01:30</t>
  </si>
  <si>
    <t>10/03/2025 01:45</t>
  </si>
  <si>
    <t>10/03/2025 02:00</t>
  </si>
  <si>
    <t>10/03/2025 02:15</t>
  </si>
  <si>
    <t>10/03/2025 02:30</t>
  </si>
  <si>
    <t>10/03/2025 02:45</t>
  </si>
  <si>
    <t>10/03/2025 03:00</t>
  </si>
  <si>
    <t>10/03/2025 03:15</t>
  </si>
  <si>
    <t>10/03/2025 03:30</t>
  </si>
  <si>
    <t>10/03/2025 03:45</t>
  </si>
  <si>
    <t>10/03/2025 04:00</t>
  </si>
  <si>
    <t>10/03/2025 04:15</t>
  </si>
  <si>
    <t>10/03/2025 04:30</t>
  </si>
  <si>
    <t>10/03/2025 04:45</t>
  </si>
  <si>
    <t>10/03/2025 05:00</t>
  </si>
  <si>
    <t>10/03/2025 05:15</t>
  </si>
  <si>
    <t>10/03/2025 05:30</t>
  </si>
  <si>
    <t>10/03/2025 05:45</t>
  </si>
  <si>
    <t>10/03/2025 06:00</t>
  </si>
  <si>
    <t>10/03/2025 06:15</t>
  </si>
  <si>
    <t>10/03/2025 06:30</t>
  </si>
  <si>
    <t>10/03/2025 06:45</t>
  </si>
  <si>
    <t>10/03/2025 07:00</t>
  </si>
  <si>
    <t>10/03/2025 07:15</t>
  </si>
  <si>
    <t>10/03/2025 07:30</t>
  </si>
  <si>
    <t>10/03/2025 07:45</t>
  </si>
  <si>
    <t>10/03/2025 08:00</t>
  </si>
  <si>
    <t>10/03/2025 08:15</t>
  </si>
  <si>
    <t>10/03/2025 08:30</t>
  </si>
  <si>
    <t>10/03/2025 08:45</t>
  </si>
  <si>
    <t>10/03/2025 09:00</t>
  </si>
  <si>
    <t>10/03/2025 09:15</t>
  </si>
  <si>
    <t>10/03/2025 09:30</t>
  </si>
  <si>
    <t>10/03/2025 09:45</t>
  </si>
  <si>
    <t>10/03/2025 10:00</t>
  </si>
  <si>
    <t>10/03/2025 10:15</t>
  </si>
  <si>
    <t>10/03/2025 10:30</t>
  </si>
  <si>
    <t>10/03/2025 10:45</t>
  </si>
  <si>
    <t>10/03/2025 11:00</t>
  </si>
  <si>
    <t>10/03/2025 11:15</t>
  </si>
  <si>
    <t>10/03/2025 11:30</t>
  </si>
  <si>
    <t>10/03/2025 11:45</t>
  </si>
  <si>
    <t>10/03/2025 12:00</t>
  </si>
  <si>
    <t>10/03/2025 12:15</t>
  </si>
  <si>
    <t>10/03/2025 12:30</t>
  </si>
  <si>
    <t>10/03/2025 12:45</t>
  </si>
  <si>
    <t>10/03/2025 13:00</t>
  </si>
  <si>
    <t>10/03/2025 13:15</t>
  </si>
  <si>
    <t>10/03/2025 13:30</t>
  </si>
  <si>
    <t>10/03/2025 13:45</t>
  </si>
  <si>
    <t>10/03/2025 14:00</t>
  </si>
  <si>
    <t>10/03/2025 14:15</t>
  </si>
  <si>
    <t>10/03/2025 14:30</t>
  </si>
  <si>
    <t>10/03/2025 14:45</t>
  </si>
  <si>
    <t>10/03/2025 15:00</t>
  </si>
  <si>
    <t>10/03/2025 15:15</t>
  </si>
  <si>
    <t>10/03/2025 15:30</t>
  </si>
  <si>
    <t>10/03/2025 15:45</t>
  </si>
  <si>
    <t>10/03/2025 16:00</t>
  </si>
  <si>
    <t>10/03/2025 16:15</t>
  </si>
  <si>
    <t>10/03/2025 16:30</t>
  </si>
  <si>
    <t>10/03/2025 16:45</t>
  </si>
  <si>
    <t>10/03/2025 17:00</t>
  </si>
  <si>
    <t>10/03/2025 17:15</t>
  </si>
  <si>
    <t>10/03/2025 17:30</t>
  </si>
  <si>
    <t>10/03/2025 17:45</t>
  </si>
  <si>
    <t>10/03/2025 18:00</t>
  </si>
  <si>
    <t>10/03/2025 18:15</t>
  </si>
  <si>
    <t>10/03/2025 18:30</t>
  </si>
  <si>
    <t>10/03/2025 18:45</t>
  </si>
  <si>
    <t>10/03/2025 19:00</t>
  </si>
  <si>
    <t>10/03/2025 19:15</t>
  </si>
  <si>
    <t>10/03/2025 19:30</t>
  </si>
  <si>
    <t>10/03/2025 19:45</t>
  </si>
  <si>
    <t>10/03/2025 20:00</t>
  </si>
  <si>
    <t>10/03/2025 20:15</t>
  </si>
  <si>
    <t>10/03/2025 20:30</t>
  </si>
  <si>
    <t>10/03/2025 20:45</t>
  </si>
  <si>
    <t>10/03/2025 21:00</t>
  </si>
  <si>
    <t>10/03/2025 21:15</t>
  </si>
  <si>
    <t>10/03/2025 21:30</t>
  </si>
  <si>
    <t>10/03/2025 21:45</t>
  </si>
  <si>
    <t>10/03/2025 22:00</t>
  </si>
  <si>
    <t>10/03/2025 22:15</t>
  </si>
  <si>
    <t>10/03/2025 22:30</t>
  </si>
  <si>
    <t>10/03/2025 22:45</t>
  </si>
  <si>
    <t>10/03/2025 23:00</t>
  </si>
  <si>
    <t>10/03/2025 23:15</t>
  </si>
  <si>
    <t>10/03/2025 23:30</t>
  </si>
  <si>
    <t>10/03/2025 23:45</t>
  </si>
  <si>
    <t>10/03/2025 24:00</t>
  </si>
  <si>
    <t>11/03/2025 00:15</t>
  </si>
  <si>
    <t>11/03/2025 00:30</t>
  </si>
  <si>
    <t>11/03/2025 00:45</t>
  </si>
  <si>
    <t>11/03/2025 01:00</t>
  </si>
  <si>
    <t>11/03/2025 01:15</t>
  </si>
  <si>
    <t>11/03/2025 01:30</t>
  </si>
  <si>
    <t>11/03/2025 01:45</t>
  </si>
  <si>
    <t>11/03/2025 02:00</t>
  </si>
  <si>
    <t>11/03/2025 02:15</t>
  </si>
  <si>
    <t>11/03/2025 02:30</t>
  </si>
  <si>
    <t>11/03/2025 02:45</t>
  </si>
  <si>
    <t>11/03/2025 03:00</t>
  </si>
  <si>
    <t>11/03/2025 03:15</t>
  </si>
  <si>
    <t>11/03/2025 03:30</t>
  </si>
  <si>
    <t>11/03/2025 03:45</t>
  </si>
  <si>
    <t>11/03/2025 04:00</t>
  </si>
  <si>
    <t>11/03/2025 04:15</t>
  </si>
  <si>
    <t>11/03/2025 04:30</t>
  </si>
  <si>
    <t>11/03/2025 04:45</t>
  </si>
  <si>
    <t>11/03/2025 05:00</t>
  </si>
  <si>
    <t>11/03/2025 05:15</t>
  </si>
  <si>
    <t>11/03/2025 05:30</t>
  </si>
  <si>
    <t>11/03/2025 05:45</t>
  </si>
  <si>
    <t>11/03/2025 06:00</t>
  </si>
  <si>
    <t>11/03/2025 06:15</t>
  </si>
  <si>
    <t>11/03/2025 06:30</t>
  </si>
  <si>
    <t>11/03/2025 06:45</t>
  </si>
  <si>
    <t>11/03/2025 07:00</t>
  </si>
  <si>
    <t>11/03/2025 07:15</t>
  </si>
  <si>
    <t>11/03/2025 07:30</t>
  </si>
  <si>
    <t>11/03/2025 07:45</t>
  </si>
  <si>
    <t>11/03/2025 08:00</t>
  </si>
  <si>
    <t>11/03/2025 08:15</t>
  </si>
  <si>
    <t>11/03/2025 08:30</t>
  </si>
  <si>
    <t>11/03/2025 08:45</t>
  </si>
  <si>
    <t>11/03/2025 09:00</t>
  </si>
  <si>
    <t>11/03/2025 09:15</t>
  </si>
  <si>
    <t>11/03/2025 09:30</t>
  </si>
  <si>
    <t>11/03/2025 09:45</t>
  </si>
  <si>
    <t>11/03/2025 10:00</t>
  </si>
  <si>
    <t>11/03/2025 10:15</t>
  </si>
  <si>
    <t>11/03/2025 10:30</t>
  </si>
  <si>
    <t>11/03/2025 10:45</t>
  </si>
  <si>
    <t>11/03/2025 11:00</t>
  </si>
  <si>
    <t>11/03/2025 11:15</t>
  </si>
  <si>
    <t>11/03/2025 11:30</t>
  </si>
  <si>
    <t>11/03/2025 11:45</t>
  </si>
  <si>
    <t>11/03/2025 12:00</t>
  </si>
  <si>
    <t>11/03/2025 12:15</t>
  </si>
  <si>
    <t>11/03/2025 12:30</t>
  </si>
  <si>
    <t>11/03/2025 12:45</t>
  </si>
  <si>
    <t>11/03/2025 13:00</t>
  </si>
  <si>
    <t>11/03/2025 13:15</t>
  </si>
  <si>
    <t>11/03/2025 13:30</t>
  </si>
  <si>
    <t>11/03/2025 13:45</t>
  </si>
  <si>
    <t>11/03/2025 14:00</t>
  </si>
  <si>
    <t>11/03/2025 14:15</t>
  </si>
  <si>
    <t>11/03/2025 14:30</t>
  </si>
  <si>
    <t>11/03/2025 14:45</t>
  </si>
  <si>
    <t>11/03/2025 15:00</t>
  </si>
  <si>
    <t>11/03/2025 15:15</t>
  </si>
  <si>
    <t>11/03/2025 15:30</t>
  </si>
  <si>
    <t>11/03/2025 15:45</t>
  </si>
  <si>
    <t>11/03/2025 16:00</t>
  </si>
  <si>
    <t>11/03/2025 16:15</t>
  </si>
  <si>
    <t>11/03/2025 16:30</t>
  </si>
  <si>
    <t>11/03/2025 16:45</t>
  </si>
  <si>
    <t>11/03/2025 17:00</t>
  </si>
  <si>
    <t>11/03/2025 17:15</t>
  </si>
  <si>
    <t>11/03/2025 17:30</t>
  </si>
  <si>
    <t>11/03/2025 17:45</t>
  </si>
  <si>
    <t>11/03/2025 18:00</t>
  </si>
  <si>
    <t>11/03/2025 18:15</t>
  </si>
  <si>
    <t>11/03/2025 18:30</t>
  </si>
  <si>
    <t>11/03/2025 18:45</t>
  </si>
  <si>
    <t>11/03/2025 19:00</t>
  </si>
  <si>
    <t>11/03/2025 19:15</t>
  </si>
  <si>
    <t>11/03/2025 19:30</t>
  </si>
  <si>
    <t>11/03/2025 19:45</t>
  </si>
  <si>
    <t>11/03/2025 20:00</t>
  </si>
  <si>
    <t>11/03/2025 20:15</t>
  </si>
  <si>
    <t>11/03/2025 20:30</t>
  </si>
  <si>
    <t>11/03/2025 20:45</t>
  </si>
  <si>
    <t>11/03/2025 21:00</t>
  </si>
  <si>
    <t>11/03/2025 21:15</t>
  </si>
  <si>
    <t>11/03/2025 21:30</t>
  </si>
  <si>
    <t>11/03/2025 21:45</t>
  </si>
  <si>
    <t>11/03/2025 22:00</t>
  </si>
  <si>
    <t>11/03/2025 22:15</t>
  </si>
  <si>
    <t>11/03/2025 22:30</t>
  </si>
  <si>
    <t>11/03/2025 22:45</t>
  </si>
  <si>
    <t>11/03/2025 23:00</t>
  </si>
  <si>
    <t>11/03/2025 23:15</t>
  </si>
  <si>
    <t>11/03/2025 23:30</t>
  </si>
  <si>
    <t>11/03/2025 23:45</t>
  </si>
  <si>
    <t>11/03/2025 24:00</t>
  </si>
  <si>
    <t>12/03/2025 00:15</t>
  </si>
  <si>
    <t>12/03/2025 00:30</t>
  </si>
  <si>
    <t>12/03/2025 00:45</t>
  </si>
  <si>
    <t>12/03/2025 01:00</t>
  </si>
  <si>
    <t>12/03/2025 01:15</t>
  </si>
  <si>
    <t>12/03/2025 01:30</t>
  </si>
  <si>
    <t>12/03/2025 01:45</t>
  </si>
  <si>
    <t>12/03/2025 02:00</t>
  </si>
  <si>
    <t>12/03/2025 02:15</t>
  </si>
  <si>
    <t>12/03/2025 02:30</t>
  </si>
  <si>
    <t>12/03/2025 02:45</t>
  </si>
  <si>
    <t>12/03/2025 03:00</t>
  </si>
  <si>
    <t>12/03/2025 03:15</t>
  </si>
  <si>
    <t>12/03/2025 03:30</t>
  </si>
  <si>
    <t>12/03/2025 03:45</t>
  </si>
  <si>
    <t>12/03/2025 04:00</t>
  </si>
  <si>
    <t>12/03/2025 04:15</t>
  </si>
  <si>
    <t>12/03/2025 04:30</t>
  </si>
  <si>
    <t>12/03/2025 04:45</t>
  </si>
  <si>
    <t>12/03/2025 05:00</t>
  </si>
  <si>
    <t>12/03/2025 05:15</t>
  </si>
  <si>
    <t>12/03/2025 05:30</t>
  </si>
  <si>
    <t>12/03/2025 05:45</t>
  </si>
  <si>
    <t>12/03/2025 06:00</t>
  </si>
  <si>
    <t>12/03/2025 06:15</t>
  </si>
  <si>
    <t>12/03/2025 06:30</t>
  </si>
  <si>
    <t>12/03/2025 06:45</t>
  </si>
  <si>
    <t>12/03/2025 07:00</t>
  </si>
  <si>
    <t>12/03/2025 07:15</t>
  </si>
  <si>
    <t>12/03/2025 07:30</t>
  </si>
  <si>
    <t>12/03/2025 07:45</t>
  </si>
  <si>
    <t>12/03/2025 08:00</t>
  </si>
  <si>
    <t>12/03/2025 08:15</t>
  </si>
  <si>
    <t>12/03/2025 08:30</t>
  </si>
  <si>
    <t>12/03/2025 08:45</t>
  </si>
  <si>
    <t>12/03/2025 09:00</t>
  </si>
  <si>
    <t>12/03/2025 09:15</t>
  </si>
  <si>
    <t>12/03/2025 09:30</t>
  </si>
  <si>
    <t>12/03/2025 09:45</t>
  </si>
  <si>
    <t>12/03/2025 10:00</t>
  </si>
  <si>
    <t>12/03/2025 10:15</t>
  </si>
  <si>
    <t>12/03/2025 10:30</t>
  </si>
  <si>
    <t>12/03/2025 10:45</t>
  </si>
  <si>
    <t>12/03/2025 11:00</t>
  </si>
  <si>
    <t>12/03/2025 11:15</t>
  </si>
  <si>
    <t>12/03/2025 11:30</t>
  </si>
  <si>
    <t>12/03/2025 11:45</t>
  </si>
  <si>
    <t>12/03/2025 12:00</t>
  </si>
  <si>
    <t>12/03/2025 12:15</t>
  </si>
  <si>
    <t>12/03/2025 12:30</t>
  </si>
  <si>
    <t>12/03/2025 12:45</t>
  </si>
  <si>
    <t>12/03/2025 13:00</t>
  </si>
  <si>
    <t>12/03/2025 13:15</t>
  </si>
  <si>
    <t>12/03/2025 13:30</t>
  </si>
  <si>
    <t>12/03/2025 13:45</t>
  </si>
  <si>
    <t>12/03/2025 14:00</t>
  </si>
  <si>
    <t>12/03/2025 14:15</t>
  </si>
  <si>
    <t>12/03/2025 14:30</t>
  </si>
  <si>
    <t>12/03/2025 14:45</t>
  </si>
  <si>
    <t>12/03/2025 15:00</t>
  </si>
  <si>
    <t>12/03/2025 15:15</t>
  </si>
  <si>
    <t>12/03/2025 15:30</t>
  </si>
  <si>
    <t>12/03/2025 15:45</t>
  </si>
  <si>
    <t>12/03/2025 16:00</t>
  </si>
  <si>
    <t>12/03/2025 16:15</t>
  </si>
  <si>
    <t>12/03/2025 16:30</t>
  </si>
  <si>
    <t>12/03/2025 16:45</t>
  </si>
  <si>
    <t>12/03/2025 17:00</t>
  </si>
  <si>
    <t>12/03/2025 17:15</t>
  </si>
  <si>
    <t>12/03/2025 17:30</t>
  </si>
  <si>
    <t>12/03/2025 17:45</t>
  </si>
  <si>
    <t>12/03/2025 18:00</t>
  </si>
  <si>
    <t>12/03/2025 18:15</t>
  </si>
  <si>
    <t>12/03/2025 18:30</t>
  </si>
  <si>
    <t>12/03/2025 18:45</t>
  </si>
  <si>
    <t>12/03/2025 19:00</t>
  </si>
  <si>
    <t>12/03/2025 19:15</t>
  </si>
  <si>
    <t>12/03/2025 19:30</t>
  </si>
  <si>
    <t>12/03/2025 19:45</t>
  </si>
  <si>
    <t>12/03/2025 20:00</t>
  </si>
  <si>
    <t>12/03/2025 20:15</t>
  </si>
  <si>
    <t>12/03/2025 20:30</t>
  </si>
  <si>
    <t>12/03/2025 20:45</t>
  </si>
  <si>
    <t>12/03/2025 21:00</t>
  </si>
  <si>
    <t>12/03/2025 21:15</t>
  </si>
  <si>
    <t>12/03/2025 21:30</t>
  </si>
  <si>
    <t>12/03/2025 21:45</t>
  </si>
  <si>
    <t>12/03/2025 22:00</t>
  </si>
  <si>
    <t>12/03/2025 22:15</t>
  </si>
  <si>
    <t>12/03/2025 22:30</t>
  </si>
  <si>
    <t>12/03/2025 22:45</t>
  </si>
  <si>
    <t>12/03/2025 23:00</t>
  </si>
  <si>
    <t>12/03/2025 23:15</t>
  </si>
  <si>
    <t>12/03/2025 23:30</t>
  </si>
  <si>
    <t>12/03/2025 23:45</t>
  </si>
  <si>
    <t>12/03/2025 24:00</t>
  </si>
  <si>
    <t>13/03/2025 00:15</t>
  </si>
  <si>
    <t>13/03/2025 00:30</t>
  </si>
  <si>
    <t>13/03/2025 00:45</t>
  </si>
  <si>
    <t>13/03/2025 01:00</t>
  </si>
  <si>
    <t>13/03/2025 01:15</t>
  </si>
  <si>
    <t>13/03/2025 01:30</t>
  </si>
  <si>
    <t>13/03/2025 01:45</t>
  </si>
  <si>
    <t>13/03/2025 02:00</t>
  </si>
  <si>
    <t>13/03/2025 02:15</t>
  </si>
  <si>
    <t>13/03/2025 02:30</t>
  </si>
  <si>
    <t>13/03/2025 02:45</t>
  </si>
  <si>
    <t>13/03/2025 03:00</t>
  </si>
  <si>
    <t>13/03/2025 03:15</t>
  </si>
  <si>
    <t>13/03/2025 03:30</t>
  </si>
  <si>
    <t>13/03/2025 03:45</t>
  </si>
  <si>
    <t>13/03/2025 04:00</t>
  </si>
  <si>
    <t>13/03/2025 04:15</t>
  </si>
  <si>
    <t>13/03/2025 04:30</t>
  </si>
  <si>
    <t>13/03/2025 04:45</t>
  </si>
  <si>
    <t>13/03/2025 05:00</t>
  </si>
  <si>
    <t>13/03/2025 05:15</t>
  </si>
  <si>
    <t>13/03/2025 05:30</t>
  </si>
  <si>
    <t>13/03/2025 05:45</t>
  </si>
  <si>
    <t>13/03/2025 06:00</t>
  </si>
  <si>
    <t>13/03/2025 06:15</t>
  </si>
  <si>
    <t>13/03/2025 06:30</t>
  </si>
  <si>
    <t>13/03/2025 06:45</t>
  </si>
  <si>
    <t>13/03/2025 07:00</t>
  </si>
  <si>
    <t>13/03/2025 07:15</t>
  </si>
  <si>
    <t>13/03/2025 07:30</t>
  </si>
  <si>
    <t>13/03/2025 07:45</t>
  </si>
  <si>
    <t>13/03/2025 08:00</t>
  </si>
  <si>
    <t>13/03/2025 08:15</t>
  </si>
  <si>
    <t>13/03/2025 08:30</t>
  </si>
  <si>
    <t>13/03/2025 08:45</t>
  </si>
  <si>
    <t>13/03/2025 09:00</t>
  </si>
  <si>
    <t>13/03/2025 09:15</t>
  </si>
  <si>
    <t>13/03/2025 09:30</t>
  </si>
  <si>
    <t>13/03/2025 09:45</t>
  </si>
  <si>
    <t>13/03/2025 10:00</t>
  </si>
  <si>
    <t>13/03/2025 10:15</t>
  </si>
  <si>
    <t>13/03/2025 10:30</t>
  </si>
  <si>
    <t>13/03/2025 10:45</t>
  </si>
  <si>
    <t>13/03/2025 11:00</t>
  </si>
  <si>
    <t>13/03/2025 11:15</t>
  </si>
  <si>
    <t>13/03/2025 11:30</t>
  </si>
  <si>
    <t>13/03/2025 11:45</t>
  </si>
  <si>
    <t>13/03/2025 12:00</t>
  </si>
  <si>
    <t>13/03/2025 12:15</t>
  </si>
  <si>
    <t>13/03/2025 12:30</t>
  </si>
  <si>
    <t>13/03/2025 12:45</t>
  </si>
  <si>
    <t>13/03/2025 13:00</t>
  </si>
  <si>
    <t>13/03/2025 13:15</t>
  </si>
  <si>
    <t>13/03/2025 13:30</t>
  </si>
  <si>
    <t>13/03/2025 13:45</t>
  </si>
  <si>
    <t>13/03/2025 14:00</t>
  </si>
  <si>
    <t>13/03/2025 14:15</t>
  </si>
  <si>
    <t>13/03/2025 14:30</t>
  </si>
  <si>
    <t>13/03/2025 14:45</t>
  </si>
  <si>
    <t>13/03/2025 15:00</t>
  </si>
  <si>
    <t>13/03/2025 15:15</t>
  </si>
  <si>
    <t>13/03/2025 15:30</t>
  </si>
  <si>
    <t>13/03/2025 15:45</t>
  </si>
  <si>
    <t>13/03/2025 16:00</t>
  </si>
  <si>
    <t>13/03/2025 16:15</t>
  </si>
  <si>
    <t>13/03/2025 16:30</t>
  </si>
  <si>
    <t>13/03/2025 16:45</t>
  </si>
  <si>
    <t>13/03/2025 17:00</t>
  </si>
  <si>
    <t>13/03/2025 17:15</t>
  </si>
  <si>
    <t>13/03/2025 17:30</t>
  </si>
  <si>
    <t>13/03/2025 17:45</t>
  </si>
  <si>
    <t>13/03/2025 18:00</t>
  </si>
  <si>
    <t>13/03/2025 18:15</t>
  </si>
  <si>
    <t>13/03/2025 18:30</t>
  </si>
  <si>
    <t>13/03/2025 18:45</t>
  </si>
  <si>
    <t>13/03/2025 19:00</t>
  </si>
  <si>
    <t>13/03/2025 19:15</t>
  </si>
  <si>
    <t>13/03/2025 19:30</t>
  </si>
  <si>
    <t>13/03/2025 19:45</t>
  </si>
  <si>
    <t>13/03/2025 20:00</t>
  </si>
  <si>
    <t>13/03/2025 20:15</t>
  </si>
  <si>
    <t>13/03/2025 20:30</t>
  </si>
  <si>
    <t>13/03/2025 20:45</t>
  </si>
  <si>
    <t>13/03/2025 21:00</t>
  </si>
  <si>
    <t>13/03/2025 21:15</t>
  </si>
  <si>
    <t>13/03/2025 21:30</t>
  </si>
  <si>
    <t>13/03/2025 21:45</t>
  </si>
  <si>
    <t>13/03/2025 22:00</t>
  </si>
  <si>
    <t>13/03/2025 22:15</t>
  </si>
  <si>
    <t>13/03/2025 22:30</t>
  </si>
  <si>
    <t>13/03/2025 22:45</t>
  </si>
  <si>
    <t>13/03/2025 23:00</t>
  </si>
  <si>
    <t>13/03/2025 23:15</t>
  </si>
  <si>
    <t>13/03/2025 23:30</t>
  </si>
  <si>
    <t>13/03/2025 23:45</t>
  </si>
  <si>
    <t>13/03/2025 24:00</t>
  </si>
  <si>
    <t>14/03/2025 00:15</t>
  </si>
  <si>
    <t>14/03/2025 00:30</t>
  </si>
  <si>
    <t>14/03/2025 00:45</t>
  </si>
  <si>
    <t>14/03/2025 01:00</t>
  </si>
  <si>
    <t>14/03/2025 01:15</t>
  </si>
  <si>
    <t>14/03/2025 01:30</t>
  </si>
  <si>
    <t>14/03/2025 01:45</t>
  </si>
  <si>
    <t>14/03/2025 02:00</t>
  </si>
  <si>
    <t>14/03/2025 02:15</t>
  </si>
  <si>
    <t>14/03/2025 02:30</t>
  </si>
  <si>
    <t>14/03/2025 02:45</t>
  </si>
  <si>
    <t>14/03/2025 03:00</t>
  </si>
  <si>
    <t>14/03/2025 03:15</t>
  </si>
  <si>
    <t>14/03/2025 03:30</t>
  </si>
  <si>
    <t>14/03/2025 03:45</t>
  </si>
  <si>
    <t>14/03/2025 04:00</t>
  </si>
  <si>
    <t>14/03/2025 04:15</t>
  </si>
  <si>
    <t>14/03/2025 04:30</t>
  </si>
  <si>
    <t>14/03/2025 04:45</t>
  </si>
  <si>
    <t>14/03/2025 05:00</t>
  </si>
  <si>
    <t>14/03/2025 05:15</t>
  </si>
  <si>
    <t>14/03/2025 05:30</t>
  </si>
  <si>
    <t>14/03/2025 05:45</t>
  </si>
  <si>
    <t>14/03/2025 06:00</t>
  </si>
  <si>
    <t>14/03/2025 06:15</t>
  </si>
  <si>
    <t>14/03/2025 06:30</t>
  </si>
  <si>
    <t>14/03/2025 06:45</t>
  </si>
  <si>
    <t>14/03/2025 07:00</t>
  </si>
  <si>
    <t>14/03/2025 07:15</t>
  </si>
  <si>
    <t>14/03/2025 07:30</t>
  </si>
  <si>
    <t>14/03/2025 07:45</t>
  </si>
  <si>
    <t>14/03/2025 08:00</t>
  </si>
  <si>
    <t>14/03/2025 08:15</t>
  </si>
  <si>
    <t>14/03/2025 08:30</t>
  </si>
  <si>
    <t>14/03/2025 08:45</t>
  </si>
  <si>
    <t>14/03/2025 09:00</t>
  </si>
  <si>
    <t>14/03/2025 09:15</t>
  </si>
  <si>
    <t>14/03/2025 09:30</t>
  </si>
  <si>
    <t>14/03/2025 09:45</t>
  </si>
  <si>
    <t>14/03/2025 10:00</t>
  </si>
  <si>
    <t>14/03/2025 10:15</t>
  </si>
  <si>
    <t>14/03/2025 10:30</t>
  </si>
  <si>
    <t>14/03/2025 10:45</t>
  </si>
  <si>
    <t>14/03/2025 11:00</t>
  </si>
  <si>
    <t>14/03/2025 11:15</t>
  </si>
  <si>
    <t>14/03/2025 11:30</t>
  </si>
  <si>
    <t>14/03/2025 11:45</t>
  </si>
  <si>
    <t>14/03/2025 12:00</t>
  </si>
  <si>
    <t>14/03/2025 12:15</t>
  </si>
  <si>
    <t>14/03/2025 12:30</t>
  </si>
  <si>
    <t>14/03/2025 12:45</t>
  </si>
  <si>
    <t>14/03/2025 13:00</t>
  </si>
  <si>
    <t>14/03/2025 13:15</t>
  </si>
  <si>
    <t>14/03/2025 13:30</t>
  </si>
  <si>
    <t>14/03/2025 13:45</t>
  </si>
  <si>
    <t>14/03/2025 14:00</t>
  </si>
  <si>
    <t>14/03/2025 14:15</t>
  </si>
  <si>
    <t>14/03/2025 14:30</t>
  </si>
  <si>
    <t>14/03/2025 14:45</t>
  </si>
  <si>
    <t>14/03/2025 15:00</t>
  </si>
  <si>
    <t>14/03/2025 15:15</t>
  </si>
  <si>
    <t>14/03/2025 15:30</t>
  </si>
  <si>
    <t>14/03/2025 15:45</t>
  </si>
  <si>
    <t>14/03/2025 16:00</t>
  </si>
  <si>
    <t>14/03/2025 16:15</t>
  </si>
  <si>
    <t>14/03/2025 16:30</t>
  </si>
  <si>
    <t>14/03/2025 16:45</t>
  </si>
  <si>
    <t>14/03/2025 17:00</t>
  </si>
  <si>
    <t>14/03/2025 17:15</t>
  </si>
  <si>
    <t>14/03/2025 17:30</t>
  </si>
  <si>
    <t>14/03/2025 17:45</t>
  </si>
  <si>
    <t>14/03/2025 18:00</t>
  </si>
  <si>
    <t>14/03/2025 18:15</t>
  </si>
  <si>
    <t>14/03/2025 18:30</t>
  </si>
  <si>
    <t>14/03/2025 18:45</t>
  </si>
  <si>
    <t>14/03/2025 19:00</t>
  </si>
  <si>
    <t>14/03/2025 19:15</t>
  </si>
  <si>
    <t>14/03/2025 19:30</t>
  </si>
  <si>
    <t>14/03/2025 19:45</t>
  </si>
  <si>
    <t>14/03/2025 20:00</t>
  </si>
  <si>
    <t>14/03/2025 20:15</t>
  </si>
  <si>
    <t>14/03/2025 20:30</t>
  </si>
  <si>
    <t>14/03/2025 20:45</t>
  </si>
  <si>
    <t>14/03/2025 21:00</t>
  </si>
  <si>
    <t>14/03/2025 21:15</t>
  </si>
  <si>
    <t>14/03/2025 21:30</t>
  </si>
  <si>
    <t>14/03/2025 21:45</t>
  </si>
  <si>
    <t>14/03/2025 22:00</t>
  </si>
  <si>
    <t>14/03/2025 22:15</t>
  </si>
  <si>
    <t>14/03/2025 22:30</t>
  </si>
  <si>
    <t>14/03/2025 22:45</t>
  </si>
  <si>
    <t>14/03/2025 23:00</t>
  </si>
  <si>
    <t>14/03/2025 23:15</t>
  </si>
  <si>
    <t>14/03/2025 23:30</t>
  </si>
  <si>
    <t>14/03/2025 23:45</t>
  </si>
  <si>
    <t>14/03/2025 24:00</t>
  </si>
  <si>
    <t>15/03/2025 00:15</t>
  </si>
  <si>
    <t>15/03/2025 00:30</t>
  </si>
  <si>
    <t>15/03/2025 00:45</t>
  </si>
  <si>
    <t>15/03/2025 01:00</t>
  </si>
  <si>
    <t>15/03/2025 01:15</t>
  </si>
  <si>
    <t>15/03/2025 01:30</t>
  </si>
  <si>
    <t>15/03/2025 01:45</t>
  </si>
  <si>
    <t>15/03/2025 02:00</t>
  </si>
  <si>
    <t>15/03/2025 02:15</t>
  </si>
  <si>
    <t>15/03/2025 02:30</t>
  </si>
  <si>
    <t>15/03/2025 02:45</t>
  </si>
  <si>
    <t>15/03/2025 03:00</t>
  </si>
  <si>
    <t>15/03/2025 03:15</t>
  </si>
  <si>
    <t>15/03/2025 03:30</t>
  </si>
  <si>
    <t>15/03/2025 03:45</t>
  </si>
  <si>
    <t>15/03/2025 04:00</t>
  </si>
  <si>
    <t>15/03/2025 04:15</t>
  </si>
  <si>
    <t>15/03/2025 04:30</t>
  </si>
  <si>
    <t>15/03/2025 04:45</t>
  </si>
  <si>
    <t>15/03/2025 05:00</t>
  </si>
  <si>
    <t>15/03/2025 05:15</t>
  </si>
  <si>
    <t>15/03/2025 05:30</t>
  </si>
  <si>
    <t>15/03/2025 05:45</t>
  </si>
  <si>
    <t>15/03/2025 06:00</t>
  </si>
  <si>
    <t>15/03/2025 06:15</t>
  </si>
  <si>
    <t>15/03/2025 06:30</t>
  </si>
  <si>
    <t>15/03/2025 06:45</t>
  </si>
  <si>
    <t>15/03/2025 07:00</t>
  </si>
  <si>
    <t>15/03/2025 07:15</t>
  </si>
  <si>
    <t>15/03/2025 07:30</t>
  </si>
  <si>
    <t>15/03/2025 07:45</t>
  </si>
  <si>
    <t>15/03/2025 08:00</t>
  </si>
  <si>
    <t>15/03/2025 08:15</t>
  </si>
  <si>
    <t>15/03/2025 08:30</t>
  </si>
  <si>
    <t>15/03/2025 08:45</t>
  </si>
  <si>
    <t>15/03/2025 09:00</t>
  </si>
  <si>
    <t>15/03/2025 09:15</t>
  </si>
  <si>
    <t>15/03/2025 09:30</t>
  </si>
  <si>
    <t>15/03/2025 09:45</t>
  </si>
  <si>
    <t>15/03/2025 10:00</t>
  </si>
  <si>
    <t>15/03/2025 10:15</t>
  </si>
  <si>
    <t>15/03/2025 10:30</t>
  </si>
  <si>
    <t>15/03/2025 10:45</t>
  </si>
  <si>
    <t>15/03/2025 11:00</t>
  </si>
  <si>
    <t>15/03/2025 11:15</t>
  </si>
  <si>
    <t>15/03/2025 11:30</t>
  </si>
  <si>
    <t>15/03/2025 11:45</t>
  </si>
  <si>
    <t>15/03/2025 12:00</t>
  </si>
  <si>
    <t>15/03/2025 12:15</t>
  </si>
  <si>
    <t>15/03/2025 12:30</t>
  </si>
  <si>
    <t>15/03/2025 12:45</t>
  </si>
  <si>
    <t>15/03/2025 13:00</t>
  </si>
  <si>
    <t>15/03/2025 13:15</t>
  </si>
  <si>
    <t>15/03/2025 13:30</t>
  </si>
  <si>
    <t>15/03/2025 13:45</t>
  </si>
  <si>
    <t>15/03/2025 14:00</t>
  </si>
  <si>
    <t>15/03/2025 14:15</t>
  </si>
  <si>
    <t>15/03/2025 14:30</t>
  </si>
  <si>
    <t>15/03/2025 14:45</t>
  </si>
  <si>
    <t>15/03/2025 15:00</t>
  </si>
  <si>
    <t>15/03/2025 15:15</t>
  </si>
  <si>
    <t>15/03/2025 15:30</t>
  </si>
  <si>
    <t>15/03/2025 15:45</t>
  </si>
  <si>
    <t>15/03/2025 16:00</t>
  </si>
  <si>
    <t>15/03/2025 16:15</t>
  </si>
  <si>
    <t>15/03/2025 16:30</t>
  </si>
  <si>
    <t>15/03/2025 16:45</t>
  </si>
  <si>
    <t>15/03/2025 17:00</t>
  </si>
  <si>
    <t>15/03/2025 17:15</t>
  </si>
  <si>
    <t>15/03/2025 17:30</t>
  </si>
  <si>
    <t>15/03/2025 17:45</t>
  </si>
  <si>
    <t>15/03/2025 18:00</t>
  </si>
  <si>
    <t>15/03/2025 18:15</t>
  </si>
  <si>
    <t>15/03/2025 18:30</t>
  </si>
  <si>
    <t>15/03/2025 18:45</t>
  </si>
  <si>
    <t>15/03/2025 19:00</t>
  </si>
  <si>
    <t>15/03/2025 19:15</t>
  </si>
  <si>
    <t>15/03/2025 19:30</t>
  </si>
  <si>
    <t>15/03/2025 19:45</t>
  </si>
  <si>
    <t>15/03/2025 20:00</t>
  </si>
  <si>
    <t>15/03/2025 20:15</t>
  </si>
  <si>
    <t>15/03/2025 20:30</t>
  </si>
  <si>
    <t>15/03/2025 20:45</t>
  </si>
  <si>
    <t>15/03/2025 21:00</t>
  </si>
  <si>
    <t>15/03/2025 21:15</t>
  </si>
  <si>
    <t>15/03/2025 21:30</t>
  </si>
  <si>
    <t>15/03/2025 21:45</t>
  </si>
  <si>
    <t>15/03/2025 22:00</t>
  </si>
  <si>
    <t>15/03/2025 22:15</t>
  </si>
  <si>
    <t>15/03/2025 22:30</t>
  </si>
  <si>
    <t>15/03/2025 22:45</t>
  </si>
  <si>
    <t>15/03/2025 23:00</t>
  </si>
  <si>
    <t>15/03/2025 23:15</t>
  </si>
  <si>
    <t>15/03/2025 23:30</t>
  </si>
  <si>
    <t>15/03/2025 23:45</t>
  </si>
  <si>
    <t>15/03/2025 24:00</t>
  </si>
  <si>
    <t>16/03/2025 00:15</t>
  </si>
  <si>
    <t>16/03/2025 00:30</t>
  </si>
  <si>
    <t>16/03/2025 00:45</t>
  </si>
  <si>
    <t>16/03/2025 01:00</t>
  </si>
  <si>
    <t>16/03/2025 01:15</t>
  </si>
  <si>
    <t>16/03/2025 01:30</t>
  </si>
  <si>
    <t>16/03/2025 01:45</t>
  </si>
  <si>
    <t>16/03/2025 02:00</t>
  </si>
  <si>
    <t>16/03/2025 02:15</t>
  </si>
  <si>
    <t>16/03/2025 02:30</t>
  </si>
  <si>
    <t>16/03/2025 02:45</t>
  </si>
  <si>
    <t>16/03/2025 03:00</t>
  </si>
  <si>
    <t>16/03/2025 03:15</t>
  </si>
  <si>
    <t>16/03/2025 03:30</t>
  </si>
  <si>
    <t>16/03/2025 03:45</t>
  </si>
  <si>
    <t>16/03/2025 04:00</t>
  </si>
  <si>
    <t>16/03/2025 04:15</t>
  </si>
  <si>
    <t>16/03/2025 04:30</t>
  </si>
  <si>
    <t>16/03/2025 04:45</t>
  </si>
  <si>
    <t>16/03/2025 05:00</t>
  </si>
  <si>
    <t>16/03/2025 05:15</t>
  </si>
  <si>
    <t>16/03/2025 05:30</t>
  </si>
  <si>
    <t>16/03/2025 05:45</t>
  </si>
  <si>
    <t>16/03/2025 06:00</t>
  </si>
  <si>
    <t>16/03/2025 06:15</t>
  </si>
  <si>
    <t>16/03/2025 06:30</t>
  </si>
  <si>
    <t>16/03/2025 06:45</t>
  </si>
  <si>
    <t>16/03/2025 07:00</t>
  </si>
  <si>
    <t>16/03/2025 07:15</t>
  </si>
  <si>
    <t>16/03/2025 07:30</t>
  </si>
  <si>
    <t>16/03/2025 07:45</t>
  </si>
  <si>
    <t>16/03/2025 08:00</t>
  </si>
  <si>
    <t>16/03/2025 08:15</t>
  </si>
  <si>
    <t>16/03/2025 08:30</t>
  </si>
  <si>
    <t>16/03/2025 08:45</t>
  </si>
  <si>
    <t>16/03/2025 09:00</t>
  </si>
  <si>
    <t>16/03/2025 09:15</t>
  </si>
  <si>
    <t>16/03/2025 09:30</t>
  </si>
  <si>
    <t>16/03/2025 09:45</t>
  </si>
  <si>
    <t>16/03/2025 10:00</t>
  </si>
  <si>
    <t>16/03/2025 10:15</t>
  </si>
  <si>
    <t>16/03/2025 10:30</t>
  </si>
  <si>
    <t>16/03/2025 10:45</t>
  </si>
  <si>
    <t>16/03/2025 11:00</t>
  </si>
  <si>
    <t>16/03/2025 11:15</t>
  </si>
  <si>
    <t>16/03/2025 11:30</t>
  </si>
  <si>
    <t>16/03/2025 11:45</t>
  </si>
  <si>
    <t>16/03/2025 12:00</t>
  </si>
  <si>
    <t>16/03/2025 12:15</t>
  </si>
  <si>
    <t>16/03/2025 12:30</t>
  </si>
  <si>
    <t>16/03/2025 12:45</t>
  </si>
  <si>
    <t>16/03/2025 13:00</t>
  </si>
  <si>
    <t>16/03/2025 13:15</t>
  </si>
  <si>
    <t>16/03/2025 13:30</t>
  </si>
  <si>
    <t>16/03/2025 13:45</t>
  </si>
  <si>
    <t>16/03/2025 14:00</t>
  </si>
  <si>
    <t>16/03/2025 14:15</t>
  </si>
  <si>
    <t>16/03/2025 14:30</t>
  </si>
  <si>
    <t>16/03/2025 14:45</t>
  </si>
  <si>
    <t>16/03/2025 15:00</t>
  </si>
  <si>
    <t>16/03/2025 15:15</t>
  </si>
  <si>
    <t>16/03/2025 15:30</t>
  </si>
  <si>
    <t>16/03/2025 15:45</t>
  </si>
  <si>
    <t>16/03/2025 16:00</t>
  </si>
  <si>
    <t>16/03/2025 16:15</t>
  </si>
  <si>
    <t>16/03/2025 16:30</t>
  </si>
  <si>
    <t>16/03/2025 16:45</t>
  </si>
  <si>
    <t>16/03/2025 17:00</t>
  </si>
  <si>
    <t>16/03/2025 17:15</t>
  </si>
  <si>
    <t>16/03/2025 17:30</t>
  </si>
  <si>
    <t>16/03/2025 17:45</t>
  </si>
  <si>
    <t>16/03/2025 18:00</t>
  </si>
  <si>
    <t>16/03/2025 18:15</t>
  </si>
  <si>
    <t>16/03/2025 18:30</t>
  </si>
  <si>
    <t>16/03/2025 18:45</t>
  </si>
  <si>
    <t>16/03/2025 19:00</t>
  </si>
  <si>
    <t>16/03/2025 19:15</t>
  </si>
  <si>
    <t>16/03/2025 19:30</t>
  </si>
  <si>
    <t>16/03/2025 19:45</t>
  </si>
  <si>
    <t>16/03/2025 20:00</t>
  </si>
  <si>
    <t>16/03/2025 20:15</t>
  </si>
  <si>
    <t>16/03/2025 20:30</t>
  </si>
  <si>
    <t>16/03/2025 20:45</t>
  </si>
  <si>
    <t>16/03/2025 21:00</t>
  </si>
  <si>
    <t>16/03/2025 21:15</t>
  </si>
  <si>
    <t>16/03/2025 21:30</t>
  </si>
  <si>
    <t>16/03/2025 21:45</t>
  </si>
  <si>
    <t>16/03/2025 22:00</t>
  </si>
  <si>
    <t>16/03/2025 22:15</t>
  </si>
  <si>
    <t>16/03/2025 22:30</t>
  </si>
  <si>
    <t>16/03/2025 22:45</t>
  </si>
  <si>
    <t>16/03/2025 23:00</t>
  </si>
  <si>
    <t>16/03/2025 23:15</t>
  </si>
  <si>
    <t>16/03/2025 23:30</t>
  </si>
  <si>
    <t>16/03/2025 23:45</t>
  </si>
  <si>
    <t>16/03/2025 24:00</t>
  </si>
  <si>
    <t>17/03/2025 00:15</t>
  </si>
  <si>
    <t>17/03/2025 00:30</t>
  </si>
  <si>
    <t>17/03/2025 00:45</t>
  </si>
  <si>
    <t>17/03/2025 01:00</t>
  </si>
  <si>
    <t>17/03/2025 01:15</t>
  </si>
  <si>
    <t>17/03/2025 01:30</t>
  </si>
  <si>
    <t>17/03/2025 01:45</t>
  </si>
  <si>
    <t>17/03/2025 02:00</t>
  </si>
  <si>
    <t>17/03/2025 02:15</t>
  </si>
  <si>
    <t>17/03/2025 02:30</t>
  </si>
  <si>
    <t>17/03/2025 02:45</t>
  </si>
  <si>
    <t>17/03/2025 03:00</t>
  </si>
  <si>
    <t>17/03/2025 03:15</t>
  </si>
  <si>
    <t>17/03/2025 03:30</t>
  </si>
  <si>
    <t>17/03/2025 03:45</t>
  </si>
  <si>
    <t>17/03/2025 04:00</t>
  </si>
  <si>
    <t>17/03/2025 04:15</t>
  </si>
  <si>
    <t>17/03/2025 04:30</t>
  </si>
  <si>
    <t>17/03/2025 04:45</t>
  </si>
  <si>
    <t>17/03/2025 05:00</t>
  </si>
  <si>
    <t>17/03/2025 05:15</t>
  </si>
  <si>
    <t>17/03/2025 05:30</t>
  </si>
  <si>
    <t>17/03/2025 05:45</t>
  </si>
  <si>
    <t>17/03/2025 06:00</t>
  </si>
  <si>
    <t>17/03/2025 06:15</t>
  </si>
  <si>
    <t>17/03/2025 06:30</t>
  </si>
  <si>
    <t>17/03/2025 06:45</t>
  </si>
  <si>
    <t>17/03/2025 07:00</t>
  </si>
  <si>
    <t>17/03/2025 07:15</t>
  </si>
  <si>
    <t>17/03/2025 07:30</t>
  </si>
  <si>
    <t>17/03/2025 07:45</t>
  </si>
  <si>
    <t>17/03/2025 08:00</t>
  </si>
  <si>
    <t>17/03/2025 08:15</t>
  </si>
  <si>
    <t>17/03/2025 08:30</t>
  </si>
  <si>
    <t>17/03/2025 08:45</t>
  </si>
  <si>
    <t>17/03/2025 09:00</t>
  </si>
  <si>
    <t>17/03/2025 09:15</t>
  </si>
  <si>
    <t>17/03/2025 09:30</t>
  </si>
  <si>
    <t>17/03/2025 09:45</t>
  </si>
  <si>
    <t>17/03/2025 10:00</t>
  </si>
  <si>
    <t>17/03/2025 10:15</t>
  </si>
  <si>
    <t>17/03/2025 10:30</t>
  </si>
  <si>
    <t>17/03/2025 10:45</t>
  </si>
  <si>
    <t>17/03/2025 11:00</t>
  </si>
  <si>
    <t>17/03/2025 11:15</t>
  </si>
  <si>
    <t>17/03/2025 11:30</t>
  </si>
  <si>
    <t>17/03/2025 11:45</t>
  </si>
  <si>
    <t>17/03/2025 12:00</t>
  </si>
  <si>
    <t>17/03/2025 12:15</t>
  </si>
  <si>
    <t>17/03/2025 12:30</t>
  </si>
  <si>
    <t>17/03/2025 12:45</t>
  </si>
  <si>
    <t>17/03/2025 13:00</t>
  </si>
  <si>
    <t>17/03/2025 13:15</t>
  </si>
  <si>
    <t>17/03/2025 13:30</t>
  </si>
  <si>
    <t>17/03/2025 13:45</t>
  </si>
  <si>
    <t>17/03/2025 14:00</t>
  </si>
  <si>
    <t>17/03/2025 14:15</t>
  </si>
  <si>
    <t>17/03/2025 14:30</t>
  </si>
  <si>
    <t>17/03/2025 14:45</t>
  </si>
  <si>
    <t>17/03/2025 15:00</t>
  </si>
  <si>
    <t>17/03/2025 15:15</t>
  </si>
  <si>
    <t>17/03/2025 15:30</t>
  </si>
  <si>
    <t>17/03/2025 15:45</t>
  </si>
  <si>
    <t>17/03/2025 16:00</t>
  </si>
  <si>
    <t>17/03/2025 16:15</t>
  </si>
  <si>
    <t>17/03/2025 16:30</t>
  </si>
  <si>
    <t>17/03/2025 16:45</t>
  </si>
  <si>
    <t>17/03/2025 17:00</t>
  </si>
  <si>
    <t>17/03/2025 17:15</t>
  </si>
  <si>
    <t>17/03/2025 17:30</t>
  </si>
  <si>
    <t>17/03/2025 17:45</t>
  </si>
  <si>
    <t>17/03/2025 18:00</t>
  </si>
  <si>
    <t>17/03/2025 18:15</t>
  </si>
  <si>
    <t>17/03/2025 18:30</t>
  </si>
  <si>
    <t>17/03/2025 18:45</t>
  </si>
  <si>
    <t>17/03/2025 19:00</t>
  </si>
  <si>
    <t>17/03/2025 19:15</t>
  </si>
  <si>
    <t>17/03/2025 19:30</t>
  </si>
  <si>
    <t>17/03/2025 19:45</t>
  </si>
  <si>
    <t>17/03/2025 20:00</t>
  </si>
  <si>
    <t>17/03/2025 20:15</t>
  </si>
  <si>
    <t>17/03/2025 20:30</t>
  </si>
  <si>
    <t>17/03/2025 20:45</t>
  </si>
  <si>
    <t>17/03/2025 21:00</t>
  </si>
  <si>
    <t>17/03/2025 21:15</t>
  </si>
  <si>
    <t>17/03/2025 21:30</t>
  </si>
  <si>
    <t>17/03/2025 21:45</t>
  </si>
  <si>
    <t>17/03/2025 22:00</t>
  </si>
  <si>
    <t>17/03/2025 22:15</t>
  </si>
  <si>
    <t>17/03/2025 22:30</t>
  </si>
  <si>
    <t>17/03/2025 22:45</t>
  </si>
  <si>
    <t>17/03/2025 23:00</t>
  </si>
  <si>
    <t>17/03/2025 23:15</t>
  </si>
  <si>
    <t>17/03/2025 23:30</t>
  </si>
  <si>
    <t>17/03/2025 23:45</t>
  </si>
  <si>
    <t>17/03/2025 24:00</t>
  </si>
  <si>
    <t>18/03/2025 00:15</t>
  </si>
  <si>
    <t>18/03/2025 00:30</t>
  </si>
  <si>
    <t>18/03/2025 00:45</t>
  </si>
  <si>
    <t>18/03/2025 01:00</t>
  </si>
  <si>
    <t>18/03/2025 01:15</t>
  </si>
  <si>
    <t>18/03/2025 01:30</t>
  </si>
  <si>
    <t>18/03/2025 01:45</t>
  </si>
  <si>
    <t>18/03/2025 02:00</t>
  </si>
  <si>
    <t>18/03/2025 02:15</t>
  </si>
  <si>
    <t>18/03/2025 02:30</t>
  </si>
  <si>
    <t>18/03/2025 02:45</t>
  </si>
  <si>
    <t>18/03/2025 03:00</t>
  </si>
  <si>
    <t>18/03/2025 03:15</t>
  </si>
  <si>
    <t>18/03/2025 03:30</t>
  </si>
  <si>
    <t>18/03/2025 03:45</t>
  </si>
  <si>
    <t>18/03/2025 04:00</t>
  </si>
  <si>
    <t>18/03/2025 04:15</t>
  </si>
  <si>
    <t>18/03/2025 04:30</t>
  </si>
  <si>
    <t>18/03/2025 04:45</t>
  </si>
  <si>
    <t>18/03/2025 05:00</t>
  </si>
  <si>
    <t>18/03/2025 05:15</t>
  </si>
  <si>
    <t>18/03/2025 05:30</t>
  </si>
  <si>
    <t>18/03/2025 05:45</t>
  </si>
  <si>
    <t>18/03/2025 06:00</t>
  </si>
  <si>
    <t>18/03/2025 06:15</t>
  </si>
  <si>
    <t>18/03/2025 06:30</t>
  </si>
  <si>
    <t>18/03/2025 06:45</t>
  </si>
  <si>
    <t>18/03/2025 07:00</t>
  </si>
  <si>
    <t>18/03/2025 07:15</t>
  </si>
  <si>
    <t>18/03/2025 07:30</t>
  </si>
  <si>
    <t>18/03/2025 07:45</t>
  </si>
  <si>
    <t>18/03/2025 08:00</t>
  </si>
  <si>
    <t>18/03/2025 08:15</t>
  </si>
  <si>
    <t>18/03/2025 08:30</t>
  </si>
  <si>
    <t>18/03/2025 08:45</t>
  </si>
  <si>
    <t>18/03/2025 09:00</t>
  </si>
  <si>
    <t>18/03/2025 09:15</t>
  </si>
  <si>
    <t>18/03/2025 09:30</t>
  </si>
  <si>
    <t>18/03/2025 09:45</t>
  </si>
  <si>
    <t>18/03/2025 10:00</t>
  </si>
  <si>
    <t>18/03/2025 10:15</t>
  </si>
  <si>
    <t>18/03/2025 10:30</t>
  </si>
  <si>
    <t>18/03/2025 10:45</t>
  </si>
  <si>
    <t>18/03/2025 11:00</t>
  </si>
  <si>
    <t>18/03/2025 11:15</t>
  </si>
  <si>
    <t>18/03/2025 11:30</t>
  </si>
  <si>
    <t>18/03/2025 11:45</t>
  </si>
  <si>
    <t>18/03/2025 12:00</t>
  </si>
  <si>
    <t>18/03/2025 12:15</t>
  </si>
  <si>
    <t>18/03/2025 12:30</t>
  </si>
  <si>
    <t>18/03/2025 12:45</t>
  </si>
  <si>
    <t>18/03/2025 13:00</t>
  </si>
  <si>
    <t>18/03/2025 13:15</t>
  </si>
  <si>
    <t>18/03/2025 13:30</t>
  </si>
  <si>
    <t>18/03/2025 13:45</t>
  </si>
  <si>
    <t>18/03/2025 14:00</t>
  </si>
  <si>
    <t>18/03/2025 14:15</t>
  </si>
  <si>
    <t>18/03/2025 14:30</t>
  </si>
  <si>
    <t>18/03/2025 14:45</t>
  </si>
  <si>
    <t>18/03/2025 15:00</t>
  </si>
  <si>
    <t>18/03/2025 15:15</t>
  </si>
  <si>
    <t>18/03/2025 15:30</t>
  </si>
  <si>
    <t>18/03/2025 15:45</t>
  </si>
  <si>
    <t>18/03/2025 16:00</t>
  </si>
  <si>
    <t>18/03/2025 16:15</t>
  </si>
  <si>
    <t>18/03/2025 16:30</t>
  </si>
  <si>
    <t>18/03/2025 16:45</t>
  </si>
  <si>
    <t>18/03/2025 17:00</t>
  </si>
  <si>
    <t>18/03/2025 17:15</t>
  </si>
  <si>
    <t>18/03/2025 17:30</t>
  </si>
  <si>
    <t>18/03/2025 17:45</t>
  </si>
  <si>
    <t>18/03/2025 18:00</t>
  </si>
  <si>
    <t>18/03/2025 18:15</t>
  </si>
  <si>
    <t>18/03/2025 18:30</t>
  </si>
  <si>
    <t>18/03/2025 18:45</t>
  </si>
  <si>
    <t>18/03/2025 19:00</t>
  </si>
  <si>
    <t>18/03/2025 19:15</t>
  </si>
  <si>
    <t>18/03/2025 19:30</t>
  </si>
  <si>
    <t>18/03/2025 19:45</t>
  </si>
  <si>
    <t>18/03/2025 20:00</t>
  </si>
  <si>
    <t>18/03/2025 20:15</t>
  </si>
  <si>
    <t>18/03/2025 20:30</t>
  </si>
  <si>
    <t>18/03/2025 20:45</t>
  </si>
  <si>
    <t>18/03/2025 21:00</t>
  </si>
  <si>
    <t>18/03/2025 21:15</t>
  </si>
  <si>
    <t>18/03/2025 21:30</t>
  </si>
  <si>
    <t>18/03/2025 21:45</t>
  </si>
  <si>
    <t>18/03/2025 22:00</t>
  </si>
  <si>
    <t>18/03/2025 22:15</t>
  </si>
  <si>
    <t>18/03/2025 22:30</t>
  </si>
  <si>
    <t>18/03/2025 22:45</t>
  </si>
  <si>
    <t>18/03/2025 23:00</t>
  </si>
  <si>
    <t>18/03/2025 23:15</t>
  </si>
  <si>
    <t>18/03/2025 23:30</t>
  </si>
  <si>
    <t>18/03/2025 23:45</t>
  </si>
  <si>
    <t>18/03/2025 24:00</t>
  </si>
  <si>
    <t>19/03/2025 00:15</t>
  </si>
  <si>
    <t>19/03/2025 00:30</t>
  </si>
  <si>
    <t>19/03/2025 00:45</t>
  </si>
  <si>
    <t>19/03/2025 01:00</t>
  </si>
  <si>
    <t>19/03/2025 01:15</t>
  </si>
  <si>
    <t>19/03/2025 01:30</t>
  </si>
  <si>
    <t>19/03/2025 01:45</t>
  </si>
  <si>
    <t>19/03/2025 02:00</t>
  </si>
  <si>
    <t>19/03/2025 02:15</t>
  </si>
  <si>
    <t>19/03/2025 02:30</t>
  </si>
  <si>
    <t>19/03/2025 02:45</t>
  </si>
  <si>
    <t>19/03/2025 03:00</t>
  </si>
  <si>
    <t>19/03/2025 03:15</t>
  </si>
  <si>
    <t>19/03/2025 03:30</t>
  </si>
  <si>
    <t>19/03/2025 03:45</t>
  </si>
  <si>
    <t>19/03/2025 04:00</t>
  </si>
  <si>
    <t>19/03/2025 04:15</t>
  </si>
  <si>
    <t>19/03/2025 04:30</t>
  </si>
  <si>
    <t>19/03/2025 04:45</t>
  </si>
  <si>
    <t>19/03/2025 05:00</t>
  </si>
  <si>
    <t>19/03/2025 05:15</t>
  </si>
  <si>
    <t>19/03/2025 05:30</t>
  </si>
  <si>
    <t>19/03/2025 05:45</t>
  </si>
  <si>
    <t>19/03/2025 06:00</t>
  </si>
  <si>
    <t>19/03/2025 06:15</t>
  </si>
  <si>
    <t>19/03/2025 06:30</t>
  </si>
  <si>
    <t>19/03/2025 06:45</t>
  </si>
  <si>
    <t>19/03/2025 07:00</t>
  </si>
  <si>
    <t>19/03/2025 07:15</t>
  </si>
  <si>
    <t>19/03/2025 07:30</t>
  </si>
  <si>
    <t>19/03/2025 07:45</t>
  </si>
  <si>
    <t>19/03/2025 08:00</t>
  </si>
  <si>
    <t>19/03/2025 08:15</t>
  </si>
  <si>
    <t>19/03/2025 08:30</t>
  </si>
  <si>
    <t>19/03/2025 08:45</t>
  </si>
  <si>
    <t>19/03/2025 09:00</t>
  </si>
  <si>
    <t>19/03/2025 09:15</t>
  </si>
  <si>
    <t>19/03/2025 09:30</t>
  </si>
  <si>
    <t>19/03/2025 09:45</t>
  </si>
  <si>
    <t>19/03/2025 10:00</t>
  </si>
  <si>
    <t>19/03/2025 10:15</t>
  </si>
  <si>
    <t>19/03/2025 10:30</t>
  </si>
  <si>
    <t>19/03/2025 10:45</t>
  </si>
  <si>
    <t>19/03/2025 11:00</t>
  </si>
  <si>
    <t>19/03/2025 11:15</t>
  </si>
  <si>
    <t>19/03/2025 11:30</t>
  </si>
  <si>
    <t>19/03/2025 11:45</t>
  </si>
  <si>
    <t>19/03/2025 12:00</t>
  </si>
  <si>
    <t>19/03/2025 12:15</t>
  </si>
  <si>
    <t>19/03/2025 12:30</t>
  </si>
  <si>
    <t>19/03/2025 12:45</t>
  </si>
  <si>
    <t>19/03/2025 13:00</t>
  </si>
  <si>
    <t>19/03/2025 13:15</t>
  </si>
  <si>
    <t>19/03/2025 13:30</t>
  </si>
  <si>
    <t>19/03/2025 13:45</t>
  </si>
  <si>
    <t>19/03/2025 14:00</t>
  </si>
  <si>
    <t>19/03/2025 14:15</t>
  </si>
  <si>
    <t>19/03/2025 14:30</t>
  </si>
  <si>
    <t>19/03/2025 14:45</t>
  </si>
  <si>
    <t>19/03/2025 15:00</t>
  </si>
  <si>
    <t>19/03/2025 15:15</t>
  </si>
  <si>
    <t>19/03/2025 15:30</t>
  </si>
  <si>
    <t>19/03/2025 15:45</t>
  </si>
  <si>
    <t>19/03/2025 16:00</t>
  </si>
  <si>
    <t>19/03/2025 16:15</t>
  </si>
  <si>
    <t>19/03/2025 16:30</t>
  </si>
  <si>
    <t>19/03/2025 16:45</t>
  </si>
  <si>
    <t>19/03/2025 17:00</t>
  </si>
  <si>
    <t>19/03/2025 17:15</t>
  </si>
  <si>
    <t>19/03/2025 17:30</t>
  </si>
  <si>
    <t>19/03/2025 17:45</t>
  </si>
  <si>
    <t>19/03/2025 18:00</t>
  </si>
  <si>
    <t>19/03/2025 18:15</t>
  </si>
  <si>
    <t>19/03/2025 18:30</t>
  </si>
  <si>
    <t>19/03/2025 18:45</t>
  </si>
  <si>
    <t>19/03/2025 19:00</t>
  </si>
  <si>
    <t>19/03/2025 19:15</t>
  </si>
  <si>
    <t>19/03/2025 19:30</t>
  </si>
  <si>
    <t>19/03/2025 19:45</t>
  </si>
  <si>
    <t>19/03/2025 20:00</t>
  </si>
  <si>
    <t>19/03/2025 20:15</t>
  </si>
  <si>
    <t>19/03/2025 20:30</t>
  </si>
  <si>
    <t>19/03/2025 20:45</t>
  </si>
  <si>
    <t>19/03/2025 21:00</t>
  </si>
  <si>
    <t>19/03/2025 21:15</t>
  </si>
  <si>
    <t>19/03/2025 21:30</t>
  </si>
  <si>
    <t>19/03/2025 21:45</t>
  </si>
  <si>
    <t>19/03/2025 22:00</t>
  </si>
  <si>
    <t>19/03/2025 22:15</t>
  </si>
  <si>
    <t>19/03/2025 22:30</t>
  </si>
  <si>
    <t>19/03/2025 22:45</t>
  </si>
  <si>
    <t>19/03/2025 23:00</t>
  </si>
  <si>
    <t>19/03/2025 23:15</t>
  </si>
  <si>
    <t>19/03/2025 23:30</t>
  </si>
  <si>
    <t>19/03/2025 23:45</t>
  </si>
  <si>
    <t>19/03/2025 24:00</t>
  </si>
  <si>
    <t>20/03/2025 00:15</t>
  </si>
  <si>
    <t>20/03/2025 00:30</t>
  </si>
  <si>
    <t>20/03/2025 00:45</t>
  </si>
  <si>
    <t>20/03/2025 01:00</t>
  </si>
  <si>
    <t>20/03/2025 01:15</t>
  </si>
  <si>
    <t>20/03/2025 01:30</t>
  </si>
  <si>
    <t>20/03/2025 01:45</t>
  </si>
  <si>
    <t>20/03/2025 02:00</t>
  </si>
  <si>
    <t>20/03/2025 02:15</t>
  </si>
  <si>
    <t>20/03/2025 02:30</t>
  </si>
  <si>
    <t>20/03/2025 02:45</t>
  </si>
  <si>
    <t>20/03/2025 03:00</t>
  </si>
  <si>
    <t>20/03/2025 03:15</t>
  </si>
  <si>
    <t>20/03/2025 03:30</t>
  </si>
  <si>
    <t>20/03/2025 03:45</t>
  </si>
  <si>
    <t>20/03/2025 04:00</t>
  </si>
  <si>
    <t>20/03/2025 04:15</t>
  </si>
  <si>
    <t>20/03/2025 04:30</t>
  </si>
  <si>
    <t>20/03/2025 04:45</t>
  </si>
  <si>
    <t>20/03/2025 05:00</t>
  </si>
  <si>
    <t>20/03/2025 05:15</t>
  </si>
  <si>
    <t>20/03/2025 05:30</t>
  </si>
  <si>
    <t>20/03/2025 05:45</t>
  </si>
  <si>
    <t>20/03/2025 06:00</t>
  </si>
  <si>
    <t>20/03/2025 06:15</t>
  </si>
  <si>
    <t>20/03/2025 06:30</t>
  </si>
  <si>
    <t>20/03/2025 06:45</t>
  </si>
  <si>
    <t>20/03/2025 07:00</t>
  </si>
  <si>
    <t>20/03/2025 07:15</t>
  </si>
  <si>
    <t>20/03/2025 07:30</t>
  </si>
  <si>
    <t>20/03/2025 07:45</t>
  </si>
  <si>
    <t>20/03/2025 08:00</t>
  </si>
  <si>
    <t>20/03/2025 08:15</t>
  </si>
  <si>
    <t>20/03/2025 08:30</t>
  </si>
  <si>
    <t>20/03/2025 08:45</t>
  </si>
  <si>
    <t>20/03/2025 09:00</t>
  </si>
  <si>
    <t>20/03/2025 09:15</t>
  </si>
  <si>
    <t>20/03/2025 09:30</t>
  </si>
  <si>
    <t>20/03/2025 09:45</t>
  </si>
  <si>
    <t>20/03/2025 10:00</t>
  </si>
  <si>
    <t>20/03/2025 10:15</t>
  </si>
  <si>
    <t>20/03/2025 10:30</t>
  </si>
  <si>
    <t>20/03/2025 10:45</t>
  </si>
  <si>
    <t>20/03/2025 11:00</t>
  </si>
  <si>
    <t>20/03/2025 11:15</t>
  </si>
  <si>
    <t>20/03/2025 11:30</t>
  </si>
  <si>
    <t>20/03/2025 11:45</t>
  </si>
  <si>
    <t>20/03/2025 12:00</t>
  </si>
  <si>
    <t>20/03/2025 12:15</t>
  </si>
  <si>
    <t>20/03/2025 12:30</t>
  </si>
  <si>
    <t>20/03/2025 12:45</t>
  </si>
  <si>
    <t>20/03/2025 13:00</t>
  </si>
  <si>
    <t>20/03/2025 13:15</t>
  </si>
  <si>
    <t>20/03/2025 13:30</t>
  </si>
  <si>
    <t>20/03/2025 13:45</t>
  </si>
  <si>
    <t>20/03/2025 14:00</t>
  </si>
  <si>
    <t>20/03/2025 14:15</t>
  </si>
  <si>
    <t>20/03/2025 14:30</t>
  </si>
  <si>
    <t>20/03/2025 14:45</t>
  </si>
  <si>
    <t>20/03/2025 15:00</t>
  </si>
  <si>
    <t>20/03/2025 15:15</t>
  </si>
  <si>
    <t>20/03/2025 15:30</t>
  </si>
  <si>
    <t>20/03/2025 15:45</t>
  </si>
  <si>
    <t>20/03/2025 16:00</t>
  </si>
  <si>
    <t>20/03/2025 16:15</t>
  </si>
  <si>
    <t>20/03/2025 16:30</t>
  </si>
  <si>
    <t>20/03/2025 16:45</t>
  </si>
  <si>
    <t>20/03/2025 17:00</t>
  </si>
  <si>
    <t>20/03/2025 17:15</t>
  </si>
  <si>
    <t>20/03/2025 17:30</t>
  </si>
  <si>
    <t>20/03/2025 17:45</t>
  </si>
  <si>
    <t>20/03/2025 18:00</t>
  </si>
  <si>
    <t>20/03/2025 18:15</t>
  </si>
  <si>
    <t>20/03/2025 18:30</t>
  </si>
  <si>
    <t>20/03/2025 18:45</t>
  </si>
  <si>
    <t>20/03/2025 19:00</t>
  </si>
  <si>
    <t>20/03/2025 19:15</t>
  </si>
  <si>
    <t>20/03/2025 19:30</t>
  </si>
  <si>
    <t>20/03/2025 19:45</t>
  </si>
  <si>
    <t>20/03/2025 20:00</t>
  </si>
  <si>
    <t>20/03/2025 20:15</t>
  </si>
  <si>
    <t>20/03/2025 20:30</t>
  </si>
  <si>
    <t>20/03/2025 20:45</t>
  </si>
  <si>
    <t>20/03/2025 21:00</t>
  </si>
  <si>
    <t>20/03/2025 21:15</t>
  </si>
  <si>
    <t>20/03/2025 21:30</t>
  </si>
  <si>
    <t>20/03/2025 21:45</t>
  </si>
  <si>
    <t>20/03/2025 22:00</t>
  </si>
  <si>
    <t>20/03/2025 22:15</t>
  </si>
  <si>
    <t>20/03/2025 22:30</t>
  </si>
  <si>
    <t>20/03/2025 22:45</t>
  </si>
  <si>
    <t>20/03/2025 23:00</t>
  </si>
  <si>
    <t>20/03/2025 23:15</t>
  </si>
  <si>
    <t>20/03/2025 23:30</t>
  </si>
  <si>
    <t>20/03/2025 23:45</t>
  </si>
  <si>
    <t>20/03/2025 24:00</t>
  </si>
  <si>
    <t>21/03/2025 00:15</t>
  </si>
  <si>
    <t>21/03/2025 00:30</t>
  </si>
  <si>
    <t>21/03/2025 00:45</t>
  </si>
  <si>
    <t>21/03/2025 01:00</t>
  </si>
  <si>
    <t>21/03/2025 01:15</t>
  </si>
  <si>
    <t>21/03/2025 01:30</t>
  </si>
  <si>
    <t>21/03/2025 01:45</t>
  </si>
  <si>
    <t>21/03/2025 02:00</t>
  </si>
  <si>
    <t>21/03/2025 02:15</t>
  </si>
  <si>
    <t>21/03/2025 02:30</t>
  </si>
  <si>
    <t>21/03/2025 02:45</t>
  </si>
  <si>
    <t>21/03/2025 03:00</t>
  </si>
  <si>
    <t>21/03/2025 03:15</t>
  </si>
  <si>
    <t>21/03/2025 03:30</t>
  </si>
  <si>
    <t>21/03/2025 03:45</t>
  </si>
  <si>
    <t>21/03/2025 04:00</t>
  </si>
  <si>
    <t>21/03/2025 04:15</t>
  </si>
  <si>
    <t>21/03/2025 04:30</t>
  </si>
  <si>
    <t>21/03/2025 04:45</t>
  </si>
  <si>
    <t>21/03/2025 05:00</t>
  </si>
  <si>
    <t>21/03/2025 05:15</t>
  </si>
  <si>
    <t>21/03/2025 05:30</t>
  </si>
  <si>
    <t>21/03/2025 05:45</t>
  </si>
  <si>
    <t>21/03/2025 06:00</t>
  </si>
  <si>
    <t>21/03/2025 06:15</t>
  </si>
  <si>
    <t>21/03/2025 06:30</t>
  </si>
  <si>
    <t>21/03/2025 06:45</t>
  </si>
  <si>
    <t>21/03/2025 07:00</t>
  </si>
  <si>
    <t>21/03/2025 07:15</t>
  </si>
  <si>
    <t>21/03/2025 07:30</t>
  </si>
  <si>
    <t>21/03/2025 07:45</t>
  </si>
  <si>
    <t>21/03/2025 08:00</t>
  </si>
  <si>
    <t>21/03/2025 08:15</t>
  </si>
  <si>
    <t>21/03/2025 08:30</t>
  </si>
  <si>
    <t>21/03/2025 08:45</t>
  </si>
  <si>
    <t>21/03/2025 09:00</t>
  </si>
  <si>
    <t>21/03/2025 09:15</t>
  </si>
  <si>
    <t>21/03/2025 09:30</t>
  </si>
  <si>
    <t>21/03/2025 09:45</t>
  </si>
  <si>
    <t>21/03/2025 10:00</t>
  </si>
  <si>
    <t>21/03/2025 10:15</t>
  </si>
  <si>
    <t>21/03/2025 10:30</t>
  </si>
  <si>
    <t>21/03/2025 10:45</t>
  </si>
  <si>
    <t>21/03/2025 11:00</t>
  </si>
  <si>
    <t>21/03/2025 11:15</t>
  </si>
  <si>
    <t>21/03/2025 11:30</t>
  </si>
  <si>
    <t>21/03/2025 11:45</t>
  </si>
  <si>
    <t>21/03/2025 12:00</t>
  </si>
  <si>
    <t>21/03/2025 12:15</t>
  </si>
  <si>
    <t>21/03/2025 12:30</t>
  </si>
  <si>
    <t>21/03/2025 12:45</t>
  </si>
  <si>
    <t>21/03/2025 13:00</t>
  </si>
  <si>
    <t>21/03/2025 13:15</t>
  </si>
  <si>
    <t>21/03/2025 13:30</t>
  </si>
  <si>
    <t>21/03/2025 13:45</t>
  </si>
  <si>
    <t>21/03/2025 14:00</t>
  </si>
  <si>
    <t>21/03/2025 14:15</t>
  </si>
  <si>
    <t>21/03/2025 14:30</t>
  </si>
  <si>
    <t>21/03/2025 14:45</t>
  </si>
  <si>
    <t>21/03/2025 15:00</t>
  </si>
  <si>
    <t>21/03/2025 15:15</t>
  </si>
  <si>
    <t>21/03/2025 15:30</t>
  </si>
  <si>
    <t>21/03/2025 15:45</t>
  </si>
  <si>
    <t>21/03/2025 16:00</t>
  </si>
  <si>
    <t>21/03/2025 16:15</t>
  </si>
  <si>
    <t>21/03/2025 16:30</t>
  </si>
  <si>
    <t>21/03/2025 16:45</t>
  </si>
  <si>
    <t>21/03/2025 17:00</t>
  </si>
  <si>
    <t>21/03/2025 17:15</t>
  </si>
  <si>
    <t>21/03/2025 17:30</t>
  </si>
  <si>
    <t>21/03/2025 17:45</t>
  </si>
  <si>
    <t>21/03/2025 18:00</t>
  </si>
  <si>
    <t>21/03/2025 18:15</t>
  </si>
  <si>
    <t>21/03/2025 18:30</t>
  </si>
  <si>
    <t>21/03/2025 18:45</t>
  </si>
  <si>
    <t>21/03/2025 19:00</t>
  </si>
  <si>
    <t>21/03/2025 19:15</t>
  </si>
  <si>
    <t>21/03/2025 19:30</t>
  </si>
  <si>
    <t>21/03/2025 19:45</t>
  </si>
  <si>
    <t>21/03/2025 20:00</t>
  </si>
  <si>
    <t>21/03/2025 20:15</t>
  </si>
  <si>
    <t>21/03/2025 20:30</t>
  </si>
  <si>
    <t>21/03/2025 20:45</t>
  </si>
  <si>
    <t>21/03/2025 21:00</t>
  </si>
  <si>
    <t>21/03/2025 21:15</t>
  </si>
  <si>
    <t>21/03/2025 21:30</t>
  </si>
  <si>
    <t>21/03/2025 21:45</t>
  </si>
  <si>
    <t>21/03/2025 22:00</t>
  </si>
  <si>
    <t>21/03/2025 22:15</t>
  </si>
  <si>
    <t>21/03/2025 22:30</t>
  </si>
  <si>
    <t>21/03/2025 22:45</t>
  </si>
  <si>
    <t>21/03/2025 23:00</t>
  </si>
  <si>
    <t>21/03/2025 23:15</t>
  </si>
  <si>
    <t>21/03/2025 23:30</t>
  </si>
  <si>
    <t>21/03/2025 23:45</t>
  </si>
  <si>
    <t>21/03/2025 24:00</t>
  </si>
  <si>
    <t>22/03/2025 00:15</t>
  </si>
  <si>
    <t>22/03/2025 00:30</t>
  </si>
  <si>
    <t>22/03/2025 00:45</t>
  </si>
  <si>
    <t>22/03/2025 01:00</t>
  </si>
  <si>
    <t>22/03/2025 01:15</t>
  </si>
  <si>
    <t>22/03/2025 01:30</t>
  </si>
  <si>
    <t>22/03/2025 01:45</t>
  </si>
  <si>
    <t>22/03/2025 02:00</t>
  </si>
  <si>
    <t>22/03/2025 02:15</t>
  </si>
  <si>
    <t>22/03/2025 02:30</t>
  </si>
  <si>
    <t>22/03/2025 02:45</t>
  </si>
  <si>
    <t>22/03/2025 03:00</t>
  </si>
  <si>
    <t>22/03/2025 03:15</t>
  </si>
  <si>
    <t>22/03/2025 03:30</t>
  </si>
  <si>
    <t>22/03/2025 03:45</t>
  </si>
  <si>
    <t>22/03/2025 04:00</t>
  </si>
  <si>
    <t>22/03/2025 04:15</t>
  </si>
  <si>
    <t>22/03/2025 04:30</t>
  </si>
  <si>
    <t>22/03/2025 04:45</t>
  </si>
  <si>
    <t>22/03/2025 05:00</t>
  </si>
  <si>
    <t>22/03/2025 05:15</t>
  </si>
  <si>
    <t>22/03/2025 05:30</t>
  </si>
  <si>
    <t>22/03/2025 05:45</t>
  </si>
  <si>
    <t>22/03/2025 06:00</t>
  </si>
  <si>
    <t>22/03/2025 06:15</t>
  </si>
  <si>
    <t>22/03/2025 06:30</t>
  </si>
  <si>
    <t>22/03/2025 06:45</t>
  </si>
  <si>
    <t>22/03/2025 07:00</t>
  </si>
  <si>
    <t>22/03/2025 07:15</t>
  </si>
  <si>
    <t>22/03/2025 07:30</t>
  </si>
  <si>
    <t>22/03/2025 07:45</t>
  </si>
  <si>
    <t>22/03/2025 08:00</t>
  </si>
  <si>
    <t>22/03/2025 08:15</t>
  </si>
  <si>
    <t>22/03/2025 08:30</t>
  </si>
  <si>
    <t>22/03/2025 08:45</t>
  </si>
  <si>
    <t>22/03/2025 09:00</t>
  </si>
  <si>
    <t>22/03/2025 09:15</t>
  </si>
  <si>
    <t>22/03/2025 09:30</t>
  </si>
  <si>
    <t>22/03/2025 09:45</t>
  </si>
  <si>
    <t>22/03/2025 10:00</t>
  </si>
  <si>
    <t>22/03/2025 10:15</t>
  </si>
  <si>
    <t>22/03/2025 10:30</t>
  </si>
  <si>
    <t>22/03/2025 10:45</t>
  </si>
  <si>
    <t>22/03/2025 11:00</t>
  </si>
  <si>
    <t>22/03/2025 11:15</t>
  </si>
  <si>
    <t>22/03/2025 11:30</t>
  </si>
  <si>
    <t>22/03/2025 11:45</t>
  </si>
  <si>
    <t>22/03/2025 12:00</t>
  </si>
  <si>
    <t>22/03/2025 12:15</t>
  </si>
  <si>
    <t>22/03/2025 12:30</t>
  </si>
  <si>
    <t>22/03/2025 12:45</t>
  </si>
  <si>
    <t>22/03/2025 13:00</t>
  </si>
  <si>
    <t>22/03/2025 13:15</t>
  </si>
  <si>
    <t>22/03/2025 13:30</t>
  </si>
  <si>
    <t>22/03/2025 13:45</t>
  </si>
  <si>
    <t>22/03/2025 14:00</t>
  </si>
  <si>
    <t>22/03/2025 14:15</t>
  </si>
  <si>
    <t>22/03/2025 14:30</t>
  </si>
  <si>
    <t>22/03/2025 14:45</t>
  </si>
  <si>
    <t>22/03/2025 15:00</t>
  </si>
  <si>
    <t>22/03/2025 15:15</t>
  </si>
  <si>
    <t>22/03/2025 15:30</t>
  </si>
  <si>
    <t>22/03/2025 15:45</t>
  </si>
  <si>
    <t>22/03/2025 16:00</t>
  </si>
  <si>
    <t>22/03/2025 16:15</t>
  </si>
  <si>
    <t>22/03/2025 16:30</t>
  </si>
  <si>
    <t>22/03/2025 16:45</t>
  </si>
  <si>
    <t>22/03/2025 17:00</t>
  </si>
  <si>
    <t>22/03/2025 17:15</t>
  </si>
  <si>
    <t>22/03/2025 17:30</t>
  </si>
  <si>
    <t>22/03/2025 17:45</t>
  </si>
  <si>
    <t>22/03/2025 18:00</t>
  </si>
  <si>
    <t>22/03/2025 18:15</t>
  </si>
  <si>
    <t>22/03/2025 18:30</t>
  </si>
  <si>
    <t>22/03/2025 18:45</t>
  </si>
  <si>
    <t>22/03/2025 19:00</t>
  </si>
  <si>
    <t>22/03/2025 19:15</t>
  </si>
  <si>
    <t>22/03/2025 19:30</t>
  </si>
  <si>
    <t>22/03/2025 19:45</t>
  </si>
  <si>
    <t>22/03/2025 20:00</t>
  </si>
  <si>
    <t>22/03/2025 20:15</t>
  </si>
  <si>
    <t>22/03/2025 20:30</t>
  </si>
  <si>
    <t>22/03/2025 20:45</t>
  </si>
  <si>
    <t>22/03/2025 21:00</t>
  </si>
  <si>
    <t>22/03/2025 21:15</t>
  </si>
  <si>
    <t>22/03/2025 21:30</t>
  </si>
  <si>
    <t>22/03/2025 21:45</t>
  </si>
  <si>
    <t>22/03/2025 22:00</t>
  </si>
  <si>
    <t>22/03/2025 22:15</t>
  </si>
  <si>
    <t>22/03/2025 22:30</t>
  </si>
  <si>
    <t>22/03/2025 22:45</t>
  </si>
  <si>
    <t>22/03/2025 23:00</t>
  </si>
  <si>
    <t>22/03/2025 23:15</t>
  </si>
  <si>
    <t>22/03/2025 23:30</t>
  </si>
  <si>
    <t>22/03/2025 23:45</t>
  </si>
  <si>
    <t>22/03/2025 24:00</t>
  </si>
  <si>
    <t>23/03/2025 00:15</t>
  </si>
  <si>
    <t>23/03/2025 00:30</t>
  </si>
  <si>
    <t>23/03/2025 00:45</t>
  </si>
  <si>
    <t>23/03/2025 01:00</t>
  </si>
  <si>
    <t>23/03/2025 01:15</t>
  </si>
  <si>
    <t>23/03/2025 01:30</t>
  </si>
  <si>
    <t>23/03/2025 01:45</t>
  </si>
  <si>
    <t>23/03/2025 02:00</t>
  </si>
  <si>
    <t>23/03/2025 02:15</t>
  </si>
  <si>
    <t>23/03/2025 02:30</t>
  </si>
  <si>
    <t>23/03/2025 02:45</t>
  </si>
  <si>
    <t>23/03/2025 03:00</t>
  </si>
  <si>
    <t>23/03/2025 03:15</t>
  </si>
  <si>
    <t>23/03/2025 03:30</t>
  </si>
  <si>
    <t>23/03/2025 03:45</t>
  </si>
  <si>
    <t>23/03/2025 04:00</t>
  </si>
  <si>
    <t>23/03/2025 04:15</t>
  </si>
  <si>
    <t>23/03/2025 04:30</t>
  </si>
  <si>
    <t>23/03/2025 04:45</t>
  </si>
  <si>
    <t>23/03/2025 05:00</t>
  </si>
  <si>
    <t>23/03/2025 05:15</t>
  </si>
  <si>
    <t>23/03/2025 05:30</t>
  </si>
  <si>
    <t>23/03/2025 05:45</t>
  </si>
  <si>
    <t>23/03/2025 06:00</t>
  </si>
  <si>
    <t>23/03/2025 06:15</t>
  </si>
  <si>
    <t>23/03/2025 06:30</t>
  </si>
  <si>
    <t>23/03/2025 06:45</t>
  </si>
  <si>
    <t>23/03/2025 07:00</t>
  </si>
  <si>
    <t>23/03/2025 07:15</t>
  </si>
  <si>
    <t>23/03/2025 07:30</t>
  </si>
  <si>
    <t>23/03/2025 07:45</t>
  </si>
  <si>
    <t>23/03/2025 08:00</t>
  </si>
  <si>
    <t>23/03/2025 08:15</t>
  </si>
  <si>
    <t>23/03/2025 08:30</t>
  </si>
  <si>
    <t>23/03/2025 08:45</t>
  </si>
  <si>
    <t>23/03/2025 09:00</t>
  </si>
  <si>
    <t>23/03/2025 09:15</t>
  </si>
  <si>
    <t>23/03/2025 09:30</t>
  </si>
  <si>
    <t>23/03/2025 09:45</t>
  </si>
  <si>
    <t>23/03/2025 10:00</t>
  </si>
  <si>
    <t>23/03/2025 10:15</t>
  </si>
  <si>
    <t>23/03/2025 10:30</t>
  </si>
  <si>
    <t>23/03/2025 10:45</t>
  </si>
  <si>
    <t>23/03/2025 11:00</t>
  </si>
  <si>
    <t>23/03/2025 11:15</t>
  </si>
  <si>
    <t>23/03/2025 11:30</t>
  </si>
  <si>
    <t>23/03/2025 11:45</t>
  </si>
  <si>
    <t>23/03/2025 12:00</t>
  </si>
  <si>
    <t>23/03/2025 12:15</t>
  </si>
  <si>
    <t>23/03/2025 12:30</t>
  </si>
  <si>
    <t>23/03/2025 12:45</t>
  </si>
  <si>
    <t>23/03/2025 13:00</t>
  </si>
  <si>
    <t>23/03/2025 13:15</t>
  </si>
  <si>
    <t>23/03/2025 13:30</t>
  </si>
  <si>
    <t>23/03/2025 13:45</t>
  </si>
  <si>
    <t>23/03/2025 14:00</t>
  </si>
  <si>
    <t>23/03/2025 14:15</t>
  </si>
  <si>
    <t>23/03/2025 14:30</t>
  </si>
  <si>
    <t>23/03/2025 14:45</t>
  </si>
  <si>
    <t>23/03/2025 15:00</t>
  </si>
  <si>
    <t>23/03/2025 15:15</t>
  </si>
  <si>
    <t>23/03/2025 15:30</t>
  </si>
  <si>
    <t>23/03/2025 15:45</t>
  </si>
  <si>
    <t>23/03/2025 16:00</t>
  </si>
  <si>
    <t>23/03/2025 16:15</t>
  </si>
  <si>
    <t>23/03/2025 16:30</t>
  </si>
  <si>
    <t>23/03/2025 16:45</t>
  </si>
  <si>
    <t>23/03/2025 17:00</t>
  </si>
  <si>
    <t>23/03/2025 17:15</t>
  </si>
  <si>
    <t>23/03/2025 17:30</t>
  </si>
  <si>
    <t>23/03/2025 17:45</t>
  </si>
  <si>
    <t>23/03/2025 18:00</t>
  </si>
  <si>
    <t>23/03/2025 18:15</t>
  </si>
  <si>
    <t>23/03/2025 18:30</t>
  </si>
  <si>
    <t>23/03/2025 18:45</t>
  </si>
  <si>
    <t>23/03/2025 19:00</t>
  </si>
  <si>
    <t>23/03/2025 19:15</t>
  </si>
  <si>
    <t>23/03/2025 19:30</t>
  </si>
  <si>
    <t>23/03/2025 19:45</t>
  </si>
  <si>
    <t>23/03/2025 20:00</t>
  </si>
  <si>
    <t>23/03/2025 20:15</t>
  </si>
  <si>
    <t>23/03/2025 20:30</t>
  </si>
  <si>
    <t>23/03/2025 20:45</t>
  </si>
  <si>
    <t>23/03/2025 21:00</t>
  </si>
  <si>
    <t>23/03/2025 21:15</t>
  </si>
  <si>
    <t>23/03/2025 21:30</t>
  </si>
  <si>
    <t>23/03/2025 21:45</t>
  </si>
  <si>
    <t>23/03/2025 22:00</t>
  </si>
  <si>
    <t>23/03/2025 22:15</t>
  </si>
  <si>
    <t>23/03/2025 22:30</t>
  </si>
  <si>
    <t>23/03/2025 22:45</t>
  </si>
  <si>
    <t>23/03/2025 23:00</t>
  </si>
  <si>
    <t>23/03/2025 23:15</t>
  </si>
  <si>
    <t>23/03/2025 23:30</t>
  </si>
  <si>
    <t>23/03/2025 23:45</t>
  </si>
  <si>
    <t>23/03/2025 24:00</t>
  </si>
  <si>
    <t>24/03/2025 00:15</t>
  </si>
  <si>
    <t>24/03/2025 00:30</t>
  </si>
  <si>
    <t>24/03/2025 00:45</t>
  </si>
  <si>
    <t>24/03/2025 01:00</t>
  </si>
  <si>
    <t>24/03/2025 01:15</t>
  </si>
  <si>
    <t>24/03/2025 01:30</t>
  </si>
  <si>
    <t>24/03/2025 01:45</t>
  </si>
  <si>
    <t>24/03/2025 02:00</t>
  </si>
  <si>
    <t>24/03/2025 02:15</t>
  </si>
  <si>
    <t>24/03/2025 02:30</t>
  </si>
  <si>
    <t>24/03/2025 02:45</t>
  </si>
  <si>
    <t>24/03/2025 03:00</t>
  </si>
  <si>
    <t>24/03/2025 03:15</t>
  </si>
  <si>
    <t>24/03/2025 03:30</t>
  </si>
  <si>
    <t>24/03/2025 03:45</t>
  </si>
  <si>
    <t>24/03/2025 04:00</t>
  </si>
  <si>
    <t>24/03/2025 04:15</t>
  </si>
  <si>
    <t>24/03/2025 04:30</t>
  </si>
  <si>
    <t>24/03/2025 04:45</t>
  </si>
  <si>
    <t>24/03/2025 05:00</t>
  </si>
  <si>
    <t>24/03/2025 05:15</t>
  </si>
  <si>
    <t>24/03/2025 05:30</t>
  </si>
  <si>
    <t>24/03/2025 05:45</t>
  </si>
  <si>
    <t>24/03/2025 06:00</t>
  </si>
  <si>
    <t>24/03/2025 06:15</t>
  </si>
  <si>
    <t>24/03/2025 06:30</t>
  </si>
  <si>
    <t>24/03/2025 06:45</t>
  </si>
  <si>
    <t>24/03/2025 07:00</t>
  </si>
  <si>
    <t>24/03/2025 07:15</t>
  </si>
  <si>
    <t>24/03/2025 07:30</t>
  </si>
  <si>
    <t>24/03/2025 07:45</t>
  </si>
  <si>
    <t>24/03/2025 08:00</t>
  </si>
  <si>
    <t>24/03/2025 08:15</t>
  </si>
  <si>
    <t>24/03/2025 08:30</t>
  </si>
  <si>
    <t>24/03/2025 08:45</t>
  </si>
  <si>
    <t>24/03/2025 09:00</t>
  </si>
  <si>
    <t>24/03/2025 09:15</t>
  </si>
  <si>
    <t>24/03/2025 09:30</t>
  </si>
  <si>
    <t>24/03/2025 09:45</t>
  </si>
  <si>
    <t>24/03/2025 10:00</t>
  </si>
  <si>
    <t>24/03/2025 10:15</t>
  </si>
  <si>
    <t>24/03/2025 10:30</t>
  </si>
  <si>
    <t>24/03/2025 10:45</t>
  </si>
  <si>
    <t>24/03/2025 11:00</t>
  </si>
  <si>
    <t>24/03/2025 11:15</t>
  </si>
  <si>
    <t>24/03/2025 11:30</t>
  </si>
  <si>
    <t>24/03/2025 11:45</t>
  </si>
  <si>
    <t>24/03/2025 12:00</t>
  </si>
  <si>
    <t>24/03/2025 12:15</t>
  </si>
  <si>
    <t>24/03/2025 12:30</t>
  </si>
  <si>
    <t>24/03/2025 12:45</t>
  </si>
  <si>
    <t>24/03/2025 13:00</t>
  </si>
  <si>
    <t>24/03/2025 13:15</t>
  </si>
  <si>
    <t>24/03/2025 13:30</t>
  </si>
  <si>
    <t>24/03/2025 13:45</t>
  </si>
  <si>
    <t>24/03/2025 14:00</t>
  </si>
  <si>
    <t>24/03/2025 14:15</t>
  </si>
  <si>
    <t>24/03/2025 14:30</t>
  </si>
  <si>
    <t>24/03/2025 14:45</t>
  </si>
  <si>
    <t>24/03/2025 15:00</t>
  </si>
  <si>
    <t>24/03/2025 15:15</t>
  </si>
  <si>
    <t>24/03/2025 15:30</t>
  </si>
  <si>
    <t>24/03/2025 15:45</t>
  </si>
  <si>
    <t>24/03/2025 16:00</t>
  </si>
  <si>
    <t>24/03/2025 16:15</t>
  </si>
  <si>
    <t>24/03/2025 16:30</t>
  </si>
  <si>
    <t>24/03/2025 16:45</t>
  </si>
  <si>
    <t>24/03/2025 17:00</t>
  </si>
  <si>
    <t>24/03/2025 17:15</t>
  </si>
  <si>
    <t>24/03/2025 17:30</t>
  </si>
  <si>
    <t>24/03/2025 17:45</t>
  </si>
  <si>
    <t>24/03/2025 18:00</t>
  </si>
  <si>
    <t>24/03/2025 18:15</t>
  </si>
  <si>
    <t>24/03/2025 18:30</t>
  </si>
  <si>
    <t>24/03/2025 18:45</t>
  </si>
  <si>
    <t>24/03/2025 19:00</t>
  </si>
  <si>
    <t>24/03/2025 19:15</t>
  </si>
  <si>
    <t>24/03/2025 19:30</t>
  </si>
  <si>
    <t>24/03/2025 19:45</t>
  </si>
  <si>
    <t>24/03/2025 20:00</t>
  </si>
  <si>
    <t>24/03/2025 20:15</t>
  </si>
  <si>
    <t>24/03/2025 20:30</t>
  </si>
  <si>
    <t>24/03/2025 20:45</t>
  </si>
  <si>
    <t>24/03/2025 21:00</t>
  </si>
  <si>
    <t>24/03/2025 21:15</t>
  </si>
  <si>
    <t>24/03/2025 21:30</t>
  </si>
  <si>
    <t>24/03/2025 21:45</t>
  </si>
  <si>
    <t>24/03/2025 22:00</t>
  </si>
  <si>
    <t>24/03/2025 22:15</t>
  </si>
  <si>
    <t>24/03/2025 22:30</t>
  </si>
  <si>
    <t>24/03/2025 22:45</t>
  </si>
  <si>
    <t>24/03/2025 23:00</t>
  </si>
  <si>
    <t>24/03/2025 23:15</t>
  </si>
  <si>
    <t>24/03/2025 23:30</t>
  </si>
  <si>
    <t>24/03/2025 23:45</t>
  </si>
  <si>
    <t>24/03/2025 24:00</t>
  </si>
  <si>
    <t>25/03/2025 00:15</t>
  </si>
  <si>
    <t>25/03/2025 00:30</t>
  </si>
  <si>
    <t>25/03/2025 00:45</t>
  </si>
  <si>
    <t>25/03/2025 01:00</t>
  </si>
  <si>
    <t>25/03/2025 01:15</t>
  </si>
  <si>
    <t>25/03/2025 01:30</t>
  </si>
  <si>
    <t>25/03/2025 01:45</t>
  </si>
  <si>
    <t>25/03/2025 02:00</t>
  </si>
  <si>
    <t>25/03/2025 02:15</t>
  </si>
  <si>
    <t>25/03/2025 02:30</t>
  </si>
  <si>
    <t>25/03/2025 02:45</t>
  </si>
  <si>
    <t>25/03/2025 03:00</t>
  </si>
  <si>
    <t>25/03/2025 03:15</t>
  </si>
  <si>
    <t>25/03/2025 03:30</t>
  </si>
  <si>
    <t>25/03/2025 03:45</t>
  </si>
  <si>
    <t>25/03/2025 04:00</t>
  </si>
  <si>
    <t>25/03/2025 04:15</t>
  </si>
  <si>
    <t>25/03/2025 04:30</t>
  </si>
  <si>
    <t>25/03/2025 04:45</t>
  </si>
  <si>
    <t>25/03/2025 05:00</t>
  </si>
  <si>
    <t>25/03/2025 05:15</t>
  </si>
  <si>
    <t>25/03/2025 05:30</t>
  </si>
  <si>
    <t>25/03/2025 05:45</t>
  </si>
  <si>
    <t>25/03/2025 06:00</t>
  </si>
  <si>
    <t>25/03/2025 06:15</t>
  </si>
  <si>
    <t>25/03/2025 06:30</t>
  </si>
  <si>
    <t>25/03/2025 06:45</t>
  </si>
  <si>
    <t>25/03/2025 07:00</t>
  </si>
  <si>
    <t>25/03/2025 07:15</t>
  </si>
  <si>
    <t>25/03/2025 07:30</t>
  </si>
  <si>
    <t>25/03/2025 07:45</t>
  </si>
  <si>
    <t>25/03/2025 08:00</t>
  </si>
  <si>
    <t>25/03/2025 08:15</t>
  </si>
  <si>
    <t>25/03/2025 08:30</t>
  </si>
  <si>
    <t>25/03/2025 08:45</t>
  </si>
  <si>
    <t>25/03/2025 09:00</t>
  </si>
  <si>
    <t>25/03/2025 09:15</t>
  </si>
  <si>
    <t>25/03/2025 09:30</t>
  </si>
  <si>
    <t>25/03/2025 09:45</t>
  </si>
  <si>
    <t>25/03/2025 10:00</t>
  </si>
  <si>
    <t>25/03/2025 10:15</t>
  </si>
  <si>
    <t>25/03/2025 10:30</t>
  </si>
  <si>
    <t>25/03/2025 10:45</t>
  </si>
  <si>
    <t>25/03/2025 11:00</t>
  </si>
  <si>
    <t>25/03/2025 11:15</t>
  </si>
  <si>
    <t>25/03/2025 11:30</t>
  </si>
  <si>
    <t>25/03/2025 11:45</t>
  </si>
  <si>
    <t>25/03/2025 12:00</t>
  </si>
  <si>
    <t>25/03/2025 12:15</t>
  </si>
  <si>
    <t>25/03/2025 12:30</t>
  </si>
  <si>
    <t>25/03/2025 12:45</t>
  </si>
  <si>
    <t>25/03/2025 13:00</t>
  </si>
  <si>
    <t>25/03/2025 13:15</t>
  </si>
  <si>
    <t>25/03/2025 13:30</t>
  </si>
  <si>
    <t>25/03/2025 13:45</t>
  </si>
  <si>
    <t>25/03/2025 14:00</t>
  </si>
  <si>
    <t>25/03/2025 14:15</t>
  </si>
  <si>
    <t>25/03/2025 14:30</t>
  </si>
  <si>
    <t>25/03/2025 14:45</t>
  </si>
  <si>
    <t>25/03/2025 15:00</t>
  </si>
  <si>
    <t>25/03/2025 15:15</t>
  </si>
  <si>
    <t>25/03/2025 15:30</t>
  </si>
  <si>
    <t>25/03/2025 15:45</t>
  </si>
  <si>
    <t>25/03/2025 16:00</t>
  </si>
  <si>
    <t>25/03/2025 16:15</t>
  </si>
  <si>
    <t>25/03/2025 16:30</t>
  </si>
  <si>
    <t>25/03/2025 16:45</t>
  </si>
  <si>
    <t>25/03/2025 17:00</t>
  </si>
  <si>
    <t>25/03/2025 17:15</t>
  </si>
  <si>
    <t>25/03/2025 17:30</t>
  </si>
  <si>
    <t>25/03/2025 17:45</t>
  </si>
  <si>
    <t>25/03/2025 18:00</t>
  </si>
  <si>
    <t>25/03/2025 18:15</t>
  </si>
  <si>
    <t>25/03/2025 18:30</t>
  </si>
  <si>
    <t>25/03/2025 18:45</t>
  </si>
  <si>
    <t>25/03/2025 19:00</t>
  </si>
  <si>
    <t>25/03/2025 19:15</t>
  </si>
  <si>
    <t>25/03/2025 19:30</t>
  </si>
  <si>
    <t>25/03/2025 19:45</t>
  </si>
  <si>
    <t>25/03/2025 20:00</t>
  </si>
  <si>
    <t>25/03/2025 20:15</t>
  </si>
  <si>
    <t>25/03/2025 20:30</t>
  </si>
  <si>
    <t>25/03/2025 20:45</t>
  </si>
  <si>
    <t>25/03/2025 21:00</t>
  </si>
  <si>
    <t>25/03/2025 21:15</t>
  </si>
  <si>
    <t>25/03/2025 21:30</t>
  </si>
  <si>
    <t>25/03/2025 21:45</t>
  </si>
  <si>
    <t>25/03/2025 22:00</t>
  </si>
  <si>
    <t>25/03/2025 22:15</t>
  </si>
  <si>
    <t>25/03/2025 22:30</t>
  </si>
  <si>
    <t>25/03/2025 22:45</t>
  </si>
  <si>
    <t>25/03/2025 23:00</t>
  </si>
  <si>
    <t>25/03/2025 23:15</t>
  </si>
  <si>
    <t>25/03/2025 23:30</t>
  </si>
  <si>
    <t>25/03/2025 23:45</t>
  </si>
  <si>
    <t>25/03/2025 24:00</t>
  </si>
  <si>
    <t>26/03/2025 00:15</t>
  </si>
  <si>
    <t>26/03/2025 00:30</t>
  </si>
  <si>
    <t>26/03/2025 00:45</t>
  </si>
  <si>
    <t>26/03/2025 01:00</t>
  </si>
  <si>
    <t>26/03/2025 01:15</t>
  </si>
  <si>
    <t>26/03/2025 01:30</t>
  </si>
  <si>
    <t>26/03/2025 01:45</t>
  </si>
  <si>
    <t>26/03/2025 02:00</t>
  </si>
  <si>
    <t>26/03/2025 02:15</t>
  </si>
  <si>
    <t>26/03/2025 02:30</t>
  </si>
  <si>
    <t>26/03/2025 02:45</t>
  </si>
  <si>
    <t>26/03/2025 03:00</t>
  </si>
  <si>
    <t>26/03/2025 03:15</t>
  </si>
  <si>
    <t>26/03/2025 03:30</t>
  </si>
  <si>
    <t>26/03/2025 03:45</t>
  </si>
  <si>
    <t>26/03/2025 04:00</t>
  </si>
  <si>
    <t>26/03/2025 04:15</t>
  </si>
  <si>
    <t>26/03/2025 04:30</t>
  </si>
  <si>
    <t>26/03/2025 04:45</t>
  </si>
  <si>
    <t>26/03/2025 05:00</t>
  </si>
  <si>
    <t>26/03/2025 05:15</t>
  </si>
  <si>
    <t>26/03/2025 05:30</t>
  </si>
  <si>
    <t>26/03/2025 05:45</t>
  </si>
  <si>
    <t>26/03/2025 06:00</t>
  </si>
  <si>
    <t>26/03/2025 06:15</t>
  </si>
  <si>
    <t>26/03/2025 06:30</t>
  </si>
  <si>
    <t>26/03/2025 06:45</t>
  </si>
  <si>
    <t>26/03/2025 07:00</t>
  </si>
  <si>
    <t>26/03/2025 07:15</t>
  </si>
  <si>
    <t>26/03/2025 07:30</t>
  </si>
  <si>
    <t>26/03/2025 07:45</t>
  </si>
  <si>
    <t>26/03/2025 08:00</t>
  </si>
  <si>
    <t>26/03/2025 08:15</t>
  </si>
  <si>
    <t>26/03/2025 08:30</t>
  </si>
  <si>
    <t>26/03/2025 08:45</t>
  </si>
  <si>
    <t>26/03/2025 09:00</t>
  </si>
  <si>
    <t>26/03/2025 09:15</t>
  </si>
  <si>
    <t>26/03/2025 09:30</t>
  </si>
  <si>
    <t>26/03/2025 09:45</t>
  </si>
  <si>
    <t>26/03/2025 10:00</t>
  </si>
  <si>
    <t>26/03/2025 10:15</t>
  </si>
  <si>
    <t>26/03/2025 10:30</t>
  </si>
  <si>
    <t>26/03/2025 10:45</t>
  </si>
  <si>
    <t>26/03/2025 11:00</t>
  </si>
  <si>
    <t>26/03/2025 11:15</t>
  </si>
  <si>
    <t>26/03/2025 11:30</t>
  </si>
  <si>
    <t>26/03/2025 11:45</t>
  </si>
  <si>
    <t>26/03/2025 12:00</t>
  </si>
  <si>
    <t>26/03/2025 12:15</t>
  </si>
  <si>
    <t>26/03/2025 12:30</t>
  </si>
  <si>
    <t>26/03/2025 12:45</t>
  </si>
  <si>
    <t>26/03/2025 13:00</t>
  </si>
  <si>
    <t>26/03/2025 13:15</t>
  </si>
  <si>
    <t>26/03/2025 13:30</t>
  </si>
  <si>
    <t>26/03/2025 13:45</t>
  </si>
  <si>
    <t>26/03/2025 14:00</t>
  </si>
  <si>
    <t>26/03/2025 14:15</t>
  </si>
  <si>
    <t>26/03/2025 14:30</t>
  </si>
  <si>
    <t>26/03/2025 14:45</t>
  </si>
  <si>
    <t>26/03/2025 15:00</t>
  </si>
  <si>
    <t>26/03/2025 15:15</t>
  </si>
  <si>
    <t>26/03/2025 15:30</t>
  </si>
  <si>
    <t>26/03/2025 15:45</t>
  </si>
  <si>
    <t>26/03/2025 16:00</t>
  </si>
  <si>
    <t>26/03/2025 16:15</t>
  </si>
  <si>
    <t>26/03/2025 16:30</t>
  </si>
  <si>
    <t>26/03/2025 16:45</t>
  </si>
  <si>
    <t>26/03/2025 17:00</t>
  </si>
  <si>
    <t>26/03/2025 17:15</t>
  </si>
  <si>
    <t>26/03/2025 17:30</t>
  </si>
  <si>
    <t>26/03/2025 17:45</t>
  </si>
  <si>
    <t>26/03/2025 18:00</t>
  </si>
  <si>
    <t>26/03/2025 18:15</t>
  </si>
  <si>
    <t>26/03/2025 18:30</t>
  </si>
  <si>
    <t>26/03/2025 18:45</t>
  </si>
  <si>
    <t>26/03/2025 19:00</t>
  </si>
  <si>
    <t>26/03/2025 19:15</t>
  </si>
  <si>
    <t>26/03/2025 19:30</t>
  </si>
  <si>
    <t>26/03/2025 19:45</t>
  </si>
  <si>
    <t>26/03/2025 20:00</t>
  </si>
  <si>
    <t>26/03/2025 20:15</t>
  </si>
  <si>
    <t>26/03/2025 20:30</t>
  </si>
  <si>
    <t>26/03/2025 20:45</t>
  </si>
  <si>
    <t>26/03/2025 21:00</t>
  </si>
  <si>
    <t>26/03/2025 21:15</t>
  </si>
  <si>
    <t>26/03/2025 21:30</t>
  </si>
  <si>
    <t>26/03/2025 21:45</t>
  </si>
  <si>
    <t>26/03/2025 22:00</t>
  </si>
  <si>
    <t>26/03/2025 22:15</t>
  </si>
  <si>
    <t>26/03/2025 22:30</t>
  </si>
  <si>
    <t>26/03/2025 22:45</t>
  </si>
  <si>
    <t>26/03/2025 23:00</t>
  </si>
  <si>
    <t>26/03/2025 23:15</t>
  </si>
  <si>
    <t>26/03/2025 23:30</t>
  </si>
  <si>
    <t>26/03/2025 23:45</t>
  </si>
  <si>
    <t>26/03/2025 24:00</t>
  </si>
  <si>
    <t>27/03/2025 00:15</t>
  </si>
  <si>
    <t>27/03/2025 00:30</t>
  </si>
  <si>
    <t>27/03/2025 00:45</t>
  </si>
  <si>
    <t>27/03/2025 01:00</t>
  </si>
  <si>
    <t>27/03/2025 01:15</t>
  </si>
  <si>
    <t>27/03/2025 01:30</t>
  </si>
  <si>
    <t>27/03/2025 01:45</t>
  </si>
  <si>
    <t>27/03/2025 02:00</t>
  </si>
  <si>
    <t>27/03/2025 02:15</t>
  </si>
  <si>
    <t>27/03/2025 02:30</t>
  </si>
  <si>
    <t>27/03/2025 02:45</t>
  </si>
  <si>
    <t>27/03/2025 03:00</t>
  </si>
  <si>
    <t>27/03/2025 03:15</t>
  </si>
  <si>
    <t>27/03/2025 03:30</t>
  </si>
  <si>
    <t>27/03/2025 03:45</t>
  </si>
  <si>
    <t>27/03/2025 04:00</t>
  </si>
  <si>
    <t>27/03/2025 04:15</t>
  </si>
  <si>
    <t>27/03/2025 04:30</t>
  </si>
  <si>
    <t>27/03/2025 04:45</t>
  </si>
  <si>
    <t>27/03/2025 05:00</t>
  </si>
  <si>
    <t>27/03/2025 05:15</t>
  </si>
  <si>
    <t>27/03/2025 05:30</t>
  </si>
  <si>
    <t>27/03/2025 05:45</t>
  </si>
  <si>
    <t>27/03/2025 06:00</t>
  </si>
  <si>
    <t>27/03/2025 06:15</t>
  </si>
  <si>
    <t>27/03/2025 06:30</t>
  </si>
  <si>
    <t>27/03/2025 06:45</t>
  </si>
  <si>
    <t>27/03/2025 07:00</t>
  </si>
  <si>
    <t>27/03/2025 07:15</t>
  </si>
  <si>
    <t>27/03/2025 07:30</t>
  </si>
  <si>
    <t>27/03/2025 07:45</t>
  </si>
  <si>
    <t>27/03/2025 08:00</t>
  </si>
  <si>
    <t>27/03/2025 08:15</t>
  </si>
  <si>
    <t>27/03/2025 08:30</t>
  </si>
  <si>
    <t>27/03/2025 08:45</t>
  </si>
  <si>
    <t>27/03/2025 09:00</t>
  </si>
  <si>
    <t>27/03/2025 09:15</t>
  </si>
  <si>
    <t>27/03/2025 09:30</t>
  </si>
  <si>
    <t>27/03/2025 09:45</t>
  </si>
  <si>
    <t>27/03/2025 10:00</t>
  </si>
  <si>
    <t>27/03/2025 10:15</t>
  </si>
  <si>
    <t>27/03/2025 10:30</t>
  </si>
  <si>
    <t>27/03/2025 10:45</t>
  </si>
  <si>
    <t>27/03/2025 11:00</t>
  </si>
  <si>
    <t>27/03/2025 11:15</t>
  </si>
  <si>
    <t>27/03/2025 11:30</t>
  </si>
  <si>
    <t>27/03/2025 11:45</t>
  </si>
  <si>
    <t>27/03/2025 12:00</t>
  </si>
  <si>
    <t>27/03/2025 12:15</t>
  </si>
  <si>
    <t>27/03/2025 12:30</t>
  </si>
  <si>
    <t>27/03/2025 12:45</t>
  </si>
  <si>
    <t>27/03/2025 13:00</t>
  </si>
  <si>
    <t>27/03/2025 13:15</t>
  </si>
  <si>
    <t>27/03/2025 13:30</t>
  </si>
  <si>
    <t>27/03/2025 13:45</t>
  </si>
  <si>
    <t>27/03/2025 14:00</t>
  </si>
  <si>
    <t>27/03/2025 14:15</t>
  </si>
  <si>
    <t>27/03/2025 14:30</t>
  </si>
  <si>
    <t>27/03/2025 14:45</t>
  </si>
  <si>
    <t>27/03/2025 15:00</t>
  </si>
  <si>
    <t>27/03/2025 15:15</t>
  </si>
  <si>
    <t>27/03/2025 15:30</t>
  </si>
  <si>
    <t>27/03/2025 15:45</t>
  </si>
  <si>
    <t>27/03/2025 16:00</t>
  </si>
  <si>
    <t>27/03/2025 16:15</t>
  </si>
  <si>
    <t>27/03/2025 16:30</t>
  </si>
  <si>
    <t>27/03/2025 16:45</t>
  </si>
  <si>
    <t>27/03/2025 17:00</t>
  </si>
  <si>
    <t>27/03/2025 17:15</t>
  </si>
  <si>
    <t>27/03/2025 17:30</t>
  </si>
  <si>
    <t>27/03/2025 17:45</t>
  </si>
  <si>
    <t>27/03/2025 18:00</t>
  </si>
  <si>
    <t>27/03/2025 18:15</t>
  </si>
  <si>
    <t>27/03/2025 18:30</t>
  </si>
  <si>
    <t>27/03/2025 18:45</t>
  </si>
  <si>
    <t>27/03/2025 19:00</t>
  </si>
  <si>
    <t>27/03/2025 19:15</t>
  </si>
  <si>
    <t>27/03/2025 19:30</t>
  </si>
  <si>
    <t>27/03/2025 19:45</t>
  </si>
  <si>
    <t>27/03/2025 20:00</t>
  </si>
  <si>
    <t>27/03/2025 20:15</t>
  </si>
  <si>
    <t>27/03/2025 20:30</t>
  </si>
  <si>
    <t>27/03/2025 20:45</t>
  </si>
  <si>
    <t>27/03/2025 21:00</t>
  </si>
  <si>
    <t>27/03/2025 21:15</t>
  </si>
  <si>
    <t>27/03/2025 21:30</t>
  </si>
  <si>
    <t>27/03/2025 21:45</t>
  </si>
  <si>
    <t>27/03/2025 22:00</t>
  </si>
  <si>
    <t>27/03/2025 22:15</t>
  </si>
  <si>
    <t>27/03/2025 22:30</t>
  </si>
  <si>
    <t>27/03/2025 22:45</t>
  </si>
  <si>
    <t>27/03/2025 23:00</t>
  </si>
  <si>
    <t>27/03/2025 23:15</t>
  </si>
  <si>
    <t>27/03/2025 23:30</t>
  </si>
  <si>
    <t>27/03/2025 23:45</t>
  </si>
  <si>
    <t>27/03/2025 24:00</t>
  </si>
  <si>
    <t>28/03/2025 00:15</t>
  </si>
  <si>
    <t>28/03/2025 00:30</t>
  </si>
  <si>
    <t>28/03/2025 00:45</t>
  </si>
  <si>
    <t>28/03/2025 01:00</t>
  </si>
  <si>
    <t>28/03/2025 01:15</t>
  </si>
  <si>
    <t>28/03/2025 01:30</t>
  </si>
  <si>
    <t>28/03/2025 01:45</t>
  </si>
  <si>
    <t>28/03/2025 02:00</t>
  </si>
  <si>
    <t>28/03/2025 02:15</t>
  </si>
  <si>
    <t>28/03/2025 02:30</t>
  </si>
  <si>
    <t>28/03/2025 02:45</t>
  </si>
  <si>
    <t>28/03/2025 03:00</t>
  </si>
  <si>
    <t>28/03/2025 03:15</t>
  </si>
  <si>
    <t>28/03/2025 03:30</t>
  </si>
  <si>
    <t>28/03/2025 03:45</t>
  </si>
  <si>
    <t>28/03/2025 04:00</t>
  </si>
  <si>
    <t>28/03/2025 04:15</t>
  </si>
  <si>
    <t>28/03/2025 04:30</t>
  </si>
  <si>
    <t>28/03/2025 04:45</t>
  </si>
  <si>
    <t>28/03/2025 05:00</t>
  </si>
  <si>
    <t>28/03/2025 05:15</t>
  </si>
  <si>
    <t>28/03/2025 05:30</t>
  </si>
  <si>
    <t>28/03/2025 05:45</t>
  </si>
  <si>
    <t>28/03/2025 06:00</t>
  </si>
  <si>
    <t>28/03/2025 06:15</t>
  </si>
  <si>
    <t>28/03/2025 06:30</t>
  </si>
  <si>
    <t>28/03/2025 06:45</t>
  </si>
  <si>
    <t>28/03/2025 07:00</t>
  </si>
  <si>
    <t>28/03/2025 07:15</t>
  </si>
  <si>
    <t>28/03/2025 07:30</t>
  </si>
  <si>
    <t>28/03/2025 07:45</t>
  </si>
  <si>
    <t>28/03/2025 08:00</t>
  </si>
  <si>
    <t>28/03/2025 08:15</t>
  </si>
  <si>
    <t>28/03/2025 08:30</t>
  </si>
  <si>
    <t>28/03/2025 08:45</t>
  </si>
  <si>
    <t>28/03/2025 09:00</t>
  </si>
  <si>
    <t>28/03/2025 09:15</t>
  </si>
  <si>
    <t>28/03/2025 09:30</t>
  </si>
  <si>
    <t>28/03/2025 09:45</t>
  </si>
  <si>
    <t>28/03/2025 10:00</t>
  </si>
  <si>
    <t>28/03/2025 10:15</t>
  </si>
  <si>
    <t>28/03/2025 10:30</t>
  </si>
  <si>
    <t>28/03/2025 10:45</t>
  </si>
  <si>
    <t>28/03/2025 11:00</t>
  </si>
  <si>
    <t>28/03/2025 11:15</t>
  </si>
  <si>
    <t>28/03/2025 11:30</t>
  </si>
  <si>
    <t>28/03/2025 11:45</t>
  </si>
  <si>
    <t>28/03/2025 12:00</t>
  </si>
  <si>
    <t>28/03/2025 12:15</t>
  </si>
  <si>
    <t>28/03/2025 12:30</t>
  </si>
  <si>
    <t>28/03/2025 12:45</t>
  </si>
  <si>
    <t>28/03/2025 13:00</t>
  </si>
  <si>
    <t>28/03/2025 13:15</t>
  </si>
  <si>
    <t>28/03/2025 13:30</t>
  </si>
  <si>
    <t>28/03/2025 13:45</t>
  </si>
  <si>
    <t>28/03/2025 14:00</t>
  </si>
  <si>
    <t>28/03/2025 14:15</t>
  </si>
  <si>
    <t>28/03/2025 14:30</t>
  </si>
  <si>
    <t>28/03/2025 14:45</t>
  </si>
  <si>
    <t>28/03/2025 15:00</t>
  </si>
  <si>
    <t>28/03/2025 15:15</t>
  </si>
  <si>
    <t>28/03/2025 15:30</t>
  </si>
  <si>
    <t>28/03/2025 15:45</t>
  </si>
  <si>
    <t>28/03/2025 16:00</t>
  </si>
  <si>
    <t>28/03/2025 16:15</t>
  </si>
  <si>
    <t>28/03/2025 16:30</t>
  </si>
  <si>
    <t>28/03/2025 16:45</t>
  </si>
  <si>
    <t>28/03/2025 17:00</t>
  </si>
  <si>
    <t>28/03/2025 17:15</t>
  </si>
  <si>
    <t>28/03/2025 17:30</t>
  </si>
  <si>
    <t>28/03/2025 17:45</t>
  </si>
  <si>
    <t>28/03/2025 18:00</t>
  </si>
  <si>
    <t>28/03/2025 18:15</t>
  </si>
  <si>
    <t>28/03/2025 18:30</t>
  </si>
  <si>
    <t>28/03/2025 18:45</t>
  </si>
  <si>
    <t>28/03/2025 19:00</t>
  </si>
  <si>
    <t>28/03/2025 19:15</t>
  </si>
  <si>
    <t>28/03/2025 19:30</t>
  </si>
  <si>
    <t>28/03/2025 19:45</t>
  </si>
  <si>
    <t>28/03/2025 20:00</t>
  </si>
  <si>
    <t>28/03/2025 20:15</t>
  </si>
  <si>
    <t>28/03/2025 20:30</t>
  </si>
  <si>
    <t>28/03/2025 20:45</t>
  </si>
  <si>
    <t>28/03/2025 21:00</t>
  </si>
  <si>
    <t>28/03/2025 21:15</t>
  </si>
  <si>
    <t>28/03/2025 21:30</t>
  </si>
  <si>
    <t>28/03/2025 21:45</t>
  </si>
  <si>
    <t>28/03/2025 22:00</t>
  </si>
  <si>
    <t>28/03/2025 22:15</t>
  </si>
  <si>
    <t>28/03/2025 22:30</t>
  </si>
  <si>
    <t>28/03/2025 22:45</t>
  </si>
  <si>
    <t>28/03/2025 23:00</t>
  </si>
  <si>
    <t>28/03/2025 23:15</t>
  </si>
  <si>
    <t>28/03/2025 23:30</t>
  </si>
  <si>
    <t>28/03/2025 23:45</t>
  </si>
  <si>
    <t>28/03/2025 24:00</t>
  </si>
  <si>
    <t>29/03/2025 00:15</t>
  </si>
  <si>
    <t>29/03/2025 00:30</t>
  </si>
  <si>
    <t>29/03/2025 00:45</t>
  </si>
  <si>
    <t>29/03/2025 01:00</t>
  </si>
  <si>
    <t>29/03/2025 01:15</t>
  </si>
  <si>
    <t>29/03/2025 01:30</t>
  </si>
  <si>
    <t>29/03/2025 01:45</t>
  </si>
  <si>
    <t>29/03/2025 02:00</t>
  </si>
  <si>
    <t>29/03/2025 02:15</t>
  </si>
  <si>
    <t>29/03/2025 02:30</t>
  </si>
  <si>
    <t>29/03/2025 02:45</t>
  </si>
  <si>
    <t>29/03/2025 03:00</t>
  </si>
  <si>
    <t>29/03/2025 03:15</t>
  </si>
  <si>
    <t>29/03/2025 03:30</t>
  </si>
  <si>
    <t>29/03/2025 03:45</t>
  </si>
  <si>
    <t>29/03/2025 04:00</t>
  </si>
  <si>
    <t>29/03/2025 04:15</t>
  </si>
  <si>
    <t>29/03/2025 04:30</t>
  </si>
  <si>
    <t>29/03/2025 04:45</t>
  </si>
  <si>
    <t>29/03/2025 05:00</t>
  </si>
  <si>
    <t>29/03/2025 05:15</t>
  </si>
  <si>
    <t>29/03/2025 05:30</t>
  </si>
  <si>
    <t>29/03/2025 05:45</t>
  </si>
  <si>
    <t>29/03/2025 06:00</t>
  </si>
  <si>
    <t>29/03/2025 06:15</t>
  </si>
  <si>
    <t>29/03/2025 06:30</t>
  </si>
  <si>
    <t>29/03/2025 06:45</t>
  </si>
  <si>
    <t>29/03/2025 07:00</t>
  </si>
  <si>
    <t>29/03/2025 07:15</t>
  </si>
  <si>
    <t>29/03/2025 07:30</t>
  </si>
  <si>
    <t>29/03/2025 07:45</t>
  </si>
  <si>
    <t>29/03/2025 08:00</t>
  </si>
  <si>
    <t>29/03/2025 08:15</t>
  </si>
  <si>
    <t>29/03/2025 08:30</t>
  </si>
  <si>
    <t>29/03/2025 08:45</t>
  </si>
  <si>
    <t>29/03/2025 09:00</t>
  </si>
  <si>
    <t>29/03/2025 09:15</t>
  </si>
  <si>
    <t>29/03/2025 09:30</t>
  </si>
  <si>
    <t>29/03/2025 09:45</t>
  </si>
  <si>
    <t>29/03/2025 10:00</t>
  </si>
  <si>
    <t>29/03/2025 10:15</t>
  </si>
  <si>
    <t>29/03/2025 10:30</t>
  </si>
  <si>
    <t>29/03/2025 10:45</t>
  </si>
  <si>
    <t>29/03/2025 11:00</t>
  </si>
  <si>
    <t>29/03/2025 11:15</t>
  </si>
  <si>
    <t>29/03/2025 11:30</t>
  </si>
  <si>
    <t>29/03/2025 11:45</t>
  </si>
  <si>
    <t>29/03/2025 12:00</t>
  </si>
  <si>
    <t>29/03/2025 12:15</t>
  </si>
  <si>
    <t>29/03/2025 12:30</t>
  </si>
  <si>
    <t>29/03/2025 12:45</t>
  </si>
  <si>
    <t>29/03/2025 13:00</t>
  </si>
  <si>
    <t>29/03/2025 13:15</t>
  </si>
  <si>
    <t>29/03/2025 13:30</t>
  </si>
  <si>
    <t>29/03/2025 13:45</t>
  </si>
  <si>
    <t>29/03/2025 14:00</t>
  </si>
  <si>
    <t>29/03/2025 14:15</t>
  </si>
  <si>
    <t>29/03/2025 14:30</t>
  </si>
  <si>
    <t>29/03/2025 14:45</t>
  </si>
  <si>
    <t>29/03/2025 15:00</t>
  </si>
  <si>
    <t>29/03/2025 15:15</t>
  </si>
  <si>
    <t>29/03/2025 15:30</t>
  </si>
  <si>
    <t>29/03/2025 15:45</t>
  </si>
  <si>
    <t>29/03/2025 16:00</t>
  </si>
  <si>
    <t>29/03/2025 16:15</t>
  </si>
  <si>
    <t>29/03/2025 16:30</t>
  </si>
  <si>
    <t>29/03/2025 16:45</t>
  </si>
  <si>
    <t>29/03/2025 17:00</t>
  </si>
  <si>
    <t>29/03/2025 17:15</t>
  </si>
  <si>
    <t>29/03/2025 17:30</t>
  </si>
  <si>
    <t>29/03/2025 17:45</t>
  </si>
  <si>
    <t>29/03/2025 18:00</t>
  </si>
  <si>
    <t>29/03/2025 18:15</t>
  </si>
  <si>
    <t>29/03/2025 18:30</t>
  </si>
  <si>
    <t>29/03/2025 18:45</t>
  </si>
  <si>
    <t>29/03/2025 19:00</t>
  </si>
  <si>
    <t>29/03/2025 19:15</t>
  </si>
  <si>
    <t>29/03/2025 19:30</t>
  </si>
  <si>
    <t>29/03/2025 19:45</t>
  </si>
  <si>
    <t>29/03/2025 20:00</t>
  </si>
  <si>
    <t>29/03/2025 20:15</t>
  </si>
  <si>
    <t>29/03/2025 20:30</t>
  </si>
  <si>
    <t>29/03/2025 20:45</t>
  </si>
  <si>
    <t>29/03/2025 21:00</t>
  </si>
  <si>
    <t>29/03/2025 21:15</t>
  </si>
  <si>
    <t>29/03/2025 21:30</t>
  </si>
  <si>
    <t>29/03/2025 21:45</t>
  </si>
  <si>
    <t>29/03/2025 22:00</t>
  </si>
  <si>
    <t>29/03/2025 22:15</t>
  </si>
  <si>
    <t>29/03/2025 22:30</t>
  </si>
  <si>
    <t>29/03/2025 22:45</t>
  </si>
  <si>
    <t>29/03/2025 23:00</t>
  </si>
  <si>
    <t>29/03/2025 23:15</t>
  </si>
  <si>
    <t>29/03/2025 23:30</t>
  </si>
  <si>
    <t>29/03/2025 23:45</t>
  </si>
  <si>
    <t>29/03/2025 24:00</t>
  </si>
  <si>
    <t>30/03/2025 00:15</t>
  </si>
  <si>
    <t>30/03/2025 00:30</t>
  </si>
  <si>
    <t>30/03/2025 00:45</t>
  </si>
  <si>
    <t>30/03/2025 01:00</t>
  </si>
  <si>
    <t>30/03/2025 01:15</t>
  </si>
  <si>
    <t>30/03/2025 01:30</t>
  </si>
  <si>
    <t>30/03/2025 01:45</t>
  </si>
  <si>
    <t>30/03/2025 02:00</t>
  </si>
  <si>
    <t>30/03/2025 02:15</t>
  </si>
  <si>
    <t>30/03/2025 02:30</t>
  </si>
  <si>
    <t>30/03/2025 02:45</t>
  </si>
  <si>
    <t>30/03/2025 03:00</t>
  </si>
  <si>
    <t>30/03/2025 03:15</t>
  </si>
  <si>
    <t>30/03/2025 03:30</t>
  </si>
  <si>
    <t>30/03/2025 03:45</t>
  </si>
  <si>
    <t>30/03/2025 04:00</t>
  </si>
  <si>
    <t>30/03/2025 04:15</t>
  </si>
  <si>
    <t>30/03/2025 04:30</t>
  </si>
  <si>
    <t>30/03/2025 04:45</t>
  </si>
  <si>
    <t>30/03/2025 05:00</t>
  </si>
  <si>
    <t>30/03/2025 05:15</t>
  </si>
  <si>
    <t>30/03/2025 05:30</t>
  </si>
  <si>
    <t>30/03/2025 05:45</t>
  </si>
  <si>
    <t>30/03/2025 06:00</t>
  </si>
  <si>
    <t>30/03/2025 06:15</t>
  </si>
  <si>
    <t>30/03/2025 06:30</t>
  </si>
  <si>
    <t>30/03/2025 06:45</t>
  </si>
  <si>
    <t>30/03/2025 07:00</t>
  </si>
  <si>
    <t>30/03/2025 07:15</t>
  </si>
  <si>
    <t>30/03/2025 07:30</t>
  </si>
  <si>
    <t>30/03/2025 07:45</t>
  </si>
  <si>
    <t>30/03/2025 08:00</t>
  </si>
  <si>
    <t>30/03/2025 08:15</t>
  </si>
  <si>
    <t>30/03/2025 08:30</t>
  </si>
  <si>
    <t>30/03/2025 08:45</t>
  </si>
  <si>
    <t>30/03/2025 09:00</t>
  </si>
  <si>
    <t>30/03/2025 09:15</t>
  </si>
  <si>
    <t>30/03/2025 09:30</t>
  </si>
  <si>
    <t>30/03/2025 09:45</t>
  </si>
  <si>
    <t>30/03/2025 10:00</t>
  </si>
  <si>
    <t>30/03/2025 10:15</t>
  </si>
  <si>
    <t>30/03/2025 10:30</t>
  </si>
  <si>
    <t>30/03/2025 10:45</t>
  </si>
  <si>
    <t>30/03/2025 11:00</t>
  </si>
  <si>
    <t>30/03/2025 11:15</t>
  </si>
  <si>
    <t>30/03/2025 11:30</t>
  </si>
  <si>
    <t>30/03/2025 11:45</t>
  </si>
  <si>
    <t>30/03/2025 12:00</t>
  </si>
  <si>
    <t>30/03/2025 12:15</t>
  </si>
  <si>
    <t>30/03/2025 12:30</t>
  </si>
  <si>
    <t>30/03/2025 12:45</t>
  </si>
  <si>
    <t>30/03/2025 13:00</t>
  </si>
  <si>
    <t>30/03/2025 13:15</t>
  </si>
  <si>
    <t>30/03/2025 13:30</t>
  </si>
  <si>
    <t>30/03/2025 13:45</t>
  </si>
  <si>
    <t>30/03/2025 14:00</t>
  </si>
  <si>
    <t>30/03/2025 14:15</t>
  </si>
  <si>
    <t>30/03/2025 14:30</t>
  </si>
  <si>
    <t>30/03/2025 14:45</t>
  </si>
  <si>
    <t>30/03/2025 15:00</t>
  </si>
  <si>
    <t>30/03/2025 15:15</t>
  </si>
  <si>
    <t>30/03/2025 15:30</t>
  </si>
  <si>
    <t>30/03/2025 15:45</t>
  </si>
  <si>
    <t>30/03/2025 16:00</t>
  </si>
  <si>
    <t>30/03/2025 16:15</t>
  </si>
  <si>
    <t>30/03/2025 16:30</t>
  </si>
  <si>
    <t>30/03/2025 16:45</t>
  </si>
  <si>
    <t>30/03/2025 17:00</t>
  </si>
  <si>
    <t>30/03/2025 17:15</t>
  </si>
  <si>
    <t>30/03/2025 17:30</t>
  </si>
  <si>
    <t>30/03/2025 17:45</t>
  </si>
  <si>
    <t>30/03/2025 18:00</t>
  </si>
  <si>
    <t>30/03/2025 18:15</t>
  </si>
  <si>
    <t>30/03/2025 18:30</t>
  </si>
  <si>
    <t>30/03/2025 18:45</t>
  </si>
  <si>
    <t>30/03/2025 19:00</t>
  </si>
  <si>
    <t>30/03/2025 19:15</t>
  </si>
  <si>
    <t>30/03/2025 19:30</t>
  </si>
  <si>
    <t>30/03/2025 19:45</t>
  </si>
  <si>
    <t>30/03/2025 20:00</t>
  </si>
  <si>
    <t>30/03/2025 20:15</t>
  </si>
  <si>
    <t>30/03/2025 20:30</t>
  </si>
  <si>
    <t>30/03/2025 20:45</t>
  </si>
  <si>
    <t>30/03/2025 21:00</t>
  </si>
  <si>
    <t>30/03/2025 21:15</t>
  </si>
  <si>
    <t>30/03/2025 21:30</t>
  </si>
  <si>
    <t>30/03/2025 21:45</t>
  </si>
  <si>
    <t>30/03/2025 22:00</t>
  </si>
  <si>
    <t>30/03/2025 22:15</t>
  </si>
  <si>
    <t>30/03/2025 22:30</t>
  </si>
  <si>
    <t>30/03/2025 22:45</t>
  </si>
  <si>
    <t>30/03/2025 23:00</t>
  </si>
  <si>
    <t>30/03/2025 23:15</t>
  </si>
  <si>
    <t>30/03/2025 23:30</t>
  </si>
  <si>
    <t>30/03/2025 23:45</t>
  </si>
  <si>
    <t>30/03/2025 24:00</t>
  </si>
  <si>
    <t>31/03/2025 00:15</t>
  </si>
  <si>
    <t>31/03/2025 00:30</t>
  </si>
  <si>
    <t>31/03/2025 00:45</t>
  </si>
  <si>
    <t>31/03/2025 01:00</t>
  </si>
  <si>
    <t>31/03/2025 01:15</t>
  </si>
  <si>
    <t>31/03/2025 01:30</t>
  </si>
  <si>
    <t>31/03/2025 01:45</t>
  </si>
  <si>
    <t>31/03/2025 02:00</t>
  </si>
  <si>
    <t>31/03/2025 02:15</t>
  </si>
  <si>
    <t>31/03/2025 02:30</t>
  </si>
  <si>
    <t>31/03/2025 02:45</t>
  </si>
  <si>
    <t>31/03/2025 03:00</t>
  </si>
  <si>
    <t>31/03/2025 03:15</t>
  </si>
  <si>
    <t>31/03/2025 03:30</t>
  </si>
  <si>
    <t>31/03/2025 03:45</t>
  </si>
  <si>
    <t>31/03/2025 04:00</t>
  </si>
  <si>
    <t>31/03/2025 04:15</t>
  </si>
  <si>
    <t>31/03/2025 04:30</t>
  </si>
  <si>
    <t>31/03/2025 04:45</t>
  </si>
  <si>
    <t>31/03/2025 05:00</t>
  </si>
  <si>
    <t>31/03/2025 05:15</t>
  </si>
  <si>
    <t>31/03/2025 05:30</t>
  </si>
  <si>
    <t>31/03/2025 05:45</t>
  </si>
  <si>
    <t>31/03/2025 06:00</t>
  </si>
  <si>
    <t>31/03/2025 06:15</t>
  </si>
  <si>
    <t>31/03/2025 06:30</t>
  </si>
  <si>
    <t>31/03/2025 06:45</t>
  </si>
  <si>
    <t>31/03/2025 07:00</t>
  </si>
  <si>
    <t>31/03/2025 07:15</t>
  </si>
  <si>
    <t>31/03/2025 07:30</t>
  </si>
  <si>
    <t>31/03/2025 07:45</t>
  </si>
  <si>
    <t>31/03/2025 08:00</t>
  </si>
  <si>
    <t>31/03/2025 08:15</t>
  </si>
  <si>
    <t>31/03/2025 08:30</t>
  </si>
  <si>
    <t>31/03/2025 08:45</t>
  </si>
  <si>
    <t>31/03/2025 09:00</t>
  </si>
  <si>
    <t>31/03/2025 09:15</t>
  </si>
  <si>
    <t>31/03/2025 09:30</t>
  </si>
  <si>
    <t>31/03/2025 09:45</t>
  </si>
  <si>
    <t>31/03/2025 10:00</t>
  </si>
  <si>
    <t>31/03/2025 10:15</t>
  </si>
  <si>
    <t>31/03/2025 10:30</t>
  </si>
  <si>
    <t>31/03/2025 10:45</t>
  </si>
  <si>
    <t>31/03/2025 11:00</t>
  </si>
  <si>
    <t>31/03/2025 11:15</t>
  </si>
  <si>
    <t>31/03/2025 11:30</t>
  </si>
  <si>
    <t>31/03/2025 11:45</t>
  </si>
  <si>
    <t>31/03/2025 12:00</t>
  </si>
  <si>
    <t>31/03/2025 12:15</t>
  </si>
  <si>
    <t>31/03/2025 12:30</t>
  </si>
  <si>
    <t>31/03/2025 12:45</t>
  </si>
  <si>
    <t>31/03/2025 13:00</t>
  </si>
  <si>
    <t>31/03/2025 13:15</t>
  </si>
  <si>
    <t>31/03/2025 13:30</t>
  </si>
  <si>
    <t>31/03/2025 13:45</t>
  </si>
  <si>
    <t>31/03/2025 14:00</t>
  </si>
  <si>
    <t>31/03/2025 14:15</t>
  </si>
  <si>
    <t>31/03/2025 14:30</t>
  </si>
  <si>
    <t>31/03/2025 14:45</t>
  </si>
  <si>
    <t>31/03/2025 15:00</t>
  </si>
  <si>
    <t>31/03/2025 15:15</t>
  </si>
  <si>
    <t>31/03/2025 15:30</t>
  </si>
  <si>
    <t>31/03/2025 15:45</t>
  </si>
  <si>
    <t>31/03/2025 16:00</t>
  </si>
  <si>
    <t>31/03/2025 16:15</t>
  </si>
  <si>
    <t>31/03/2025 16:30</t>
  </si>
  <si>
    <t>31/03/2025 16:45</t>
  </si>
  <si>
    <t>31/03/2025 17:00</t>
  </si>
  <si>
    <t>31/03/2025 17:15</t>
  </si>
  <si>
    <t>31/03/2025 17:30</t>
  </si>
  <si>
    <t>31/03/2025 17:45</t>
  </si>
  <si>
    <t>31/03/2025 18:00</t>
  </si>
  <si>
    <t>31/03/2025 18:15</t>
  </si>
  <si>
    <t>31/03/2025 18:30</t>
  </si>
  <si>
    <t>31/03/2025 18:45</t>
  </si>
  <si>
    <t>31/03/2025 19:00</t>
  </si>
  <si>
    <t>31/03/2025 19:15</t>
  </si>
  <si>
    <t>31/03/2025 19:30</t>
  </si>
  <si>
    <t>31/03/2025 19:45</t>
  </si>
  <si>
    <t>31/03/2025 20:00</t>
  </si>
  <si>
    <t>31/03/2025 20:15</t>
  </si>
  <si>
    <t>31/03/2025 20:30</t>
  </si>
  <si>
    <t>31/03/2025 20:45</t>
  </si>
  <si>
    <t>31/03/2025 21:00</t>
  </si>
  <si>
    <t>31/03/2025 21:15</t>
  </si>
  <si>
    <t>31/03/2025 21:30</t>
  </si>
  <si>
    <t>31/03/2025 21:45</t>
  </si>
  <si>
    <t>31/03/2025 22:00</t>
  </si>
  <si>
    <t>31/03/2025 22:15</t>
  </si>
  <si>
    <t>31/03/2025 22:30</t>
  </si>
  <si>
    <t>31/03/2025 22:45</t>
  </si>
  <si>
    <t>31/03/2025 23:00</t>
  </si>
  <si>
    <t>31/03/2025 23:15</t>
  </si>
  <si>
    <t>31/03/2025 23:30</t>
  </si>
  <si>
    <t>31/03/2025 23:45</t>
  </si>
  <si>
    <t>31/03/2025 24:00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</si>
</sst>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mmmm\-yyyy"/>
    <numFmt numFmtId="166" formatCode="0.0000"/>
  </numFmts>
  <fonts count="43">
    <font>
      <sz val="11"/>
      <color theme="1"/>
      <name val="Calibri"/>
      <charset val="134"/>
      <scheme val="minor"/>
    </font>
    <font>
      <b/>
      <sz val="10"/>
      <color rgb="FFFF0000"/>
      <name val="Arial"/>
      <charset val="134"/>
    </font>
    <font>
      <b/>
      <sz val="11"/>
      <color theme="1"/>
      <name val="Calibri"/>
      <charset val="134"/>
      <scheme val="minor"/>
    </font>
    <font>
      <sz val="16"/>
      <color theme="0"/>
      <name val="Arial Black"/>
      <charset val="134"/>
    </font>
    <font>
      <b/>
      <sz val="16"/>
      <color theme="0"/>
      <name val="Arial Black"/>
      <charset val="134"/>
    </font>
    <font>
      <b/>
      <sz val="24"/>
      <color theme="1"/>
      <name val="Arial Black"/>
      <charset val="134"/>
    </font>
    <font>
      <b/>
      <sz val="11"/>
      <name val="Arial"/>
      <charset val="134"/>
    </font>
    <font>
      <b/>
      <sz val="11"/>
      <color rgb="FFFF0000"/>
      <name val="Calibri"/>
      <charset val="134"/>
      <scheme val="minor"/>
    </font>
    <font>
      <b/>
      <sz val="22"/>
      <color theme="1"/>
      <name val="Arial Black"/>
      <charset val="134"/>
    </font>
    <font>
      <b/>
      <sz val="9"/>
      <color rgb="FFFF0000"/>
      <name val="Calibri"/>
      <charset val="134"/>
      <scheme val="minor"/>
    </font>
    <font>
      <b/>
      <sz val="9"/>
      <color rgb="FFFF0000"/>
      <name val="Arial"/>
      <charset val="134"/>
    </font>
    <font>
      <sz val="10"/>
      <name val="Arial"/>
      <charset val="134"/>
    </font>
    <font>
      <b/>
      <sz val="26"/>
      <color theme="1"/>
      <name val="Arial Black"/>
      <charset val="134"/>
    </font>
    <font>
      <b/>
      <sz val="11"/>
      <color theme="1"/>
      <name val="Arial"/>
      <charset val="134"/>
    </font>
    <font>
      <b/>
      <sz val="11"/>
      <color rgb="FFFF0000"/>
      <name val="Arial"/>
      <charset val="134"/>
    </font>
    <font>
      <b/>
      <sz val="12"/>
      <name val="Arial"/>
      <charset val="134"/>
    </font>
    <font>
      <b/>
      <sz val="10"/>
      <color theme="2" tint="-0.89996032593768116"/>
      <name val="Arial Black"/>
      <charset val="134"/>
    </font>
    <font>
      <b/>
      <sz val="10"/>
      <name val="Calibri"/>
      <charset val="134"/>
      <scheme val="minor"/>
    </font>
    <font>
      <b/>
      <sz val="10"/>
      <color theme="2" tint="-0.89996032593768116"/>
      <name val="Arial"/>
      <charset val="134"/>
    </font>
    <font>
      <b/>
      <sz val="12"/>
      <name val="Calibri"/>
      <charset val="134"/>
      <scheme val="minor"/>
    </font>
    <font>
      <b/>
      <i/>
      <sz val="12"/>
      <name val="Arial"/>
      <charset val="134"/>
    </font>
    <font>
      <b/>
      <i/>
      <sz val="10"/>
      <name val="Arial"/>
      <charset val="134"/>
    </font>
    <font>
      <sz val="9"/>
      <color theme="3" tint="0.39994506668294322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color theme="2" tint="-0.89996032593768116"/>
      <name val="Arial Black"/>
      <charset val="134"/>
    </font>
    <font>
      <sz val="11"/>
      <color theme="3" tint="0.39994506668294322"/>
      <name val="Calibri"/>
      <charset val="134"/>
      <scheme val="minor"/>
    </font>
    <font>
      <b/>
      <sz val="9"/>
      <name val="Calibri"/>
      <charset val="134"/>
      <scheme val="minor"/>
    </font>
    <font>
      <sz val="12"/>
      <color theme="0"/>
      <name val="Arial"/>
      <charset val="134"/>
    </font>
    <font>
      <b/>
      <sz val="10"/>
      <name val="Arial"/>
      <charset val="134"/>
    </font>
    <font>
      <sz val="11"/>
      <color indexed="8"/>
      <name val="Calibri"/>
      <charset val="134"/>
    </font>
    <font>
      <b/>
      <sz val="12"/>
      <color theme="1"/>
      <name val="Calibri"/>
      <charset val="134"/>
      <scheme val="minor"/>
    </font>
    <font>
      <b/>
      <sz val="14"/>
      <color theme="0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Arial"/>
      <charset val="134"/>
    </font>
    <font>
      <b/>
      <sz val="10"/>
      <color indexed="12"/>
      <name val="Arial"/>
      <charset val="134"/>
    </font>
    <font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theme="5" tint="-0.249977111117893"/>
      <name val="Arial"/>
      <charset val="134"/>
    </font>
    <font>
      <b/>
      <sz val="10"/>
      <color indexed="9"/>
      <name val="Arial"/>
      <charset val="134"/>
    </font>
  </fonts>
  <fills count="14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11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0" fontId="7" fillId="0" borderId="11" xfId="0" applyFont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13" fillId="3" borderId="18" xfId="0" applyFont="1" applyFill="1" applyBorder="1" applyAlignment="1">
      <alignment horizontal="center"/>
    </xf>
    <xf numFmtId="0" fontId="14" fillId="3" borderId="18" xfId="0" applyFont="1" applyFill="1" applyBorder="1" applyAlignment="1">
      <alignment horizontal="center"/>
    </xf>
    <xf numFmtId="0" fontId="9" fillId="0" borderId="13" xfId="0" applyFont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0" fillId="0" borderId="23" xfId="0" applyBorder="1" applyAlignment="1">
      <alignment horizontal="center"/>
    </xf>
    <xf numFmtId="0" fontId="19" fillId="4" borderId="22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7" fillId="0" borderId="23" xfId="0" applyFont="1" applyBorder="1"/>
    <xf numFmtId="0" fontId="21" fillId="0" borderId="0" xfId="0" applyFont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9" fillId="4" borderId="11" xfId="0" applyFont="1" applyFill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19" fillId="4" borderId="7" xfId="0" applyFont="1" applyFill="1" applyBorder="1" applyAlignment="1">
      <alignment horizontal="center"/>
    </xf>
    <xf numFmtId="0" fontId="22" fillId="3" borderId="27" xfId="0" applyFont="1" applyFill="1" applyBorder="1" applyAlignment="1">
      <alignment horizontal="center"/>
    </xf>
    <xf numFmtId="0" fontId="23" fillId="3" borderId="11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4" fillId="4" borderId="7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7" fillId="0" borderId="0" xfId="0" applyFont="1"/>
    <xf numFmtId="0" fontId="14" fillId="3" borderId="28" xfId="0" applyFont="1" applyFill="1" applyBorder="1" applyAlignment="1">
      <alignment horizontal="center"/>
    </xf>
    <xf numFmtId="0" fontId="25" fillId="3" borderId="2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23" fillId="0" borderId="0" xfId="0" applyFont="1" applyAlignment="1">
      <alignment horizontal="center"/>
    </xf>
    <xf numFmtId="0" fontId="9" fillId="0" borderId="7" xfId="0" applyFont="1" applyBorder="1" applyAlignment="1">
      <alignment horizontal="center" wrapText="1"/>
    </xf>
    <xf numFmtId="0" fontId="6" fillId="3" borderId="27" xfId="0" applyFont="1" applyFill="1" applyBorder="1" applyAlignment="1">
      <alignment horizontal="center"/>
    </xf>
    <xf numFmtId="0" fontId="9" fillId="0" borderId="6" xfId="0" applyFont="1" applyBorder="1" applyAlignment="1">
      <alignment horizontal="center" wrapText="1"/>
    </xf>
    <xf numFmtId="0" fontId="23" fillId="0" borderId="9" xfId="0" applyFont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26" fillId="0" borderId="0" xfId="0" applyFont="1" applyAlignment="1">
      <alignment horizontal="center"/>
    </xf>
    <xf numFmtId="0" fontId="23" fillId="0" borderId="31" xfId="0" applyFont="1" applyBorder="1" applyAlignment="1">
      <alignment horizontal="center"/>
    </xf>
    <xf numFmtId="0" fontId="28" fillId="0" borderId="7" xfId="0" applyFont="1" applyBorder="1" applyAlignment="1">
      <alignment horizontal="center" vertical="center" wrapText="1"/>
    </xf>
    <xf numFmtId="46" fontId="6" fillId="0" borderId="7" xfId="0" applyNumberFormat="1" applyFont="1" applyBorder="1" applyAlignment="1">
      <alignment horizontal="center" vertical="center" wrapText="1"/>
    </xf>
    <xf numFmtId="22" fontId="0" fillId="0" borderId="7" xfId="0" applyNumberFormat="1" applyBorder="1" applyAlignment="1">
      <alignment horizontal="center" vertical="center"/>
    </xf>
    <xf numFmtId="46" fontId="29" fillId="0" borderId="7" xfId="0" applyNumberFormat="1" applyFont="1" applyBorder="1" applyAlignment="1">
      <alignment horizontal="center"/>
    </xf>
    <xf numFmtId="22" fontId="0" fillId="0" borderId="7" xfId="0" applyNumberFormat="1" applyBorder="1" applyAlignment="1">
      <alignment horizontal="center"/>
    </xf>
    <xf numFmtId="22" fontId="2" fillId="0" borderId="7" xfId="0" applyNumberFormat="1" applyFont="1" applyBorder="1" applyAlignment="1">
      <alignment horizontal="center"/>
    </xf>
    <xf numFmtId="22" fontId="0" fillId="0" borderId="0" xfId="0" applyNumberFormat="1" applyAlignment="1">
      <alignment horizontal="center"/>
    </xf>
    <xf numFmtId="46" fontId="29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28" fillId="0" borderId="32" xfId="0" applyNumberFormat="1" applyFont="1" applyBorder="1" applyAlignment="1">
      <alignment horizontal="center" vertical="center"/>
    </xf>
    <xf numFmtId="22" fontId="0" fillId="0" borderId="33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22" fontId="0" fillId="0" borderId="8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2" fontId="28" fillId="0" borderId="8" xfId="0" applyNumberFormat="1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2" fontId="28" fillId="0" borderId="7" xfId="0" applyNumberFormat="1" applyFont="1" applyBorder="1" applyAlignment="1">
      <alignment horizontal="center"/>
    </xf>
    <xf numFmtId="22" fontId="0" fillId="0" borderId="35" xfId="0" applyNumberFormat="1" applyBorder="1" applyAlignment="1">
      <alignment horizontal="center"/>
    </xf>
    <xf numFmtId="0" fontId="34" fillId="0" borderId="0" xfId="0" applyFont="1" applyAlignment="1">
      <alignment horizontal="center"/>
    </xf>
    <xf numFmtId="2" fontId="34" fillId="0" borderId="0" xfId="0" applyNumberFormat="1" applyFont="1" applyAlignment="1">
      <alignment horizontal="center"/>
    </xf>
    <xf numFmtId="0" fontId="34" fillId="0" borderId="34" xfId="0" applyFont="1" applyBorder="1" applyAlignment="1">
      <alignment horizontal="center"/>
    </xf>
    <xf numFmtId="22" fontId="0" fillId="0" borderId="5" xfId="0" applyNumberFormat="1" applyBorder="1" applyAlignment="1">
      <alignment horizontal="center"/>
    </xf>
    <xf numFmtId="0" fontId="34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49" fontId="0" fillId="0" borderId="3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28" fillId="0" borderId="7" xfId="0" applyNumberFormat="1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/>
    </xf>
    <xf numFmtId="22" fontId="0" fillId="0" borderId="8" xfId="0" applyNumberFormat="1" applyBorder="1" applyAlignment="1">
      <alignment horizontal="center" vertical="center"/>
    </xf>
    <xf numFmtId="0" fontId="33" fillId="6" borderId="36" xfId="0" applyFont="1" applyFill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22" fontId="0" fillId="0" borderId="35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1" fontId="35" fillId="6" borderId="36" xfId="0" applyNumberFormat="1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 vertical="center"/>
    </xf>
    <xf numFmtId="166" fontId="0" fillId="0" borderId="34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6" fontId="28" fillId="0" borderId="7" xfId="0" applyNumberFormat="1" applyFont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1" fontId="35" fillId="6" borderId="36" xfId="0" applyNumberFormat="1" applyFont="1" applyFill="1" applyBorder="1" applyAlignment="1">
      <alignment horizontal="center" vertical="center"/>
    </xf>
    <xf numFmtId="166" fontId="0" fillId="0" borderId="36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4" fontId="0" fillId="0" borderId="7" xfId="0" applyNumberFormat="1" applyBorder="1" applyAlignment="1">
      <alignment horizontal="center"/>
    </xf>
    <xf numFmtId="22" fontId="28" fillId="0" borderId="7" xfId="0" applyNumberFormat="1" applyFont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14" fontId="0" fillId="0" borderId="0" xfId="0" applyNumberFormat="1"/>
    <xf numFmtId="14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 wrapText="1"/>
    </xf>
    <xf numFmtId="17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0" fontId="33" fillId="7" borderId="0" xfId="0" applyFont="1" applyFill="1" applyAlignment="1">
      <alignment horizontal="center"/>
    </xf>
    <xf numFmtId="0" fontId="33" fillId="0" borderId="0" xfId="0" applyFont="1" applyAlignment="1">
      <alignment horizontal="center"/>
    </xf>
    <xf numFmtId="0" fontId="33" fillId="5" borderId="0" xfId="0" applyFont="1" applyFill="1" applyAlignment="1">
      <alignment horizontal="center"/>
    </xf>
    <xf numFmtId="0" fontId="33" fillId="8" borderId="0" xfId="0" applyFont="1" applyFill="1" applyAlignment="1">
      <alignment horizontal="center"/>
    </xf>
    <xf numFmtId="14" fontId="28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22" fontId="28" fillId="0" borderId="0" xfId="0" applyNumberFormat="1" applyFont="1" applyAlignment="1">
      <alignment horizontal="center"/>
    </xf>
    <xf numFmtId="2" fontId="36" fillId="0" borderId="7" xfId="0" applyNumberFormat="1" applyFont="1" applyBorder="1" applyAlignment="1">
      <alignment horizontal="center"/>
    </xf>
    <xf numFmtId="2" fontId="28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38" fillId="0" borderId="0" xfId="0" applyFont="1" applyAlignment="1">
      <alignment horizontal="center"/>
    </xf>
    <xf numFmtId="14" fontId="13" fillId="0" borderId="0" xfId="0" applyNumberFormat="1" applyFont="1" applyAlignment="1">
      <alignment horizontal="center"/>
    </xf>
    <xf numFmtId="0" fontId="40" fillId="9" borderId="0" xfId="0" applyFont="1" applyFill="1" applyAlignment="1">
      <alignment horizontal="center"/>
    </xf>
    <xf numFmtId="0" fontId="28" fillId="0" borderId="0" xfId="0" applyFont="1"/>
    <xf numFmtId="0" fontId="33" fillId="10" borderId="0" xfId="0" applyFont="1" applyFill="1" applyAlignment="1">
      <alignment horizontal="center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right"/>
    </xf>
    <xf numFmtId="0" fontId="33" fillId="11" borderId="0" xfId="0" applyFont="1" applyFill="1" applyAlignment="1">
      <alignment horizontal="center"/>
    </xf>
    <xf numFmtId="0" fontId="33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2" fontId="36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0" fillId="0" borderId="11" xfId="0" applyBorder="1" applyAlignment="1">
      <alignment horizontal="center"/>
    </xf>
    <xf numFmtId="0" fontId="28" fillId="0" borderId="0" xfId="0" applyFont="1" applyAlignment="1">
      <alignment horizontal="center" vertical="center"/>
    </xf>
    <xf numFmtId="2" fontId="28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2" fontId="0" fillId="0" borderId="0" xfId="0" applyNumberFormat="1"/>
    <xf numFmtId="0" fontId="28" fillId="0" borderId="13" xfId="0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37" fillId="5" borderId="0" xfId="0" applyFont="1" applyFill="1" applyAlignment="1">
      <alignment horizontal="center"/>
    </xf>
    <xf numFmtId="0" fontId="39" fillId="5" borderId="0" xfId="0" applyFont="1" applyFill="1" applyAlignment="1">
      <alignment horizontal="center"/>
    </xf>
    <xf numFmtId="0" fontId="39" fillId="5" borderId="0" xfId="0" applyFont="1" applyFill="1" applyAlignment="1">
      <alignment horizontal="left"/>
    </xf>
    <xf numFmtId="49" fontId="31" fillId="3" borderId="3" xfId="0" applyNumberFormat="1" applyFont="1" applyFill="1" applyBorder="1" applyAlignment="1">
      <alignment horizontal="center" vertical="center"/>
    </xf>
    <xf numFmtId="49" fontId="31" fillId="3" borderId="24" xfId="0" applyNumberFormat="1" applyFont="1" applyFill="1" applyBorder="1" applyAlignment="1">
      <alignment horizontal="center" vertical="center"/>
    </xf>
    <xf numFmtId="49" fontId="28" fillId="0" borderId="2" xfId="0" applyNumberFormat="1" applyFont="1" applyBorder="1" applyAlignment="1">
      <alignment horizontal="center" vertical="center"/>
    </xf>
    <xf numFmtId="49" fontId="28" fillId="0" borderId="3" xfId="0" applyNumberFormat="1" applyFont="1" applyBorder="1" applyAlignment="1">
      <alignment horizontal="center" vertical="center"/>
    </xf>
    <xf numFmtId="49" fontId="28" fillId="0" borderId="24" xfId="0" applyNumberFormat="1" applyFont="1" applyBorder="1" applyAlignment="1">
      <alignment horizontal="center" vertical="center"/>
    </xf>
    <xf numFmtId="0" fontId="32" fillId="3" borderId="34" xfId="0" applyFont="1" applyFill="1" applyBorder="1" applyAlignment="1">
      <alignment horizontal="center"/>
    </xf>
    <xf numFmtId="0" fontId="33" fillId="3" borderId="36" xfId="0" applyFont="1" applyFill="1" applyBorder="1" applyAlignment="1">
      <alignment horizontal="center"/>
    </xf>
    <xf numFmtId="0" fontId="33" fillId="3" borderId="36" xfId="0" applyFont="1" applyFill="1" applyBorder="1" applyAlignment="1">
      <alignment horizontal="center" vertical="center"/>
    </xf>
    <xf numFmtId="0" fontId="33" fillId="3" borderId="34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22" fontId="30" fillId="0" borderId="0" xfId="0" applyNumberFormat="1" applyFont="1" applyAlignment="1">
      <alignment horizontal="center" wrapText="1"/>
    </xf>
    <xf numFmtId="165" fontId="27" fillId="5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3" borderId="19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17"/>
  <sheetViews>
    <sheetView zoomScale="80" zoomScaleNormal="80" workbookViewId="0">
      <pane xSplit="1" ySplit="8" topLeftCell="B102" activePane="bottomRight" state="frozen"/>
      <selection pane="topRight"/>
      <selection pane="bottomLeft"/>
      <selection pane="bottomRight" activeCell="F111" sqref="F1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6.42578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7.140625" style="2" customWidth="1"/>
    <col min="15" max="15" width="9.85546875" style="2" customWidth="1"/>
    <col min="16" max="16" width="14.7109375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01/03/2025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239</v>
      </c>
      <c r="B9" s="100">
        <v>9.89</v>
      </c>
      <c r="C9" s="100">
        <v>22.75</v>
      </c>
      <c r="D9" s="100">
        <v>21.17</v>
      </c>
      <c r="E9" s="100">
        <v>11.27</v>
      </c>
      <c r="F9" s="151" t="s">
        <v>8</v>
      </c>
      <c r="G9" s="100">
        <v>110.66</v>
      </c>
      <c r="H9" s="100">
        <v>35.44</v>
      </c>
      <c r="I9" s="100">
        <v>10.91</v>
      </c>
      <c r="J9" s="100">
        <v>0.14000000000000001</v>
      </c>
      <c r="K9" s="100">
        <v>147.37</v>
      </c>
      <c r="L9" s="100">
        <v>22.45</v>
      </c>
      <c r="M9" s="100">
        <v>59.21</v>
      </c>
      <c r="N9" s="100">
        <v>0.9</v>
      </c>
      <c r="O9" s="100">
        <v>0</v>
      </c>
      <c r="P9" s="100">
        <v>1</v>
      </c>
      <c r="Q9" s="100">
        <v>28.19</v>
      </c>
      <c r="R9" s="6"/>
      <c r="S9" s="6"/>
      <c r="T9" s="156"/>
      <c r="U9" s="6"/>
    </row>
    <row r="10" spans="1:21" customFormat="1">
      <c r="A10" s="163" t="s">
        <v>240</v>
      </c>
      <c r="B10" s="100">
        <v>11.08</v>
      </c>
      <c r="C10" s="100">
        <v>23.64</v>
      </c>
      <c r="D10" s="100">
        <v>22.59</v>
      </c>
      <c r="E10" s="100">
        <v>10.77</v>
      </c>
      <c r="F10" s="151" t="s">
        <v>8</v>
      </c>
      <c r="G10" s="100">
        <v>110.66</v>
      </c>
      <c r="H10" s="100">
        <v>35.44</v>
      </c>
      <c r="I10" s="100">
        <v>11.1</v>
      </c>
      <c r="J10" s="100">
        <v>0.23</v>
      </c>
      <c r="K10" s="100">
        <v>196.07</v>
      </c>
      <c r="L10" s="100">
        <v>22.23</v>
      </c>
      <c r="M10" s="100">
        <v>62.29</v>
      </c>
      <c r="N10" s="100">
        <v>1.2</v>
      </c>
      <c r="O10" s="100">
        <v>0</v>
      </c>
      <c r="P10" s="100">
        <v>1.02</v>
      </c>
      <c r="Q10" s="100">
        <v>28.26</v>
      </c>
      <c r="R10" s="6"/>
      <c r="S10" s="6"/>
      <c r="T10" s="156"/>
      <c r="U10" s="6"/>
    </row>
    <row r="11" spans="1:21" customFormat="1">
      <c r="A11" s="163" t="s">
        <v>241</v>
      </c>
      <c r="B11" s="100">
        <v>12.14</v>
      </c>
      <c r="C11" s="100">
        <v>24.44</v>
      </c>
      <c r="D11" s="100">
        <v>23.86</v>
      </c>
      <c r="E11" s="100">
        <v>11.5</v>
      </c>
      <c r="F11" s="151" t="s">
        <v>8</v>
      </c>
      <c r="G11" s="100">
        <v>110.29</v>
      </c>
      <c r="H11" s="100">
        <v>33.619999999999997</v>
      </c>
      <c r="I11" s="100">
        <v>11.36</v>
      </c>
      <c r="J11" s="100">
        <v>0.22</v>
      </c>
      <c r="K11" s="100">
        <v>187.39</v>
      </c>
      <c r="L11" s="100">
        <v>21.79</v>
      </c>
      <c r="M11" s="100">
        <v>63.5</v>
      </c>
      <c r="N11" s="100">
        <v>1.3</v>
      </c>
      <c r="O11" s="100">
        <v>0</v>
      </c>
      <c r="P11" s="100">
        <v>1.04</v>
      </c>
      <c r="Q11" s="100">
        <v>28.31</v>
      </c>
      <c r="R11" s="6"/>
      <c r="S11" s="6"/>
      <c r="T11" s="156"/>
      <c r="U11" s="6"/>
    </row>
    <row r="12" spans="1:21" customFormat="1">
      <c r="A12" s="163" t="s">
        <v>242</v>
      </c>
      <c r="B12" s="100">
        <v>12.63</v>
      </c>
      <c r="C12" s="100">
        <v>25.03</v>
      </c>
      <c r="D12" s="100">
        <v>24.56</v>
      </c>
      <c r="E12" s="100">
        <v>10.89</v>
      </c>
      <c r="F12" s="151" t="s">
        <v>8</v>
      </c>
      <c r="G12" s="100">
        <v>110.25</v>
      </c>
      <c r="H12" s="100">
        <v>33.619999999999997</v>
      </c>
      <c r="I12" s="100">
        <v>11.64</v>
      </c>
      <c r="J12" s="100">
        <v>0.26</v>
      </c>
      <c r="K12" s="100">
        <v>217.45</v>
      </c>
      <c r="L12" s="100">
        <v>21.47</v>
      </c>
      <c r="M12" s="100">
        <v>65.25</v>
      </c>
      <c r="N12" s="100">
        <v>1.3</v>
      </c>
      <c r="O12" s="100">
        <v>0</v>
      </c>
      <c r="P12" s="100">
        <v>1.05</v>
      </c>
      <c r="Q12" s="100">
        <v>28.35</v>
      </c>
      <c r="R12" s="6"/>
      <c r="S12" s="6"/>
      <c r="T12" s="156"/>
      <c r="U12" s="6"/>
    </row>
    <row r="13" spans="1:21" customFormat="1">
      <c r="A13" s="163" t="s">
        <v>243</v>
      </c>
      <c r="B13" s="100">
        <v>12.76</v>
      </c>
      <c r="C13" s="100">
        <v>25.54</v>
      </c>
      <c r="D13" s="100">
        <v>24.93</v>
      </c>
      <c r="E13" s="100">
        <v>11</v>
      </c>
      <c r="F13" s="151" t="s">
        <v>8</v>
      </c>
      <c r="G13" s="100">
        <v>110.25</v>
      </c>
      <c r="H13" s="100">
        <v>33.619999999999997</v>
      </c>
      <c r="I13" s="100">
        <v>11.87</v>
      </c>
      <c r="J13" s="100">
        <v>0.19</v>
      </c>
      <c r="K13" s="100">
        <v>203.53</v>
      </c>
      <c r="L13" s="100">
        <v>21.1</v>
      </c>
      <c r="M13" s="100">
        <v>66.63</v>
      </c>
      <c r="N13" s="100">
        <v>1.2</v>
      </c>
      <c r="O13" s="100">
        <v>0</v>
      </c>
      <c r="P13" s="100">
        <v>1.07</v>
      </c>
      <c r="Q13" s="100">
        <v>28.38</v>
      </c>
      <c r="R13" s="6"/>
      <c r="S13" s="6"/>
      <c r="T13" s="156"/>
      <c r="U13" s="6"/>
    </row>
    <row r="14" spans="1:21" customFormat="1">
      <c r="A14" s="163" t="s">
        <v>244</v>
      </c>
      <c r="B14" s="100">
        <v>12.72</v>
      </c>
      <c r="C14" s="100">
        <v>25.91</v>
      </c>
      <c r="D14" s="100">
        <v>25.09</v>
      </c>
      <c r="E14" s="100">
        <v>11.13</v>
      </c>
      <c r="F14" s="151" t="s">
        <v>8</v>
      </c>
      <c r="G14" s="100">
        <v>110.25</v>
      </c>
      <c r="H14" s="100">
        <v>33.619999999999997</v>
      </c>
      <c r="I14" s="100">
        <v>12.17</v>
      </c>
      <c r="J14" s="100">
        <v>0.2</v>
      </c>
      <c r="K14" s="100">
        <v>200.8</v>
      </c>
      <c r="L14" s="100">
        <v>21.04</v>
      </c>
      <c r="M14" s="100">
        <v>66.23</v>
      </c>
      <c r="N14" s="100">
        <v>1.1000000000000001</v>
      </c>
      <c r="O14" s="100">
        <v>0</v>
      </c>
      <c r="P14" s="100">
        <v>1.08</v>
      </c>
      <c r="Q14" s="100">
        <v>28.36</v>
      </c>
      <c r="R14" s="6"/>
      <c r="S14" s="6"/>
      <c r="T14" s="156"/>
      <c r="U14" s="6"/>
    </row>
    <row r="15" spans="1:21" customFormat="1">
      <c r="A15" s="163" t="s">
        <v>245</v>
      </c>
      <c r="B15" s="100">
        <v>12.56</v>
      </c>
      <c r="C15" s="100">
        <v>26.04</v>
      </c>
      <c r="D15" s="100">
        <v>25.03</v>
      </c>
      <c r="E15" s="100">
        <v>11.19</v>
      </c>
      <c r="F15" s="151" t="s">
        <v>8</v>
      </c>
      <c r="G15" s="100">
        <v>106.13</v>
      </c>
      <c r="H15" s="100">
        <v>31.67</v>
      </c>
      <c r="I15" s="100">
        <v>12.4</v>
      </c>
      <c r="J15" s="100">
        <v>0.03</v>
      </c>
      <c r="K15" s="100">
        <v>220.08</v>
      </c>
      <c r="L15" s="100">
        <v>21.01</v>
      </c>
      <c r="M15" s="100">
        <v>63.87</v>
      </c>
      <c r="N15" s="100">
        <v>0.8</v>
      </c>
      <c r="O15" s="100">
        <v>0</v>
      </c>
      <c r="P15" s="100">
        <v>1.1100000000000001</v>
      </c>
      <c r="Q15" s="100">
        <v>28.36</v>
      </c>
      <c r="R15" s="6"/>
      <c r="S15" s="6"/>
      <c r="T15" s="156"/>
      <c r="U15" s="6"/>
    </row>
    <row r="16" spans="1:21" customFormat="1">
      <c r="A16" s="163" t="s">
        <v>246</v>
      </c>
      <c r="B16" s="100">
        <v>12.75</v>
      </c>
      <c r="C16" s="100">
        <v>26.11</v>
      </c>
      <c r="D16" s="100">
        <v>25.22</v>
      </c>
      <c r="E16" s="100">
        <v>11.09</v>
      </c>
      <c r="F16" s="151" t="s">
        <v>8</v>
      </c>
      <c r="G16" s="100">
        <v>105.61</v>
      </c>
      <c r="H16" s="100">
        <v>31.67</v>
      </c>
      <c r="I16" s="100">
        <v>12.58</v>
      </c>
      <c r="J16" s="100">
        <v>0.21</v>
      </c>
      <c r="K16" s="100">
        <v>80.61</v>
      </c>
      <c r="L16" s="100">
        <v>21.65</v>
      </c>
      <c r="M16" s="100">
        <v>58.52</v>
      </c>
      <c r="N16" s="100">
        <v>0.6</v>
      </c>
      <c r="O16" s="100">
        <v>0</v>
      </c>
      <c r="P16" s="100">
        <v>1.1200000000000001</v>
      </c>
      <c r="Q16" s="100">
        <v>28.36</v>
      </c>
      <c r="R16" s="6"/>
      <c r="S16" s="6"/>
      <c r="T16" s="156"/>
      <c r="U16" s="6"/>
    </row>
    <row r="17" spans="1:21" customFormat="1">
      <c r="A17" s="163" t="s">
        <v>247</v>
      </c>
      <c r="B17" s="100">
        <v>14.08</v>
      </c>
      <c r="C17" s="100">
        <v>26.81</v>
      </c>
      <c r="D17" s="100">
        <v>26.65</v>
      </c>
      <c r="E17" s="100">
        <v>8.24</v>
      </c>
      <c r="F17" s="151" t="s">
        <v>8</v>
      </c>
      <c r="G17" s="100">
        <v>105.61</v>
      </c>
      <c r="H17" s="100">
        <v>31.67</v>
      </c>
      <c r="I17" s="100">
        <v>12.77</v>
      </c>
      <c r="J17" s="100">
        <v>0.15</v>
      </c>
      <c r="K17" s="100">
        <v>126.85</v>
      </c>
      <c r="L17" s="100">
        <v>21.95</v>
      </c>
      <c r="M17" s="100">
        <v>57.54</v>
      </c>
      <c r="N17" s="100">
        <v>0.7</v>
      </c>
      <c r="O17" s="100">
        <v>0</v>
      </c>
      <c r="P17" s="100">
        <v>1.1399999999999999</v>
      </c>
      <c r="Q17" s="100">
        <v>28.42</v>
      </c>
      <c r="R17" s="6"/>
      <c r="S17" s="6"/>
      <c r="T17" s="156"/>
      <c r="U17" s="6"/>
    </row>
    <row r="18" spans="1:21" customFormat="1">
      <c r="A18" s="163" t="s">
        <v>248</v>
      </c>
      <c r="B18" s="100">
        <v>15.6</v>
      </c>
      <c r="C18" s="100">
        <v>27.34</v>
      </c>
      <c r="D18" s="100">
        <v>28.15</v>
      </c>
      <c r="E18" s="100">
        <v>9.41</v>
      </c>
      <c r="F18" s="151" t="s">
        <v>8</v>
      </c>
      <c r="G18" s="100">
        <v>105.61</v>
      </c>
      <c r="H18" s="100">
        <v>31.67</v>
      </c>
      <c r="I18" s="100">
        <v>13.05</v>
      </c>
      <c r="J18" s="100">
        <v>0.22</v>
      </c>
      <c r="K18" s="100">
        <v>173.54</v>
      </c>
      <c r="L18" s="100">
        <v>21.43</v>
      </c>
      <c r="M18" s="100">
        <v>64.72</v>
      </c>
      <c r="N18" s="100">
        <v>1.2</v>
      </c>
      <c r="O18" s="100">
        <v>0</v>
      </c>
      <c r="P18" s="100">
        <v>1.1499999999999999</v>
      </c>
      <c r="Q18" s="100">
        <v>28.45</v>
      </c>
      <c r="R18" s="6"/>
      <c r="S18" s="6"/>
      <c r="T18" s="156"/>
      <c r="U18" s="6"/>
    </row>
    <row r="19" spans="1:21" customFormat="1">
      <c r="A19" s="163" t="s">
        <v>249</v>
      </c>
      <c r="B19" s="100">
        <v>16.489999999999998</v>
      </c>
      <c r="C19" s="100">
        <v>27.74</v>
      </c>
      <c r="D19" s="100">
        <v>29.06</v>
      </c>
      <c r="E19" s="100">
        <v>9.3800000000000008</v>
      </c>
      <c r="F19" s="151" t="s">
        <v>8</v>
      </c>
      <c r="G19" s="100">
        <v>109.09</v>
      </c>
      <c r="H19" s="100">
        <v>33.520000000000003</v>
      </c>
      <c r="I19" s="100">
        <v>13.43</v>
      </c>
      <c r="J19" s="100">
        <v>0.22</v>
      </c>
      <c r="K19" s="100">
        <v>190.4</v>
      </c>
      <c r="L19" s="100">
        <v>21.02</v>
      </c>
      <c r="M19" s="100">
        <v>66.22</v>
      </c>
      <c r="N19" s="100">
        <v>1.2</v>
      </c>
      <c r="O19" s="100">
        <v>0</v>
      </c>
      <c r="P19" s="100">
        <v>1.17</v>
      </c>
      <c r="Q19" s="100">
        <v>28.5</v>
      </c>
      <c r="R19" s="6"/>
      <c r="S19" s="6"/>
      <c r="T19" s="156"/>
      <c r="U19" s="6"/>
    </row>
    <row r="20" spans="1:21" customFormat="1">
      <c r="A20" s="163" t="s">
        <v>250</v>
      </c>
      <c r="B20" s="100">
        <v>16.7</v>
      </c>
      <c r="C20" s="100">
        <v>27.96</v>
      </c>
      <c r="D20" s="100">
        <v>29.35</v>
      </c>
      <c r="E20" s="100">
        <v>9.3000000000000007</v>
      </c>
      <c r="F20" s="151" t="s">
        <v>8</v>
      </c>
      <c r="G20" s="100">
        <v>109.53</v>
      </c>
      <c r="H20" s="100">
        <v>33.520000000000003</v>
      </c>
      <c r="I20" s="100">
        <v>13.8</v>
      </c>
      <c r="J20" s="100">
        <v>0.27</v>
      </c>
      <c r="K20" s="100">
        <v>221.12</v>
      </c>
      <c r="L20" s="100">
        <v>20.239999999999998</v>
      </c>
      <c r="M20" s="100">
        <v>69.180000000000007</v>
      </c>
      <c r="N20" s="100">
        <v>1.6</v>
      </c>
      <c r="O20" s="100">
        <v>0</v>
      </c>
      <c r="P20" s="100">
        <v>1.18</v>
      </c>
      <c r="Q20" s="100">
        <v>28.52</v>
      </c>
      <c r="R20" s="6"/>
      <c r="S20" s="6"/>
      <c r="T20" s="156"/>
      <c r="U20" s="6"/>
    </row>
    <row r="21" spans="1:21" customFormat="1">
      <c r="A21" s="163" t="s">
        <v>251</v>
      </c>
      <c r="B21" s="100">
        <v>16.53</v>
      </c>
      <c r="C21" s="100">
        <v>27.87</v>
      </c>
      <c r="D21" s="100">
        <v>29.17</v>
      </c>
      <c r="E21" s="100">
        <v>9.57</v>
      </c>
      <c r="F21" s="151" t="s">
        <v>8</v>
      </c>
      <c r="G21" s="100">
        <v>109.53</v>
      </c>
      <c r="H21" s="100">
        <v>33.520000000000003</v>
      </c>
      <c r="I21" s="100">
        <v>14.05</v>
      </c>
      <c r="J21" s="100">
        <v>0.22</v>
      </c>
      <c r="K21" s="100">
        <v>197.53</v>
      </c>
      <c r="L21" s="100">
        <v>19.989999999999998</v>
      </c>
      <c r="M21" s="100">
        <v>69.290000000000006</v>
      </c>
      <c r="N21" s="100">
        <v>1.3</v>
      </c>
      <c r="O21" s="100">
        <v>0</v>
      </c>
      <c r="P21" s="100">
        <v>1.18</v>
      </c>
      <c r="Q21" s="100">
        <v>28.52</v>
      </c>
      <c r="R21" s="6"/>
      <c r="S21" s="6"/>
      <c r="T21" s="156"/>
      <c r="U21" s="6"/>
    </row>
    <row r="22" spans="1:21" customFormat="1">
      <c r="A22" s="163" t="s">
        <v>252</v>
      </c>
      <c r="B22" s="100">
        <v>16.27</v>
      </c>
      <c r="C22" s="100">
        <v>27.62</v>
      </c>
      <c r="D22" s="100">
        <v>28.83</v>
      </c>
      <c r="E22" s="100">
        <v>9.5299999999999994</v>
      </c>
      <c r="F22" s="151" t="s">
        <v>8</v>
      </c>
      <c r="G22" s="100">
        <v>109.53</v>
      </c>
      <c r="H22" s="100">
        <v>33.520000000000003</v>
      </c>
      <c r="I22" s="100">
        <v>14.24</v>
      </c>
      <c r="J22" s="100">
        <v>0.2</v>
      </c>
      <c r="K22" s="100">
        <v>163.25</v>
      </c>
      <c r="L22" s="100">
        <v>19.82</v>
      </c>
      <c r="M22" s="100">
        <v>69.739999999999995</v>
      </c>
      <c r="N22" s="100">
        <v>1.1000000000000001</v>
      </c>
      <c r="O22" s="100">
        <v>0</v>
      </c>
      <c r="P22" s="100">
        <v>1.19</v>
      </c>
      <c r="Q22" s="100">
        <v>28.5</v>
      </c>
      <c r="R22" s="6"/>
      <c r="S22" s="6"/>
      <c r="T22" s="156"/>
      <c r="U22" s="6"/>
    </row>
    <row r="23" spans="1:21" customFormat="1">
      <c r="A23" s="163" t="s">
        <v>253</v>
      </c>
      <c r="B23" s="100">
        <v>15.98</v>
      </c>
      <c r="C23" s="100">
        <v>27.55</v>
      </c>
      <c r="D23" s="100">
        <v>28.56</v>
      </c>
      <c r="E23" s="100">
        <v>9.7799999999999994</v>
      </c>
      <c r="F23" s="151" t="s">
        <v>8</v>
      </c>
      <c r="G23" s="100">
        <v>99.71</v>
      </c>
      <c r="H23" s="100">
        <v>30.88</v>
      </c>
      <c r="I23" s="100">
        <v>14.41</v>
      </c>
      <c r="J23" s="100">
        <v>0.19</v>
      </c>
      <c r="K23" s="100">
        <v>180.64</v>
      </c>
      <c r="L23" s="100">
        <v>19.62</v>
      </c>
      <c r="M23" s="100">
        <v>70.05</v>
      </c>
      <c r="N23" s="100">
        <v>1.1000000000000001</v>
      </c>
      <c r="O23" s="100">
        <v>0</v>
      </c>
      <c r="P23" s="100">
        <v>1.19</v>
      </c>
      <c r="Q23" s="100">
        <v>28.5</v>
      </c>
      <c r="R23" s="6"/>
      <c r="S23" s="6"/>
      <c r="T23" s="156"/>
      <c r="U23" s="6"/>
    </row>
    <row r="24" spans="1:21" customFormat="1">
      <c r="A24" s="163" t="s">
        <v>254</v>
      </c>
      <c r="B24" s="100">
        <v>15.63</v>
      </c>
      <c r="C24" s="100">
        <v>27.27</v>
      </c>
      <c r="D24" s="100">
        <v>28.13</v>
      </c>
      <c r="E24" s="100">
        <v>9.5</v>
      </c>
      <c r="F24" s="151" t="s">
        <v>8</v>
      </c>
      <c r="G24" s="100">
        <v>98.48</v>
      </c>
      <c r="H24" s="100">
        <v>30.88</v>
      </c>
      <c r="I24" s="100">
        <v>14.51</v>
      </c>
      <c r="J24" s="100">
        <v>0.28999999999999998</v>
      </c>
      <c r="K24" s="100">
        <v>189.39</v>
      </c>
      <c r="L24" s="100">
        <v>19.53</v>
      </c>
      <c r="M24" s="100">
        <v>70.59</v>
      </c>
      <c r="N24" s="100">
        <v>1</v>
      </c>
      <c r="O24" s="100">
        <v>0</v>
      </c>
      <c r="P24" s="100">
        <v>1.19</v>
      </c>
      <c r="Q24" s="100">
        <v>28.51</v>
      </c>
      <c r="R24" s="6"/>
      <c r="S24" s="6"/>
      <c r="T24" s="156"/>
      <c r="U24" s="6"/>
    </row>
    <row r="25" spans="1:21" customFormat="1">
      <c r="A25" s="163" t="s">
        <v>255</v>
      </c>
      <c r="B25" s="100">
        <v>15.14</v>
      </c>
      <c r="C25" s="100">
        <v>26.76</v>
      </c>
      <c r="D25" s="100">
        <v>27.47</v>
      </c>
      <c r="E25" s="100">
        <v>9.2200000000000006</v>
      </c>
      <c r="F25" s="151" t="s">
        <v>8</v>
      </c>
      <c r="G25" s="100">
        <v>98.48</v>
      </c>
      <c r="H25" s="100">
        <v>30.88</v>
      </c>
      <c r="I25" s="100">
        <v>14.58</v>
      </c>
      <c r="J25" s="100">
        <v>0.16</v>
      </c>
      <c r="K25" s="100">
        <v>188.13</v>
      </c>
      <c r="L25" s="100">
        <v>19.27</v>
      </c>
      <c r="M25" s="100">
        <v>70.88</v>
      </c>
      <c r="N25" s="100">
        <v>1.1000000000000001</v>
      </c>
      <c r="O25" s="100">
        <v>0</v>
      </c>
      <c r="P25" s="100">
        <v>1.19</v>
      </c>
      <c r="Q25" s="100">
        <v>28.46</v>
      </c>
      <c r="R25" s="6"/>
      <c r="S25" s="6"/>
      <c r="T25" s="156"/>
      <c r="U25" s="6"/>
    </row>
    <row r="26" spans="1:21" customFormat="1">
      <c r="A26" s="163" t="s">
        <v>256</v>
      </c>
      <c r="B26" s="100">
        <v>14.59</v>
      </c>
      <c r="C26" s="100">
        <v>26.22</v>
      </c>
      <c r="D26" s="100">
        <v>26.75</v>
      </c>
      <c r="E26" s="100">
        <v>9.39</v>
      </c>
      <c r="F26" s="151" t="s">
        <v>8</v>
      </c>
      <c r="G26" s="100">
        <v>98.48</v>
      </c>
      <c r="H26" s="100">
        <v>30.88</v>
      </c>
      <c r="I26" s="100">
        <v>14.63</v>
      </c>
      <c r="J26" s="100">
        <v>0.19</v>
      </c>
      <c r="K26" s="100">
        <v>178.99</v>
      </c>
      <c r="L26" s="100">
        <v>19.36</v>
      </c>
      <c r="M26" s="100">
        <v>69.84</v>
      </c>
      <c r="N26" s="100">
        <v>0.8</v>
      </c>
      <c r="O26" s="100">
        <v>0</v>
      </c>
      <c r="P26" s="100">
        <v>1.18</v>
      </c>
      <c r="Q26" s="100">
        <v>28.45</v>
      </c>
      <c r="R26" s="6"/>
      <c r="S26" s="6"/>
      <c r="T26" s="156"/>
      <c r="U26" s="6"/>
    </row>
    <row r="27" spans="1:21" customFormat="1">
      <c r="A27" s="163" t="s">
        <v>257</v>
      </c>
      <c r="B27" s="100">
        <v>14.12</v>
      </c>
      <c r="C27" s="100">
        <v>25.79</v>
      </c>
      <c r="D27" s="100">
        <v>26.15</v>
      </c>
      <c r="E27" s="100">
        <v>9.65</v>
      </c>
      <c r="F27" s="151" t="s">
        <v>8</v>
      </c>
      <c r="G27" s="100">
        <v>87.95</v>
      </c>
      <c r="H27" s="100">
        <v>24.1</v>
      </c>
      <c r="I27" s="100">
        <v>14.63</v>
      </c>
      <c r="J27" s="100">
        <v>0.2</v>
      </c>
      <c r="K27" s="100">
        <v>166.63</v>
      </c>
      <c r="L27" s="100">
        <v>19.32</v>
      </c>
      <c r="M27" s="100">
        <v>73.8</v>
      </c>
      <c r="N27" s="100">
        <v>1</v>
      </c>
      <c r="O27" s="100">
        <v>0</v>
      </c>
      <c r="P27" s="100">
        <v>1.19</v>
      </c>
      <c r="Q27" s="100">
        <v>28.42</v>
      </c>
      <c r="R27" s="6"/>
      <c r="S27" s="6"/>
      <c r="T27" s="156"/>
      <c r="U27" s="6"/>
    </row>
    <row r="28" spans="1:21" customFormat="1">
      <c r="A28" s="163" t="s">
        <v>258</v>
      </c>
      <c r="B28" s="100">
        <v>13.74</v>
      </c>
      <c r="C28" s="100">
        <v>25.5</v>
      </c>
      <c r="D28" s="100">
        <v>25.69</v>
      </c>
      <c r="E28" s="100">
        <v>9.41</v>
      </c>
      <c r="F28" s="151" t="s">
        <v>8</v>
      </c>
      <c r="G28" s="100">
        <v>86.64</v>
      </c>
      <c r="H28" s="100">
        <v>24.1</v>
      </c>
      <c r="I28" s="100">
        <v>14.63</v>
      </c>
      <c r="J28" s="100">
        <v>0.17</v>
      </c>
      <c r="K28" s="100">
        <v>156.19</v>
      </c>
      <c r="L28" s="100">
        <v>19.29</v>
      </c>
      <c r="M28" s="100">
        <v>71.260000000000005</v>
      </c>
      <c r="N28" s="100">
        <v>0.9</v>
      </c>
      <c r="O28" s="100">
        <v>0</v>
      </c>
      <c r="P28" s="100">
        <v>1.19</v>
      </c>
      <c r="Q28" s="100">
        <v>28.41</v>
      </c>
      <c r="R28" s="6"/>
      <c r="S28" s="6"/>
      <c r="T28" s="156"/>
      <c r="U28" s="6"/>
    </row>
    <row r="29" spans="1:21" customFormat="1">
      <c r="A29" s="163" t="s">
        <v>259</v>
      </c>
      <c r="B29" s="100">
        <v>13.54</v>
      </c>
      <c r="C29" s="100">
        <v>24.66</v>
      </c>
      <c r="D29" s="100">
        <v>25.09</v>
      </c>
      <c r="E29" s="100">
        <v>9.02</v>
      </c>
      <c r="F29" s="151" t="s">
        <v>8</v>
      </c>
      <c r="G29" s="100">
        <v>86.64</v>
      </c>
      <c r="H29" s="100">
        <v>24.1</v>
      </c>
      <c r="I29" s="100">
        <v>14.59</v>
      </c>
      <c r="J29" s="100">
        <v>0.13</v>
      </c>
      <c r="K29" s="100">
        <v>152.47</v>
      </c>
      <c r="L29" s="100">
        <v>19.37</v>
      </c>
      <c r="M29" s="100">
        <v>69.88</v>
      </c>
      <c r="N29" s="100">
        <v>0.9</v>
      </c>
      <c r="O29" s="100">
        <v>0</v>
      </c>
      <c r="P29" s="100">
        <v>1.22</v>
      </c>
      <c r="Q29" s="100">
        <v>28.4</v>
      </c>
      <c r="R29" s="6"/>
      <c r="S29" s="6"/>
      <c r="T29" s="156"/>
      <c r="U29" s="6"/>
    </row>
    <row r="30" spans="1:21" customFormat="1">
      <c r="A30" s="163" t="s">
        <v>260</v>
      </c>
      <c r="B30" s="100">
        <v>13.44</v>
      </c>
      <c r="C30" s="100">
        <v>24.4</v>
      </c>
      <c r="D30" s="100">
        <v>24.88</v>
      </c>
      <c r="E30" s="100">
        <v>9.26</v>
      </c>
      <c r="F30" s="151" t="s">
        <v>8</v>
      </c>
      <c r="G30" s="100">
        <v>86.64</v>
      </c>
      <c r="H30" s="100">
        <v>24.1</v>
      </c>
      <c r="I30" s="100">
        <v>14.62</v>
      </c>
      <c r="J30" s="100">
        <v>0.15</v>
      </c>
      <c r="K30" s="100">
        <v>155.43</v>
      </c>
      <c r="L30" s="100">
        <v>19.38</v>
      </c>
      <c r="M30" s="100">
        <v>69.12</v>
      </c>
      <c r="N30" s="100">
        <v>0.8</v>
      </c>
      <c r="O30" s="100">
        <v>0</v>
      </c>
      <c r="P30" s="100">
        <v>1.22</v>
      </c>
      <c r="Q30" s="100">
        <v>28.38</v>
      </c>
      <c r="R30" s="6"/>
      <c r="S30" s="6"/>
      <c r="T30" s="156"/>
      <c r="U30" s="6"/>
    </row>
    <row r="31" spans="1:21" customFormat="1">
      <c r="A31" s="163" t="s">
        <v>261</v>
      </c>
      <c r="B31" s="100">
        <v>13.2</v>
      </c>
      <c r="C31" s="100">
        <v>24.17</v>
      </c>
      <c r="D31" s="100">
        <v>24.57</v>
      </c>
      <c r="E31" s="100">
        <v>9.2200000000000006</v>
      </c>
      <c r="F31" s="151" t="s">
        <v>8</v>
      </c>
      <c r="G31" s="100">
        <v>79.63</v>
      </c>
      <c r="H31" s="100">
        <v>22.8</v>
      </c>
      <c r="I31" s="100">
        <v>14.62</v>
      </c>
      <c r="J31" s="100">
        <v>0.18</v>
      </c>
      <c r="K31" s="100">
        <v>160.07</v>
      </c>
      <c r="L31" s="100">
        <v>19.23</v>
      </c>
      <c r="M31" s="100">
        <v>72.22</v>
      </c>
      <c r="N31" s="100">
        <v>1</v>
      </c>
      <c r="O31" s="100">
        <v>0</v>
      </c>
      <c r="P31" s="100">
        <v>1.21</v>
      </c>
      <c r="Q31" s="100">
        <v>28.39</v>
      </c>
      <c r="R31" s="6"/>
      <c r="S31" s="6"/>
      <c r="T31" s="156"/>
      <c r="U31" s="6"/>
    </row>
    <row r="32" spans="1:21" customFormat="1">
      <c r="A32" s="163" t="s">
        <v>262</v>
      </c>
      <c r="B32" s="100">
        <v>13.16</v>
      </c>
      <c r="C32" s="100">
        <v>23.92</v>
      </c>
      <c r="D32" s="100">
        <v>24.4</v>
      </c>
      <c r="E32" s="100">
        <v>9.36</v>
      </c>
      <c r="F32" s="151" t="s">
        <v>8</v>
      </c>
      <c r="G32" s="100">
        <v>78.75</v>
      </c>
      <c r="H32" s="100">
        <v>22.8</v>
      </c>
      <c r="I32" s="100">
        <v>14.56</v>
      </c>
      <c r="J32" s="100">
        <v>0.18</v>
      </c>
      <c r="K32" s="100">
        <v>190.15</v>
      </c>
      <c r="L32" s="100">
        <v>19.07</v>
      </c>
      <c r="M32" s="100">
        <v>71.66</v>
      </c>
      <c r="N32" s="100">
        <v>0.9</v>
      </c>
      <c r="O32" s="100">
        <v>0</v>
      </c>
      <c r="P32" s="100">
        <v>1.19</v>
      </c>
      <c r="Q32" s="100">
        <v>28.39</v>
      </c>
      <c r="R32" s="6"/>
      <c r="S32" s="6"/>
      <c r="T32" s="156"/>
      <c r="U32" s="6"/>
    </row>
    <row r="33" spans="1:21" customFormat="1">
      <c r="A33" s="163" t="s">
        <v>263</v>
      </c>
      <c r="B33" s="100">
        <v>13.4</v>
      </c>
      <c r="C33" s="100">
        <v>23.79</v>
      </c>
      <c r="D33" s="100">
        <v>24.53</v>
      </c>
      <c r="E33" s="100">
        <v>8.9499999999999993</v>
      </c>
      <c r="F33" s="151" t="s">
        <v>8</v>
      </c>
      <c r="G33" s="100">
        <v>78.75</v>
      </c>
      <c r="H33" s="100">
        <v>22.8</v>
      </c>
      <c r="I33" s="100">
        <v>14.48</v>
      </c>
      <c r="J33" s="100">
        <v>0.2</v>
      </c>
      <c r="K33" s="100">
        <v>196.12</v>
      </c>
      <c r="L33" s="100">
        <v>18.61</v>
      </c>
      <c r="M33" s="100">
        <v>74.989999999999995</v>
      </c>
      <c r="N33" s="100">
        <v>1.7</v>
      </c>
      <c r="O33" s="100">
        <v>0</v>
      </c>
      <c r="P33" s="100">
        <v>1.19</v>
      </c>
      <c r="Q33" s="100">
        <v>28.39</v>
      </c>
      <c r="R33" s="6"/>
      <c r="S33" s="6"/>
      <c r="T33" s="156"/>
      <c r="U33" s="6"/>
    </row>
    <row r="34" spans="1:21" customFormat="1">
      <c r="A34" s="163" t="s">
        <v>264</v>
      </c>
      <c r="B34" s="100">
        <v>13.48</v>
      </c>
      <c r="C34" s="100">
        <v>23.49</v>
      </c>
      <c r="D34" s="100">
        <v>24.43</v>
      </c>
      <c r="E34" s="100">
        <v>8.7200000000000006</v>
      </c>
      <c r="F34" s="151" t="s">
        <v>8</v>
      </c>
      <c r="G34" s="100">
        <v>78.75</v>
      </c>
      <c r="H34" s="100">
        <v>22.8</v>
      </c>
      <c r="I34" s="100">
        <v>14.42</v>
      </c>
      <c r="J34" s="100">
        <v>0.13</v>
      </c>
      <c r="K34" s="100">
        <v>194.57</v>
      </c>
      <c r="L34" s="100">
        <v>18.440000000000001</v>
      </c>
      <c r="M34" s="100">
        <v>75.55</v>
      </c>
      <c r="N34" s="100">
        <v>3.6</v>
      </c>
      <c r="O34" s="100">
        <v>0</v>
      </c>
      <c r="P34" s="100">
        <v>1.19</v>
      </c>
      <c r="Q34" s="100">
        <v>28.39</v>
      </c>
      <c r="R34" s="6"/>
      <c r="S34" s="6"/>
      <c r="T34" s="156"/>
      <c r="U34" s="6"/>
    </row>
    <row r="35" spans="1:21" customFormat="1">
      <c r="A35" s="163" t="s">
        <v>265</v>
      </c>
      <c r="B35" s="100">
        <v>13.45</v>
      </c>
      <c r="C35" s="100">
        <v>23.3</v>
      </c>
      <c r="D35" s="100">
        <v>24.31</v>
      </c>
      <c r="E35" s="100">
        <v>8.83</v>
      </c>
      <c r="F35" s="151" t="s">
        <v>8</v>
      </c>
      <c r="G35" s="100">
        <v>85.88</v>
      </c>
      <c r="H35" s="100">
        <v>26.38</v>
      </c>
      <c r="I35" s="100">
        <v>14.37</v>
      </c>
      <c r="J35" s="100">
        <v>0.19</v>
      </c>
      <c r="K35" s="100">
        <v>245.74</v>
      </c>
      <c r="L35" s="100">
        <v>18.489999999999998</v>
      </c>
      <c r="M35" s="100">
        <v>75.61</v>
      </c>
      <c r="N35" s="100">
        <v>8.6999999999999993</v>
      </c>
      <c r="O35" s="100">
        <v>0</v>
      </c>
      <c r="P35" s="100">
        <v>1.18</v>
      </c>
      <c r="Q35" s="100">
        <v>28.4</v>
      </c>
      <c r="R35" s="6"/>
      <c r="S35" s="6"/>
      <c r="T35" s="156"/>
      <c r="U35" s="6"/>
    </row>
    <row r="36" spans="1:21" customFormat="1">
      <c r="A36" s="163" t="s">
        <v>266</v>
      </c>
      <c r="B36" s="100">
        <v>13.43</v>
      </c>
      <c r="C36" s="100">
        <v>22.98</v>
      </c>
      <c r="D36" s="100">
        <v>24.13</v>
      </c>
      <c r="E36" s="100">
        <v>8.77</v>
      </c>
      <c r="F36" s="151" t="s">
        <v>8</v>
      </c>
      <c r="G36" s="100">
        <v>86.77</v>
      </c>
      <c r="H36" s="100">
        <v>26.38</v>
      </c>
      <c r="I36" s="100">
        <v>14.31</v>
      </c>
      <c r="J36" s="100">
        <v>0.22</v>
      </c>
      <c r="K36" s="100">
        <v>250.42</v>
      </c>
      <c r="L36" s="100">
        <v>18.64</v>
      </c>
      <c r="M36" s="100">
        <v>74.45</v>
      </c>
      <c r="N36" s="100">
        <v>15.3</v>
      </c>
      <c r="O36" s="100">
        <v>0</v>
      </c>
      <c r="P36" s="100">
        <v>1.18</v>
      </c>
      <c r="Q36" s="100">
        <v>28.42</v>
      </c>
      <c r="R36" s="6"/>
      <c r="S36" s="6"/>
      <c r="T36" s="156"/>
      <c r="U36" s="6"/>
    </row>
    <row r="37" spans="1:21" customFormat="1">
      <c r="A37" s="163" t="s">
        <v>267</v>
      </c>
      <c r="B37" s="100">
        <v>13.41</v>
      </c>
      <c r="C37" s="100">
        <v>22.63</v>
      </c>
      <c r="D37" s="100">
        <v>23.93</v>
      </c>
      <c r="E37" s="100">
        <v>8.61</v>
      </c>
      <c r="F37" s="151" t="s">
        <v>8</v>
      </c>
      <c r="G37" s="100">
        <v>86.77</v>
      </c>
      <c r="H37" s="100">
        <v>26.38</v>
      </c>
      <c r="I37" s="100">
        <v>14.25</v>
      </c>
      <c r="J37" s="100">
        <v>0.09</v>
      </c>
      <c r="K37" s="100">
        <v>157.69</v>
      </c>
      <c r="L37" s="100">
        <v>19.23</v>
      </c>
      <c r="M37" s="100">
        <v>72.3</v>
      </c>
      <c r="N37" s="100">
        <v>21.6</v>
      </c>
      <c r="O37" s="100">
        <v>0</v>
      </c>
      <c r="P37" s="100">
        <v>1.18</v>
      </c>
      <c r="Q37" s="100">
        <v>28.4</v>
      </c>
      <c r="R37" s="6"/>
      <c r="S37" s="6"/>
      <c r="T37" s="156"/>
      <c r="U37" s="6"/>
    </row>
    <row r="38" spans="1:21" customFormat="1">
      <c r="A38" s="163" t="s">
        <v>268</v>
      </c>
      <c r="B38" s="100">
        <v>13.38</v>
      </c>
      <c r="C38" s="100">
        <v>22.46</v>
      </c>
      <c r="D38" s="100">
        <v>23.82</v>
      </c>
      <c r="E38" s="100">
        <v>8.64</v>
      </c>
      <c r="F38" s="151" t="s">
        <v>8</v>
      </c>
      <c r="G38" s="100">
        <v>86.77</v>
      </c>
      <c r="H38" s="100">
        <v>26.38</v>
      </c>
      <c r="I38" s="100">
        <v>14.2</v>
      </c>
      <c r="J38" s="100">
        <v>0.14000000000000001</v>
      </c>
      <c r="K38" s="100">
        <v>162.56</v>
      </c>
      <c r="L38" s="100">
        <v>20.22</v>
      </c>
      <c r="M38" s="100">
        <v>67.39</v>
      </c>
      <c r="N38" s="100">
        <v>28.4</v>
      </c>
      <c r="O38" s="100">
        <v>0</v>
      </c>
      <c r="P38" s="100">
        <v>1.18</v>
      </c>
      <c r="Q38" s="100">
        <v>28.39</v>
      </c>
      <c r="R38" s="6"/>
      <c r="S38" s="6"/>
      <c r="T38" s="156"/>
      <c r="U38" s="6"/>
    </row>
    <row r="39" spans="1:21" customFormat="1">
      <c r="A39" s="163" t="s">
        <v>269</v>
      </c>
      <c r="B39" s="100">
        <v>13.29</v>
      </c>
      <c r="C39" s="100">
        <v>22.56</v>
      </c>
      <c r="D39" s="100">
        <v>23.8</v>
      </c>
      <c r="E39" s="100">
        <v>8.4499999999999993</v>
      </c>
      <c r="F39" s="151" t="s">
        <v>8</v>
      </c>
      <c r="G39" s="100">
        <v>91</v>
      </c>
      <c r="H39" s="100">
        <v>26.89</v>
      </c>
      <c r="I39" s="100">
        <v>14.2</v>
      </c>
      <c r="J39" s="100">
        <v>0.1</v>
      </c>
      <c r="K39" s="100">
        <v>220.78</v>
      </c>
      <c r="L39" s="100">
        <v>21.52</v>
      </c>
      <c r="M39" s="100">
        <v>62.22</v>
      </c>
      <c r="N39" s="100">
        <v>35.799999999999997</v>
      </c>
      <c r="O39" s="100">
        <v>0</v>
      </c>
      <c r="P39" s="100">
        <v>1.18</v>
      </c>
      <c r="Q39" s="100">
        <v>28.4</v>
      </c>
      <c r="R39" s="6"/>
      <c r="S39" s="6"/>
      <c r="T39" s="156"/>
      <c r="U39" s="6"/>
    </row>
    <row r="40" spans="1:21" customFormat="1">
      <c r="A40" s="163" t="s">
        <v>270</v>
      </c>
      <c r="B40" s="100">
        <v>13.1</v>
      </c>
      <c r="C40" s="100">
        <v>22.53</v>
      </c>
      <c r="D40" s="100">
        <v>23.63</v>
      </c>
      <c r="E40" s="100">
        <v>8.76</v>
      </c>
      <c r="F40" s="151" t="s">
        <v>8</v>
      </c>
      <c r="G40" s="100">
        <v>91.53</v>
      </c>
      <c r="H40" s="100">
        <v>26.89</v>
      </c>
      <c r="I40" s="100">
        <v>14.22</v>
      </c>
      <c r="J40" s="100">
        <v>0.11</v>
      </c>
      <c r="K40" s="100">
        <v>210.07</v>
      </c>
      <c r="L40" s="100">
        <v>22.9</v>
      </c>
      <c r="M40" s="100">
        <v>56.53</v>
      </c>
      <c r="N40" s="100">
        <v>52.8</v>
      </c>
      <c r="O40" s="100">
        <v>0</v>
      </c>
      <c r="P40" s="100">
        <v>1.18</v>
      </c>
      <c r="Q40" s="100">
        <v>28.4</v>
      </c>
      <c r="R40" s="6"/>
      <c r="S40" s="6"/>
      <c r="T40" s="156"/>
      <c r="U40" s="6"/>
    </row>
    <row r="41" spans="1:21" customFormat="1">
      <c r="A41" s="163" t="s">
        <v>271</v>
      </c>
      <c r="B41" s="100">
        <v>12.8</v>
      </c>
      <c r="C41" s="100">
        <v>22.41</v>
      </c>
      <c r="D41" s="100">
        <v>23.33</v>
      </c>
      <c r="E41" s="100">
        <v>9.26</v>
      </c>
      <c r="F41" s="151" t="s">
        <v>8</v>
      </c>
      <c r="G41" s="100">
        <v>91.53</v>
      </c>
      <c r="H41" s="100">
        <v>26.89</v>
      </c>
      <c r="I41" s="100">
        <v>14.22</v>
      </c>
      <c r="J41" s="100">
        <v>0.22</v>
      </c>
      <c r="K41" s="100">
        <v>259.92</v>
      </c>
      <c r="L41" s="100">
        <v>24.35</v>
      </c>
      <c r="M41" s="100">
        <v>49.18</v>
      </c>
      <c r="N41" s="100">
        <v>93.1</v>
      </c>
      <c r="O41" s="100">
        <v>0</v>
      </c>
      <c r="P41" s="100">
        <v>1.1599999999999999</v>
      </c>
      <c r="Q41" s="100">
        <v>28.36</v>
      </c>
      <c r="R41" s="6"/>
      <c r="S41" s="6"/>
      <c r="T41" s="156"/>
      <c r="U41" s="6"/>
    </row>
    <row r="42" spans="1:21" customFormat="1">
      <c r="A42" s="163" t="s">
        <v>272</v>
      </c>
      <c r="B42" s="100">
        <v>12.25</v>
      </c>
      <c r="C42" s="100">
        <v>22.44</v>
      </c>
      <c r="D42" s="100">
        <v>22.9</v>
      </c>
      <c r="E42" s="100">
        <v>9.0500000000000007</v>
      </c>
      <c r="F42" s="151" t="s">
        <v>8</v>
      </c>
      <c r="G42" s="100">
        <v>91.53</v>
      </c>
      <c r="H42" s="100">
        <v>26.89</v>
      </c>
      <c r="I42" s="100">
        <v>14.23</v>
      </c>
      <c r="J42" s="100">
        <v>0.56999999999999995</v>
      </c>
      <c r="K42" s="100">
        <v>260.06</v>
      </c>
      <c r="L42" s="100">
        <v>25.76</v>
      </c>
      <c r="M42" s="100">
        <v>42.42</v>
      </c>
      <c r="N42" s="100">
        <v>174.4</v>
      </c>
      <c r="O42" s="100">
        <v>0</v>
      </c>
      <c r="P42" s="100">
        <v>1.1599999999999999</v>
      </c>
      <c r="Q42" s="100">
        <v>28.33</v>
      </c>
      <c r="R42" s="6"/>
      <c r="S42" s="6"/>
      <c r="T42" s="156"/>
      <c r="U42" s="6"/>
    </row>
    <row r="43" spans="1:21" customFormat="1">
      <c r="A43" s="163" t="s">
        <v>273</v>
      </c>
      <c r="B43" s="100">
        <v>11.57</v>
      </c>
      <c r="C43" s="100">
        <v>22.44</v>
      </c>
      <c r="D43" s="100">
        <v>22.35</v>
      </c>
      <c r="E43" s="100">
        <v>9.6300000000000008</v>
      </c>
      <c r="F43" s="151" t="s">
        <v>8</v>
      </c>
      <c r="G43" s="100">
        <v>90.48</v>
      </c>
      <c r="H43" s="100">
        <v>27.35</v>
      </c>
      <c r="I43" s="100">
        <v>14.15</v>
      </c>
      <c r="J43" s="100">
        <v>0.95</v>
      </c>
      <c r="K43" s="100">
        <v>257.54000000000002</v>
      </c>
      <c r="L43" s="100">
        <v>26.41</v>
      </c>
      <c r="M43" s="100">
        <v>40.25</v>
      </c>
      <c r="N43" s="100">
        <v>209.2</v>
      </c>
      <c r="O43" s="100">
        <v>0</v>
      </c>
      <c r="P43" s="100">
        <v>1.1299999999999999</v>
      </c>
      <c r="Q43" s="100">
        <v>28.3</v>
      </c>
      <c r="R43" s="6"/>
      <c r="S43" s="6"/>
      <c r="T43" s="156"/>
      <c r="U43" s="6"/>
    </row>
    <row r="44" spans="1:21" customFormat="1">
      <c r="A44" s="163" t="s">
        <v>274</v>
      </c>
      <c r="B44" s="100">
        <v>10.65</v>
      </c>
      <c r="C44" s="100">
        <v>22.7</v>
      </c>
      <c r="D44" s="100">
        <v>21.75</v>
      </c>
      <c r="E44" s="100">
        <v>9.4</v>
      </c>
      <c r="F44" s="151" t="s">
        <v>8</v>
      </c>
      <c r="G44" s="100">
        <v>90.34</v>
      </c>
      <c r="H44" s="100">
        <v>27.35</v>
      </c>
      <c r="I44" s="100">
        <v>13.89</v>
      </c>
      <c r="J44" s="100">
        <v>0.77</v>
      </c>
      <c r="K44" s="100">
        <v>258.47000000000003</v>
      </c>
      <c r="L44" s="100">
        <v>27.01</v>
      </c>
      <c r="M44" s="100">
        <v>40</v>
      </c>
      <c r="N44" s="100">
        <v>223.8</v>
      </c>
      <c r="O44" s="100">
        <v>0</v>
      </c>
      <c r="P44" s="100">
        <v>1.1100000000000001</v>
      </c>
      <c r="Q44" s="100">
        <v>28.28</v>
      </c>
      <c r="R44" s="6"/>
      <c r="S44" s="6"/>
      <c r="T44" s="156"/>
      <c r="U44" s="6"/>
    </row>
    <row r="45" spans="1:21" customFormat="1">
      <c r="A45" s="163" t="s">
        <v>275</v>
      </c>
      <c r="B45" s="100">
        <v>9.5299999999999994</v>
      </c>
      <c r="C45" s="100">
        <v>22.79</v>
      </c>
      <c r="D45" s="100">
        <v>20.9</v>
      </c>
      <c r="E45" s="100">
        <v>9.36</v>
      </c>
      <c r="F45" s="151" t="s">
        <v>8</v>
      </c>
      <c r="G45" s="100">
        <v>90.34</v>
      </c>
      <c r="H45" s="100">
        <v>27.35</v>
      </c>
      <c r="I45" s="100">
        <v>13.67</v>
      </c>
      <c r="J45" s="100">
        <v>1.01</v>
      </c>
      <c r="K45" s="100">
        <v>257.88</v>
      </c>
      <c r="L45" s="100">
        <v>27.75</v>
      </c>
      <c r="M45" s="100">
        <v>39.880000000000003</v>
      </c>
      <c r="N45" s="100">
        <v>192.9</v>
      </c>
      <c r="O45" s="100">
        <v>0</v>
      </c>
      <c r="P45" s="100">
        <v>1.0900000000000001</v>
      </c>
      <c r="Q45" s="100">
        <v>28.24</v>
      </c>
      <c r="R45" s="6"/>
      <c r="S45" s="6"/>
      <c r="T45" s="156"/>
      <c r="U45" s="6"/>
    </row>
    <row r="46" spans="1:21" customFormat="1">
      <c r="A46" s="163" t="s">
        <v>276</v>
      </c>
      <c r="B46" s="100">
        <v>8.44</v>
      </c>
      <c r="C46" s="100">
        <v>22.83</v>
      </c>
      <c r="D46" s="100">
        <v>20.04</v>
      </c>
      <c r="E46" s="100">
        <v>9.6300000000000008</v>
      </c>
      <c r="F46" s="151" t="s">
        <v>8</v>
      </c>
      <c r="G46" s="100">
        <v>90.34</v>
      </c>
      <c r="H46" s="100">
        <v>27.35</v>
      </c>
      <c r="I46" s="100">
        <v>13.49</v>
      </c>
      <c r="J46" s="100">
        <v>0.96</v>
      </c>
      <c r="K46" s="100">
        <v>262.73</v>
      </c>
      <c r="L46" s="100">
        <v>28.12</v>
      </c>
      <c r="M46" s="100">
        <v>42.9</v>
      </c>
      <c r="N46" s="100">
        <v>263.2</v>
      </c>
      <c r="O46" s="100">
        <v>0</v>
      </c>
      <c r="P46" s="100">
        <v>1.07</v>
      </c>
      <c r="Q46" s="100">
        <v>28.19</v>
      </c>
      <c r="R46" s="6"/>
      <c r="S46" s="6"/>
      <c r="T46" s="156"/>
      <c r="U46" s="6"/>
    </row>
    <row r="47" spans="1:21" customFormat="1">
      <c r="A47" s="163" t="s">
        <v>277</v>
      </c>
      <c r="B47" s="100">
        <v>7.3</v>
      </c>
      <c r="C47" s="100">
        <v>23.03</v>
      </c>
      <c r="D47" s="100">
        <v>19.239999999999998</v>
      </c>
      <c r="E47" s="100">
        <v>9.4700000000000006</v>
      </c>
      <c r="F47" s="151" t="s">
        <v>8</v>
      </c>
      <c r="G47" s="100">
        <v>79.23</v>
      </c>
      <c r="H47" s="100">
        <v>32.44</v>
      </c>
      <c r="I47" s="100">
        <v>13.2</v>
      </c>
      <c r="J47" s="100">
        <v>0.87</v>
      </c>
      <c r="K47" s="100">
        <v>271.11</v>
      </c>
      <c r="L47" s="100">
        <v>28.69</v>
      </c>
      <c r="M47" s="100">
        <v>42.72</v>
      </c>
      <c r="N47" s="100">
        <v>274.7</v>
      </c>
      <c r="O47" s="100">
        <v>0</v>
      </c>
      <c r="P47" s="100">
        <v>1.04</v>
      </c>
      <c r="Q47" s="100">
        <v>28.14</v>
      </c>
      <c r="R47" s="6"/>
      <c r="S47" s="6"/>
      <c r="T47" s="156"/>
      <c r="U47" s="6"/>
    </row>
    <row r="48" spans="1:21" customFormat="1">
      <c r="A48" s="163" t="s">
        <v>278</v>
      </c>
      <c r="B48" s="100">
        <v>6.26</v>
      </c>
      <c r="C48" s="100">
        <v>23.31</v>
      </c>
      <c r="D48" s="100">
        <v>18.55</v>
      </c>
      <c r="E48" s="100">
        <v>9.39</v>
      </c>
      <c r="F48" s="151" t="s">
        <v>8</v>
      </c>
      <c r="G48" s="100">
        <v>77.84</v>
      </c>
      <c r="H48" s="100">
        <v>32.44</v>
      </c>
      <c r="I48" s="100">
        <v>12.86</v>
      </c>
      <c r="J48" s="100">
        <v>0.77</v>
      </c>
      <c r="K48" s="100">
        <v>273.8</v>
      </c>
      <c r="L48" s="100">
        <v>29.83</v>
      </c>
      <c r="M48" s="100">
        <v>41.1</v>
      </c>
      <c r="N48" s="100">
        <v>282.2</v>
      </c>
      <c r="O48" s="100">
        <v>0</v>
      </c>
      <c r="P48" s="100">
        <v>1.01</v>
      </c>
      <c r="Q48" s="100">
        <v>28.09</v>
      </c>
      <c r="R48" s="6"/>
      <c r="S48" s="6"/>
      <c r="T48" s="156"/>
      <c r="U48" s="6"/>
    </row>
    <row r="49" spans="1:21" customFormat="1">
      <c r="A49" s="163" t="s">
        <v>279</v>
      </c>
      <c r="B49" s="100">
        <v>5.34</v>
      </c>
      <c r="C49" s="100">
        <v>23.46</v>
      </c>
      <c r="D49" s="100">
        <v>17.89</v>
      </c>
      <c r="E49" s="100">
        <v>8.81</v>
      </c>
      <c r="F49" s="151" t="s">
        <v>8</v>
      </c>
      <c r="G49" s="100">
        <v>77.84</v>
      </c>
      <c r="H49" s="100">
        <v>32.44</v>
      </c>
      <c r="I49" s="100">
        <v>12.59</v>
      </c>
      <c r="J49" s="100">
        <v>1.17</v>
      </c>
      <c r="K49" s="100">
        <v>286.29000000000002</v>
      </c>
      <c r="L49" s="100">
        <v>30.48</v>
      </c>
      <c r="M49" s="100">
        <v>39.479999999999997</v>
      </c>
      <c r="N49" s="100">
        <v>241.4</v>
      </c>
      <c r="O49" s="100">
        <v>0</v>
      </c>
      <c r="P49" s="100">
        <v>0.97</v>
      </c>
      <c r="Q49" s="100">
        <v>28.05</v>
      </c>
      <c r="R49" s="6"/>
      <c r="S49" s="6"/>
      <c r="T49" s="156"/>
      <c r="U49" s="6"/>
    </row>
    <row r="50" spans="1:21" customFormat="1">
      <c r="A50" s="163" t="s">
        <v>280</v>
      </c>
      <c r="B50" s="100">
        <v>4.63</v>
      </c>
      <c r="C50" s="100">
        <v>23.54</v>
      </c>
      <c r="D50" s="100">
        <v>17.36</v>
      </c>
      <c r="E50" s="100">
        <v>10.74</v>
      </c>
      <c r="F50" s="151" t="s">
        <v>8</v>
      </c>
      <c r="G50" s="100">
        <v>77.84</v>
      </c>
      <c r="H50" s="100">
        <v>32.44</v>
      </c>
      <c r="I50" s="100">
        <v>12.53</v>
      </c>
      <c r="J50" s="100">
        <v>0.99</v>
      </c>
      <c r="K50" s="100">
        <v>269.51</v>
      </c>
      <c r="L50" s="100">
        <v>31.08</v>
      </c>
      <c r="M50" s="100">
        <v>38.68</v>
      </c>
      <c r="N50" s="100">
        <v>246.8</v>
      </c>
      <c r="O50" s="100">
        <v>0</v>
      </c>
      <c r="P50" s="100">
        <v>0.93</v>
      </c>
      <c r="Q50" s="100">
        <v>28.04</v>
      </c>
      <c r="R50" s="6"/>
      <c r="S50" s="6"/>
      <c r="T50" s="156"/>
      <c r="U50" s="6"/>
    </row>
    <row r="51" spans="1:21" customFormat="1">
      <c r="A51" s="163" t="s">
        <v>281</v>
      </c>
      <c r="B51" s="100">
        <v>4.21</v>
      </c>
      <c r="C51" s="100">
        <v>23.46</v>
      </c>
      <c r="D51" s="100">
        <v>16.989999999999998</v>
      </c>
      <c r="E51" s="100">
        <v>11.66</v>
      </c>
      <c r="F51" s="151" t="s">
        <v>8</v>
      </c>
      <c r="G51" s="100">
        <v>76.239999999999995</v>
      </c>
      <c r="H51" s="100">
        <v>33.29</v>
      </c>
      <c r="I51" s="100">
        <v>12.15</v>
      </c>
      <c r="J51" s="100">
        <v>0.98</v>
      </c>
      <c r="K51" s="100">
        <v>285.26</v>
      </c>
      <c r="L51" s="100">
        <v>31.43</v>
      </c>
      <c r="M51" s="100">
        <v>38.619999999999997</v>
      </c>
      <c r="N51" s="100">
        <v>309.7</v>
      </c>
      <c r="O51" s="100">
        <v>0</v>
      </c>
      <c r="P51" s="100">
        <v>0.89</v>
      </c>
      <c r="Q51" s="100">
        <v>28.01</v>
      </c>
      <c r="R51" s="6"/>
      <c r="S51" s="6"/>
      <c r="T51" s="156"/>
      <c r="U51" s="6"/>
    </row>
    <row r="52" spans="1:21" customFormat="1">
      <c r="A52" s="163" t="s">
        <v>282</v>
      </c>
      <c r="B52" s="100">
        <v>4.07</v>
      </c>
      <c r="C52" s="100">
        <v>23.1</v>
      </c>
      <c r="D52" s="100">
        <v>16.68</v>
      </c>
      <c r="E52" s="100">
        <v>11.29</v>
      </c>
      <c r="F52" s="151" t="s">
        <v>8</v>
      </c>
      <c r="G52" s="100">
        <v>76.040000000000006</v>
      </c>
      <c r="H52" s="100">
        <v>33.29</v>
      </c>
      <c r="I52" s="100">
        <v>11.77</v>
      </c>
      <c r="J52" s="100">
        <v>1.33</v>
      </c>
      <c r="K52" s="100">
        <v>293.39999999999998</v>
      </c>
      <c r="L52" s="100">
        <v>31.51</v>
      </c>
      <c r="M52" s="100">
        <v>37.99</v>
      </c>
      <c r="N52" s="100">
        <v>319.7</v>
      </c>
      <c r="O52" s="100">
        <v>0</v>
      </c>
      <c r="P52" s="100">
        <v>0.88</v>
      </c>
      <c r="Q52" s="100">
        <v>28.01</v>
      </c>
      <c r="R52" s="6"/>
      <c r="S52" s="6"/>
      <c r="T52" s="156"/>
      <c r="U52" s="6"/>
    </row>
    <row r="53" spans="1:21" customFormat="1">
      <c r="A53" s="163" t="s">
        <v>283</v>
      </c>
      <c r="B53" s="100">
        <v>4</v>
      </c>
      <c r="C53" s="100">
        <v>22.92</v>
      </c>
      <c r="D53" s="100">
        <v>16.53</v>
      </c>
      <c r="E53" s="100">
        <v>11.37</v>
      </c>
      <c r="F53" s="151" t="s">
        <v>8</v>
      </c>
      <c r="G53" s="100">
        <v>76.040000000000006</v>
      </c>
      <c r="H53" s="100">
        <v>33.29</v>
      </c>
      <c r="I53" s="100">
        <v>11.4</v>
      </c>
      <c r="J53" s="100">
        <v>0.94</v>
      </c>
      <c r="K53" s="100">
        <v>273.83</v>
      </c>
      <c r="L53" s="100">
        <v>32.479999999999997</v>
      </c>
      <c r="M53" s="100">
        <v>37.049999999999997</v>
      </c>
      <c r="N53" s="100">
        <v>320</v>
      </c>
      <c r="O53" s="100">
        <v>0</v>
      </c>
      <c r="P53" s="100">
        <v>0.87</v>
      </c>
      <c r="Q53" s="100">
        <v>28.01</v>
      </c>
      <c r="R53" s="6"/>
      <c r="S53" s="6"/>
      <c r="T53" s="156"/>
      <c r="U53" s="6"/>
    </row>
    <row r="54" spans="1:21" customFormat="1">
      <c r="A54" s="163" t="s">
        <v>284</v>
      </c>
      <c r="B54" s="100">
        <v>3.9</v>
      </c>
      <c r="C54" s="100">
        <v>22.45</v>
      </c>
      <c r="D54" s="100">
        <v>16.21</v>
      </c>
      <c r="E54" s="100">
        <v>12.19</v>
      </c>
      <c r="F54" s="151" t="s">
        <v>8</v>
      </c>
      <c r="G54" s="100">
        <v>76.040000000000006</v>
      </c>
      <c r="H54" s="100">
        <v>33.29</v>
      </c>
      <c r="I54" s="100">
        <v>11.11</v>
      </c>
      <c r="J54" s="100">
        <v>1.07</v>
      </c>
      <c r="K54" s="100">
        <v>283.23</v>
      </c>
      <c r="L54" s="100">
        <v>32.81</v>
      </c>
      <c r="M54" s="100">
        <v>35.99</v>
      </c>
      <c r="N54" s="100">
        <v>301.60000000000002</v>
      </c>
      <c r="O54" s="100">
        <v>0</v>
      </c>
      <c r="P54" s="100">
        <v>0.84</v>
      </c>
      <c r="Q54" s="100">
        <v>28</v>
      </c>
      <c r="R54" s="6"/>
      <c r="S54" s="6"/>
      <c r="T54" s="156"/>
      <c r="U54" s="6"/>
    </row>
    <row r="55" spans="1:21" customFormat="1">
      <c r="A55" s="163" t="s">
        <v>285</v>
      </c>
      <c r="B55" s="100">
        <v>3.87</v>
      </c>
      <c r="C55" s="100">
        <v>22.25</v>
      </c>
      <c r="D55" s="100">
        <v>16.079999999999998</v>
      </c>
      <c r="E55" s="100">
        <v>13.05</v>
      </c>
      <c r="F55" s="151" t="s">
        <v>8</v>
      </c>
      <c r="G55" s="100">
        <v>73.540000000000006</v>
      </c>
      <c r="H55" s="100">
        <v>36.06</v>
      </c>
      <c r="I55" s="100">
        <v>10.81</v>
      </c>
      <c r="J55" s="100">
        <v>1.28</v>
      </c>
      <c r="K55" s="100">
        <v>298.73</v>
      </c>
      <c r="L55" s="100">
        <v>32.92</v>
      </c>
      <c r="M55" s="100">
        <v>35.51</v>
      </c>
      <c r="N55" s="100">
        <v>300.5</v>
      </c>
      <c r="O55" s="100">
        <v>0</v>
      </c>
      <c r="P55" s="100">
        <v>0.79</v>
      </c>
      <c r="Q55" s="100">
        <v>28</v>
      </c>
      <c r="R55" s="6"/>
      <c r="S55" s="6"/>
      <c r="T55" s="156"/>
      <c r="U55" s="6"/>
    </row>
    <row r="56" spans="1:21" customFormat="1">
      <c r="A56" s="163" t="s">
        <v>286</v>
      </c>
      <c r="B56" s="100">
        <v>3.87</v>
      </c>
      <c r="C56" s="100">
        <v>22.34</v>
      </c>
      <c r="D56" s="100">
        <v>16.12</v>
      </c>
      <c r="E56" s="100">
        <v>12.39</v>
      </c>
      <c r="F56" s="151" t="s">
        <v>8</v>
      </c>
      <c r="G56" s="100">
        <v>73.23</v>
      </c>
      <c r="H56" s="100">
        <v>36.06</v>
      </c>
      <c r="I56" s="100">
        <v>10.48</v>
      </c>
      <c r="J56" s="100">
        <v>1.02</v>
      </c>
      <c r="K56" s="100">
        <v>278.02999999999997</v>
      </c>
      <c r="L56" s="100">
        <v>33.4</v>
      </c>
      <c r="M56" s="100">
        <v>34.729999999999997</v>
      </c>
      <c r="N56" s="100">
        <v>328.1</v>
      </c>
      <c r="O56" s="100">
        <v>0</v>
      </c>
      <c r="P56" s="100">
        <v>0.79</v>
      </c>
      <c r="Q56" s="100">
        <v>28.02</v>
      </c>
      <c r="R56" s="6"/>
      <c r="S56" s="6"/>
      <c r="T56" s="156"/>
      <c r="U56" s="6"/>
    </row>
    <row r="57" spans="1:21" customFormat="1">
      <c r="A57" s="163" t="s">
        <v>287</v>
      </c>
      <c r="B57" s="100">
        <v>3.85</v>
      </c>
      <c r="C57" s="100">
        <v>22.12</v>
      </c>
      <c r="D57" s="100">
        <v>15.99</v>
      </c>
      <c r="E57" s="100">
        <v>12.16</v>
      </c>
      <c r="F57" s="151" t="s">
        <v>8</v>
      </c>
      <c r="G57" s="100">
        <v>73.23</v>
      </c>
      <c r="H57" s="100">
        <v>36.06</v>
      </c>
      <c r="I57" s="100">
        <v>10.09</v>
      </c>
      <c r="J57" s="100">
        <v>1.06</v>
      </c>
      <c r="K57" s="100">
        <v>287.05</v>
      </c>
      <c r="L57" s="100">
        <v>34.03</v>
      </c>
      <c r="M57" s="100">
        <v>33.51</v>
      </c>
      <c r="N57" s="100">
        <v>334.5</v>
      </c>
      <c r="O57" s="100">
        <v>0</v>
      </c>
      <c r="P57" s="100">
        <v>0.76</v>
      </c>
      <c r="Q57" s="100">
        <v>27.99</v>
      </c>
      <c r="R57" s="6"/>
      <c r="S57" s="6"/>
      <c r="T57" s="156"/>
      <c r="U57" s="6"/>
    </row>
    <row r="58" spans="1:21" customFormat="1">
      <c r="A58" s="163" t="s">
        <v>288</v>
      </c>
      <c r="B58" s="100">
        <v>3.86</v>
      </c>
      <c r="C58" s="100">
        <v>21.93</v>
      </c>
      <c r="D58" s="100">
        <v>15.9</v>
      </c>
      <c r="E58" s="100">
        <v>12.72</v>
      </c>
      <c r="F58" s="151" t="s">
        <v>8</v>
      </c>
      <c r="G58" s="100">
        <v>73.23</v>
      </c>
      <c r="H58" s="100">
        <v>36.06</v>
      </c>
      <c r="I58" s="100">
        <v>9.85</v>
      </c>
      <c r="J58" s="100">
        <v>1.01</v>
      </c>
      <c r="K58" s="100">
        <v>272.83</v>
      </c>
      <c r="L58" s="100">
        <v>34.25</v>
      </c>
      <c r="M58" s="100">
        <v>32.31</v>
      </c>
      <c r="N58" s="100">
        <v>334.3</v>
      </c>
      <c r="O58" s="100">
        <v>0</v>
      </c>
      <c r="P58" s="100">
        <v>0.74</v>
      </c>
      <c r="Q58" s="100">
        <v>28</v>
      </c>
      <c r="R58" s="6"/>
      <c r="S58" s="6"/>
      <c r="T58" s="156"/>
      <c r="U58" s="6"/>
    </row>
    <row r="59" spans="1:21" customFormat="1">
      <c r="A59" s="163" t="s">
        <v>289</v>
      </c>
      <c r="B59" s="100">
        <v>3.87</v>
      </c>
      <c r="C59" s="100">
        <v>21.64</v>
      </c>
      <c r="D59" s="100">
        <v>15.76</v>
      </c>
      <c r="E59" s="100">
        <v>11.94</v>
      </c>
      <c r="F59" s="151" t="s">
        <v>8</v>
      </c>
      <c r="G59" s="100">
        <v>63.81</v>
      </c>
      <c r="H59" s="100">
        <v>44.51</v>
      </c>
      <c r="I59" s="100">
        <v>9.61</v>
      </c>
      <c r="J59" s="100">
        <v>0.67</v>
      </c>
      <c r="K59" s="100">
        <v>254.26</v>
      </c>
      <c r="L59" s="100">
        <v>34.880000000000003</v>
      </c>
      <c r="M59" s="100">
        <v>31.35</v>
      </c>
      <c r="N59" s="100">
        <v>338</v>
      </c>
      <c r="O59" s="100">
        <v>0</v>
      </c>
      <c r="P59" s="100">
        <v>0.72</v>
      </c>
      <c r="Q59" s="100">
        <v>28</v>
      </c>
      <c r="R59" s="6"/>
      <c r="S59" s="6"/>
      <c r="T59" s="156"/>
      <c r="U59" s="6"/>
    </row>
    <row r="60" spans="1:21" customFormat="1">
      <c r="A60" s="163" t="s">
        <v>290</v>
      </c>
      <c r="B60" s="100">
        <v>3.86</v>
      </c>
      <c r="C60" s="100">
        <v>21.2</v>
      </c>
      <c r="D60" s="100">
        <v>15.52</v>
      </c>
      <c r="E60" s="100">
        <v>11.97</v>
      </c>
      <c r="F60" s="151" t="s">
        <v>8</v>
      </c>
      <c r="G60" s="100">
        <v>62.64</v>
      </c>
      <c r="H60" s="100">
        <v>44.51</v>
      </c>
      <c r="I60" s="100">
        <v>9.33</v>
      </c>
      <c r="J60" s="100">
        <v>0.79</v>
      </c>
      <c r="K60" s="100">
        <v>282.55</v>
      </c>
      <c r="L60" s="100">
        <v>35.43</v>
      </c>
      <c r="M60" s="100">
        <v>30.38</v>
      </c>
      <c r="N60" s="100">
        <v>338.7</v>
      </c>
      <c r="O60" s="100">
        <v>0</v>
      </c>
      <c r="P60" s="100">
        <v>0.7</v>
      </c>
      <c r="Q60" s="100">
        <v>28</v>
      </c>
      <c r="R60" s="6"/>
      <c r="S60" s="6"/>
      <c r="T60" s="156"/>
      <c r="U60" s="6"/>
    </row>
    <row r="61" spans="1:21" customFormat="1">
      <c r="A61" s="163" t="s">
        <v>291</v>
      </c>
      <c r="B61" s="100">
        <v>3.87</v>
      </c>
      <c r="C61" s="100">
        <v>20.83</v>
      </c>
      <c r="D61" s="100">
        <v>15.33</v>
      </c>
      <c r="E61" s="100">
        <v>12.25</v>
      </c>
      <c r="F61" s="151" t="s">
        <v>8</v>
      </c>
      <c r="G61" s="100">
        <v>62.64</v>
      </c>
      <c r="H61" s="100">
        <v>44.51</v>
      </c>
      <c r="I61" s="100">
        <v>9.07</v>
      </c>
      <c r="J61" s="100">
        <v>0.9</v>
      </c>
      <c r="K61" s="100">
        <v>285.08999999999997</v>
      </c>
      <c r="L61" s="100">
        <v>35</v>
      </c>
      <c r="M61" s="100">
        <v>30.79</v>
      </c>
      <c r="N61" s="100">
        <v>326.89999999999998</v>
      </c>
      <c r="O61" s="100">
        <v>0</v>
      </c>
      <c r="P61" s="100">
        <v>0.67</v>
      </c>
      <c r="Q61" s="100">
        <v>28</v>
      </c>
      <c r="R61" s="6"/>
      <c r="S61" s="6"/>
      <c r="T61" s="156"/>
      <c r="U61" s="6"/>
    </row>
    <row r="62" spans="1:21" customFormat="1">
      <c r="A62" s="163" t="s">
        <v>292</v>
      </c>
      <c r="B62" s="100">
        <v>3.86</v>
      </c>
      <c r="C62" s="100">
        <v>20.78</v>
      </c>
      <c r="D62" s="100">
        <v>15.3</v>
      </c>
      <c r="E62" s="100">
        <v>12.15</v>
      </c>
      <c r="F62" s="151" t="s">
        <v>8</v>
      </c>
      <c r="G62" s="100">
        <v>62.64</v>
      </c>
      <c r="H62" s="100">
        <v>44.51</v>
      </c>
      <c r="I62" s="100">
        <v>8.7899999999999991</v>
      </c>
      <c r="J62" s="100">
        <v>0.74</v>
      </c>
      <c r="K62" s="100">
        <v>254.6</v>
      </c>
      <c r="L62" s="100">
        <v>35.32</v>
      </c>
      <c r="M62" s="100">
        <v>29.31</v>
      </c>
      <c r="N62" s="100">
        <v>313.60000000000002</v>
      </c>
      <c r="O62" s="100">
        <v>0</v>
      </c>
      <c r="P62" s="100">
        <v>0.66</v>
      </c>
      <c r="Q62" s="100">
        <v>27.99</v>
      </c>
      <c r="R62" s="6"/>
      <c r="S62" s="6"/>
      <c r="T62" s="156"/>
      <c r="U62" s="6"/>
    </row>
    <row r="63" spans="1:21" customFormat="1">
      <c r="A63" s="163" t="s">
        <v>293</v>
      </c>
      <c r="B63" s="100">
        <v>3.85</v>
      </c>
      <c r="C63" s="100">
        <v>20.57</v>
      </c>
      <c r="D63" s="100">
        <v>15.19</v>
      </c>
      <c r="E63" s="100">
        <v>12.3</v>
      </c>
      <c r="F63" s="151" t="s">
        <v>8</v>
      </c>
      <c r="G63" s="100">
        <v>61.5</v>
      </c>
      <c r="H63" s="100">
        <v>42.19</v>
      </c>
      <c r="I63" s="100">
        <v>8.48</v>
      </c>
      <c r="J63" s="100">
        <v>0.92</v>
      </c>
      <c r="K63" s="100">
        <v>273.23</v>
      </c>
      <c r="L63" s="100">
        <v>35.619999999999997</v>
      </c>
      <c r="M63" s="100">
        <v>28.7</v>
      </c>
      <c r="N63" s="100">
        <v>315</v>
      </c>
      <c r="O63" s="100">
        <v>0</v>
      </c>
      <c r="P63" s="100">
        <v>0.64</v>
      </c>
      <c r="Q63" s="100">
        <v>27.99</v>
      </c>
      <c r="R63" s="6"/>
      <c r="S63" s="6"/>
      <c r="T63" s="156"/>
      <c r="U63" s="6"/>
    </row>
    <row r="64" spans="1:21" customFormat="1">
      <c r="A64" s="163" t="s">
        <v>294</v>
      </c>
      <c r="B64" s="100">
        <v>3.86</v>
      </c>
      <c r="C64" s="100">
        <v>20.440000000000001</v>
      </c>
      <c r="D64" s="100">
        <v>15.12</v>
      </c>
      <c r="E64" s="100">
        <v>12.8</v>
      </c>
      <c r="F64" s="151" t="s">
        <v>8</v>
      </c>
      <c r="G64" s="100">
        <v>61.36</v>
      </c>
      <c r="H64" s="100">
        <v>42.19</v>
      </c>
      <c r="I64" s="100">
        <v>8.1999999999999993</v>
      </c>
      <c r="J64" s="100">
        <v>0.55000000000000004</v>
      </c>
      <c r="K64" s="100">
        <v>263.38</v>
      </c>
      <c r="L64" s="100">
        <v>36.090000000000003</v>
      </c>
      <c r="M64" s="100">
        <v>27.73</v>
      </c>
      <c r="N64" s="100">
        <v>305.3</v>
      </c>
      <c r="O64" s="100">
        <v>0</v>
      </c>
      <c r="P64" s="100">
        <v>0.63</v>
      </c>
      <c r="Q64" s="100">
        <v>27.97</v>
      </c>
      <c r="R64" s="6"/>
      <c r="S64" s="6"/>
      <c r="T64" s="156"/>
      <c r="U64" s="6"/>
    </row>
    <row r="65" spans="1:21" customFormat="1">
      <c r="A65" s="163" t="s">
        <v>295</v>
      </c>
      <c r="B65" s="100">
        <v>3.87</v>
      </c>
      <c r="C65" s="100">
        <v>20.21</v>
      </c>
      <c r="D65" s="100">
        <v>15.02</v>
      </c>
      <c r="E65" s="100">
        <v>12.57</v>
      </c>
      <c r="F65" s="151" t="s">
        <v>8</v>
      </c>
      <c r="G65" s="100">
        <v>61.36</v>
      </c>
      <c r="H65" s="100">
        <v>42.19</v>
      </c>
      <c r="I65" s="100">
        <v>8.0500000000000007</v>
      </c>
      <c r="J65" s="100">
        <v>0.81</v>
      </c>
      <c r="K65" s="100">
        <v>286.23</v>
      </c>
      <c r="L65" s="100">
        <v>35.67</v>
      </c>
      <c r="M65" s="100">
        <v>27.68</v>
      </c>
      <c r="N65" s="100">
        <v>312.7</v>
      </c>
      <c r="O65" s="100">
        <v>0</v>
      </c>
      <c r="P65" s="100">
        <v>0.65</v>
      </c>
      <c r="Q65" s="100">
        <v>28</v>
      </c>
      <c r="R65" s="6"/>
      <c r="S65" s="6"/>
      <c r="T65" s="156"/>
      <c r="U65" s="6"/>
    </row>
    <row r="66" spans="1:21" customFormat="1">
      <c r="A66" s="163" t="s">
        <v>296</v>
      </c>
      <c r="B66" s="100">
        <v>3.9</v>
      </c>
      <c r="C66" s="100">
        <v>20.53</v>
      </c>
      <c r="D66" s="100">
        <v>15.21</v>
      </c>
      <c r="E66" s="100">
        <v>12.76</v>
      </c>
      <c r="F66" s="151" t="s">
        <v>8</v>
      </c>
      <c r="G66" s="100">
        <v>61.36</v>
      </c>
      <c r="H66" s="100">
        <v>42.19</v>
      </c>
      <c r="I66" s="100">
        <v>7.9</v>
      </c>
      <c r="J66" s="100">
        <v>1.1299999999999999</v>
      </c>
      <c r="K66" s="100">
        <v>301.64999999999998</v>
      </c>
      <c r="L66" s="100">
        <v>35.299999999999997</v>
      </c>
      <c r="M66" s="100">
        <v>27.8</v>
      </c>
      <c r="N66" s="100">
        <v>294</v>
      </c>
      <c r="O66" s="100">
        <v>0</v>
      </c>
      <c r="P66" s="100">
        <v>0.69</v>
      </c>
      <c r="Q66" s="100">
        <v>28</v>
      </c>
      <c r="R66" s="6"/>
      <c r="S66" s="6"/>
      <c r="T66" s="156"/>
      <c r="U66" s="6"/>
    </row>
    <row r="67" spans="1:21" customFormat="1">
      <c r="A67" s="163" t="s">
        <v>297</v>
      </c>
      <c r="B67" s="100">
        <v>3.93</v>
      </c>
      <c r="C67" s="100">
        <v>20.66</v>
      </c>
      <c r="D67" s="100">
        <v>15.3</v>
      </c>
      <c r="E67" s="100">
        <v>13</v>
      </c>
      <c r="F67" s="151" t="s">
        <v>8</v>
      </c>
      <c r="G67" s="100">
        <v>62.16</v>
      </c>
      <c r="H67" s="100">
        <v>39.479999999999997</v>
      </c>
      <c r="I67" s="100">
        <v>7.67</v>
      </c>
      <c r="J67" s="100">
        <v>0.56000000000000005</v>
      </c>
      <c r="K67" s="100">
        <v>279.66000000000003</v>
      </c>
      <c r="L67" s="100">
        <v>35.72</v>
      </c>
      <c r="M67" s="100">
        <v>27.52</v>
      </c>
      <c r="N67" s="100">
        <v>220.2</v>
      </c>
      <c r="O67" s="100">
        <v>0</v>
      </c>
      <c r="P67" s="100">
        <v>0.65</v>
      </c>
      <c r="Q67" s="100">
        <v>28.01</v>
      </c>
      <c r="R67" s="6"/>
      <c r="S67" s="6"/>
      <c r="T67" s="156"/>
      <c r="U67" s="6"/>
    </row>
    <row r="68" spans="1:21" customFormat="1">
      <c r="A68" s="163" t="s">
        <v>298</v>
      </c>
      <c r="B68" s="100">
        <v>3.96</v>
      </c>
      <c r="C68" s="100">
        <v>20.52</v>
      </c>
      <c r="D68" s="100">
        <v>15.25</v>
      </c>
      <c r="E68" s="100">
        <v>14.33</v>
      </c>
      <c r="F68" s="151" t="s">
        <v>8</v>
      </c>
      <c r="G68" s="100">
        <v>62.26</v>
      </c>
      <c r="H68" s="100">
        <v>39.479999999999997</v>
      </c>
      <c r="I68" s="100">
        <v>7.43</v>
      </c>
      <c r="J68" s="100">
        <v>0.4</v>
      </c>
      <c r="K68" s="100">
        <v>242.31</v>
      </c>
      <c r="L68" s="100">
        <v>35.549999999999997</v>
      </c>
      <c r="M68" s="100">
        <v>27.34</v>
      </c>
      <c r="N68" s="100">
        <v>127.6</v>
      </c>
      <c r="O68" s="100">
        <v>0</v>
      </c>
      <c r="P68" s="100">
        <v>0.67</v>
      </c>
      <c r="Q68" s="100">
        <v>28</v>
      </c>
      <c r="R68" s="6"/>
      <c r="S68" s="6"/>
      <c r="T68" s="156"/>
      <c r="U68" s="6"/>
    </row>
    <row r="69" spans="1:21" customFormat="1">
      <c r="A69" s="163" t="s">
        <v>299</v>
      </c>
      <c r="B69" s="100">
        <v>4.0199999999999996</v>
      </c>
      <c r="C69" s="100">
        <v>19.16</v>
      </c>
      <c r="D69" s="100">
        <v>14.58</v>
      </c>
      <c r="E69" s="100">
        <v>14.71</v>
      </c>
      <c r="F69" s="151" t="s">
        <v>8</v>
      </c>
      <c r="G69" s="100">
        <v>62.26</v>
      </c>
      <c r="H69" s="100">
        <v>39.479999999999997</v>
      </c>
      <c r="I69" s="100">
        <v>7.09</v>
      </c>
      <c r="J69" s="100">
        <v>0.75</v>
      </c>
      <c r="K69" s="100">
        <v>291.99</v>
      </c>
      <c r="L69" s="100">
        <v>34.82</v>
      </c>
      <c r="M69" s="100">
        <v>27.4</v>
      </c>
      <c r="N69" s="100">
        <v>80.3</v>
      </c>
      <c r="O69" s="100">
        <v>0</v>
      </c>
      <c r="P69" s="100">
        <v>0.69</v>
      </c>
      <c r="Q69" s="100">
        <v>28.02</v>
      </c>
      <c r="R69" s="6"/>
      <c r="S69" s="6"/>
      <c r="T69" s="156"/>
      <c r="U69" s="6"/>
    </row>
    <row r="70" spans="1:21" customFormat="1">
      <c r="A70" s="163" t="s">
        <v>300</v>
      </c>
      <c r="B70" s="100">
        <v>4.05</v>
      </c>
      <c r="C70" s="100">
        <v>18.23</v>
      </c>
      <c r="D70" s="100">
        <v>14.12</v>
      </c>
      <c r="E70" s="100">
        <v>15.28</v>
      </c>
      <c r="F70" s="151" t="s">
        <v>8</v>
      </c>
      <c r="G70" s="100">
        <v>62.26</v>
      </c>
      <c r="H70" s="100">
        <v>39.479999999999997</v>
      </c>
      <c r="I70" s="100">
        <v>6.73</v>
      </c>
      <c r="J70" s="100">
        <v>0.82</v>
      </c>
      <c r="K70" s="100">
        <v>286.89</v>
      </c>
      <c r="L70" s="100">
        <v>34.9</v>
      </c>
      <c r="M70" s="100">
        <v>26.23</v>
      </c>
      <c r="N70" s="100">
        <v>75.8</v>
      </c>
      <c r="O70" s="100">
        <v>0</v>
      </c>
      <c r="P70" s="100">
        <v>0.7</v>
      </c>
      <c r="Q70" s="100">
        <v>28.01</v>
      </c>
      <c r="R70" s="6"/>
      <c r="S70" s="6"/>
      <c r="T70" s="156"/>
      <c r="U70" s="6"/>
    </row>
    <row r="71" spans="1:21" customFormat="1">
      <c r="A71" s="163" t="s">
        <v>301</v>
      </c>
      <c r="B71" s="100">
        <v>4.09</v>
      </c>
      <c r="C71" s="100">
        <v>18.07</v>
      </c>
      <c r="D71" s="100">
        <v>14.07</v>
      </c>
      <c r="E71" s="100">
        <v>15.9</v>
      </c>
      <c r="F71" s="151" t="s">
        <v>8</v>
      </c>
      <c r="G71" s="100">
        <v>56.93</v>
      </c>
      <c r="H71" s="100">
        <v>38.54</v>
      </c>
      <c r="I71" s="100">
        <v>6.37</v>
      </c>
      <c r="J71" s="100">
        <v>0.66</v>
      </c>
      <c r="K71" s="100">
        <v>289.19</v>
      </c>
      <c r="L71" s="100">
        <v>34.93</v>
      </c>
      <c r="M71" s="100">
        <v>24.6</v>
      </c>
      <c r="N71" s="100">
        <v>70.599999999999994</v>
      </c>
      <c r="O71" s="100">
        <v>0</v>
      </c>
      <c r="P71" s="100">
        <v>0.67</v>
      </c>
      <c r="Q71" s="100">
        <v>28.01</v>
      </c>
      <c r="R71" s="6"/>
      <c r="S71" s="6"/>
      <c r="T71" s="156"/>
      <c r="U71" s="6"/>
    </row>
    <row r="72" spans="1:21" customFormat="1">
      <c r="A72" s="163" t="s">
        <v>302</v>
      </c>
      <c r="B72" s="100">
        <v>4.05</v>
      </c>
      <c r="C72" s="100">
        <v>17.989999999999998</v>
      </c>
      <c r="D72" s="100">
        <v>14</v>
      </c>
      <c r="E72" s="100">
        <v>16.48</v>
      </c>
      <c r="F72" s="151" t="s">
        <v>8</v>
      </c>
      <c r="G72" s="100">
        <v>56.27</v>
      </c>
      <c r="H72" s="100">
        <v>38.54</v>
      </c>
      <c r="I72" s="100">
        <v>6.15</v>
      </c>
      <c r="J72" s="100">
        <v>0.7</v>
      </c>
      <c r="K72" s="100">
        <v>269.45999999999998</v>
      </c>
      <c r="L72" s="100">
        <v>35.01</v>
      </c>
      <c r="M72" s="100">
        <v>23.13</v>
      </c>
      <c r="N72" s="100">
        <v>76.900000000000006</v>
      </c>
      <c r="O72" s="100">
        <v>0</v>
      </c>
      <c r="P72" s="100">
        <v>0.65</v>
      </c>
      <c r="Q72" s="100">
        <v>28.01</v>
      </c>
      <c r="R72" s="6"/>
      <c r="S72" s="6"/>
      <c r="T72" s="156"/>
      <c r="U72" s="6"/>
    </row>
    <row r="73" spans="1:21" customFormat="1">
      <c r="A73" s="163" t="s">
        <v>303</v>
      </c>
      <c r="B73" s="100">
        <v>4.04</v>
      </c>
      <c r="C73" s="100">
        <v>17.940000000000001</v>
      </c>
      <c r="D73" s="100">
        <v>13.96</v>
      </c>
      <c r="E73" s="100">
        <v>18.32</v>
      </c>
      <c r="F73" s="151" t="s">
        <v>8</v>
      </c>
      <c r="G73" s="100">
        <v>56.27</v>
      </c>
      <c r="H73" s="100">
        <v>38.54</v>
      </c>
      <c r="I73" s="100">
        <v>6.02</v>
      </c>
      <c r="J73" s="100">
        <v>0.46</v>
      </c>
      <c r="K73" s="100">
        <v>292.82</v>
      </c>
      <c r="L73" s="100">
        <v>34.81</v>
      </c>
      <c r="M73" s="100">
        <v>21.83</v>
      </c>
      <c r="N73" s="100">
        <v>65.7</v>
      </c>
      <c r="O73" s="100">
        <v>0</v>
      </c>
      <c r="P73" s="100">
        <v>0.64</v>
      </c>
      <c r="Q73" s="100">
        <v>28.02</v>
      </c>
      <c r="R73" s="6"/>
      <c r="S73" s="6"/>
      <c r="T73" s="156"/>
      <c r="U73" s="6"/>
    </row>
    <row r="74" spans="1:21" customFormat="1">
      <c r="A74" s="163" t="s">
        <v>304</v>
      </c>
      <c r="B74" s="100">
        <v>4.0999999999999996</v>
      </c>
      <c r="C74" s="100">
        <v>18.22</v>
      </c>
      <c r="D74" s="100">
        <v>14.16</v>
      </c>
      <c r="E74" s="100">
        <v>20.94</v>
      </c>
      <c r="F74" s="151" t="s">
        <v>8</v>
      </c>
      <c r="G74" s="100">
        <v>56.27</v>
      </c>
      <c r="H74" s="100">
        <v>38.54</v>
      </c>
      <c r="I74" s="100">
        <v>5.86</v>
      </c>
      <c r="J74" s="100">
        <v>0.48</v>
      </c>
      <c r="K74" s="100">
        <v>313.3</v>
      </c>
      <c r="L74" s="100">
        <v>34.659999999999997</v>
      </c>
      <c r="M74" s="100">
        <v>22.13</v>
      </c>
      <c r="N74" s="100">
        <v>65.2</v>
      </c>
      <c r="O74" s="100">
        <v>0</v>
      </c>
      <c r="P74" s="100">
        <v>0.67</v>
      </c>
      <c r="Q74" s="100">
        <v>28.02</v>
      </c>
      <c r="R74" s="6"/>
      <c r="S74" s="6"/>
      <c r="T74" s="156"/>
      <c r="U74" s="6"/>
    </row>
    <row r="75" spans="1:21" customFormat="1">
      <c r="A75" s="163" t="s">
        <v>305</v>
      </c>
      <c r="B75" s="100">
        <v>4.13</v>
      </c>
      <c r="C75" s="100">
        <v>18.46</v>
      </c>
      <c r="D75" s="100">
        <v>14.31</v>
      </c>
      <c r="E75" s="100">
        <v>20.8</v>
      </c>
      <c r="F75" s="151" t="s">
        <v>8</v>
      </c>
      <c r="G75" s="100">
        <v>52.92</v>
      </c>
      <c r="H75" s="100">
        <v>36.18</v>
      </c>
      <c r="I75" s="100">
        <v>5.64</v>
      </c>
      <c r="J75" s="100">
        <v>0.44</v>
      </c>
      <c r="K75" s="100">
        <v>265.42</v>
      </c>
      <c r="L75" s="100">
        <v>34.29</v>
      </c>
      <c r="M75" s="100">
        <v>23.86</v>
      </c>
      <c r="N75" s="100">
        <v>45.9</v>
      </c>
      <c r="O75" s="100">
        <v>0</v>
      </c>
      <c r="P75" s="100">
        <v>0.6</v>
      </c>
      <c r="Q75" s="100">
        <v>28.03</v>
      </c>
      <c r="R75" s="6"/>
      <c r="S75" s="6"/>
      <c r="T75" s="156"/>
      <c r="U75" s="6"/>
    </row>
    <row r="76" spans="1:21" customFormat="1">
      <c r="A76" s="163" t="s">
        <v>306</v>
      </c>
      <c r="B76" s="100">
        <v>4.1100000000000003</v>
      </c>
      <c r="C76" s="100">
        <v>18.170000000000002</v>
      </c>
      <c r="D76" s="100">
        <v>14.14</v>
      </c>
      <c r="E76" s="100">
        <v>19.55</v>
      </c>
      <c r="F76" s="151" t="s">
        <v>8</v>
      </c>
      <c r="G76" s="100">
        <v>52.5</v>
      </c>
      <c r="H76" s="100">
        <v>36.18</v>
      </c>
      <c r="I76" s="100">
        <v>5.62</v>
      </c>
      <c r="J76" s="100">
        <v>0.63</v>
      </c>
      <c r="K76" s="100">
        <v>256.14</v>
      </c>
      <c r="L76" s="100">
        <v>33.799999999999997</v>
      </c>
      <c r="M76" s="100">
        <v>23.87</v>
      </c>
      <c r="N76" s="100">
        <v>33.1</v>
      </c>
      <c r="O76" s="100">
        <v>0</v>
      </c>
      <c r="P76" s="100">
        <v>0.6</v>
      </c>
      <c r="Q76" s="100">
        <v>28.03</v>
      </c>
      <c r="R76" s="6"/>
      <c r="S76" s="6"/>
      <c r="T76" s="156"/>
      <c r="U76" s="6"/>
    </row>
    <row r="77" spans="1:21" customFormat="1">
      <c r="A77" s="163" t="s">
        <v>307</v>
      </c>
      <c r="B77" s="100">
        <v>4.07</v>
      </c>
      <c r="C77" s="100">
        <v>17.97</v>
      </c>
      <c r="D77" s="100">
        <v>14</v>
      </c>
      <c r="E77" s="100">
        <v>20.85</v>
      </c>
      <c r="F77" s="151" t="s">
        <v>8</v>
      </c>
      <c r="G77" s="100">
        <v>52.5</v>
      </c>
      <c r="H77" s="100">
        <v>36.18</v>
      </c>
      <c r="I77" s="100">
        <v>5.31</v>
      </c>
      <c r="J77" s="100">
        <v>0.45</v>
      </c>
      <c r="K77" s="100">
        <v>250.53</v>
      </c>
      <c r="L77" s="100">
        <v>33.39</v>
      </c>
      <c r="M77" s="100">
        <v>25.01</v>
      </c>
      <c r="N77" s="100">
        <v>26</v>
      </c>
      <c r="O77" s="100">
        <v>0</v>
      </c>
      <c r="P77" s="100">
        <v>0.62</v>
      </c>
      <c r="Q77" s="100">
        <v>28.02</v>
      </c>
      <c r="R77" s="6"/>
      <c r="S77" s="6"/>
      <c r="T77" s="156"/>
      <c r="U77" s="6"/>
    </row>
    <row r="78" spans="1:21" customFormat="1">
      <c r="A78" s="163" t="s">
        <v>308</v>
      </c>
      <c r="B78" s="100">
        <v>4.03</v>
      </c>
      <c r="C78" s="100">
        <v>17.86</v>
      </c>
      <c r="D78" s="100">
        <v>13.91</v>
      </c>
      <c r="E78" s="100">
        <v>23.2</v>
      </c>
      <c r="F78" s="151" t="s">
        <v>8</v>
      </c>
      <c r="G78" s="100">
        <v>52.5</v>
      </c>
      <c r="H78" s="100">
        <v>36.18</v>
      </c>
      <c r="I78" s="100">
        <v>5.32</v>
      </c>
      <c r="J78" s="100">
        <v>0.47</v>
      </c>
      <c r="K78" s="100">
        <v>253.28</v>
      </c>
      <c r="L78" s="100">
        <v>32.93</v>
      </c>
      <c r="M78" s="100">
        <v>25.22</v>
      </c>
      <c r="N78" s="100">
        <v>19</v>
      </c>
      <c r="O78" s="100">
        <v>0</v>
      </c>
      <c r="P78" s="100">
        <v>0.65</v>
      </c>
      <c r="Q78" s="100">
        <v>28.01</v>
      </c>
      <c r="R78" s="6"/>
      <c r="S78" s="6"/>
      <c r="T78" s="156"/>
      <c r="U78" s="6"/>
    </row>
    <row r="79" spans="1:21" customFormat="1">
      <c r="A79" s="163" t="s">
        <v>309</v>
      </c>
      <c r="B79" s="100">
        <v>4.01</v>
      </c>
      <c r="C79" s="100">
        <v>18.04</v>
      </c>
      <c r="D79" s="100">
        <v>14</v>
      </c>
      <c r="E79" s="100">
        <v>27.7</v>
      </c>
      <c r="F79" s="151" t="s">
        <v>8</v>
      </c>
      <c r="G79" s="100">
        <v>48.18</v>
      </c>
      <c r="H79" s="100">
        <v>32.49</v>
      </c>
      <c r="I79" s="100">
        <v>5.4</v>
      </c>
      <c r="J79" s="100">
        <v>0.3</v>
      </c>
      <c r="K79" s="100">
        <v>235.8</v>
      </c>
      <c r="L79" s="100">
        <v>32.340000000000003</v>
      </c>
      <c r="M79" s="100">
        <v>27.06</v>
      </c>
      <c r="N79" s="100">
        <v>12.3</v>
      </c>
      <c r="O79" s="100">
        <v>0</v>
      </c>
      <c r="P79" s="100">
        <v>0.71</v>
      </c>
      <c r="Q79" s="100">
        <v>28.01</v>
      </c>
      <c r="R79" s="6"/>
      <c r="S79" s="6"/>
      <c r="T79" s="156"/>
      <c r="U79" s="6"/>
    </row>
    <row r="80" spans="1:21" customFormat="1">
      <c r="A80" s="163" t="s">
        <v>310</v>
      </c>
      <c r="B80" s="100">
        <v>4.0199999999999996</v>
      </c>
      <c r="C80" s="100">
        <v>18.25</v>
      </c>
      <c r="D80" s="100">
        <v>14.11</v>
      </c>
      <c r="E80" s="100">
        <v>25.38</v>
      </c>
      <c r="F80" s="151" t="s">
        <v>8</v>
      </c>
      <c r="G80" s="100">
        <v>47.64</v>
      </c>
      <c r="H80" s="100">
        <v>32.49</v>
      </c>
      <c r="I80" s="100">
        <v>5.84</v>
      </c>
      <c r="J80" s="100">
        <v>0.25</v>
      </c>
      <c r="K80" s="100">
        <v>218.41</v>
      </c>
      <c r="L80" s="100">
        <v>31.24</v>
      </c>
      <c r="M80" s="100">
        <v>30.32</v>
      </c>
      <c r="N80" s="100">
        <v>5.8</v>
      </c>
      <c r="O80" s="100">
        <v>0</v>
      </c>
      <c r="P80" s="100">
        <v>0.7</v>
      </c>
      <c r="Q80" s="100">
        <v>28.01</v>
      </c>
      <c r="R80" s="6"/>
      <c r="S80" s="6"/>
      <c r="T80" s="156"/>
      <c r="U80" s="6"/>
    </row>
    <row r="81" spans="1:21" customFormat="1">
      <c r="A81" s="163" t="s">
        <v>311</v>
      </c>
      <c r="B81" s="100">
        <v>4.03</v>
      </c>
      <c r="C81" s="100">
        <v>18.21</v>
      </c>
      <c r="D81" s="100">
        <v>14.1</v>
      </c>
      <c r="E81" s="100">
        <v>16.61</v>
      </c>
      <c r="F81" s="151" t="s">
        <v>8</v>
      </c>
      <c r="G81" s="100">
        <v>47.64</v>
      </c>
      <c r="H81" s="100">
        <v>32.49</v>
      </c>
      <c r="I81" s="100">
        <v>6.5</v>
      </c>
      <c r="J81" s="100">
        <v>0.24</v>
      </c>
      <c r="K81" s="100">
        <v>176.17</v>
      </c>
      <c r="L81" s="100">
        <v>30.6</v>
      </c>
      <c r="M81" s="100">
        <v>31.54</v>
      </c>
      <c r="N81" s="100">
        <v>2.2000000000000002</v>
      </c>
      <c r="O81" s="100">
        <v>0</v>
      </c>
      <c r="P81" s="100">
        <v>0.7</v>
      </c>
      <c r="Q81" s="100">
        <v>28</v>
      </c>
      <c r="R81" s="6"/>
      <c r="S81" s="6"/>
      <c r="T81" s="156"/>
      <c r="U81" s="6"/>
    </row>
    <row r="82" spans="1:21" customFormat="1">
      <c r="A82" s="163" t="s">
        <v>312</v>
      </c>
      <c r="B82" s="100">
        <v>4.09</v>
      </c>
      <c r="C82" s="100">
        <v>18.600000000000001</v>
      </c>
      <c r="D82" s="100">
        <v>14.35</v>
      </c>
      <c r="E82" s="100">
        <v>17.170000000000002</v>
      </c>
      <c r="F82" s="151" t="s">
        <v>8</v>
      </c>
      <c r="G82" s="100">
        <v>47.64</v>
      </c>
      <c r="H82" s="100">
        <v>32.49</v>
      </c>
      <c r="I82" s="100">
        <v>6.57</v>
      </c>
      <c r="J82" s="100">
        <v>0.25</v>
      </c>
      <c r="K82" s="100">
        <v>173.11</v>
      </c>
      <c r="L82" s="100">
        <v>29.38</v>
      </c>
      <c r="M82" s="100">
        <v>40.76</v>
      </c>
      <c r="N82" s="100">
        <v>2</v>
      </c>
      <c r="O82" s="100">
        <v>0</v>
      </c>
      <c r="P82" s="100">
        <v>0.73</v>
      </c>
      <c r="Q82" s="100">
        <v>28.01</v>
      </c>
      <c r="R82" s="6"/>
      <c r="S82" s="6"/>
      <c r="T82" s="156"/>
      <c r="U82" s="6"/>
    </row>
    <row r="83" spans="1:21" customFormat="1">
      <c r="A83" s="163" t="s">
        <v>313</v>
      </c>
      <c r="B83" s="100">
        <v>4.21</v>
      </c>
      <c r="C83" s="100">
        <v>19.13</v>
      </c>
      <c r="D83" s="100">
        <v>14.72</v>
      </c>
      <c r="E83" s="100">
        <v>15.75</v>
      </c>
      <c r="F83" s="151" t="s">
        <v>8</v>
      </c>
      <c r="G83" s="100">
        <v>51.45</v>
      </c>
      <c r="H83" s="100">
        <v>33.549999999999997</v>
      </c>
      <c r="I83" s="100">
        <v>6.53</v>
      </c>
      <c r="J83" s="100">
        <v>0.25</v>
      </c>
      <c r="K83" s="100">
        <v>168.22</v>
      </c>
      <c r="L83" s="100">
        <v>28.56</v>
      </c>
      <c r="M83" s="100">
        <v>41.46</v>
      </c>
      <c r="N83" s="100">
        <v>1.4</v>
      </c>
      <c r="O83" s="100">
        <v>0</v>
      </c>
      <c r="P83" s="100">
        <v>0.76</v>
      </c>
      <c r="Q83" s="100">
        <v>28.02</v>
      </c>
      <c r="R83" s="6"/>
      <c r="S83" s="6"/>
      <c r="T83" s="156"/>
      <c r="U83" s="6"/>
    </row>
    <row r="84" spans="1:21" customFormat="1">
      <c r="A84" s="163" t="s">
        <v>314</v>
      </c>
      <c r="B84" s="100">
        <v>4.29</v>
      </c>
      <c r="C84" s="100">
        <v>19.29</v>
      </c>
      <c r="D84" s="100">
        <v>14.87</v>
      </c>
      <c r="E84" s="100">
        <v>13.88</v>
      </c>
      <c r="F84" s="151" t="s">
        <v>8</v>
      </c>
      <c r="G84" s="100">
        <v>51.93</v>
      </c>
      <c r="H84" s="100">
        <v>33.549999999999997</v>
      </c>
      <c r="I84" s="100">
        <v>6.78</v>
      </c>
      <c r="J84" s="100">
        <v>0.19</v>
      </c>
      <c r="K84" s="100">
        <v>170.65</v>
      </c>
      <c r="L84" s="100">
        <v>27.93</v>
      </c>
      <c r="M84" s="100">
        <v>45.85</v>
      </c>
      <c r="N84" s="100">
        <v>1.3</v>
      </c>
      <c r="O84" s="100">
        <v>0</v>
      </c>
      <c r="P84" s="100">
        <v>0.78</v>
      </c>
      <c r="Q84" s="100">
        <v>28.03</v>
      </c>
      <c r="R84" s="6"/>
      <c r="S84" s="6"/>
      <c r="T84" s="156"/>
      <c r="U84" s="6"/>
    </row>
    <row r="85" spans="1:21" customFormat="1">
      <c r="A85" s="163" t="s">
        <v>315</v>
      </c>
      <c r="B85" s="100">
        <v>4.4000000000000004</v>
      </c>
      <c r="C85" s="100">
        <v>19.329999999999998</v>
      </c>
      <c r="D85" s="100">
        <v>14.98</v>
      </c>
      <c r="E85" s="100">
        <v>13.65</v>
      </c>
      <c r="F85" s="151" t="s">
        <v>8</v>
      </c>
      <c r="G85" s="100">
        <v>51.93</v>
      </c>
      <c r="H85" s="100">
        <v>33.549999999999997</v>
      </c>
      <c r="I85" s="100">
        <v>7.13</v>
      </c>
      <c r="J85" s="100">
        <v>0.18</v>
      </c>
      <c r="K85" s="100">
        <v>177.5</v>
      </c>
      <c r="L85" s="100">
        <v>27.44</v>
      </c>
      <c r="M85" s="100">
        <v>46.83</v>
      </c>
      <c r="N85" s="100">
        <v>1.2</v>
      </c>
      <c r="O85" s="100">
        <v>0</v>
      </c>
      <c r="P85" s="100">
        <v>0.83</v>
      </c>
      <c r="Q85" s="100">
        <v>28.03</v>
      </c>
      <c r="R85" s="6"/>
      <c r="S85" s="6"/>
      <c r="T85" s="156"/>
      <c r="U85" s="6"/>
    </row>
    <row r="86" spans="1:21" customFormat="1">
      <c r="A86" s="163" t="s">
        <v>316</v>
      </c>
      <c r="B86" s="100">
        <v>4.55</v>
      </c>
      <c r="C86" s="100">
        <v>19.27</v>
      </c>
      <c r="D86" s="100">
        <v>15.07</v>
      </c>
      <c r="E86" s="100">
        <v>13.48</v>
      </c>
      <c r="F86" s="151" t="s">
        <v>8</v>
      </c>
      <c r="G86" s="100">
        <v>51.93</v>
      </c>
      <c r="H86" s="100">
        <v>33.549999999999997</v>
      </c>
      <c r="I86" s="100">
        <v>7.76</v>
      </c>
      <c r="J86" s="100">
        <v>0.16</v>
      </c>
      <c r="K86" s="100">
        <v>179.58</v>
      </c>
      <c r="L86" s="100">
        <v>27.08</v>
      </c>
      <c r="M86" s="100">
        <v>49.61</v>
      </c>
      <c r="N86" s="100">
        <v>1</v>
      </c>
      <c r="O86" s="100">
        <v>0</v>
      </c>
      <c r="P86" s="100">
        <v>0.85</v>
      </c>
      <c r="Q86" s="100">
        <v>28.03</v>
      </c>
      <c r="R86" s="6"/>
      <c r="S86" s="6"/>
      <c r="T86" s="156"/>
      <c r="U86" s="6"/>
    </row>
    <row r="87" spans="1:21" customFormat="1">
      <c r="A87" s="163" t="s">
        <v>317</v>
      </c>
      <c r="B87" s="100">
        <v>4.6500000000000004</v>
      </c>
      <c r="C87" s="100">
        <v>19.07</v>
      </c>
      <c r="D87" s="100">
        <v>15.04</v>
      </c>
      <c r="E87" s="100">
        <v>11.84</v>
      </c>
      <c r="F87" s="151" t="s">
        <v>8</v>
      </c>
      <c r="G87" s="100">
        <v>57.95</v>
      </c>
      <c r="H87" s="100">
        <v>32.49</v>
      </c>
      <c r="I87" s="100">
        <v>8.7799999999999994</v>
      </c>
      <c r="J87" s="100">
        <v>0.2</v>
      </c>
      <c r="K87" s="100">
        <v>179.48</v>
      </c>
      <c r="L87" s="100">
        <v>26.86</v>
      </c>
      <c r="M87" s="100">
        <v>49.62</v>
      </c>
      <c r="N87" s="100">
        <v>0.9</v>
      </c>
      <c r="O87" s="100">
        <v>0</v>
      </c>
      <c r="P87" s="100">
        <v>0.77</v>
      </c>
      <c r="Q87" s="100">
        <v>28.02</v>
      </c>
      <c r="R87" s="6"/>
      <c r="S87" s="6"/>
      <c r="T87" s="156"/>
      <c r="U87" s="6"/>
    </row>
    <row r="88" spans="1:21" customFormat="1">
      <c r="A88" s="163" t="s">
        <v>318</v>
      </c>
      <c r="B88" s="100">
        <v>4.71</v>
      </c>
      <c r="C88" s="100">
        <v>19.55</v>
      </c>
      <c r="D88" s="100">
        <v>15.34</v>
      </c>
      <c r="E88" s="100">
        <v>11.53</v>
      </c>
      <c r="F88" s="151" t="s">
        <v>8</v>
      </c>
      <c r="G88" s="100">
        <v>58.71</v>
      </c>
      <c r="H88" s="100">
        <v>32.49</v>
      </c>
      <c r="I88" s="100">
        <v>9.33</v>
      </c>
      <c r="J88" s="100">
        <v>0.21</v>
      </c>
      <c r="K88" s="100">
        <v>181.52</v>
      </c>
      <c r="L88" s="100">
        <v>26.63</v>
      </c>
      <c r="M88" s="100">
        <v>52.04</v>
      </c>
      <c r="N88" s="100">
        <v>1</v>
      </c>
      <c r="O88" s="100">
        <v>0</v>
      </c>
      <c r="P88" s="100">
        <v>0.76</v>
      </c>
      <c r="Q88" s="100">
        <v>28.01</v>
      </c>
      <c r="R88" s="6"/>
      <c r="S88" s="6"/>
      <c r="T88" s="156"/>
      <c r="U88" s="6"/>
    </row>
    <row r="89" spans="1:21" customFormat="1">
      <c r="A89" s="163" t="s">
        <v>319</v>
      </c>
      <c r="B89" s="100">
        <v>4.79</v>
      </c>
      <c r="C89" s="100">
        <v>20.09</v>
      </c>
      <c r="D89" s="100">
        <v>15.69</v>
      </c>
      <c r="E89" s="100">
        <v>11.06</v>
      </c>
      <c r="F89" s="151" t="s">
        <v>8</v>
      </c>
      <c r="G89" s="100">
        <v>58.71</v>
      </c>
      <c r="H89" s="100">
        <v>32.49</v>
      </c>
      <c r="I89" s="100">
        <v>8.99</v>
      </c>
      <c r="J89" s="100">
        <v>0.19</v>
      </c>
      <c r="K89" s="100">
        <v>185.31</v>
      </c>
      <c r="L89" s="100">
        <v>26.19</v>
      </c>
      <c r="M89" s="100">
        <v>52.71</v>
      </c>
      <c r="N89" s="100">
        <v>1.1000000000000001</v>
      </c>
      <c r="O89" s="100">
        <v>0</v>
      </c>
      <c r="P89" s="100">
        <v>0.78</v>
      </c>
      <c r="Q89" s="100">
        <v>28.02</v>
      </c>
      <c r="R89" s="6"/>
      <c r="S89" s="6"/>
      <c r="T89" s="156"/>
      <c r="U89" s="6"/>
    </row>
    <row r="90" spans="1:21" customFormat="1">
      <c r="A90" s="163" t="s">
        <v>320</v>
      </c>
      <c r="B90" s="100">
        <v>4.87</v>
      </c>
      <c r="C90" s="100">
        <v>20.51</v>
      </c>
      <c r="D90" s="100">
        <v>15.97</v>
      </c>
      <c r="E90" s="100">
        <v>10.74</v>
      </c>
      <c r="F90" s="151" t="s">
        <v>8</v>
      </c>
      <c r="G90" s="100">
        <v>58.71</v>
      </c>
      <c r="H90" s="100">
        <v>32.49</v>
      </c>
      <c r="I90" s="100">
        <v>8.5</v>
      </c>
      <c r="J90" s="100">
        <v>0.16</v>
      </c>
      <c r="K90" s="100">
        <v>172</v>
      </c>
      <c r="L90" s="100">
        <v>25.84</v>
      </c>
      <c r="M90" s="100">
        <v>53.74</v>
      </c>
      <c r="N90" s="100">
        <v>1</v>
      </c>
      <c r="O90" s="100">
        <v>0</v>
      </c>
      <c r="P90" s="100">
        <v>0.79</v>
      </c>
      <c r="Q90" s="100">
        <v>28.04</v>
      </c>
      <c r="R90" s="6"/>
      <c r="S90" s="6"/>
      <c r="T90" s="156"/>
      <c r="U90" s="6"/>
    </row>
    <row r="91" spans="1:21" customFormat="1">
      <c r="A91" s="163" t="s">
        <v>321</v>
      </c>
      <c r="B91" s="100">
        <v>4.96</v>
      </c>
      <c r="C91" s="100">
        <v>20.87</v>
      </c>
      <c r="D91" s="100">
        <v>16.23</v>
      </c>
      <c r="E91" s="100">
        <v>11.02</v>
      </c>
      <c r="F91" s="151" t="s">
        <v>8</v>
      </c>
      <c r="G91" s="100">
        <v>72.77</v>
      </c>
      <c r="H91" s="100">
        <v>31.64</v>
      </c>
      <c r="I91" s="100">
        <v>8.61</v>
      </c>
      <c r="J91" s="100">
        <v>0.17</v>
      </c>
      <c r="K91" s="100">
        <v>172.34</v>
      </c>
      <c r="L91" s="100">
        <v>25.8</v>
      </c>
      <c r="M91" s="100">
        <v>51.69</v>
      </c>
      <c r="N91" s="100">
        <v>0.8</v>
      </c>
      <c r="O91" s="100">
        <v>0</v>
      </c>
      <c r="P91" s="100">
        <v>0.82</v>
      </c>
      <c r="Q91" s="100">
        <v>28.03</v>
      </c>
      <c r="R91" s="6"/>
      <c r="S91" s="6"/>
      <c r="T91" s="156"/>
      <c r="U91" s="6"/>
    </row>
    <row r="92" spans="1:21" customFormat="1">
      <c r="A92" s="163" t="s">
        <v>322</v>
      </c>
      <c r="B92" s="100">
        <v>5.08</v>
      </c>
      <c r="C92" s="100">
        <v>21.45</v>
      </c>
      <c r="D92" s="100">
        <v>16.63</v>
      </c>
      <c r="E92" s="100">
        <v>11.45</v>
      </c>
      <c r="F92" s="151" t="s">
        <v>8</v>
      </c>
      <c r="G92" s="100">
        <v>74.53</v>
      </c>
      <c r="H92" s="100">
        <v>31.64</v>
      </c>
      <c r="I92" s="100">
        <v>8.7899999999999991</v>
      </c>
      <c r="J92" s="100">
        <v>0.22</v>
      </c>
      <c r="K92" s="100">
        <v>172.78</v>
      </c>
      <c r="L92" s="100">
        <v>25.87</v>
      </c>
      <c r="M92" s="100">
        <v>50.81</v>
      </c>
      <c r="N92" s="100">
        <v>0.8</v>
      </c>
      <c r="O92" s="100">
        <v>0</v>
      </c>
      <c r="P92" s="100">
        <v>0.84</v>
      </c>
      <c r="Q92" s="100">
        <v>28.05</v>
      </c>
      <c r="R92" s="6"/>
      <c r="S92" s="6"/>
      <c r="T92" s="156"/>
      <c r="U92" s="6"/>
    </row>
    <row r="93" spans="1:21" customFormat="1">
      <c r="A93" s="163" t="s">
        <v>323</v>
      </c>
      <c r="B93" s="100">
        <v>5.24</v>
      </c>
      <c r="C93" s="100">
        <v>21.95</v>
      </c>
      <c r="D93" s="100">
        <v>17.02</v>
      </c>
      <c r="E93" s="100">
        <v>11.26</v>
      </c>
      <c r="F93" s="151" t="s">
        <v>8</v>
      </c>
      <c r="G93" s="100">
        <v>74.53</v>
      </c>
      <c r="H93" s="100">
        <v>31.64</v>
      </c>
      <c r="I93" s="100">
        <v>9.0299999999999994</v>
      </c>
      <c r="J93" s="100">
        <v>0.24</v>
      </c>
      <c r="K93" s="100">
        <v>174.71</v>
      </c>
      <c r="L93" s="100">
        <v>25.77</v>
      </c>
      <c r="M93" s="100">
        <v>54.52</v>
      </c>
      <c r="N93" s="100">
        <v>0.9</v>
      </c>
      <c r="O93" s="100">
        <v>0</v>
      </c>
      <c r="P93" s="100">
        <v>0.87</v>
      </c>
      <c r="Q93" s="100">
        <v>28.04</v>
      </c>
      <c r="R93" s="6"/>
      <c r="S93" s="6"/>
      <c r="T93" s="156"/>
      <c r="U93" s="6"/>
    </row>
    <row r="94" spans="1:21" customFormat="1">
      <c r="A94" s="163" t="s">
        <v>324</v>
      </c>
      <c r="B94" s="100">
        <v>5.37</v>
      </c>
      <c r="C94" s="100">
        <v>22.27</v>
      </c>
      <c r="D94" s="100">
        <v>17.29</v>
      </c>
      <c r="E94" s="100">
        <v>10.85</v>
      </c>
      <c r="F94" s="151" t="s">
        <v>8</v>
      </c>
      <c r="G94" s="100">
        <v>74.53</v>
      </c>
      <c r="H94" s="100">
        <v>31.64</v>
      </c>
      <c r="I94" s="100">
        <v>9.32</v>
      </c>
      <c r="J94" s="100">
        <v>0.28000000000000003</v>
      </c>
      <c r="K94" s="100">
        <v>179.63</v>
      </c>
      <c r="L94" s="100">
        <v>25.56</v>
      </c>
      <c r="M94" s="100">
        <v>55.39</v>
      </c>
      <c r="N94" s="100">
        <v>1.1000000000000001</v>
      </c>
      <c r="O94" s="100">
        <v>0</v>
      </c>
      <c r="P94" s="100">
        <v>0.89</v>
      </c>
      <c r="Q94" s="100">
        <v>28.06</v>
      </c>
      <c r="R94" s="6"/>
      <c r="S94" s="6"/>
      <c r="T94" s="156"/>
      <c r="U94" s="6"/>
    </row>
    <row r="95" spans="1:21" customFormat="1">
      <c r="A95" s="163" t="s">
        <v>325</v>
      </c>
      <c r="B95" s="100">
        <v>5.47</v>
      </c>
      <c r="C95" s="100">
        <v>22.48</v>
      </c>
      <c r="D95" s="100">
        <v>17.48</v>
      </c>
      <c r="E95" s="100">
        <v>10.8</v>
      </c>
      <c r="F95" s="151" t="s">
        <v>8</v>
      </c>
      <c r="G95" s="100">
        <v>73.42</v>
      </c>
      <c r="H95" s="100">
        <v>30.27</v>
      </c>
      <c r="I95" s="100">
        <v>9.68</v>
      </c>
      <c r="J95" s="100">
        <v>0.27</v>
      </c>
      <c r="K95" s="100">
        <v>165.3</v>
      </c>
      <c r="L95" s="100">
        <v>25.25</v>
      </c>
      <c r="M95" s="100">
        <v>54.75</v>
      </c>
      <c r="N95" s="100">
        <v>1.1000000000000001</v>
      </c>
      <c r="O95" s="100">
        <v>0</v>
      </c>
      <c r="P95" s="100">
        <v>0.92</v>
      </c>
      <c r="Q95" s="100">
        <v>28.08</v>
      </c>
      <c r="R95" s="6"/>
      <c r="S95" s="6"/>
      <c r="T95" s="156"/>
      <c r="U95" s="6"/>
    </row>
    <row r="96" spans="1:21" customFormat="1">
      <c r="A96" s="163" t="s">
        <v>326</v>
      </c>
      <c r="B96" s="100">
        <v>5.61</v>
      </c>
      <c r="C96" s="100">
        <v>22.69</v>
      </c>
      <c r="D96" s="100">
        <v>17.7</v>
      </c>
      <c r="E96" s="100">
        <v>10.99</v>
      </c>
      <c r="F96" s="151" t="s">
        <v>8</v>
      </c>
      <c r="G96" s="100">
        <v>73.28</v>
      </c>
      <c r="H96" s="100">
        <v>30.27</v>
      </c>
      <c r="I96" s="100">
        <v>10.1</v>
      </c>
      <c r="J96" s="100">
        <v>0.27</v>
      </c>
      <c r="K96" s="100">
        <v>163.72999999999999</v>
      </c>
      <c r="L96" s="100">
        <v>24.99</v>
      </c>
      <c r="M96" s="100">
        <v>57.43</v>
      </c>
      <c r="N96" s="100">
        <v>1.2</v>
      </c>
      <c r="O96" s="100">
        <v>0</v>
      </c>
      <c r="P96" s="100">
        <v>0.94</v>
      </c>
      <c r="Q96" s="100">
        <v>28.06</v>
      </c>
      <c r="R96" s="6"/>
      <c r="S96" s="6"/>
      <c r="T96" s="156"/>
      <c r="U96" s="6"/>
    </row>
    <row r="97" spans="1:28" customFormat="1">
      <c r="A97" s="163" t="s">
        <v>327</v>
      </c>
      <c r="B97" s="100">
        <v>5.75</v>
      </c>
      <c r="C97" s="100">
        <v>22.97</v>
      </c>
      <c r="D97" s="100">
        <v>17.96</v>
      </c>
      <c r="E97" s="100">
        <v>10.98</v>
      </c>
      <c r="F97" s="151" t="s">
        <v>8</v>
      </c>
      <c r="G97" s="100">
        <v>73.28</v>
      </c>
      <c r="H97" s="100">
        <v>30.27</v>
      </c>
      <c r="I97" s="100">
        <v>10.57</v>
      </c>
      <c r="J97" s="100">
        <v>0.27</v>
      </c>
      <c r="K97" s="100">
        <v>155.77000000000001</v>
      </c>
      <c r="L97" s="100">
        <v>24.9</v>
      </c>
      <c r="M97" s="100">
        <v>57.36</v>
      </c>
      <c r="N97" s="100">
        <v>1</v>
      </c>
      <c r="O97" s="100">
        <v>0</v>
      </c>
      <c r="P97" s="100">
        <v>0.98</v>
      </c>
      <c r="Q97" s="100">
        <v>28.07</v>
      </c>
      <c r="R97" s="6"/>
      <c r="S97" s="6"/>
      <c r="T97" s="156"/>
      <c r="U97" s="6"/>
    </row>
    <row r="98" spans="1:28" customFormat="1">
      <c r="A98" s="163" t="s">
        <v>328</v>
      </c>
      <c r="B98" s="100">
        <v>5.89</v>
      </c>
      <c r="C98" s="100">
        <v>23.09</v>
      </c>
      <c r="D98" s="100">
        <v>18.14</v>
      </c>
      <c r="E98" s="100">
        <v>10.84</v>
      </c>
      <c r="F98" s="151" t="s">
        <v>8</v>
      </c>
      <c r="G98" s="100">
        <v>73.28</v>
      </c>
      <c r="H98" s="100">
        <v>30.27</v>
      </c>
      <c r="I98" s="100">
        <v>10.96</v>
      </c>
      <c r="J98" s="100">
        <v>0.27</v>
      </c>
      <c r="K98" s="100">
        <v>173.08</v>
      </c>
      <c r="L98" s="100">
        <v>24.54</v>
      </c>
      <c r="M98" s="100">
        <v>60.85</v>
      </c>
      <c r="N98" s="100">
        <v>1.2</v>
      </c>
      <c r="O98" s="100">
        <v>0</v>
      </c>
      <c r="P98" s="100">
        <v>1</v>
      </c>
      <c r="Q98" s="100">
        <v>28.06</v>
      </c>
      <c r="R98" s="6"/>
      <c r="S98" s="6"/>
      <c r="T98" s="156"/>
      <c r="U98" s="6"/>
    </row>
    <row r="99" spans="1:28" customFormat="1">
      <c r="A99" s="163" t="s">
        <v>329</v>
      </c>
      <c r="B99" s="100">
        <v>6.04</v>
      </c>
      <c r="C99" s="100">
        <v>23.16</v>
      </c>
      <c r="D99" s="100">
        <v>18.29</v>
      </c>
      <c r="E99" s="100">
        <v>11.01</v>
      </c>
      <c r="F99" s="151" t="s">
        <v>8</v>
      </c>
      <c r="G99" s="100">
        <v>79.33</v>
      </c>
      <c r="H99" s="100">
        <v>28.58</v>
      </c>
      <c r="I99" s="100">
        <v>11.37</v>
      </c>
      <c r="J99" s="100">
        <v>0.25</v>
      </c>
      <c r="K99" s="100">
        <v>170.95</v>
      </c>
      <c r="L99" s="100">
        <v>24.34</v>
      </c>
      <c r="M99" s="100">
        <v>57.03</v>
      </c>
      <c r="N99" s="100">
        <v>1.1000000000000001</v>
      </c>
      <c r="O99" s="100">
        <v>0</v>
      </c>
      <c r="P99" s="100">
        <v>1.02</v>
      </c>
      <c r="Q99" s="100">
        <v>28.09</v>
      </c>
      <c r="R99" s="6"/>
      <c r="S99" s="6"/>
      <c r="T99" s="156"/>
      <c r="U99" s="6"/>
    </row>
    <row r="100" spans="1:28" customFormat="1">
      <c r="A100" s="163" t="s">
        <v>330</v>
      </c>
      <c r="B100" s="100">
        <v>6.05</v>
      </c>
      <c r="C100" s="100">
        <v>23.13</v>
      </c>
      <c r="D100" s="100">
        <v>18.29</v>
      </c>
      <c r="E100" s="100">
        <v>10.88</v>
      </c>
      <c r="F100" s="151" t="s">
        <v>8</v>
      </c>
      <c r="G100" s="100">
        <v>80.09</v>
      </c>
      <c r="H100" s="100">
        <v>28.58</v>
      </c>
      <c r="I100" s="100">
        <v>11.86</v>
      </c>
      <c r="J100" s="100">
        <v>0.23</v>
      </c>
      <c r="K100" s="100">
        <v>144.09</v>
      </c>
      <c r="L100" s="100">
        <v>24.19</v>
      </c>
      <c r="M100" s="100">
        <v>58.05</v>
      </c>
      <c r="N100" s="100">
        <v>1</v>
      </c>
      <c r="O100" s="100">
        <v>0</v>
      </c>
      <c r="P100" s="100">
        <v>1.04</v>
      </c>
      <c r="Q100" s="100">
        <v>28.1</v>
      </c>
      <c r="R100" s="6"/>
      <c r="S100" s="6"/>
      <c r="T100" s="156"/>
      <c r="U100" s="6"/>
      <c r="AB100" s="161"/>
    </row>
    <row r="101" spans="1:28" customFormat="1">
      <c r="A101" s="163" t="s">
        <v>331</v>
      </c>
      <c r="B101" s="100">
        <v>6.34</v>
      </c>
      <c r="C101" s="100">
        <v>23.23</v>
      </c>
      <c r="D101" s="100">
        <v>18.57</v>
      </c>
      <c r="E101" s="100">
        <v>11.07</v>
      </c>
      <c r="F101" s="151" t="s">
        <v>8</v>
      </c>
      <c r="G101" s="100">
        <v>80.09</v>
      </c>
      <c r="H101" s="100">
        <v>28.58</v>
      </c>
      <c r="I101" s="100">
        <v>12.44</v>
      </c>
      <c r="J101" s="100">
        <v>0.28000000000000003</v>
      </c>
      <c r="K101" s="100">
        <v>155.75</v>
      </c>
      <c r="L101" s="100">
        <v>24.31</v>
      </c>
      <c r="M101" s="100">
        <v>57.8</v>
      </c>
      <c r="N101" s="100">
        <v>1</v>
      </c>
      <c r="O101" s="100">
        <v>0</v>
      </c>
      <c r="P101" s="100">
        <v>1.04</v>
      </c>
      <c r="Q101" s="100">
        <v>28.1</v>
      </c>
      <c r="R101" s="6"/>
      <c r="S101" s="6"/>
      <c r="T101" s="156"/>
      <c r="U101" s="6"/>
    </row>
    <row r="102" spans="1:28" customFormat="1">
      <c r="A102" s="163" t="s">
        <v>332</v>
      </c>
      <c r="B102" s="100">
        <v>7.01</v>
      </c>
      <c r="C102" s="100">
        <v>23.7</v>
      </c>
      <c r="D102" s="100">
        <v>19.350000000000001</v>
      </c>
      <c r="E102" s="100">
        <v>10.99</v>
      </c>
      <c r="F102" s="151" t="s">
        <v>8</v>
      </c>
      <c r="G102" s="100">
        <v>80.09</v>
      </c>
      <c r="H102" s="100">
        <v>28.58</v>
      </c>
      <c r="I102" s="100">
        <v>12.94</v>
      </c>
      <c r="J102" s="100">
        <v>0.21</v>
      </c>
      <c r="K102" s="100">
        <v>188.98</v>
      </c>
      <c r="L102" s="100">
        <v>23.96</v>
      </c>
      <c r="M102" s="100">
        <v>60.69</v>
      </c>
      <c r="N102" s="100">
        <v>1.2</v>
      </c>
      <c r="O102" s="100">
        <v>0</v>
      </c>
      <c r="P102" s="100">
        <v>1.07</v>
      </c>
      <c r="Q102" s="100">
        <v>28.13</v>
      </c>
      <c r="R102" s="6"/>
      <c r="S102" s="6"/>
      <c r="T102" s="156"/>
      <c r="U102" s="6"/>
    </row>
    <row r="103" spans="1:28" customFormat="1">
      <c r="A103" s="163" t="s">
        <v>333</v>
      </c>
      <c r="B103" s="100">
        <v>7.4</v>
      </c>
      <c r="C103" s="100">
        <v>23.89</v>
      </c>
      <c r="D103" s="100">
        <v>19.77</v>
      </c>
      <c r="E103" s="100">
        <v>10.76</v>
      </c>
      <c r="F103" s="151" t="s">
        <v>8</v>
      </c>
      <c r="G103" s="100">
        <v>79.650000000000006</v>
      </c>
      <c r="H103" s="100">
        <v>26.11</v>
      </c>
      <c r="I103" s="100">
        <v>13.33</v>
      </c>
      <c r="J103" s="100">
        <v>0.21</v>
      </c>
      <c r="K103" s="100">
        <v>173.34</v>
      </c>
      <c r="L103" s="100">
        <v>23.6</v>
      </c>
      <c r="M103" s="100">
        <v>60.61</v>
      </c>
      <c r="N103" s="100">
        <v>1.4</v>
      </c>
      <c r="O103" s="100">
        <v>0</v>
      </c>
      <c r="P103" s="100">
        <v>1.08</v>
      </c>
      <c r="Q103" s="100">
        <v>28.14</v>
      </c>
      <c r="R103" s="6"/>
      <c r="S103" s="6"/>
      <c r="T103" s="156"/>
      <c r="U103" s="6"/>
    </row>
    <row r="104" spans="1:28" customFormat="1">
      <c r="A104" s="163" t="s">
        <v>334</v>
      </c>
      <c r="B104" s="100">
        <v>7.43</v>
      </c>
      <c r="C104" s="100">
        <v>23.71</v>
      </c>
      <c r="D104" s="100">
        <v>19.7</v>
      </c>
      <c r="E104" s="100">
        <v>10.95</v>
      </c>
      <c r="F104" s="151" t="s">
        <v>8</v>
      </c>
      <c r="G104" s="100">
        <v>79.599999999999994</v>
      </c>
      <c r="H104" s="100">
        <v>26.11</v>
      </c>
      <c r="I104" s="100">
        <v>13.66</v>
      </c>
      <c r="J104" s="100">
        <v>0.21</v>
      </c>
      <c r="K104" s="100">
        <v>169.08</v>
      </c>
      <c r="L104" s="100">
        <v>23.39</v>
      </c>
      <c r="M104" s="100">
        <v>60.74</v>
      </c>
      <c r="N104" s="100">
        <v>1</v>
      </c>
      <c r="O104" s="100">
        <v>0</v>
      </c>
      <c r="P104" s="100">
        <v>1.08</v>
      </c>
      <c r="Q104" s="100">
        <v>28.13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3.85</v>
      </c>
      <c r="C106" s="158">
        <f>MIN(C9:C104)</f>
        <v>17.86</v>
      </c>
      <c r="D106" s="158">
        <f t="shared" ref="D106:Q106" si="0">MIN(D9:D104)</f>
        <v>13.91</v>
      </c>
      <c r="E106" s="158">
        <f t="shared" si="0"/>
        <v>8.24</v>
      </c>
      <c r="F106" s="158">
        <f t="shared" si="0"/>
        <v>0</v>
      </c>
      <c r="G106" s="158">
        <f t="shared" si="0"/>
        <v>47.64</v>
      </c>
      <c r="H106" s="158">
        <f t="shared" si="0"/>
        <v>22.8</v>
      </c>
      <c r="I106" s="158">
        <f t="shared" si="0"/>
        <v>5.31</v>
      </c>
      <c r="J106" s="158">
        <f t="shared" si="0"/>
        <v>0.03</v>
      </c>
      <c r="K106" s="158">
        <f t="shared" si="0"/>
        <v>80.61</v>
      </c>
      <c r="L106" s="158">
        <f t="shared" si="0"/>
        <v>18.440000000000001</v>
      </c>
      <c r="M106" s="158">
        <f t="shared" si="0"/>
        <v>21.83</v>
      </c>
      <c r="N106" s="158">
        <f t="shared" si="0"/>
        <v>0.6</v>
      </c>
      <c r="O106" s="158">
        <f t="shared" si="0"/>
        <v>0</v>
      </c>
      <c r="P106" s="158">
        <f t="shared" si="0"/>
        <v>0.6</v>
      </c>
      <c r="Q106" s="158">
        <f t="shared" si="0"/>
        <v>27.97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16.7</v>
      </c>
      <c r="C107" s="157">
        <f t="shared" ref="C107:Q107" si="1">MAX(C9:C104)</f>
        <v>27.96</v>
      </c>
      <c r="D107" s="157">
        <f t="shared" si="1"/>
        <v>29.35</v>
      </c>
      <c r="E107" s="157">
        <f t="shared" si="1"/>
        <v>27.7</v>
      </c>
      <c r="F107" s="157">
        <f t="shared" si="1"/>
        <v>0</v>
      </c>
      <c r="G107" s="157">
        <f t="shared" si="1"/>
        <v>110.66</v>
      </c>
      <c r="H107" s="157">
        <f t="shared" si="1"/>
        <v>44.51</v>
      </c>
      <c r="I107" s="157">
        <f t="shared" si="1"/>
        <v>14.63</v>
      </c>
      <c r="J107" s="157">
        <f t="shared" si="1"/>
        <v>1.33</v>
      </c>
      <c r="K107" s="157">
        <f t="shared" si="1"/>
        <v>313.3</v>
      </c>
      <c r="L107" s="157">
        <f t="shared" si="1"/>
        <v>36.090000000000003</v>
      </c>
      <c r="M107" s="157">
        <f t="shared" si="1"/>
        <v>75.61</v>
      </c>
      <c r="N107" s="157">
        <f t="shared" si="1"/>
        <v>338.7</v>
      </c>
      <c r="O107" s="157">
        <f t="shared" si="1"/>
        <v>0</v>
      </c>
      <c r="P107" s="157">
        <f t="shared" si="1"/>
        <v>1.22</v>
      </c>
      <c r="Q107" s="157">
        <f t="shared" si="1"/>
        <v>28.52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8.1027083333333341</v>
      </c>
      <c r="C108" s="158">
        <f t="shared" ref="C108:Q108" si="2">AVERAGE(C9:C104)</f>
        <v>22.413333333333327</v>
      </c>
      <c r="D108" s="158">
        <f t="shared" si="2"/>
        <v>19.558854166666659</v>
      </c>
      <c r="E108" s="158">
        <f t="shared" si="2"/>
        <v>12.022083333333335</v>
      </c>
      <c r="F108" s="158" t="e">
        <f t="shared" si="2"/>
        <v>#DIV/0!</v>
      </c>
      <c r="G108" s="158">
        <f t="shared" si="2"/>
        <v>77.59187500000003</v>
      </c>
      <c r="H108" s="158">
        <f t="shared" si="2"/>
        <v>32.487291666666643</v>
      </c>
      <c r="I108" s="158">
        <f t="shared" si="2"/>
        <v>10.869791666666671</v>
      </c>
      <c r="J108" s="158">
        <f t="shared" si="2"/>
        <v>0.43791666666666673</v>
      </c>
      <c r="K108" s="158">
        <f t="shared" si="2"/>
        <v>217.51000000000002</v>
      </c>
      <c r="L108" s="158">
        <f t="shared" si="2"/>
        <v>26.829895833333339</v>
      </c>
      <c r="M108" s="158">
        <f t="shared" si="2"/>
        <v>49.208229166666655</v>
      </c>
      <c r="N108" s="158">
        <f t="shared" si="2"/>
        <v>87.911458333333357</v>
      </c>
      <c r="O108" s="158">
        <f t="shared" si="2"/>
        <v>0</v>
      </c>
      <c r="P108" s="158">
        <f t="shared" si="2"/>
        <v>0.93833333333333346</v>
      </c>
      <c r="Q108" s="158">
        <f t="shared" si="2"/>
        <v>28.17239583333334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4.4935594797716432</v>
      </c>
      <c r="C109" s="158">
        <f t="shared" ref="C109:Q109" si="3">STDEV(C9:C104)</f>
        <v>2.7270244692962509</v>
      </c>
      <c r="D109" s="158">
        <f t="shared" si="3"/>
        <v>4.8294735181714898</v>
      </c>
      <c r="E109" s="158">
        <f t="shared" si="3"/>
        <v>3.7151977822726319</v>
      </c>
      <c r="F109" s="158" t="e">
        <f t="shared" si="3"/>
        <v>#DIV/0!</v>
      </c>
      <c r="G109" s="158">
        <f t="shared" si="3"/>
        <v>18.532137395545064</v>
      </c>
      <c r="H109" s="158">
        <f t="shared" si="3"/>
        <v>5.2827607374149945</v>
      </c>
      <c r="I109" s="158">
        <f t="shared" si="3"/>
        <v>3.029981406636248</v>
      </c>
      <c r="J109" s="158">
        <f t="shared" si="3"/>
        <v>0.33755129564702063</v>
      </c>
      <c r="K109" s="158">
        <f t="shared" si="3"/>
        <v>52.035861743305595</v>
      </c>
      <c r="L109" s="158">
        <f t="shared" si="3"/>
        <v>5.8421076756850043</v>
      </c>
      <c r="M109" s="158">
        <f t="shared" si="3"/>
        <v>16.80148834226754</v>
      </c>
      <c r="N109" s="158">
        <f t="shared" si="3"/>
        <v>125.75066631175706</v>
      </c>
      <c r="O109" s="158">
        <f t="shared" si="3"/>
        <v>0</v>
      </c>
      <c r="P109" s="158">
        <f t="shared" si="3"/>
        <v>0.20665591369875225</v>
      </c>
      <c r="Q109" s="158">
        <f t="shared" si="3"/>
        <v>0.18424094517015738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>COUNT(F9:F104)+96</f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88" activePane="bottomRight" state="frozen"/>
      <selection pane="topRight"/>
      <selection pane="bottomLeft"/>
      <selection pane="bottomRight" activeCell="F9" sqref="F9:F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02/03/2025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335</v>
      </c>
      <c r="B9" s="100">
        <v>7.76</v>
      </c>
      <c r="C9" s="100">
        <v>24.15</v>
      </c>
      <c r="D9" s="100">
        <v>20.190000000000001</v>
      </c>
      <c r="E9" s="100">
        <v>10.72</v>
      </c>
      <c r="F9" s="151" t="s">
        <v>8</v>
      </c>
      <c r="G9" s="100">
        <v>79.599999999999994</v>
      </c>
      <c r="H9" s="100">
        <v>26.11</v>
      </c>
      <c r="I9" s="100">
        <v>13.89</v>
      </c>
      <c r="J9" s="100">
        <v>0.26</v>
      </c>
      <c r="K9" s="100">
        <v>169.11</v>
      </c>
      <c r="L9" s="100">
        <v>23.39</v>
      </c>
      <c r="M9" s="100">
        <v>62.87</v>
      </c>
      <c r="N9" s="100">
        <v>1</v>
      </c>
      <c r="O9" s="100">
        <v>0</v>
      </c>
      <c r="P9" s="100">
        <v>1.0900000000000001</v>
      </c>
      <c r="Q9" s="100">
        <v>28.14</v>
      </c>
      <c r="R9" s="6"/>
      <c r="S9" s="6"/>
      <c r="T9" s="156"/>
      <c r="U9" s="6"/>
    </row>
    <row r="10" spans="1:21" customFormat="1">
      <c r="A10" s="163" t="s">
        <v>336</v>
      </c>
      <c r="B10" s="100">
        <v>8.1300000000000008</v>
      </c>
      <c r="C10" s="100">
        <v>24.26</v>
      </c>
      <c r="D10" s="100">
        <v>20.55</v>
      </c>
      <c r="E10" s="100">
        <v>10.96</v>
      </c>
      <c r="F10" s="151" t="s">
        <v>8</v>
      </c>
      <c r="G10" s="100">
        <v>79.599999999999994</v>
      </c>
      <c r="H10" s="100">
        <v>26.11</v>
      </c>
      <c r="I10" s="100">
        <v>14.03</v>
      </c>
      <c r="J10" s="100">
        <v>0.27</v>
      </c>
      <c r="K10" s="100">
        <v>162.37</v>
      </c>
      <c r="L10" s="100">
        <v>23.1</v>
      </c>
      <c r="M10" s="100">
        <v>64.53</v>
      </c>
      <c r="N10" s="100">
        <v>1.2</v>
      </c>
      <c r="O10" s="100">
        <v>0</v>
      </c>
      <c r="P10" s="100">
        <v>1.1000000000000001</v>
      </c>
      <c r="Q10" s="100">
        <v>28.15</v>
      </c>
      <c r="R10" s="6"/>
      <c r="S10" s="6"/>
      <c r="T10" s="156"/>
      <c r="U10" s="6"/>
    </row>
    <row r="11" spans="1:21" customFormat="1">
      <c r="A11" s="163" t="s">
        <v>337</v>
      </c>
      <c r="B11" s="100">
        <v>8.23</v>
      </c>
      <c r="C11" s="100">
        <v>24.14</v>
      </c>
      <c r="D11" s="100">
        <v>20.56</v>
      </c>
      <c r="E11" s="100">
        <v>11</v>
      </c>
      <c r="F11" s="151" t="s">
        <v>8</v>
      </c>
      <c r="G11" s="100">
        <v>78.25</v>
      </c>
      <c r="H11" s="100">
        <v>28.21</v>
      </c>
      <c r="I11" s="100">
        <v>14.16</v>
      </c>
      <c r="J11" s="100">
        <v>0.24</v>
      </c>
      <c r="K11" s="100">
        <v>192.02</v>
      </c>
      <c r="L11" s="100">
        <v>22.72</v>
      </c>
      <c r="M11" s="100">
        <v>66.88</v>
      </c>
      <c r="N11" s="100">
        <v>1.4</v>
      </c>
      <c r="O11" s="100">
        <v>0</v>
      </c>
      <c r="P11" s="100">
        <v>1.1200000000000001</v>
      </c>
      <c r="Q11" s="100">
        <v>28.19</v>
      </c>
      <c r="R11" s="6"/>
      <c r="S11" s="6"/>
      <c r="T11" s="156"/>
      <c r="U11" s="6"/>
    </row>
    <row r="12" spans="1:21" customFormat="1">
      <c r="A12" s="163" t="s">
        <v>338</v>
      </c>
      <c r="B12" s="100">
        <v>8.5</v>
      </c>
      <c r="C12" s="100">
        <v>21.71</v>
      </c>
      <c r="D12" s="100">
        <v>19.510000000000002</v>
      </c>
      <c r="E12" s="100">
        <v>10.78</v>
      </c>
      <c r="F12" s="151" t="s">
        <v>8</v>
      </c>
      <c r="G12" s="100">
        <v>78.08</v>
      </c>
      <c r="H12" s="100">
        <v>28.21</v>
      </c>
      <c r="I12" s="100">
        <v>14.27</v>
      </c>
      <c r="J12" s="100">
        <v>0.18</v>
      </c>
      <c r="K12" s="100">
        <v>209.46</v>
      </c>
      <c r="L12" s="100">
        <v>21.92</v>
      </c>
      <c r="M12" s="100">
        <v>68.150000000000006</v>
      </c>
      <c r="N12" s="100">
        <v>1.6</v>
      </c>
      <c r="O12" s="100">
        <v>0</v>
      </c>
      <c r="P12" s="100">
        <v>1.1599999999999999</v>
      </c>
      <c r="Q12" s="100">
        <v>28.24</v>
      </c>
      <c r="R12" s="6"/>
      <c r="S12" s="6"/>
      <c r="T12" s="156"/>
      <c r="U12" s="6"/>
    </row>
    <row r="13" spans="1:21" customFormat="1">
      <c r="A13" s="163" t="s">
        <v>339</v>
      </c>
      <c r="B13" s="100">
        <v>8.7200000000000006</v>
      </c>
      <c r="C13" s="100">
        <v>20.85</v>
      </c>
      <c r="D13" s="100">
        <v>19.239999999999998</v>
      </c>
      <c r="E13" s="100">
        <v>10.62</v>
      </c>
      <c r="F13" s="151" t="s">
        <v>8</v>
      </c>
      <c r="G13" s="100">
        <v>78.08</v>
      </c>
      <c r="H13" s="100">
        <v>28.21</v>
      </c>
      <c r="I13" s="100">
        <v>14.36</v>
      </c>
      <c r="J13" s="100">
        <v>0.21</v>
      </c>
      <c r="K13" s="100">
        <v>203.6</v>
      </c>
      <c r="L13" s="100">
        <v>21.86</v>
      </c>
      <c r="M13" s="100">
        <v>66.69</v>
      </c>
      <c r="N13" s="100">
        <v>1.2</v>
      </c>
      <c r="O13" s="100">
        <v>0</v>
      </c>
      <c r="P13" s="100">
        <v>1.1499999999999999</v>
      </c>
      <c r="Q13" s="100">
        <v>28.23</v>
      </c>
      <c r="R13" s="6"/>
      <c r="S13" s="6"/>
      <c r="T13" s="156"/>
      <c r="U13" s="6"/>
    </row>
    <row r="14" spans="1:21" customFormat="1">
      <c r="A14" s="163" t="s">
        <v>340</v>
      </c>
      <c r="B14" s="100">
        <v>8.86</v>
      </c>
      <c r="C14" s="100">
        <v>20.65</v>
      </c>
      <c r="D14" s="100">
        <v>19.25</v>
      </c>
      <c r="E14" s="100">
        <v>10.23</v>
      </c>
      <c r="F14" s="151" t="s">
        <v>8</v>
      </c>
      <c r="G14" s="100">
        <v>78.08</v>
      </c>
      <c r="H14" s="100">
        <v>28.21</v>
      </c>
      <c r="I14" s="100">
        <v>14.41</v>
      </c>
      <c r="J14" s="100">
        <v>0.13</v>
      </c>
      <c r="K14" s="100">
        <v>155.31</v>
      </c>
      <c r="L14" s="100">
        <v>21.9</v>
      </c>
      <c r="M14" s="100">
        <v>66.64</v>
      </c>
      <c r="N14" s="100">
        <v>1</v>
      </c>
      <c r="O14" s="100">
        <v>0</v>
      </c>
      <c r="P14" s="100">
        <v>1.1599999999999999</v>
      </c>
      <c r="Q14" s="100">
        <v>28.22</v>
      </c>
      <c r="R14" s="6"/>
      <c r="S14" s="6"/>
      <c r="T14" s="156"/>
      <c r="U14" s="6"/>
    </row>
    <row r="15" spans="1:21" customFormat="1">
      <c r="A15" s="163" t="s">
        <v>341</v>
      </c>
      <c r="B15" s="100">
        <v>9.1</v>
      </c>
      <c r="C15" s="100">
        <v>20.87</v>
      </c>
      <c r="D15" s="100">
        <v>19.55</v>
      </c>
      <c r="E15" s="100">
        <v>10.74</v>
      </c>
      <c r="F15" s="151" t="s">
        <v>8</v>
      </c>
      <c r="G15" s="100">
        <v>73.319999999999993</v>
      </c>
      <c r="H15" s="100">
        <v>25.41</v>
      </c>
      <c r="I15" s="100">
        <v>14.36</v>
      </c>
      <c r="J15" s="100">
        <v>0.14000000000000001</v>
      </c>
      <c r="K15" s="100">
        <v>173.19</v>
      </c>
      <c r="L15" s="100">
        <v>21.89</v>
      </c>
      <c r="M15" s="100">
        <v>69.86</v>
      </c>
      <c r="N15" s="100">
        <v>1</v>
      </c>
      <c r="O15" s="100">
        <v>0</v>
      </c>
      <c r="P15" s="100">
        <v>1.1399999999999999</v>
      </c>
      <c r="Q15" s="100">
        <v>28.24</v>
      </c>
      <c r="R15" s="6"/>
      <c r="S15" s="6"/>
      <c r="T15" s="156"/>
      <c r="U15" s="6"/>
    </row>
    <row r="16" spans="1:21" customFormat="1">
      <c r="A16" s="163" t="s">
        <v>342</v>
      </c>
      <c r="B16" s="100">
        <v>9.31</v>
      </c>
      <c r="C16" s="100">
        <v>21.23</v>
      </c>
      <c r="D16" s="100">
        <v>19.899999999999999</v>
      </c>
      <c r="E16" s="100">
        <v>10.35</v>
      </c>
      <c r="F16" s="151" t="s">
        <v>8</v>
      </c>
      <c r="G16" s="100">
        <v>72.73</v>
      </c>
      <c r="H16" s="100">
        <v>25.41</v>
      </c>
      <c r="I16" s="100">
        <v>14.24</v>
      </c>
      <c r="J16" s="100">
        <v>0.14000000000000001</v>
      </c>
      <c r="K16" s="100">
        <v>159.91999999999999</v>
      </c>
      <c r="L16" s="100">
        <v>21.87</v>
      </c>
      <c r="M16" s="100">
        <v>70.5</v>
      </c>
      <c r="N16" s="100">
        <v>0.9</v>
      </c>
      <c r="O16" s="100">
        <v>0</v>
      </c>
      <c r="P16" s="100">
        <v>1.1499999999999999</v>
      </c>
      <c r="Q16" s="100">
        <v>28.24</v>
      </c>
      <c r="R16" s="6"/>
      <c r="S16" s="6"/>
      <c r="T16" s="156"/>
      <c r="U16" s="6"/>
    </row>
    <row r="17" spans="1:21" customFormat="1">
      <c r="A17" s="163" t="s">
        <v>343</v>
      </c>
      <c r="B17" s="100">
        <v>9.5500000000000007</v>
      </c>
      <c r="C17" s="100">
        <v>21.33</v>
      </c>
      <c r="D17" s="100">
        <v>20.16</v>
      </c>
      <c r="E17" s="100">
        <v>8.93</v>
      </c>
      <c r="F17" s="151" t="s">
        <v>8</v>
      </c>
      <c r="G17" s="100">
        <v>72.73</v>
      </c>
      <c r="H17" s="100">
        <v>25.41</v>
      </c>
      <c r="I17" s="100">
        <v>14.19</v>
      </c>
      <c r="J17" s="100">
        <v>0.17</v>
      </c>
      <c r="K17" s="100">
        <v>179.05</v>
      </c>
      <c r="L17" s="100">
        <v>21.64</v>
      </c>
      <c r="M17" s="100">
        <v>72.3</v>
      </c>
      <c r="N17" s="100">
        <v>1.1000000000000001</v>
      </c>
      <c r="O17" s="100">
        <v>0</v>
      </c>
      <c r="P17" s="100">
        <v>1.1599999999999999</v>
      </c>
      <c r="Q17" s="100">
        <v>28.25</v>
      </c>
      <c r="R17" s="6"/>
      <c r="S17" s="6"/>
      <c r="T17" s="156"/>
      <c r="U17" s="6"/>
    </row>
    <row r="18" spans="1:21" customFormat="1">
      <c r="A18" s="163" t="s">
        <v>344</v>
      </c>
      <c r="B18" s="100">
        <v>9.8000000000000007</v>
      </c>
      <c r="C18" s="100">
        <v>21</v>
      </c>
      <c r="D18" s="100">
        <v>20.18</v>
      </c>
      <c r="E18" s="100">
        <v>10.86</v>
      </c>
      <c r="F18" s="151" t="s">
        <v>8</v>
      </c>
      <c r="G18" s="100">
        <v>72.73</v>
      </c>
      <c r="H18" s="100">
        <v>25.41</v>
      </c>
      <c r="I18" s="100">
        <v>14.21</v>
      </c>
      <c r="J18" s="100">
        <v>0.14000000000000001</v>
      </c>
      <c r="K18" s="100">
        <v>163.16</v>
      </c>
      <c r="L18" s="100">
        <v>21.51</v>
      </c>
      <c r="M18" s="100">
        <v>71.59</v>
      </c>
      <c r="N18" s="100">
        <v>1</v>
      </c>
      <c r="O18" s="100">
        <v>0</v>
      </c>
      <c r="P18" s="100">
        <v>1.17</v>
      </c>
      <c r="Q18" s="100">
        <v>28.27</v>
      </c>
      <c r="R18" s="6"/>
      <c r="S18" s="6"/>
      <c r="T18" s="156"/>
      <c r="U18" s="6"/>
    </row>
    <row r="19" spans="1:21" customFormat="1">
      <c r="A19" s="163" t="s">
        <v>345</v>
      </c>
      <c r="B19" s="100">
        <v>10.050000000000001</v>
      </c>
      <c r="C19" s="100">
        <v>20.84</v>
      </c>
      <c r="D19" s="100">
        <v>20.3</v>
      </c>
      <c r="E19" s="100">
        <v>10.210000000000001</v>
      </c>
      <c r="F19" s="151" t="s">
        <v>8</v>
      </c>
      <c r="G19" s="100">
        <v>75.64</v>
      </c>
      <c r="H19" s="100">
        <v>23.56</v>
      </c>
      <c r="I19" s="100">
        <v>14.25</v>
      </c>
      <c r="J19" s="100">
        <v>0.21</v>
      </c>
      <c r="K19" s="100">
        <v>187.88</v>
      </c>
      <c r="L19" s="100">
        <v>21.25</v>
      </c>
      <c r="M19" s="100">
        <v>73.67</v>
      </c>
      <c r="N19" s="100">
        <v>1.2</v>
      </c>
      <c r="O19" s="100">
        <v>0</v>
      </c>
      <c r="P19" s="100">
        <v>1.1599999999999999</v>
      </c>
      <c r="Q19" s="100">
        <v>28.25</v>
      </c>
      <c r="R19" s="6"/>
      <c r="S19" s="6"/>
      <c r="T19" s="156"/>
      <c r="U19" s="6"/>
    </row>
    <row r="20" spans="1:21" customFormat="1">
      <c r="A20" s="163" t="s">
        <v>346</v>
      </c>
      <c r="B20" s="100">
        <v>10.26</v>
      </c>
      <c r="C20" s="100">
        <v>20.62</v>
      </c>
      <c r="D20" s="100">
        <v>20.350000000000001</v>
      </c>
      <c r="E20" s="100">
        <v>10.61</v>
      </c>
      <c r="F20" s="151" t="s">
        <v>8</v>
      </c>
      <c r="G20" s="100">
        <v>76</v>
      </c>
      <c r="H20" s="100">
        <v>23.56</v>
      </c>
      <c r="I20" s="100">
        <v>14.32</v>
      </c>
      <c r="J20" s="100">
        <v>0.17</v>
      </c>
      <c r="K20" s="100">
        <v>210.41</v>
      </c>
      <c r="L20" s="100">
        <v>20.71</v>
      </c>
      <c r="M20" s="100">
        <v>73.069999999999993</v>
      </c>
      <c r="N20" s="100">
        <v>1.4</v>
      </c>
      <c r="O20" s="100">
        <v>0</v>
      </c>
      <c r="P20" s="100">
        <v>1.17</v>
      </c>
      <c r="Q20" s="100">
        <v>28.28</v>
      </c>
      <c r="R20" s="6"/>
      <c r="S20" s="6"/>
      <c r="T20" s="156"/>
      <c r="U20" s="6"/>
    </row>
    <row r="21" spans="1:21" customFormat="1">
      <c r="A21" s="163" t="s">
        <v>347</v>
      </c>
      <c r="B21" s="100">
        <v>10.47</v>
      </c>
      <c r="C21" s="100">
        <v>20.3</v>
      </c>
      <c r="D21" s="100">
        <v>20.350000000000001</v>
      </c>
      <c r="E21" s="100">
        <v>10.25</v>
      </c>
      <c r="F21" s="151" t="s">
        <v>8</v>
      </c>
      <c r="G21" s="100">
        <v>76</v>
      </c>
      <c r="H21" s="100">
        <v>23.56</v>
      </c>
      <c r="I21" s="100">
        <v>14.33</v>
      </c>
      <c r="J21" s="100">
        <v>0.1</v>
      </c>
      <c r="K21" s="100">
        <v>216.02</v>
      </c>
      <c r="L21" s="100">
        <v>21.07</v>
      </c>
      <c r="M21" s="100">
        <v>70.87</v>
      </c>
      <c r="N21" s="100">
        <v>0.8</v>
      </c>
      <c r="O21" s="100">
        <v>0</v>
      </c>
      <c r="P21" s="100">
        <v>1.17</v>
      </c>
      <c r="Q21" s="100">
        <v>28.27</v>
      </c>
      <c r="R21" s="6"/>
      <c r="S21" s="6"/>
      <c r="T21" s="156"/>
      <c r="U21" s="6"/>
    </row>
    <row r="22" spans="1:21" customFormat="1">
      <c r="A22" s="163" t="s">
        <v>348</v>
      </c>
      <c r="B22" s="100">
        <v>10.58</v>
      </c>
      <c r="C22" s="100">
        <v>20</v>
      </c>
      <c r="D22" s="100">
        <v>20.29</v>
      </c>
      <c r="E22" s="100">
        <v>10.45</v>
      </c>
      <c r="F22" s="151" t="s">
        <v>8</v>
      </c>
      <c r="G22" s="100">
        <v>76</v>
      </c>
      <c r="H22" s="100">
        <v>23.56</v>
      </c>
      <c r="I22" s="100">
        <v>14.36</v>
      </c>
      <c r="J22" s="100">
        <v>0.13</v>
      </c>
      <c r="K22" s="100">
        <v>221.53</v>
      </c>
      <c r="L22" s="100">
        <v>21.16</v>
      </c>
      <c r="M22" s="100">
        <v>69.569999999999993</v>
      </c>
      <c r="N22" s="100">
        <v>1</v>
      </c>
      <c r="O22" s="100">
        <v>0</v>
      </c>
      <c r="P22" s="100">
        <v>1.18</v>
      </c>
      <c r="Q22" s="100">
        <v>28.3</v>
      </c>
      <c r="R22" s="6"/>
      <c r="S22" s="6"/>
      <c r="T22" s="156"/>
      <c r="U22" s="6"/>
    </row>
    <row r="23" spans="1:21" customFormat="1">
      <c r="A23" s="163" t="s">
        <v>349</v>
      </c>
      <c r="B23" s="100">
        <v>10.68</v>
      </c>
      <c r="C23" s="100">
        <v>20</v>
      </c>
      <c r="D23" s="100">
        <v>20.36</v>
      </c>
      <c r="E23" s="100">
        <v>10.74</v>
      </c>
      <c r="F23" s="151" t="s">
        <v>8</v>
      </c>
      <c r="G23" s="100">
        <v>74.37</v>
      </c>
      <c r="H23" s="100">
        <v>23.88</v>
      </c>
      <c r="I23" s="100">
        <v>14.38</v>
      </c>
      <c r="J23" s="100">
        <v>0.06</v>
      </c>
      <c r="K23" s="100">
        <v>77.02</v>
      </c>
      <c r="L23" s="100">
        <v>21.32</v>
      </c>
      <c r="M23" s="100">
        <v>65.91</v>
      </c>
      <c r="N23" s="100">
        <v>0.9</v>
      </c>
      <c r="O23" s="100">
        <v>0</v>
      </c>
      <c r="P23" s="100">
        <v>1.1599999999999999</v>
      </c>
      <c r="Q23" s="100">
        <v>28.29</v>
      </c>
      <c r="R23" s="6"/>
      <c r="S23" s="6"/>
      <c r="T23" s="156"/>
      <c r="U23" s="6"/>
    </row>
    <row r="24" spans="1:21" customFormat="1">
      <c r="A24" s="163" t="s">
        <v>350</v>
      </c>
      <c r="B24" s="100">
        <v>10.87</v>
      </c>
      <c r="C24" s="100">
        <v>20.23</v>
      </c>
      <c r="D24" s="100">
        <v>20.64</v>
      </c>
      <c r="E24" s="100">
        <v>10.5</v>
      </c>
      <c r="F24" s="151" t="s">
        <v>8</v>
      </c>
      <c r="G24" s="100">
        <v>74.17</v>
      </c>
      <c r="H24" s="100">
        <v>23.88</v>
      </c>
      <c r="I24" s="100">
        <v>14.3</v>
      </c>
      <c r="J24" s="100">
        <v>0.18</v>
      </c>
      <c r="K24" s="100">
        <v>195.25</v>
      </c>
      <c r="L24" s="100">
        <v>21.5</v>
      </c>
      <c r="M24" s="100">
        <v>65.849999999999994</v>
      </c>
      <c r="N24" s="100">
        <v>0.8</v>
      </c>
      <c r="O24" s="100">
        <v>0</v>
      </c>
      <c r="P24" s="100">
        <v>1.1599999999999999</v>
      </c>
      <c r="Q24" s="100">
        <v>28.3</v>
      </c>
      <c r="R24" s="6"/>
      <c r="S24" s="6"/>
      <c r="T24" s="156"/>
      <c r="U24" s="6"/>
    </row>
    <row r="25" spans="1:21" customFormat="1">
      <c r="A25" s="163" t="s">
        <v>351</v>
      </c>
      <c r="B25" s="100">
        <v>11.13</v>
      </c>
      <c r="C25" s="100">
        <v>20.59</v>
      </c>
      <c r="D25" s="100">
        <v>21.03</v>
      </c>
      <c r="E25" s="100">
        <v>10.74</v>
      </c>
      <c r="F25" s="151" t="s">
        <v>8</v>
      </c>
      <c r="G25" s="100">
        <v>74.17</v>
      </c>
      <c r="H25" s="100">
        <v>23.88</v>
      </c>
      <c r="I25" s="100">
        <v>14.2</v>
      </c>
      <c r="J25" s="100">
        <v>0.06</v>
      </c>
      <c r="K25" s="100">
        <v>217.55</v>
      </c>
      <c r="L25" s="100">
        <v>21.28</v>
      </c>
      <c r="M25" s="100">
        <v>67.37</v>
      </c>
      <c r="N25" s="100">
        <v>1.2</v>
      </c>
      <c r="O25" s="100">
        <v>0</v>
      </c>
      <c r="P25" s="100">
        <v>1.1499999999999999</v>
      </c>
      <c r="Q25" s="100">
        <v>28.3</v>
      </c>
      <c r="R25" s="6"/>
      <c r="S25" s="6"/>
      <c r="T25" s="156"/>
      <c r="U25" s="6"/>
    </row>
    <row r="26" spans="1:21" customFormat="1">
      <c r="A26" s="163" t="s">
        <v>352</v>
      </c>
      <c r="B26" s="100">
        <v>11.32</v>
      </c>
      <c r="C26" s="100">
        <v>20.25</v>
      </c>
      <c r="D26" s="100">
        <v>21.01</v>
      </c>
      <c r="E26" s="100">
        <v>10.53</v>
      </c>
      <c r="F26" s="151" t="s">
        <v>8</v>
      </c>
      <c r="G26" s="100">
        <v>74.17</v>
      </c>
      <c r="H26" s="100">
        <v>23.88</v>
      </c>
      <c r="I26" s="100">
        <v>14.07</v>
      </c>
      <c r="J26" s="100">
        <v>0.01</v>
      </c>
      <c r="K26" s="100">
        <v>39.64</v>
      </c>
      <c r="L26" s="100">
        <v>21.25</v>
      </c>
      <c r="M26" s="100">
        <v>68.12</v>
      </c>
      <c r="N26" s="100">
        <v>1</v>
      </c>
      <c r="O26" s="100">
        <v>0</v>
      </c>
      <c r="P26" s="100">
        <v>1.1499999999999999</v>
      </c>
      <c r="Q26" s="100">
        <v>28.3</v>
      </c>
      <c r="R26" s="6"/>
      <c r="S26" s="6"/>
      <c r="T26" s="156"/>
      <c r="U26" s="6"/>
    </row>
    <row r="27" spans="1:21" customFormat="1">
      <c r="A27" s="163" t="s">
        <v>353</v>
      </c>
      <c r="B27" s="100">
        <v>11.86</v>
      </c>
      <c r="C27" s="100">
        <v>20.7</v>
      </c>
      <c r="D27" s="100">
        <v>21.68</v>
      </c>
      <c r="E27" s="100">
        <v>10.73</v>
      </c>
      <c r="F27" s="151" t="s">
        <v>8</v>
      </c>
      <c r="G27" s="100">
        <v>68.989999999999995</v>
      </c>
      <c r="H27" s="100">
        <v>20.21</v>
      </c>
      <c r="I27" s="100">
        <v>13.96</v>
      </c>
      <c r="J27" s="100">
        <v>0.14000000000000001</v>
      </c>
      <c r="K27" s="100">
        <v>100.28</v>
      </c>
      <c r="L27" s="100">
        <v>21.33</v>
      </c>
      <c r="M27" s="100">
        <v>67.45</v>
      </c>
      <c r="N27" s="100">
        <v>1</v>
      </c>
      <c r="O27" s="100">
        <v>0</v>
      </c>
      <c r="P27" s="100">
        <v>1.1399999999999999</v>
      </c>
      <c r="Q27" s="100">
        <v>28.33</v>
      </c>
      <c r="R27" s="6"/>
      <c r="S27" s="6"/>
      <c r="T27" s="156"/>
      <c r="U27" s="6"/>
    </row>
    <row r="28" spans="1:21" customFormat="1">
      <c r="A28" s="163" t="s">
        <v>354</v>
      </c>
      <c r="B28" s="100">
        <v>12.73</v>
      </c>
      <c r="C28" s="100">
        <v>21.04</v>
      </c>
      <c r="D28" s="100">
        <v>22.55</v>
      </c>
      <c r="E28" s="100">
        <v>10.6</v>
      </c>
      <c r="F28" s="151" t="s">
        <v>8</v>
      </c>
      <c r="G28" s="100">
        <v>68.349999999999994</v>
      </c>
      <c r="H28" s="100">
        <v>20.21</v>
      </c>
      <c r="I28" s="100">
        <v>13.87</v>
      </c>
      <c r="J28" s="100">
        <v>0.1</v>
      </c>
      <c r="K28" s="100">
        <v>83.73</v>
      </c>
      <c r="L28" s="100">
        <v>21.74</v>
      </c>
      <c r="M28" s="100">
        <v>65.7</v>
      </c>
      <c r="N28" s="100">
        <v>0.7</v>
      </c>
      <c r="O28" s="100">
        <v>0</v>
      </c>
      <c r="P28" s="100">
        <v>1.1299999999999999</v>
      </c>
      <c r="Q28" s="100">
        <v>28.38</v>
      </c>
      <c r="R28" s="6"/>
      <c r="S28" s="6"/>
      <c r="T28" s="156"/>
      <c r="U28" s="6"/>
    </row>
    <row r="29" spans="1:21" customFormat="1">
      <c r="A29" s="163" t="s">
        <v>355</v>
      </c>
      <c r="B29" s="100">
        <v>13.37</v>
      </c>
      <c r="C29" s="100">
        <v>21.19</v>
      </c>
      <c r="D29" s="100">
        <v>23.14</v>
      </c>
      <c r="E29" s="100">
        <v>10.46</v>
      </c>
      <c r="F29" s="151" t="s">
        <v>8</v>
      </c>
      <c r="G29" s="100">
        <v>68.349999999999994</v>
      </c>
      <c r="H29" s="100">
        <v>20.21</v>
      </c>
      <c r="I29" s="100">
        <v>13.81</v>
      </c>
      <c r="J29" s="100">
        <v>0.17</v>
      </c>
      <c r="K29" s="100">
        <v>186.13</v>
      </c>
      <c r="L29" s="100">
        <v>20.99</v>
      </c>
      <c r="M29" s="100">
        <v>73.06</v>
      </c>
      <c r="N29" s="100">
        <v>1.7</v>
      </c>
      <c r="O29" s="100">
        <v>0</v>
      </c>
      <c r="P29" s="100">
        <v>1.1399999999999999</v>
      </c>
      <c r="Q29" s="100">
        <v>28.41</v>
      </c>
      <c r="R29" s="6"/>
      <c r="S29" s="6"/>
      <c r="T29" s="156"/>
      <c r="U29" s="6"/>
    </row>
    <row r="30" spans="1:21" customFormat="1">
      <c r="A30" s="163" t="s">
        <v>356</v>
      </c>
      <c r="B30" s="100">
        <v>13.62</v>
      </c>
      <c r="C30" s="100">
        <v>21.12</v>
      </c>
      <c r="D30" s="100">
        <v>23.31</v>
      </c>
      <c r="E30" s="100">
        <v>10.72</v>
      </c>
      <c r="F30" s="151" t="s">
        <v>8</v>
      </c>
      <c r="G30" s="100">
        <v>68.349999999999994</v>
      </c>
      <c r="H30" s="100">
        <v>20.21</v>
      </c>
      <c r="I30" s="100">
        <v>13.76</v>
      </c>
      <c r="J30" s="100">
        <v>0.16</v>
      </c>
      <c r="K30" s="100">
        <v>179.94</v>
      </c>
      <c r="L30" s="100">
        <v>20.65</v>
      </c>
      <c r="M30" s="100">
        <v>73.36</v>
      </c>
      <c r="N30" s="100">
        <v>1.4</v>
      </c>
      <c r="O30" s="100">
        <v>0</v>
      </c>
      <c r="P30" s="100">
        <v>1.1100000000000001</v>
      </c>
      <c r="Q30" s="100">
        <v>28.42</v>
      </c>
      <c r="R30" s="6"/>
      <c r="S30" s="6"/>
      <c r="T30" s="156"/>
      <c r="U30" s="6"/>
    </row>
    <row r="31" spans="1:21" customFormat="1">
      <c r="A31" s="163" t="s">
        <v>357</v>
      </c>
      <c r="B31" s="100">
        <v>13.64</v>
      </c>
      <c r="C31" s="100">
        <v>20.98</v>
      </c>
      <c r="D31" s="100">
        <v>23.25</v>
      </c>
      <c r="E31" s="100">
        <v>10.78</v>
      </c>
      <c r="F31" s="151" t="s">
        <v>8</v>
      </c>
      <c r="G31" s="100">
        <v>64.02</v>
      </c>
      <c r="H31" s="100">
        <v>21.09</v>
      </c>
      <c r="I31" s="100">
        <v>13.69</v>
      </c>
      <c r="J31" s="100">
        <v>0.26</v>
      </c>
      <c r="K31" s="100">
        <v>198.01</v>
      </c>
      <c r="L31" s="100">
        <v>20.38</v>
      </c>
      <c r="M31" s="100">
        <v>75.09</v>
      </c>
      <c r="N31" s="100">
        <v>1.5</v>
      </c>
      <c r="O31" s="100">
        <v>0</v>
      </c>
      <c r="P31" s="100">
        <v>1.0900000000000001</v>
      </c>
      <c r="Q31" s="100">
        <v>28.39</v>
      </c>
      <c r="R31" s="6"/>
      <c r="S31" s="6"/>
      <c r="T31" s="156"/>
      <c r="U31" s="6"/>
    </row>
    <row r="32" spans="1:21" customFormat="1">
      <c r="A32" s="163" t="s">
        <v>358</v>
      </c>
      <c r="B32" s="100">
        <v>13.41</v>
      </c>
      <c r="C32" s="100">
        <v>21.3</v>
      </c>
      <c r="D32" s="100">
        <v>23.24</v>
      </c>
      <c r="E32" s="100">
        <v>10.4</v>
      </c>
      <c r="F32" s="151" t="s">
        <v>8</v>
      </c>
      <c r="G32" s="100">
        <v>63.47</v>
      </c>
      <c r="H32" s="100">
        <v>21.09</v>
      </c>
      <c r="I32" s="100">
        <v>13.56</v>
      </c>
      <c r="J32" s="100">
        <v>0.2</v>
      </c>
      <c r="K32" s="100">
        <v>195.77</v>
      </c>
      <c r="L32" s="100">
        <v>20.45</v>
      </c>
      <c r="M32" s="100">
        <v>73.34</v>
      </c>
      <c r="N32" s="100">
        <v>1.3</v>
      </c>
      <c r="O32" s="100">
        <v>0</v>
      </c>
      <c r="P32" s="100">
        <v>1.06</v>
      </c>
      <c r="Q32" s="100">
        <v>28.37</v>
      </c>
      <c r="R32" s="6"/>
      <c r="S32" s="6"/>
      <c r="T32" s="156"/>
      <c r="U32" s="6"/>
    </row>
    <row r="33" spans="1:21" customFormat="1">
      <c r="A33" s="163" t="s">
        <v>359</v>
      </c>
      <c r="B33" s="100">
        <v>13.13</v>
      </c>
      <c r="C33" s="100">
        <v>21.6</v>
      </c>
      <c r="D33" s="100">
        <v>23.17</v>
      </c>
      <c r="E33" s="100">
        <v>10.84</v>
      </c>
      <c r="F33" s="151" t="s">
        <v>8</v>
      </c>
      <c r="G33" s="100">
        <v>63.47</v>
      </c>
      <c r="H33" s="100">
        <v>21.09</v>
      </c>
      <c r="I33" s="100">
        <v>13.44</v>
      </c>
      <c r="J33" s="100">
        <v>0.21</v>
      </c>
      <c r="K33" s="100">
        <v>175.92</v>
      </c>
      <c r="L33" s="100">
        <v>20.22</v>
      </c>
      <c r="M33" s="100">
        <v>75.03</v>
      </c>
      <c r="N33" s="100">
        <v>1.9</v>
      </c>
      <c r="O33" s="100">
        <v>0</v>
      </c>
      <c r="P33" s="100">
        <v>1.05</v>
      </c>
      <c r="Q33" s="100">
        <v>28.39</v>
      </c>
      <c r="R33" s="6"/>
      <c r="S33" s="6"/>
      <c r="T33" s="156"/>
      <c r="U33" s="6"/>
    </row>
    <row r="34" spans="1:21" customFormat="1">
      <c r="A34" s="163" t="s">
        <v>360</v>
      </c>
      <c r="B34" s="100">
        <v>12.8</v>
      </c>
      <c r="C34" s="100">
        <v>21.74</v>
      </c>
      <c r="D34" s="100">
        <v>22.98</v>
      </c>
      <c r="E34" s="100">
        <v>10.9</v>
      </c>
      <c r="F34" s="151" t="s">
        <v>8</v>
      </c>
      <c r="G34" s="100">
        <v>63.47</v>
      </c>
      <c r="H34" s="100">
        <v>21.09</v>
      </c>
      <c r="I34" s="100">
        <v>13.33</v>
      </c>
      <c r="J34" s="100">
        <v>0.21</v>
      </c>
      <c r="K34" s="100">
        <v>205.94</v>
      </c>
      <c r="L34" s="100">
        <v>20.059999999999999</v>
      </c>
      <c r="M34" s="100">
        <v>76.239999999999995</v>
      </c>
      <c r="N34" s="100">
        <v>3.5</v>
      </c>
      <c r="O34" s="100">
        <v>0</v>
      </c>
      <c r="P34" s="100">
        <v>1.04</v>
      </c>
      <c r="Q34" s="100">
        <v>28.37</v>
      </c>
      <c r="R34" s="6"/>
      <c r="S34" s="6"/>
      <c r="T34" s="156"/>
      <c r="U34" s="6"/>
    </row>
    <row r="35" spans="1:21" customFormat="1">
      <c r="A35" s="163" t="s">
        <v>361</v>
      </c>
      <c r="B35" s="100">
        <v>12.56</v>
      </c>
      <c r="C35" s="100">
        <v>21.78</v>
      </c>
      <c r="D35" s="100">
        <v>22.8</v>
      </c>
      <c r="E35" s="100">
        <v>10.87</v>
      </c>
      <c r="F35" s="151" t="s">
        <v>8</v>
      </c>
      <c r="G35" s="100">
        <v>60.76</v>
      </c>
      <c r="H35" s="100">
        <v>20.22</v>
      </c>
      <c r="I35" s="100">
        <v>13.32</v>
      </c>
      <c r="J35" s="100">
        <v>0.18</v>
      </c>
      <c r="K35" s="100">
        <v>208.79</v>
      </c>
      <c r="L35" s="100">
        <v>20.010000000000002</v>
      </c>
      <c r="M35" s="100">
        <v>77.64</v>
      </c>
      <c r="N35" s="100">
        <v>8.1</v>
      </c>
      <c r="O35" s="100">
        <v>0</v>
      </c>
      <c r="P35" s="100">
        <v>1.03</v>
      </c>
      <c r="Q35" s="100">
        <v>28.36</v>
      </c>
      <c r="R35" s="6"/>
      <c r="S35" s="6"/>
      <c r="T35" s="156"/>
      <c r="U35" s="6"/>
    </row>
    <row r="36" spans="1:21" customFormat="1">
      <c r="A36" s="163" t="s">
        <v>362</v>
      </c>
      <c r="B36" s="100">
        <v>12.31</v>
      </c>
      <c r="C36" s="100">
        <v>21.71</v>
      </c>
      <c r="D36" s="100">
        <v>22.56</v>
      </c>
      <c r="E36" s="100">
        <v>10.84</v>
      </c>
      <c r="F36" s="151" t="s">
        <v>8</v>
      </c>
      <c r="G36" s="100">
        <v>60.42</v>
      </c>
      <c r="H36" s="100">
        <v>20.22</v>
      </c>
      <c r="I36" s="100">
        <v>13.39</v>
      </c>
      <c r="J36" s="100">
        <v>0.12</v>
      </c>
      <c r="K36" s="100">
        <v>195.88</v>
      </c>
      <c r="L36" s="100">
        <v>20.28</v>
      </c>
      <c r="M36" s="100">
        <v>76.89</v>
      </c>
      <c r="N36" s="100">
        <v>14.5</v>
      </c>
      <c r="O36" s="100">
        <v>0</v>
      </c>
      <c r="P36" s="100">
        <v>1.03</v>
      </c>
      <c r="Q36" s="100">
        <v>28.35</v>
      </c>
      <c r="R36" s="6"/>
      <c r="S36" s="6"/>
      <c r="T36" s="156"/>
      <c r="U36" s="6"/>
    </row>
    <row r="37" spans="1:21" customFormat="1">
      <c r="A37" s="163" t="s">
        <v>363</v>
      </c>
      <c r="B37" s="100">
        <v>12.1</v>
      </c>
      <c r="C37" s="100">
        <v>21.57</v>
      </c>
      <c r="D37" s="100">
        <v>22.32</v>
      </c>
      <c r="E37" s="100">
        <v>10.95</v>
      </c>
      <c r="F37" s="151" t="s">
        <v>8</v>
      </c>
      <c r="G37" s="100">
        <v>60.42</v>
      </c>
      <c r="H37" s="100">
        <v>20.22</v>
      </c>
      <c r="I37" s="100">
        <v>13.37</v>
      </c>
      <c r="J37" s="100">
        <v>0.13</v>
      </c>
      <c r="K37" s="100">
        <v>181.93</v>
      </c>
      <c r="L37" s="100">
        <v>20.89</v>
      </c>
      <c r="M37" s="100">
        <v>75.19</v>
      </c>
      <c r="N37" s="100">
        <v>22.6</v>
      </c>
      <c r="O37" s="100">
        <v>0</v>
      </c>
      <c r="P37" s="100">
        <v>1.02</v>
      </c>
      <c r="Q37" s="100">
        <v>28.34</v>
      </c>
      <c r="R37" s="6"/>
      <c r="S37" s="6"/>
      <c r="T37" s="156"/>
      <c r="U37" s="6"/>
    </row>
    <row r="38" spans="1:21" customFormat="1">
      <c r="A38" s="163" t="s">
        <v>364</v>
      </c>
      <c r="B38" s="100">
        <v>11.83</v>
      </c>
      <c r="C38" s="100">
        <v>21.55</v>
      </c>
      <c r="D38" s="100">
        <v>22.1</v>
      </c>
      <c r="E38" s="100">
        <v>10.78</v>
      </c>
      <c r="F38" s="151" t="s">
        <v>8</v>
      </c>
      <c r="G38" s="100">
        <v>60.42</v>
      </c>
      <c r="H38" s="100">
        <v>20.22</v>
      </c>
      <c r="I38" s="100">
        <v>13.32</v>
      </c>
      <c r="J38" s="100">
        <v>0.27</v>
      </c>
      <c r="K38" s="100">
        <v>165.56</v>
      </c>
      <c r="L38" s="100">
        <v>21.79</v>
      </c>
      <c r="M38" s="100">
        <v>71.040000000000006</v>
      </c>
      <c r="N38" s="100">
        <v>31.3</v>
      </c>
      <c r="O38" s="100">
        <v>0</v>
      </c>
      <c r="P38" s="100">
        <v>1.02</v>
      </c>
      <c r="Q38" s="100">
        <v>28.33</v>
      </c>
      <c r="R38" s="6"/>
      <c r="S38" s="6"/>
      <c r="T38" s="156"/>
      <c r="U38" s="6"/>
    </row>
    <row r="39" spans="1:21" customFormat="1">
      <c r="A39" s="163" t="s">
        <v>365</v>
      </c>
      <c r="B39" s="100">
        <v>11.54</v>
      </c>
      <c r="C39" s="100">
        <v>21.71</v>
      </c>
      <c r="D39" s="100">
        <v>21.95</v>
      </c>
      <c r="E39" s="100">
        <v>10.66</v>
      </c>
      <c r="F39" s="151" t="s">
        <v>8</v>
      </c>
      <c r="G39" s="100">
        <v>63.41</v>
      </c>
      <c r="H39" s="100">
        <v>21.85</v>
      </c>
      <c r="I39" s="100">
        <v>13.26</v>
      </c>
      <c r="J39" s="100">
        <v>0.22</v>
      </c>
      <c r="K39" s="100">
        <v>170.62</v>
      </c>
      <c r="L39" s="100">
        <v>22.9</v>
      </c>
      <c r="M39" s="100">
        <v>66.150000000000006</v>
      </c>
      <c r="N39" s="100">
        <v>39.4</v>
      </c>
      <c r="O39" s="100">
        <v>0</v>
      </c>
      <c r="P39" s="100">
        <v>1.02</v>
      </c>
      <c r="Q39" s="100">
        <v>28.32</v>
      </c>
      <c r="R39" s="6"/>
      <c r="S39" s="6"/>
      <c r="T39" s="156"/>
      <c r="U39" s="6"/>
    </row>
    <row r="40" spans="1:21" customFormat="1">
      <c r="A40" s="163" t="s">
        <v>366</v>
      </c>
      <c r="B40" s="100">
        <v>11.1</v>
      </c>
      <c r="C40" s="100">
        <v>21.98</v>
      </c>
      <c r="D40" s="100">
        <v>21.74</v>
      </c>
      <c r="E40" s="100">
        <v>10.73</v>
      </c>
      <c r="F40" s="151" t="s">
        <v>8</v>
      </c>
      <c r="G40" s="100">
        <v>63.78</v>
      </c>
      <c r="H40" s="100">
        <v>21.85</v>
      </c>
      <c r="I40" s="100">
        <v>13.23</v>
      </c>
      <c r="J40" s="100">
        <v>0.26</v>
      </c>
      <c r="K40" s="100">
        <v>248.38</v>
      </c>
      <c r="L40" s="100">
        <v>23.75</v>
      </c>
      <c r="M40" s="100">
        <v>62.5</v>
      </c>
      <c r="N40" s="100">
        <v>53.5</v>
      </c>
      <c r="O40" s="100">
        <v>0</v>
      </c>
      <c r="P40" s="100">
        <v>1.02</v>
      </c>
      <c r="Q40" s="100">
        <v>28.31</v>
      </c>
      <c r="R40" s="6"/>
      <c r="S40" s="6"/>
      <c r="T40" s="156"/>
      <c r="U40" s="6"/>
    </row>
    <row r="41" spans="1:21" customFormat="1">
      <c r="A41" s="163" t="s">
        <v>367</v>
      </c>
      <c r="B41" s="100">
        <v>10.53</v>
      </c>
      <c r="C41" s="100">
        <v>22.36</v>
      </c>
      <c r="D41" s="100">
        <v>21.47</v>
      </c>
      <c r="E41" s="100">
        <v>10.51</v>
      </c>
      <c r="F41" s="151" t="s">
        <v>8</v>
      </c>
      <c r="G41" s="100">
        <v>63.78</v>
      </c>
      <c r="H41" s="100">
        <v>21.85</v>
      </c>
      <c r="I41" s="100">
        <v>13.26</v>
      </c>
      <c r="J41" s="100">
        <v>0.32</v>
      </c>
      <c r="K41" s="100">
        <v>255.59</v>
      </c>
      <c r="L41" s="100">
        <v>24.89</v>
      </c>
      <c r="M41" s="100">
        <v>58.29</v>
      </c>
      <c r="N41" s="100">
        <v>82.5</v>
      </c>
      <c r="O41" s="100">
        <v>0</v>
      </c>
      <c r="P41" s="100">
        <v>1.02</v>
      </c>
      <c r="Q41" s="100">
        <v>28.27</v>
      </c>
      <c r="R41" s="6"/>
      <c r="S41" s="6"/>
      <c r="T41" s="156"/>
      <c r="U41" s="6"/>
    </row>
    <row r="42" spans="1:21" customFormat="1">
      <c r="A42" s="163" t="s">
        <v>368</v>
      </c>
      <c r="B42" s="100">
        <v>9.82</v>
      </c>
      <c r="C42" s="100">
        <v>22.78</v>
      </c>
      <c r="D42" s="100">
        <v>21.12</v>
      </c>
      <c r="E42" s="100">
        <v>10.9</v>
      </c>
      <c r="F42" s="151" t="s">
        <v>8</v>
      </c>
      <c r="G42" s="100">
        <v>63.78</v>
      </c>
      <c r="H42" s="100">
        <v>21.85</v>
      </c>
      <c r="I42" s="100">
        <v>13.45</v>
      </c>
      <c r="J42" s="100">
        <v>0.52</v>
      </c>
      <c r="K42" s="100">
        <v>262.29000000000002</v>
      </c>
      <c r="L42" s="100">
        <v>25.89</v>
      </c>
      <c r="M42" s="100">
        <v>55.01</v>
      </c>
      <c r="N42" s="100">
        <v>136.69999999999999</v>
      </c>
      <c r="O42" s="100">
        <v>0</v>
      </c>
      <c r="P42" s="100">
        <v>1.02</v>
      </c>
      <c r="Q42" s="100">
        <v>28.25</v>
      </c>
      <c r="R42" s="6"/>
      <c r="S42" s="6"/>
      <c r="T42" s="156"/>
      <c r="U42" s="6"/>
    </row>
    <row r="43" spans="1:21" customFormat="1">
      <c r="A43" s="163" t="s">
        <v>369</v>
      </c>
      <c r="B43" s="100">
        <v>8.9</v>
      </c>
      <c r="C43" s="100">
        <v>23.43</v>
      </c>
      <c r="D43" s="100">
        <v>20.73</v>
      </c>
      <c r="E43" s="100">
        <v>11.17</v>
      </c>
      <c r="F43" s="151" t="s">
        <v>8</v>
      </c>
      <c r="G43" s="100">
        <v>68.400000000000006</v>
      </c>
      <c r="H43" s="100">
        <v>27.06</v>
      </c>
      <c r="I43" s="100">
        <v>13.7</v>
      </c>
      <c r="J43" s="100">
        <v>0.48</v>
      </c>
      <c r="K43" s="100">
        <v>263.89</v>
      </c>
      <c r="L43" s="100">
        <v>27.06</v>
      </c>
      <c r="M43" s="100">
        <v>51.44</v>
      </c>
      <c r="N43" s="100">
        <v>167.6</v>
      </c>
      <c r="O43" s="100">
        <v>0</v>
      </c>
      <c r="P43" s="100">
        <v>1.01</v>
      </c>
      <c r="Q43" s="100">
        <v>28.16</v>
      </c>
      <c r="R43" s="6"/>
      <c r="S43" s="6"/>
      <c r="T43" s="156"/>
      <c r="U43" s="6"/>
    </row>
    <row r="44" spans="1:21" customFormat="1">
      <c r="A44" s="163" t="s">
        <v>370</v>
      </c>
      <c r="B44" s="100">
        <v>7.82</v>
      </c>
      <c r="C44" s="100">
        <v>24.01</v>
      </c>
      <c r="D44" s="100">
        <v>20.16</v>
      </c>
      <c r="E44" s="100">
        <v>11.64</v>
      </c>
      <c r="F44" s="151" t="s">
        <v>8</v>
      </c>
      <c r="G44" s="100">
        <v>68.98</v>
      </c>
      <c r="H44" s="100">
        <v>27.06</v>
      </c>
      <c r="I44" s="100">
        <v>13.77</v>
      </c>
      <c r="J44" s="100">
        <v>0.6</v>
      </c>
      <c r="K44" s="100">
        <v>256.08999999999997</v>
      </c>
      <c r="L44" s="100">
        <v>27.89</v>
      </c>
      <c r="M44" s="100">
        <v>47.05</v>
      </c>
      <c r="N44" s="100">
        <v>184</v>
      </c>
      <c r="O44" s="100">
        <v>0</v>
      </c>
      <c r="P44" s="100">
        <v>1.01</v>
      </c>
      <c r="Q44" s="100">
        <v>28.15</v>
      </c>
      <c r="R44" s="6"/>
      <c r="S44" s="6"/>
      <c r="T44" s="156"/>
      <c r="U44" s="6"/>
    </row>
    <row r="45" spans="1:21" customFormat="1">
      <c r="A45" s="163" t="s">
        <v>371</v>
      </c>
      <c r="B45" s="100">
        <v>6.67</v>
      </c>
      <c r="C45" s="100">
        <v>24.39</v>
      </c>
      <c r="D45" s="100">
        <v>19.440000000000001</v>
      </c>
      <c r="E45" s="100">
        <v>11.26</v>
      </c>
      <c r="F45" s="151" t="s">
        <v>8</v>
      </c>
      <c r="G45" s="100">
        <v>68.98</v>
      </c>
      <c r="H45" s="100">
        <v>27.06</v>
      </c>
      <c r="I45" s="100">
        <v>13.69</v>
      </c>
      <c r="J45" s="100">
        <v>0.44</v>
      </c>
      <c r="K45" s="100">
        <v>260.61</v>
      </c>
      <c r="L45" s="100">
        <v>28.84</v>
      </c>
      <c r="M45" s="100">
        <v>44.7</v>
      </c>
      <c r="N45" s="100">
        <v>170.2</v>
      </c>
      <c r="O45" s="100">
        <v>0</v>
      </c>
      <c r="P45" s="100">
        <v>0.99</v>
      </c>
      <c r="Q45" s="100">
        <v>28.12</v>
      </c>
      <c r="R45" s="6"/>
      <c r="S45" s="6"/>
      <c r="T45" s="156"/>
      <c r="U45" s="6"/>
    </row>
    <row r="46" spans="1:21" customFormat="1">
      <c r="A46" s="163" t="s">
        <v>372</v>
      </c>
      <c r="B46" s="100">
        <v>5.7</v>
      </c>
      <c r="C46" s="100">
        <v>24.49</v>
      </c>
      <c r="D46" s="100">
        <v>18.72</v>
      </c>
      <c r="E46" s="100">
        <v>11.43</v>
      </c>
      <c r="F46" s="151" t="s">
        <v>8</v>
      </c>
      <c r="G46" s="100">
        <v>68.98</v>
      </c>
      <c r="H46" s="100">
        <v>27.06</v>
      </c>
      <c r="I46" s="100">
        <v>13.55</v>
      </c>
      <c r="J46" s="100">
        <v>0.52</v>
      </c>
      <c r="K46" s="100">
        <v>257.86</v>
      </c>
      <c r="L46" s="100">
        <v>29.49</v>
      </c>
      <c r="M46" s="100">
        <v>43.06</v>
      </c>
      <c r="N46" s="100">
        <v>223.8</v>
      </c>
      <c r="O46" s="100">
        <v>0</v>
      </c>
      <c r="P46" s="100">
        <v>0.97</v>
      </c>
      <c r="Q46" s="100">
        <v>28.07</v>
      </c>
      <c r="R46" s="6"/>
      <c r="S46" s="6"/>
      <c r="T46" s="156"/>
      <c r="U46" s="6"/>
    </row>
    <row r="47" spans="1:21" customFormat="1">
      <c r="A47" s="163" t="s">
        <v>373</v>
      </c>
      <c r="B47" s="100">
        <v>4.96</v>
      </c>
      <c r="C47" s="100">
        <v>24.57</v>
      </c>
      <c r="D47" s="100">
        <v>18.16</v>
      </c>
      <c r="E47" s="100">
        <v>11.93</v>
      </c>
      <c r="F47" s="151" t="s">
        <v>8</v>
      </c>
      <c r="G47" s="100">
        <v>70.03</v>
      </c>
      <c r="H47" s="100">
        <v>28.17</v>
      </c>
      <c r="I47" s="100">
        <v>13.34</v>
      </c>
      <c r="J47" s="100">
        <v>0.54</v>
      </c>
      <c r="K47" s="100">
        <v>252.5</v>
      </c>
      <c r="L47" s="100">
        <v>30.17</v>
      </c>
      <c r="M47" s="100">
        <v>41.77</v>
      </c>
      <c r="N47" s="100">
        <v>231.7</v>
      </c>
      <c r="O47" s="100">
        <v>0</v>
      </c>
      <c r="P47" s="100">
        <v>0.98</v>
      </c>
      <c r="Q47" s="100">
        <v>28.05</v>
      </c>
      <c r="R47" s="6"/>
      <c r="S47" s="6"/>
      <c r="T47" s="156"/>
      <c r="U47" s="6"/>
    </row>
    <row r="48" spans="1:21" customFormat="1">
      <c r="A48" s="163" t="s">
        <v>374</v>
      </c>
      <c r="B48" s="100">
        <v>4.49</v>
      </c>
      <c r="C48" s="100">
        <v>24.4</v>
      </c>
      <c r="D48" s="100">
        <v>17.7</v>
      </c>
      <c r="E48" s="100">
        <v>11.85</v>
      </c>
      <c r="F48" s="151" t="s">
        <v>8</v>
      </c>
      <c r="G48" s="100">
        <v>70.17</v>
      </c>
      <c r="H48" s="100">
        <v>28.17</v>
      </c>
      <c r="I48" s="100">
        <v>13.34</v>
      </c>
      <c r="J48" s="100">
        <v>0.53</v>
      </c>
      <c r="K48" s="100">
        <v>257.83</v>
      </c>
      <c r="L48" s="100">
        <v>30.7</v>
      </c>
      <c r="M48" s="100">
        <v>40.76</v>
      </c>
      <c r="N48" s="100">
        <v>249.6</v>
      </c>
      <c r="O48" s="100">
        <v>0</v>
      </c>
      <c r="P48" s="100">
        <v>0.97</v>
      </c>
      <c r="Q48" s="100">
        <v>28.03</v>
      </c>
      <c r="R48" s="6"/>
      <c r="S48" s="6"/>
      <c r="T48" s="156"/>
      <c r="U48" s="6"/>
    </row>
    <row r="49" spans="1:21" customFormat="1">
      <c r="A49" s="163" t="s">
        <v>375</v>
      </c>
      <c r="B49" s="100">
        <v>4.16</v>
      </c>
      <c r="C49" s="100">
        <v>24.18</v>
      </c>
      <c r="D49" s="100">
        <v>17.32</v>
      </c>
      <c r="E49" s="100">
        <v>8.75</v>
      </c>
      <c r="F49" s="151" t="s">
        <v>8</v>
      </c>
      <c r="G49" s="100">
        <v>70.17</v>
      </c>
      <c r="H49" s="100">
        <v>28.17</v>
      </c>
      <c r="I49" s="100">
        <v>13.55</v>
      </c>
      <c r="J49" s="100">
        <v>0.71</v>
      </c>
      <c r="K49" s="100">
        <v>262.32</v>
      </c>
      <c r="L49" s="100">
        <v>31.29</v>
      </c>
      <c r="M49" s="100">
        <v>39.18</v>
      </c>
      <c r="N49" s="100">
        <v>223.7</v>
      </c>
      <c r="O49" s="100">
        <v>0</v>
      </c>
      <c r="P49" s="100">
        <v>0.96</v>
      </c>
      <c r="Q49" s="100">
        <v>28.02</v>
      </c>
      <c r="R49" s="6"/>
      <c r="S49" s="6"/>
      <c r="T49" s="156"/>
      <c r="U49" s="6"/>
    </row>
    <row r="50" spans="1:21" customFormat="1">
      <c r="A50" s="163" t="s">
        <v>376</v>
      </c>
      <c r="B50" s="100">
        <v>3.97</v>
      </c>
      <c r="C50" s="100">
        <v>23.85</v>
      </c>
      <c r="D50" s="100">
        <v>16.989999999999998</v>
      </c>
      <c r="E50" s="100">
        <v>10.9</v>
      </c>
      <c r="F50" s="151" t="s">
        <v>8</v>
      </c>
      <c r="G50" s="100">
        <v>70.17</v>
      </c>
      <c r="H50" s="100">
        <v>28.17</v>
      </c>
      <c r="I50" s="100">
        <v>13.59</v>
      </c>
      <c r="J50" s="100">
        <v>0.72</v>
      </c>
      <c r="K50" s="100">
        <v>259.02</v>
      </c>
      <c r="L50" s="100">
        <v>31.75</v>
      </c>
      <c r="M50" s="100">
        <v>38.43</v>
      </c>
      <c r="N50" s="100">
        <v>230.3</v>
      </c>
      <c r="O50" s="100">
        <v>0</v>
      </c>
      <c r="P50" s="100">
        <v>0.96</v>
      </c>
      <c r="Q50" s="100">
        <v>28.01</v>
      </c>
      <c r="R50" s="6"/>
      <c r="S50" s="6"/>
      <c r="T50" s="156"/>
      <c r="U50" s="6"/>
    </row>
    <row r="51" spans="1:21" customFormat="1">
      <c r="A51" s="163" t="s">
        <v>377</v>
      </c>
      <c r="B51" s="100">
        <v>3.93</v>
      </c>
      <c r="C51" s="100">
        <v>23.21</v>
      </c>
      <c r="D51" s="100">
        <v>16.63</v>
      </c>
      <c r="E51" s="100">
        <v>17.72</v>
      </c>
      <c r="F51" s="151" t="s">
        <v>8</v>
      </c>
      <c r="G51" s="100">
        <v>68.67</v>
      </c>
      <c r="H51" s="100">
        <v>29.76</v>
      </c>
      <c r="I51" s="100">
        <v>13.58</v>
      </c>
      <c r="J51" s="100">
        <v>0.71</v>
      </c>
      <c r="K51" s="100">
        <v>256.3</v>
      </c>
      <c r="L51" s="100">
        <v>32.07</v>
      </c>
      <c r="M51" s="100">
        <v>38.659999999999997</v>
      </c>
      <c r="N51" s="100">
        <v>288</v>
      </c>
      <c r="O51" s="100">
        <v>0</v>
      </c>
      <c r="P51" s="100">
        <v>0.99</v>
      </c>
      <c r="Q51" s="100">
        <v>28.01</v>
      </c>
      <c r="R51" s="6"/>
      <c r="S51" s="6"/>
      <c r="T51" s="156"/>
      <c r="U51" s="6"/>
    </row>
    <row r="52" spans="1:21" customFormat="1">
      <c r="A52" s="163" t="s">
        <v>378</v>
      </c>
      <c r="B52" s="100">
        <v>3.97</v>
      </c>
      <c r="C52" s="100">
        <v>21.68</v>
      </c>
      <c r="D52" s="100">
        <v>15.86</v>
      </c>
      <c r="E52" s="100">
        <v>14.56</v>
      </c>
      <c r="F52" s="151" t="s">
        <v>8</v>
      </c>
      <c r="G52" s="100">
        <v>68.48</v>
      </c>
      <c r="H52" s="100">
        <v>29.76</v>
      </c>
      <c r="I52" s="100">
        <v>13.6</v>
      </c>
      <c r="J52" s="100">
        <v>0.84</v>
      </c>
      <c r="K52" s="100">
        <v>270.43</v>
      </c>
      <c r="L52" s="100">
        <v>32.479999999999997</v>
      </c>
      <c r="M52" s="100">
        <v>37.58</v>
      </c>
      <c r="N52" s="100">
        <v>296.7</v>
      </c>
      <c r="O52" s="100">
        <v>0</v>
      </c>
      <c r="P52" s="100">
        <v>0.99</v>
      </c>
      <c r="Q52" s="100">
        <v>28</v>
      </c>
      <c r="R52" s="6"/>
      <c r="S52" s="6"/>
      <c r="T52" s="156"/>
      <c r="U52" s="6"/>
    </row>
    <row r="53" spans="1:21" customFormat="1">
      <c r="A53" s="163" t="s">
        <v>379</v>
      </c>
      <c r="B53" s="100">
        <v>3.99</v>
      </c>
      <c r="C53" s="100">
        <v>20.52</v>
      </c>
      <c r="D53" s="100">
        <v>15.27</v>
      </c>
      <c r="E53" s="100">
        <v>13.27</v>
      </c>
      <c r="F53" s="151" t="s">
        <v>8</v>
      </c>
      <c r="G53" s="100">
        <v>68.48</v>
      </c>
      <c r="H53" s="100">
        <v>29.76</v>
      </c>
      <c r="I53" s="100">
        <v>13.39</v>
      </c>
      <c r="J53" s="100">
        <v>0.75</v>
      </c>
      <c r="K53" s="100">
        <v>248.31</v>
      </c>
      <c r="L53" s="100">
        <v>32.799999999999997</v>
      </c>
      <c r="M53" s="100">
        <v>37.380000000000003</v>
      </c>
      <c r="N53" s="100">
        <v>304.5</v>
      </c>
      <c r="O53" s="100">
        <v>0</v>
      </c>
      <c r="P53" s="100">
        <v>0.97</v>
      </c>
      <c r="Q53" s="100">
        <v>28.01</v>
      </c>
      <c r="R53" s="6"/>
      <c r="S53" s="6"/>
      <c r="T53" s="156"/>
      <c r="U53" s="6"/>
    </row>
    <row r="54" spans="1:21" customFormat="1">
      <c r="A54" s="163" t="s">
        <v>380</v>
      </c>
      <c r="B54" s="100">
        <v>3.99</v>
      </c>
      <c r="C54" s="100">
        <v>19.71</v>
      </c>
      <c r="D54" s="100">
        <v>14.85</v>
      </c>
      <c r="E54" s="100">
        <v>12.03</v>
      </c>
      <c r="F54" s="151" t="s">
        <v>8</v>
      </c>
      <c r="G54" s="100">
        <v>68.48</v>
      </c>
      <c r="H54" s="100">
        <v>29.76</v>
      </c>
      <c r="I54" s="100">
        <v>12.77</v>
      </c>
      <c r="J54" s="100">
        <v>1.1000000000000001</v>
      </c>
      <c r="K54" s="100">
        <v>280.89</v>
      </c>
      <c r="L54" s="100">
        <v>33.35</v>
      </c>
      <c r="M54" s="100">
        <v>34.65</v>
      </c>
      <c r="N54" s="100">
        <v>287.60000000000002</v>
      </c>
      <c r="O54" s="100">
        <v>0</v>
      </c>
      <c r="P54" s="100">
        <v>0.95</v>
      </c>
      <c r="Q54" s="100">
        <v>28</v>
      </c>
      <c r="R54" s="6"/>
      <c r="S54" s="6"/>
      <c r="T54" s="156"/>
      <c r="U54" s="6"/>
    </row>
    <row r="55" spans="1:21" customFormat="1">
      <c r="A55" s="163" t="s">
        <v>381</v>
      </c>
      <c r="B55" s="100">
        <v>3.98</v>
      </c>
      <c r="C55" s="100">
        <v>19.18</v>
      </c>
      <c r="D55" s="100">
        <v>14.57</v>
      </c>
      <c r="E55" s="100">
        <v>12.95</v>
      </c>
      <c r="F55" s="151" t="s">
        <v>8</v>
      </c>
      <c r="G55" s="100">
        <v>66.52</v>
      </c>
      <c r="H55" s="100">
        <v>28.74</v>
      </c>
      <c r="I55" s="100">
        <v>12.26</v>
      </c>
      <c r="J55" s="100">
        <v>1.1000000000000001</v>
      </c>
      <c r="K55" s="100">
        <v>281</v>
      </c>
      <c r="L55" s="100">
        <v>33.78</v>
      </c>
      <c r="M55" s="100">
        <v>32.909999999999997</v>
      </c>
      <c r="N55" s="100">
        <v>277.5</v>
      </c>
      <c r="O55" s="100">
        <v>0</v>
      </c>
      <c r="P55" s="100">
        <v>0.93</v>
      </c>
      <c r="Q55" s="100">
        <v>28.01</v>
      </c>
      <c r="R55" s="6"/>
      <c r="S55" s="6"/>
      <c r="T55" s="156"/>
      <c r="U55" s="6"/>
    </row>
    <row r="56" spans="1:21" customFormat="1">
      <c r="A56" s="163" t="s">
        <v>382</v>
      </c>
      <c r="B56" s="100">
        <v>3.96</v>
      </c>
      <c r="C56" s="100">
        <v>18.79</v>
      </c>
      <c r="D56" s="100">
        <v>14.34</v>
      </c>
      <c r="E56" s="100">
        <v>11.49</v>
      </c>
      <c r="F56" s="151" t="s">
        <v>8</v>
      </c>
      <c r="G56" s="100">
        <v>66.28</v>
      </c>
      <c r="H56" s="100">
        <v>28.74</v>
      </c>
      <c r="I56" s="100">
        <v>11.82</v>
      </c>
      <c r="J56" s="100">
        <v>0.88</v>
      </c>
      <c r="K56" s="100">
        <v>261.94</v>
      </c>
      <c r="L56" s="100">
        <v>34.33</v>
      </c>
      <c r="M56" s="100">
        <v>32.17</v>
      </c>
      <c r="N56" s="100">
        <v>294.5</v>
      </c>
      <c r="O56" s="100">
        <v>0</v>
      </c>
      <c r="P56" s="100">
        <v>0.91</v>
      </c>
      <c r="Q56" s="100">
        <v>27.99</v>
      </c>
      <c r="R56" s="6"/>
      <c r="S56" s="6"/>
      <c r="T56" s="156"/>
      <c r="U56" s="6"/>
    </row>
    <row r="57" spans="1:21" customFormat="1">
      <c r="A57" s="163" t="s">
        <v>383</v>
      </c>
      <c r="B57" s="100">
        <v>3.92</v>
      </c>
      <c r="C57" s="100">
        <v>18.350000000000001</v>
      </c>
      <c r="D57" s="100">
        <v>14.09</v>
      </c>
      <c r="E57" s="100">
        <v>12.13</v>
      </c>
      <c r="F57" s="151" t="s">
        <v>8</v>
      </c>
      <c r="G57" s="100">
        <v>66.28</v>
      </c>
      <c r="H57" s="100">
        <v>28.74</v>
      </c>
      <c r="I57" s="100">
        <v>11.42</v>
      </c>
      <c r="J57" s="100">
        <v>0.83</v>
      </c>
      <c r="K57" s="100">
        <v>261.26</v>
      </c>
      <c r="L57" s="100">
        <v>34.35</v>
      </c>
      <c r="M57" s="100">
        <v>31.92</v>
      </c>
      <c r="N57" s="100">
        <v>307.3</v>
      </c>
      <c r="O57" s="100">
        <v>0</v>
      </c>
      <c r="P57" s="100">
        <v>0.89</v>
      </c>
      <c r="Q57" s="100">
        <v>28</v>
      </c>
      <c r="R57" s="6"/>
      <c r="S57" s="6"/>
      <c r="T57" s="156"/>
      <c r="U57" s="6"/>
    </row>
    <row r="58" spans="1:21" customFormat="1">
      <c r="A58" s="163" t="s">
        <v>384</v>
      </c>
      <c r="B58" s="100">
        <v>3.87</v>
      </c>
      <c r="C58" s="100">
        <v>18.059999999999999</v>
      </c>
      <c r="D58" s="100">
        <v>13.89</v>
      </c>
      <c r="E58" s="100">
        <v>15.21</v>
      </c>
      <c r="F58" s="151" t="s">
        <v>8</v>
      </c>
      <c r="G58" s="100">
        <v>66.28</v>
      </c>
      <c r="H58" s="100">
        <v>28.74</v>
      </c>
      <c r="I58" s="100">
        <v>11.17</v>
      </c>
      <c r="J58" s="100">
        <v>0.85</v>
      </c>
      <c r="K58" s="100">
        <v>265.49</v>
      </c>
      <c r="L58" s="100">
        <v>34.75</v>
      </c>
      <c r="M58" s="100">
        <v>31.78</v>
      </c>
      <c r="N58" s="100">
        <v>280.5</v>
      </c>
      <c r="O58" s="100">
        <v>0</v>
      </c>
      <c r="P58" s="100">
        <v>0.85</v>
      </c>
      <c r="Q58" s="100">
        <v>28</v>
      </c>
      <c r="R58" s="6"/>
      <c r="S58" s="6"/>
      <c r="T58" s="156"/>
      <c r="U58" s="6"/>
    </row>
    <row r="59" spans="1:21" customFormat="1">
      <c r="A59" s="163" t="s">
        <v>385</v>
      </c>
      <c r="B59" s="100">
        <v>3.87</v>
      </c>
      <c r="C59" s="100">
        <v>17.88</v>
      </c>
      <c r="D59" s="100">
        <v>13.79</v>
      </c>
      <c r="E59" s="100">
        <v>19.14</v>
      </c>
      <c r="F59" s="151" t="s">
        <v>8</v>
      </c>
      <c r="G59" s="100">
        <v>60.62</v>
      </c>
      <c r="H59" s="100">
        <v>29.51</v>
      </c>
      <c r="I59" s="100">
        <v>10.67</v>
      </c>
      <c r="J59" s="100">
        <v>1.01</v>
      </c>
      <c r="K59" s="100">
        <v>288.33</v>
      </c>
      <c r="L59" s="100">
        <v>34.76</v>
      </c>
      <c r="M59" s="100">
        <v>30.32</v>
      </c>
      <c r="N59" s="100">
        <v>259.2</v>
      </c>
      <c r="O59" s="100">
        <v>0</v>
      </c>
      <c r="P59" s="100">
        <v>0.84</v>
      </c>
      <c r="Q59" s="100">
        <v>28</v>
      </c>
      <c r="R59" s="6"/>
      <c r="S59" s="6"/>
      <c r="T59" s="156"/>
      <c r="U59" s="6"/>
    </row>
    <row r="60" spans="1:21" customFormat="1">
      <c r="A60" s="163" t="s">
        <v>386</v>
      </c>
      <c r="B60" s="100">
        <v>3.9</v>
      </c>
      <c r="C60" s="100">
        <v>17.739999999999998</v>
      </c>
      <c r="D60" s="100">
        <v>13.75</v>
      </c>
      <c r="E60" s="100">
        <v>21.19</v>
      </c>
      <c r="F60" s="151" t="s">
        <v>8</v>
      </c>
      <c r="G60" s="100">
        <v>59.92</v>
      </c>
      <c r="H60" s="100">
        <v>29.51</v>
      </c>
      <c r="I60" s="100">
        <v>10.26</v>
      </c>
      <c r="J60" s="100">
        <v>0.8</v>
      </c>
      <c r="K60" s="100">
        <v>265.20999999999998</v>
      </c>
      <c r="L60" s="100">
        <v>34.700000000000003</v>
      </c>
      <c r="M60" s="100">
        <v>30.69</v>
      </c>
      <c r="N60" s="100">
        <v>244</v>
      </c>
      <c r="O60" s="100">
        <v>0</v>
      </c>
      <c r="P60" s="100">
        <v>0.82</v>
      </c>
      <c r="Q60" s="100">
        <v>28</v>
      </c>
      <c r="R60" s="6"/>
      <c r="S60" s="6"/>
      <c r="T60" s="156"/>
      <c r="U60" s="6"/>
    </row>
    <row r="61" spans="1:21" customFormat="1">
      <c r="A61" s="163" t="s">
        <v>387</v>
      </c>
      <c r="B61" s="100">
        <v>3.9</v>
      </c>
      <c r="C61" s="100">
        <v>17.63</v>
      </c>
      <c r="D61" s="100">
        <v>13.69</v>
      </c>
      <c r="E61" s="100">
        <v>18.670000000000002</v>
      </c>
      <c r="F61" s="151" t="s">
        <v>8</v>
      </c>
      <c r="G61" s="100">
        <v>59.92</v>
      </c>
      <c r="H61" s="100">
        <v>29.51</v>
      </c>
      <c r="I61" s="100">
        <v>9.93</v>
      </c>
      <c r="J61" s="100">
        <v>0.94</v>
      </c>
      <c r="K61" s="100">
        <v>276.07</v>
      </c>
      <c r="L61" s="100">
        <v>34.97</v>
      </c>
      <c r="M61" s="100">
        <v>28.85</v>
      </c>
      <c r="N61" s="100">
        <v>258.7</v>
      </c>
      <c r="O61" s="100">
        <v>0</v>
      </c>
      <c r="P61" s="100">
        <v>0.82</v>
      </c>
      <c r="Q61" s="100">
        <v>28.01</v>
      </c>
      <c r="R61" s="6"/>
      <c r="S61" s="6"/>
      <c r="T61" s="156"/>
      <c r="U61" s="6"/>
    </row>
    <row r="62" spans="1:21" customFormat="1">
      <c r="A62" s="163" t="s">
        <v>388</v>
      </c>
      <c r="B62" s="100">
        <v>3.91</v>
      </c>
      <c r="C62" s="100">
        <v>17.64</v>
      </c>
      <c r="D62" s="100">
        <v>13.7</v>
      </c>
      <c r="E62" s="100">
        <v>20.96</v>
      </c>
      <c r="F62" s="151" t="s">
        <v>8</v>
      </c>
      <c r="G62" s="100">
        <v>59.92</v>
      </c>
      <c r="H62" s="100">
        <v>29.51</v>
      </c>
      <c r="I62" s="100">
        <v>9.6999999999999993</v>
      </c>
      <c r="J62" s="100">
        <v>0.94</v>
      </c>
      <c r="K62" s="100">
        <v>283.27999999999997</v>
      </c>
      <c r="L62" s="100">
        <v>34.99</v>
      </c>
      <c r="M62" s="100">
        <v>28.27</v>
      </c>
      <c r="N62" s="100">
        <v>269.10000000000002</v>
      </c>
      <c r="O62" s="100">
        <v>0</v>
      </c>
      <c r="P62" s="100">
        <v>0.78</v>
      </c>
      <c r="Q62" s="100">
        <v>27.99</v>
      </c>
      <c r="R62" s="6"/>
      <c r="S62" s="6"/>
      <c r="T62" s="156"/>
      <c r="U62" s="6"/>
    </row>
    <row r="63" spans="1:21" customFormat="1">
      <c r="A63" s="163" t="s">
        <v>389</v>
      </c>
      <c r="B63" s="100">
        <v>3.87</v>
      </c>
      <c r="C63" s="100">
        <v>17.57</v>
      </c>
      <c r="D63" s="100">
        <v>13.63</v>
      </c>
      <c r="E63" s="100">
        <v>20.37</v>
      </c>
      <c r="F63" s="151" t="s">
        <v>8</v>
      </c>
      <c r="G63" s="100">
        <v>59.08</v>
      </c>
      <c r="H63" s="100">
        <v>28.2</v>
      </c>
      <c r="I63" s="100">
        <v>9.4</v>
      </c>
      <c r="J63" s="100">
        <v>0.91</v>
      </c>
      <c r="K63" s="100">
        <v>270.89</v>
      </c>
      <c r="L63" s="100">
        <v>35.380000000000003</v>
      </c>
      <c r="M63" s="100">
        <v>28.06</v>
      </c>
      <c r="N63" s="100">
        <v>279.10000000000002</v>
      </c>
      <c r="O63" s="100">
        <v>0</v>
      </c>
      <c r="P63" s="100">
        <v>0.77</v>
      </c>
      <c r="Q63" s="100">
        <v>28.01</v>
      </c>
      <c r="R63" s="6"/>
      <c r="S63" s="6"/>
      <c r="T63" s="156"/>
      <c r="U63" s="6"/>
    </row>
    <row r="64" spans="1:21" customFormat="1">
      <c r="A64" s="163" t="s">
        <v>390</v>
      </c>
      <c r="B64" s="100">
        <v>3.81</v>
      </c>
      <c r="C64" s="100">
        <v>17.39</v>
      </c>
      <c r="D64" s="100">
        <v>13.5</v>
      </c>
      <c r="E64" s="100">
        <v>18.03</v>
      </c>
      <c r="F64" s="151" t="s">
        <v>8</v>
      </c>
      <c r="G64" s="100">
        <v>58.97</v>
      </c>
      <c r="H64" s="100">
        <v>28.2</v>
      </c>
      <c r="I64" s="100">
        <v>8.76</v>
      </c>
      <c r="J64" s="100">
        <v>0.96</v>
      </c>
      <c r="K64" s="100">
        <v>267.8</v>
      </c>
      <c r="L64" s="100">
        <v>35.49</v>
      </c>
      <c r="M64" s="100">
        <v>27.37</v>
      </c>
      <c r="N64" s="100">
        <v>268.5</v>
      </c>
      <c r="O64" s="100">
        <v>0</v>
      </c>
      <c r="P64" s="100">
        <v>0.77</v>
      </c>
      <c r="Q64" s="100">
        <v>27.99</v>
      </c>
      <c r="R64" s="6"/>
      <c r="S64" s="6"/>
      <c r="T64" s="156"/>
      <c r="U64" s="6"/>
    </row>
    <row r="65" spans="1:21" customFormat="1">
      <c r="A65" s="163" t="s">
        <v>391</v>
      </c>
      <c r="B65" s="100">
        <v>3.79</v>
      </c>
      <c r="C65" s="100">
        <v>17.28</v>
      </c>
      <c r="D65" s="100">
        <v>13.42</v>
      </c>
      <c r="E65" s="100">
        <v>15.29</v>
      </c>
      <c r="F65" s="151" t="s">
        <v>8</v>
      </c>
      <c r="G65" s="100">
        <v>58.97</v>
      </c>
      <c r="H65" s="100">
        <v>28.2</v>
      </c>
      <c r="I65" s="100">
        <v>8.4499999999999993</v>
      </c>
      <c r="J65" s="100">
        <v>1.05</v>
      </c>
      <c r="K65" s="100">
        <v>282.38</v>
      </c>
      <c r="L65" s="100">
        <v>35.450000000000003</v>
      </c>
      <c r="M65" s="100">
        <v>27.1</v>
      </c>
      <c r="N65" s="100">
        <v>287.2</v>
      </c>
      <c r="O65" s="100">
        <v>0</v>
      </c>
      <c r="P65" s="100">
        <v>0.62</v>
      </c>
      <c r="Q65" s="100">
        <v>28</v>
      </c>
      <c r="R65" s="6"/>
      <c r="S65" s="6"/>
      <c r="T65" s="156"/>
      <c r="U65" s="6"/>
    </row>
    <row r="66" spans="1:21" customFormat="1">
      <c r="A66" s="163" t="s">
        <v>392</v>
      </c>
      <c r="B66" s="100">
        <v>3.79</v>
      </c>
      <c r="C66" s="100">
        <v>17.13</v>
      </c>
      <c r="D66" s="100">
        <v>13.34</v>
      </c>
      <c r="E66" s="100">
        <v>15.35</v>
      </c>
      <c r="F66" s="151" t="s">
        <v>8</v>
      </c>
      <c r="G66" s="100">
        <v>58.97</v>
      </c>
      <c r="H66" s="100">
        <v>28.2</v>
      </c>
      <c r="I66" s="100">
        <v>8.73</v>
      </c>
      <c r="J66" s="100">
        <v>1.17</v>
      </c>
      <c r="K66" s="100">
        <v>285.13</v>
      </c>
      <c r="L66" s="100">
        <v>35.39</v>
      </c>
      <c r="M66" s="100">
        <v>26.06</v>
      </c>
      <c r="N66" s="100">
        <v>293.10000000000002</v>
      </c>
      <c r="O66" s="100">
        <v>0</v>
      </c>
      <c r="P66" s="100">
        <v>0.65</v>
      </c>
      <c r="Q66" s="100">
        <v>27.98</v>
      </c>
      <c r="R66" s="6"/>
      <c r="S66" s="6"/>
      <c r="T66" s="156"/>
      <c r="U66" s="6"/>
    </row>
    <row r="67" spans="1:21" customFormat="1">
      <c r="A67" s="163" t="s">
        <v>393</v>
      </c>
      <c r="B67" s="100">
        <v>3.77</v>
      </c>
      <c r="C67" s="100">
        <v>17.21</v>
      </c>
      <c r="D67" s="100">
        <v>13.36</v>
      </c>
      <c r="E67" s="100">
        <v>14.71</v>
      </c>
      <c r="F67" s="151" t="s">
        <v>8</v>
      </c>
      <c r="G67" s="100">
        <v>54.3</v>
      </c>
      <c r="H67" s="100">
        <v>36.92</v>
      </c>
      <c r="I67" s="100">
        <v>8.66</v>
      </c>
      <c r="J67" s="100">
        <v>1.1599999999999999</v>
      </c>
      <c r="K67" s="100">
        <v>268.37</v>
      </c>
      <c r="L67" s="100">
        <v>35.450000000000003</v>
      </c>
      <c r="M67" s="100">
        <v>25.47</v>
      </c>
      <c r="N67" s="100">
        <v>216.7</v>
      </c>
      <c r="O67" s="100">
        <v>0</v>
      </c>
      <c r="P67" s="100">
        <v>0.63</v>
      </c>
      <c r="Q67" s="100">
        <v>27.99</v>
      </c>
      <c r="R67" s="6"/>
      <c r="S67" s="6"/>
      <c r="T67" s="156"/>
      <c r="U67" s="6"/>
    </row>
    <row r="68" spans="1:21" customFormat="1">
      <c r="A68" s="163" t="s">
        <v>394</v>
      </c>
      <c r="B68" s="100">
        <v>3.78</v>
      </c>
      <c r="C68" s="100">
        <v>17.07</v>
      </c>
      <c r="D68" s="100">
        <v>13.3</v>
      </c>
      <c r="E68" s="100">
        <v>13.93</v>
      </c>
      <c r="F68" s="151" t="s">
        <v>8</v>
      </c>
      <c r="G68" s="100">
        <v>53.72</v>
      </c>
      <c r="H68" s="100">
        <v>36.92</v>
      </c>
      <c r="I68" s="100">
        <v>8.27</v>
      </c>
      <c r="J68" s="100">
        <v>1.05</v>
      </c>
      <c r="K68" s="100">
        <v>287.10000000000002</v>
      </c>
      <c r="L68" s="100">
        <v>35.340000000000003</v>
      </c>
      <c r="M68" s="100">
        <v>24.94</v>
      </c>
      <c r="N68" s="100">
        <v>138.4</v>
      </c>
      <c r="O68" s="100">
        <v>0</v>
      </c>
      <c r="P68" s="100">
        <v>0.61</v>
      </c>
      <c r="Q68" s="100">
        <v>28</v>
      </c>
      <c r="R68" s="6"/>
      <c r="S68" s="6"/>
      <c r="T68" s="156"/>
      <c r="U68" s="6"/>
    </row>
    <row r="69" spans="1:21" customFormat="1">
      <c r="A69" s="163" t="s">
        <v>395</v>
      </c>
      <c r="B69" s="100">
        <v>3.8</v>
      </c>
      <c r="C69" s="100">
        <v>17.079999999999998</v>
      </c>
      <c r="D69" s="100">
        <v>13.32</v>
      </c>
      <c r="E69" s="100">
        <v>12.14</v>
      </c>
      <c r="F69" s="151" t="s">
        <v>8</v>
      </c>
      <c r="G69" s="100">
        <v>53.72</v>
      </c>
      <c r="H69" s="100">
        <v>36.92</v>
      </c>
      <c r="I69" s="100">
        <v>8.0500000000000007</v>
      </c>
      <c r="J69" s="100">
        <v>0.95</v>
      </c>
      <c r="K69" s="100">
        <v>280.63</v>
      </c>
      <c r="L69" s="100">
        <v>35.200000000000003</v>
      </c>
      <c r="M69" s="100">
        <v>25.14</v>
      </c>
      <c r="N69" s="100">
        <v>83.9</v>
      </c>
      <c r="O69" s="100">
        <v>0</v>
      </c>
      <c r="P69" s="100">
        <v>0.6</v>
      </c>
      <c r="Q69" s="100">
        <v>28</v>
      </c>
      <c r="R69" s="6"/>
      <c r="S69" s="6"/>
      <c r="T69" s="156"/>
      <c r="U69" s="6"/>
    </row>
    <row r="70" spans="1:21" customFormat="1">
      <c r="A70" s="163" t="s">
        <v>396</v>
      </c>
      <c r="B70" s="100">
        <v>3.78</v>
      </c>
      <c r="C70" s="100">
        <v>16.989999999999998</v>
      </c>
      <c r="D70" s="100">
        <v>13.26</v>
      </c>
      <c r="E70" s="100">
        <v>10.97</v>
      </c>
      <c r="F70" s="151" t="s">
        <v>8</v>
      </c>
      <c r="G70" s="100">
        <v>53.72</v>
      </c>
      <c r="H70" s="100">
        <v>36.92</v>
      </c>
      <c r="I70" s="100">
        <v>7.72</v>
      </c>
      <c r="J70" s="100">
        <v>0.99</v>
      </c>
      <c r="K70" s="100">
        <v>262</v>
      </c>
      <c r="L70" s="100">
        <v>35.01</v>
      </c>
      <c r="M70" s="100">
        <v>24.74</v>
      </c>
      <c r="N70" s="100">
        <v>82.2</v>
      </c>
      <c r="O70" s="100">
        <v>0</v>
      </c>
      <c r="P70" s="100">
        <v>0.56999999999999995</v>
      </c>
      <c r="Q70" s="100">
        <v>27.97</v>
      </c>
      <c r="R70" s="6"/>
      <c r="S70" s="6"/>
      <c r="T70" s="156"/>
      <c r="U70" s="6"/>
    </row>
    <row r="71" spans="1:21" customFormat="1">
      <c r="A71" s="163" t="s">
        <v>397</v>
      </c>
      <c r="B71" s="100">
        <v>3.73</v>
      </c>
      <c r="C71" s="100">
        <v>17.260000000000002</v>
      </c>
      <c r="D71" s="100">
        <v>13.36</v>
      </c>
      <c r="E71" s="100">
        <v>12.1</v>
      </c>
      <c r="F71" s="151" t="s">
        <v>8</v>
      </c>
      <c r="G71" s="100">
        <v>52.06</v>
      </c>
      <c r="H71" s="100">
        <v>31.37</v>
      </c>
      <c r="I71" s="100">
        <v>7.69</v>
      </c>
      <c r="J71" s="100">
        <v>1.1000000000000001</v>
      </c>
      <c r="K71" s="100">
        <v>287.92</v>
      </c>
      <c r="L71" s="100">
        <v>35.04</v>
      </c>
      <c r="M71" s="100">
        <v>25.41</v>
      </c>
      <c r="N71" s="100">
        <v>75.599999999999994</v>
      </c>
      <c r="O71" s="100">
        <v>0</v>
      </c>
      <c r="P71" s="100">
        <v>0.51</v>
      </c>
      <c r="Q71" s="100">
        <v>27.96</v>
      </c>
      <c r="R71" s="6"/>
      <c r="S71" s="6"/>
      <c r="T71" s="156"/>
      <c r="U71" s="6"/>
    </row>
    <row r="72" spans="1:21" customFormat="1">
      <c r="A72" s="163" t="s">
        <v>398</v>
      </c>
      <c r="B72" s="100">
        <v>3.68</v>
      </c>
      <c r="C72" s="100">
        <v>17.8</v>
      </c>
      <c r="D72" s="100">
        <v>13.61</v>
      </c>
      <c r="E72" s="100">
        <v>12.41</v>
      </c>
      <c r="F72" s="151" t="s">
        <v>8</v>
      </c>
      <c r="G72" s="100">
        <v>51.85</v>
      </c>
      <c r="H72" s="100">
        <v>31.37</v>
      </c>
      <c r="I72" s="100">
        <v>7.72</v>
      </c>
      <c r="J72" s="100">
        <v>0.87</v>
      </c>
      <c r="K72" s="100">
        <v>258.91000000000003</v>
      </c>
      <c r="L72" s="100">
        <v>34.61</v>
      </c>
      <c r="M72" s="100">
        <v>25.79</v>
      </c>
      <c r="N72" s="100">
        <v>88.3</v>
      </c>
      <c r="O72" s="100">
        <v>0</v>
      </c>
      <c r="P72" s="100">
        <v>0.51</v>
      </c>
      <c r="Q72" s="100">
        <v>27.98</v>
      </c>
      <c r="R72" s="6"/>
      <c r="S72" s="6"/>
      <c r="T72" s="156"/>
      <c r="U72" s="6"/>
    </row>
    <row r="73" spans="1:21" customFormat="1">
      <c r="A73" s="163" t="s">
        <v>399</v>
      </c>
      <c r="B73" s="100">
        <v>3.68</v>
      </c>
      <c r="C73" s="100">
        <v>17.89</v>
      </c>
      <c r="D73" s="100">
        <v>13.65</v>
      </c>
      <c r="E73" s="100">
        <v>11.64</v>
      </c>
      <c r="F73" s="151" t="s">
        <v>8</v>
      </c>
      <c r="G73" s="100">
        <v>51.85</v>
      </c>
      <c r="H73" s="100">
        <v>31.37</v>
      </c>
      <c r="I73" s="100">
        <v>7.53</v>
      </c>
      <c r="J73" s="100">
        <v>0.91</v>
      </c>
      <c r="K73" s="100">
        <v>255.97</v>
      </c>
      <c r="L73" s="100">
        <v>34.56</v>
      </c>
      <c r="M73" s="100">
        <v>24.99</v>
      </c>
      <c r="N73" s="100">
        <v>79.900000000000006</v>
      </c>
      <c r="O73" s="100">
        <v>0</v>
      </c>
      <c r="P73" s="100">
        <v>0.5</v>
      </c>
      <c r="Q73" s="100">
        <v>27.99</v>
      </c>
      <c r="R73" s="6"/>
      <c r="S73" s="6"/>
      <c r="T73" s="156"/>
      <c r="U73" s="6"/>
    </row>
    <row r="74" spans="1:21" customFormat="1">
      <c r="A74" s="163" t="s">
        <v>400</v>
      </c>
      <c r="B74" s="100">
        <v>3.67</v>
      </c>
      <c r="C74" s="100">
        <v>17.850000000000001</v>
      </c>
      <c r="D74" s="100">
        <v>13.62</v>
      </c>
      <c r="E74" s="100">
        <v>13.59</v>
      </c>
      <c r="F74" s="151" t="s">
        <v>8</v>
      </c>
      <c r="G74" s="100">
        <v>51.85</v>
      </c>
      <c r="H74" s="100">
        <v>31.37</v>
      </c>
      <c r="I74" s="100">
        <v>7.48</v>
      </c>
      <c r="J74" s="100">
        <v>0.87</v>
      </c>
      <c r="K74" s="100">
        <v>257.66000000000003</v>
      </c>
      <c r="L74" s="100">
        <v>34.44</v>
      </c>
      <c r="M74" s="100">
        <v>27.16</v>
      </c>
      <c r="N74" s="100">
        <v>67.900000000000006</v>
      </c>
      <c r="O74" s="100">
        <v>0</v>
      </c>
      <c r="P74" s="100">
        <v>0.5</v>
      </c>
      <c r="Q74" s="100">
        <v>27.98</v>
      </c>
      <c r="R74" s="6"/>
      <c r="S74" s="6"/>
      <c r="T74" s="156"/>
      <c r="U74" s="6"/>
    </row>
    <row r="75" spans="1:21" customFormat="1">
      <c r="A75" s="163" t="s">
        <v>401</v>
      </c>
      <c r="B75" s="100">
        <v>3.67</v>
      </c>
      <c r="C75" s="100">
        <v>17.88</v>
      </c>
      <c r="D75" s="100">
        <v>13.64</v>
      </c>
      <c r="E75" s="100">
        <v>13.96</v>
      </c>
      <c r="F75" s="151" t="s">
        <v>8</v>
      </c>
      <c r="G75" s="100">
        <v>50.87</v>
      </c>
      <c r="H75" s="100">
        <v>27.88</v>
      </c>
      <c r="I75" s="100">
        <v>7.31</v>
      </c>
      <c r="J75" s="100">
        <v>0.79</v>
      </c>
      <c r="K75" s="100">
        <v>255.3</v>
      </c>
      <c r="L75" s="100">
        <v>34.28</v>
      </c>
      <c r="M75" s="100">
        <v>27.4</v>
      </c>
      <c r="N75" s="100">
        <v>43.9</v>
      </c>
      <c r="O75" s="100">
        <v>0</v>
      </c>
      <c r="P75" s="100">
        <v>0.48</v>
      </c>
      <c r="Q75" s="100">
        <v>27.97</v>
      </c>
      <c r="R75" s="6"/>
      <c r="S75" s="6"/>
      <c r="T75" s="156"/>
      <c r="U75" s="6"/>
    </row>
    <row r="76" spans="1:21" customFormat="1">
      <c r="A76" s="163" t="s">
        <v>402</v>
      </c>
      <c r="B76" s="100">
        <v>3.64</v>
      </c>
      <c r="C76" s="100">
        <v>18.04</v>
      </c>
      <c r="D76" s="100">
        <v>13.7</v>
      </c>
      <c r="E76" s="100">
        <v>14.58</v>
      </c>
      <c r="F76" s="151" t="s">
        <v>8</v>
      </c>
      <c r="G76" s="100">
        <v>50.75</v>
      </c>
      <c r="H76" s="100">
        <v>27.88</v>
      </c>
      <c r="I76" s="100">
        <v>7.13</v>
      </c>
      <c r="J76" s="100">
        <v>0.65</v>
      </c>
      <c r="K76" s="100">
        <v>257.31</v>
      </c>
      <c r="L76" s="100">
        <v>33.880000000000003</v>
      </c>
      <c r="M76" s="100">
        <v>28.53</v>
      </c>
      <c r="N76" s="100">
        <v>34.299999999999997</v>
      </c>
      <c r="O76" s="100">
        <v>0</v>
      </c>
      <c r="P76" s="100">
        <v>0.5</v>
      </c>
      <c r="Q76" s="100">
        <v>27.99</v>
      </c>
      <c r="R76" s="6"/>
      <c r="S76" s="6"/>
      <c r="T76" s="156"/>
      <c r="U76" s="6"/>
    </row>
    <row r="77" spans="1:21" customFormat="1">
      <c r="A77" s="163" t="s">
        <v>403</v>
      </c>
      <c r="B77" s="100">
        <v>3.64</v>
      </c>
      <c r="C77" s="100">
        <v>18.32</v>
      </c>
      <c r="D77" s="100">
        <v>13.85</v>
      </c>
      <c r="E77" s="100">
        <v>15.21</v>
      </c>
      <c r="F77" s="151" t="s">
        <v>8</v>
      </c>
      <c r="G77" s="100">
        <v>50.75</v>
      </c>
      <c r="H77" s="100">
        <v>27.88</v>
      </c>
      <c r="I77" s="100">
        <v>7.07</v>
      </c>
      <c r="J77" s="100">
        <v>0.86</v>
      </c>
      <c r="K77" s="100">
        <v>261.89999999999998</v>
      </c>
      <c r="L77" s="100">
        <v>33.36</v>
      </c>
      <c r="M77" s="100">
        <v>29.71</v>
      </c>
      <c r="N77" s="100">
        <v>25.7</v>
      </c>
      <c r="O77" s="100">
        <v>0</v>
      </c>
      <c r="P77" s="100">
        <v>0.5</v>
      </c>
      <c r="Q77" s="100">
        <v>27.99</v>
      </c>
      <c r="R77" s="6"/>
      <c r="S77" s="6"/>
      <c r="T77" s="156"/>
      <c r="U77" s="6"/>
    </row>
    <row r="78" spans="1:21" customFormat="1">
      <c r="A78" s="163" t="s">
        <v>404</v>
      </c>
      <c r="B78" s="100">
        <v>3.67</v>
      </c>
      <c r="C78" s="100">
        <v>18.53</v>
      </c>
      <c r="D78" s="100">
        <v>13.98</v>
      </c>
      <c r="E78" s="100">
        <v>15.63</v>
      </c>
      <c r="F78" s="151" t="s">
        <v>8</v>
      </c>
      <c r="G78" s="100">
        <v>50.75</v>
      </c>
      <c r="H78" s="100">
        <v>27.88</v>
      </c>
      <c r="I78" s="100">
        <v>7.21</v>
      </c>
      <c r="J78" s="100">
        <v>0.62</v>
      </c>
      <c r="K78" s="100">
        <v>262.63</v>
      </c>
      <c r="L78" s="100">
        <v>32.950000000000003</v>
      </c>
      <c r="M78" s="100">
        <v>30.9</v>
      </c>
      <c r="N78" s="100">
        <v>18.3</v>
      </c>
      <c r="O78" s="100">
        <v>0</v>
      </c>
      <c r="P78" s="100">
        <v>0.53</v>
      </c>
      <c r="Q78" s="100">
        <v>28</v>
      </c>
      <c r="R78" s="6"/>
      <c r="S78" s="6"/>
      <c r="T78" s="156"/>
      <c r="U78" s="6"/>
    </row>
    <row r="79" spans="1:21" customFormat="1">
      <c r="A79" s="163" t="s">
        <v>405</v>
      </c>
      <c r="B79" s="100">
        <v>3.71</v>
      </c>
      <c r="C79" s="100">
        <v>19.12</v>
      </c>
      <c r="D79" s="100">
        <v>14.31</v>
      </c>
      <c r="E79" s="100">
        <v>16.41</v>
      </c>
      <c r="F79" s="151" t="s">
        <v>8</v>
      </c>
      <c r="G79" s="100">
        <v>50.42</v>
      </c>
      <c r="H79" s="100">
        <v>28.42</v>
      </c>
      <c r="I79" s="100">
        <v>7.2</v>
      </c>
      <c r="J79" s="100">
        <v>0.59</v>
      </c>
      <c r="K79" s="100">
        <v>258.18</v>
      </c>
      <c r="L79" s="100">
        <v>32.72</v>
      </c>
      <c r="M79" s="100">
        <v>32.049999999999997</v>
      </c>
      <c r="N79" s="100">
        <v>11.5</v>
      </c>
      <c r="O79" s="100">
        <v>0</v>
      </c>
      <c r="P79" s="100">
        <v>0.55000000000000004</v>
      </c>
      <c r="Q79" s="100">
        <v>27.99</v>
      </c>
      <c r="R79" s="6"/>
      <c r="S79" s="6"/>
      <c r="T79" s="156"/>
      <c r="U79" s="6"/>
    </row>
    <row r="80" spans="1:21" customFormat="1">
      <c r="A80" s="163" t="s">
        <v>406</v>
      </c>
      <c r="B80" s="100">
        <v>3.72</v>
      </c>
      <c r="C80" s="100">
        <v>19.79</v>
      </c>
      <c r="D80" s="100">
        <v>14.68</v>
      </c>
      <c r="E80" s="100">
        <v>16.89</v>
      </c>
      <c r="F80" s="151" t="s">
        <v>8</v>
      </c>
      <c r="G80" s="100">
        <v>50.38</v>
      </c>
      <c r="H80" s="100">
        <v>28.42</v>
      </c>
      <c r="I80" s="100">
        <v>7.14</v>
      </c>
      <c r="J80" s="100">
        <v>0.56000000000000005</v>
      </c>
      <c r="K80" s="100">
        <v>249.74</v>
      </c>
      <c r="L80" s="100">
        <v>32.11</v>
      </c>
      <c r="M80" s="100">
        <v>33.29</v>
      </c>
      <c r="N80" s="100">
        <v>5.3</v>
      </c>
      <c r="O80" s="100">
        <v>0</v>
      </c>
      <c r="P80" s="100">
        <v>0.55000000000000004</v>
      </c>
      <c r="Q80" s="100">
        <v>28</v>
      </c>
      <c r="R80" s="6"/>
      <c r="S80" s="6"/>
      <c r="T80" s="156"/>
      <c r="U80" s="6"/>
    </row>
    <row r="81" spans="1:21" customFormat="1">
      <c r="A81" s="163" t="s">
        <v>407</v>
      </c>
      <c r="B81" s="100">
        <v>3.75</v>
      </c>
      <c r="C81" s="100">
        <v>20.07</v>
      </c>
      <c r="D81" s="100">
        <v>14.84</v>
      </c>
      <c r="E81" s="100">
        <v>10.36</v>
      </c>
      <c r="F81" s="151" t="s">
        <v>8</v>
      </c>
      <c r="G81" s="100">
        <v>50.38</v>
      </c>
      <c r="H81" s="100">
        <v>28.42</v>
      </c>
      <c r="I81" s="100">
        <v>7.23</v>
      </c>
      <c r="J81" s="100">
        <v>0.56999999999999995</v>
      </c>
      <c r="K81" s="100">
        <v>249.68</v>
      </c>
      <c r="L81" s="100">
        <v>31.69</v>
      </c>
      <c r="M81" s="100">
        <v>34.43</v>
      </c>
      <c r="N81" s="100">
        <v>2.2999999999999998</v>
      </c>
      <c r="O81" s="100">
        <v>0</v>
      </c>
      <c r="P81" s="100">
        <v>0.54</v>
      </c>
      <c r="Q81" s="100">
        <v>28.01</v>
      </c>
      <c r="R81" s="6"/>
      <c r="S81" s="6"/>
      <c r="T81" s="156"/>
      <c r="U81" s="6"/>
    </row>
    <row r="82" spans="1:21" customFormat="1">
      <c r="A82" s="163" t="s">
        <v>408</v>
      </c>
      <c r="B82" s="100">
        <v>3.77</v>
      </c>
      <c r="C82" s="100">
        <v>20.18</v>
      </c>
      <c r="D82" s="100">
        <v>14.92</v>
      </c>
      <c r="E82" s="100">
        <v>16.16</v>
      </c>
      <c r="F82" s="151" t="s">
        <v>8</v>
      </c>
      <c r="G82" s="100">
        <v>50.38</v>
      </c>
      <c r="H82" s="100">
        <v>28.42</v>
      </c>
      <c r="I82" s="100">
        <v>7.12</v>
      </c>
      <c r="J82" s="100">
        <v>0.56999999999999995</v>
      </c>
      <c r="K82" s="100">
        <v>247.5</v>
      </c>
      <c r="L82" s="100">
        <v>31.39</v>
      </c>
      <c r="M82" s="100">
        <v>34.770000000000003</v>
      </c>
      <c r="N82" s="100">
        <v>1.2</v>
      </c>
      <c r="O82" s="100">
        <v>0</v>
      </c>
      <c r="P82" s="100">
        <v>0.55000000000000004</v>
      </c>
      <c r="Q82" s="100">
        <v>27.99</v>
      </c>
      <c r="R82" s="6"/>
      <c r="S82" s="6"/>
      <c r="T82" s="156"/>
      <c r="U82" s="6"/>
    </row>
    <row r="83" spans="1:21" customFormat="1">
      <c r="A83" s="163" t="s">
        <v>409</v>
      </c>
      <c r="B83" s="100">
        <v>3.79</v>
      </c>
      <c r="C83" s="100">
        <v>20.399999999999999</v>
      </c>
      <c r="D83" s="100">
        <v>15.05</v>
      </c>
      <c r="E83" s="100">
        <v>13.17</v>
      </c>
      <c r="F83" s="151" t="s">
        <v>8</v>
      </c>
      <c r="G83" s="100">
        <v>51.09</v>
      </c>
      <c r="H83" s="100">
        <v>25.93</v>
      </c>
      <c r="I83" s="100">
        <v>7.04</v>
      </c>
      <c r="J83" s="100">
        <v>0.28999999999999998</v>
      </c>
      <c r="K83" s="100">
        <v>229.63</v>
      </c>
      <c r="L83" s="100">
        <v>30.84</v>
      </c>
      <c r="M83" s="100">
        <v>36.99</v>
      </c>
      <c r="N83" s="100">
        <v>1.6</v>
      </c>
      <c r="O83" s="100">
        <v>0</v>
      </c>
      <c r="P83" s="100">
        <v>0.55000000000000004</v>
      </c>
      <c r="Q83" s="100">
        <v>28</v>
      </c>
      <c r="R83" s="6"/>
      <c r="S83" s="6"/>
      <c r="T83" s="156"/>
      <c r="U83" s="6"/>
    </row>
    <row r="84" spans="1:21" customFormat="1">
      <c r="A84" s="163" t="s">
        <v>410</v>
      </c>
      <c r="B84" s="100">
        <v>3.84</v>
      </c>
      <c r="C84" s="100">
        <v>20.399999999999999</v>
      </c>
      <c r="D84" s="100">
        <v>15.09</v>
      </c>
      <c r="E84" s="100">
        <v>11.88</v>
      </c>
      <c r="F84" s="151" t="s">
        <v>8</v>
      </c>
      <c r="G84" s="100">
        <v>51.17</v>
      </c>
      <c r="H84" s="100">
        <v>25.93</v>
      </c>
      <c r="I84" s="100">
        <v>7.05</v>
      </c>
      <c r="J84" s="100">
        <v>0.27</v>
      </c>
      <c r="K84" s="100">
        <v>227.63</v>
      </c>
      <c r="L84" s="100">
        <v>29.99</v>
      </c>
      <c r="M84" s="100">
        <v>39.53</v>
      </c>
      <c r="N84" s="100">
        <v>1.4</v>
      </c>
      <c r="O84" s="100">
        <v>0</v>
      </c>
      <c r="P84" s="100">
        <v>0.56999999999999995</v>
      </c>
      <c r="Q84" s="100">
        <v>28.01</v>
      </c>
      <c r="R84" s="6"/>
      <c r="S84" s="6"/>
      <c r="T84" s="156"/>
      <c r="U84" s="6"/>
    </row>
    <row r="85" spans="1:21" customFormat="1">
      <c r="A85" s="163" t="s">
        <v>411</v>
      </c>
      <c r="B85" s="100">
        <v>3.87</v>
      </c>
      <c r="C85" s="100">
        <v>20.43</v>
      </c>
      <c r="D85" s="100">
        <v>15.13</v>
      </c>
      <c r="E85" s="100">
        <v>12.47</v>
      </c>
      <c r="F85" s="151" t="s">
        <v>8</v>
      </c>
      <c r="G85" s="100">
        <v>51.17</v>
      </c>
      <c r="H85" s="100">
        <v>25.93</v>
      </c>
      <c r="I85" s="100">
        <v>7.12</v>
      </c>
      <c r="J85" s="100">
        <v>0.24</v>
      </c>
      <c r="K85" s="100">
        <v>194.81</v>
      </c>
      <c r="L85" s="100">
        <v>29.53</v>
      </c>
      <c r="M85" s="100">
        <v>43.78</v>
      </c>
      <c r="N85" s="100">
        <v>1.3</v>
      </c>
      <c r="O85" s="100">
        <v>0</v>
      </c>
      <c r="P85" s="100">
        <v>0.57999999999999996</v>
      </c>
      <c r="Q85" s="100">
        <v>28</v>
      </c>
      <c r="R85" s="6"/>
      <c r="S85" s="6"/>
      <c r="T85" s="156"/>
      <c r="U85" s="6"/>
    </row>
    <row r="86" spans="1:21" customFormat="1">
      <c r="A86" s="163" t="s">
        <v>412</v>
      </c>
      <c r="B86" s="100">
        <v>3.93</v>
      </c>
      <c r="C86" s="100">
        <v>20.45</v>
      </c>
      <c r="D86" s="100">
        <v>15.18</v>
      </c>
      <c r="E86" s="100">
        <v>11.64</v>
      </c>
      <c r="F86" s="151" t="s">
        <v>8</v>
      </c>
      <c r="G86" s="100">
        <v>51.17</v>
      </c>
      <c r="H86" s="100">
        <v>25.93</v>
      </c>
      <c r="I86" s="100">
        <v>7.41</v>
      </c>
      <c r="J86" s="100">
        <v>0.24</v>
      </c>
      <c r="K86" s="100">
        <v>203.47</v>
      </c>
      <c r="L86" s="100">
        <v>28.93</v>
      </c>
      <c r="M86" s="100">
        <v>46.66</v>
      </c>
      <c r="N86" s="100">
        <v>1.3</v>
      </c>
      <c r="O86" s="100">
        <v>0</v>
      </c>
      <c r="P86" s="100">
        <v>0.59</v>
      </c>
      <c r="Q86" s="100">
        <v>27.99</v>
      </c>
      <c r="R86" s="6"/>
      <c r="S86" s="6"/>
      <c r="T86" s="156"/>
      <c r="U86" s="6"/>
    </row>
    <row r="87" spans="1:21" customFormat="1">
      <c r="A87" s="163" t="s">
        <v>413</v>
      </c>
      <c r="B87" s="100">
        <v>4.01</v>
      </c>
      <c r="C87" s="100">
        <v>20.52</v>
      </c>
      <c r="D87" s="100">
        <v>15.29</v>
      </c>
      <c r="E87" s="100">
        <v>11.64</v>
      </c>
      <c r="F87" s="151" t="s">
        <v>8</v>
      </c>
      <c r="G87" s="100">
        <v>52.57</v>
      </c>
      <c r="H87" s="100">
        <v>29.03</v>
      </c>
      <c r="I87" s="100">
        <v>7.61</v>
      </c>
      <c r="J87" s="100">
        <v>0.28000000000000003</v>
      </c>
      <c r="K87" s="100">
        <v>184.92</v>
      </c>
      <c r="L87" s="100">
        <v>28.66</v>
      </c>
      <c r="M87" s="100">
        <v>48.6</v>
      </c>
      <c r="N87" s="100">
        <v>1.3</v>
      </c>
      <c r="O87" s="100">
        <v>0</v>
      </c>
      <c r="P87" s="100">
        <v>0.61</v>
      </c>
      <c r="Q87" s="100">
        <v>27.99</v>
      </c>
      <c r="R87" s="6"/>
      <c r="S87" s="6"/>
      <c r="T87" s="156"/>
      <c r="U87" s="6"/>
    </row>
    <row r="88" spans="1:21" customFormat="1">
      <c r="A88" s="163" t="s">
        <v>414</v>
      </c>
      <c r="B88" s="100">
        <v>4.08</v>
      </c>
      <c r="C88" s="100">
        <v>20.55</v>
      </c>
      <c r="D88" s="100">
        <v>15.36</v>
      </c>
      <c r="E88" s="100">
        <v>10.24</v>
      </c>
      <c r="F88" s="151" t="s">
        <v>8</v>
      </c>
      <c r="G88" s="100">
        <v>52.74</v>
      </c>
      <c r="H88" s="100">
        <v>29.03</v>
      </c>
      <c r="I88" s="100">
        <v>7.92</v>
      </c>
      <c r="J88" s="100">
        <v>0.34</v>
      </c>
      <c r="K88" s="100">
        <v>178.48</v>
      </c>
      <c r="L88" s="100">
        <v>28.01</v>
      </c>
      <c r="M88" s="100">
        <v>50.02</v>
      </c>
      <c r="N88" s="100">
        <v>1.7</v>
      </c>
      <c r="O88" s="100">
        <v>0</v>
      </c>
      <c r="P88" s="100">
        <v>0.61</v>
      </c>
      <c r="Q88" s="100">
        <v>28</v>
      </c>
      <c r="R88" s="6"/>
      <c r="S88" s="6"/>
      <c r="T88" s="156"/>
      <c r="U88" s="6"/>
    </row>
    <row r="89" spans="1:21" customFormat="1">
      <c r="A89" s="163" t="s">
        <v>415</v>
      </c>
      <c r="B89" s="100">
        <v>4.1399999999999997</v>
      </c>
      <c r="C89" s="100">
        <v>20.65</v>
      </c>
      <c r="D89" s="100">
        <v>15.45</v>
      </c>
      <c r="E89" s="100">
        <v>9.48</v>
      </c>
      <c r="F89" s="151" t="s">
        <v>8</v>
      </c>
      <c r="G89" s="100">
        <v>52.74</v>
      </c>
      <c r="H89" s="100">
        <v>29.03</v>
      </c>
      <c r="I89" s="100">
        <v>8.1199999999999992</v>
      </c>
      <c r="J89" s="100">
        <v>0.24</v>
      </c>
      <c r="K89" s="100">
        <v>177.75</v>
      </c>
      <c r="L89" s="100">
        <v>27.2</v>
      </c>
      <c r="M89" s="100">
        <v>52.16</v>
      </c>
      <c r="N89" s="100">
        <v>1.5</v>
      </c>
      <c r="O89" s="100">
        <v>0</v>
      </c>
      <c r="P89" s="100">
        <v>0.63</v>
      </c>
      <c r="Q89" s="100">
        <v>28.01</v>
      </c>
      <c r="R89" s="6"/>
      <c r="S89" s="6"/>
      <c r="T89" s="156"/>
      <c r="U89" s="6"/>
    </row>
    <row r="90" spans="1:21" customFormat="1">
      <c r="A90" s="163" t="s">
        <v>416</v>
      </c>
      <c r="B90" s="100">
        <v>4.26</v>
      </c>
      <c r="C90" s="100">
        <v>21.04</v>
      </c>
      <c r="D90" s="100">
        <v>15.76</v>
      </c>
      <c r="E90" s="100">
        <v>10.71</v>
      </c>
      <c r="F90" s="151" t="s">
        <v>8</v>
      </c>
      <c r="G90" s="100">
        <v>52.74</v>
      </c>
      <c r="H90" s="100">
        <v>29.03</v>
      </c>
      <c r="I90" s="100">
        <v>8.1</v>
      </c>
      <c r="J90" s="100">
        <v>0.21</v>
      </c>
      <c r="K90" s="100">
        <v>172.97</v>
      </c>
      <c r="L90" s="100">
        <v>27</v>
      </c>
      <c r="M90" s="100">
        <v>54.98</v>
      </c>
      <c r="N90" s="100">
        <v>1.2</v>
      </c>
      <c r="O90" s="100">
        <v>0</v>
      </c>
      <c r="P90" s="100">
        <v>0.71</v>
      </c>
      <c r="Q90" s="100">
        <v>28.02</v>
      </c>
      <c r="R90" s="6"/>
      <c r="S90" s="6"/>
      <c r="T90" s="156"/>
      <c r="U90" s="6"/>
    </row>
    <row r="91" spans="1:21" customFormat="1">
      <c r="A91" s="163" t="s">
        <v>417</v>
      </c>
      <c r="B91" s="100">
        <v>4.5</v>
      </c>
      <c r="C91" s="100">
        <v>20.100000000000001</v>
      </c>
      <c r="D91" s="100">
        <v>15.46</v>
      </c>
      <c r="E91" s="100">
        <v>11.5</v>
      </c>
      <c r="F91" s="151" t="s">
        <v>8</v>
      </c>
      <c r="G91" s="100">
        <v>56.32</v>
      </c>
      <c r="H91" s="100">
        <v>29.08</v>
      </c>
      <c r="I91" s="100">
        <v>8.32</v>
      </c>
      <c r="J91" s="100">
        <v>0.18</v>
      </c>
      <c r="K91" s="100">
        <v>175.74</v>
      </c>
      <c r="L91" s="100">
        <v>26.65</v>
      </c>
      <c r="M91" s="100">
        <v>55.27</v>
      </c>
      <c r="N91" s="100">
        <v>1.2</v>
      </c>
      <c r="O91" s="100">
        <v>0</v>
      </c>
      <c r="P91" s="100">
        <v>0.78</v>
      </c>
      <c r="Q91" s="100">
        <v>28.04</v>
      </c>
      <c r="R91" s="6"/>
      <c r="S91" s="6"/>
      <c r="T91" s="156"/>
      <c r="U91" s="6"/>
    </row>
    <row r="92" spans="1:21" customFormat="1">
      <c r="A92" s="163" t="s">
        <v>418</v>
      </c>
      <c r="B92" s="100">
        <v>4.7300000000000004</v>
      </c>
      <c r="C92" s="100">
        <v>18.420000000000002</v>
      </c>
      <c r="D92" s="100">
        <v>14.77</v>
      </c>
      <c r="E92" s="100">
        <v>11.3</v>
      </c>
      <c r="F92" s="151" t="s">
        <v>8</v>
      </c>
      <c r="G92" s="100">
        <v>56.76</v>
      </c>
      <c r="H92" s="100">
        <v>29.08</v>
      </c>
      <c r="I92" s="100">
        <v>8.84</v>
      </c>
      <c r="J92" s="100">
        <v>0.16</v>
      </c>
      <c r="K92" s="100">
        <v>175.42</v>
      </c>
      <c r="L92" s="100">
        <v>26.49</v>
      </c>
      <c r="M92" s="100">
        <v>54.96</v>
      </c>
      <c r="N92" s="100">
        <v>1</v>
      </c>
      <c r="O92" s="100">
        <v>0</v>
      </c>
      <c r="P92" s="100">
        <v>0.78</v>
      </c>
      <c r="Q92" s="100">
        <v>28.05</v>
      </c>
      <c r="R92" s="6"/>
      <c r="S92" s="6"/>
      <c r="T92" s="156"/>
      <c r="U92" s="6"/>
    </row>
    <row r="93" spans="1:21" customFormat="1">
      <c r="A93" s="163" t="s">
        <v>419</v>
      </c>
      <c r="B93" s="100">
        <v>4.87</v>
      </c>
      <c r="C93" s="100">
        <v>18.84</v>
      </c>
      <c r="D93" s="100">
        <v>15.1</v>
      </c>
      <c r="E93" s="100">
        <v>10.43</v>
      </c>
      <c r="F93" s="151" t="s">
        <v>8</v>
      </c>
      <c r="G93" s="100">
        <v>56.76</v>
      </c>
      <c r="H93" s="100">
        <v>29.08</v>
      </c>
      <c r="I93" s="100">
        <v>9.34</v>
      </c>
      <c r="J93" s="100">
        <v>0.2</v>
      </c>
      <c r="K93" s="100">
        <v>169.95</v>
      </c>
      <c r="L93" s="100">
        <v>26.26</v>
      </c>
      <c r="M93" s="100">
        <v>57.85</v>
      </c>
      <c r="N93" s="100">
        <v>1.2</v>
      </c>
      <c r="O93" s="100">
        <v>0</v>
      </c>
      <c r="P93" s="100">
        <v>0.8</v>
      </c>
      <c r="Q93" s="100">
        <v>28.07</v>
      </c>
      <c r="R93" s="6"/>
      <c r="S93" s="6"/>
      <c r="T93" s="156"/>
      <c r="U93" s="6"/>
    </row>
    <row r="94" spans="1:21" customFormat="1">
      <c r="A94" s="163" t="s">
        <v>420</v>
      </c>
      <c r="B94" s="100">
        <v>4.99</v>
      </c>
      <c r="C94" s="100">
        <v>18.93</v>
      </c>
      <c r="D94" s="100">
        <v>15.24</v>
      </c>
      <c r="E94" s="100">
        <v>10.61</v>
      </c>
      <c r="F94" s="151" t="s">
        <v>8</v>
      </c>
      <c r="G94" s="100">
        <v>56.76</v>
      </c>
      <c r="H94" s="100">
        <v>29.08</v>
      </c>
      <c r="I94" s="100">
        <v>9.4600000000000009</v>
      </c>
      <c r="J94" s="100">
        <v>0.19</v>
      </c>
      <c r="K94" s="100">
        <v>177.41</v>
      </c>
      <c r="L94" s="100">
        <v>25.91</v>
      </c>
      <c r="M94" s="100">
        <v>58.16</v>
      </c>
      <c r="N94" s="100">
        <v>1.3</v>
      </c>
      <c r="O94" s="100">
        <v>0</v>
      </c>
      <c r="P94" s="100">
        <v>0.79</v>
      </c>
      <c r="Q94" s="100">
        <v>28.07</v>
      </c>
      <c r="R94" s="6"/>
      <c r="S94" s="6"/>
      <c r="T94" s="156"/>
      <c r="U94" s="6"/>
    </row>
    <row r="95" spans="1:21" customFormat="1">
      <c r="A95" s="163" t="s">
        <v>421</v>
      </c>
      <c r="B95" s="100">
        <v>5.14</v>
      </c>
      <c r="C95" s="100">
        <v>19.23</v>
      </c>
      <c r="D95" s="100">
        <v>15.52</v>
      </c>
      <c r="E95" s="100">
        <v>9.98</v>
      </c>
      <c r="F95" s="151" t="s">
        <v>8</v>
      </c>
      <c r="G95" s="100">
        <v>61.63</v>
      </c>
      <c r="H95" s="100">
        <v>27.88</v>
      </c>
      <c r="I95" s="100">
        <v>9.52</v>
      </c>
      <c r="J95" s="100">
        <v>0.2</v>
      </c>
      <c r="K95" s="100">
        <v>187.86</v>
      </c>
      <c r="L95" s="100">
        <v>25.57</v>
      </c>
      <c r="M95" s="100">
        <v>60.63</v>
      </c>
      <c r="N95" s="100">
        <v>1.3</v>
      </c>
      <c r="O95" s="100">
        <v>0</v>
      </c>
      <c r="P95" s="100">
        <v>0.79</v>
      </c>
      <c r="Q95" s="100">
        <v>28.08</v>
      </c>
      <c r="R95" s="6"/>
      <c r="S95" s="6"/>
      <c r="T95" s="156"/>
      <c r="U95" s="6"/>
    </row>
    <row r="96" spans="1:21" customFormat="1">
      <c r="A96" s="163" t="s">
        <v>422</v>
      </c>
      <c r="B96" s="100">
        <v>5.35</v>
      </c>
      <c r="C96" s="100">
        <v>18.71</v>
      </c>
      <c r="D96" s="100">
        <v>15.42</v>
      </c>
      <c r="E96" s="100">
        <v>10.02</v>
      </c>
      <c r="F96" s="151" t="s">
        <v>8</v>
      </c>
      <c r="G96" s="100">
        <v>62.23</v>
      </c>
      <c r="H96" s="100">
        <v>27.88</v>
      </c>
      <c r="I96" s="100">
        <v>9.6</v>
      </c>
      <c r="J96" s="100">
        <v>0.16</v>
      </c>
      <c r="K96" s="100">
        <v>185.83</v>
      </c>
      <c r="L96" s="100">
        <v>25.22</v>
      </c>
      <c r="M96" s="100">
        <v>61.26</v>
      </c>
      <c r="N96" s="100">
        <v>1.3</v>
      </c>
      <c r="O96" s="100">
        <v>0</v>
      </c>
      <c r="P96" s="100">
        <v>0.79</v>
      </c>
      <c r="Q96" s="100">
        <v>28.1</v>
      </c>
      <c r="R96" s="6"/>
      <c r="S96" s="6"/>
      <c r="T96" s="156"/>
      <c r="U96" s="6"/>
    </row>
    <row r="97" spans="1:28" customFormat="1">
      <c r="A97" s="163" t="s">
        <v>423</v>
      </c>
      <c r="B97" s="100">
        <v>5.52</v>
      </c>
      <c r="C97" s="100">
        <v>18.39</v>
      </c>
      <c r="D97" s="100">
        <v>15.38</v>
      </c>
      <c r="E97" s="100">
        <v>9.35</v>
      </c>
      <c r="F97" s="151" t="s">
        <v>8</v>
      </c>
      <c r="G97" s="100">
        <v>62.23</v>
      </c>
      <c r="H97" s="100">
        <v>27.88</v>
      </c>
      <c r="I97" s="100">
        <v>9.64</v>
      </c>
      <c r="J97" s="100">
        <v>0.18</v>
      </c>
      <c r="K97" s="100">
        <v>166.06</v>
      </c>
      <c r="L97" s="100">
        <v>25.16</v>
      </c>
      <c r="M97" s="100">
        <v>62.7</v>
      </c>
      <c r="N97" s="100">
        <v>1</v>
      </c>
      <c r="O97" s="100">
        <v>0</v>
      </c>
      <c r="P97" s="100">
        <v>0.8</v>
      </c>
      <c r="Q97" s="100">
        <v>28.08</v>
      </c>
      <c r="R97" s="6"/>
      <c r="S97" s="6"/>
      <c r="T97" s="156"/>
      <c r="U97" s="6"/>
    </row>
    <row r="98" spans="1:28" customFormat="1">
      <c r="A98" s="163" t="s">
        <v>424</v>
      </c>
      <c r="B98" s="100">
        <v>5.66</v>
      </c>
      <c r="C98" s="100">
        <v>17.600000000000001</v>
      </c>
      <c r="D98" s="100">
        <v>15.09</v>
      </c>
      <c r="E98" s="100">
        <v>8.98</v>
      </c>
      <c r="F98" s="151" t="s">
        <v>8</v>
      </c>
      <c r="G98" s="100">
        <v>62.23</v>
      </c>
      <c r="H98" s="100">
        <v>27.88</v>
      </c>
      <c r="I98" s="100">
        <v>9.65</v>
      </c>
      <c r="J98" s="100">
        <v>0.19</v>
      </c>
      <c r="K98" s="100">
        <v>176.97</v>
      </c>
      <c r="L98" s="100">
        <v>25.03</v>
      </c>
      <c r="M98" s="100">
        <v>64.34</v>
      </c>
      <c r="N98" s="100">
        <v>1.1000000000000001</v>
      </c>
      <c r="O98" s="100">
        <v>0</v>
      </c>
      <c r="P98" s="100">
        <v>0.81</v>
      </c>
      <c r="Q98" s="100">
        <v>28.11</v>
      </c>
      <c r="R98" s="6"/>
      <c r="S98" s="6"/>
      <c r="T98" s="156"/>
      <c r="U98" s="6"/>
    </row>
    <row r="99" spans="1:28" customFormat="1">
      <c r="A99" s="163" t="s">
        <v>425</v>
      </c>
      <c r="B99" s="100">
        <v>5.85</v>
      </c>
      <c r="C99" s="100">
        <v>18.440000000000001</v>
      </c>
      <c r="D99" s="100">
        <v>15.67</v>
      </c>
      <c r="E99" s="100">
        <v>9.07</v>
      </c>
      <c r="F99" s="151" t="s">
        <v>8</v>
      </c>
      <c r="G99" s="100">
        <v>62.34</v>
      </c>
      <c r="H99" s="100">
        <v>24.59</v>
      </c>
      <c r="I99" s="100">
        <v>9.7899999999999991</v>
      </c>
      <c r="J99" s="100">
        <v>0.2</v>
      </c>
      <c r="K99" s="100">
        <v>159.36000000000001</v>
      </c>
      <c r="L99" s="100">
        <v>24.97</v>
      </c>
      <c r="M99" s="100">
        <v>62.92</v>
      </c>
      <c r="N99" s="100">
        <v>1</v>
      </c>
      <c r="O99" s="100">
        <v>0</v>
      </c>
      <c r="P99" s="100">
        <v>0.83</v>
      </c>
      <c r="Q99" s="100">
        <v>28.11</v>
      </c>
      <c r="R99" s="6"/>
      <c r="S99" s="6"/>
      <c r="T99" s="156"/>
      <c r="U99" s="6"/>
    </row>
    <row r="100" spans="1:28" customFormat="1">
      <c r="A100" s="163" t="s">
        <v>426</v>
      </c>
      <c r="B100" s="100">
        <v>6.04</v>
      </c>
      <c r="C100" s="100">
        <v>18.12</v>
      </c>
      <c r="D100" s="100">
        <v>15.66</v>
      </c>
      <c r="E100" s="100">
        <v>10.26</v>
      </c>
      <c r="F100" s="151" t="s">
        <v>8</v>
      </c>
      <c r="G100" s="100">
        <v>62.35</v>
      </c>
      <c r="H100" s="100">
        <v>24.59</v>
      </c>
      <c r="I100" s="100">
        <v>9.98</v>
      </c>
      <c r="J100" s="100">
        <v>0.22</v>
      </c>
      <c r="K100" s="100">
        <v>153.33000000000001</v>
      </c>
      <c r="L100" s="100">
        <v>25</v>
      </c>
      <c r="M100" s="100">
        <v>62.11</v>
      </c>
      <c r="N100" s="100">
        <v>1</v>
      </c>
      <c r="O100" s="100">
        <v>0</v>
      </c>
      <c r="P100" s="100">
        <v>0.83</v>
      </c>
      <c r="Q100" s="100">
        <v>28.11</v>
      </c>
      <c r="R100" s="6"/>
      <c r="S100" s="6"/>
      <c r="T100" s="156"/>
      <c r="U100" s="6"/>
      <c r="AB100" s="161"/>
    </row>
    <row r="101" spans="1:28" customFormat="1">
      <c r="A101" s="163" t="s">
        <v>427</v>
      </c>
      <c r="B101" s="100">
        <v>6.19</v>
      </c>
      <c r="C101" s="100">
        <v>17.87</v>
      </c>
      <c r="D101" s="100">
        <v>15.65</v>
      </c>
      <c r="E101" s="100">
        <v>9.94</v>
      </c>
      <c r="F101" s="151" t="s">
        <v>8</v>
      </c>
      <c r="G101" s="100">
        <v>62.35</v>
      </c>
      <c r="H101" s="100">
        <v>24.59</v>
      </c>
      <c r="I101" s="100">
        <v>10.33</v>
      </c>
      <c r="J101" s="100">
        <v>0.25</v>
      </c>
      <c r="K101" s="100">
        <v>166.58</v>
      </c>
      <c r="L101" s="100">
        <v>25</v>
      </c>
      <c r="M101" s="100">
        <v>62.16</v>
      </c>
      <c r="N101" s="100">
        <v>1.1000000000000001</v>
      </c>
      <c r="O101" s="100">
        <v>0</v>
      </c>
      <c r="P101" s="100">
        <v>0.85</v>
      </c>
      <c r="Q101" s="100">
        <v>28.12</v>
      </c>
      <c r="R101" s="6"/>
      <c r="S101" s="6"/>
      <c r="T101" s="156"/>
      <c r="U101" s="6"/>
    </row>
    <row r="102" spans="1:28" customFormat="1">
      <c r="A102" s="163" t="s">
        <v>428</v>
      </c>
      <c r="B102" s="100">
        <v>6.31</v>
      </c>
      <c r="C102" s="100">
        <v>17.89</v>
      </c>
      <c r="D102" s="100">
        <v>15.76</v>
      </c>
      <c r="E102" s="100">
        <v>9.3800000000000008</v>
      </c>
      <c r="F102" s="151" t="s">
        <v>8</v>
      </c>
      <c r="G102" s="100">
        <v>62.35</v>
      </c>
      <c r="H102" s="100">
        <v>24.59</v>
      </c>
      <c r="I102" s="100">
        <v>10.71</v>
      </c>
      <c r="J102" s="100">
        <v>0.45</v>
      </c>
      <c r="K102" s="100">
        <v>169.96</v>
      </c>
      <c r="L102" s="100">
        <v>24.65</v>
      </c>
      <c r="M102" s="100">
        <v>64.77</v>
      </c>
      <c r="N102" s="100">
        <v>1.4</v>
      </c>
      <c r="O102" s="100">
        <v>0</v>
      </c>
      <c r="P102" s="100">
        <v>0.84</v>
      </c>
      <c r="Q102" s="100">
        <v>28.1</v>
      </c>
      <c r="R102" s="6"/>
      <c r="S102" s="6"/>
      <c r="T102" s="156"/>
      <c r="U102" s="6"/>
    </row>
    <row r="103" spans="1:28" customFormat="1">
      <c r="A103" s="163" t="s">
        <v>429</v>
      </c>
      <c r="B103" s="100">
        <v>6.47</v>
      </c>
      <c r="C103" s="100">
        <v>18.43</v>
      </c>
      <c r="D103" s="100">
        <v>16.170000000000002</v>
      </c>
      <c r="E103" s="100">
        <v>9.2899999999999991</v>
      </c>
      <c r="F103" s="151" t="s">
        <v>8</v>
      </c>
      <c r="G103" s="100">
        <v>68.5</v>
      </c>
      <c r="H103" s="100">
        <v>27.62</v>
      </c>
      <c r="I103" s="100">
        <v>10.89</v>
      </c>
      <c r="J103" s="100">
        <v>0.16</v>
      </c>
      <c r="K103" s="100">
        <v>166.09</v>
      </c>
      <c r="L103" s="100">
        <v>24.04</v>
      </c>
      <c r="M103" s="100">
        <v>64.34</v>
      </c>
      <c r="N103" s="100">
        <v>1.5</v>
      </c>
      <c r="O103" s="100">
        <v>0</v>
      </c>
      <c r="P103" s="100">
        <v>0.86</v>
      </c>
      <c r="Q103" s="100">
        <v>28.12</v>
      </c>
      <c r="R103" s="6"/>
      <c r="S103" s="6"/>
      <c r="T103" s="156"/>
      <c r="U103" s="6"/>
    </row>
    <row r="104" spans="1:28" customFormat="1">
      <c r="A104" s="163" t="s">
        <v>430</v>
      </c>
      <c r="B104" s="100">
        <v>6.63</v>
      </c>
      <c r="C104" s="100">
        <v>18.43</v>
      </c>
      <c r="D104" s="100">
        <v>16.29</v>
      </c>
      <c r="E104" s="100">
        <v>8.91</v>
      </c>
      <c r="F104" s="151" t="s">
        <v>8</v>
      </c>
      <c r="G104" s="100">
        <v>69.19</v>
      </c>
      <c r="H104" s="100">
        <v>27.62</v>
      </c>
      <c r="I104" s="100">
        <v>10.75</v>
      </c>
      <c r="J104" s="100">
        <v>0.14000000000000001</v>
      </c>
      <c r="K104" s="100">
        <v>194.92</v>
      </c>
      <c r="L104" s="100">
        <v>23.89</v>
      </c>
      <c r="M104" s="100">
        <v>64.7</v>
      </c>
      <c r="N104" s="100">
        <v>1.2</v>
      </c>
      <c r="O104" s="100">
        <v>0</v>
      </c>
      <c r="P104" s="100">
        <v>0.87</v>
      </c>
      <c r="Q104" s="100">
        <v>28.13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3.64</v>
      </c>
      <c r="C106" s="158">
        <f>MIN(C9:C104)</f>
        <v>16.989999999999998</v>
      </c>
      <c r="D106" s="158">
        <f t="shared" ref="D106:Q106" si="0">MIN(D9:D104)</f>
        <v>13.26</v>
      </c>
      <c r="E106" s="158">
        <f t="shared" si="0"/>
        <v>8.75</v>
      </c>
      <c r="F106" s="158">
        <f t="shared" si="0"/>
        <v>0</v>
      </c>
      <c r="G106" s="158">
        <f t="shared" si="0"/>
        <v>50.38</v>
      </c>
      <c r="H106" s="158">
        <f t="shared" si="0"/>
        <v>20.21</v>
      </c>
      <c r="I106" s="158">
        <f t="shared" si="0"/>
        <v>7.04</v>
      </c>
      <c r="J106" s="158">
        <f t="shared" si="0"/>
        <v>0.01</v>
      </c>
      <c r="K106" s="158">
        <f t="shared" si="0"/>
        <v>39.64</v>
      </c>
      <c r="L106" s="158">
        <f t="shared" si="0"/>
        <v>20.010000000000002</v>
      </c>
      <c r="M106" s="158">
        <f t="shared" si="0"/>
        <v>24.74</v>
      </c>
      <c r="N106" s="158">
        <f t="shared" si="0"/>
        <v>0.7</v>
      </c>
      <c r="O106" s="158">
        <f t="shared" si="0"/>
        <v>0</v>
      </c>
      <c r="P106" s="158">
        <f t="shared" si="0"/>
        <v>0.48</v>
      </c>
      <c r="Q106" s="158">
        <f t="shared" si="0"/>
        <v>27.96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13.64</v>
      </c>
      <c r="C107" s="157">
        <f t="shared" ref="C107:Q107" si="1">MAX(C9:C104)</f>
        <v>24.57</v>
      </c>
      <c r="D107" s="157">
        <f t="shared" si="1"/>
        <v>23.31</v>
      </c>
      <c r="E107" s="157">
        <f t="shared" si="1"/>
        <v>21.19</v>
      </c>
      <c r="F107" s="157">
        <f t="shared" si="1"/>
        <v>0</v>
      </c>
      <c r="G107" s="157">
        <f t="shared" si="1"/>
        <v>79.599999999999994</v>
      </c>
      <c r="H107" s="157">
        <f t="shared" si="1"/>
        <v>36.92</v>
      </c>
      <c r="I107" s="157">
        <f t="shared" si="1"/>
        <v>14.41</v>
      </c>
      <c r="J107" s="157">
        <f t="shared" si="1"/>
        <v>1.17</v>
      </c>
      <c r="K107" s="157">
        <f t="shared" si="1"/>
        <v>288.33</v>
      </c>
      <c r="L107" s="157">
        <f t="shared" si="1"/>
        <v>35.49</v>
      </c>
      <c r="M107" s="157">
        <f t="shared" si="1"/>
        <v>77.64</v>
      </c>
      <c r="N107" s="157">
        <f t="shared" si="1"/>
        <v>307.3</v>
      </c>
      <c r="O107" s="157">
        <f t="shared" si="1"/>
        <v>0</v>
      </c>
      <c r="P107" s="157">
        <f t="shared" si="1"/>
        <v>1.18</v>
      </c>
      <c r="Q107" s="157">
        <f t="shared" si="1"/>
        <v>28.42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6.7543750000000005</v>
      </c>
      <c r="C108" s="158">
        <f t="shared" ref="C108:Q108" si="2">AVERAGE(C9:C104)</f>
        <v>20.168020833333337</v>
      </c>
      <c r="D108" s="158">
        <f t="shared" si="2"/>
        <v>17.30447916666667</v>
      </c>
      <c r="E108" s="158">
        <f t="shared" si="2"/>
        <v>12.074166666666665</v>
      </c>
      <c r="F108" s="158" t="e">
        <f t="shared" si="2"/>
        <v>#DIV/0!</v>
      </c>
      <c r="G108" s="158">
        <f t="shared" si="2"/>
        <v>63.185625000000023</v>
      </c>
      <c r="H108" s="158">
        <f t="shared" si="2"/>
        <v>26.826458333333353</v>
      </c>
      <c r="I108" s="158">
        <f t="shared" si="2"/>
        <v>11.1928125</v>
      </c>
      <c r="J108" s="158">
        <f t="shared" si="2"/>
        <v>0.4557291666666668</v>
      </c>
      <c r="K108" s="158">
        <f t="shared" si="2"/>
        <v>216.22937500000003</v>
      </c>
      <c r="L108" s="158">
        <f t="shared" si="2"/>
        <v>27.602291666666659</v>
      </c>
      <c r="M108" s="158">
        <f t="shared" si="2"/>
        <v>50.939479166666665</v>
      </c>
      <c r="N108" s="158">
        <f t="shared" si="2"/>
        <v>79.177083333333329</v>
      </c>
      <c r="O108" s="158">
        <f t="shared" si="2"/>
        <v>0</v>
      </c>
      <c r="P108" s="158">
        <f t="shared" si="2"/>
        <v>0.87437500000000012</v>
      </c>
      <c r="Q108" s="158">
        <f t="shared" si="2"/>
        <v>28.122708333333335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3.355083436879188</v>
      </c>
      <c r="C109" s="158">
        <f t="shared" ref="C109:Q109" si="3">STDEV(C9:C104)</f>
        <v>2.1101876293686548</v>
      </c>
      <c r="D109" s="158">
        <f t="shared" si="3"/>
        <v>3.3291224921865483</v>
      </c>
      <c r="E109" s="158">
        <f t="shared" si="3"/>
        <v>2.7489671425604989</v>
      </c>
      <c r="F109" s="158" t="e">
        <f t="shared" si="3"/>
        <v>#DIV/0!</v>
      </c>
      <c r="G109" s="158">
        <f t="shared" si="3"/>
        <v>8.6211606023537648</v>
      </c>
      <c r="H109" s="158">
        <f t="shared" si="3"/>
        <v>3.7566802195460252</v>
      </c>
      <c r="I109" s="158">
        <f t="shared" si="3"/>
        <v>2.7288265081976442</v>
      </c>
      <c r="J109" s="158">
        <f t="shared" si="3"/>
        <v>0.33656389020954453</v>
      </c>
      <c r="K109" s="158">
        <f t="shared" si="3"/>
        <v>51.686047792875108</v>
      </c>
      <c r="L109" s="158">
        <f t="shared" si="3"/>
        <v>5.4305861812451184</v>
      </c>
      <c r="M109" s="158">
        <f t="shared" si="3"/>
        <v>17.646580069433643</v>
      </c>
      <c r="N109" s="158">
        <f t="shared" si="3"/>
        <v>110.80479324533007</v>
      </c>
      <c r="O109" s="158">
        <f t="shared" si="3"/>
        <v>0</v>
      </c>
      <c r="P109" s="158">
        <f t="shared" si="3"/>
        <v>0.22303085696354752</v>
      </c>
      <c r="Q109" s="158">
        <f t="shared" si="3"/>
        <v>0.14117163250653941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F111" sqref="F1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03/03/2025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431</v>
      </c>
      <c r="B9" s="100">
        <v>6.75</v>
      </c>
      <c r="C9" s="100">
        <v>17.45</v>
      </c>
      <c r="D9" s="100">
        <v>15.88</v>
      </c>
      <c r="E9" s="100">
        <v>9.44</v>
      </c>
      <c r="F9" s="151" t="s">
        <v>8</v>
      </c>
      <c r="G9" s="100">
        <v>69.19</v>
      </c>
      <c r="H9" s="100">
        <v>27.62</v>
      </c>
      <c r="I9" s="100">
        <v>10.81</v>
      </c>
      <c r="J9" s="100">
        <v>0.21</v>
      </c>
      <c r="K9" s="100">
        <v>20.85</v>
      </c>
      <c r="L9" s="100">
        <v>24.4</v>
      </c>
      <c r="M9" s="100">
        <v>58.58</v>
      </c>
      <c r="N9" s="100">
        <v>0.4</v>
      </c>
      <c r="O9" s="100">
        <v>0</v>
      </c>
      <c r="P9" s="100">
        <v>0.87</v>
      </c>
      <c r="Q9" s="100">
        <v>28.13</v>
      </c>
      <c r="R9" s="6"/>
      <c r="S9" s="6"/>
      <c r="T9" s="156"/>
      <c r="U9" s="6"/>
    </row>
    <row r="10" spans="1:21" customFormat="1">
      <c r="A10" s="163" t="s">
        <v>432</v>
      </c>
      <c r="B10" s="100">
        <v>7</v>
      </c>
      <c r="C10" s="100">
        <v>18.12</v>
      </c>
      <c r="D10" s="100">
        <v>16.43</v>
      </c>
      <c r="E10" s="100">
        <v>9.5299999999999994</v>
      </c>
      <c r="F10" s="151" t="s">
        <v>8</v>
      </c>
      <c r="G10" s="100">
        <v>69.19</v>
      </c>
      <c r="H10" s="100">
        <v>27.62</v>
      </c>
      <c r="I10" s="100">
        <v>10.85</v>
      </c>
      <c r="J10" s="100">
        <v>0.15</v>
      </c>
      <c r="K10" s="100">
        <v>169.82</v>
      </c>
      <c r="L10" s="100">
        <v>25.09</v>
      </c>
      <c r="M10" s="100">
        <v>55.99</v>
      </c>
      <c r="N10" s="100">
        <v>0.8</v>
      </c>
      <c r="O10" s="100">
        <v>0</v>
      </c>
      <c r="P10" s="100">
        <v>0.88</v>
      </c>
      <c r="Q10" s="100">
        <v>28.14</v>
      </c>
      <c r="R10" s="6"/>
      <c r="S10" s="6"/>
      <c r="T10" s="156"/>
      <c r="U10" s="6"/>
    </row>
    <row r="11" spans="1:21" customFormat="1">
      <c r="A11" s="163" t="s">
        <v>433</v>
      </c>
      <c r="B11" s="100">
        <v>7.49</v>
      </c>
      <c r="C11" s="100">
        <v>18.95</v>
      </c>
      <c r="D11" s="100">
        <v>17.260000000000002</v>
      </c>
      <c r="E11" s="100">
        <v>9.9499999999999993</v>
      </c>
      <c r="F11" s="151" t="s">
        <v>8</v>
      </c>
      <c r="G11" s="100">
        <v>67.55</v>
      </c>
      <c r="H11" s="100">
        <v>24.04</v>
      </c>
      <c r="I11" s="100">
        <v>10.84</v>
      </c>
      <c r="J11" s="100">
        <v>0.14000000000000001</v>
      </c>
      <c r="K11" s="100">
        <v>106.29</v>
      </c>
      <c r="L11" s="100">
        <v>24.94</v>
      </c>
      <c r="M11" s="100">
        <v>57</v>
      </c>
      <c r="N11" s="100">
        <v>1.2</v>
      </c>
      <c r="O11" s="100">
        <v>0</v>
      </c>
      <c r="P11" s="100">
        <v>0.89</v>
      </c>
      <c r="Q11" s="100">
        <v>28.16</v>
      </c>
      <c r="R11" s="6"/>
      <c r="S11" s="6"/>
      <c r="T11" s="156"/>
      <c r="U11" s="6"/>
    </row>
    <row r="12" spans="1:21" customFormat="1">
      <c r="A12" s="163" t="s">
        <v>434</v>
      </c>
      <c r="B12" s="100">
        <v>8.35</v>
      </c>
      <c r="C12" s="100">
        <v>19.98</v>
      </c>
      <c r="D12" s="100">
        <v>18.48</v>
      </c>
      <c r="E12" s="100">
        <v>10.18</v>
      </c>
      <c r="F12" s="151" t="s">
        <v>8</v>
      </c>
      <c r="G12" s="100">
        <v>67.349999999999994</v>
      </c>
      <c r="H12" s="100">
        <v>24.04</v>
      </c>
      <c r="I12" s="100">
        <v>10.93</v>
      </c>
      <c r="J12" s="100">
        <v>7.0000000000000007E-2</v>
      </c>
      <c r="K12" s="100">
        <v>184</v>
      </c>
      <c r="L12" s="100">
        <v>25.23</v>
      </c>
      <c r="M12" s="100">
        <v>55.71</v>
      </c>
      <c r="N12" s="100">
        <v>0.9</v>
      </c>
      <c r="O12" s="100">
        <v>0</v>
      </c>
      <c r="P12" s="100">
        <v>0.93</v>
      </c>
      <c r="Q12" s="100">
        <v>28.18</v>
      </c>
      <c r="R12" s="6"/>
      <c r="S12" s="6"/>
      <c r="T12" s="156"/>
      <c r="U12" s="6"/>
    </row>
    <row r="13" spans="1:21" customFormat="1">
      <c r="A13" s="163" t="s">
        <v>435</v>
      </c>
      <c r="B13" s="100">
        <v>9.24</v>
      </c>
      <c r="C13" s="100">
        <v>20.84</v>
      </c>
      <c r="D13" s="100">
        <v>19.649999999999999</v>
      </c>
      <c r="E13" s="100">
        <v>9.76</v>
      </c>
      <c r="F13" s="151" t="s">
        <v>8</v>
      </c>
      <c r="G13" s="100">
        <v>67.349999999999994</v>
      </c>
      <c r="H13" s="100">
        <v>24.04</v>
      </c>
      <c r="I13" s="100">
        <v>11.29</v>
      </c>
      <c r="J13" s="100">
        <v>0.17</v>
      </c>
      <c r="K13" s="100">
        <v>170.46</v>
      </c>
      <c r="L13" s="100">
        <v>24.43</v>
      </c>
      <c r="M13" s="100">
        <v>63.84</v>
      </c>
      <c r="N13" s="100">
        <v>1.8</v>
      </c>
      <c r="O13" s="100">
        <v>0</v>
      </c>
      <c r="P13" s="100">
        <v>0.9</v>
      </c>
      <c r="Q13" s="100">
        <v>28.22</v>
      </c>
      <c r="R13" s="6"/>
      <c r="S13" s="6"/>
      <c r="T13" s="156"/>
      <c r="U13" s="6"/>
    </row>
    <row r="14" spans="1:21" customFormat="1">
      <c r="A14" s="163" t="s">
        <v>436</v>
      </c>
      <c r="B14" s="100">
        <v>9.59</v>
      </c>
      <c r="C14" s="100">
        <v>21.67</v>
      </c>
      <c r="D14" s="100">
        <v>20.36</v>
      </c>
      <c r="E14" s="100">
        <v>9.73</v>
      </c>
      <c r="F14" s="151" t="s">
        <v>8</v>
      </c>
      <c r="G14" s="100">
        <v>67.349999999999994</v>
      </c>
      <c r="H14" s="100">
        <v>24.04</v>
      </c>
      <c r="I14" s="100">
        <v>11.56</v>
      </c>
      <c r="J14" s="100">
        <v>0.18</v>
      </c>
      <c r="K14" s="100">
        <v>173.17</v>
      </c>
      <c r="L14" s="100">
        <v>24.47</v>
      </c>
      <c r="M14" s="100">
        <v>60.73</v>
      </c>
      <c r="N14" s="100">
        <v>1.2</v>
      </c>
      <c r="O14" s="100">
        <v>0</v>
      </c>
      <c r="P14" s="100">
        <v>0.88</v>
      </c>
      <c r="Q14" s="100">
        <v>28.2</v>
      </c>
      <c r="R14" s="6"/>
      <c r="S14" s="6"/>
      <c r="T14" s="156"/>
      <c r="U14" s="6"/>
    </row>
    <row r="15" spans="1:21" customFormat="1">
      <c r="A15" s="163" t="s">
        <v>437</v>
      </c>
      <c r="B15" s="100">
        <v>9.83</v>
      </c>
      <c r="C15" s="100">
        <v>22.26</v>
      </c>
      <c r="D15" s="100">
        <v>20.86</v>
      </c>
      <c r="E15" s="100">
        <v>9.58</v>
      </c>
      <c r="F15" s="151" t="s">
        <v>8</v>
      </c>
      <c r="G15" s="100">
        <v>71.12</v>
      </c>
      <c r="H15" s="100">
        <v>25.83</v>
      </c>
      <c r="I15" s="100">
        <v>11.47</v>
      </c>
      <c r="J15" s="100">
        <v>0.27</v>
      </c>
      <c r="K15" s="100">
        <v>201.95</v>
      </c>
      <c r="L15" s="100">
        <v>24.19</v>
      </c>
      <c r="M15" s="100">
        <v>65.59</v>
      </c>
      <c r="N15" s="100">
        <v>1.8</v>
      </c>
      <c r="O15" s="100">
        <v>0</v>
      </c>
      <c r="P15" s="100">
        <v>0.89</v>
      </c>
      <c r="Q15" s="100">
        <v>28.25</v>
      </c>
      <c r="R15" s="6"/>
      <c r="S15" s="6"/>
      <c r="T15" s="156"/>
      <c r="U15" s="6"/>
    </row>
    <row r="16" spans="1:21" customFormat="1">
      <c r="A16" s="163" t="s">
        <v>438</v>
      </c>
      <c r="B16" s="100">
        <v>9.89</v>
      </c>
      <c r="C16" s="100">
        <v>22.64</v>
      </c>
      <c r="D16" s="100">
        <v>21.11</v>
      </c>
      <c r="E16" s="100">
        <v>9.94</v>
      </c>
      <c r="F16" s="151" t="s">
        <v>8</v>
      </c>
      <c r="G16" s="100">
        <v>71.59</v>
      </c>
      <c r="H16" s="100">
        <v>25.83</v>
      </c>
      <c r="I16" s="100">
        <v>11.44</v>
      </c>
      <c r="J16" s="100">
        <v>0.17</v>
      </c>
      <c r="K16" s="100">
        <v>173.63</v>
      </c>
      <c r="L16" s="100">
        <v>23.67</v>
      </c>
      <c r="M16" s="100">
        <v>65.790000000000006</v>
      </c>
      <c r="N16" s="100">
        <v>1.6</v>
      </c>
      <c r="O16" s="100">
        <v>0</v>
      </c>
      <c r="P16" s="100">
        <v>0.9</v>
      </c>
      <c r="Q16" s="100">
        <v>28.25</v>
      </c>
      <c r="R16" s="6"/>
      <c r="S16" s="6"/>
      <c r="T16" s="156"/>
      <c r="U16" s="6"/>
    </row>
    <row r="17" spans="1:21" customFormat="1">
      <c r="A17" s="163" t="s">
        <v>439</v>
      </c>
      <c r="B17" s="100">
        <v>9.84</v>
      </c>
      <c r="C17" s="100">
        <v>22.83</v>
      </c>
      <c r="D17" s="100">
        <v>21.17</v>
      </c>
      <c r="E17" s="100">
        <v>8.8000000000000007</v>
      </c>
      <c r="F17" s="151" t="s">
        <v>8</v>
      </c>
      <c r="G17" s="100">
        <v>71.59</v>
      </c>
      <c r="H17" s="100">
        <v>25.83</v>
      </c>
      <c r="I17" s="100">
        <v>11.59</v>
      </c>
      <c r="J17" s="100">
        <v>0.18</v>
      </c>
      <c r="K17" s="100">
        <v>175.53</v>
      </c>
      <c r="L17" s="100">
        <v>23.46</v>
      </c>
      <c r="M17" s="100">
        <v>68.39</v>
      </c>
      <c r="N17" s="100">
        <v>1.6</v>
      </c>
      <c r="O17" s="100">
        <v>0</v>
      </c>
      <c r="P17" s="100">
        <v>0.88</v>
      </c>
      <c r="Q17" s="100">
        <v>28.25</v>
      </c>
      <c r="R17" s="6"/>
      <c r="S17" s="6"/>
      <c r="T17" s="156"/>
      <c r="U17" s="6"/>
    </row>
    <row r="18" spans="1:21" customFormat="1">
      <c r="A18" s="163" t="s">
        <v>440</v>
      </c>
      <c r="B18" s="100">
        <v>9.75</v>
      </c>
      <c r="C18" s="100">
        <v>22.9</v>
      </c>
      <c r="D18" s="100">
        <v>21.13</v>
      </c>
      <c r="E18" s="100">
        <v>10.42</v>
      </c>
      <c r="F18" s="151" t="s">
        <v>8</v>
      </c>
      <c r="G18" s="100">
        <v>71.59</v>
      </c>
      <c r="H18" s="100">
        <v>25.83</v>
      </c>
      <c r="I18" s="100">
        <v>11.71</v>
      </c>
      <c r="J18" s="100">
        <v>0.18</v>
      </c>
      <c r="K18" s="100">
        <v>177.75</v>
      </c>
      <c r="L18" s="100">
        <v>23.18</v>
      </c>
      <c r="M18" s="100">
        <v>67.11</v>
      </c>
      <c r="N18" s="100">
        <v>1.3</v>
      </c>
      <c r="O18" s="100">
        <v>0</v>
      </c>
      <c r="P18" s="100">
        <v>0.89</v>
      </c>
      <c r="Q18" s="100">
        <v>28.23</v>
      </c>
      <c r="R18" s="6"/>
      <c r="S18" s="6"/>
      <c r="T18" s="156"/>
      <c r="U18" s="6"/>
    </row>
    <row r="19" spans="1:21" customFormat="1">
      <c r="A19" s="163" t="s">
        <v>441</v>
      </c>
      <c r="B19" s="100">
        <v>9.61</v>
      </c>
      <c r="C19" s="100">
        <v>22.75</v>
      </c>
      <c r="D19" s="100">
        <v>20.94</v>
      </c>
      <c r="E19" s="100">
        <v>10.49</v>
      </c>
      <c r="F19" s="151" t="s">
        <v>8</v>
      </c>
      <c r="G19" s="100">
        <v>68.510000000000005</v>
      </c>
      <c r="H19" s="100">
        <v>25.44</v>
      </c>
      <c r="I19" s="100">
        <v>11.8</v>
      </c>
      <c r="J19" s="100">
        <v>0.16</v>
      </c>
      <c r="K19" s="100">
        <v>187.67</v>
      </c>
      <c r="L19" s="100">
        <v>22.93</v>
      </c>
      <c r="M19" s="100">
        <v>68.83</v>
      </c>
      <c r="N19" s="100">
        <v>1.3</v>
      </c>
      <c r="O19" s="100">
        <v>0</v>
      </c>
      <c r="P19" s="100">
        <v>0.89</v>
      </c>
      <c r="Q19" s="100">
        <v>28.22</v>
      </c>
      <c r="R19" s="6"/>
      <c r="S19" s="6"/>
      <c r="T19" s="156"/>
      <c r="U19" s="6"/>
    </row>
    <row r="20" spans="1:21" customFormat="1">
      <c r="A20" s="163" t="s">
        <v>442</v>
      </c>
      <c r="B20" s="100">
        <v>9.4700000000000006</v>
      </c>
      <c r="C20" s="100">
        <v>22.72</v>
      </c>
      <c r="D20" s="100">
        <v>20.82</v>
      </c>
      <c r="E20" s="100">
        <v>10.039999999999999</v>
      </c>
      <c r="F20" s="151" t="s">
        <v>8</v>
      </c>
      <c r="G20" s="100">
        <v>68.12</v>
      </c>
      <c r="H20" s="100">
        <v>25.44</v>
      </c>
      <c r="I20" s="100">
        <v>11.82</v>
      </c>
      <c r="J20" s="100">
        <v>0.17</v>
      </c>
      <c r="K20" s="100">
        <v>169.79</v>
      </c>
      <c r="L20" s="100">
        <v>22.89</v>
      </c>
      <c r="M20" s="100">
        <v>66.69</v>
      </c>
      <c r="N20" s="100">
        <v>1.1000000000000001</v>
      </c>
      <c r="O20" s="100">
        <v>0</v>
      </c>
      <c r="P20" s="100">
        <v>0.88</v>
      </c>
      <c r="Q20" s="100">
        <v>28.23</v>
      </c>
      <c r="R20" s="6"/>
      <c r="S20" s="6"/>
      <c r="T20" s="156"/>
      <c r="U20" s="6"/>
    </row>
    <row r="21" spans="1:21" customFormat="1">
      <c r="A21" s="163" t="s">
        <v>443</v>
      </c>
      <c r="B21" s="100">
        <v>9.27</v>
      </c>
      <c r="C21" s="100">
        <v>22.63</v>
      </c>
      <c r="D21" s="100">
        <v>20.61</v>
      </c>
      <c r="E21" s="100">
        <v>10.26</v>
      </c>
      <c r="F21" s="151" t="s">
        <v>8</v>
      </c>
      <c r="G21" s="100">
        <v>68.12</v>
      </c>
      <c r="H21" s="100">
        <v>25.44</v>
      </c>
      <c r="I21" s="100">
        <v>11.83</v>
      </c>
      <c r="J21" s="100">
        <v>0.31</v>
      </c>
      <c r="K21" s="100">
        <v>198.86</v>
      </c>
      <c r="L21" s="100">
        <v>22.71</v>
      </c>
      <c r="M21" s="100">
        <v>70.91</v>
      </c>
      <c r="N21" s="100">
        <v>1.4</v>
      </c>
      <c r="O21" s="100">
        <v>0</v>
      </c>
      <c r="P21" s="100">
        <v>0.88</v>
      </c>
      <c r="Q21" s="100">
        <v>28.22</v>
      </c>
      <c r="R21" s="6"/>
      <c r="S21" s="6"/>
      <c r="T21" s="156"/>
      <c r="U21" s="6"/>
    </row>
    <row r="22" spans="1:21" customFormat="1">
      <c r="A22" s="163" t="s">
        <v>444</v>
      </c>
      <c r="B22" s="100">
        <v>9.07</v>
      </c>
      <c r="C22" s="100">
        <v>22.45</v>
      </c>
      <c r="D22" s="100">
        <v>20.350000000000001</v>
      </c>
      <c r="E22" s="100">
        <v>10.17</v>
      </c>
      <c r="F22" s="151" t="s">
        <v>8</v>
      </c>
      <c r="G22" s="100">
        <v>68.12</v>
      </c>
      <c r="H22" s="100">
        <v>25.44</v>
      </c>
      <c r="I22" s="100">
        <v>11.76</v>
      </c>
      <c r="J22" s="100">
        <v>0.16</v>
      </c>
      <c r="K22" s="100">
        <v>207.71</v>
      </c>
      <c r="L22" s="100">
        <v>22.28</v>
      </c>
      <c r="M22" s="100">
        <v>70.52</v>
      </c>
      <c r="N22" s="100">
        <v>1.5</v>
      </c>
      <c r="O22" s="100">
        <v>0</v>
      </c>
      <c r="P22" s="100">
        <v>0.88</v>
      </c>
      <c r="Q22" s="100">
        <v>28.22</v>
      </c>
      <c r="R22" s="6"/>
      <c r="S22" s="6"/>
      <c r="T22" s="156"/>
      <c r="U22" s="6"/>
    </row>
    <row r="23" spans="1:21" customFormat="1">
      <c r="A23" s="163" t="s">
        <v>445</v>
      </c>
      <c r="B23" s="100">
        <v>8.91</v>
      </c>
      <c r="C23" s="100">
        <v>22.45</v>
      </c>
      <c r="D23" s="100">
        <v>20.23</v>
      </c>
      <c r="E23" s="100">
        <v>10.06</v>
      </c>
      <c r="F23" s="151" t="s">
        <v>8</v>
      </c>
      <c r="G23" s="100">
        <v>69.05</v>
      </c>
      <c r="H23" s="100">
        <v>23.61</v>
      </c>
      <c r="I23" s="100">
        <v>11.66</v>
      </c>
      <c r="J23" s="100">
        <v>0.09</v>
      </c>
      <c r="K23" s="100">
        <v>185.95</v>
      </c>
      <c r="L23" s="100">
        <v>22.32</v>
      </c>
      <c r="M23" s="100">
        <v>69.84</v>
      </c>
      <c r="N23" s="100">
        <v>1</v>
      </c>
      <c r="O23" s="100">
        <v>0</v>
      </c>
      <c r="P23" s="100">
        <v>0.88</v>
      </c>
      <c r="Q23" s="100">
        <v>28.19</v>
      </c>
      <c r="R23" s="6"/>
      <c r="S23" s="6"/>
      <c r="T23" s="156"/>
      <c r="U23" s="6"/>
    </row>
    <row r="24" spans="1:21" customFormat="1">
      <c r="A24" s="163" t="s">
        <v>446</v>
      </c>
      <c r="B24" s="100">
        <v>8.85</v>
      </c>
      <c r="C24" s="100">
        <v>22.33</v>
      </c>
      <c r="D24" s="100">
        <v>20.11</v>
      </c>
      <c r="E24" s="100">
        <v>9.9499999999999993</v>
      </c>
      <c r="F24" s="151" t="s">
        <v>8</v>
      </c>
      <c r="G24" s="100">
        <v>69.16</v>
      </c>
      <c r="H24" s="100">
        <v>23.61</v>
      </c>
      <c r="I24" s="100">
        <v>11.6</v>
      </c>
      <c r="J24" s="100">
        <v>0.19</v>
      </c>
      <c r="K24" s="100">
        <v>171.1</v>
      </c>
      <c r="L24" s="100">
        <v>22.44</v>
      </c>
      <c r="M24" s="100">
        <v>69.83</v>
      </c>
      <c r="N24" s="100">
        <v>0.9</v>
      </c>
      <c r="O24" s="100">
        <v>0</v>
      </c>
      <c r="P24" s="100">
        <v>0.87</v>
      </c>
      <c r="Q24" s="100">
        <v>28.2</v>
      </c>
      <c r="R24" s="6"/>
      <c r="S24" s="6"/>
      <c r="T24" s="156"/>
      <c r="U24" s="6"/>
    </row>
    <row r="25" spans="1:21" customFormat="1">
      <c r="A25" s="163" t="s">
        <v>447</v>
      </c>
      <c r="B25" s="100">
        <v>8.8000000000000007</v>
      </c>
      <c r="C25" s="100">
        <v>22.08</v>
      </c>
      <c r="D25" s="100">
        <v>19.940000000000001</v>
      </c>
      <c r="E25" s="100">
        <v>10.25</v>
      </c>
      <c r="F25" s="151" t="s">
        <v>8</v>
      </c>
      <c r="G25" s="100">
        <v>69.16</v>
      </c>
      <c r="H25" s="100">
        <v>23.61</v>
      </c>
      <c r="I25" s="100">
        <v>11.53</v>
      </c>
      <c r="J25" s="100">
        <v>0.21</v>
      </c>
      <c r="K25" s="100">
        <v>190.83</v>
      </c>
      <c r="L25" s="100">
        <v>22.25</v>
      </c>
      <c r="M25" s="100">
        <v>70.430000000000007</v>
      </c>
      <c r="N25" s="100">
        <v>1.1000000000000001</v>
      </c>
      <c r="O25" s="100">
        <v>0</v>
      </c>
      <c r="P25" s="100">
        <v>0.86</v>
      </c>
      <c r="Q25" s="100">
        <v>28.19</v>
      </c>
      <c r="R25" s="6"/>
      <c r="S25" s="6"/>
      <c r="T25" s="156"/>
      <c r="U25" s="6"/>
    </row>
    <row r="26" spans="1:21" customFormat="1">
      <c r="A26" s="163" t="s">
        <v>448</v>
      </c>
      <c r="B26" s="100">
        <v>8.67</v>
      </c>
      <c r="C26" s="100">
        <v>21.88</v>
      </c>
      <c r="D26" s="100">
        <v>19.739999999999998</v>
      </c>
      <c r="E26" s="100">
        <v>10.3</v>
      </c>
      <c r="F26" s="151" t="s">
        <v>8</v>
      </c>
      <c r="G26" s="100">
        <v>69.16</v>
      </c>
      <c r="H26" s="100">
        <v>23.61</v>
      </c>
      <c r="I26" s="100">
        <v>11.43</v>
      </c>
      <c r="J26" s="100">
        <v>0.2</v>
      </c>
      <c r="K26" s="100">
        <v>176.93</v>
      </c>
      <c r="L26" s="100">
        <v>21.79</v>
      </c>
      <c r="M26" s="100">
        <v>71.91</v>
      </c>
      <c r="N26" s="100">
        <v>1.3</v>
      </c>
      <c r="O26" s="100">
        <v>0</v>
      </c>
      <c r="P26" s="100">
        <v>0.85</v>
      </c>
      <c r="Q26" s="100">
        <v>28.16</v>
      </c>
      <c r="R26" s="6"/>
      <c r="S26" s="6"/>
      <c r="T26" s="156"/>
      <c r="U26" s="6"/>
    </row>
    <row r="27" spans="1:21" customFormat="1">
      <c r="A27" s="163" t="s">
        <v>449</v>
      </c>
      <c r="B27" s="100">
        <v>8.57</v>
      </c>
      <c r="C27" s="100">
        <v>21.76</v>
      </c>
      <c r="D27" s="100">
        <v>19.59</v>
      </c>
      <c r="E27" s="100">
        <v>10.18</v>
      </c>
      <c r="F27" s="151" t="s">
        <v>8</v>
      </c>
      <c r="G27" s="100">
        <v>64.489999999999995</v>
      </c>
      <c r="H27" s="100">
        <v>21.72</v>
      </c>
      <c r="I27" s="100">
        <v>11.36</v>
      </c>
      <c r="J27" s="100">
        <v>0.14000000000000001</v>
      </c>
      <c r="K27" s="100">
        <v>158.84</v>
      </c>
      <c r="L27" s="100">
        <v>21.78</v>
      </c>
      <c r="M27" s="100">
        <v>71.27</v>
      </c>
      <c r="N27" s="100">
        <v>1.1000000000000001</v>
      </c>
      <c r="O27" s="100">
        <v>0</v>
      </c>
      <c r="P27" s="100">
        <v>0.85</v>
      </c>
      <c r="Q27" s="100">
        <v>28.18</v>
      </c>
      <c r="R27" s="6"/>
      <c r="S27" s="6"/>
      <c r="T27" s="156"/>
      <c r="U27" s="6"/>
    </row>
    <row r="28" spans="1:21" customFormat="1">
      <c r="A28" s="163" t="s">
        <v>450</v>
      </c>
      <c r="B28" s="100">
        <v>8.5</v>
      </c>
      <c r="C28" s="100">
        <v>21.65</v>
      </c>
      <c r="D28" s="100">
        <v>19.48</v>
      </c>
      <c r="E28" s="100">
        <v>9.93</v>
      </c>
      <c r="F28" s="151" t="s">
        <v>8</v>
      </c>
      <c r="G28" s="100">
        <v>63.9</v>
      </c>
      <c r="H28" s="100">
        <v>21.72</v>
      </c>
      <c r="I28" s="100">
        <v>11.34</v>
      </c>
      <c r="J28" s="100">
        <v>0.18</v>
      </c>
      <c r="K28" s="100">
        <v>179.74</v>
      </c>
      <c r="L28" s="100">
        <v>21.7</v>
      </c>
      <c r="M28" s="100">
        <v>71.819999999999993</v>
      </c>
      <c r="N28" s="100">
        <v>1</v>
      </c>
      <c r="O28" s="100">
        <v>0</v>
      </c>
      <c r="P28" s="100">
        <v>0.85</v>
      </c>
      <c r="Q28" s="100">
        <v>28.18</v>
      </c>
      <c r="R28" s="6"/>
      <c r="S28" s="6"/>
      <c r="T28" s="156"/>
      <c r="U28" s="6"/>
    </row>
    <row r="29" spans="1:21" customFormat="1">
      <c r="A29" s="163" t="s">
        <v>451</v>
      </c>
      <c r="B29" s="100">
        <v>8.5</v>
      </c>
      <c r="C29" s="100">
        <v>21.64</v>
      </c>
      <c r="D29" s="100">
        <v>19.47</v>
      </c>
      <c r="E29" s="100">
        <v>9.9600000000000009</v>
      </c>
      <c r="F29" s="151" t="s">
        <v>8</v>
      </c>
      <c r="G29" s="100">
        <v>63.9</v>
      </c>
      <c r="H29" s="100">
        <v>21.72</v>
      </c>
      <c r="I29" s="100">
        <v>11.34</v>
      </c>
      <c r="J29" s="100">
        <v>0.2</v>
      </c>
      <c r="K29" s="100">
        <v>170.21</v>
      </c>
      <c r="L29" s="100">
        <v>21.45</v>
      </c>
      <c r="M29" s="100">
        <v>75.2</v>
      </c>
      <c r="N29" s="100">
        <v>1.2</v>
      </c>
      <c r="O29" s="100">
        <v>0</v>
      </c>
      <c r="P29" s="100">
        <v>0.85</v>
      </c>
      <c r="Q29" s="100">
        <v>28.18</v>
      </c>
      <c r="R29" s="6"/>
      <c r="S29" s="6"/>
      <c r="T29" s="156"/>
      <c r="U29" s="6"/>
    </row>
    <row r="30" spans="1:21" customFormat="1">
      <c r="A30" s="163" t="s">
        <v>452</v>
      </c>
      <c r="B30" s="100">
        <v>8.4700000000000006</v>
      </c>
      <c r="C30" s="100">
        <v>21.5</v>
      </c>
      <c r="D30" s="100">
        <v>19.37</v>
      </c>
      <c r="E30" s="100">
        <v>10.039999999999999</v>
      </c>
      <c r="F30" s="151" t="s">
        <v>8</v>
      </c>
      <c r="G30" s="100">
        <v>63.9</v>
      </c>
      <c r="H30" s="100">
        <v>21.72</v>
      </c>
      <c r="I30" s="100">
        <v>11.39</v>
      </c>
      <c r="J30" s="100">
        <v>0.22</v>
      </c>
      <c r="K30" s="100">
        <v>157.79</v>
      </c>
      <c r="L30" s="100">
        <v>21.24</v>
      </c>
      <c r="M30" s="100">
        <v>74.78</v>
      </c>
      <c r="N30" s="100">
        <v>1.1000000000000001</v>
      </c>
      <c r="O30" s="100">
        <v>0</v>
      </c>
      <c r="P30" s="100">
        <v>0.84</v>
      </c>
      <c r="Q30" s="100">
        <v>28.19</v>
      </c>
      <c r="R30" s="6"/>
      <c r="S30" s="6"/>
      <c r="T30" s="156"/>
      <c r="U30" s="6"/>
    </row>
    <row r="31" spans="1:21" customFormat="1">
      <c r="A31" s="163" t="s">
        <v>453</v>
      </c>
      <c r="B31" s="100">
        <v>8.4600000000000009</v>
      </c>
      <c r="C31" s="100">
        <v>21.47</v>
      </c>
      <c r="D31" s="100">
        <v>19.350000000000001</v>
      </c>
      <c r="E31" s="100">
        <v>10.14</v>
      </c>
      <c r="F31" s="151" t="s">
        <v>8</v>
      </c>
      <c r="G31" s="100">
        <v>64.3</v>
      </c>
      <c r="H31" s="100">
        <v>22.11</v>
      </c>
      <c r="I31" s="100">
        <v>11.44</v>
      </c>
      <c r="J31" s="100">
        <v>0.17</v>
      </c>
      <c r="K31" s="100">
        <v>197.98</v>
      </c>
      <c r="L31" s="100">
        <v>21.26</v>
      </c>
      <c r="M31" s="100">
        <v>75.569999999999993</v>
      </c>
      <c r="N31" s="100">
        <v>1</v>
      </c>
      <c r="O31" s="100">
        <v>0</v>
      </c>
      <c r="P31" s="100">
        <v>0.84</v>
      </c>
      <c r="Q31" s="100">
        <v>28.19</v>
      </c>
      <c r="R31" s="6"/>
      <c r="S31" s="6"/>
      <c r="T31" s="156"/>
      <c r="U31" s="6"/>
    </row>
    <row r="32" spans="1:21" customFormat="1">
      <c r="A32" s="163" t="s">
        <v>454</v>
      </c>
      <c r="B32" s="100">
        <v>8.56</v>
      </c>
      <c r="C32" s="100">
        <v>21.43</v>
      </c>
      <c r="D32" s="100">
        <v>19.41</v>
      </c>
      <c r="E32" s="100">
        <v>10.210000000000001</v>
      </c>
      <c r="F32" s="151" t="s">
        <v>8</v>
      </c>
      <c r="G32" s="100">
        <v>64.349999999999994</v>
      </c>
      <c r="H32" s="100">
        <v>22.11</v>
      </c>
      <c r="I32" s="100">
        <v>11.5</v>
      </c>
      <c r="J32" s="100">
        <v>0.1</v>
      </c>
      <c r="K32" s="100">
        <v>183.18</v>
      </c>
      <c r="L32" s="100">
        <v>21.17</v>
      </c>
      <c r="M32" s="100">
        <v>74.59</v>
      </c>
      <c r="N32" s="100">
        <v>0.9</v>
      </c>
      <c r="O32" s="100">
        <v>0</v>
      </c>
      <c r="P32" s="100">
        <v>0.83</v>
      </c>
      <c r="Q32" s="100">
        <v>28.18</v>
      </c>
      <c r="R32" s="6"/>
      <c r="S32" s="6"/>
      <c r="T32" s="156"/>
      <c r="U32" s="6"/>
    </row>
    <row r="33" spans="1:21" customFormat="1">
      <c r="A33" s="163" t="s">
        <v>455</v>
      </c>
      <c r="B33" s="100">
        <v>9.01</v>
      </c>
      <c r="C33" s="100">
        <v>21.74</v>
      </c>
      <c r="D33" s="100">
        <v>19.93</v>
      </c>
      <c r="E33" s="100">
        <v>10.15</v>
      </c>
      <c r="F33" s="151" t="s">
        <v>8</v>
      </c>
      <c r="G33" s="100">
        <v>64.349999999999994</v>
      </c>
      <c r="H33" s="100">
        <v>22.11</v>
      </c>
      <c r="I33" s="100">
        <v>11.57</v>
      </c>
      <c r="J33" s="100">
        <v>0.22</v>
      </c>
      <c r="K33" s="100">
        <v>143.44999999999999</v>
      </c>
      <c r="L33" s="100">
        <v>21.1</v>
      </c>
      <c r="M33" s="100">
        <v>74.47</v>
      </c>
      <c r="N33" s="100">
        <v>1.7</v>
      </c>
      <c r="O33" s="100">
        <v>0</v>
      </c>
      <c r="P33" s="100">
        <v>0.85</v>
      </c>
      <c r="Q33" s="100">
        <v>28.2</v>
      </c>
      <c r="R33" s="6"/>
      <c r="S33" s="6"/>
      <c r="T33" s="156"/>
      <c r="U33" s="6"/>
    </row>
    <row r="34" spans="1:21" customFormat="1">
      <c r="A34" s="163" t="s">
        <v>456</v>
      </c>
      <c r="B34" s="100">
        <v>9.57</v>
      </c>
      <c r="C34" s="100">
        <v>20.52</v>
      </c>
      <c r="D34" s="100">
        <v>19.75</v>
      </c>
      <c r="E34" s="100">
        <v>9.7200000000000006</v>
      </c>
      <c r="F34" s="151" t="s">
        <v>8</v>
      </c>
      <c r="G34" s="100">
        <v>64.349999999999994</v>
      </c>
      <c r="H34" s="100">
        <v>22.11</v>
      </c>
      <c r="I34" s="100">
        <v>11.68</v>
      </c>
      <c r="J34" s="100">
        <v>0.16</v>
      </c>
      <c r="K34" s="100">
        <v>119.55</v>
      </c>
      <c r="L34" s="100">
        <v>20.84</v>
      </c>
      <c r="M34" s="100">
        <v>74.489999999999995</v>
      </c>
      <c r="N34" s="100">
        <v>3.7</v>
      </c>
      <c r="O34" s="100">
        <v>0</v>
      </c>
      <c r="P34" s="100">
        <v>0.89</v>
      </c>
      <c r="Q34" s="100">
        <v>28.24</v>
      </c>
      <c r="R34" s="6"/>
      <c r="S34" s="6"/>
      <c r="T34" s="156"/>
      <c r="U34" s="6"/>
    </row>
    <row r="35" spans="1:21" customFormat="1">
      <c r="A35" s="163" t="s">
        <v>457</v>
      </c>
      <c r="B35" s="100">
        <v>10.4</v>
      </c>
      <c r="C35" s="100">
        <v>19.68</v>
      </c>
      <c r="D35" s="100">
        <v>19.98</v>
      </c>
      <c r="E35" s="100">
        <v>9.6999999999999993</v>
      </c>
      <c r="F35" s="151" t="s">
        <v>8</v>
      </c>
      <c r="G35" s="100">
        <v>63.34</v>
      </c>
      <c r="H35" s="100">
        <v>23.02</v>
      </c>
      <c r="I35" s="100">
        <v>11.82</v>
      </c>
      <c r="J35" s="100">
        <v>0.23</v>
      </c>
      <c r="K35" s="100">
        <v>179.26</v>
      </c>
      <c r="L35" s="100">
        <v>20.78</v>
      </c>
      <c r="M35" s="100">
        <v>77.09</v>
      </c>
      <c r="N35" s="100">
        <v>9.1</v>
      </c>
      <c r="O35" s="100">
        <v>0</v>
      </c>
      <c r="P35" s="100">
        <v>0.89</v>
      </c>
      <c r="Q35" s="100">
        <v>28.27</v>
      </c>
      <c r="R35" s="6"/>
      <c r="S35" s="6"/>
      <c r="T35" s="156"/>
      <c r="U35" s="6"/>
    </row>
    <row r="36" spans="1:21" customFormat="1">
      <c r="A36" s="163" t="s">
        <v>458</v>
      </c>
      <c r="B36" s="100">
        <v>10.93</v>
      </c>
      <c r="C36" s="100">
        <v>19.68</v>
      </c>
      <c r="D36" s="100">
        <v>20.399999999999999</v>
      </c>
      <c r="E36" s="100">
        <v>9.64</v>
      </c>
      <c r="F36" s="151" t="s">
        <v>8</v>
      </c>
      <c r="G36" s="100">
        <v>63.21</v>
      </c>
      <c r="H36" s="100">
        <v>23.02</v>
      </c>
      <c r="I36" s="100">
        <v>11.96</v>
      </c>
      <c r="J36" s="100">
        <v>0.1</v>
      </c>
      <c r="K36" s="100">
        <v>165.51</v>
      </c>
      <c r="L36" s="100">
        <v>20.76</v>
      </c>
      <c r="M36" s="100">
        <v>76.38</v>
      </c>
      <c r="N36" s="100">
        <v>15.9</v>
      </c>
      <c r="O36" s="100">
        <v>0</v>
      </c>
      <c r="P36" s="100">
        <v>0.89</v>
      </c>
      <c r="Q36" s="100">
        <v>28.3</v>
      </c>
      <c r="R36" s="6"/>
      <c r="S36" s="6"/>
      <c r="T36" s="156"/>
      <c r="U36" s="6"/>
    </row>
    <row r="37" spans="1:21" customFormat="1">
      <c r="A37" s="163" t="s">
        <v>459</v>
      </c>
      <c r="B37" s="100">
        <v>11.33</v>
      </c>
      <c r="C37" s="100">
        <v>19.68</v>
      </c>
      <c r="D37" s="100">
        <v>20.72</v>
      </c>
      <c r="E37" s="100">
        <v>9.7100000000000009</v>
      </c>
      <c r="F37" s="151" t="s">
        <v>8</v>
      </c>
      <c r="G37" s="100">
        <v>63.21</v>
      </c>
      <c r="H37" s="100">
        <v>23.02</v>
      </c>
      <c r="I37" s="100">
        <v>12.05</v>
      </c>
      <c r="J37" s="100">
        <v>0.19</v>
      </c>
      <c r="K37" s="100">
        <v>191.79</v>
      </c>
      <c r="L37" s="100">
        <v>21.27</v>
      </c>
      <c r="M37" s="100">
        <v>76.28</v>
      </c>
      <c r="N37" s="100">
        <v>23.2</v>
      </c>
      <c r="O37" s="100">
        <v>0</v>
      </c>
      <c r="P37" s="100">
        <v>0.89</v>
      </c>
      <c r="Q37" s="100">
        <v>28.32</v>
      </c>
      <c r="R37" s="6"/>
      <c r="S37" s="6"/>
      <c r="T37" s="156"/>
      <c r="U37" s="6"/>
    </row>
    <row r="38" spans="1:21" customFormat="1">
      <c r="A38" s="163" t="s">
        <v>460</v>
      </c>
      <c r="B38" s="100">
        <v>11.71</v>
      </c>
      <c r="C38" s="100">
        <v>19.510000000000002</v>
      </c>
      <c r="D38" s="100">
        <v>20.93</v>
      </c>
      <c r="E38" s="100">
        <v>9.84</v>
      </c>
      <c r="F38" s="151" t="s">
        <v>8</v>
      </c>
      <c r="G38" s="100">
        <v>63.21</v>
      </c>
      <c r="H38" s="100">
        <v>23.02</v>
      </c>
      <c r="I38" s="100">
        <v>12.16</v>
      </c>
      <c r="J38" s="100">
        <v>0.22</v>
      </c>
      <c r="K38" s="100">
        <v>183.26</v>
      </c>
      <c r="L38" s="100">
        <v>21.85</v>
      </c>
      <c r="M38" s="100">
        <v>75.73</v>
      </c>
      <c r="N38" s="100">
        <v>30.2</v>
      </c>
      <c r="O38" s="100">
        <v>0</v>
      </c>
      <c r="P38" s="100">
        <v>0.9</v>
      </c>
      <c r="Q38" s="100">
        <v>28.32</v>
      </c>
      <c r="R38" s="6"/>
      <c r="S38" s="6"/>
      <c r="T38" s="156"/>
      <c r="U38" s="6"/>
    </row>
    <row r="39" spans="1:21" customFormat="1">
      <c r="A39" s="163" t="s">
        <v>461</v>
      </c>
      <c r="B39" s="100">
        <v>12</v>
      </c>
      <c r="C39" s="100">
        <v>19.45</v>
      </c>
      <c r="D39" s="100">
        <v>21.13</v>
      </c>
      <c r="E39" s="100">
        <v>9.76</v>
      </c>
      <c r="F39" s="151" t="s">
        <v>8</v>
      </c>
      <c r="G39" s="100">
        <v>68.349999999999994</v>
      </c>
      <c r="H39" s="100">
        <v>23.99</v>
      </c>
      <c r="I39" s="100">
        <v>12.19</v>
      </c>
      <c r="J39" s="100">
        <v>0.15</v>
      </c>
      <c r="K39" s="100">
        <v>186.97</v>
      </c>
      <c r="L39" s="100">
        <v>22.69</v>
      </c>
      <c r="M39" s="100">
        <v>70.290000000000006</v>
      </c>
      <c r="N39" s="100">
        <v>38.700000000000003</v>
      </c>
      <c r="O39" s="100">
        <v>0</v>
      </c>
      <c r="P39" s="100">
        <v>0.9</v>
      </c>
      <c r="Q39" s="100">
        <v>28.34</v>
      </c>
      <c r="R39" s="6"/>
      <c r="S39" s="6"/>
      <c r="T39" s="156"/>
      <c r="U39" s="6"/>
    </row>
    <row r="40" spans="1:21" customFormat="1">
      <c r="A40" s="163" t="s">
        <v>462</v>
      </c>
      <c r="B40" s="100">
        <v>12.1</v>
      </c>
      <c r="C40" s="100">
        <v>19.510000000000002</v>
      </c>
      <c r="D40" s="100">
        <v>21.24</v>
      </c>
      <c r="E40" s="100">
        <v>9.4600000000000009</v>
      </c>
      <c r="F40" s="151" t="s">
        <v>8</v>
      </c>
      <c r="G40" s="100">
        <v>68.989999999999995</v>
      </c>
      <c r="H40" s="100">
        <v>23.99</v>
      </c>
      <c r="I40" s="100">
        <v>12.24</v>
      </c>
      <c r="J40" s="100">
        <v>0.12</v>
      </c>
      <c r="K40" s="100">
        <v>160.66999999999999</v>
      </c>
      <c r="L40" s="100">
        <v>24.08</v>
      </c>
      <c r="M40" s="100">
        <v>60.92</v>
      </c>
      <c r="N40" s="100">
        <v>55.5</v>
      </c>
      <c r="O40" s="100">
        <v>0</v>
      </c>
      <c r="P40" s="100">
        <v>0.9</v>
      </c>
      <c r="Q40" s="100">
        <v>28.34</v>
      </c>
      <c r="R40" s="6"/>
      <c r="S40" s="6"/>
      <c r="T40" s="156"/>
      <c r="U40" s="6"/>
    </row>
    <row r="41" spans="1:21" customFormat="1">
      <c r="A41" s="163" t="s">
        <v>463</v>
      </c>
      <c r="B41" s="100">
        <v>12.11</v>
      </c>
      <c r="C41" s="100">
        <v>19.739999999999998</v>
      </c>
      <c r="D41" s="100">
        <v>21.38</v>
      </c>
      <c r="E41" s="100">
        <v>9.48</v>
      </c>
      <c r="F41" s="151" t="s">
        <v>8</v>
      </c>
      <c r="G41" s="100">
        <v>68.989999999999995</v>
      </c>
      <c r="H41" s="100">
        <v>23.99</v>
      </c>
      <c r="I41" s="100">
        <v>12.4</v>
      </c>
      <c r="J41" s="100">
        <v>0.28000000000000003</v>
      </c>
      <c r="K41" s="100">
        <v>252.47</v>
      </c>
      <c r="L41" s="100">
        <v>25.31</v>
      </c>
      <c r="M41" s="100">
        <v>53</v>
      </c>
      <c r="N41" s="100">
        <v>88.4</v>
      </c>
      <c r="O41" s="100">
        <v>0</v>
      </c>
      <c r="P41" s="100">
        <v>0.91</v>
      </c>
      <c r="Q41" s="100">
        <v>28.34</v>
      </c>
      <c r="R41" s="6"/>
      <c r="S41" s="6"/>
      <c r="T41" s="156"/>
      <c r="U41" s="6"/>
    </row>
    <row r="42" spans="1:21" customFormat="1">
      <c r="A42" s="163" t="s">
        <v>464</v>
      </c>
      <c r="B42" s="100">
        <v>12.01</v>
      </c>
      <c r="C42" s="100">
        <v>19.2</v>
      </c>
      <c r="D42" s="100">
        <v>21.01</v>
      </c>
      <c r="E42" s="100">
        <v>9.9700000000000006</v>
      </c>
      <c r="F42" s="151" t="s">
        <v>8</v>
      </c>
      <c r="G42" s="100">
        <v>68.989999999999995</v>
      </c>
      <c r="H42" s="100">
        <v>23.99</v>
      </c>
      <c r="I42" s="100">
        <v>12.61</v>
      </c>
      <c r="J42" s="100">
        <v>0.34</v>
      </c>
      <c r="K42" s="100">
        <v>300.88</v>
      </c>
      <c r="L42" s="100">
        <v>26.6</v>
      </c>
      <c r="M42" s="100">
        <v>48.3</v>
      </c>
      <c r="N42" s="100">
        <v>154.9</v>
      </c>
      <c r="O42" s="100">
        <v>0</v>
      </c>
      <c r="P42" s="100">
        <v>1.08</v>
      </c>
      <c r="Q42" s="100">
        <v>28.34</v>
      </c>
      <c r="R42" s="6"/>
      <c r="S42" s="6"/>
      <c r="T42" s="156"/>
      <c r="U42" s="6"/>
    </row>
    <row r="43" spans="1:21" customFormat="1">
      <c r="A43" s="163" t="s">
        <v>465</v>
      </c>
      <c r="B43" s="100">
        <v>12.08</v>
      </c>
      <c r="C43" s="100">
        <v>19.920000000000002</v>
      </c>
      <c r="D43" s="100">
        <v>21.44</v>
      </c>
      <c r="E43" s="100">
        <v>11.81</v>
      </c>
      <c r="F43" s="151" t="s">
        <v>8</v>
      </c>
      <c r="G43" s="100">
        <v>90.06</v>
      </c>
      <c r="H43" s="100">
        <v>42.76</v>
      </c>
      <c r="I43" s="100">
        <v>12.89</v>
      </c>
      <c r="J43" s="100">
        <v>0.39</v>
      </c>
      <c r="K43" s="100">
        <v>359.98</v>
      </c>
      <c r="L43" s="100">
        <v>27.73</v>
      </c>
      <c r="M43" s="100">
        <v>39.97</v>
      </c>
      <c r="N43" s="100">
        <v>192.9</v>
      </c>
      <c r="O43" s="100">
        <v>0</v>
      </c>
      <c r="P43" s="100">
        <v>1.1000000000000001</v>
      </c>
      <c r="Q43" s="100">
        <v>28.34</v>
      </c>
      <c r="R43" s="6"/>
      <c r="S43" s="6"/>
      <c r="T43" s="156"/>
      <c r="U43" s="6"/>
    </row>
    <row r="44" spans="1:21" customFormat="1">
      <c r="A44" s="163" t="s">
        <v>466</v>
      </c>
      <c r="B44" s="100">
        <v>12.19</v>
      </c>
      <c r="C44" s="100">
        <v>21.07</v>
      </c>
      <c r="D44" s="100">
        <v>22.14</v>
      </c>
      <c r="E44" s="100">
        <v>11.58</v>
      </c>
      <c r="F44" s="151" t="s">
        <v>8</v>
      </c>
      <c r="G44" s="100">
        <v>92.69</v>
      </c>
      <c r="H44" s="100">
        <v>42.76</v>
      </c>
      <c r="I44" s="100">
        <v>17.12</v>
      </c>
      <c r="J44" s="100">
        <v>0.7</v>
      </c>
      <c r="K44" s="100">
        <v>31.16</v>
      </c>
      <c r="L44" s="100">
        <v>28.51</v>
      </c>
      <c r="M44" s="100">
        <v>37.93</v>
      </c>
      <c r="N44" s="100">
        <v>205.3</v>
      </c>
      <c r="O44" s="100">
        <v>0</v>
      </c>
      <c r="P44" s="100">
        <v>1.05</v>
      </c>
      <c r="Q44" s="100">
        <v>28.34</v>
      </c>
      <c r="R44" s="6"/>
      <c r="S44" s="6"/>
      <c r="T44" s="156"/>
      <c r="U44" s="6"/>
    </row>
    <row r="45" spans="1:21" customFormat="1">
      <c r="A45" s="163" t="s">
        <v>467</v>
      </c>
      <c r="B45" s="100">
        <v>12.23</v>
      </c>
      <c r="C45" s="100">
        <v>21.21</v>
      </c>
      <c r="D45" s="100">
        <v>22.24</v>
      </c>
      <c r="E45" s="100">
        <v>12.07</v>
      </c>
      <c r="F45" s="151" t="s">
        <v>8</v>
      </c>
      <c r="G45" s="100">
        <v>92.69</v>
      </c>
      <c r="H45" s="100">
        <v>42.76</v>
      </c>
      <c r="I45" s="100">
        <v>20.350000000000001</v>
      </c>
      <c r="J45" s="100">
        <v>0.8</v>
      </c>
      <c r="K45" s="100">
        <v>24.58</v>
      </c>
      <c r="L45" s="100">
        <v>29</v>
      </c>
      <c r="M45" s="100">
        <v>37.33</v>
      </c>
      <c r="N45" s="100">
        <v>182.3</v>
      </c>
      <c r="O45" s="100">
        <v>0</v>
      </c>
      <c r="P45" s="100">
        <v>1.04</v>
      </c>
      <c r="Q45" s="100">
        <v>28.34</v>
      </c>
      <c r="R45" s="6"/>
      <c r="S45" s="6"/>
      <c r="T45" s="156"/>
      <c r="U45" s="6"/>
    </row>
    <row r="46" spans="1:21" customFormat="1">
      <c r="A46" s="163" t="s">
        <v>468</v>
      </c>
      <c r="B46" s="100">
        <v>12.21</v>
      </c>
      <c r="C46" s="100">
        <v>21.54</v>
      </c>
      <c r="D46" s="100">
        <v>22.39</v>
      </c>
      <c r="E46" s="100">
        <v>12.45</v>
      </c>
      <c r="F46" s="151" t="s">
        <v>8</v>
      </c>
      <c r="G46" s="100">
        <v>92.69</v>
      </c>
      <c r="H46" s="100">
        <v>42.76</v>
      </c>
      <c r="I46" s="100">
        <v>15.4</v>
      </c>
      <c r="J46" s="100">
        <v>0.84</v>
      </c>
      <c r="K46" s="100">
        <v>55.75</v>
      </c>
      <c r="L46" s="100">
        <v>29.63</v>
      </c>
      <c r="M46" s="100">
        <v>36.130000000000003</v>
      </c>
      <c r="N46" s="100">
        <v>249.9</v>
      </c>
      <c r="O46" s="100">
        <v>0</v>
      </c>
      <c r="P46" s="100">
        <v>1.02</v>
      </c>
      <c r="Q46" s="100">
        <v>28.34</v>
      </c>
      <c r="R46" s="6"/>
      <c r="S46" s="6"/>
      <c r="T46" s="156"/>
      <c r="U46" s="6"/>
    </row>
    <row r="47" spans="1:21" customFormat="1">
      <c r="A47" s="163" t="s">
        <v>469</v>
      </c>
      <c r="B47" s="100">
        <v>12</v>
      </c>
      <c r="C47" s="100">
        <v>22.1</v>
      </c>
      <c r="D47" s="100">
        <v>22.52</v>
      </c>
      <c r="E47" s="100">
        <v>13.55</v>
      </c>
      <c r="F47" s="151" t="s">
        <v>8</v>
      </c>
      <c r="G47" s="100">
        <v>94.1</v>
      </c>
      <c r="H47" s="100">
        <v>39.29</v>
      </c>
      <c r="I47" s="100">
        <v>14.88</v>
      </c>
      <c r="J47" s="100">
        <v>1.18</v>
      </c>
      <c r="K47" s="100">
        <v>50.11</v>
      </c>
      <c r="L47" s="100">
        <v>30.3</v>
      </c>
      <c r="M47" s="100">
        <v>34.86</v>
      </c>
      <c r="N47" s="100">
        <v>266</v>
      </c>
      <c r="O47" s="100">
        <v>0</v>
      </c>
      <c r="P47" s="100">
        <v>0.99</v>
      </c>
      <c r="Q47" s="100">
        <v>28.34</v>
      </c>
      <c r="R47" s="6"/>
      <c r="S47" s="6"/>
      <c r="T47" s="156"/>
      <c r="U47" s="6"/>
    </row>
    <row r="48" spans="1:21" customFormat="1">
      <c r="A48" s="163" t="s">
        <v>470</v>
      </c>
      <c r="B48" s="100">
        <v>11.53</v>
      </c>
      <c r="C48" s="100">
        <v>22.55</v>
      </c>
      <c r="D48" s="100">
        <v>22.38</v>
      </c>
      <c r="E48" s="100">
        <v>11.98</v>
      </c>
      <c r="F48" s="151" t="s">
        <v>8</v>
      </c>
      <c r="G48" s="100">
        <v>94.27</v>
      </c>
      <c r="H48" s="100">
        <v>39.29</v>
      </c>
      <c r="I48" s="100">
        <v>14.45</v>
      </c>
      <c r="J48" s="100">
        <v>0.88</v>
      </c>
      <c r="K48" s="100">
        <v>56.42</v>
      </c>
      <c r="L48" s="100">
        <v>30.86</v>
      </c>
      <c r="M48" s="100">
        <v>33.64</v>
      </c>
      <c r="N48" s="100">
        <v>280.7</v>
      </c>
      <c r="O48" s="100">
        <v>0</v>
      </c>
      <c r="P48" s="100">
        <v>0.99</v>
      </c>
      <c r="Q48" s="100">
        <v>28.31</v>
      </c>
      <c r="R48" s="6"/>
      <c r="S48" s="6"/>
      <c r="T48" s="156"/>
      <c r="U48" s="6"/>
    </row>
    <row r="49" spans="1:21" customFormat="1">
      <c r="A49" s="163" t="s">
        <v>471</v>
      </c>
      <c r="B49" s="100">
        <v>10.96</v>
      </c>
      <c r="C49" s="100">
        <v>23.19</v>
      </c>
      <c r="D49" s="100">
        <v>22.26</v>
      </c>
      <c r="E49" s="100">
        <v>11.58</v>
      </c>
      <c r="F49" s="151" t="s">
        <v>8</v>
      </c>
      <c r="G49" s="100">
        <v>94.27</v>
      </c>
      <c r="H49" s="100">
        <v>39.29</v>
      </c>
      <c r="I49" s="100">
        <v>14.19</v>
      </c>
      <c r="J49" s="100">
        <v>1.1499999999999999</v>
      </c>
      <c r="K49" s="100">
        <v>51.36</v>
      </c>
      <c r="L49" s="100">
        <v>31.41</v>
      </c>
      <c r="M49" s="100">
        <v>32.46</v>
      </c>
      <c r="N49" s="100">
        <v>249.2</v>
      </c>
      <c r="O49" s="100">
        <v>0</v>
      </c>
      <c r="P49" s="100">
        <v>0.97</v>
      </c>
      <c r="Q49" s="100">
        <v>28.28</v>
      </c>
      <c r="R49" s="6"/>
      <c r="S49" s="6"/>
      <c r="T49" s="156"/>
      <c r="U49" s="6"/>
    </row>
    <row r="50" spans="1:21" customFormat="1">
      <c r="A50" s="163" t="s">
        <v>472</v>
      </c>
      <c r="B50" s="100">
        <v>10.31</v>
      </c>
      <c r="C50" s="100">
        <v>23.73</v>
      </c>
      <c r="D50" s="100">
        <v>22.02</v>
      </c>
      <c r="E50" s="100">
        <v>19.8</v>
      </c>
      <c r="F50" s="151" t="s">
        <v>8</v>
      </c>
      <c r="G50" s="100">
        <v>94.27</v>
      </c>
      <c r="H50" s="100">
        <v>39.29</v>
      </c>
      <c r="I50" s="100">
        <v>14.06</v>
      </c>
      <c r="J50" s="100">
        <v>1.06</v>
      </c>
      <c r="K50" s="100">
        <v>53.84</v>
      </c>
      <c r="L50" s="100">
        <v>31.7</v>
      </c>
      <c r="M50" s="100">
        <v>31.68</v>
      </c>
      <c r="N50" s="100">
        <v>243</v>
      </c>
      <c r="O50" s="100">
        <v>0</v>
      </c>
      <c r="P50" s="100">
        <v>0.95</v>
      </c>
      <c r="Q50" s="100">
        <v>28.29</v>
      </c>
      <c r="R50" s="6"/>
      <c r="S50" s="6"/>
      <c r="T50" s="156"/>
      <c r="U50" s="6"/>
    </row>
    <row r="51" spans="1:21" customFormat="1">
      <c r="A51" s="163" t="s">
        <v>473</v>
      </c>
      <c r="B51" s="100">
        <v>9.57</v>
      </c>
      <c r="C51" s="100">
        <v>24.76</v>
      </c>
      <c r="D51" s="100">
        <v>21.96</v>
      </c>
      <c r="E51" s="100">
        <v>19.53</v>
      </c>
      <c r="F51" s="151" t="s">
        <v>8</v>
      </c>
      <c r="G51" s="100">
        <v>91.27</v>
      </c>
      <c r="H51" s="100">
        <v>35.26</v>
      </c>
      <c r="I51" s="100">
        <v>13.61</v>
      </c>
      <c r="J51" s="100">
        <v>0.64</v>
      </c>
      <c r="K51" s="100">
        <v>72.489999999999995</v>
      </c>
      <c r="L51" s="100">
        <v>32.6</v>
      </c>
      <c r="M51" s="100">
        <v>29.88</v>
      </c>
      <c r="N51" s="100">
        <v>301.8</v>
      </c>
      <c r="O51" s="100">
        <v>0</v>
      </c>
      <c r="P51" s="100">
        <v>0.89</v>
      </c>
      <c r="Q51" s="100">
        <v>28.24</v>
      </c>
      <c r="R51" s="6"/>
      <c r="S51" s="6"/>
      <c r="T51" s="156"/>
      <c r="U51" s="6"/>
    </row>
    <row r="52" spans="1:21" customFormat="1">
      <c r="A52" s="163" t="s">
        <v>474</v>
      </c>
      <c r="B52" s="100">
        <v>8.41</v>
      </c>
      <c r="C52" s="100">
        <v>2.1</v>
      </c>
      <c r="D52" s="100">
        <v>9.19</v>
      </c>
      <c r="E52" s="100">
        <v>24.49</v>
      </c>
      <c r="F52" s="151" t="s">
        <v>8</v>
      </c>
      <c r="G52" s="100">
        <v>87.93</v>
      </c>
      <c r="H52" s="100">
        <v>35.26</v>
      </c>
      <c r="I52" s="100">
        <v>13.04</v>
      </c>
      <c r="J52" s="100">
        <v>0.97</v>
      </c>
      <c r="K52" s="100">
        <v>50.44</v>
      </c>
      <c r="L52" s="100">
        <v>32.94</v>
      </c>
      <c r="M52" s="100">
        <v>29.12</v>
      </c>
      <c r="N52" s="100">
        <v>313.89999999999998</v>
      </c>
      <c r="O52" s="100">
        <v>0</v>
      </c>
      <c r="P52" s="100">
        <v>0.78</v>
      </c>
      <c r="Q52" s="100">
        <v>28.17</v>
      </c>
      <c r="R52" s="6"/>
      <c r="S52" s="6"/>
      <c r="T52" s="156"/>
      <c r="U52" s="6"/>
    </row>
    <row r="53" spans="1:21" customFormat="1">
      <c r="A53" s="163" t="s">
        <v>475</v>
      </c>
      <c r="B53" s="100">
        <v>139.55000000000001</v>
      </c>
      <c r="C53" s="100">
        <v>9.24</v>
      </c>
      <c r="D53" s="100">
        <v>130.5</v>
      </c>
      <c r="E53" s="100">
        <v>22.19</v>
      </c>
      <c r="F53" s="151" t="s">
        <v>8</v>
      </c>
      <c r="G53" s="100">
        <v>87.93</v>
      </c>
      <c r="H53" s="100">
        <v>35.26</v>
      </c>
      <c r="I53" s="100">
        <v>11.82</v>
      </c>
      <c r="J53" s="100">
        <v>1.08</v>
      </c>
      <c r="K53" s="100">
        <v>34.65</v>
      </c>
      <c r="L53" s="100">
        <v>33.229999999999997</v>
      </c>
      <c r="M53" s="100">
        <v>26.08</v>
      </c>
      <c r="N53" s="100">
        <v>320.60000000000002</v>
      </c>
      <c r="O53" s="100">
        <v>0</v>
      </c>
      <c r="P53" s="100">
        <v>0.63</v>
      </c>
      <c r="Q53" s="100">
        <v>28.1</v>
      </c>
      <c r="R53" s="6"/>
      <c r="S53" s="6"/>
      <c r="T53" s="156"/>
      <c r="U53" s="6"/>
    </row>
    <row r="54" spans="1:21" customFormat="1">
      <c r="A54" s="163" t="s">
        <v>476</v>
      </c>
      <c r="B54" s="100">
        <v>209.3</v>
      </c>
      <c r="C54" s="100">
        <v>23.33</v>
      </c>
      <c r="D54" s="100">
        <v>232.63</v>
      </c>
      <c r="E54" s="100">
        <v>3.57</v>
      </c>
      <c r="F54" s="151" t="s">
        <v>8</v>
      </c>
      <c r="G54" s="100">
        <v>87.93</v>
      </c>
      <c r="H54" s="100">
        <v>35.26</v>
      </c>
      <c r="I54" s="100">
        <v>9.27</v>
      </c>
      <c r="J54" s="100">
        <v>0.86</v>
      </c>
      <c r="K54" s="100">
        <v>36.78</v>
      </c>
      <c r="L54" s="100">
        <v>33.24</v>
      </c>
      <c r="M54" s="100">
        <v>25.42</v>
      </c>
      <c r="N54" s="100">
        <v>305.60000000000002</v>
      </c>
      <c r="O54" s="100">
        <v>0</v>
      </c>
      <c r="P54" s="100">
        <v>0.56999999999999995</v>
      </c>
      <c r="Q54" s="100">
        <v>28.08</v>
      </c>
      <c r="R54" s="6"/>
      <c r="S54" s="6"/>
      <c r="T54" s="156"/>
      <c r="U54" s="6"/>
    </row>
    <row r="55" spans="1:21" customFormat="1">
      <c r="A55" s="163" t="s">
        <v>477</v>
      </c>
      <c r="B55" s="100">
        <v>24.93</v>
      </c>
      <c r="C55" s="100">
        <v>21.03</v>
      </c>
      <c r="D55" s="100">
        <v>39.07</v>
      </c>
      <c r="E55" s="100">
        <v>4.37</v>
      </c>
      <c r="F55" s="151" t="s">
        <v>8</v>
      </c>
      <c r="G55" s="100">
        <v>87.93</v>
      </c>
      <c r="H55" s="100">
        <v>35.26</v>
      </c>
      <c r="I55" s="100">
        <v>8.36</v>
      </c>
      <c r="J55" s="100">
        <v>1.24</v>
      </c>
      <c r="K55" s="100">
        <v>39.770000000000003</v>
      </c>
      <c r="L55" s="100">
        <v>33.479999999999997</v>
      </c>
      <c r="M55" s="100">
        <v>24.84</v>
      </c>
      <c r="N55" s="100">
        <v>319.2</v>
      </c>
      <c r="O55" s="100">
        <v>0</v>
      </c>
      <c r="P55" s="100">
        <v>0.54</v>
      </c>
      <c r="Q55" s="100">
        <v>28.07</v>
      </c>
      <c r="R55" s="6"/>
      <c r="S55" s="6"/>
      <c r="T55" s="156"/>
      <c r="U55" s="6"/>
    </row>
    <row r="56" spans="1:21" customFormat="1">
      <c r="A56" s="163" t="s">
        <v>478</v>
      </c>
      <c r="B56" s="100">
        <v>5.41</v>
      </c>
      <c r="C56" s="100">
        <v>24.99</v>
      </c>
      <c r="D56" s="100">
        <v>18.739999999999998</v>
      </c>
      <c r="E56" s="100">
        <v>279.49</v>
      </c>
      <c r="F56" s="151" t="s">
        <v>8</v>
      </c>
      <c r="G56" s="100">
        <v>0</v>
      </c>
      <c r="H56" s="100">
        <v>0</v>
      </c>
      <c r="I56" s="100">
        <v>10.56</v>
      </c>
      <c r="J56" s="100">
        <v>0.93</v>
      </c>
      <c r="K56" s="100">
        <v>23.46</v>
      </c>
      <c r="L56" s="100">
        <v>33.799999999999997</v>
      </c>
      <c r="M56" s="100">
        <v>23.86</v>
      </c>
      <c r="N56" s="100">
        <v>304.7</v>
      </c>
      <c r="O56" s="100">
        <v>0</v>
      </c>
      <c r="P56" s="100">
        <v>0.54</v>
      </c>
      <c r="Q56" s="100">
        <v>28.07</v>
      </c>
      <c r="R56" s="6"/>
      <c r="S56" s="6"/>
      <c r="T56" s="156"/>
      <c r="U56" s="6"/>
    </row>
    <row r="57" spans="1:21" customFormat="1">
      <c r="A57" s="163" t="s">
        <v>479</v>
      </c>
      <c r="B57" s="100">
        <v>4.8499999999999996</v>
      </c>
      <c r="C57" s="100">
        <v>23.83</v>
      </c>
      <c r="D57" s="100">
        <v>17.690000000000001</v>
      </c>
      <c r="E57" s="100">
        <v>191.4</v>
      </c>
      <c r="F57" s="151" t="s">
        <v>8</v>
      </c>
      <c r="G57" s="100">
        <v>0</v>
      </c>
      <c r="H57" s="100">
        <v>0</v>
      </c>
      <c r="I57" s="100">
        <v>12.16</v>
      </c>
      <c r="J57" s="100">
        <v>0.68</v>
      </c>
      <c r="K57" s="100">
        <v>32.08</v>
      </c>
      <c r="L57" s="100">
        <v>34.35</v>
      </c>
      <c r="M57" s="100">
        <v>22.89</v>
      </c>
      <c r="N57" s="100">
        <v>332.6</v>
      </c>
      <c r="O57" s="100">
        <v>0</v>
      </c>
      <c r="P57" s="100">
        <v>0.52</v>
      </c>
      <c r="Q57" s="100">
        <v>28.07</v>
      </c>
      <c r="R57" s="6"/>
      <c r="S57" s="6"/>
      <c r="T57" s="156"/>
      <c r="U57" s="6"/>
    </row>
    <row r="58" spans="1:21" customFormat="1">
      <c r="A58" s="163" t="s">
        <v>480</v>
      </c>
      <c r="B58" s="100">
        <v>4.62</v>
      </c>
      <c r="C58" s="100">
        <v>22.21</v>
      </c>
      <c r="D58" s="100">
        <v>16.66</v>
      </c>
      <c r="E58" s="100">
        <v>238.05</v>
      </c>
      <c r="F58" s="151" t="s">
        <v>8</v>
      </c>
      <c r="G58" s="100">
        <v>0</v>
      </c>
      <c r="H58" s="100">
        <v>0</v>
      </c>
      <c r="I58" s="100">
        <v>14.51</v>
      </c>
      <c r="J58" s="100">
        <v>0.87</v>
      </c>
      <c r="K58" s="100">
        <v>5.49</v>
      </c>
      <c r="L58" s="100">
        <v>34.36</v>
      </c>
      <c r="M58" s="100">
        <v>22.42</v>
      </c>
      <c r="N58" s="100">
        <v>327</v>
      </c>
      <c r="O58" s="100">
        <v>0</v>
      </c>
      <c r="P58" s="100">
        <v>0.51</v>
      </c>
      <c r="Q58" s="100">
        <v>28.03</v>
      </c>
      <c r="R58" s="6"/>
      <c r="S58" s="6"/>
      <c r="T58" s="156"/>
      <c r="U58" s="6"/>
    </row>
    <row r="59" spans="1:21" customFormat="1">
      <c r="A59" s="163" t="s">
        <v>481</v>
      </c>
      <c r="B59" s="100">
        <v>4.8499999999999996</v>
      </c>
      <c r="C59" s="100">
        <v>19.66</v>
      </c>
      <c r="D59" s="100">
        <v>15.51</v>
      </c>
      <c r="E59" s="100">
        <v>267.52999999999997</v>
      </c>
      <c r="F59" s="151" t="s">
        <v>8</v>
      </c>
      <c r="G59" s="100">
        <v>0</v>
      </c>
      <c r="H59" s="100">
        <v>0</v>
      </c>
      <c r="I59" s="100">
        <v>16.48</v>
      </c>
      <c r="J59" s="100">
        <v>1.28</v>
      </c>
      <c r="K59" s="100">
        <v>314.48</v>
      </c>
      <c r="L59" s="100">
        <v>34.49</v>
      </c>
      <c r="M59" s="100">
        <v>21.43</v>
      </c>
      <c r="N59" s="100">
        <v>340.3</v>
      </c>
      <c r="O59" s="100">
        <v>0</v>
      </c>
      <c r="P59" s="100">
        <v>0.5</v>
      </c>
      <c r="Q59" s="100">
        <v>28.01</v>
      </c>
      <c r="R59" s="6"/>
      <c r="S59" s="6"/>
      <c r="T59" s="156"/>
      <c r="U59" s="6"/>
    </row>
    <row r="60" spans="1:21" customFormat="1">
      <c r="A60" s="163" t="s">
        <v>482</v>
      </c>
      <c r="B60" s="100">
        <v>4.26</v>
      </c>
      <c r="C60" s="100">
        <v>16.899999999999999</v>
      </c>
      <c r="D60" s="100">
        <v>13.59</v>
      </c>
      <c r="E60" s="100">
        <v>40.54</v>
      </c>
      <c r="F60" s="151" t="s">
        <v>8</v>
      </c>
      <c r="G60" s="100">
        <v>81.11</v>
      </c>
      <c r="H60" s="100">
        <v>78.94</v>
      </c>
      <c r="I60" s="100">
        <v>16.84</v>
      </c>
      <c r="J60" s="100">
        <v>0.38</v>
      </c>
      <c r="K60" s="100">
        <v>265</v>
      </c>
      <c r="L60" s="100">
        <v>35.159999999999997</v>
      </c>
      <c r="M60" s="100">
        <v>19.82</v>
      </c>
      <c r="N60" s="100">
        <v>347.3</v>
      </c>
      <c r="O60" s="100">
        <v>0</v>
      </c>
      <c r="P60" s="100">
        <v>0.48</v>
      </c>
      <c r="Q60" s="100">
        <v>28.03</v>
      </c>
      <c r="R60" s="6"/>
      <c r="S60" s="6"/>
      <c r="T60" s="156"/>
      <c r="U60" s="6"/>
    </row>
    <row r="61" spans="1:21" customFormat="1">
      <c r="A61" s="163" t="s">
        <v>483</v>
      </c>
      <c r="B61" s="100">
        <v>4.33</v>
      </c>
      <c r="C61" s="100">
        <v>16.7</v>
      </c>
      <c r="D61" s="100">
        <v>13.55</v>
      </c>
      <c r="E61" s="100">
        <v>17.48</v>
      </c>
      <c r="F61" s="151" t="s">
        <v>8</v>
      </c>
      <c r="G61" s="100">
        <v>81.11</v>
      </c>
      <c r="H61" s="100">
        <v>78.94</v>
      </c>
      <c r="I61" s="100">
        <v>15.14</v>
      </c>
      <c r="J61" s="100">
        <v>0.68</v>
      </c>
      <c r="K61" s="100">
        <v>337.03</v>
      </c>
      <c r="L61" s="100">
        <v>35.22</v>
      </c>
      <c r="M61" s="100">
        <v>20.45</v>
      </c>
      <c r="N61" s="100">
        <v>343.4</v>
      </c>
      <c r="O61" s="100">
        <v>0</v>
      </c>
      <c r="P61" s="100">
        <v>0.47</v>
      </c>
      <c r="Q61" s="100">
        <v>28.04</v>
      </c>
      <c r="R61" s="6"/>
      <c r="S61" s="6"/>
      <c r="T61" s="156"/>
      <c r="U61" s="6"/>
    </row>
    <row r="62" spans="1:21" customFormat="1">
      <c r="A62" s="163" t="s">
        <v>484</v>
      </c>
      <c r="B62" s="100">
        <v>4.22</v>
      </c>
      <c r="C62" s="100">
        <v>16.690000000000001</v>
      </c>
      <c r="D62" s="100">
        <v>13.46</v>
      </c>
      <c r="E62" s="100">
        <v>18.79</v>
      </c>
      <c r="F62" s="151" t="s">
        <v>8</v>
      </c>
      <c r="G62" s="100">
        <v>81.11</v>
      </c>
      <c r="H62" s="100">
        <v>78.94</v>
      </c>
      <c r="I62" s="100">
        <v>15.58</v>
      </c>
      <c r="J62" s="100">
        <v>0.57999999999999996</v>
      </c>
      <c r="K62" s="100">
        <v>304.05</v>
      </c>
      <c r="L62" s="100">
        <v>35.340000000000003</v>
      </c>
      <c r="M62" s="100">
        <v>20.53</v>
      </c>
      <c r="N62" s="100">
        <v>307.89999999999998</v>
      </c>
      <c r="O62" s="100">
        <v>0</v>
      </c>
      <c r="P62" s="100">
        <v>0.5</v>
      </c>
      <c r="Q62" s="100">
        <v>28.02</v>
      </c>
      <c r="R62" s="6"/>
      <c r="S62" s="6"/>
      <c r="T62" s="156"/>
      <c r="U62" s="6"/>
    </row>
    <row r="63" spans="1:21" customFormat="1">
      <c r="A63" s="163" t="s">
        <v>485</v>
      </c>
      <c r="B63" s="100">
        <v>4.32</v>
      </c>
      <c r="C63" s="100">
        <v>16.27</v>
      </c>
      <c r="D63" s="100">
        <v>13.31</v>
      </c>
      <c r="E63" s="100">
        <v>13.74</v>
      </c>
      <c r="F63" s="151" t="s">
        <v>8</v>
      </c>
      <c r="G63" s="100">
        <v>81.11</v>
      </c>
      <c r="H63" s="100">
        <v>78.94</v>
      </c>
      <c r="I63" s="100">
        <v>14.65</v>
      </c>
      <c r="J63" s="100">
        <v>0.94</v>
      </c>
      <c r="K63" s="100">
        <v>295.31</v>
      </c>
      <c r="L63" s="100">
        <v>35.46</v>
      </c>
      <c r="M63" s="100">
        <v>19.79</v>
      </c>
      <c r="N63" s="100">
        <v>321.3</v>
      </c>
      <c r="O63" s="100">
        <v>0</v>
      </c>
      <c r="P63" s="100">
        <v>0.49</v>
      </c>
      <c r="Q63" s="100">
        <v>28.03</v>
      </c>
      <c r="R63" s="6"/>
      <c r="S63" s="6"/>
      <c r="T63" s="156"/>
      <c r="U63" s="6"/>
    </row>
    <row r="64" spans="1:21" customFormat="1">
      <c r="A64" s="163" t="s">
        <v>486</v>
      </c>
      <c r="B64" s="100">
        <v>4.3099999999999996</v>
      </c>
      <c r="C64" s="100">
        <v>17.329999999999998</v>
      </c>
      <c r="D64" s="100">
        <v>13.86</v>
      </c>
      <c r="E64" s="100">
        <v>8.9600000000000009</v>
      </c>
      <c r="F64" s="151" t="s">
        <v>8</v>
      </c>
      <c r="G64" s="100">
        <v>71.42</v>
      </c>
      <c r="H64" s="100">
        <v>67.569999999999993</v>
      </c>
      <c r="I64" s="100">
        <v>12.96</v>
      </c>
      <c r="J64" s="100">
        <v>0.78</v>
      </c>
      <c r="K64" s="100">
        <v>320.81</v>
      </c>
      <c r="L64" s="100">
        <v>35.53</v>
      </c>
      <c r="M64" s="100">
        <v>18.98</v>
      </c>
      <c r="N64" s="100">
        <v>332.3</v>
      </c>
      <c r="O64" s="100">
        <v>0</v>
      </c>
      <c r="P64" s="100">
        <v>0.49</v>
      </c>
      <c r="Q64" s="100">
        <v>28</v>
      </c>
      <c r="R64" s="6"/>
      <c r="S64" s="6"/>
      <c r="T64" s="156"/>
      <c r="U64" s="6"/>
    </row>
    <row r="65" spans="1:21" customFormat="1">
      <c r="A65" s="163" t="s">
        <v>487</v>
      </c>
      <c r="B65" s="100">
        <v>4.1100000000000003</v>
      </c>
      <c r="C65" s="100">
        <v>18.63</v>
      </c>
      <c r="D65" s="100">
        <v>14.38</v>
      </c>
      <c r="E65" s="100">
        <v>8.3800000000000008</v>
      </c>
      <c r="F65" s="151" t="s">
        <v>8</v>
      </c>
      <c r="G65" s="100">
        <v>71.42</v>
      </c>
      <c r="H65" s="100">
        <v>67.569999999999993</v>
      </c>
      <c r="I65" s="100">
        <v>12.56</v>
      </c>
      <c r="J65" s="100">
        <v>1.1000000000000001</v>
      </c>
      <c r="K65" s="100">
        <v>317.24</v>
      </c>
      <c r="L65" s="100">
        <v>35.5</v>
      </c>
      <c r="M65" s="100">
        <v>19</v>
      </c>
      <c r="N65" s="100">
        <v>328.1</v>
      </c>
      <c r="O65" s="100">
        <v>0</v>
      </c>
      <c r="P65" s="100">
        <v>0.51</v>
      </c>
      <c r="Q65" s="100">
        <v>28.01</v>
      </c>
      <c r="R65" s="6"/>
      <c r="S65" s="6"/>
      <c r="T65" s="156"/>
      <c r="U65" s="6"/>
    </row>
    <row r="66" spans="1:21" customFormat="1">
      <c r="A66" s="163" t="s">
        <v>488</v>
      </c>
      <c r="B66" s="100">
        <v>4.12</v>
      </c>
      <c r="C66" s="100">
        <v>19.09</v>
      </c>
      <c r="D66" s="100">
        <v>14.63</v>
      </c>
      <c r="E66" s="100">
        <v>8.0500000000000007</v>
      </c>
      <c r="F66" s="151" t="s">
        <v>8</v>
      </c>
      <c r="G66" s="100">
        <v>71.42</v>
      </c>
      <c r="H66" s="100">
        <v>67.569999999999993</v>
      </c>
      <c r="I66" s="100">
        <v>12.65</v>
      </c>
      <c r="J66" s="100">
        <v>0.96</v>
      </c>
      <c r="K66" s="100">
        <v>311.19</v>
      </c>
      <c r="L66" s="100">
        <v>35.46</v>
      </c>
      <c r="M66" s="100">
        <v>19.670000000000002</v>
      </c>
      <c r="N66" s="100">
        <v>305.10000000000002</v>
      </c>
      <c r="O66" s="100">
        <v>0</v>
      </c>
      <c r="P66" s="100">
        <v>0.53</v>
      </c>
      <c r="Q66" s="100">
        <v>28.01</v>
      </c>
      <c r="R66" s="6"/>
      <c r="S66" s="6"/>
      <c r="T66" s="156"/>
      <c r="U66" s="6"/>
    </row>
    <row r="67" spans="1:21" customFormat="1">
      <c r="A67" s="163" t="s">
        <v>489</v>
      </c>
      <c r="B67" s="100">
        <v>4.71</v>
      </c>
      <c r="C67" s="100">
        <v>18.100000000000001</v>
      </c>
      <c r="D67" s="100">
        <v>14.59</v>
      </c>
      <c r="E67" s="100">
        <v>8.57</v>
      </c>
      <c r="F67" s="151" t="s">
        <v>8</v>
      </c>
      <c r="G67" s="100">
        <v>71.42</v>
      </c>
      <c r="H67" s="100">
        <v>67.569999999999993</v>
      </c>
      <c r="I67" s="100">
        <v>12.27</v>
      </c>
      <c r="J67" s="100">
        <v>0.76</v>
      </c>
      <c r="K67" s="100">
        <v>359.89</v>
      </c>
      <c r="L67" s="100">
        <v>35.61</v>
      </c>
      <c r="M67" s="100">
        <v>18.91</v>
      </c>
      <c r="N67" s="100">
        <v>242.8</v>
      </c>
      <c r="O67" s="100">
        <v>0</v>
      </c>
      <c r="P67" s="100">
        <v>0.49</v>
      </c>
      <c r="Q67" s="100">
        <v>28.02</v>
      </c>
      <c r="R67" s="6"/>
      <c r="S67" s="6"/>
      <c r="T67" s="156"/>
      <c r="U67" s="6"/>
    </row>
    <row r="68" spans="1:21" customFormat="1">
      <c r="A68" s="163" t="s">
        <v>490</v>
      </c>
      <c r="B68" s="100">
        <v>5.1100000000000003</v>
      </c>
      <c r="C68" s="100">
        <v>16.260000000000002</v>
      </c>
      <c r="D68" s="100">
        <v>13.94</v>
      </c>
      <c r="E68" s="100">
        <v>9.4700000000000006</v>
      </c>
      <c r="F68" s="151" t="s">
        <v>8</v>
      </c>
      <c r="G68" s="100">
        <v>66.75</v>
      </c>
      <c r="H68" s="100">
        <v>60.1</v>
      </c>
      <c r="I68" s="100">
        <v>11.71</v>
      </c>
      <c r="J68" s="100">
        <v>1.02</v>
      </c>
      <c r="K68" s="100">
        <v>331.65</v>
      </c>
      <c r="L68" s="100">
        <v>35.200000000000003</v>
      </c>
      <c r="M68" s="100">
        <v>18.8</v>
      </c>
      <c r="N68" s="100">
        <v>116.2</v>
      </c>
      <c r="O68" s="100">
        <v>0</v>
      </c>
      <c r="P68" s="100">
        <v>0.46</v>
      </c>
      <c r="Q68" s="100">
        <v>28.02</v>
      </c>
      <c r="R68" s="6"/>
      <c r="S68" s="6"/>
      <c r="T68" s="156"/>
      <c r="U68" s="6"/>
    </row>
    <row r="69" spans="1:21" customFormat="1">
      <c r="A69" s="163" t="s">
        <v>491</v>
      </c>
      <c r="B69" s="100">
        <v>4.67</v>
      </c>
      <c r="C69" s="100">
        <v>15.31</v>
      </c>
      <c r="D69" s="100">
        <v>13.1</v>
      </c>
      <c r="E69" s="100">
        <v>8.23</v>
      </c>
      <c r="F69" s="151" t="s">
        <v>8</v>
      </c>
      <c r="G69" s="100">
        <v>0</v>
      </c>
      <c r="H69" s="100">
        <v>0</v>
      </c>
      <c r="I69" s="100">
        <v>9.26</v>
      </c>
      <c r="J69" s="100">
        <v>1.1399999999999999</v>
      </c>
      <c r="K69" s="100">
        <v>290.48</v>
      </c>
      <c r="L69" s="100">
        <v>35.51</v>
      </c>
      <c r="M69" s="100">
        <v>16.350000000000001</v>
      </c>
      <c r="N69" s="100">
        <v>78.900000000000006</v>
      </c>
      <c r="O69" s="100">
        <v>0</v>
      </c>
      <c r="P69" s="100">
        <v>0.41</v>
      </c>
      <c r="Q69" s="100">
        <v>27.98</v>
      </c>
      <c r="R69" s="6"/>
      <c r="S69" s="6"/>
      <c r="T69" s="156"/>
      <c r="U69" s="6"/>
    </row>
    <row r="70" spans="1:21" customFormat="1">
      <c r="A70" s="163" t="s">
        <v>492</v>
      </c>
      <c r="B70" s="100">
        <v>4.42</v>
      </c>
      <c r="C70" s="100">
        <v>13.55</v>
      </c>
      <c r="D70" s="100">
        <v>11.98</v>
      </c>
      <c r="E70" s="100">
        <v>7.73</v>
      </c>
      <c r="F70" s="151" t="s">
        <v>8</v>
      </c>
      <c r="G70" s="100">
        <v>0</v>
      </c>
      <c r="H70" s="100">
        <v>0</v>
      </c>
      <c r="I70" s="100">
        <v>5.54</v>
      </c>
      <c r="J70" s="100">
        <v>0.89</v>
      </c>
      <c r="K70" s="100">
        <v>260.14999999999998</v>
      </c>
      <c r="L70" s="100">
        <v>34.880000000000003</v>
      </c>
      <c r="M70" s="100">
        <v>17.649999999999999</v>
      </c>
      <c r="N70" s="100">
        <v>68.599999999999994</v>
      </c>
      <c r="O70" s="100">
        <v>0</v>
      </c>
      <c r="P70" s="100">
        <v>0.4</v>
      </c>
      <c r="Q70" s="100">
        <v>27.97</v>
      </c>
      <c r="R70" s="6"/>
      <c r="S70" s="6"/>
      <c r="T70" s="156"/>
      <c r="U70" s="6"/>
    </row>
    <row r="71" spans="1:21" customFormat="1">
      <c r="A71" s="163" t="s">
        <v>493</v>
      </c>
      <c r="B71" s="100">
        <v>6.1</v>
      </c>
      <c r="C71" s="100">
        <v>18.98</v>
      </c>
      <c r="D71" s="100">
        <v>16.16</v>
      </c>
      <c r="E71" s="100">
        <v>7.55</v>
      </c>
      <c r="F71" s="151" t="s">
        <v>8</v>
      </c>
      <c r="G71" s="100">
        <v>0</v>
      </c>
      <c r="H71" s="100">
        <v>0</v>
      </c>
      <c r="I71" s="100">
        <v>4.41</v>
      </c>
      <c r="J71" s="100">
        <v>1.18</v>
      </c>
      <c r="K71" s="100">
        <v>292.11</v>
      </c>
      <c r="L71" s="100">
        <v>35.049999999999997</v>
      </c>
      <c r="M71" s="100">
        <v>17.72</v>
      </c>
      <c r="N71" s="100">
        <v>81.900000000000006</v>
      </c>
      <c r="O71" s="100">
        <v>0</v>
      </c>
      <c r="P71" s="100">
        <v>0.41</v>
      </c>
      <c r="Q71" s="100">
        <v>28</v>
      </c>
      <c r="R71" s="6"/>
      <c r="S71" s="6"/>
      <c r="T71" s="156"/>
      <c r="U71" s="6"/>
    </row>
    <row r="72" spans="1:21" customFormat="1">
      <c r="A72" s="163" t="s">
        <v>494</v>
      </c>
      <c r="B72" s="100">
        <v>4.7300000000000004</v>
      </c>
      <c r="C72" s="100">
        <v>16.309999999999999</v>
      </c>
      <c r="D72" s="100">
        <v>13.67</v>
      </c>
      <c r="E72" s="100">
        <v>8.15</v>
      </c>
      <c r="F72" s="151" t="s">
        <v>8</v>
      </c>
      <c r="G72" s="100">
        <v>0</v>
      </c>
      <c r="H72" s="100">
        <v>0</v>
      </c>
      <c r="I72" s="100">
        <v>3.88</v>
      </c>
      <c r="J72" s="100">
        <v>1.04</v>
      </c>
      <c r="K72" s="100">
        <v>295.76</v>
      </c>
      <c r="L72" s="100">
        <v>35.01</v>
      </c>
      <c r="M72" s="100">
        <v>18.13</v>
      </c>
      <c r="N72" s="100">
        <v>88.5</v>
      </c>
      <c r="O72" s="100">
        <v>0</v>
      </c>
      <c r="P72" s="100">
        <v>0.41</v>
      </c>
      <c r="Q72" s="100">
        <v>28.01</v>
      </c>
      <c r="R72" s="6"/>
      <c r="S72" s="6"/>
      <c r="T72" s="156"/>
      <c r="U72" s="6"/>
    </row>
    <row r="73" spans="1:21" customFormat="1">
      <c r="A73" s="163" t="s">
        <v>495</v>
      </c>
      <c r="B73" s="100">
        <v>6.82</v>
      </c>
      <c r="C73" s="100">
        <v>24.1</v>
      </c>
      <c r="D73" s="100">
        <v>19.41</v>
      </c>
      <c r="E73" s="100">
        <v>8.4</v>
      </c>
      <c r="F73" s="151" t="s">
        <v>8</v>
      </c>
      <c r="G73" s="100">
        <v>43.3</v>
      </c>
      <c r="H73" s="100">
        <v>23.74</v>
      </c>
      <c r="I73" s="100">
        <v>3.03</v>
      </c>
      <c r="J73" s="100">
        <v>0.74</v>
      </c>
      <c r="K73" s="100">
        <v>294.66000000000003</v>
      </c>
      <c r="L73" s="100">
        <v>34.85</v>
      </c>
      <c r="M73" s="100">
        <v>18.13</v>
      </c>
      <c r="N73" s="100">
        <v>75.099999999999994</v>
      </c>
      <c r="O73" s="100">
        <v>0</v>
      </c>
      <c r="P73" s="100">
        <v>0.46</v>
      </c>
      <c r="Q73" s="100">
        <v>28.02</v>
      </c>
      <c r="R73" s="6"/>
      <c r="S73" s="6"/>
      <c r="T73" s="156"/>
      <c r="U73" s="6"/>
    </row>
    <row r="74" spans="1:21" customFormat="1">
      <c r="A74" s="163" t="s">
        <v>496</v>
      </c>
      <c r="B74" s="100">
        <v>5.16</v>
      </c>
      <c r="C74" s="100">
        <v>24.16</v>
      </c>
      <c r="D74" s="100">
        <v>18.11</v>
      </c>
      <c r="E74" s="100">
        <v>9.42</v>
      </c>
      <c r="F74" s="151" t="s">
        <v>8</v>
      </c>
      <c r="G74" s="100">
        <v>47.52</v>
      </c>
      <c r="H74" s="100">
        <v>23.74</v>
      </c>
      <c r="I74" s="100">
        <v>2.96</v>
      </c>
      <c r="J74" s="100">
        <v>0.71</v>
      </c>
      <c r="K74" s="100">
        <v>324.31</v>
      </c>
      <c r="L74" s="100">
        <v>34.619999999999997</v>
      </c>
      <c r="M74" s="100">
        <v>19.68</v>
      </c>
      <c r="N74" s="100">
        <v>59.4</v>
      </c>
      <c r="O74" s="100">
        <v>0</v>
      </c>
      <c r="P74" s="100">
        <v>0.51</v>
      </c>
      <c r="Q74" s="100">
        <v>28.04</v>
      </c>
      <c r="R74" s="6"/>
      <c r="S74" s="6"/>
      <c r="T74" s="156"/>
      <c r="U74" s="6"/>
    </row>
    <row r="75" spans="1:21" customFormat="1">
      <c r="A75" s="163" t="s">
        <v>497</v>
      </c>
      <c r="B75" s="100">
        <v>5.33</v>
      </c>
      <c r="C75" s="100">
        <v>25.93</v>
      </c>
      <c r="D75" s="100">
        <v>19.170000000000002</v>
      </c>
      <c r="E75" s="100">
        <v>7.9</v>
      </c>
      <c r="F75" s="151" t="s">
        <v>8</v>
      </c>
      <c r="G75" s="100">
        <v>47.52</v>
      </c>
      <c r="H75" s="100">
        <v>23.74</v>
      </c>
      <c r="I75" s="100">
        <v>3.31</v>
      </c>
      <c r="J75" s="100">
        <v>0.87</v>
      </c>
      <c r="K75" s="100">
        <v>315.8</v>
      </c>
      <c r="L75" s="100">
        <v>34.18</v>
      </c>
      <c r="M75" s="100">
        <v>19.739999999999998</v>
      </c>
      <c r="N75" s="100">
        <v>35.6</v>
      </c>
      <c r="O75" s="100">
        <v>0</v>
      </c>
      <c r="P75" s="100">
        <v>0.51</v>
      </c>
      <c r="Q75" s="100">
        <v>28.03</v>
      </c>
      <c r="R75" s="6"/>
      <c r="S75" s="6"/>
      <c r="T75" s="156"/>
      <c r="U75" s="6"/>
    </row>
    <row r="76" spans="1:21" customFormat="1">
      <c r="A76" s="163" t="s">
        <v>498</v>
      </c>
      <c r="B76" s="100">
        <v>5.48</v>
      </c>
      <c r="C76" s="100">
        <v>25.42</v>
      </c>
      <c r="D76" s="100">
        <v>19.03</v>
      </c>
      <c r="E76" s="100">
        <v>7.33</v>
      </c>
      <c r="F76" s="151" t="s">
        <v>8</v>
      </c>
      <c r="G76" s="100">
        <v>47.52</v>
      </c>
      <c r="H76" s="100">
        <v>23.74</v>
      </c>
      <c r="I76" s="100">
        <v>3.92</v>
      </c>
      <c r="J76" s="100">
        <v>0.65</v>
      </c>
      <c r="K76" s="100">
        <v>308.16000000000003</v>
      </c>
      <c r="L76" s="100">
        <v>33.869999999999997</v>
      </c>
      <c r="M76" s="100">
        <v>20.57</v>
      </c>
      <c r="N76" s="100">
        <v>30.4</v>
      </c>
      <c r="O76" s="100">
        <v>0</v>
      </c>
      <c r="P76" s="100">
        <v>0.51</v>
      </c>
      <c r="Q76" s="100">
        <v>28.03</v>
      </c>
      <c r="R76" s="6"/>
      <c r="S76" s="6"/>
      <c r="T76" s="156"/>
      <c r="U76" s="6"/>
    </row>
    <row r="77" spans="1:21" customFormat="1">
      <c r="A77" s="163" t="s">
        <v>499</v>
      </c>
      <c r="B77" s="100">
        <v>7.12</v>
      </c>
      <c r="C77" s="100">
        <v>25.48</v>
      </c>
      <c r="D77" s="100">
        <v>20.37</v>
      </c>
      <c r="E77" s="100">
        <v>12.85</v>
      </c>
      <c r="F77" s="151" t="s">
        <v>8</v>
      </c>
      <c r="G77" s="100">
        <v>50.75</v>
      </c>
      <c r="H77" s="100">
        <v>21.33</v>
      </c>
      <c r="I77" s="100">
        <v>4.01</v>
      </c>
      <c r="J77" s="100">
        <v>0.81</v>
      </c>
      <c r="K77" s="100">
        <v>46.15</v>
      </c>
      <c r="L77" s="100">
        <v>33.590000000000003</v>
      </c>
      <c r="M77" s="100">
        <v>22.54</v>
      </c>
      <c r="N77" s="100">
        <v>24.4</v>
      </c>
      <c r="O77" s="100">
        <v>0</v>
      </c>
      <c r="P77" s="100">
        <v>0.56000000000000005</v>
      </c>
      <c r="Q77" s="100">
        <v>28.04</v>
      </c>
      <c r="R77" s="6"/>
      <c r="S77" s="6"/>
      <c r="T77" s="156"/>
      <c r="U77" s="6"/>
    </row>
    <row r="78" spans="1:21" customFormat="1">
      <c r="A78" s="163" t="s">
        <v>500</v>
      </c>
      <c r="B78" s="100">
        <v>8.4499999999999993</v>
      </c>
      <c r="C78" s="100">
        <v>27.07</v>
      </c>
      <c r="D78" s="100">
        <v>22.27</v>
      </c>
      <c r="E78" s="100">
        <v>17.12</v>
      </c>
      <c r="F78" s="151" t="s">
        <v>8</v>
      </c>
      <c r="G78" s="100">
        <v>51.06</v>
      </c>
      <c r="H78" s="100">
        <v>21.33</v>
      </c>
      <c r="I78" s="100">
        <v>4.2</v>
      </c>
      <c r="J78" s="100">
        <v>0.89</v>
      </c>
      <c r="K78" s="100">
        <v>55.16</v>
      </c>
      <c r="L78" s="100">
        <v>33.19</v>
      </c>
      <c r="M78" s="100">
        <v>24.3</v>
      </c>
      <c r="N78" s="100">
        <v>18.3</v>
      </c>
      <c r="O78" s="100">
        <v>0</v>
      </c>
      <c r="P78" s="100">
        <v>0.6</v>
      </c>
      <c r="Q78" s="100">
        <v>28.07</v>
      </c>
      <c r="R78" s="6"/>
      <c r="S78" s="6"/>
      <c r="T78" s="156"/>
      <c r="U78" s="6"/>
    </row>
    <row r="79" spans="1:21" customFormat="1">
      <c r="A79" s="163" t="s">
        <v>501</v>
      </c>
      <c r="B79" s="100">
        <v>8.9499999999999993</v>
      </c>
      <c r="C79" s="100">
        <v>28.88</v>
      </c>
      <c r="D79" s="100">
        <v>23.62</v>
      </c>
      <c r="E79" s="100">
        <v>11.68</v>
      </c>
      <c r="F79" s="151" t="s">
        <v>8</v>
      </c>
      <c r="G79" s="100">
        <v>51.06</v>
      </c>
      <c r="H79" s="100">
        <v>21.33</v>
      </c>
      <c r="I79" s="100">
        <v>4.57</v>
      </c>
      <c r="J79" s="100">
        <v>0.83</v>
      </c>
      <c r="K79" s="100">
        <v>52.33</v>
      </c>
      <c r="L79" s="100">
        <v>32.72</v>
      </c>
      <c r="M79" s="100">
        <v>25.66</v>
      </c>
      <c r="N79" s="100">
        <v>11.7</v>
      </c>
      <c r="O79" s="100">
        <v>0</v>
      </c>
      <c r="P79" s="100">
        <v>0.62</v>
      </c>
      <c r="Q79" s="100">
        <v>28.07</v>
      </c>
      <c r="R79" s="6"/>
      <c r="S79" s="6"/>
      <c r="T79" s="156"/>
      <c r="U79" s="6"/>
    </row>
    <row r="80" spans="1:21" customFormat="1">
      <c r="A80" s="163" t="s">
        <v>502</v>
      </c>
      <c r="B80" s="100">
        <v>11.53</v>
      </c>
      <c r="C80" s="100">
        <v>30.2</v>
      </c>
      <c r="D80" s="100">
        <v>26.37</v>
      </c>
      <c r="E80" s="100">
        <v>9.7799999999999994</v>
      </c>
      <c r="F80" s="151" t="s">
        <v>8</v>
      </c>
      <c r="G80" s="100">
        <v>51.06</v>
      </c>
      <c r="H80" s="100">
        <v>21.33</v>
      </c>
      <c r="I80" s="100">
        <v>5.26</v>
      </c>
      <c r="J80" s="100">
        <v>0.7</v>
      </c>
      <c r="K80" s="100">
        <v>61.09</v>
      </c>
      <c r="L80" s="100">
        <v>32.200000000000003</v>
      </c>
      <c r="M80" s="100">
        <v>27.01</v>
      </c>
      <c r="N80" s="100">
        <v>5.5</v>
      </c>
      <c r="O80" s="100">
        <v>0</v>
      </c>
      <c r="P80" s="100">
        <v>0.63</v>
      </c>
      <c r="Q80" s="100">
        <v>28.09</v>
      </c>
      <c r="R80" s="6"/>
      <c r="S80" s="6"/>
      <c r="T80" s="156"/>
      <c r="U80" s="6"/>
    </row>
    <row r="81" spans="1:21" customFormat="1">
      <c r="A81" s="163" t="s">
        <v>503</v>
      </c>
      <c r="B81" s="100">
        <v>10.48</v>
      </c>
      <c r="C81" s="100">
        <v>31.6</v>
      </c>
      <c r="D81" s="100">
        <v>26.26</v>
      </c>
      <c r="E81" s="100">
        <v>7.86</v>
      </c>
      <c r="F81" s="151" t="s">
        <v>8</v>
      </c>
      <c r="G81" s="100">
        <v>59.65</v>
      </c>
      <c r="H81" s="100">
        <v>24.15</v>
      </c>
      <c r="I81" s="100">
        <v>5.79</v>
      </c>
      <c r="J81" s="100">
        <v>0.53</v>
      </c>
      <c r="K81" s="100">
        <v>63.13</v>
      </c>
      <c r="L81" s="100">
        <v>31.68</v>
      </c>
      <c r="M81" s="100">
        <v>28.35</v>
      </c>
      <c r="N81" s="100">
        <v>2</v>
      </c>
      <c r="O81" s="100">
        <v>0</v>
      </c>
      <c r="P81" s="100">
        <v>0.68</v>
      </c>
      <c r="Q81" s="100">
        <v>28.13</v>
      </c>
      <c r="R81" s="6"/>
      <c r="S81" s="6"/>
      <c r="T81" s="156"/>
      <c r="U81" s="6"/>
    </row>
    <row r="82" spans="1:21" customFormat="1">
      <c r="A82" s="163" t="s">
        <v>504</v>
      </c>
      <c r="B82" s="100">
        <v>11.04</v>
      </c>
      <c r="C82" s="100">
        <v>31.04</v>
      </c>
      <c r="D82" s="100">
        <v>26.42</v>
      </c>
      <c r="E82" s="100">
        <v>8.64</v>
      </c>
      <c r="F82" s="151" t="s">
        <v>8</v>
      </c>
      <c r="G82" s="100">
        <v>60.48</v>
      </c>
      <c r="H82" s="100">
        <v>24.15</v>
      </c>
      <c r="I82" s="100">
        <v>5.59</v>
      </c>
      <c r="J82" s="100">
        <v>0.26</v>
      </c>
      <c r="K82" s="100">
        <v>71.930000000000007</v>
      </c>
      <c r="L82" s="100">
        <v>30.84</v>
      </c>
      <c r="M82" s="100">
        <v>32.67</v>
      </c>
      <c r="N82" s="100">
        <v>1.7</v>
      </c>
      <c r="O82" s="100">
        <v>0</v>
      </c>
      <c r="P82" s="100">
        <v>0.67</v>
      </c>
      <c r="Q82" s="100">
        <v>28.15</v>
      </c>
      <c r="R82" s="6"/>
      <c r="S82" s="6"/>
      <c r="T82" s="156"/>
      <c r="U82" s="6"/>
    </row>
    <row r="83" spans="1:21" customFormat="1">
      <c r="A83" s="163" t="s">
        <v>505</v>
      </c>
      <c r="B83" s="100">
        <v>8.19</v>
      </c>
      <c r="C83" s="100">
        <v>26.41</v>
      </c>
      <c r="D83" s="100">
        <v>21.71</v>
      </c>
      <c r="E83" s="100">
        <v>7.98</v>
      </c>
      <c r="F83" s="151" t="s">
        <v>8</v>
      </c>
      <c r="G83" s="100">
        <v>60.48</v>
      </c>
      <c r="H83" s="100">
        <v>24.15</v>
      </c>
      <c r="I83" s="100">
        <v>5.78</v>
      </c>
      <c r="J83" s="100">
        <v>0.26</v>
      </c>
      <c r="K83" s="100">
        <v>161.13</v>
      </c>
      <c r="L83" s="100">
        <v>29.3</v>
      </c>
      <c r="M83" s="100">
        <v>39.74</v>
      </c>
      <c r="N83" s="100">
        <v>2</v>
      </c>
      <c r="O83" s="100">
        <v>0</v>
      </c>
      <c r="P83" s="100">
        <v>0.63</v>
      </c>
      <c r="Q83" s="100">
        <v>28.16</v>
      </c>
      <c r="R83" s="6"/>
      <c r="S83" s="6"/>
      <c r="T83" s="156"/>
      <c r="U83" s="6"/>
    </row>
    <row r="84" spans="1:21" customFormat="1">
      <c r="A84" s="163" t="s">
        <v>506</v>
      </c>
      <c r="B84" s="100">
        <v>7.57</v>
      </c>
      <c r="C84" s="100">
        <v>24.64</v>
      </c>
      <c r="D84" s="100">
        <v>20.29</v>
      </c>
      <c r="E84" s="100">
        <v>7.71</v>
      </c>
      <c r="F84" s="151" t="s">
        <v>8</v>
      </c>
      <c r="G84" s="100">
        <v>60.48</v>
      </c>
      <c r="H84" s="100">
        <v>24.15</v>
      </c>
      <c r="I84" s="100">
        <v>5.96</v>
      </c>
      <c r="J84" s="100">
        <v>0.26</v>
      </c>
      <c r="K84" s="100">
        <v>171.17</v>
      </c>
      <c r="L84" s="100">
        <v>28.3</v>
      </c>
      <c r="M84" s="100">
        <v>43.19</v>
      </c>
      <c r="N84" s="100">
        <v>1.5</v>
      </c>
      <c r="O84" s="100">
        <v>0</v>
      </c>
      <c r="P84" s="100">
        <v>0.64</v>
      </c>
      <c r="Q84" s="100">
        <v>28.16</v>
      </c>
      <c r="R84" s="6"/>
      <c r="S84" s="6"/>
      <c r="T84" s="156"/>
      <c r="U84" s="6"/>
    </row>
    <row r="85" spans="1:21" customFormat="1">
      <c r="A85" s="163" t="s">
        <v>507</v>
      </c>
      <c r="B85" s="100">
        <v>7.64</v>
      </c>
      <c r="C85" s="100">
        <v>24.29</v>
      </c>
      <c r="D85" s="100">
        <v>20.170000000000002</v>
      </c>
      <c r="E85" s="100">
        <v>7.38</v>
      </c>
      <c r="F85" s="151" t="s">
        <v>8</v>
      </c>
      <c r="G85" s="100">
        <v>83.3</v>
      </c>
      <c r="H85" s="100">
        <v>28.35</v>
      </c>
      <c r="I85" s="100">
        <v>6.05</v>
      </c>
      <c r="J85" s="100">
        <v>0.27</v>
      </c>
      <c r="K85" s="100">
        <v>171.21</v>
      </c>
      <c r="L85" s="100">
        <v>27.77</v>
      </c>
      <c r="M85" s="100">
        <v>45.68</v>
      </c>
      <c r="N85" s="100">
        <v>1.2</v>
      </c>
      <c r="O85" s="100">
        <v>0</v>
      </c>
      <c r="P85" s="100">
        <v>0.66</v>
      </c>
      <c r="Q85" s="100">
        <v>28.16</v>
      </c>
      <c r="R85" s="6"/>
      <c r="S85" s="6"/>
      <c r="T85" s="156"/>
      <c r="U85" s="6"/>
    </row>
    <row r="86" spans="1:21" customFormat="1">
      <c r="A86" s="163" t="s">
        <v>508</v>
      </c>
      <c r="B86" s="100">
        <v>8.0500000000000007</v>
      </c>
      <c r="C86" s="100">
        <v>23.8</v>
      </c>
      <c r="D86" s="100">
        <v>20.25</v>
      </c>
      <c r="E86" s="100">
        <v>7.54</v>
      </c>
      <c r="F86" s="151" t="s">
        <v>8</v>
      </c>
      <c r="G86" s="100">
        <v>85.22</v>
      </c>
      <c r="H86" s="100">
        <v>28.35</v>
      </c>
      <c r="I86" s="100">
        <v>6.21</v>
      </c>
      <c r="J86" s="100">
        <v>0.19</v>
      </c>
      <c r="K86" s="100">
        <v>178.28</v>
      </c>
      <c r="L86" s="100">
        <v>27.18</v>
      </c>
      <c r="M86" s="100">
        <v>46.1</v>
      </c>
      <c r="N86" s="100">
        <v>1.3</v>
      </c>
      <c r="O86" s="100">
        <v>0</v>
      </c>
      <c r="P86" s="100">
        <v>0.67</v>
      </c>
      <c r="Q86" s="100">
        <v>28.17</v>
      </c>
      <c r="R86" s="6"/>
      <c r="S86" s="6"/>
      <c r="T86" s="156"/>
      <c r="U86" s="6"/>
    </row>
    <row r="87" spans="1:21" customFormat="1">
      <c r="A87" s="163" t="s">
        <v>509</v>
      </c>
      <c r="B87" s="100">
        <v>8.3000000000000007</v>
      </c>
      <c r="C87" s="100">
        <v>23.37</v>
      </c>
      <c r="D87" s="100">
        <v>20.22</v>
      </c>
      <c r="E87" s="100">
        <v>7.2</v>
      </c>
      <c r="F87" s="151" t="s">
        <v>8</v>
      </c>
      <c r="G87" s="100">
        <v>85.22</v>
      </c>
      <c r="H87" s="100">
        <v>28.35</v>
      </c>
      <c r="I87" s="100">
        <v>6.37</v>
      </c>
      <c r="J87" s="100">
        <v>0.19</v>
      </c>
      <c r="K87" s="100">
        <v>189.92</v>
      </c>
      <c r="L87" s="100">
        <v>26.62</v>
      </c>
      <c r="M87" s="100">
        <v>45.76</v>
      </c>
      <c r="N87" s="100">
        <v>1.2</v>
      </c>
      <c r="O87" s="100">
        <v>0</v>
      </c>
      <c r="P87" s="100">
        <v>0.68</v>
      </c>
      <c r="Q87" s="100">
        <v>28.2</v>
      </c>
      <c r="R87" s="6"/>
      <c r="S87" s="6"/>
      <c r="T87" s="156"/>
      <c r="U87" s="6"/>
    </row>
    <row r="88" spans="1:21" customFormat="1">
      <c r="A88" s="163" t="s">
        <v>510</v>
      </c>
      <c r="B88" s="100">
        <v>8.65</v>
      </c>
      <c r="C88" s="100">
        <v>22.69</v>
      </c>
      <c r="D88" s="100">
        <v>20.14</v>
      </c>
      <c r="E88" s="100">
        <v>7.29</v>
      </c>
      <c r="F88" s="151" t="s">
        <v>8</v>
      </c>
      <c r="G88" s="100">
        <v>85.22</v>
      </c>
      <c r="H88" s="100">
        <v>28.35</v>
      </c>
      <c r="I88" s="100">
        <v>6.48</v>
      </c>
      <c r="J88" s="100">
        <v>0.2</v>
      </c>
      <c r="K88" s="100">
        <v>210.52</v>
      </c>
      <c r="L88" s="100">
        <v>25.96</v>
      </c>
      <c r="M88" s="100">
        <v>49.48</v>
      </c>
      <c r="N88" s="100">
        <v>1.2</v>
      </c>
      <c r="O88" s="100">
        <v>0</v>
      </c>
      <c r="P88" s="100">
        <v>0.68</v>
      </c>
      <c r="Q88" s="100">
        <v>28.23</v>
      </c>
      <c r="R88" s="6"/>
      <c r="S88" s="6"/>
      <c r="T88" s="156"/>
      <c r="U88" s="6"/>
    </row>
    <row r="89" spans="1:21" customFormat="1">
      <c r="A89" s="163" t="s">
        <v>511</v>
      </c>
      <c r="B89" s="100">
        <v>9.02</v>
      </c>
      <c r="C89" s="100">
        <v>22.56</v>
      </c>
      <c r="D89" s="100">
        <v>20.37</v>
      </c>
      <c r="E89" s="100">
        <v>7.68</v>
      </c>
      <c r="F89" s="151" t="s">
        <v>8</v>
      </c>
      <c r="G89" s="100">
        <v>92.78</v>
      </c>
      <c r="H89" s="100">
        <v>28.34</v>
      </c>
      <c r="I89" s="100">
        <v>6.67</v>
      </c>
      <c r="J89" s="100">
        <v>0.15</v>
      </c>
      <c r="K89" s="100">
        <v>132.80000000000001</v>
      </c>
      <c r="L89" s="100">
        <v>25.84</v>
      </c>
      <c r="M89" s="100">
        <v>50.35</v>
      </c>
      <c r="N89" s="100">
        <v>0.8</v>
      </c>
      <c r="O89" s="100">
        <v>0</v>
      </c>
      <c r="P89" s="100">
        <v>0.71</v>
      </c>
      <c r="Q89" s="100">
        <v>28.22</v>
      </c>
      <c r="R89" s="6"/>
      <c r="S89" s="6"/>
      <c r="T89" s="156"/>
      <c r="U89" s="6"/>
    </row>
    <row r="90" spans="1:21" customFormat="1">
      <c r="A90" s="163" t="s">
        <v>512</v>
      </c>
      <c r="B90" s="100">
        <v>9.51</v>
      </c>
      <c r="C90" s="100">
        <v>21.69</v>
      </c>
      <c r="D90" s="100">
        <v>20.309999999999999</v>
      </c>
      <c r="E90" s="100">
        <v>7.27</v>
      </c>
      <c r="F90" s="151" t="s">
        <v>8</v>
      </c>
      <c r="G90" s="100">
        <v>93.52</v>
      </c>
      <c r="H90" s="100">
        <v>28.34</v>
      </c>
      <c r="I90" s="100">
        <v>6.84</v>
      </c>
      <c r="J90" s="100">
        <v>0.24</v>
      </c>
      <c r="K90" s="100">
        <v>194.17</v>
      </c>
      <c r="L90" s="100">
        <v>25.59</v>
      </c>
      <c r="M90" s="100">
        <v>52.47</v>
      </c>
      <c r="N90" s="100">
        <v>0.9</v>
      </c>
      <c r="O90" s="100">
        <v>0</v>
      </c>
      <c r="P90" s="100">
        <v>0.71</v>
      </c>
      <c r="Q90" s="100">
        <v>28.22</v>
      </c>
      <c r="R90" s="6"/>
      <c r="S90" s="6"/>
      <c r="T90" s="156"/>
      <c r="U90" s="6"/>
    </row>
    <row r="91" spans="1:21" customFormat="1">
      <c r="A91" s="163" t="s">
        <v>513</v>
      </c>
      <c r="B91" s="100">
        <v>9.73</v>
      </c>
      <c r="C91" s="100">
        <v>21.11</v>
      </c>
      <c r="D91" s="100">
        <v>20.190000000000001</v>
      </c>
      <c r="E91" s="100">
        <v>7.36</v>
      </c>
      <c r="F91" s="151" t="s">
        <v>8</v>
      </c>
      <c r="G91" s="100">
        <v>93.52</v>
      </c>
      <c r="H91" s="100">
        <v>28.34</v>
      </c>
      <c r="I91" s="100">
        <v>7.28</v>
      </c>
      <c r="J91" s="100">
        <v>0.18</v>
      </c>
      <c r="K91" s="100">
        <v>175.47</v>
      </c>
      <c r="L91" s="100">
        <v>25.55</v>
      </c>
      <c r="M91" s="100">
        <v>50.94</v>
      </c>
      <c r="N91" s="100">
        <v>0.7</v>
      </c>
      <c r="O91" s="100">
        <v>0</v>
      </c>
      <c r="P91" s="100">
        <v>0.72</v>
      </c>
      <c r="Q91" s="100">
        <v>28.25</v>
      </c>
      <c r="R91" s="6"/>
      <c r="S91" s="6"/>
      <c r="T91" s="156"/>
      <c r="U91" s="6"/>
    </row>
    <row r="92" spans="1:21" customFormat="1">
      <c r="A92" s="163" t="s">
        <v>514</v>
      </c>
      <c r="B92" s="100">
        <v>9.82</v>
      </c>
      <c r="C92" s="100">
        <v>21</v>
      </c>
      <c r="D92" s="100">
        <v>20.2</v>
      </c>
      <c r="E92" s="100">
        <v>7.86</v>
      </c>
      <c r="F92" s="151" t="s">
        <v>8</v>
      </c>
      <c r="G92" s="100">
        <v>93.52</v>
      </c>
      <c r="H92" s="100">
        <v>28.34</v>
      </c>
      <c r="I92" s="100">
        <v>7.65</v>
      </c>
      <c r="J92" s="100">
        <v>0.15</v>
      </c>
      <c r="K92" s="100">
        <v>196.25</v>
      </c>
      <c r="L92" s="100">
        <v>25.49</v>
      </c>
      <c r="M92" s="100">
        <v>52.02</v>
      </c>
      <c r="N92" s="100">
        <v>0.8</v>
      </c>
      <c r="O92" s="100">
        <v>0</v>
      </c>
      <c r="P92" s="100">
        <v>0.73</v>
      </c>
      <c r="Q92" s="100">
        <v>28.26</v>
      </c>
      <c r="R92" s="6"/>
      <c r="S92" s="6"/>
      <c r="T92" s="156"/>
      <c r="U92" s="6"/>
    </row>
    <row r="93" spans="1:21" customFormat="1">
      <c r="A93" s="163" t="s">
        <v>515</v>
      </c>
      <c r="B93" s="100">
        <v>9.9</v>
      </c>
      <c r="C93" s="100">
        <v>20.82</v>
      </c>
      <c r="D93" s="100">
        <v>20.16</v>
      </c>
      <c r="E93" s="100">
        <v>7.93</v>
      </c>
      <c r="F93" s="151" t="s">
        <v>8</v>
      </c>
      <c r="G93" s="100">
        <v>100.83</v>
      </c>
      <c r="H93" s="100">
        <v>32.56</v>
      </c>
      <c r="I93" s="100">
        <v>7.72</v>
      </c>
      <c r="J93" s="100">
        <v>0.23</v>
      </c>
      <c r="K93" s="100">
        <v>177.46</v>
      </c>
      <c r="L93" s="100">
        <v>25.37</v>
      </c>
      <c r="M93" s="100">
        <v>52.26</v>
      </c>
      <c r="N93" s="100">
        <v>0.7</v>
      </c>
      <c r="O93" s="100">
        <v>0</v>
      </c>
      <c r="P93" s="100">
        <v>0.75</v>
      </c>
      <c r="Q93" s="100">
        <v>28.26</v>
      </c>
      <c r="R93" s="6"/>
      <c r="S93" s="6"/>
      <c r="T93" s="156"/>
      <c r="U93" s="6"/>
    </row>
    <row r="94" spans="1:21" customFormat="1">
      <c r="A94" s="163" t="s">
        <v>516</v>
      </c>
      <c r="B94" s="100">
        <v>9.7899999999999991</v>
      </c>
      <c r="C94" s="100">
        <v>20.82</v>
      </c>
      <c r="D94" s="100">
        <v>20.079999999999998</v>
      </c>
      <c r="E94" s="100">
        <v>7.62</v>
      </c>
      <c r="F94" s="151" t="s">
        <v>8</v>
      </c>
      <c r="G94" s="100">
        <v>101.45</v>
      </c>
      <c r="H94" s="100">
        <v>32.56</v>
      </c>
      <c r="I94" s="100">
        <v>8.16</v>
      </c>
      <c r="J94" s="100">
        <v>0.16</v>
      </c>
      <c r="K94" s="100">
        <v>192.43</v>
      </c>
      <c r="L94" s="100">
        <v>25.21</v>
      </c>
      <c r="M94" s="100">
        <v>53.71</v>
      </c>
      <c r="N94" s="100">
        <v>0.8</v>
      </c>
      <c r="O94" s="100">
        <v>0</v>
      </c>
      <c r="P94" s="100">
        <v>0.77</v>
      </c>
      <c r="Q94" s="100">
        <v>28.25</v>
      </c>
      <c r="R94" s="6"/>
      <c r="S94" s="6"/>
      <c r="T94" s="156"/>
      <c r="U94" s="6"/>
    </row>
    <row r="95" spans="1:21" customFormat="1">
      <c r="A95" s="163" t="s">
        <v>517</v>
      </c>
      <c r="B95" s="100">
        <v>9.77</v>
      </c>
      <c r="C95" s="100">
        <v>21.17</v>
      </c>
      <c r="D95" s="100">
        <v>20.25</v>
      </c>
      <c r="E95" s="100">
        <v>7.5</v>
      </c>
      <c r="F95" s="151" t="s">
        <v>8</v>
      </c>
      <c r="G95" s="100">
        <v>101.45</v>
      </c>
      <c r="H95" s="100">
        <v>32.56</v>
      </c>
      <c r="I95" s="100">
        <v>8.7100000000000009</v>
      </c>
      <c r="J95" s="100">
        <v>0.19</v>
      </c>
      <c r="K95" s="100">
        <v>175.99</v>
      </c>
      <c r="L95" s="100">
        <v>24.89</v>
      </c>
      <c r="M95" s="100">
        <v>55.39</v>
      </c>
      <c r="N95" s="100">
        <v>1</v>
      </c>
      <c r="O95" s="100">
        <v>0</v>
      </c>
      <c r="P95" s="100">
        <v>0.79</v>
      </c>
      <c r="Q95" s="100">
        <v>28.27</v>
      </c>
      <c r="R95" s="6"/>
      <c r="S95" s="6"/>
      <c r="T95" s="156"/>
      <c r="U95" s="6"/>
    </row>
    <row r="96" spans="1:21" customFormat="1">
      <c r="A96" s="163" t="s">
        <v>518</v>
      </c>
      <c r="B96" s="100">
        <v>12.75</v>
      </c>
      <c r="C96" s="100">
        <v>21.69</v>
      </c>
      <c r="D96" s="100">
        <v>22.9</v>
      </c>
      <c r="E96" s="100">
        <v>7.59</v>
      </c>
      <c r="F96" s="151" t="s">
        <v>8</v>
      </c>
      <c r="G96" s="100">
        <v>101.45</v>
      </c>
      <c r="H96" s="100">
        <v>32.56</v>
      </c>
      <c r="I96" s="100">
        <v>8.93</v>
      </c>
      <c r="J96" s="100">
        <v>0.28000000000000003</v>
      </c>
      <c r="K96" s="100">
        <v>80.12</v>
      </c>
      <c r="L96" s="100">
        <v>25.06</v>
      </c>
      <c r="M96" s="100">
        <v>52.73</v>
      </c>
      <c r="N96" s="100">
        <v>0.5</v>
      </c>
      <c r="O96" s="100">
        <v>0</v>
      </c>
      <c r="P96" s="100">
        <v>0.85</v>
      </c>
      <c r="Q96" s="100">
        <v>28.29</v>
      </c>
      <c r="R96" s="6"/>
      <c r="S96" s="6"/>
      <c r="T96" s="156"/>
      <c r="U96" s="6"/>
    </row>
    <row r="97" spans="1:28" customFormat="1">
      <c r="A97" s="163" t="s">
        <v>519</v>
      </c>
      <c r="B97" s="100">
        <v>16.690000000000001</v>
      </c>
      <c r="C97" s="100">
        <v>24.14</v>
      </c>
      <c r="D97" s="100">
        <v>27.34</v>
      </c>
      <c r="E97" s="100">
        <v>7.82</v>
      </c>
      <c r="F97" s="151" t="s">
        <v>8</v>
      </c>
      <c r="G97" s="100">
        <v>106.6</v>
      </c>
      <c r="H97" s="100">
        <v>33.409999999999997</v>
      </c>
      <c r="I97" s="100">
        <v>9.33</v>
      </c>
      <c r="J97" s="100">
        <v>0.68</v>
      </c>
      <c r="K97" s="100">
        <v>46.3</v>
      </c>
      <c r="L97" s="100">
        <v>26.31</v>
      </c>
      <c r="M97" s="100">
        <v>45.76</v>
      </c>
      <c r="N97" s="100">
        <v>0</v>
      </c>
      <c r="O97" s="100">
        <v>0</v>
      </c>
      <c r="P97" s="100">
        <v>0.92</v>
      </c>
      <c r="Q97" s="100">
        <v>28.36</v>
      </c>
      <c r="R97" s="6"/>
      <c r="S97" s="6"/>
      <c r="T97" s="156"/>
      <c r="U97" s="6"/>
    </row>
    <row r="98" spans="1:28" customFormat="1">
      <c r="A98" s="163" t="s">
        <v>520</v>
      </c>
      <c r="B98" s="100">
        <v>16.829999999999998</v>
      </c>
      <c r="C98" s="100">
        <v>26.12</v>
      </c>
      <c r="D98" s="100">
        <v>28.5</v>
      </c>
      <c r="E98" s="100">
        <v>8.1300000000000008</v>
      </c>
      <c r="F98" s="151" t="s">
        <v>8</v>
      </c>
      <c r="G98" s="100">
        <v>107.04</v>
      </c>
      <c r="H98" s="100">
        <v>33.409999999999997</v>
      </c>
      <c r="I98" s="100">
        <v>10.050000000000001</v>
      </c>
      <c r="J98" s="100">
        <v>0.38</v>
      </c>
      <c r="K98" s="100">
        <v>49.54</v>
      </c>
      <c r="L98" s="100">
        <v>26.4</v>
      </c>
      <c r="M98" s="100">
        <v>45.57</v>
      </c>
      <c r="N98" s="100">
        <v>0.6</v>
      </c>
      <c r="O98" s="100">
        <v>0</v>
      </c>
      <c r="P98" s="100">
        <v>0.97</v>
      </c>
      <c r="Q98" s="100">
        <v>28.46</v>
      </c>
      <c r="R98" s="6"/>
      <c r="S98" s="6"/>
      <c r="T98" s="156"/>
      <c r="U98" s="6"/>
    </row>
    <row r="99" spans="1:28" customFormat="1">
      <c r="A99" s="163" t="s">
        <v>521</v>
      </c>
      <c r="B99" s="100">
        <v>17.29</v>
      </c>
      <c r="C99" s="100">
        <v>24.92</v>
      </c>
      <c r="D99" s="100">
        <v>28.24</v>
      </c>
      <c r="E99" s="100">
        <v>7.93</v>
      </c>
      <c r="F99" s="151" t="s">
        <v>8</v>
      </c>
      <c r="G99" s="100">
        <v>107.04</v>
      </c>
      <c r="H99" s="100">
        <v>33.409999999999997</v>
      </c>
      <c r="I99" s="100">
        <v>10.91</v>
      </c>
      <c r="J99" s="100">
        <v>0.24</v>
      </c>
      <c r="K99" s="100">
        <v>177.82</v>
      </c>
      <c r="L99" s="100">
        <v>25.5</v>
      </c>
      <c r="M99" s="100">
        <v>52.89</v>
      </c>
      <c r="N99" s="100">
        <v>1.6</v>
      </c>
      <c r="O99" s="100">
        <v>0</v>
      </c>
      <c r="P99" s="100">
        <v>1.01</v>
      </c>
      <c r="Q99" s="100">
        <v>28.56</v>
      </c>
      <c r="R99" s="6"/>
      <c r="S99" s="6"/>
      <c r="T99" s="156"/>
      <c r="U99" s="6"/>
    </row>
    <row r="100" spans="1:28" customFormat="1">
      <c r="A100" s="163" t="s">
        <v>522</v>
      </c>
      <c r="B100" s="100">
        <v>18.260000000000002</v>
      </c>
      <c r="C100" s="100">
        <v>24.66</v>
      </c>
      <c r="D100" s="100">
        <v>28.88</v>
      </c>
      <c r="E100" s="100">
        <v>7.72</v>
      </c>
      <c r="F100" s="151" t="s">
        <v>8</v>
      </c>
      <c r="G100" s="100">
        <v>107.04</v>
      </c>
      <c r="H100" s="100">
        <v>33.409999999999997</v>
      </c>
      <c r="I100" s="100">
        <v>11.29</v>
      </c>
      <c r="J100" s="100">
        <v>0.17</v>
      </c>
      <c r="K100" s="100">
        <v>209.5</v>
      </c>
      <c r="L100" s="100">
        <v>24.58</v>
      </c>
      <c r="M100" s="100">
        <v>55.13</v>
      </c>
      <c r="N100" s="100">
        <v>1.3</v>
      </c>
      <c r="O100" s="100">
        <v>0</v>
      </c>
      <c r="P100" s="100">
        <v>1.07</v>
      </c>
      <c r="Q100" s="100">
        <v>28.65</v>
      </c>
      <c r="R100" s="6"/>
      <c r="S100" s="6"/>
      <c r="T100" s="156"/>
      <c r="U100" s="6"/>
      <c r="AB100" s="161"/>
    </row>
    <row r="101" spans="1:28" customFormat="1">
      <c r="A101" s="163" t="s">
        <v>523</v>
      </c>
      <c r="B101" s="100">
        <v>19.95</v>
      </c>
      <c r="C101" s="100">
        <v>25.03</v>
      </c>
      <c r="D101" s="100">
        <v>30.43</v>
      </c>
      <c r="E101" s="100">
        <v>7.85</v>
      </c>
      <c r="F101" s="151" t="s">
        <v>8</v>
      </c>
      <c r="G101" s="100">
        <v>126.41</v>
      </c>
      <c r="H101" s="100">
        <v>41.28</v>
      </c>
      <c r="I101" s="100">
        <v>11.79</v>
      </c>
      <c r="J101" s="100">
        <v>0.14000000000000001</v>
      </c>
      <c r="K101" s="100">
        <v>205.09</v>
      </c>
      <c r="L101" s="100">
        <v>24.36</v>
      </c>
      <c r="M101" s="100">
        <v>55.23</v>
      </c>
      <c r="N101" s="100">
        <v>0.9</v>
      </c>
      <c r="O101" s="100">
        <v>0</v>
      </c>
      <c r="P101" s="100">
        <v>1.1000000000000001</v>
      </c>
      <c r="Q101" s="100">
        <v>28.71</v>
      </c>
      <c r="R101" s="6"/>
      <c r="S101" s="6"/>
      <c r="T101" s="156"/>
      <c r="U101" s="6"/>
    </row>
    <row r="102" spans="1:28" customFormat="1">
      <c r="A102" s="163" t="s">
        <v>524</v>
      </c>
      <c r="B102" s="100">
        <v>22.41</v>
      </c>
      <c r="C102" s="100">
        <v>25.37</v>
      </c>
      <c r="D102" s="100">
        <v>32.58</v>
      </c>
      <c r="E102" s="100">
        <v>7.84</v>
      </c>
      <c r="F102" s="151" t="s">
        <v>8</v>
      </c>
      <c r="G102" s="100">
        <v>128.30000000000001</v>
      </c>
      <c r="H102" s="100">
        <v>41.28</v>
      </c>
      <c r="I102" s="100">
        <v>12.31</v>
      </c>
      <c r="J102" s="100">
        <v>0.21</v>
      </c>
      <c r="K102" s="100">
        <v>150.96</v>
      </c>
      <c r="L102" s="100">
        <v>24.36</v>
      </c>
      <c r="M102" s="100">
        <v>55.21</v>
      </c>
      <c r="N102" s="100">
        <v>0.8</v>
      </c>
      <c r="O102" s="100">
        <v>0</v>
      </c>
      <c r="P102" s="100">
        <v>1.1399999999999999</v>
      </c>
      <c r="Q102" s="100">
        <v>28.79</v>
      </c>
      <c r="R102" s="6"/>
      <c r="S102" s="6"/>
      <c r="T102" s="156"/>
      <c r="U102" s="6"/>
    </row>
    <row r="103" spans="1:28" customFormat="1">
      <c r="A103" s="163" t="s">
        <v>525</v>
      </c>
      <c r="B103" s="100">
        <v>24.39</v>
      </c>
      <c r="C103" s="100">
        <v>25.74</v>
      </c>
      <c r="D103" s="100">
        <v>34.35</v>
      </c>
      <c r="E103" s="100">
        <v>7.74</v>
      </c>
      <c r="F103" s="151" t="s">
        <v>8</v>
      </c>
      <c r="G103" s="100">
        <v>128.30000000000001</v>
      </c>
      <c r="H103" s="100">
        <v>41.28</v>
      </c>
      <c r="I103" s="100">
        <v>12.83</v>
      </c>
      <c r="J103" s="100">
        <v>0.26</v>
      </c>
      <c r="K103" s="100">
        <v>171.78</v>
      </c>
      <c r="L103" s="100">
        <v>24.12</v>
      </c>
      <c r="M103" s="100">
        <v>57.77</v>
      </c>
      <c r="N103" s="100">
        <v>0.9</v>
      </c>
      <c r="O103" s="100">
        <v>0</v>
      </c>
      <c r="P103" s="100">
        <v>1.19</v>
      </c>
      <c r="Q103" s="100">
        <v>28.91</v>
      </c>
      <c r="R103" s="6"/>
      <c r="S103" s="6"/>
      <c r="T103" s="156"/>
      <c r="U103" s="6"/>
    </row>
    <row r="104" spans="1:28" customFormat="1">
      <c r="A104" s="163" t="s">
        <v>526</v>
      </c>
      <c r="B104" s="100">
        <v>25.23</v>
      </c>
      <c r="C104" s="100">
        <v>25.67</v>
      </c>
      <c r="D104" s="100">
        <v>35</v>
      </c>
      <c r="E104" s="100">
        <v>7.96</v>
      </c>
      <c r="F104" s="151" t="s">
        <v>8</v>
      </c>
      <c r="G104" s="100">
        <v>128.30000000000001</v>
      </c>
      <c r="H104" s="100">
        <v>41.28</v>
      </c>
      <c r="I104" s="100">
        <v>13.27</v>
      </c>
      <c r="J104" s="100">
        <v>0.22</v>
      </c>
      <c r="K104" s="100">
        <v>180.9</v>
      </c>
      <c r="L104" s="100">
        <v>23.46</v>
      </c>
      <c r="M104" s="100">
        <v>59.55</v>
      </c>
      <c r="N104" s="100">
        <v>1.2</v>
      </c>
      <c r="O104" s="100">
        <v>0</v>
      </c>
      <c r="P104" s="100">
        <v>1.22</v>
      </c>
      <c r="Q104" s="100">
        <v>28.97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4.1100000000000003</v>
      </c>
      <c r="C106" s="158">
        <f>MIN(C9:C104)</f>
        <v>2.1</v>
      </c>
      <c r="D106" s="158">
        <f t="shared" ref="D106:Q106" si="0">MIN(D9:D104)</f>
        <v>9.19</v>
      </c>
      <c r="E106" s="158">
        <f t="shared" si="0"/>
        <v>3.57</v>
      </c>
      <c r="F106" s="158">
        <f t="shared" si="0"/>
        <v>0</v>
      </c>
      <c r="G106" s="158">
        <f t="shared" si="0"/>
        <v>0</v>
      </c>
      <c r="H106" s="158">
        <f t="shared" si="0"/>
        <v>0</v>
      </c>
      <c r="I106" s="158">
        <f t="shared" si="0"/>
        <v>2.96</v>
      </c>
      <c r="J106" s="158">
        <f t="shared" si="0"/>
        <v>7.0000000000000007E-2</v>
      </c>
      <c r="K106" s="158">
        <f t="shared" si="0"/>
        <v>5.49</v>
      </c>
      <c r="L106" s="158">
        <f t="shared" si="0"/>
        <v>20.76</v>
      </c>
      <c r="M106" s="158">
        <f t="shared" si="0"/>
        <v>16.350000000000001</v>
      </c>
      <c r="N106" s="158">
        <f t="shared" si="0"/>
        <v>0</v>
      </c>
      <c r="O106" s="158">
        <f t="shared" si="0"/>
        <v>0</v>
      </c>
      <c r="P106" s="158">
        <f t="shared" si="0"/>
        <v>0.4</v>
      </c>
      <c r="Q106" s="158">
        <f t="shared" si="0"/>
        <v>27.97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209.3</v>
      </c>
      <c r="C107" s="157">
        <f t="shared" ref="C107:Q107" si="1">MAX(C9:C104)</f>
        <v>31.6</v>
      </c>
      <c r="D107" s="157">
        <f t="shared" si="1"/>
        <v>232.63</v>
      </c>
      <c r="E107" s="157">
        <f t="shared" si="1"/>
        <v>279.49</v>
      </c>
      <c r="F107" s="157">
        <f t="shared" si="1"/>
        <v>0</v>
      </c>
      <c r="G107" s="157">
        <f t="shared" si="1"/>
        <v>128.30000000000001</v>
      </c>
      <c r="H107" s="157">
        <f t="shared" si="1"/>
        <v>78.94</v>
      </c>
      <c r="I107" s="157">
        <f t="shared" si="1"/>
        <v>20.350000000000001</v>
      </c>
      <c r="J107" s="157">
        <f t="shared" si="1"/>
        <v>1.28</v>
      </c>
      <c r="K107" s="157">
        <f t="shared" si="1"/>
        <v>359.98</v>
      </c>
      <c r="L107" s="157">
        <f t="shared" si="1"/>
        <v>35.61</v>
      </c>
      <c r="M107" s="157">
        <f t="shared" si="1"/>
        <v>77.09</v>
      </c>
      <c r="N107" s="157">
        <f t="shared" si="1"/>
        <v>347.3</v>
      </c>
      <c r="O107" s="157">
        <f t="shared" si="1"/>
        <v>0</v>
      </c>
      <c r="P107" s="157">
        <f t="shared" si="1"/>
        <v>1.22</v>
      </c>
      <c r="Q107" s="157">
        <f t="shared" si="1"/>
        <v>28.97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13.095000000000004</v>
      </c>
      <c r="C108" s="158">
        <f t="shared" ref="C108:Q108" si="2">AVERAGE(C9:C104)</f>
        <v>21.596458333333331</v>
      </c>
      <c r="D108" s="158">
        <f t="shared" si="2"/>
        <v>23.868333333333329</v>
      </c>
      <c r="E108" s="158">
        <f t="shared" si="2"/>
        <v>20.080208333333331</v>
      </c>
      <c r="F108" s="158" t="e">
        <f t="shared" si="2"/>
        <v>#DIV/0!</v>
      </c>
      <c r="G108" s="158">
        <f t="shared" si="2"/>
        <v>71.222812500000032</v>
      </c>
      <c r="H108" s="158">
        <f t="shared" si="2"/>
        <v>30.182916666666667</v>
      </c>
      <c r="I108" s="158">
        <f t="shared" si="2"/>
        <v>10.508333333333329</v>
      </c>
      <c r="J108" s="158">
        <f t="shared" si="2"/>
        <v>0.47364583333333338</v>
      </c>
      <c r="K108" s="158">
        <f t="shared" si="2"/>
        <v>171.23833333333326</v>
      </c>
      <c r="L108" s="158">
        <f t="shared" si="2"/>
        <v>27.87572916666667</v>
      </c>
      <c r="M108" s="158">
        <f t="shared" si="2"/>
        <v>46.033229166666672</v>
      </c>
      <c r="N108" s="158">
        <f t="shared" si="2"/>
        <v>87.844791666666666</v>
      </c>
      <c r="O108" s="158">
        <f t="shared" si="2"/>
        <v>0</v>
      </c>
      <c r="P108" s="158">
        <f t="shared" si="2"/>
        <v>0.77145833333333325</v>
      </c>
      <c r="Q108" s="158">
        <f t="shared" si="2"/>
        <v>28.213437499999984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24.586766444787465</v>
      </c>
      <c r="C109" s="158">
        <f t="shared" ref="C109:Q109" si="3">STDEV(C9:C104)</f>
        <v>4.0279593838873149</v>
      </c>
      <c r="D109" s="158">
        <f t="shared" si="3"/>
        <v>24.758000202663546</v>
      </c>
      <c r="E109" s="158">
        <f t="shared" si="3"/>
        <v>47.691165395681473</v>
      </c>
      <c r="F109" s="158" t="e">
        <f t="shared" si="3"/>
        <v>#DIV/0!</v>
      </c>
      <c r="G109" s="158">
        <f t="shared" si="3"/>
        <v>28.278831164080554</v>
      </c>
      <c r="H109" s="158">
        <f t="shared" si="3"/>
        <v>16.856709794254623</v>
      </c>
      <c r="I109" s="158">
        <f t="shared" si="3"/>
        <v>3.5368599414755089</v>
      </c>
      <c r="J109" s="158">
        <f t="shared" si="3"/>
        <v>0.36003251254257457</v>
      </c>
      <c r="K109" s="158">
        <f t="shared" si="3"/>
        <v>93.035778162197587</v>
      </c>
      <c r="L109" s="158">
        <f t="shared" si="3"/>
        <v>5.0695536489479407</v>
      </c>
      <c r="M109" s="158">
        <f t="shared" si="3"/>
        <v>20.205702087062964</v>
      </c>
      <c r="N109" s="158">
        <f t="shared" si="3"/>
        <v>126.29084633228399</v>
      </c>
      <c r="O109" s="158">
        <f t="shared" si="3"/>
        <v>0</v>
      </c>
      <c r="P109" s="158">
        <f t="shared" si="3"/>
        <v>0.20424948195085704</v>
      </c>
      <c r="Q109" s="158">
        <f t="shared" si="3"/>
        <v>0.18429283405550653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>COUNT(F9:F104)+96</f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H101" sqref="H10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04/03/2025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527</v>
      </c>
      <c r="B9" s="100">
        <v>25.39</v>
      </c>
      <c r="C9" s="100">
        <v>24.87</v>
      </c>
      <c r="D9" s="100">
        <v>34.700000000000003</v>
      </c>
      <c r="E9" s="100">
        <v>8.1300000000000008</v>
      </c>
      <c r="F9" s="152" t="s">
        <v>15</v>
      </c>
      <c r="G9" s="100">
        <v>131.94</v>
      </c>
      <c r="H9" s="100">
        <v>44.23</v>
      </c>
      <c r="I9" s="100">
        <v>13.61</v>
      </c>
      <c r="J9" s="100">
        <v>0.24</v>
      </c>
      <c r="K9" s="100">
        <v>163.97</v>
      </c>
      <c r="L9" s="100">
        <v>23.07</v>
      </c>
      <c r="M9" s="100">
        <v>59.97</v>
      </c>
      <c r="N9" s="100">
        <v>1</v>
      </c>
      <c r="O9" s="100">
        <v>0</v>
      </c>
      <c r="P9" s="100">
        <v>1.24</v>
      </c>
      <c r="Q9" s="100">
        <v>28.97</v>
      </c>
      <c r="R9" s="6"/>
      <c r="S9" s="6"/>
      <c r="T9" s="156"/>
      <c r="U9" s="6"/>
    </row>
    <row r="10" spans="1:21" customFormat="1">
      <c r="A10" s="163" t="s">
        <v>528</v>
      </c>
      <c r="B10" s="100">
        <v>25.72</v>
      </c>
      <c r="C10" s="100">
        <v>25.42</v>
      </c>
      <c r="D10" s="100">
        <v>35.26</v>
      </c>
      <c r="E10" s="100">
        <v>8.24</v>
      </c>
      <c r="F10" s="152" t="s">
        <v>15</v>
      </c>
      <c r="G10" s="100">
        <v>132.25</v>
      </c>
      <c r="H10" s="100">
        <v>44.23</v>
      </c>
      <c r="I10" s="100">
        <v>13.89</v>
      </c>
      <c r="J10" s="100">
        <v>0.15</v>
      </c>
      <c r="K10" s="100">
        <v>111.17</v>
      </c>
      <c r="L10" s="100">
        <v>23.11</v>
      </c>
      <c r="M10" s="100">
        <v>57.92</v>
      </c>
      <c r="N10" s="100">
        <v>0.8</v>
      </c>
      <c r="O10" s="100">
        <v>0</v>
      </c>
      <c r="P10" s="100">
        <v>1.25</v>
      </c>
      <c r="Q10" s="100">
        <v>28.97</v>
      </c>
      <c r="R10" s="6"/>
      <c r="S10" s="6"/>
      <c r="T10" s="156"/>
      <c r="U10" s="6"/>
    </row>
    <row r="11" spans="1:21" customFormat="1">
      <c r="A11" s="163" t="s">
        <v>529</v>
      </c>
      <c r="B11" s="100">
        <v>26.6</v>
      </c>
      <c r="C11" s="100">
        <v>25.78</v>
      </c>
      <c r="D11" s="100">
        <v>36.15</v>
      </c>
      <c r="E11" s="100">
        <v>8.06</v>
      </c>
      <c r="F11" s="152" t="s">
        <v>15</v>
      </c>
      <c r="G11" s="100">
        <v>132.25</v>
      </c>
      <c r="H11" s="100">
        <v>44.23</v>
      </c>
      <c r="I11" s="100">
        <v>14.15</v>
      </c>
      <c r="J11" s="100">
        <v>0.2</v>
      </c>
      <c r="K11" s="100">
        <v>119.07</v>
      </c>
      <c r="L11" s="100">
        <v>23.3</v>
      </c>
      <c r="M11" s="100">
        <v>54.91</v>
      </c>
      <c r="N11" s="100">
        <v>0.7</v>
      </c>
      <c r="O11" s="100">
        <v>0</v>
      </c>
      <c r="P11" s="100">
        <v>1.26</v>
      </c>
      <c r="Q11" s="100">
        <v>28.99</v>
      </c>
      <c r="R11" s="6"/>
      <c r="S11" s="6"/>
      <c r="T11" s="156"/>
      <c r="U11" s="6"/>
    </row>
    <row r="12" spans="1:21" customFormat="1">
      <c r="A12" s="163" t="s">
        <v>530</v>
      </c>
      <c r="B12" s="100">
        <v>27.18</v>
      </c>
      <c r="C12" s="100">
        <v>25.73</v>
      </c>
      <c r="D12" s="100">
        <v>36.590000000000003</v>
      </c>
      <c r="E12" s="100">
        <v>8.01</v>
      </c>
      <c r="F12" s="152" t="s">
        <v>15</v>
      </c>
      <c r="G12" s="100">
        <v>132.25</v>
      </c>
      <c r="H12" s="100">
        <v>44.23</v>
      </c>
      <c r="I12" s="100">
        <v>14.31</v>
      </c>
      <c r="J12" s="100">
        <v>0.09</v>
      </c>
      <c r="K12" s="100">
        <v>114.86</v>
      </c>
      <c r="L12" s="100">
        <v>23.15</v>
      </c>
      <c r="M12" s="100">
        <v>54.36</v>
      </c>
      <c r="N12" s="100">
        <v>0.8</v>
      </c>
      <c r="O12" s="100">
        <v>0</v>
      </c>
      <c r="P12" s="100">
        <v>1.26</v>
      </c>
      <c r="Q12" s="100">
        <v>29.04</v>
      </c>
      <c r="R12" s="6"/>
      <c r="S12" s="6"/>
      <c r="T12" s="156"/>
      <c r="U12" s="6"/>
    </row>
    <row r="13" spans="1:21" customFormat="1">
      <c r="A13" s="163" t="s">
        <v>531</v>
      </c>
      <c r="B13" s="100">
        <v>27.3</v>
      </c>
      <c r="C13" s="100">
        <v>25.64</v>
      </c>
      <c r="D13" s="100">
        <v>36.64</v>
      </c>
      <c r="E13" s="100">
        <v>7.78</v>
      </c>
      <c r="F13" s="152" t="s">
        <v>15</v>
      </c>
      <c r="G13" s="100">
        <v>121.66</v>
      </c>
      <c r="H13" s="100">
        <v>41.27</v>
      </c>
      <c r="I13" s="100">
        <v>14.39</v>
      </c>
      <c r="J13" s="100">
        <v>0.16</v>
      </c>
      <c r="K13" s="100">
        <v>124.51</v>
      </c>
      <c r="L13" s="100">
        <v>23.08</v>
      </c>
      <c r="M13" s="100">
        <v>53.77</v>
      </c>
      <c r="N13" s="100">
        <v>0.8</v>
      </c>
      <c r="O13" s="100">
        <v>0</v>
      </c>
      <c r="P13" s="100">
        <v>1.25</v>
      </c>
      <c r="Q13" s="100">
        <v>29.05</v>
      </c>
      <c r="R13" s="6"/>
      <c r="S13" s="6"/>
      <c r="T13" s="156"/>
      <c r="U13" s="6"/>
    </row>
    <row r="14" spans="1:21" customFormat="1">
      <c r="A14" s="163" t="s">
        <v>532</v>
      </c>
      <c r="B14" s="100">
        <v>27.21</v>
      </c>
      <c r="C14" s="100">
        <v>25.46</v>
      </c>
      <c r="D14" s="100">
        <v>36.47</v>
      </c>
      <c r="E14" s="100">
        <v>8.01</v>
      </c>
      <c r="F14" s="152" t="s">
        <v>15</v>
      </c>
      <c r="G14" s="100">
        <v>120.76</v>
      </c>
      <c r="H14" s="100">
        <v>41.27</v>
      </c>
      <c r="I14" s="100">
        <v>14.44</v>
      </c>
      <c r="J14" s="100">
        <v>0.35</v>
      </c>
      <c r="K14" s="100">
        <v>68.209999999999994</v>
      </c>
      <c r="L14" s="100">
        <v>23.25</v>
      </c>
      <c r="M14" s="100">
        <v>50.57</v>
      </c>
      <c r="N14" s="100">
        <v>0.4</v>
      </c>
      <c r="O14" s="100">
        <v>0</v>
      </c>
      <c r="P14" s="100">
        <v>1.25</v>
      </c>
      <c r="Q14" s="100">
        <v>29.02</v>
      </c>
      <c r="R14" s="6"/>
      <c r="S14" s="6"/>
      <c r="T14" s="156"/>
      <c r="U14" s="6"/>
    </row>
    <row r="15" spans="1:21" customFormat="1">
      <c r="A15" s="163" t="s">
        <v>533</v>
      </c>
      <c r="B15" s="100">
        <v>27.28</v>
      </c>
      <c r="C15" s="100">
        <v>25.46</v>
      </c>
      <c r="D15" s="100">
        <v>36.53</v>
      </c>
      <c r="E15" s="100">
        <v>7.76</v>
      </c>
      <c r="F15" s="152" t="s">
        <v>15</v>
      </c>
      <c r="G15" s="100">
        <v>120.76</v>
      </c>
      <c r="H15" s="100">
        <v>41.27</v>
      </c>
      <c r="I15" s="100">
        <v>14.41</v>
      </c>
      <c r="J15" s="100">
        <v>0.02</v>
      </c>
      <c r="K15" s="100">
        <v>353.27</v>
      </c>
      <c r="L15" s="100">
        <v>23.3</v>
      </c>
      <c r="M15" s="100">
        <v>50.65</v>
      </c>
      <c r="N15" s="100">
        <v>0.8</v>
      </c>
      <c r="O15" s="100">
        <v>0</v>
      </c>
      <c r="P15" s="100">
        <v>1.23</v>
      </c>
      <c r="Q15" s="100">
        <v>29.04</v>
      </c>
      <c r="R15" s="6"/>
      <c r="S15" s="6"/>
      <c r="T15" s="156"/>
      <c r="U15" s="6"/>
    </row>
    <row r="16" spans="1:21" customFormat="1">
      <c r="A16" s="163" t="s">
        <v>534</v>
      </c>
      <c r="B16" s="100">
        <v>27.34</v>
      </c>
      <c r="C16" s="100">
        <v>25.53</v>
      </c>
      <c r="D16" s="100">
        <v>36.61</v>
      </c>
      <c r="E16" s="100">
        <v>7.97</v>
      </c>
      <c r="F16" s="152" t="s">
        <v>15</v>
      </c>
      <c r="G16" s="100">
        <v>120.76</v>
      </c>
      <c r="H16" s="100">
        <v>41.27</v>
      </c>
      <c r="I16" s="100">
        <v>14.32</v>
      </c>
      <c r="J16" s="100">
        <v>0.22</v>
      </c>
      <c r="K16" s="100">
        <v>161.58000000000001</v>
      </c>
      <c r="L16" s="100">
        <v>22.6</v>
      </c>
      <c r="M16" s="100">
        <v>55.93</v>
      </c>
      <c r="N16" s="100">
        <v>1.1000000000000001</v>
      </c>
      <c r="O16" s="100">
        <v>0</v>
      </c>
      <c r="P16" s="100">
        <v>1.23</v>
      </c>
      <c r="Q16" s="100">
        <v>29.03</v>
      </c>
      <c r="R16" s="6"/>
      <c r="S16" s="6"/>
      <c r="T16" s="156"/>
      <c r="U16" s="6"/>
    </row>
    <row r="17" spans="1:21" customFormat="1">
      <c r="A17" s="163" t="s">
        <v>535</v>
      </c>
      <c r="B17" s="100">
        <v>27.54</v>
      </c>
      <c r="C17" s="100">
        <v>24.97</v>
      </c>
      <c r="D17" s="100">
        <v>36.479999999999997</v>
      </c>
      <c r="E17" s="100">
        <v>6.72</v>
      </c>
      <c r="F17" s="152" t="s">
        <v>15</v>
      </c>
      <c r="G17" s="100">
        <v>109.63</v>
      </c>
      <c r="H17" s="100">
        <v>38.06</v>
      </c>
      <c r="I17" s="100">
        <v>14.24</v>
      </c>
      <c r="J17" s="100">
        <v>0.17</v>
      </c>
      <c r="K17" s="100">
        <v>155.13</v>
      </c>
      <c r="L17" s="100">
        <v>21.91</v>
      </c>
      <c r="M17" s="100">
        <v>57.41</v>
      </c>
      <c r="N17" s="100">
        <v>1.1000000000000001</v>
      </c>
      <c r="O17" s="100">
        <v>0</v>
      </c>
      <c r="P17" s="100">
        <v>1.22</v>
      </c>
      <c r="Q17" s="100">
        <v>29.03</v>
      </c>
      <c r="R17" s="6"/>
      <c r="S17" s="6"/>
      <c r="T17" s="156"/>
      <c r="U17" s="6"/>
    </row>
    <row r="18" spans="1:21" customFormat="1">
      <c r="A18" s="163" t="s">
        <v>536</v>
      </c>
      <c r="B18" s="100">
        <v>27.85</v>
      </c>
      <c r="C18" s="100">
        <v>24.84</v>
      </c>
      <c r="D18" s="100">
        <v>36.659999999999997</v>
      </c>
      <c r="E18" s="100">
        <v>8.4</v>
      </c>
      <c r="F18" s="152" t="s">
        <v>15</v>
      </c>
      <c r="G18" s="100">
        <v>108.54</v>
      </c>
      <c r="H18" s="100">
        <v>38.06</v>
      </c>
      <c r="I18" s="100">
        <v>14.15</v>
      </c>
      <c r="J18" s="100">
        <v>0.28000000000000003</v>
      </c>
      <c r="K18" s="100">
        <v>165.89</v>
      </c>
      <c r="L18" s="100">
        <v>21.48</v>
      </c>
      <c r="M18" s="100">
        <v>62.58</v>
      </c>
      <c r="N18" s="100">
        <v>1</v>
      </c>
      <c r="O18" s="100">
        <v>0</v>
      </c>
      <c r="P18" s="100">
        <v>1.22</v>
      </c>
      <c r="Q18" s="100">
        <v>29.06</v>
      </c>
      <c r="R18" s="6"/>
      <c r="S18" s="6"/>
      <c r="T18" s="156"/>
      <c r="U18" s="6"/>
    </row>
    <row r="19" spans="1:21" customFormat="1">
      <c r="A19" s="163" t="s">
        <v>537</v>
      </c>
      <c r="B19" s="100">
        <v>27.96</v>
      </c>
      <c r="C19" s="100">
        <v>24.44</v>
      </c>
      <c r="D19" s="100">
        <v>36.54</v>
      </c>
      <c r="E19" s="100">
        <v>8.6199999999999992</v>
      </c>
      <c r="F19" s="152" t="s">
        <v>15</v>
      </c>
      <c r="G19" s="100">
        <v>108.54</v>
      </c>
      <c r="H19" s="100">
        <v>38.06</v>
      </c>
      <c r="I19" s="100">
        <v>14.09</v>
      </c>
      <c r="J19" s="100">
        <v>0.17</v>
      </c>
      <c r="K19" s="100">
        <v>143.38999999999999</v>
      </c>
      <c r="L19" s="100">
        <v>21.17</v>
      </c>
      <c r="M19" s="100">
        <v>61.36</v>
      </c>
      <c r="N19" s="100">
        <v>1</v>
      </c>
      <c r="O19" s="100">
        <v>0</v>
      </c>
      <c r="P19" s="100">
        <v>1.21</v>
      </c>
      <c r="Q19" s="100">
        <v>29.04</v>
      </c>
      <c r="R19" s="6"/>
      <c r="S19" s="6"/>
      <c r="T19" s="156"/>
      <c r="U19" s="6"/>
    </row>
    <row r="20" spans="1:21" customFormat="1">
      <c r="A20" s="163" t="s">
        <v>538</v>
      </c>
      <c r="B20" s="100">
        <v>28.04</v>
      </c>
      <c r="C20" s="100">
        <v>24.3</v>
      </c>
      <c r="D20" s="100">
        <v>36.53</v>
      </c>
      <c r="E20" s="100">
        <v>8.5299999999999994</v>
      </c>
      <c r="F20" s="152" t="s">
        <v>15</v>
      </c>
      <c r="G20" s="100">
        <v>108.54</v>
      </c>
      <c r="H20" s="100">
        <v>38.06</v>
      </c>
      <c r="I20" s="100">
        <v>14.04</v>
      </c>
      <c r="J20" s="100">
        <v>0.06</v>
      </c>
      <c r="K20" s="100">
        <v>185.24</v>
      </c>
      <c r="L20" s="100">
        <v>21.06</v>
      </c>
      <c r="M20" s="100">
        <v>62.33</v>
      </c>
      <c r="N20" s="100">
        <v>0.8</v>
      </c>
      <c r="O20" s="100">
        <v>0</v>
      </c>
      <c r="P20" s="100">
        <v>1.2</v>
      </c>
      <c r="Q20" s="100">
        <v>29.05</v>
      </c>
      <c r="R20" s="6"/>
      <c r="S20" s="6"/>
      <c r="T20" s="156"/>
      <c r="U20" s="6"/>
    </row>
    <row r="21" spans="1:21" customFormat="1">
      <c r="A21" s="163" t="s">
        <v>539</v>
      </c>
      <c r="B21" s="100">
        <v>28.03</v>
      </c>
      <c r="C21" s="100">
        <v>23.9</v>
      </c>
      <c r="D21" s="100">
        <v>36.32</v>
      </c>
      <c r="E21" s="100">
        <v>8.6300000000000008</v>
      </c>
      <c r="F21" s="152" t="s">
        <v>15</v>
      </c>
      <c r="G21" s="100">
        <v>103.61</v>
      </c>
      <c r="H21" s="100">
        <v>36.47</v>
      </c>
      <c r="I21" s="100">
        <v>13.98</v>
      </c>
      <c r="J21" s="100">
        <v>0.15</v>
      </c>
      <c r="K21" s="100">
        <v>301.83</v>
      </c>
      <c r="L21" s="100">
        <v>21.3</v>
      </c>
      <c r="M21" s="100">
        <v>57.55</v>
      </c>
      <c r="N21" s="100">
        <v>0.6</v>
      </c>
      <c r="O21" s="100">
        <v>0</v>
      </c>
      <c r="P21" s="100">
        <v>1.2</v>
      </c>
      <c r="Q21" s="100">
        <v>29.05</v>
      </c>
      <c r="R21" s="6"/>
      <c r="S21" s="6"/>
      <c r="T21" s="156"/>
      <c r="U21" s="6"/>
    </row>
    <row r="22" spans="1:21" customFormat="1">
      <c r="A22" s="163" t="s">
        <v>540</v>
      </c>
      <c r="B22" s="100">
        <v>28.11</v>
      </c>
      <c r="C22" s="100">
        <v>23.48</v>
      </c>
      <c r="D22" s="100">
        <v>36.159999999999997</v>
      </c>
      <c r="E22" s="100">
        <v>8.89</v>
      </c>
      <c r="F22" s="152" t="s">
        <v>15</v>
      </c>
      <c r="G22" s="100">
        <v>103.12</v>
      </c>
      <c r="H22" s="100">
        <v>36.47</v>
      </c>
      <c r="I22" s="100">
        <v>13.88</v>
      </c>
      <c r="J22" s="100">
        <v>0.1</v>
      </c>
      <c r="K22" s="100">
        <v>200.16</v>
      </c>
      <c r="L22" s="100">
        <v>21.37</v>
      </c>
      <c r="M22" s="100">
        <v>56.74</v>
      </c>
      <c r="N22" s="100">
        <v>0.7</v>
      </c>
      <c r="O22" s="100">
        <v>0</v>
      </c>
      <c r="P22" s="100">
        <v>1.18</v>
      </c>
      <c r="Q22" s="100">
        <v>29.07</v>
      </c>
      <c r="R22" s="6"/>
      <c r="S22" s="6"/>
      <c r="T22" s="156"/>
      <c r="U22" s="6"/>
    </row>
    <row r="23" spans="1:21" customFormat="1">
      <c r="A23" s="163" t="s">
        <v>541</v>
      </c>
      <c r="B23" s="100">
        <v>28.27</v>
      </c>
      <c r="C23" s="100">
        <v>23.49</v>
      </c>
      <c r="D23" s="100">
        <v>36.299999999999997</v>
      </c>
      <c r="E23" s="100">
        <v>8.48</v>
      </c>
      <c r="F23" s="152" t="s">
        <v>15</v>
      </c>
      <c r="G23" s="100">
        <v>103.12</v>
      </c>
      <c r="H23" s="100">
        <v>36.47</v>
      </c>
      <c r="I23" s="100">
        <v>13.79</v>
      </c>
      <c r="J23" s="100">
        <v>0.16</v>
      </c>
      <c r="K23" s="100">
        <v>206.47</v>
      </c>
      <c r="L23" s="100">
        <v>21.02</v>
      </c>
      <c r="M23" s="100">
        <v>61.41</v>
      </c>
      <c r="N23" s="100">
        <v>1</v>
      </c>
      <c r="O23" s="100">
        <v>0</v>
      </c>
      <c r="P23" s="100">
        <v>1.17</v>
      </c>
      <c r="Q23" s="100">
        <v>29.07</v>
      </c>
      <c r="R23" s="6"/>
      <c r="S23" s="6"/>
      <c r="T23" s="156"/>
      <c r="U23" s="6"/>
    </row>
    <row r="24" spans="1:21" customFormat="1">
      <c r="A24" s="163" t="s">
        <v>542</v>
      </c>
      <c r="B24" s="100">
        <v>28.26</v>
      </c>
      <c r="C24" s="100">
        <v>23.26</v>
      </c>
      <c r="D24" s="100">
        <v>36.159999999999997</v>
      </c>
      <c r="E24" s="100">
        <v>8.4700000000000006</v>
      </c>
      <c r="F24" s="152" t="s">
        <v>15</v>
      </c>
      <c r="G24" s="100">
        <v>103.12</v>
      </c>
      <c r="H24" s="100">
        <v>36.47</v>
      </c>
      <c r="I24" s="100">
        <v>13.66</v>
      </c>
      <c r="J24" s="100">
        <v>0.25</v>
      </c>
      <c r="K24" s="100">
        <v>155.31</v>
      </c>
      <c r="L24" s="100">
        <v>20.53</v>
      </c>
      <c r="M24" s="100">
        <v>66.099999999999994</v>
      </c>
      <c r="N24" s="100">
        <v>1.1000000000000001</v>
      </c>
      <c r="O24" s="100">
        <v>0</v>
      </c>
      <c r="P24" s="100">
        <v>1.1499999999999999</v>
      </c>
      <c r="Q24" s="100">
        <v>29.08</v>
      </c>
      <c r="R24" s="6"/>
      <c r="S24" s="6"/>
      <c r="T24" s="156"/>
      <c r="U24" s="6"/>
    </row>
    <row r="25" spans="1:21" customFormat="1">
      <c r="A25" s="163" t="s">
        <v>543</v>
      </c>
      <c r="B25" s="100">
        <v>28.12</v>
      </c>
      <c r="C25" s="100">
        <v>22.98</v>
      </c>
      <c r="D25" s="100">
        <v>35.909999999999997</v>
      </c>
      <c r="E25" s="100">
        <v>8.36</v>
      </c>
      <c r="F25" s="152" t="s">
        <v>15</v>
      </c>
      <c r="G25" s="100">
        <v>98.72</v>
      </c>
      <c r="H25" s="100">
        <v>25.69</v>
      </c>
      <c r="I25" s="100">
        <v>13.51</v>
      </c>
      <c r="J25" s="100">
        <v>0.21</v>
      </c>
      <c r="K25" s="100">
        <v>132.59</v>
      </c>
      <c r="L25" s="100">
        <v>20.41</v>
      </c>
      <c r="M25" s="100">
        <v>64.66</v>
      </c>
      <c r="N25" s="100">
        <v>0.8</v>
      </c>
      <c r="O25" s="100">
        <v>0</v>
      </c>
      <c r="P25" s="100">
        <v>1.1399999999999999</v>
      </c>
      <c r="Q25" s="100">
        <v>29.06</v>
      </c>
      <c r="R25" s="6"/>
      <c r="S25" s="6"/>
      <c r="T25" s="156"/>
      <c r="U25" s="6"/>
    </row>
    <row r="26" spans="1:21" customFormat="1">
      <c r="A26" s="163" t="s">
        <v>544</v>
      </c>
      <c r="B26" s="100">
        <v>28.04</v>
      </c>
      <c r="C26" s="100">
        <v>22.72</v>
      </c>
      <c r="D26" s="100">
        <v>35.71</v>
      </c>
      <c r="E26" s="100">
        <v>8.33</v>
      </c>
      <c r="F26" s="152" t="s">
        <v>15</v>
      </c>
      <c r="G26" s="100">
        <v>98.29</v>
      </c>
      <c r="H26" s="100">
        <v>25.69</v>
      </c>
      <c r="I26" s="100">
        <v>13.4</v>
      </c>
      <c r="J26" s="100">
        <v>0.14000000000000001</v>
      </c>
      <c r="K26" s="100">
        <v>111.04</v>
      </c>
      <c r="L26" s="100">
        <v>20.71</v>
      </c>
      <c r="M26" s="100">
        <v>62.43</v>
      </c>
      <c r="N26" s="100">
        <v>0.7</v>
      </c>
      <c r="O26" s="100">
        <v>0</v>
      </c>
      <c r="P26" s="100">
        <v>1.1299999999999999</v>
      </c>
      <c r="Q26" s="100">
        <v>29.07</v>
      </c>
      <c r="R26" s="6"/>
      <c r="S26" s="6"/>
      <c r="T26" s="156"/>
      <c r="U26" s="6"/>
    </row>
    <row r="27" spans="1:21" customFormat="1">
      <c r="A27" s="163" t="s">
        <v>545</v>
      </c>
      <c r="B27" s="100">
        <v>27.98</v>
      </c>
      <c r="C27" s="100">
        <v>22.58</v>
      </c>
      <c r="D27" s="100">
        <v>35.590000000000003</v>
      </c>
      <c r="E27" s="100">
        <v>8.3800000000000008</v>
      </c>
      <c r="F27" s="152" t="s">
        <v>15</v>
      </c>
      <c r="G27" s="100">
        <v>98.29</v>
      </c>
      <c r="H27" s="100">
        <v>25.69</v>
      </c>
      <c r="I27" s="100">
        <v>13.27</v>
      </c>
      <c r="J27" s="100">
        <v>0.31</v>
      </c>
      <c r="K27" s="100">
        <v>167.35</v>
      </c>
      <c r="L27" s="100">
        <v>20.170000000000002</v>
      </c>
      <c r="M27" s="100">
        <v>67.66</v>
      </c>
      <c r="N27" s="100">
        <v>1.3</v>
      </c>
      <c r="O27" s="100">
        <v>0</v>
      </c>
      <c r="P27" s="100">
        <v>1.1200000000000001</v>
      </c>
      <c r="Q27" s="100">
        <v>29.06</v>
      </c>
      <c r="R27" s="6"/>
      <c r="S27" s="6"/>
      <c r="T27" s="156"/>
      <c r="U27" s="6"/>
    </row>
    <row r="28" spans="1:21" customFormat="1">
      <c r="A28" s="163" t="s">
        <v>546</v>
      </c>
      <c r="B28" s="100">
        <v>27.5</v>
      </c>
      <c r="C28" s="100">
        <v>22.3</v>
      </c>
      <c r="D28" s="100">
        <v>35.06</v>
      </c>
      <c r="E28" s="100">
        <v>8.4700000000000006</v>
      </c>
      <c r="F28" s="152" t="s">
        <v>15</v>
      </c>
      <c r="G28" s="100">
        <v>98.29</v>
      </c>
      <c r="H28" s="100">
        <v>25.69</v>
      </c>
      <c r="I28" s="100">
        <v>13.16</v>
      </c>
      <c r="J28" s="100">
        <v>0.32</v>
      </c>
      <c r="K28" s="100">
        <v>188.5</v>
      </c>
      <c r="L28" s="100">
        <v>19.55</v>
      </c>
      <c r="M28" s="100">
        <v>69.91</v>
      </c>
      <c r="N28" s="100">
        <v>1.5</v>
      </c>
      <c r="O28" s="100">
        <v>0</v>
      </c>
      <c r="P28" s="100">
        <v>1.1000000000000001</v>
      </c>
      <c r="Q28" s="100">
        <v>29.04</v>
      </c>
      <c r="R28" s="6"/>
      <c r="S28" s="6"/>
      <c r="T28" s="156"/>
      <c r="U28" s="6"/>
    </row>
    <row r="29" spans="1:21" customFormat="1">
      <c r="A29" s="163" t="s">
        <v>547</v>
      </c>
      <c r="B29" s="100">
        <v>26.95</v>
      </c>
      <c r="C29" s="100">
        <v>21.83</v>
      </c>
      <c r="D29" s="100">
        <v>34.369999999999997</v>
      </c>
      <c r="E29" s="100">
        <v>8.1199999999999992</v>
      </c>
      <c r="F29" s="152" t="s">
        <v>15</v>
      </c>
      <c r="G29" s="100">
        <v>86.31</v>
      </c>
      <c r="H29" s="100">
        <v>26.51</v>
      </c>
      <c r="I29" s="100">
        <v>13.05</v>
      </c>
      <c r="J29" s="100">
        <v>0.26</v>
      </c>
      <c r="K29" s="100">
        <v>189.54</v>
      </c>
      <c r="L29" s="100">
        <v>18.989999999999998</v>
      </c>
      <c r="M29" s="100">
        <v>68.39</v>
      </c>
      <c r="N29" s="100">
        <v>1.3</v>
      </c>
      <c r="O29" s="100">
        <v>0</v>
      </c>
      <c r="P29" s="100">
        <v>1.0900000000000001</v>
      </c>
      <c r="Q29" s="100">
        <v>29.01</v>
      </c>
      <c r="R29" s="6"/>
      <c r="S29" s="6"/>
      <c r="T29" s="156"/>
      <c r="U29" s="6"/>
    </row>
    <row r="30" spans="1:21" customFormat="1">
      <c r="A30" s="163" t="s">
        <v>548</v>
      </c>
      <c r="B30" s="100">
        <v>26.29</v>
      </c>
      <c r="C30" s="100">
        <v>21.76</v>
      </c>
      <c r="D30" s="100">
        <v>33.81</v>
      </c>
      <c r="E30" s="100">
        <v>8.59</v>
      </c>
      <c r="F30" s="152" t="s">
        <v>15</v>
      </c>
      <c r="G30" s="100">
        <v>85.14</v>
      </c>
      <c r="H30" s="100">
        <v>26.51</v>
      </c>
      <c r="I30" s="100">
        <v>12.9</v>
      </c>
      <c r="J30" s="100">
        <v>0.08</v>
      </c>
      <c r="K30" s="100">
        <v>235.64</v>
      </c>
      <c r="L30" s="100">
        <v>19.100000000000001</v>
      </c>
      <c r="M30" s="100">
        <v>66.48</v>
      </c>
      <c r="N30" s="100">
        <v>0.7</v>
      </c>
      <c r="O30" s="100">
        <v>0</v>
      </c>
      <c r="P30" s="100">
        <v>1.08</v>
      </c>
      <c r="Q30" s="100">
        <v>29.01</v>
      </c>
      <c r="R30" s="6"/>
      <c r="S30" s="6"/>
      <c r="T30" s="156"/>
      <c r="U30" s="6"/>
    </row>
    <row r="31" spans="1:21" customFormat="1">
      <c r="A31" s="163" t="s">
        <v>549</v>
      </c>
      <c r="B31" s="100">
        <v>25.73</v>
      </c>
      <c r="C31" s="100">
        <v>21.43</v>
      </c>
      <c r="D31" s="100">
        <v>33.18</v>
      </c>
      <c r="E31" s="100">
        <v>8.4</v>
      </c>
      <c r="F31" s="152" t="s">
        <v>15</v>
      </c>
      <c r="G31" s="100">
        <v>85.14</v>
      </c>
      <c r="H31" s="100">
        <v>26.51</v>
      </c>
      <c r="I31" s="100">
        <v>12.77</v>
      </c>
      <c r="J31" s="100">
        <v>0.16</v>
      </c>
      <c r="K31" s="100">
        <v>216.88</v>
      </c>
      <c r="L31" s="100">
        <v>19.21</v>
      </c>
      <c r="M31" s="100">
        <v>65.81</v>
      </c>
      <c r="N31" s="100">
        <v>0.6</v>
      </c>
      <c r="O31" s="100">
        <v>0</v>
      </c>
      <c r="P31" s="100">
        <v>1.07</v>
      </c>
      <c r="Q31" s="100">
        <v>28.95</v>
      </c>
      <c r="R31" s="6"/>
      <c r="S31" s="6"/>
      <c r="T31" s="156"/>
      <c r="U31" s="6"/>
    </row>
    <row r="32" spans="1:21" customFormat="1">
      <c r="A32" s="163" t="s">
        <v>550</v>
      </c>
      <c r="B32" s="100">
        <v>25.24</v>
      </c>
      <c r="C32" s="100">
        <v>21.36</v>
      </c>
      <c r="D32" s="100">
        <v>32.75</v>
      </c>
      <c r="E32" s="100">
        <v>8.44</v>
      </c>
      <c r="F32" s="152" t="s">
        <v>15</v>
      </c>
      <c r="G32" s="100">
        <v>85.14</v>
      </c>
      <c r="H32" s="100">
        <v>26.51</v>
      </c>
      <c r="I32" s="100">
        <v>12.67</v>
      </c>
      <c r="J32" s="100">
        <v>0.12</v>
      </c>
      <c r="K32" s="100">
        <v>186.57</v>
      </c>
      <c r="L32" s="100">
        <v>19.16</v>
      </c>
      <c r="M32" s="100">
        <v>66.87</v>
      </c>
      <c r="N32" s="100">
        <v>0.9</v>
      </c>
      <c r="O32" s="100">
        <v>0</v>
      </c>
      <c r="P32" s="100">
        <v>1.06</v>
      </c>
      <c r="Q32" s="100">
        <v>28.94</v>
      </c>
      <c r="R32" s="6"/>
      <c r="S32" s="6"/>
      <c r="T32" s="156"/>
      <c r="U32" s="6"/>
    </row>
    <row r="33" spans="1:21" customFormat="1">
      <c r="A33" s="163" t="s">
        <v>551</v>
      </c>
      <c r="B33" s="100">
        <v>25.34</v>
      </c>
      <c r="C33" s="100">
        <v>21.62</v>
      </c>
      <c r="D33" s="100">
        <v>32.97</v>
      </c>
      <c r="E33" s="100">
        <v>8.5299999999999994</v>
      </c>
      <c r="F33" s="152" t="s">
        <v>15</v>
      </c>
      <c r="G33" s="100">
        <v>80.069999999999993</v>
      </c>
      <c r="H33" s="100">
        <v>25.16</v>
      </c>
      <c r="I33" s="100">
        <v>12.55</v>
      </c>
      <c r="J33" s="100">
        <v>0.2</v>
      </c>
      <c r="K33" s="100">
        <v>208.27</v>
      </c>
      <c r="L33" s="100">
        <v>18.670000000000002</v>
      </c>
      <c r="M33" s="100">
        <v>72.64</v>
      </c>
      <c r="N33" s="100">
        <v>1.8</v>
      </c>
      <c r="O33" s="100">
        <v>0</v>
      </c>
      <c r="P33" s="100">
        <v>1.05</v>
      </c>
      <c r="Q33" s="100">
        <v>28.93</v>
      </c>
      <c r="R33" s="6"/>
      <c r="S33" s="6"/>
      <c r="T33" s="156"/>
      <c r="U33" s="6"/>
    </row>
    <row r="34" spans="1:21" customFormat="1">
      <c r="A34" s="163" t="s">
        <v>552</v>
      </c>
      <c r="B34" s="100">
        <v>25.18</v>
      </c>
      <c r="C34" s="100">
        <v>21.4</v>
      </c>
      <c r="D34" s="100">
        <v>32.72</v>
      </c>
      <c r="E34" s="100">
        <v>8.11</v>
      </c>
      <c r="F34" s="152" t="s">
        <v>15</v>
      </c>
      <c r="G34" s="100">
        <v>79.58</v>
      </c>
      <c r="H34" s="100">
        <v>25.16</v>
      </c>
      <c r="I34" s="100">
        <v>12.43</v>
      </c>
      <c r="J34" s="100">
        <v>0.18</v>
      </c>
      <c r="K34" s="100">
        <v>181.06</v>
      </c>
      <c r="L34" s="100">
        <v>18.55</v>
      </c>
      <c r="M34" s="100">
        <v>73.290000000000006</v>
      </c>
      <c r="N34" s="100">
        <v>4.3</v>
      </c>
      <c r="O34" s="100">
        <v>0</v>
      </c>
      <c r="P34" s="100">
        <v>1.03</v>
      </c>
      <c r="Q34" s="100">
        <v>28.94</v>
      </c>
      <c r="R34" s="6"/>
      <c r="S34" s="6"/>
      <c r="T34" s="156"/>
      <c r="U34" s="6"/>
    </row>
    <row r="35" spans="1:21" customFormat="1">
      <c r="A35" s="163" t="s">
        <v>553</v>
      </c>
      <c r="B35" s="100">
        <v>24.62</v>
      </c>
      <c r="C35" s="100">
        <v>20.98</v>
      </c>
      <c r="D35" s="100">
        <v>32.06</v>
      </c>
      <c r="E35" s="100">
        <v>8.59</v>
      </c>
      <c r="F35" s="152" t="s">
        <v>15</v>
      </c>
      <c r="G35" s="100">
        <v>79.58</v>
      </c>
      <c r="H35" s="100">
        <v>25.16</v>
      </c>
      <c r="I35" s="100">
        <v>12.36</v>
      </c>
      <c r="J35" s="100">
        <v>0.14000000000000001</v>
      </c>
      <c r="K35" s="100">
        <v>135.61000000000001</v>
      </c>
      <c r="L35" s="100">
        <v>18.53</v>
      </c>
      <c r="M35" s="100">
        <v>73.13</v>
      </c>
      <c r="N35" s="100">
        <v>9.8000000000000007</v>
      </c>
      <c r="O35" s="100">
        <v>0</v>
      </c>
      <c r="P35" s="100">
        <v>1.02</v>
      </c>
      <c r="Q35" s="100">
        <v>28.9</v>
      </c>
      <c r="R35" s="6"/>
      <c r="S35" s="6"/>
      <c r="T35" s="156"/>
      <c r="U35" s="6"/>
    </row>
    <row r="36" spans="1:21" customFormat="1">
      <c r="A36" s="163" t="s">
        <v>554</v>
      </c>
      <c r="B36" s="100">
        <v>23.71</v>
      </c>
      <c r="C36" s="100">
        <v>20.34</v>
      </c>
      <c r="D36" s="100">
        <v>30.99</v>
      </c>
      <c r="E36" s="100">
        <v>8.2899999999999991</v>
      </c>
      <c r="F36" s="152" t="s">
        <v>15</v>
      </c>
      <c r="G36" s="100">
        <v>79.58</v>
      </c>
      <c r="H36" s="100">
        <v>25.16</v>
      </c>
      <c r="I36" s="100">
        <v>12.28</v>
      </c>
      <c r="J36" s="100">
        <v>0.15</v>
      </c>
      <c r="K36" s="100">
        <v>196.31</v>
      </c>
      <c r="L36" s="100">
        <v>19.059999999999999</v>
      </c>
      <c r="M36" s="100">
        <v>70.28</v>
      </c>
      <c r="N36" s="100">
        <v>16.2</v>
      </c>
      <c r="O36" s="100">
        <v>0</v>
      </c>
      <c r="P36" s="100">
        <v>1.01</v>
      </c>
      <c r="Q36" s="100">
        <v>28.84</v>
      </c>
      <c r="R36" s="6"/>
      <c r="S36" s="6"/>
      <c r="T36" s="156"/>
      <c r="U36" s="6"/>
    </row>
    <row r="37" spans="1:21" customFormat="1">
      <c r="A37" s="163" t="s">
        <v>555</v>
      </c>
      <c r="B37" s="100">
        <v>22.64</v>
      </c>
      <c r="C37" s="100">
        <v>20.2</v>
      </c>
      <c r="D37" s="100">
        <v>30.06</v>
      </c>
      <c r="E37" s="100">
        <v>8.0299999999999994</v>
      </c>
      <c r="F37" s="152" t="s">
        <v>15</v>
      </c>
      <c r="G37" s="100">
        <v>81.7</v>
      </c>
      <c r="H37" s="100">
        <v>23.64</v>
      </c>
      <c r="I37" s="100">
        <v>12.2</v>
      </c>
      <c r="J37" s="100">
        <v>0.27</v>
      </c>
      <c r="K37" s="100">
        <v>171.01</v>
      </c>
      <c r="L37" s="100">
        <v>19.73</v>
      </c>
      <c r="M37" s="100">
        <v>69.16</v>
      </c>
      <c r="N37" s="100">
        <v>22.7</v>
      </c>
      <c r="O37" s="100">
        <v>0</v>
      </c>
      <c r="P37" s="100">
        <v>0.99</v>
      </c>
      <c r="Q37" s="100">
        <v>28.84</v>
      </c>
      <c r="R37" s="6"/>
      <c r="S37" s="6"/>
      <c r="T37" s="156"/>
      <c r="U37" s="6"/>
    </row>
    <row r="38" spans="1:21" customFormat="1">
      <c r="A38" s="163" t="s">
        <v>556</v>
      </c>
      <c r="B38" s="100">
        <v>21.78</v>
      </c>
      <c r="C38" s="100">
        <v>20.22</v>
      </c>
      <c r="D38" s="100">
        <v>29.38</v>
      </c>
      <c r="E38" s="100">
        <v>8.33</v>
      </c>
      <c r="F38" s="152" t="s">
        <v>15</v>
      </c>
      <c r="G38" s="100">
        <v>81.900000000000006</v>
      </c>
      <c r="H38" s="100">
        <v>23.64</v>
      </c>
      <c r="I38" s="100">
        <v>12.14</v>
      </c>
      <c r="J38" s="100">
        <v>0.14000000000000001</v>
      </c>
      <c r="K38" s="100">
        <v>161.5</v>
      </c>
      <c r="L38" s="100">
        <v>20.43</v>
      </c>
      <c r="M38" s="100">
        <v>65.83</v>
      </c>
      <c r="N38" s="100">
        <v>29.4</v>
      </c>
      <c r="O38" s="100">
        <v>0</v>
      </c>
      <c r="P38" s="100">
        <v>0.99</v>
      </c>
      <c r="Q38" s="100">
        <v>28.8</v>
      </c>
      <c r="R38" s="6"/>
      <c r="S38" s="6"/>
      <c r="T38" s="156"/>
      <c r="U38" s="6"/>
    </row>
    <row r="39" spans="1:21" customFormat="1">
      <c r="A39" s="163" t="s">
        <v>557</v>
      </c>
      <c r="B39" s="100">
        <v>20.88</v>
      </c>
      <c r="C39" s="100">
        <v>20.32</v>
      </c>
      <c r="D39" s="100">
        <v>28.71</v>
      </c>
      <c r="E39" s="100">
        <v>8.39</v>
      </c>
      <c r="F39" s="152" t="s">
        <v>15</v>
      </c>
      <c r="G39" s="100">
        <v>81.900000000000006</v>
      </c>
      <c r="H39" s="100">
        <v>23.64</v>
      </c>
      <c r="I39" s="100">
        <v>12.1</v>
      </c>
      <c r="J39" s="100">
        <v>0.33</v>
      </c>
      <c r="K39" s="100">
        <v>148.80000000000001</v>
      </c>
      <c r="L39" s="100">
        <v>21.58</v>
      </c>
      <c r="M39" s="100">
        <v>60.85</v>
      </c>
      <c r="N39" s="100">
        <v>38.700000000000003</v>
      </c>
      <c r="O39" s="100">
        <v>0</v>
      </c>
      <c r="P39" s="100">
        <v>1</v>
      </c>
      <c r="Q39" s="100">
        <v>28.74</v>
      </c>
      <c r="R39" s="6"/>
      <c r="S39" s="6"/>
      <c r="T39" s="156"/>
      <c r="U39" s="6"/>
    </row>
    <row r="40" spans="1:21" customFormat="1">
      <c r="A40" s="163" t="s">
        <v>558</v>
      </c>
      <c r="B40" s="100">
        <v>19.739999999999998</v>
      </c>
      <c r="C40" s="100">
        <v>20.47</v>
      </c>
      <c r="D40" s="100">
        <v>27.88</v>
      </c>
      <c r="E40" s="100">
        <v>8.49</v>
      </c>
      <c r="F40" s="152" t="s">
        <v>15</v>
      </c>
      <c r="G40" s="100">
        <v>81.900000000000006</v>
      </c>
      <c r="H40" s="100">
        <v>23.64</v>
      </c>
      <c r="I40" s="100">
        <v>12.1</v>
      </c>
      <c r="J40" s="100">
        <v>0.24</v>
      </c>
      <c r="K40" s="100">
        <v>155.01</v>
      </c>
      <c r="L40" s="100">
        <v>23.11</v>
      </c>
      <c r="M40" s="100">
        <v>53.06</v>
      </c>
      <c r="N40" s="100">
        <v>61.3</v>
      </c>
      <c r="O40" s="100">
        <v>0</v>
      </c>
      <c r="P40" s="100">
        <v>0.99</v>
      </c>
      <c r="Q40" s="100">
        <v>28.7</v>
      </c>
      <c r="R40" s="6"/>
      <c r="S40" s="6"/>
      <c r="T40" s="156"/>
      <c r="U40" s="6"/>
    </row>
    <row r="41" spans="1:21" customFormat="1">
      <c r="A41" s="163" t="s">
        <v>559</v>
      </c>
      <c r="B41" s="100">
        <v>18.43</v>
      </c>
      <c r="C41" s="100">
        <v>20.77</v>
      </c>
      <c r="D41" s="100">
        <v>26.98</v>
      </c>
      <c r="E41" s="100">
        <v>8.4700000000000006</v>
      </c>
      <c r="F41" s="152" t="s">
        <v>15</v>
      </c>
      <c r="G41" s="100">
        <v>88.12</v>
      </c>
      <c r="H41" s="100">
        <v>31.92</v>
      </c>
      <c r="I41" s="100">
        <v>12.15</v>
      </c>
      <c r="J41" s="100">
        <v>0.36</v>
      </c>
      <c r="K41" s="100">
        <v>132.07</v>
      </c>
      <c r="L41" s="100">
        <v>24.62</v>
      </c>
      <c r="M41" s="100">
        <v>45.52</v>
      </c>
      <c r="N41" s="100">
        <v>96</v>
      </c>
      <c r="O41" s="100">
        <v>0</v>
      </c>
      <c r="P41" s="100">
        <v>0.98</v>
      </c>
      <c r="Q41" s="100">
        <v>28.65</v>
      </c>
      <c r="R41" s="6"/>
      <c r="S41" s="6"/>
      <c r="T41" s="156"/>
      <c r="U41" s="6"/>
    </row>
    <row r="42" spans="1:21" customFormat="1">
      <c r="A42" s="163" t="s">
        <v>560</v>
      </c>
      <c r="B42" s="100">
        <v>16.809999999999999</v>
      </c>
      <c r="C42" s="100">
        <v>21.25</v>
      </c>
      <c r="D42" s="100">
        <v>25.93</v>
      </c>
      <c r="E42" s="100">
        <v>8.59</v>
      </c>
      <c r="F42" s="152" t="s">
        <v>15</v>
      </c>
      <c r="G42" s="100">
        <v>88.73</v>
      </c>
      <c r="H42" s="100">
        <v>31.92</v>
      </c>
      <c r="I42" s="100">
        <v>12.13</v>
      </c>
      <c r="J42" s="100">
        <v>0.25</v>
      </c>
      <c r="K42" s="100">
        <v>122.23</v>
      </c>
      <c r="L42" s="100">
        <v>26.18</v>
      </c>
      <c r="M42" s="100">
        <v>40.57</v>
      </c>
      <c r="N42" s="100">
        <v>190.5</v>
      </c>
      <c r="O42" s="100">
        <v>0</v>
      </c>
      <c r="P42" s="100">
        <v>0.96</v>
      </c>
      <c r="Q42" s="100">
        <v>28.58</v>
      </c>
      <c r="R42" s="6"/>
      <c r="S42" s="6"/>
      <c r="T42" s="156"/>
      <c r="U42" s="6"/>
    </row>
    <row r="43" spans="1:21" customFormat="1">
      <c r="A43" s="163" t="s">
        <v>561</v>
      </c>
      <c r="B43" s="100">
        <v>15.16</v>
      </c>
      <c r="C43" s="100">
        <v>21.67</v>
      </c>
      <c r="D43" s="100">
        <v>24.83</v>
      </c>
      <c r="E43" s="100">
        <v>8.76</v>
      </c>
      <c r="F43" s="152" t="s">
        <v>15</v>
      </c>
      <c r="G43" s="100">
        <v>88.73</v>
      </c>
      <c r="H43" s="100">
        <v>31.92</v>
      </c>
      <c r="I43" s="100">
        <v>12.05</v>
      </c>
      <c r="J43" s="100">
        <v>0.33</v>
      </c>
      <c r="K43" s="100">
        <v>102.9</v>
      </c>
      <c r="L43" s="100">
        <v>27.32</v>
      </c>
      <c r="M43" s="100">
        <v>36.5</v>
      </c>
      <c r="N43" s="100">
        <v>228.7</v>
      </c>
      <c r="O43" s="100">
        <v>0</v>
      </c>
      <c r="P43" s="100">
        <v>0.95</v>
      </c>
      <c r="Q43" s="100">
        <v>28.51</v>
      </c>
      <c r="R43" s="6"/>
      <c r="S43" s="6"/>
      <c r="T43" s="156"/>
      <c r="U43" s="6"/>
    </row>
    <row r="44" spans="1:21" customFormat="1">
      <c r="A44" s="163" t="s">
        <v>562</v>
      </c>
      <c r="B44" s="100">
        <v>13.46</v>
      </c>
      <c r="C44" s="100">
        <v>22.41</v>
      </c>
      <c r="D44" s="100">
        <v>23.86</v>
      </c>
      <c r="E44" s="100">
        <v>8.6999999999999993</v>
      </c>
      <c r="F44" s="152" t="s">
        <v>15</v>
      </c>
      <c r="G44" s="100">
        <v>88.73</v>
      </c>
      <c r="H44" s="100">
        <v>31.92</v>
      </c>
      <c r="I44" s="100">
        <v>11.88</v>
      </c>
      <c r="J44" s="100">
        <v>0.44</v>
      </c>
      <c r="K44" s="100">
        <v>81.12</v>
      </c>
      <c r="L44" s="100">
        <v>28.31</v>
      </c>
      <c r="M44" s="100">
        <v>33.43</v>
      </c>
      <c r="N44" s="100">
        <v>244.8</v>
      </c>
      <c r="O44" s="100">
        <v>0</v>
      </c>
      <c r="P44" s="100">
        <v>0.93</v>
      </c>
      <c r="Q44" s="100">
        <v>28.44</v>
      </c>
      <c r="R44" s="6"/>
      <c r="S44" s="6"/>
      <c r="T44" s="156"/>
      <c r="U44" s="6"/>
    </row>
    <row r="45" spans="1:21" customFormat="1">
      <c r="A45" s="163" t="s">
        <v>563</v>
      </c>
      <c r="B45" s="100">
        <v>11.8</v>
      </c>
      <c r="C45" s="100">
        <v>23.01</v>
      </c>
      <c r="D45" s="100">
        <v>22.83</v>
      </c>
      <c r="E45" s="100">
        <v>8.57</v>
      </c>
      <c r="F45" s="152" t="s">
        <v>15</v>
      </c>
      <c r="G45" s="100">
        <v>83.9</v>
      </c>
      <c r="H45" s="100">
        <v>29.49</v>
      </c>
      <c r="I45" s="100">
        <v>11.72</v>
      </c>
      <c r="J45" s="100">
        <v>0.59</v>
      </c>
      <c r="K45" s="100">
        <v>77.760000000000005</v>
      </c>
      <c r="L45" s="100">
        <v>29.22</v>
      </c>
      <c r="M45" s="100">
        <v>31.26</v>
      </c>
      <c r="N45" s="100">
        <v>206.7</v>
      </c>
      <c r="O45" s="100">
        <v>0</v>
      </c>
      <c r="P45" s="100">
        <v>0.89</v>
      </c>
      <c r="Q45" s="100">
        <v>28.37</v>
      </c>
      <c r="R45" s="6"/>
      <c r="S45" s="6"/>
      <c r="T45" s="156"/>
      <c r="U45" s="6"/>
    </row>
    <row r="46" spans="1:21" customFormat="1">
      <c r="A46" s="163" t="s">
        <v>564</v>
      </c>
      <c r="B46" s="100">
        <v>10.54</v>
      </c>
      <c r="C46" s="100">
        <v>23.77</v>
      </c>
      <c r="D46" s="100">
        <v>22.23</v>
      </c>
      <c r="E46" s="100">
        <v>8.84</v>
      </c>
      <c r="F46" s="152" t="s">
        <v>15</v>
      </c>
      <c r="G46" s="100">
        <v>83.43</v>
      </c>
      <c r="H46" s="100">
        <v>29.49</v>
      </c>
      <c r="I46" s="100">
        <v>11.53</v>
      </c>
      <c r="J46" s="100">
        <v>0.35</v>
      </c>
      <c r="K46" s="100">
        <v>101.66</v>
      </c>
      <c r="L46" s="100">
        <v>30.51</v>
      </c>
      <c r="M46" s="100">
        <v>28.65</v>
      </c>
      <c r="N46" s="100">
        <v>283.89999999999998</v>
      </c>
      <c r="O46" s="100">
        <v>0</v>
      </c>
      <c r="P46" s="100">
        <v>0.88</v>
      </c>
      <c r="Q46" s="100">
        <v>28.32</v>
      </c>
      <c r="R46" s="6"/>
      <c r="S46" s="6"/>
      <c r="T46" s="156"/>
      <c r="U46" s="6"/>
    </row>
    <row r="47" spans="1:21" customFormat="1">
      <c r="A47" s="163" t="s">
        <v>565</v>
      </c>
      <c r="B47" s="100">
        <v>9.24</v>
      </c>
      <c r="C47" s="100">
        <v>24.11</v>
      </c>
      <c r="D47" s="100">
        <v>21.36</v>
      </c>
      <c r="E47" s="100">
        <v>8.2799999999999994</v>
      </c>
      <c r="F47" s="152" t="s">
        <v>15</v>
      </c>
      <c r="G47" s="100">
        <v>83.43</v>
      </c>
      <c r="H47" s="100">
        <v>29.49</v>
      </c>
      <c r="I47" s="100">
        <v>11.32</v>
      </c>
      <c r="J47" s="100">
        <v>0.42</v>
      </c>
      <c r="K47" s="100">
        <v>132.13</v>
      </c>
      <c r="L47" s="100">
        <v>31.03</v>
      </c>
      <c r="M47" s="100">
        <v>28.66</v>
      </c>
      <c r="N47" s="100">
        <v>294.89999999999998</v>
      </c>
      <c r="O47" s="100">
        <v>0</v>
      </c>
      <c r="P47" s="100">
        <v>0.86</v>
      </c>
      <c r="Q47" s="100">
        <v>28.26</v>
      </c>
      <c r="R47" s="6"/>
      <c r="S47" s="6"/>
      <c r="T47" s="156"/>
      <c r="U47" s="6"/>
    </row>
    <row r="48" spans="1:21" customFormat="1">
      <c r="A48" s="163" t="s">
        <v>566</v>
      </c>
      <c r="B48" s="100">
        <v>8.07</v>
      </c>
      <c r="C48" s="100">
        <v>24.26</v>
      </c>
      <c r="D48" s="100">
        <v>20.49</v>
      </c>
      <c r="E48" s="100">
        <v>8.8000000000000007</v>
      </c>
      <c r="F48" s="152" t="s">
        <v>15</v>
      </c>
      <c r="G48" s="100">
        <v>83.43</v>
      </c>
      <c r="H48" s="100">
        <v>29.49</v>
      </c>
      <c r="I48" s="100">
        <v>11.1</v>
      </c>
      <c r="J48" s="100">
        <v>0.33</v>
      </c>
      <c r="K48" s="100">
        <v>54.83</v>
      </c>
      <c r="L48" s="100">
        <v>31.43</v>
      </c>
      <c r="M48" s="100">
        <v>27.37</v>
      </c>
      <c r="N48" s="100">
        <v>306.3</v>
      </c>
      <c r="O48" s="100">
        <v>0</v>
      </c>
      <c r="P48" s="100">
        <v>0.83</v>
      </c>
      <c r="Q48" s="100">
        <v>28.2</v>
      </c>
      <c r="R48" s="6"/>
      <c r="S48" s="6"/>
      <c r="T48" s="156"/>
      <c r="U48" s="6"/>
    </row>
    <row r="49" spans="1:21" customFormat="1">
      <c r="A49" s="163" t="s">
        <v>567</v>
      </c>
      <c r="B49" s="100">
        <v>7.26</v>
      </c>
      <c r="C49" s="100">
        <v>23.88</v>
      </c>
      <c r="D49" s="100">
        <v>19.649999999999999</v>
      </c>
      <c r="E49" s="100">
        <v>7.31</v>
      </c>
      <c r="F49" s="152" t="s">
        <v>15</v>
      </c>
      <c r="G49" s="100">
        <v>73.209999999999994</v>
      </c>
      <c r="H49" s="100">
        <v>23.29</v>
      </c>
      <c r="I49" s="100">
        <v>10.88</v>
      </c>
      <c r="J49" s="100">
        <v>0.49</v>
      </c>
      <c r="K49" s="100">
        <v>77.900000000000006</v>
      </c>
      <c r="L49" s="100">
        <v>31.91</v>
      </c>
      <c r="M49" s="100">
        <v>26.5</v>
      </c>
      <c r="N49" s="100">
        <v>262.3</v>
      </c>
      <c r="O49" s="100">
        <v>0</v>
      </c>
      <c r="P49" s="100">
        <v>0.81</v>
      </c>
      <c r="Q49" s="100">
        <v>28.14</v>
      </c>
      <c r="R49" s="6"/>
      <c r="S49" s="6"/>
      <c r="T49" s="156"/>
      <c r="U49" s="6"/>
    </row>
    <row r="50" spans="1:21" customFormat="1">
      <c r="A50" s="163" t="s">
        <v>568</v>
      </c>
      <c r="B50" s="100">
        <v>6.24</v>
      </c>
      <c r="C50" s="100">
        <v>24.03</v>
      </c>
      <c r="D50" s="100">
        <v>18.899999999999999</v>
      </c>
      <c r="E50" s="100">
        <v>8.9</v>
      </c>
      <c r="F50" s="152" t="s">
        <v>15</v>
      </c>
      <c r="G50" s="100">
        <v>72.209999999999994</v>
      </c>
      <c r="H50" s="100">
        <v>23.29</v>
      </c>
      <c r="I50" s="100">
        <v>10.6</v>
      </c>
      <c r="J50" s="100">
        <v>0.14000000000000001</v>
      </c>
      <c r="K50" s="100">
        <v>97.37</v>
      </c>
      <c r="L50" s="100">
        <v>32.369999999999997</v>
      </c>
      <c r="M50" s="100">
        <v>25.83</v>
      </c>
      <c r="N50" s="100">
        <v>254.8</v>
      </c>
      <c r="O50" s="100">
        <v>0</v>
      </c>
      <c r="P50" s="100">
        <v>0.8</v>
      </c>
      <c r="Q50" s="100">
        <v>28.11</v>
      </c>
      <c r="R50" s="6"/>
      <c r="S50" s="6"/>
      <c r="T50" s="156"/>
      <c r="U50" s="6"/>
    </row>
    <row r="51" spans="1:21" customFormat="1">
      <c r="A51" s="163" t="s">
        <v>569</v>
      </c>
      <c r="B51" s="100">
        <v>5.29</v>
      </c>
      <c r="C51" s="100">
        <v>23.95</v>
      </c>
      <c r="D51" s="100">
        <v>18.100000000000001</v>
      </c>
      <c r="E51" s="100">
        <v>9.3699999999999992</v>
      </c>
      <c r="F51" s="152" t="s">
        <v>15</v>
      </c>
      <c r="G51" s="100">
        <v>72.209999999999994</v>
      </c>
      <c r="H51" s="100">
        <v>23.29</v>
      </c>
      <c r="I51" s="100">
        <v>10.39</v>
      </c>
      <c r="J51" s="100">
        <v>0.25</v>
      </c>
      <c r="K51" s="100">
        <v>65.61</v>
      </c>
      <c r="L51" s="100">
        <v>32.840000000000003</v>
      </c>
      <c r="M51" s="100">
        <v>25.79</v>
      </c>
      <c r="N51" s="100">
        <v>328.7</v>
      </c>
      <c r="O51" s="100">
        <v>0</v>
      </c>
      <c r="P51" s="100">
        <v>0.79</v>
      </c>
      <c r="Q51" s="100">
        <v>28.07</v>
      </c>
      <c r="R51" s="6"/>
      <c r="S51" s="6"/>
      <c r="T51" s="156"/>
      <c r="U51" s="6"/>
    </row>
    <row r="52" spans="1:21" customFormat="1">
      <c r="A52" s="163" t="s">
        <v>570</v>
      </c>
      <c r="B52" s="100">
        <v>4.59</v>
      </c>
      <c r="C52" s="100">
        <v>23.74</v>
      </c>
      <c r="D52" s="100">
        <v>17.43</v>
      </c>
      <c r="E52" s="100">
        <v>9.2799999999999994</v>
      </c>
      <c r="F52" s="152" t="s">
        <v>15</v>
      </c>
      <c r="G52" s="100">
        <v>72.209999999999994</v>
      </c>
      <c r="H52" s="100">
        <v>23.29</v>
      </c>
      <c r="I52" s="100">
        <v>10.36</v>
      </c>
      <c r="J52" s="100">
        <v>0.24</v>
      </c>
      <c r="K52" s="100">
        <v>135.30000000000001</v>
      </c>
      <c r="L52" s="100">
        <v>33.15</v>
      </c>
      <c r="M52" s="100">
        <v>25.16</v>
      </c>
      <c r="N52" s="100">
        <v>340.2</v>
      </c>
      <c r="O52" s="100">
        <v>0</v>
      </c>
      <c r="P52" s="100">
        <v>0.77</v>
      </c>
      <c r="Q52" s="100">
        <v>28.03</v>
      </c>
      <c r="R52" s="6"/>
      <c r="S52" s="6"/>
      <c r="T52" s="156"/>
      <c r="U52" s="6"/>
    </row>
    <row r="53" spans="1:21" customFormat="1">
      <c r="A53" s="163" t="s">
        <v>571</v>
      </c>
      <c r="B53" s="100">
        <v>4.6900000000000004</v>
      </c>
      <c r="C53" s="100">
        <v>22.66</v>
      </c>
      <c r="D53" s="100">
        <v>16.95</v>
      </c>
      <c r="E53" s="100">
        <v>9.18</v>
      </c>
      <c r="F53" s="152" t="s">
        <v>15</v>
      </c>
      <c r="G53" s="100">
        <v>69.55</v>
      </c>
      <c r="H53" s="100">
        <v>23.7</v>
      </c>
      <c r="I53" s="100">
        <v>10.26</v>
      </c>
      <c r="J53" s="100">
        <v>0.36</v>
      </c>
      <c r="K53" s="100">
        <v>48.95</v>
      </c>
      <c r="L53" s="100">
        <v>33.44</v>
      </c>
      <c r="M53" s="100">
        <v>23.35</v>
      </c>
      <c r="N53" s="100">
        <v>341.3</v>
      </c>
      <c r="O53" s="100">
        <v>0</v>
      </c>
      <c r="P53" s="100">
        <v>0.74</v>
      </c>
      <c r="Q53" s="100">
        <v>28.01</v>
      </c>
      <c r="R53" s="6"/>
      <c r="S53" s="6"/>
      <c r="T53" s="156"/>
      <c r="U53" s="6"/>
    </row>
    <row r="54" spans="1:21" customFormat="1">
      <c r="A54" s="163" t="s">
        <v>572</v>
      </c>
      <c r="B54" s="100">
        <v>4.53</v>
      </c>
      <c r="C54" s="100">
        <v>21.81</v>
      </c>
      <c r="D54" s="100">
        <v>16.38</v>
      </c>
      <c r="E54" s="100">
        <v>9</v>
      </c>
      <c r="F54" s="152" t="s">
        <v>15</v>
      </c>
      <c r="G54" s="100">
        <v>69.290000000000006</v>
      </c>
      <c r="H54" s="100">
        <v>23.7</v>
      </c>
      <c r="I54" s="100">
        <v>10.1</v>
      </c>
      <c r="J54" s="100">
        <v>0.26</v>
      </c>
      <c r="K54" s="100">
        <v>236.89</v>
      </c>
      <c r="L54" s="100">
        <v>34.1</v>
      </c>
      <c r="M54" s="100">
        <v>21.75</v>
      </c>
      <c r="N54" s="100">
        <v>318</v>
      </c>
      <c r="O54" s="100">
        <v>0</v>
      </c>
      <c r="P54" s="100">
        <v>0.72</v>
      </c>
      <c r="Q54" s="100">
        <v>28.03</v>
      </c>
      <c r="R54" s="6"/>
      <c r="S54" s="6"/>
      <c r="T54" s="156"/>
      <c r="U54" s="6"/>
    </row>
    <row r="55" spans="1:21" customFormat="1">
      <c r="A55" s="163" t="s">
        <v>573</v>
      </c>
      <c r="B55" s="100">
        <v>4.17</v>
      </c>
      <c r="C55" s="100">
        <v>21.51</v>
      </c>
      <c r="D55" s="100">
        <v>15.94</v>
      </c>
      <c r="E55" s="100">
        <v>9.18</v>
      </c>
      <c r="F55" s="152" t="s">
        <v>15</v>
      </c>
      <c r="G55" s="100">
        <v>69.290000000000006</v>
      </c>
      <c r="H55" s="100">
        <v>23.7</v>
      </c>
      <c r="I55" s="100">
        <v>9.82</v>
      </c>
      <c r="J55" s="100">
        <v>0.5</v>
      </c>
      <c r="K55" s="100">
        <v>53.54</v>
      </c>
      <c r="L55" s="100">
        <v>34.950000000000003</v>
      </c>
      <c r="M55" s="100">
        <v>20.51</v>
      </c>
      <c r="N55" s="100">
        <v>310</v>
      </c>
      <c r="O55" s="100">
        <v>0</v>
      </c>
      <c r="P55" s="100">
        <v>0.72</v>
      </c>
      <c r="Q55" s="100">
        <v>28.03</v>
      </c>
      <c r="R55" s="6"/>
      <c r="S55" s="6"/>
      <c r="T55" s="156"/>
      <c r="U55" s="6"/>
    </row>
    <row r="56" spans="1:21" customFormat="1">
      <c r="A56" s="163" t="s">
        <v>574</v>
      </c>
      <c r="B56" s="100">
        <v>4.04</v>
      </c>
      <c r="C56" s="100">
        <v>21.66</v>
      </c>
      <c r="D56" s="100">
        <v>15.91</v>
      </c>
      <c r="E56" s="100">
        <v>11.09</v>
      </c>
      <c r="F56" s="152" t="s">
        <v>15</v>
      </c>
      <c r="G56" s="100">
        <v>69.290000000000006</v>
      </c>
      <c r="H56" s="100">
        <v>23.7</v>
      </c>
      <c r="I56" s="100">
        <v>9.5399999999999991</v>
      </c>
      <c r="J56" s="100">
        <v>0.74</v>
      </c>
      <c r="K56" s="100">
        <v>52.84</v>
      </c>
      <c r="L56" s="100">
        <v>34.71</v>
      </c>
      <c r="M56" s="100">
        <v>19.84</v>
      </c>
      <c r="N56" s="100">
        <v>332.9</v>
      </c>
      <c r="O56" s="100">
        <v>0</v>
      </c>
      <c r="P56" s="100">
        <v>0.71</v>
      </c>
      <c r="Q56" s="100">
        <v>28.01</v>
      </c>
      <c r="R56" s="6"/>
      <c r="S56" s="6"/>
      <c r="T56" s="156"/>
      <c r="U56" s="6"/>
    </row>
    <row r="57" spans="1:21" customFormat="1">
      <c r="A57" s="163" t="s">
        <v>575</v>
      </c>
      <c r="B57" s="100">
        <v>4.3499999999999996</v>
      </c>
      <c r="C57" s="100">
        <v>22.1</v>
      </c>
      <c r="D57" s="100">
        <v>16.39</v>
      </c>
      <c r="E57" s="100">
        <v>13.06</v>
      </c>
      <c r="F57" s="152" t="s">
        <v>15</v>
      </c>
      <c r="G57" s="100">
        <v>64.400000000000006</v>
      </c>
      <c r="H57" s="100">
        <v>23.31</v>
      </c>
      <c r="I57" s="100">
        <v>9.33</v>
      </c>
      <c r="J57" s="100">
        <v>0.67</v>
      </c>
      <c r="K57" s="100">
        <v>0.3</v>
      </c>
      <c r="L57" s="100">
        <v>34.75</v>
      </c>
      <c r="M57" s="100">
        <v>18.47</v>
      </c>
      <c r="N57" s="100">
        <v>349.2</v>
      </c>
      <c r="O57" s="100">
        <v>0</v>
      </c>
      <c r="P57" s="100">
        <v>0.71</v>
      </c>
      <c r="Q57" s="100">
        <v>28.01</v>
      </c>
      <c r="R57" s="6"/>
      <c r="S57" s="6"/>
      <c r="T57" s="156"/>
      <c r="U57" s="6"/>
    </row>
    <row r="58" spans="1:21" customFormat="1">
      <c r="A58" s="163" t="s">
        <v>576</v>
      </c>
      <c r="B58" s="100">
        <v>4.1399999999999997</v>
      </c>
      <c r="C58" s="100">
        <v>21.05</v>
      </c>
      <c r="D58" s="100">
        <v>15.67</v>
      </c>
      <c r="E58" s="100">
        <v>10.33</v>
      </c>
      <c r="F58" s="152" t="s">
        <v>15</v>
      </c>
      <c r="G58" s="100">
        <v>63.92</v>
      </c>
      <c r="H58" s="100">
        <v>23.31</v>
      </c>
      <c r="I58" s="100">
        <v>9.06</v>
      </c>
      <c r="J58" s="100">
        <v>1</v>
      </c>
      <c r="K58" s="100">
        <v>43.32</v>
      </c>
      <c r="L58" s="100">
        <v>34.799999999999997</v>
      </c>
      <c r="M58" s="100">
        <v>17.36</v>
      </c>
      <c r="N58" s="100">
        <v>348.3</v>
      </c>
      <c r="O58" s="100">
        <v>0</v>
      </c>
      <c r="P58" s="100">
        <v>0.72</v>
      </c>
      <c r="Q58" s="100">
        <v>28.02</v>
      </c>
      <c r="R58" s="6"/>
      <c r="S58" s="6"/>
      <c r="T58" s="156"/>
      <c r="U58" s="6"/>
    </row>
    <row r="59" spans="1:21" customFormat="1">
      <c r="A59" s="163" t="s">
        <v>577</v>
      </c>
      <c r="B59" s="100">
        <v>4.13</v>
      </c>
      <c r="C59" s="100">
        <v>20.9</v>
      </c>
      <c r="D59" s="100">
        <v>15.59</v>
      </c>
      <c r="E59" s="100">
        <v>9.5399999999999991</v>
      </c>
      <c r="F59" s="152" t="s">
        <v>15</v>
      </c>
      <c r="G59" s="100">
        <v>63.92</v>
      </c>
      <c r="H59" s="100">
        <v>23.31</v>
      </c>
      <c r="I59" s="100">
        <v>8.8000000000000007</v>
      </c>
      <c r="J59" s="100">
        <v>0.62</v>
      </c>
      <c r="K59" s="100">
        <v>12</v>
      </c>
      <c r="L59" s="100">
        <v>35.08</v>
      </c>
      <c r="M59" s="100">
        <v>16.68</v>
      </c>
      <c r="N59" s="100">
        <v>355.1</v>
      </c>
      <c r="O59" s="100">
        <v>0</v>
      </c>
      <c r="P59" s="100">
        <v>0.72</v>
      </c>
      <c r="Q59" s="100">
        <v>28.02</v>
      </c>
      <c r="R59" s="6"/>
      <c r="S59" s="6"/>
      <c r="T59" s="156"/>
      <c r="U59" s="6"/>
    </row>
    <row r="60" spans="1:21" customFormat="1">
      <c r="A60" s="163" t="s">
        <v>578</v>
      </c>
      <c r="B60" s="100">
        <v>4.09</v>
      </c>
      <c r="C60" s="100">
        <v>20.350000000000001</v>
      </c>
      <c r="D60" s="100">
        <v>15.26</v>
      </c>
      <c r="E60" s="100">
        <v>9.67</v>
      </c>
      <c r="F60" s="152" t="s">
        <v>15</v>
      </c>
      <c r="G60" s="100">
        <v>63.92</v>
      </c>
      <c r="H60" s="100">
        <v>23.31</v>
      </c>
      <c r="I60" s="100">
        <v>8.77</v>
      </c>
      <c r="J60" s="100">
        <v>0.2</v>
      </c>
      <c r="K60" s="100">
        <v>305.68</v>
      </c>
      <c r="L60" s="100">
        <v>35.51</v>
      </c>
      <c r="M60" s="100">
        <v>17.23</v>
      </c>
      <c r="N60" s="100">
        <v>340.4</v>
      </c>
      <c r="O60" s="100">
        <v>0</v>
      </c>
      <c r="P60" s="100">
        <v>0.71</v>
      </c>
      <c r="Q60" s="100">
        <v>28.03</v>
      </c>
      <c r="R60" s="6"/>
      <c r="S60" s="6"/>
      <c r="T60" s="156"/>
      <c r="U60" s="6"/>
    </row>
    <row r="61" spans="1:21" customFormat="1">
      <c r="A61" s="163" t="s">
        <v>579</v>
      </c>
      <c r="B61" s="100">
        <v>4.0599999999999996</v>
      </c>
      <c r="C61" s="100">
        <v>20.079999999999998</v>
      </c>
      <c r="D61" s="100">
        <v>15.1</v>
      </c>
      <c r="E61" s="100">
        <v>9.59</v>
      </c>
      <c r="F61" s="152" t="s">
        <v>15</v>
      </c>
      <c r="G61" s="100">
        <v>61.76</v>
      </c>
      <c r="H61" s="100">
        <v>21.77</v>
      </c>
      <c r="I61" s="100">
        <v>8.77</v>
      </c>
      <c r="J61" s="100">
        <v>0.3</v>
      </c>
      <c r="K61" s="100">
        <v>264.10000000000002</v>
      </c>
      <c r="L61" s="100">
        <v>35.94</v>
      </c>
      <c r="M61" s="100">
        <v>17.38</v>
      </c>
      <c r="N61" s="100">
        <v>327.10000000000002</v>
      </c>
      <c r="O61" s="100">
        <v>0</v>
      </c>
      <c r="P61" s="100">
        <v>0.71</v>
      </c>
      <c r="Q61" s="100">
        <v>28.04</v>
      </c>
      <c r="R61" s="6"/>
      <c r="S61" s="6"/>
      <c r="T61" s="156"/>
      <c r="U61" s="6"/>
    </row>
    <row r="62" spans="1:21" customFormat="1">
      <c r="A62" s="163" t="s">
        <v>580</v>
      </c>
      <c r="B62" s="100">
        <v>3.99</v>
      </c>
      <c r="C62" s="100">
        <v>19.98</v>
      </c>
      <c r="D62" s="100">
        <v>14.99</v>
      </c>
      <c r="E62" s="100">
        <v>10.23</v>
      </c>
      <c r="F62" s="152" t="s">
        <v>15</v>
      </c>
      <c r="G62" s="100">
        <v>61.55</v>
      </c>
      <c r="H62" s="100">
        <v>21.77</v>
      </c>
      <c r="I62" s="100">
        <v>8.67</v>
      </c>
      <c r="J62" s="100">
        <v>0.5</v>
      </c>
      <c r="K62" s="100">
        <v>269.77</v>
      </c>
      <c r="L62" s="100">
        <v>36.29</v>
      </c>
      <c r="M62" s="100">
        <v>17.239999999999998</v>
      </c>
      <c r="N62" s="100">
        <v>306.60000000000002</v>
      </c>
      <c r="O62" s="100">
        <v>0</v>
      </c>
      <c r="P62" s="100">
        <v>0.71</v>
      </c>
      <c r="Q62" s="100">
        <v>28.04</v>
      </c>
      <c r="R62" s="6"/>
      <c r="S62" s="6"/>
      <c r="T62" s="156"/>
      <c r="U62" s="6"/>
    </row>
    <row r="63" spans="1:21" customFormat="1">
      <c r="A63" s="163" t="s">
        <v>581</v>
      </c>
      <c r="B63" s="100">
        <v>4.03</v>
      </c>
      <c r="C63" s="100">
        <v>20.14</v>
      </c>
      <c r="D63" s="100">
        <v>15.1</v>
      </c>
      <c r="E63" s="100">
        <v>10.82</v>
      </c>
      <c r="F63" s="152" t="s">
        <v>15</v>
      </c>
      <c r="G63" s="100">
        <v>61.55</v>
      </c>
      <c r="H63" s="100">
        <v>21.77</v>
      </c>
      <c r="I63" s="100">
        <v>8.67</v>
      </c>
      <c r="J63" s="100">
        <v>0.93</v>
      </c>
      <c r="K63" s="100">
        <v>316.07</v>
      </c>
      <c r="L63" s="100">
        <v>35.619999999999997</v>
      </c>
      <c r="M63" s="100">
        <v>16.61</v>
      </c>
      <c r="N63" s="100">
        <v>305</v>
      </c>
      <c r="O63" s="100">
        <v>0</v>
      </c>
      <c r="P63" s="100">
        <v>0.71</v>
      </c>
      <c r="Q63" s="100">
        <v>28.04</v>
      </c>
      <c r="R63" s="6"/>
      <c r="S63" s="6"/>
      <c r="T63" s="156"/>
      <c r="U63" s="6"/>
    </row>
    <row r="64" spans="1:21" customFormat="1">
      <c r="A64" s="163" t="s">
        <v>582</v>
      </c>
      <c r="B64" s="100">
        <v>4.3</v>
      </c>
      <c r="C64" s="100">
        <v>20.57</v>
      </c>
      <c r="D64" s="100">
        <v>15.54</v>
      </c>
      <c r="E64" s="100">
        <v>10.9</v>
      </c>
      <c r="F64" s="152" t="s">
        <v>15</v>
      </c>
      <c r="G64" s="100">
        <v>61.55</v>
      </c>
      <c r="H64" s="100">
        <v>21.77</v>
      </c>
      <c r="I64" s="100">
        <v>8.61</v>
      </c>
      <c r="J64" s="100">
        <v>1.36</v>
      </c>
      <c r="K64" s="100">
        <v>306.95999999999998</v>
      </c>
      <c r="L64" s="100">
        <v>35.590000000000003</v>
      </c>
      <c r="M64" s="100">
        <v>16.25</v>
      </c>
      <c r="N64" s="100">
        <v>334.5</v>
      </c>
      <c r="O64" s="100">
        <v>0</v>
      </c>
      <c r="P64" s="100">
        <v>0.7</v>
      </c>
      <c r="Q64" s="100">
        <v>28.03</v>
      </c>
      <c r="R64" s="6"/>
      <c r="S64" s="6"/>
      <c r="T64" s="156"/>
      <c r="U64" s="6"/>
    </row>
    <row r="65" spans="1:21" customFormat="1">
      <c r="A65" s="163" t="s">
        <v>583</v>
      </c>
      <c r="B65" s="100">
        <v>4.24</v>
      </c>
      <c r="C65" s="100">
        <v>20.09</v>
      </c>
      <c r="D65" s="100">
        <v>15.25</v>
      </c>
      <c r="E65" s="100">
        <v>9.7100000000000009</v>
      </c>
      <c r="F65" s="152" t="s">
        <v>15</v>
      </c>
      <c r="G65" s="100">
        <v>64.73</v>
      </c>
      <c r="H65" s="100">
        <v>21.8</v>
      </c>
      <c r="I65" s="100">
        <v>8.48</v>
      </c>
      <c r="J65" s="100">
        <v>1.04</v>
      </c>
      <c r="K65" s="100">
        <v>298.05</v>
      </c>
      <c r="L65" s="100">
        <v>35.46</v>
      </c>
      <c r="M65" s="100">
        <v>16.43</v>
      </c>
      <c r="N65" s="100">
        <v>336.8</v>
      </c>
      <c r="O65" s="100">
        <v>0</v>
      </c>
      <c r="P65" s="100">
        <v>0.56000000000000005</v>
      </c>
      <c r="Q65" s="100">
        <v>28.02</v>
      </c>
      <c r="R65" s="6"/>
      <c r="S65" s="6"/>
      <c r="T65" s="156"/>
      <c r="U65" s="6"/>
    </row>
    <row r="66" spans="1:21" customFormat="1">
      <c r="A66" s="163" t="s">
        <v>584</v>
      </c>
      <c r="B66" s="100">
        <v>4.09</v>
      </c>
      <c r="C66" s="100">
        <v>19.82</v>
      </c>
      <c r="D66" s="100">
        <v>14.99</v>
      </c>
      <c r="E66" s="100">
        <v>9.49</v>
      </c>
      <c r="F66" s="152" t="s">
        <v>15</v>
      </c>
      <c r="G66" s="100">
        <v>65.040000000000006</v>
      </c>
      <c r="H66" s="100">
        <v>21.8</v>
      </c>
      <c r="I66" s="100">
        <v>8.23</v>
      </c>
      <c r="J66" s="100">
        <v>0.81</v>
      </c>
      <c r="K66" s="100">
        <v>321.24</v>
      </c>
      <c r="L66" s="100">
        <v>36.090000000000003</v>
      </c>
      <c r="M66" s="100">
        <v>16.13</v>
      </c>
      <c r="N66" s="100">
        <v>313.2</v>
      </c>
      <c r="O66" s="100">
        <v>0</v>
      </c>
      <c r="P66" s="100">
        <v>0.57999999999999996</v>
      </c>
      <c r="Q66" s="100">
        <v>28.03</v>
      </c>
      <c r="R66" s="6"/>
      <c r="S66" s="6"/>
      <c r="T66" s="156"/>
      <c r="U66" s="6"/>
    </row>
    <row r="67" spans="1:21" customFormat="1">
      <c r="A67" s="163" t="s">
        <v>585</v>
      </c>
      <c r="B67" s="100">
        <v>4.03</v>
      </c>
      <c r="C67" s="100">
        <v>19.68</v>
      </c>
      <c r="D67" s="100">
        <v>14.87</v>
      </c>
      <c r="E67" s="100">
        <v>10.08</v>
      </c>
      <c r="F67" s="152" t="s">
        <v>15</v>
      </c>
      <c r="G67" s="100">
        <v>65.040000000000006</v>
      </c>
      <c r="H67" s="100">
        <v>21.8</v>
      </c>
      <c r="I67" s="100">
        <v>8.0500000000000007</v>
      </c>
      <c r="J67" s="100">
        <v>1.25</v>
      </c>
      <c r="K67" s="100">
        <v>315.98</v>
      </c>
      <c r="L67" s="100">
        <v>35.729999999999997</v>
      </c>
      <c r="M67" s="100">
        <v>16.98</v>
      </c>
      <c r="N67" s="100">
        <v>203.6</v>
      </c>
      <c r="O67" s="100">
        <v>0</v>
      </c>
      <c r="P67" s="100">
        <v>0.56999999999999995</v>
      </c>
      <c r="Q67" s="100">
        <v>28.04</v>
      </c>
      <c r="R67" s="6"/>
      <c r="S67" s="6"/>
      <c r="T67" s="156"/>
      <c r="U67" s="6"/>
    </row>
    <row r="68" spans="1:21" customFormat="1">
      <c r="A68" s="163" t="s">
        <v>586</v>
      </c>
      <c r="B68" s="100">
        <v>4.0599999999999996</v>
      </c>
      <c r="C68" s="100">
        <v>19.59</v>
      </c>
      <c r="D68" s="100">
        <v>14.84</v>
      </c>
      <c r="E68" s="100">
        <v>10.75</v>
      </c>
      <c r="F68" s="152" t="s">
        <v>15</v>
      </c>
      <c r="G68" s="100">
        <v>65.040000000000006</v>
      </c>
      <c r="H68" s="100">
        <v>21.8</v>
      </c>
      <c r="I68" s="100">
        <v>7.89</v>
      </c>
      <c r="J68" s="100">
        <v>0.68</v>
      </c>
      <c r="K68" s="100">
        <v>299</v>
      </c>
      <c r="L68" s="100">
        <v>35.549999999999997</v>
      </c>
      <c r="M68" s="100">
        <v>17.18</v>
      </c>
      <c r="N68" s="100">
        <v>155</v>
      </c>
      <c r="O68" s="100">
        <v>0</v>
      </c>
      <c r="P68" s="100">
        <v>0.56000000000000005</v>
      </c>
      <c r="Q68" s="100">
        <v>28.04</v>
      </c>
      <c r="R68" s="6"/>
      <c r="S68" s="6"/>
      <c r="T68" s="156"/>
      <c r="U68" s="6"/>
    </row>
    <row r="69" spans="1:21" customFormat="1">
      <c r="A69" s="163" t="s">
        <v>587</v>
      </c>
      <c r="B69" s="100">
        <v>4.1100000000000003</v>
      </c>
      <c r="C69" s="100">
        <v>19.510000000000002</v>
      </c>
      <c r="D69" s="100">
        <v>14.84</v>
      </c>
      <c r="E69" s="100">
        <v>8.8699999999999992</v>
      </c>
      <c r="F69" s="152" t="s">
        <v>15</v>
      </c>
      <c r="G69" s="100">
        <v>61.38</v>
      </c>
      <c r="H69" s="100">
        <v>21.63</v>
      </c>
      <c r="I69" s="100">
        <v>7.72</v>
      </c>
      <c r="J69" s="100">
        <v>1.42</v>
      </c>
      <c r="K69" s="100">
        <v>315.29000000000002</v>
      </c>
      <c r="L69" s="100">
        <v>35.18</v>
      </c>
      <c r="M69" s="100">
        <v>16.399999999999999</v>
      </c>
      <c r="N69" s="100">
        <v>74.099999999999994</v>
      </c>
      <c r="O69" s="100">
        <v>0</v>
      </c>
      <c r="P69" s="100">
        <v>0.54</v>
      </c>
      <c r="Q69" s="100">
        <v>28.04</v>
      </c>
      <c r="R69" s="6"/>
      <c r="S69" s="6"/>
      <c r="T69" s="156"/>
      <c r="U69" s="6"/>
    </row>
    <row r="70" spans="1:21" customFormat="1">
      <c r="A70" s="163" t="s">
        <v>588</v>
      </c>
      <c r="B70" s="100">
        <v>4.05</v>
      </c>
      <c r="C70" s="100">
        <v>19.21</v>
      </c>
      <c r="D70" s="100">
        <v>14.64</v>
      </c>
      <c r="E70" s="100">
        <v>8.7899999999999991</v>
      </c>
      <c r="F70" s="152" t="s">
        <v>15</v>
      </c>
      <c r="G70" s="100">
        <v>61.02</v>
      </c>
      <c r="H70" s="100">
        <v>21.63</v>
      </c>
      <c r="I70" s="100">
        <v>7.58</v>
      </c>
      <c r="J70" s="100">
        <v>0.89</v>
      </c>
      <c r="K70" s="100">
        <v>267.51</v>
      </c>
      <c r="L70" s="100">
        <v>35.14</v>
      </c>
      <c r="M70" s="100">
        <v>17.18</v>
      </c>
      <c r="N70" s="100">
        <v>63.6</v>
      </c>
      <c r="O70" s="100">
        <v>0</v>
      </c>
      <c r="P70" s="100">
        <v>0.54</v>
      </c>
      <c r="Q70" s="100">
        <v>28.02</v>
      </c>
      <c r="R70" s="6"/>
      <c r="S70" s="6"/>
      <c r="T70" s="156"/>
      <c r="U70" s="6"/>
    </row>
    <row r="71" spans="1:21" customFormat="1">
      <c r="A71" s="163" t="s">
        <v>589</v>
      </c>
      <c r="B71" s="100">
        <v>4.0599999999999996</v>
      </c>
      <c r="C71" s="100">
        <v>18.57</v>
      </c>
      <c r="D71" s="100">
        <v>14.31</v>
      </c>
      <c r="E71" s="100">
        <v>9.07</v>
      </c>
      <c r="F71" s="152" t="s">
        <v>15</v>
      </c>
      <c r="G71" s="100">
        <v>61.02</v>
      </c>
      <c r="H71" s="100">
        <v>21.63</v>
      </c>
      <c r="I71" s="100">
        <v>7.37</v>
      </c>
      <c r="J71" s="100">
        <v>0.3</v>
      </c>
      <c r="K71" s="100">
        <v>8</v>
      </c>
      <c r="L71" s="100">
        <v>35.090000000000003</v>
      </c>
      <c r="M71" s="100">
        <v>16.66</v>
      </c>
      <c r="N71" s="100">
        <v>73.900000000000006</v>
      </c>
      <c r="O71" s="100">
        <v>0</v>
      </c>
      <c r="P71" s="100">
        <v>0.52</v>
      </c>
      <c r="Q71" s="100">
        <v>28.03</v>
      </c>
      <c r="R71" s="6"/>
      <c r="S71" s="6"/>
      <c r="T71" s="156"/>
      <c r="U71" s="6"/>
    </row>
    <row r="72" spans="1:21" customFormat="1">
      <c r="A72" s="163" t="s">
        <v>590</v>
      </c>
      <c r="B72" s="100">
        <v>4.2</v>
      </c>
      <c r="C72" s="100">
        <v>18.48</v>
      </c>
      <c r="D72" s="100">
        <v>14.38</v>
      </c>
      <c r="E72" s="100">
        <v>9.5500000000000007</v>
      </c>
      <c r="F72" s="152" t="s">
        <v>15</v>
      </c>
      <c r="G72" s="100">
        <v>61.02</v>
      </c>
      <c r="H72" s="100">
        <v>21.63</v>
      </c>
      <c r="I72" s="100">
        <v>7.29</v>
      </c>
      <c r="J72" s="100">
        <v>0.56999999999999995</v>
      </c>
      <c r="K72" s="100">
        <v>277.68</v>
      </c>
      <c r="L72" s="100">
        <v>35.19</v>
      </c>
      <c r="M72" s="100">
        <v>17.739999999999998</v>
      </c>
      <c r="N72" s="100">
        <v>81.5</v>
      </c>
      <c r="O72" s="100">
        <v>0</v>
      </c>
      <c r="P72" s="100">
        <v>0.5</v>
      </c>
      <c r="Q72" s="100">
        <v>28.04</v>
      </c>
      <c r="R72" s="6"/>
      <c r="S72" s="6"/>
      <c r="T72" s="156"/>
      <c r="U72" s="6"/>
    </row>
    <row r="73" spans="1:21" customFormat="1">
      <c r="A73" s="163" t="s">
        <v>591</v>
      </c>
      <c r="B73" s="100">
        <v>4.3</v>
      </c>
      <c r="C73" s="100">
        <v>18.309999999999999</v>
      </c>
      <c r="D73" s="100">
        <v>14.37</v>
      </c>
      <c r="E73" s="100">
        <v>9.68</v>
      </c>
      <c r="F73" s="152" t="s">
        <v>15</v>
      </c>
      <c r="G73" s="100">
        <v>53.07</v>
      </c>
      <c r="H73" s="100">
        <v>16.54</v>
      </c>
      <c r="I73" s="100">
        <v>7.07</v>
      </c>
      <c r="J73" s="100">
        <v>0.78</v>
      </c>
      <c r="K73" s="100">
        <v>298.27</v>
      </c>
      <c r="L73" s="100">
        <v>35.07</v>
      </c>
      <c r="M73" s="100">
        <v>18.2</v>
      </c>
      <c r="N73" s="100">
        <v>72.099999999999994</v>
      </c>
      <c r="O73" s="100">
        <v>0</v>
      </c>
      <c r="P73" s="100">
        <v>0.5</v>
      </c>
      <c r="Q73" s="100">
        <v>28.03</v>
      </c>
      <c r="R73" s="6"/>
      <c r="S73" s="6"/>
      <c r="T73" s="156"/>
      <c r="U73" s="6"/>
    </row>
    <row r="74" spans="1:21" customFormat="1">
      <c r="A74" s="163" t="s">
        <v>592</v>
      </c>
      <c r="B74" s="100">
        <v>4.3</v>
      </c>
      <c r="C74" s="100">
        <v>18.77</v>
      </c>
      <c r="D74" s="100">
        <v>14.61</v>
      </c>
      <c r="E74" s="100">
        <v>10.08</v>
      </c>
      <c r="F74" s="152" t="s">
        <v>15</v>
      </c>
      <c r="G74" s="100">
        <v>52.3</v>
      </c>
      <c r="H74" s="100">
        <v>16.54</v>
      </c>
      <c r="I74" s="100">
        <v>6.72</v>
      </c>
      <c r="J74" s="100">
        <v>0.41</v>
      </c>
      <c r="K74" s="100">
        <v>280.67</v>
      </c>
      <c r="L74" s="100">
        <v>35.04</v>
      </c>
      <c r="M74" s="100">
        <v>18.93</v>
      </c>
      <c r="N74" s="100">
        <v>58.6</v>
      </c>
      <c r="O74" s="100">
        <v>0</v>
      </c>
      <c r="P74" s="100">
        <v>0.49</v>
      </c>
      <c r="Q74" s="100">
        <v>28.04</v>
      </c>
      <c r="R74" s="6"/>
      <c r="S74" s="6"/>
      <c r="T74" s="156"/>
      <c r="U74" s="6"/>
    </row>
    <row r="75" spans="1:21" customFormat="1">
      <c r="A75" s="163" t="s">
        <v>593</v>
      </c>
      <c r="B75" s="100">
        <v>4.03</v>
      </c>
      <c r="C75" s="100">
        <v>18.09</v>
      </c>
      <c r="D75" s="100">
        <v>14.03</v>
      </c>
      <c r="E75" s="100">
        <v>8.74</v>
      </c>
      <c r="F75" s="152" t="s">
        <v>15</v>
      </c>
      <c r="G75" s="100">
        <v>52.3</v>
      </c>
      <c r="H75" s="100">
        <v>16.54</v>
      </c>
      <c r="I75" s="100">
        <v>6.49</v>
      </c>
      <c r="J75" s="100">
        <v>0.56000000000000005</v>
      </c>
      <c r="K75" s="100">
        <v>254.86</v>
      </c>
      <c r="L75" s="100">
        <v>34.799999999999997</v>
      </c>
      <c r="M75" s="100">
        <v>20.04</v>
      </c>
      <c r="N75" s="100">
        <v>40.1</v>
      </c>
      <c r="O75" s="100">
        <v>0</v>
      </c>
      <c r="P75" s="100">
        <v>0.49</v>
      </c>
      <c r="Q75" s="100">
        <v>28.02</v>
      </c>
      <c r="R75" s="6"/>
      <c r="S75" s="6"/>
      <c r="T75" s="156"/>
      <c r="U75" s="6"/>
    </row>
    <row r="76" spans="1:21" customFormat="1">
      <c r="A76" s="163" t="s">
        <v>594</v>
      </c>
      <c r="B76" s="100">
        <v>3.66</v>
      </c>
      <c r="C76" s="100">
        <v>16.649999999999999</v>
      </c>
      <c r="D76" s="100">
        <v>12.99</v>
      </c>
      <c r="E76" s="100">
        <v>8.52</v>
      </c>
      <c r="F76" s="152" t="s">
        <v>15</v>
      </c>
      <c r="G76" s="100">
        <v>52.3</v>
      </c>
      <c r="H76" s="100">
        <v>16.54</v>
      </c>
      <c r="I76" s="100">
        <v>6.54</v>
      </c>
      <c r="J76" s="100">
        <v>0.42</v>
      </c>
      <c r="K76" s="100">
        <v>246.84</v>
      </c>
      <c r="L76" s="100">
        <v>34.6</v>
      </c>
      <c r="M76" s="100">
        <v>20.260000000000002</v>
      </c>
      <c r="N76" s="100">
        <v>33.200000000000003</v>
      </c>
      <c r="O76" s="100">
        <v>0</v>
      </c>
      <c r="P76" s="100">
        <v>0.45</v>
      </c>
      <c r="Q76" s="100">
        <v>28.03</v>
      </c>
      <c r="R76" s="6"/>
      <c r="S76" s="6"/>
      <c r="T76" s="156"/>
      <c r="U76" s="6"/>
    </row>
    <row r="77" spans="1:21" customFormat="1">
      <c r="A77" s="163" t="s">
        <v>595</v>
      </c>
      <c r="B77" s="100">
        <v>4.3099999999999996</v>
      </c>
      <c r="C77" s="100">
        <v>19.260000000000002</v>
      </c>
      <c r="D77" s="100">
        <v>14.87</v>
      </c>
      <c r="E77" s="100">
        <v>9.17</v>
      </c>
      <c r="F77" s="152" t="s">
        <v>15</v>
      </c>
      <c r="G77" s="100">
        <v>50.66</v>
      </c>
      <c r="H77" s="100">
        <v>16.97</v>
      </c>
      <c r="I77" s="100">
        <v>6.59</v>
      </c>
      <c r="J77" s="100">
        <v>0.54</v>
      </c>
      <c r="K77" s="100">
        <v>287.48</v>
      </c>
      <c r="L77" s="100">
        <v>34.130000000000003</v>
      </c>
      <c r="M77" s="100">
        <v>20.7</v>
      </c>
      <c r="N77" s="100">
        <v>27.5</v>
      </c>
      <c r="O77" s="100">
        <v>0</v>
      </c>
      <c r="P77" s="100">
        <v>0.45</v>
      </c>
      <c r="Q77" s="100">
        <v>28.01</v>
      </c>
      <c r="R77" s="6"/>
      <c r="S77" s="6"/>
      <c r="T77" s="156"/>
      <c r="U77" s="6"/>
    </row>
    <row r="78" spans="1:21" customFormat="1">
      <c r="A78" s="163" t="s">
        <v>596</v>
      </c>
      <c r="B78" s="100">
        <v>3.63</v>
      </c>
      <c r="C78" s="100">
        <v>17.07</v>
      </c>
      <c r="D78" s="100">
        <v>13.19</v>
      </c>
      <c r="E78" s="100">
        <v>9.14</v>
      </c>
      <c r="F78" s="152" t="s">
        <v>15</v>
      </c>
      <c r="G78" s="100">
        <v>50.5</v>
      </c>
      <c r="H78" s="100">
        <v>16.97</v>
      </c>
      <c r="I78" s="100">
        <v>6.48</v>
      </c>
      <c r="J78" s="100">
        <v>0.43</v>
      </c>
      <c r="K78" s="100">
        <v>248.91</v>
      </c>
      <c r="L78" s="100">
        <v>33.51</v>
      </c>
      <c r="M78" s="100">
        <v>22</v>
      </c>
      <c r="N78" s="100">
        <v>20.100000000000001</v>
      </c>
      <c r="O78" s="100">
        <v>0</v>
      </c>
      <c r="P78" s="100">
        <v>0.44</v>
      </c>
      <c r="Q78" s="100">
        <v>28.01</v>
      </c>
      <c r="R78" s="6"/>
      <c r="S78" s="6"/>
      <c r="T78" s="156"/>
      <c r="U78" s="6"/>
    </row>
    <row r="79" spans="1:21" customFormat="1">
      <c r="A79" s="163" t="s">
        <v>597</v>
      </c>
      <c r="B79" s="100">
        <v>3.46</v>
      </c>
      <c r="C79" s="100">
        <v>16.239999999999998</v>
      </c>
      <c r="D79" s="100">
        <v>12.62</v>
      </c>
      <c r="E79" s="100">
        <v>9.69</v>
      </c>
      <c r="F79" s="152" t="s">
        <v>15</v>
      </c>
      <c r="G79" s="100">
        <v>50.5</v>
      </c>
      <c r="H79" s="100">
        <v>16.97</v>
      </c>
      <c r="I79" s="100">
        <v>6.34</v>
      </c>
      <c r="J79" s="100">
        <v>0.16</v>
      </c>
      <c r="K79" s="100">
        <v>199.52</v>
      </c>
      <c r="L79" s="100">
        <v>32.659999999999997</v>
      </c>
      <c r="M79" s="100">
        <v>24.53</v>
      </c>
      <c r="N79" s="100">
        <v>13.3</v>
      </c>
      <c r="O79" s="100">
        <v>0</v>
      </c>
      <c r="P79" s="100">
        <v>0.43</v>
      </c>
      <c r="Q79" s="100">
        <v>28.01</v>
      </c>
      <c r="R79" s="6"/>
      <c r="S79" s="6"/>
      <c r="T79" s="156"/>
      <c r="U79" s="6"/>
    </row>
    <row r="80" spans="1:21" customFormat="1">
      <c r="A80" s="163" t="s">
        <v>598</v>
      </c>
      <c r="B80" s="100">
        <v>3.41</v>
      </c>
      <c r="C80" s="100">
        <v>16.149999999999999</v>
      </c>
      <c r="D80" s="100">
        <v>12.52</v>
      </c>
      <c r="E80" s="100">
        <v>9.14</v>
      </c>
      <c r="F80" s="152" t="s">
        <v>15</v>
      </c>
      <c r="G80" s="100">
        <v>50.5</v>
      </c>
      <c r="H80" s="100">
        <v>16.97</v>
      </c>
      <c r="I80" s="100">
        <v>6.24</v>
      </c>
      <c r="J80" s="100">
        <v>0.15</v>
      </c>
      <c r="K80" s="100">
        <v>192.2</v>
      </c>
      <c r="L80" s="100">
        <v>31.45</v>
      </c>
      <c r="M80" s="100">
        <v>27.93</v>
      </c>
      <c r="N80" s="100">
        <v>7</v>
      </c>
      <c r="O80" s="100">
        <v>0</v>
      </c>
      <c r="P80" s="100">
        <v>0.47</v>
      </c>
      <c r="Q80" s="100">
        <v>28</v>
      </c>
      <c r="R80" s="6"/>
      <c r="S80" s="6"/>
      <c r="T80" s="156"/>
      <c r="U80" s="6"/>
    </row>
    <row r="81" spans="1:21" customFormat="1">
      <c r="A81" s="163" t="s">
        <v>599</v>
      </c>
      <c r="B81" s="100">
        <v>3.38</v>
      </c>
      <c r="C81" s="100">
        <v>16.04</v>
      </c>
      <c r="D81" s="100">
        <v>12.44</v>
      </c>
      <c r="E81" s="100">
        <v>7.5</v>
      </c>
      <c r="F81" s="152" t="s">
        <v>15</v>
      </c>
      <c r="G81" s="100">
        <v>54.95</v>
      </c>
      <c r="H81" s="100">
        <v>16.920000000000002</v>
      </c>
      <c r="I81" s="100">
        <v>6.34</v>
      </c>
      <c r="J81" s="100">
        <v>0.17</v>
      </c>
      <c r="K81" s="100">
        <v>204.08</v>
      </c>
      <c r="L81" s="100">
        <v>30.45</v>
      </c>
      <c r="M81" s="100">
        <v>30.99</v>
      </c>
      <c r="N81" s="100">
        <v>2.5</v>
      </c>
      <c r="O81" s="100">
        <v>0</v>
      </c>
      <c r="P81" s="100">
        <v>0.46</v>
      </c>
      <c r="Q81" s="100">
        <v>27.98</v>
      </c>
      <c r="R81" s="6"/>
      <c r="S81" s="6"/>
      <c r="T81" s="156"/>
      <c r="U81" s="6"/>
    </row>
    <row r="82" spans="1:21" customFormat="1">
      <c r="A82" s="163" t="s">
        <v>600</v>
      </c>
      <c r="B82" s="100">
        <v>3.45</v>
      </c>
      <c r="C82" s="100">
        <v>16.260000000000002</v>
      </c>
      <c r="D82" s="100">
        <v>12.61</v>
      </c>
      <c r="E82" s="100">
        <v>8</v>
      </c>
      <c r="F82" s="152" t="s">
        <v>15</v>
      </c>
      <c r="G82" s="100">
        <v>55.38</v>
      </c>
      <c r="H82" s="100">
        <v>16.920000000000002</v>
      </c>
      <c r="I82" s="100">
        <v>6.49</v>
      </c>
      <c r="J82" s="100">
        <v>0.23</v>
      </c>
      <c r="K82" s="100">
        <v>192.03</v>
      </c>
      <c r="L82" s="100">
        <v>29.8</v>
      </c>
      <c r="M82" s="100">
        <v>33.99</v>
      </c>
      <c r="N82" s="100">
        <v>1.4</v>
      </c>
      <c r="O82" s="100">
        <v>0</v>
      </c>
      <c r="P82" s="100">
        <v>0.47</v>
      </c>
      <c r="Q82" s="100">
        <v>28.01</v>
      </c>
      <c r="R82" s="6"/>
      <c r="S82" s="6"/>
      <c r="T82" s="156"/>
      <c r="U82" s="6"/>
    </row>
    <row r="83" spans="1:21" customFormat="1">
      <c r="A83" s="163" t="s">
        <v>601</v>
      </c>
      <c r="B83" s="100">
        <v>3.53</v>
      </c>
      <c r="C83" s="100">
        <v>16.54</v>
      </c>
      <c r="D83" s="100">
        <v>12.82</v>
      </c>
      <c r="E83" s="100">
        <v>7.76</v>
      </c>
      <c r="F83" s="152" t="s">
        <v>15</v>
      </c>
      <c r="G83" s="100">
        <v>55.38</v>
      </c>
      <c r="H83" s="100">
        <v>16.920000000000002</v>
      </c>
      <c r="I83" s="100">
        <v>6.56</v>
      </c>
      <c r="J83" s="100">
        <v>0.23</v>
      </c>
      <c r="K83" s="100">
        <v>212.49</v>
      </c>
      <c r="L83" s="100">
        <v>28.96</v>
      </c>
      <c r="M83" s="100">
        <v>39.369999999999997</v>
      </c>
      <c r="N83" s="100">
        <v>1.2</v>
      </c>
      <c r="O83" s="100">
        <v>0</v>
      </c>
      <c r="P83" s="100">
        <v>0.47</v>
      </c>
      <c r="Q83" s="100">
        <v>28.01</v>
      </c>
      <c r="R83" s="6"/>
      <c r="S83" s="6"/>
      <c r="T83" s="156"/>
      <c r="U83" s="6"/>
    </row>
    <row r="84" spans="1:21" customFormat="1">
      <c r="A84" s="163" t="s">
        <v>602</v>
      </c>
      <c r="B84" s="100">
        <v>3.58</v>
      </c>
      <c r="C84" s="100">
        <v>16.84</v>
      </c>
      <c r="D84" s="100">
        <v>13.02</v>
      </c>
      <c r="E84" s="100">
        <v>8.0299999999999994</v>
      </c>
      <c r="F84" s="152" t="s">
        <v>15</v>
      </c>
      <c r="G84" s="100">
        <v>55.38</v>
      </c>
      <c r="H84" s="100">
        <v>16.920000000000002</v>
      </c>
      <c r="I84" s="100">
        <v>6.65</v>
      </c>
      <c r="J84" s="100">
        <v>0.22</v>
      </c>
      <c r="K84" s="100">
        <v>184.87</v>
      </c>
      <c r="L84" s="100">
        <v>29.32</v>
      </c>
      <c r="M84" s="100">
        <v>36.54</v>
      </c>
      <c r="N84" s="100">
        <v>0.6</v>
      </c>
      <c r="O84" s="100">
        <v>0</v>
      </c>
      <c r="P84" s="100">
        <v>0.49</v>
      </c>
      <c r="Q84" s="100">
        <v>28</v>
      </c>
      <c r="R84" s="6"/>
      <c r="S84" s="6"/>
      <c r="T84" s="156"/>
      <c r="U84" s="6"/>
    </row>
    <row r="85" spans="1:21" customFormat="1">
      <c r="A85" s="163" t="s">
        <v>603</v>
      </c>
      <c r="B85" s="100">
        <v>3.71</v>
      </c>
      <c r="C85" s="100">
        <v>17.14</v>
      </c>
      <c r="D85" s="100">
        <v>13.28</v>
      </c>
      <c r="E85" s="100">
        <v>7.77</v>
      </c>
      <c r="F85" s="152" t="s">
        <v>15</v>
      </c>
      <c r="G85" s="100">
        <v>65.91</v>
      </c>
      <c r="H85" s="100">
        <v>20.399999999999999</v>
      </c>
      <c r="I85" s="100">
        <v>6.65</v>
      </c>
      <c r="J85" s="100">
        <v>0.21</v>
      </c>
      <c r="K85" s="100">
        <v>171.25</v>
      </c>
      <c r="L85" s="100">
        <v>28.55</v>
      </c>
      <c r="M85" s="100">
        <v>40.33</v>
      </c>
      <c r="N85" s="100">
        <v>1.2</v>
      </c>
      <c r="O85" s="100">
        <v>0</v>
      </c>
      <c r="P85" s="100">
        <v>0.52</v>
      </c>
      <c r="Q85" s="100">
        <v>28.02</v>
      </c>
      <c r="R85" s="6"/>
      <c r="S85" s="6"/>
      <c r="T85" s="156"/>
      <c r="U85" s="6"/>
    </row>
    <row r="86" spans="1:21" customFormat="1">
      <c r="A86" s="163" t="s">
        <v>604</v>
      </c>
      <c r="B86" s="100">
        <v>3.76</v>
      </c>
      <c r="C86" s="100">
        <v>17.62</v>
      </c>
      <c r="D86" s="100">
        <v>13.57</v>
      </c>
      <c r="E86" s="100">
        <v>7.66</v>
      </c>
      <c r="F86" s="152" t="s">
        <v>15</v>
      </c>
      <c r="G86" s="100">
        <v>66.930000000000007</v>
      </c>
      <c r="H86" s="100">
        <v>20.399999999999999</v>
      </c>
      <c r="I86" s="100">
        <v>6.81</v>
      </c>
      <c r="J86" s="100">
        <v>0.25</v>
      </c>
      <c r="K86" s="100">
        <v>169.3</v>
      </c>
      <c r="L86" s="100">
        <v>28.02</v>
      </c>
      <c r="M86" s="100">
        <v>40.14</v>
      </c>
      <c r="N86" s="100">
        <v>1</v>
      </c>
      <c r="O86" s="100">
        <v>0</v>
      </c>
      <c r="P86" s="100">
        <v>0.55000000000000004</v>
      </c>
      <c r="Q86" s="100">
        <v>28</v>
      </c>
      <c r="R86" s="6"/>
      <c r="S86" s="6"/>
      <c r="T86" s="156"/>
      <c r="U86" s="6"/>
    </row>
    <row r="87" spans="1:21" customFormat="1">
      <c r="A87" s="163" t="s">
        <v>605</v>
      </c>
      <c r="B87" s="100">
        <v>3.85</v>
      </c>
      <c r="C87" s="100">
        <v>17.760000000000002</v>
      </c>
      <c r="D87" s="100">
        <v>13.72</v>
      </c>
      <c r="E87" s="100">
        <v>7.68</v>
      </c>
      <c r="F87" s="152" t="s">
        <v>15</v>
      </c>
      <c r="G87" s="100">
        <v>66.930000000000007</v>
      </c>
      <c r="H87" s="100">
        <v>20.399999999999999</v>
      </c>
      <c r="I87" s="100">
        <v>7.21</v>
      </c>
      <c r="J87" s="100">
        <v>0.24</v>
      </c>
      <c r="K87" s="100">
        <v>181.44</v>
      </c>
      <c r="L87" s="100">
        <v>27.78</v>
      </c>
      <c r="M87" s="100">
        <v>40.659999999999997</v>
      </c>
      <c r="N87" s="100">
        <v>0.8</v>
      </c>
      <c r="O87" s="100">
        <v>0</v>
      </c>
      <c r="P87" s="100">
        <v>0.55000000000000004</v>
      </c>
      <c r="Q87" s="100">
        <v>28.03</v>
      </c>
      <c r="R87" s="6"/>
      <c r="S87" s="6"/>
      <c r="T87" s="156"/>
      <c r="U87" s="6"/>
    </row>
    <row r="88" spans="1:21" customFormat="1">
      <c r="A88" s="163" t="s">
        <v>606</v>
      </c>
      <c r="B88" s="100">
        <v>3.95</v>
      </c>
      <c r="C88" s="100">
        <v>18.579999999999998</v>
      </c>
      <c r="D88" s="100">
        <v>14.23</v>
      </c>
      <c r="E88" s="100">
        <v>7.57</v>
      </c>
      <c r="F88" s="152" t="s">
        <v>15</v>
      </c>
      <c r="G88" s="100">
        <v>66.930000000000007</v>
      </c>
      <c r="H88" s="100">
        <v>20.399999999999999</v>
      </c>
      <c r="I88" s="100">
        <v>7.55</v>
      </c>
      <c r="J88" s="100">
        <v>0.28999999999999998</v>
      </c>
      <c r="K88" s="100">
        <v>191.86</v>
      </c>
      <c r="L88" s="100">
        <v>27.95</v>
      </c>
      <c r="M88" s="100">
        <v>40.590000000000003</v>
      </c>
      <c r="N88" s="100">
        <v>0.6</v>
      </c>
      <c r="O88" s="100">
        <v>0</v>
      </c>
      <c r="P88" s="100">
        <v>0.57999999999999996</v>
      </c>
      <c r="Q88" s="100">
        <v>28.02</v>
      </c>
      <c r="R88" s="6"/>
      <c r="S88" s="6"/>
      <c r="T88" s="156"/>
      <c r="U88" s="6"/>
    </row>
    <row r="89" spans="1:21" customFormat="1">
      <c r="A89" s="163" t="s">
        <v>607</v>
      </c>
      <c r="B89" s="100">
        <v>4.1900000000000004</v>
      </c>
      <c r="C89" s="100">
        <v>20.05</v>
      </c>
      <c r="D89" s="100">
        <v>15.19</v>
      </c>
      <c r="E89" s="100">
        <v>7.93</v>
      </c>
      <c r="F89" s="152" t="s">
        <v>15</v>
      </c>
      <c r="G89" s="100">
        <v>80.37</v>
      </c>
      <c r="H89" s="100">
        <v>23.09</v>
      </c>
      <c r="I89" s="100">
        <v>7.71</v>
      </c>
      <c r="J89" s="100">
        <v>0.31</v>
      </c>
      <c r="K89" s="100">
        <v>179.94</v>
      </c>
      <c r="L89" s="100">
        <v>27.78</v>
      </c>
      <c r="M89" s="100">
        <v>39.299999999999997</v>
      </c>
      <c r="N89" s="100">
        <v>0.7</v>
      </c>
      <c r="O89" s="100">
        <v>0</v>
      </c>
      <c r="P89" s="100">
        <v>0.6</v>
      </c>
      <c r="Q89" s="100">
        <v>28.04</v>
      </c>
      <c r="R89" s="6"/>
      <c r="S89" s="6"/>
      <c r="T89" s="156"/>
      <c r="U89" s="6"/>
    </row>
    <row r="90" spans="1:21" customFormat="1">
      <c r="A90" s="163" t="s">
        <v>608</v>
      </c>
      <c r="B90" s="100">
        <v>4.37</v>
      </c>
      <c r="C90" s="100">
        <v>19.57</v>
      </c>
      <c r="D90" s="100">
        <v>15.08</v>
      </c>
      <c r="E90" s="100">
        <v>7.37</v>
      </c>
      <c r="F90" s="152" t="s">
        <v>15</v>
      </c>
      <c r="G90" s="100">
        <v>81.5</v>
      </c>
      <c r="H90" s="100">
        <v>23.09</v>
      </c>
      <c r="I90" s="100">
        <v>8.09</v>
      </c>
      <c r="J90" s="100">
        <v>0.4</v>
      </c>
      <c r="K90" s="100">
        <v>170.02</v>
      </c>
      <c r="L90" s="100">
        <v>27.26</v>
      </c>
      <c r="M90" s="100">
        <v>41.06</v>
      </c>
      <c r="N90" s="100">
        <v>1.1000000000000001</v>
      </c>
      <c r="O90" s="100">
        <v>0</v>
      </c>
      <c r="P90" s="100">
        <v>0.6</v>
      </c>
      <c r="Q90" s="100">
        <v>28.05</v>
      </c>
      <c r="R90" s="6"/>
      <c r="S90" s="6"/>
      <c r="T90" s="156"/>
      <c r="U90" s="6"/>
    </row>
    <row r="91" spans="1:21" customFormat="1">
      <c r="A91" s="163" t="s">
        <v>609</v>
      </c>
      <c r="B91" s="100">
        <v>4.54</v>
      </c>
      <c r="C91" s="100">
        <v>20.170000000000002</v>
      </c>
      <c r="D91" s="100">
        <v>15.54</v>
      </c>
      <c r="E91" s="100">
        <v>7.74</v>
      </c>
      <c r="F91" s="152" t="s">
        <v>15</v>
      </c>
      <c r="G91" s="100">
        <v>81.5</v>
      </c>
      <c r="H91" s="100">
        <v>23.09</v>
      </c>
      <c r="I91" s="100">
        <v>8.32</v>
      </c>
      <c r="J91" s="100">
        <v>0.26</v>
      </c>
      <c r="K91" s="100">
        <v>195.37</v>
      </c>
      <c r="L91" s="100">
        <v>27.46</v>
      </c>
      <c r="M91" s="100">
        <v>38.74</v>
      </c>
      <c r="N91" s="100">
        <v>0.5</v>
      </c>
      <c r="O91" s="100">
        <v>0</v>
      </c>
      <c r="P91" s="100">
        <v>0.64</v>
      </c>
      <c r="Q91" s="100">
        <v>28.06</v>
      </c>
      <c r="R91" s="6"/>
      <c r="S91" s="6"/>
      <c r="T91" s="156"/>
      <c r="U91" s="6"/>
    </row>
    <row r="92" spans="1:21" customFormat="1">
      <c r="A92" s="163" t="s">
        <v>610</v>
      </c>
      <c r="B92" s="100">
        <v>4.7300000000000004</v>
      </c>
      <c r="C92" s="100">
        <v>20.62</v>
      </c>
      <c r="D92" s="100">
        <v>15.92</v>
      </c>
      <c r="E92" s="100">
        <v>7.66</v>
      </c>
      <c r="F92" s="152" t="s">
        <v>15</v>
      </c>
      <c r="G92" s="100">
        <v>81.5</v>
      </c>
      <c r="H92" s="100">
        <v>23.09</v>
      </c>
      <c r="I92" s="100">
        <v>8.34</v>
      </c>
      <c r="J92" s="100">
        <v>0.22</v>
      </c>
      <c r="K92" s="100">
        <v>219.77</v>
      </c>
      <c r="L92" s="100">
        <v>28.12</v>
      </c>
      <c r="M92" s="100">
        <v>35.1</v>
      </c>
      <c r="N92" s="100">
        <v>0.3</v>
      </c>
      <c r="O92" s="100">
        <v>0</v>
      </c>
      <c r="P92" s="100">
        <v>0.65</v>
      </c>
      <c r="Q92" s="100">
        <v>28.07</v>
      </c>
      <c r="R92" s="6"/>
      <c r="S92" s="6"/>
      <c r="T92" s="156"/>
      <c r="U92" s="6"/>
    </row>
    <row r="93" spans="1:21" customFormat="1">
      <c r="A93" s="163" t="s">
        <v>611</v>
      </c>
      <c r="B93" s="100">
        <v>4.88</v>
      </c>
      <c r="C93" s="100">
        <v>21.45</v>
      </c>
      <c r="D93" s="100">
        <v>16.47</v>
      </c>
      <c r="E93" s="100">
        <v>8.16</v>
      </c>
      <c r="F93" s="152" t="s">
        <v>15</v>
      </c>
      <c r="G93" s="100">
        <v>80.099999999999994</v>
      </c>
      <c r="H93" s="100">
        <v>25.77</v>
      </c>
      <c r="I93" s="100">
        <v>8.5299999999999994</v>
      </c>
      <c r="J93" s="100">
        <v>0.28999999999999998</v>
      </c>
      <c r="K93" s="100">
        <v>295.04000000000002</v>
      </c>
      <c r="L93" s="100">
        <v>28.52</v>
      </c>
      <c r="M93" s="100">
        <v>33.380000000000003</v>
      </c>
      <c r="N93" s="100">
        <v>0.3</v>
      </c>
      <c r="O93" s="100">
        <v>0</v>
      </c>
      <c r="P93" s="100">
        <v>0.65</v>
      </c>
      <c r="Q93" s="100">
        <v>28.08</v>
      </c>
      <c r="R93" s="6"/>
      <c r="S93" s="6"/>
      <c r="T93" s="156"/>
      <c r="U93" s="6"/>
    </row>
    <row r="94" spans="1:21" customFormat="1">
      <c r="A94" s="163" t="s">
        <v>612</v>
      </c>
      <c r="B94" s="100">
        <v>5.27</v>
      </c>
      <c r="C94" s="100">
        <v>21.72</v>
      </c>
      <c r="D94" s="100">
        <v>16.93</v>
      </c>
      <c r="E94" s="100">
        <v>7.96</v>
      </c>
      <c r="F94" s="152" t="s">
        <v>15</v>
      </c>
      <c r="G94" s="100">
        <v>79.98</v>
      </c>
      <c r="H94" s="100">
        <v>25.77</v>
      </c>
      <c r="I94" s="100">
        <v>8.64</v>
      </c>
      <c r="J94" s="100">
        <v>0.4</v>
      </c>
      <c r="K94" s="100">
        <v>304.52999999999997</v>
      </c>
      <c r="L94" s="100">
        <v>28.95</v>
      </c>
      <c r="M94" s="100">
        <v>32.159999999999997</v>
      </c>
      <c r="N94" s="100">
        <v>0.3</v>
      </c>
      <c r="O94" s="100">
        <v>0</v>
      </c>
      <c r="P94" s="100">
        <v>0.67</v>
      </c>
      <c r="Q94" s="100">
        <v>28.1</v>
      </c>
      <c r="R94" s="6"/>
      <c r="S94" s="6"/>
      <c r="T94" s="156"/>
      <c r="U94" s="6"/>
    </row>
    <row r="95" spans="1:21" customFormat="1">
      <c r="A95" s="163" t="s">
        <v>613</v>
      </c>
      <c r="B95" s="100">
        <v>5.93</v>
      </c>
      <c r="C95" s="100">
        <v>22.68</v>
      </c>
      <c r="D95" s="100">
        <v>17.96</v>
      </c>
      <c r="E95" s="100">
        <v>9.76</v>
      </c>
      <c r="F95" s="152" t="s">
        <v>15</v>
      </c>
      <c r="G95" s="100">
        <v>79.98</v>
      </c>
      <c r="H95" s="100">
        <v>25.77</v>
      </c>
      <c r="I95" s="100">
        <v>8.75</v>
      </c>
      <c r="J95" s="100">
        <v>0.67</v>
      </c>
      <c r="K95" s="100">
        <v>304.91000000000003</v>
      </c>
      <c r="L95" s="100">
        <v>29</v>
      </c>
      <c r="M95" s="100">
        <v>32.36</v>
      </c>
      <c r="N95" s="100">
        <v>0.4</v>
      </c>
      <c r="O95" s="100">
        <v>0</v>
      </c>
      <c r="P95" s="100">
        <v>0.68</v>
      </c>
      <c r="Q95" s="100">
        <v>28.1</v>
      </c>
      <c r="R95" s="6"/>
      <c r="S95" s="6"/>
      <c r="T95" s="156"/>
      <c r="U95" s="6"/>
    </row>
    <row r="96" spans="1:21" customFormat="1">
      <c r="A96" s="163" t="s">
        <v>614</v>
      </c>
      <c r="B96" s="100">
        <v>6.57</v>
      </c>
      <c r="C96" s="100">
        <v>23.8</v>
      </c>
      <c r="D96" s="100">
        <v>19.059999999999999</v>
      </c>
      <c r="E96" s="100">
        <v>15.07</v>
      </c>
      <c r="F96" s="152" t="s">
        <v>15</v>
      </c>
      <c r="G96" s="100">
        <v>79.98</v>
      </c>
      <c r="H96" s="100">
        <v>25.77</v>
      </c>
      <c r="I96" s="100">
        <v>8.9</v>
      </c>
      <c r="J96" s="100">
        <v>0.62</v>
      </c>
      <c r="K96" s="100">
        <v>301.61</v>
      </c>
      <c r="L96" s="100">
        <v>28.74</v>
      </c>
      <c r="M96" s="100">
        <v>33.21</v>
      </c>
      <c r="N96" s="100">
        <v>0.9</v>
      </c>
      <c r="O96" s="100">
        <v>0</v>
      </c>
      <c r="P96" s="100">
        <v>0.7</v>
      </c>
      <c r="Q96" s="100">
        <v>28.13</v>
      </c>
      <c r="R96" s="6"/>
      <c r="S96" s="6"/>
      <c r="T96" s="156"/>
      <c r="U96" s="6"/>
    </row>
    <row r="97" spans="1:28" customFormat="1">
      <c r="A97" s="163" t="s">
        <v>615</v>
      </c>
      <c r="B97" s="100">
        <v>6.9</v>
      </c>
      <c r="C97" s="100">
        <v>23.53</v>
      </c>
      <c r="D97" s="100">
        <v>19.18</v>
      </c>
      <c r="E97" s="100">
        <v>13.55</v>
      </c>
      <c r="F97" s="152" t="s">
        <v>15</v>
      </c>
      <c r="G97" s="100">
        <v>83.74</v>
      </c>
      <c r="H97" s="100">
        <v>26.01</v>
      </c>
      <c r="I97" s="100">
        <v>8.99</v>
      </c>
      <c r="J97" s="100">
        <v>0.51</v>
      </c>
      <c r="K97" s="100">
        <v>301.79000000000002</v>
      </c>
      <c r="L97" s="100">
        <v>28.37</v>
      </c>
      <c r="M97" s="100">
        <v>33.94</v>
      </c>
      <c r="N97" s="100">
        <v>1</v>
      </c>
      <c r="O97" s="100">
        <v>0</v>
      </c>
      <c r="P97" s="100">
        <v>0.71</v>
      </c>
      <c r="Q97" s="100">
        <v>28.15</v>
      </c>
      <c r="R97" s="6"/>
      <c r="S97" s="6"/>
      <c r="T97" s="156"/>
      <c r="U97" s="6"/>
    </row>
    <row r="98" spans="1:28" customFormat="1">
      <c r="A98" s="163" t="s">
        <v>616</v>
      </c>
      <c r="B98" s="100">
        <v>6.87</v>
      </c>
      <c r="C98" s="100">
        <v>21.84</v>
      </c>
      <c r="D98" s="100">
        <v>18.27</v>
      </c>
      <c r="E98" s="100">
        <v>10.41</v>
      </c>
      <c r="F98" s="152" t="s">
        <v>15</v>
      </c>
      <c r="G98" s="100">
        <v>84.11</v>
      </c>
      <c r="H98" s="100">
        <v>26.01</v>
      </c>
      <c r="I98" s="100">
        <v>9.1999999999999993</v>
      </c>
      <c r="J98" s="100">
        <v>0.56999999999999995</v>
      </c>
      <c r="K98" s="100">
        <v>300.62</v>
      </c>
      <c r="L98" s="100">
        <v>28.26</v>
      </c>
      <c r="M98" s="100">
        <v>33.56</v>
      </c>
      <c r="N98" s="100">
        <v>0.9</v>
      </c>
      <c r="O98" s="100">
        <v>0</v>
      </c>
      <c r="P98" s="100">
        <v>0.68</v>
      </c>
      <c r="Q98" s="100">
        <v>28.17</v>
      </c>
      <c r="R98" s="6"/>
      <c r="S98" s="6"/>
      <c r="T98" s="156"/>
      <c r="U98" s="6"/>
    </row>
    <row r="99" spans="1:28" customFormat="1">
      <c r="A99" s="163" t="s">
        <v>617</v>
      </c>
      <c r="B99" s="100">
        <v>6.84</v>
      </c>
      <c r="C99" s="100">
        <v>20.71</v>
      </c>
      <c r="D99" s="100">
        <v>17.649999999999999</v>
      </c>
      <c r="E99" s="100">
        <v>8.3000000000000007</v>
      </c>
      <c r="F99" s="152" t="s">
        <v>15</v>
      </c>
      <c r="G99" s="100">
        <v>84.11</v>
      </c>
      <c r="H99" s="100">
        <v>26.01</v>
      </c>
      <c r="I99" s="100">
        <v>9.31</v>
      </c>
      <c r="J99" s="100">
        <v>0.41</v>
      </c>
      <c r="K99" s="100">
        <v>321.35000000000002</v>
      </c>
      <c r="L99" s="100">
        <v>28.02</v>
      </c>
      <c r="M99" s="100">
        <v>34.29</v>
      </c>
      <c r="N99" s="100">
        <v>1</v>
      </c>
      <c r="O99" s="100">
        <v>0</v>
      </c>
      <c r="P99" s="100">
        <v>0.68</v>
      </c>
      <c r="Q99" s="100">
        <v>28.16</v>
      </c>
      <c r="R99" s="6"/>
      <c r="S99" s="6"/>
      <c r="T99" s="156"/>
      <c r="U99" s="6"/>
    </row>
    <row r="100" spans="1:28" customFormat="1">
      <c r="A100" s="163" t="s">
        <v>618</v>
      </c>
      <c r="B100" s="100">
        <v>6.83</v>
      </c>
      <c r="C100" s="100">
        <v>20.100000000000001</v>
      </c>
      <c r="D100" s="100">
        <v>17.329999999999998</v>
      </c>
      <c r="E100" s="100">
        <v>8.6</v>
      </c>
      <c r="F100" s="152" t="s">
        <v>15</v>
      </c>
      <c r="G100" s="100">
        <v>84.11</v>
      </c>
      <c r="H100" s="100">
        <v>26.01</v>
      </c>
      <c r="I100" s="100">
        <v>9.08</v>
      </c>
      <c r="J100" s="100">
        <v>0.34</v>
      </c>
      <c r="K100" s="100">
        <v>319.8</v>
      </c>
      <c r="L100" s="100">
        <v>27.79</v>
      </c>
      <c r="M100" s="100">
        <v>35.22</v>
      </c>
      <c r="N100" s="100">
        <v>1</v>
      </c>
      <c r="O100" s="100">
        <v>0</v>
      </c>
      <c r="P100" s="100">
        <v>0.66</v>
      </c>
      <c r="Q100" s="100">
        <v>28.15</v>
      </c>
      <c r="R100" s="6"/>
      <c r="S100" s="6"/>
      <c r="T100" s="156"/>
      <c r="U100" s="6"/>
      <c r="AB100" s="161"/>
    </row>
    <row r="101" spans="1:28" customFormat="1">
      <c r="A101" s="163" t="s">
        <v>619</v>
      </c>
      <c r="B101" s="100">
        <v>6.89</v>
      </c>
      <c r="C101" s="100">
        <v>19.62</v>
      </c>
      <c r="D101" s="100">
        <v>17.13</v>
      </c>
      <c r="E101" s="100">
        <v>8.73</v>
      </c>
      <c r="F101" s="152" t="s">
        <v>15</v>
      </c>
      <c r="G101" s="100">
        <v>82.12</v>
      </c>
      <c r="H101" s="100">
        <v>26.39</v>
      </c>
      <c r="I101" s="100">
        <v>8.8699999999999992</v>
      </c>
      <c r="J101" s="100">
        <v>0.51</v>
      </c>
      <c r="K101" s="100">
        <v>325.16000000000003</v>
      </c>
      <c r="L101" s="100">
        <v>27.66</v>
      </c>
      <c r="M101" s="100">
        <v>35.6</v>
      </c>
      <c r="N101" s="100">
        <v>0.9</v>
      </c>
      <c r="O101" s="100">
        <v>0</v>
      </c>
      <c r="P101" s="100">
        <v>0.66</v>
      </c>
      <c r="Q101" s="100">
        <v>28.17</v>
      </c>
      <c r="R101" s="6"/>
      <c r="S101" s="6"/>
      <c r="T101" s="156"/>
      <c r="U101" s="6"/>
    </row>
    <row r="102" spans="1:28" customFormat="1">
      <c r="A102" s="163" t="s">
        <v>620</v>
      </c>
      <c r="B102" s="100">
        <v>7.05</v>
      </c>
      <c r="C102" s="100">
        <v>19.34</v>
      </c>
      <c r="D102" s="100">
        <v>17.11</v>
      </c>
      <c r="E102" s="100">
        <v>8.76</v>
      </c>
      <c r="F102" s="152" t="s">
        <v>15</v>
      </c>
      <c r="G102" s="100">
        <v>81.95</v>
      </c>
      <c r="H102" s="100">
        <v>26.39</v>
      </c>
      <c r="I102" s="100">
        <v>8.64</v>
      </c>
      <c r="J102" s="100">
        <v>0.49</v>
      </c>
      <c r="K102" s="100">
        <v>15.33</v>
      </c>
      <c r="L102" s="100">
        <v>27.41</v>
      </c>
      <c r="M102" s="100">
        <v>36.33</v>
      </c>
      <c r="N102" s="100">
        <v>1</v>
      </c>
      <c r="O102" s="100">
        <v>0</v>
      </c>
      <c r="P102" s="100">
        <v>0.66</v>
      </c>
      <c r="Q102" s="100">
        <v>28.17</v>
      </c>
      <c r="R102" s="6"/>
      <c r="S102" s="6"/>
      <c r="T102" s="156"/>
      <c r="U102" s="6"/>
    </row>
    <row r="103" spans="1:28" customFormat="1">
      <c r="A103" s="163" t="s">
        <v>621</v>
      </c>
      <c r="B103" s="100">
        <v>7.17</v>
      </c>
      <c r="C103" s="100">
        <v>19.12</v>
      </c>
      <c r="D103" s="100">
        <v>17.09</v>
      </c>
      <c r="E103" s="100">
        <v>8.81</v>
      </c>
      <c r="F103" s="152" t="s">
        <v>15</v>
      </c>
      <c r="G103" s="100">
        <v>81.95</v>
      </c>
      <c r="H103" s="100">
        <v>26.39</v>
      </c>
      <c r="I103" s="100">
        <v>8.56</v>
      </c>
      <c r="J103" s="100">
        <v>0.6</v>
      </c>
      <c r="K103" s="100">
        <v>25.13</v>
      </c>
      <c r="L103" s="100">
        <v>27.15</v>
      </c>
      <c r="M103" s="100">
        <v>37.1</v>
      </c>
      <c r="N103" s="100">
        <v>1.1000000000000001</v>
      </c>
      <c r="O103" s="100">
        <v>0</v>
      </c>
      <c r="P103" s="100">
        <v>0.65</v>
      </c>
      <c r="Q103" s="100">
        <v>28.16</v>
      </c>
      <c r="R103" s="6"/>
      <c r="S103" s="6"/>
      <c r="T103" s="156"/>
      <c r="U103" s="6"/>
    </row>
    <row r="104" spans="1:28" customFormat="1">
      <c r="A104" s="163" t="s">
        <v>622</v>
      </c>
      <c r="B104" s="100">
        <v>7.29</v>
      </c>
      <c r="C104" s="100">
        <v>18.95</v>
      </c>
      <c r="D104" s="100">
        <v>17.100000000000001</v>
      </c>
      <c r="E104" s="100">
        <v>9.4</v>
      </c>
      <c r="F104" s="152" t="s">
        <v>15</v>
      </c>
      <c r="G104" s="100">
        <v>81.95</v>
      </c>
      <c r="H104" s="100">
        <v>26.39</v>
      </c>
      <c r="I104" s="100">
        <v>8.6</v>
      </c>
      <c r="J104" s="100">
        <v>0.5</v>
      </c>
      <c r="K104" s="100">
        <v>21.89</v>
      </c>
      <c r="L104" s="100">
        <v>26.8</v>
      </c>
      <c r="M104" s="100">
        <v>38.29</v>
      </c>
      <c r="N104" s="100">
        <v>1.3</v>
      </c>
      <c r="O104" s="100">
        <v>0</v>
      </c>
      <c r="P104" s="100">
        <v>0.65</v>
      </c>
      <c r="Q104" s="100">
        <v>28.17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3.38</v>
      </c>
      <c r="C106" s="158">
        <f>MIN(C9:C104)</f>
        <v>16.04</v>
      </c>
      <c r="D106" s="158">
        <f t="shared" ref="D106:Q106" si="0">MIN(D9:D104)</f>
        <v>12.44</v>
      </c>
      <c r="E106" s="158">
        <f t="shared" si="0"/>
        <v>6.72</v>
      </c>
      <c r="F106" s="158">
        <f t="shared" si="0"/>
        <v>0</v>
      </c>
      <c r="G106" s="158">
        <f t="shared" si="0"/>
        <v>50.5</v>
      </c>
      <c r="H106" s="158">
        <f t="shared" si="0"/>
        <v>16.54</v>
      </c>
      <c r="I106" s="158">
        <f t="shared" si="0"/>
        <v>6.24</v>
      </c>
      <c r="J106" s="158">
        <f t="shared" si="0"/>
        <v>0.02</v>
      </c>
      <c r="K106" s="158">
        <f t="shared" si="0"/>
        <v>0.3</v>
      </c>
      <c r="L106" s="158">
        <f t="shared" si="0"/>
        <v>18.53</v>
      </c>
      <c r="M106" s="158">
        <f t="shared" si="0"/>
        <v>16.13</v>
      </c>
      <c r="N106" s="158">
        <f t="shared" si="0"/>
        <v>0.3</v>
      </c>
      <c r="O106" s="158">
        <f t="shared" si="0"/>
        <v>0</v>
      </c>
      <c r="P106" s="158">
        <f t="shared" si="0"/>
        <v>0.43</v>
      </c>
      <c r="Q106" s="158">
        <f t="shared" si="0"/>
        <v>27.98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28.27</v>
      </c>
      <c r="C107" s="157">
        <f t="shared" ref="C107:Q107" si="1">MAX(C9:C104)</f>
        <v>25.78</v>
      </c>
      <c r="D107" s="157">
        <f t="shared" si="1"/>
        <v>36.659999999999997</v>
      </c>
      <c r="E107" s="157">
        <f t="shared" si="1"/>
        <v>15.07</v>
      </c>
      <c r="F107" s="157">
        <f t="shared" si="1"/>
        <v>0</v>
      </c>
      <c r="G107" s="157">
        <f t="shared" si="1"/>
        <v>132.25</v>
      </c>
      <c r="H107" s="157">
        <f t="shared" si="1"/>
        <v>44.23</v>
      </c>
      <c r="I107" s="157">
        <f t="shared" si="1"/>
        <v>14.44</v>
      </c>
      <c r="J107" s="157">
        <f t="shared" si="1"/>
        <v>1.42</v>
      </c>
      <c r="K107" s="157">
        <f t="shared" si="1"/>
        <v>353.27</v>
      </c>
      <c r="L107" s="157">
        <f t="shared" si="1"/>
        <v>36.29</v>
      </c>
      <c r="M107" s="157">
        <f t="shared" si="1"/>
        <v>73.290000000000006</v>
      </c>
      <c r="N107" s="157">
        <f t="shared" si="1"/>
        <v>355.1</v>
      </c>
      <c r="O107" s="157">
        <f t="shared" si="1"/>
        <v>0</v>
      </c>
      <c r="P107" s="157">
        <f t="shared" si="1"/>
        <v>1.26</v>
      </c>
      <c r="Q107" s="157">
        <f t="shared" si="1"/>
        <v>29.08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12.548958333333331</v>
      </c>
      <c r="C108" s="158">
        <f t="shared" ref="C108:Q108" si="2">AVERAGE(C9:C104)</f>
        <v>21.190416666666657</v>
      </c>
      <c r="D108" s="158">
        <f t="shared" si="2"/>
        <v>22.486250000000002</v>
      </c>
      <c r="E108" s="158">
        <f t="shared" si="2"/>
        <v>8.8714583333333277</v>
      </c>
      <c r="F108" s="158" t="e">
        <f t="shared" si="2"/>
        <v>#DIV/0!</v>
      </c>
      <c r="G108" s="158">
        <f t="shared" si="2"/>
        <v>80.352812499999985</v>
      </c>
      <c r="H108" s="158">
        <f t="shared" si="2"/>
        <v>26.251250000000017</v>
      </c>
      <c r="I108" s="158">
        <f t="shared" si="2"/>
        <v>10.235624999999999</v>
      </c>
      <c r="J108" s="158">
        <f t="shared" si="2"/>
        <v>0.38541666666666657</v>
      </c>
      <c r="K108" s="158">
        <f t="shared" si="2"/>
        <v>185.7095833333334</v>
      </c>
      <c r="L108" s="158">
        <f t="shared" si="2"/>
        <v>27.959791666666664</v>
      </c>
      <c r="M108" s="158">
        <f t="shared" si="2"/>
        <v>39.286041666666641</v>
      </c>
      <c r="N108" s="158">
        <f t="shared" si="2"/>
        <v>91.744791666666686</v>
      </c>
      <c r="O108" s="158">
        <f t="shared" si="2"/>
        <v>0</v>
      </c>
      <c r="P108" s="158">
        <f t="shared" si="2"/>
        <v>0.81395833333333367</v>
      </c>
      <c r="Q108" s="158">
        <f t="shared" si="2"/>
        <v>28.393645833333334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10.119705995226569</v>
      </c>
      <c r="C109" s="158">
        <f t="shared" ref="C109:Q109" si="3">STDEV(C9:C104)</f>
        <v>2.5546794697149764</v>
      </c>
      <c r="D109" s="158">
        <f t="shared" si="3"/>
        <v>9.0130336326432197</v>
      </c>
      <c r="E109" s="158">
        <f t="shared" si="3"/>
        <v>1.2460674807837411</v>
      </c>
      <c r="F109" s="158" t="e">
        <f t="shared" si="3"/>
        <v>#DIV/0!</v>
      </c>
      <c r="G109" s="158">
        <f t="shared" si="3"/>
        <v>20.529874494098262</v>
      </c>
      <c r="H109" s="158">
        <f t="shared" si="3"/>
        <v>7.2283805058146582</v>
      </c>
      <c r="I109" s="158">
        <f t="shared" si="3"/>
        <v>2.6533564890332326</v>
      </c>
      <c r="J109" s="158">
        <f t="shared" si="3"/>
        <v>0.27653082693546871</v>
      </c>
      <c r="K109" s="158">
        <f t="shared" si="3"/>
        <v>91.12575630952216</v>
      </c>
      <c r="L109" s="158">
        <f t="shared" si="3"/>
        <v>5.7507811788197198</v>
      </c>
      <c r="M109" s="158">
        <f t="shared" si="3"/>
        <v>18.304275915704689</v>
      </c>
      <c r="N109" s="158">
        <f t="shared" si="3"/>
        <v>131.60591881569977</v>
      </c>
      <c r="O109" s="158">
        <f t="shared" si="3"/>
        <v>0</v>
      </c>
      <c r="P109" s="158">
        <f t="shared" si="3"/>
        <v>0.26233959175753119</v>
      </c>
      <c r="Q109" s="158">
        <f t="shared" si="3"/>
        <v>0.43670083651629865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F110" sqref="F110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05/03/2025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623</v>
      </c>
      <c r="B9" s="100">
        <v>7.76</v>
      </c>
      <c r="C9" s="100">
        <v>18.97</v>
      </c>
      <c r="D9" s="100">
        <v>17.48</v>
      </c>
      <c r="E9" s="100">
        <v>9.18</v>
      </c>
      <c r="F9" s="152" t="s">
        <v>15</v>
      </c>
      <c r="G9" s="100">
        <v>76.59</v>
      </c>
      <c r="H9" s="100">
        <v>26.21</v>
      </c>
      <c r="I9" s="100">
        <v>8.56</v>
      </c>
      <c r="J9" s="100">
        <v>0.28000000000000003</v>
      </c>
      <c r="K9" s="100">
        <v>2.65</v>
      </c>
      <c r="L9" s="100">
        <v>26.42</v>
      </c>
      <c r="M9" s="100">
        <v>39.619999999999997</v>
      </c>
      <c r="N9" s="100">
        <v>1.3</v>
      </c>
      <c r="O9" s="100">
        <v>0</v>
      </c>
      <c r="P9" s="100">
        <v>0.65</v>
      </c>
      <c r="Q9" s="100">
        <v>28.18</v>
      </c>
      <c r="R9" s="6"/>
      <c r="S9" s="6"/>
      <c r="T9" s="156"/>
      <c r="U9" s="6"/>
    </row>
    <row r="10" spans="1:21" customFormat="1">
      <c r="A10" s="163" t="s">
        <v>624</v>
      </c>
      <c r="B10" s="100">
        <v>8.0399999999999991</v>
      </c>
      <c r="C10" s="100">
        <v>19.149999999999999</v>
      </c>
      <c r="D10" s="100">
        <v>17.8</v>
      </c>
      <c r="E10" s="100">
        <v>8.9600000000000009</v>
      </c>
      <c r="F10" s="152" t="s">
        <v>15</v>
      </c>
      <c r="G10" s="100">
        <v>76.069999999999993</v>
      </c>
      <c r="H10" s="100">
        <v>26.21</v>
      </c>
      <c r="I10" s="100">
        <v>8.4700000000000006</v>
      </c>
      <c r="J10" s="100">
        <v>0.22</v>
      </c>
      <c r="K10" s="100">
        <v>2.19</v>
      </c>
      <c r="L10" s="100">
        <v>26.06</v>
      </c>
      <c r="M10" s="100">
        <v>40.99</v>
      </c>
      <c r="N10" s="100">
        <v>1.2</v>
      </c>
      <c r="O10" s="100">
        <v>0</v>
      </c>
      <c r="P10" s="100">
        <v>0.65</v>
      </c>
      <c r="Q10" s="100">
        <v>28.18</v>
      </c>
      <c r="R10" s="6"/>
      <c r="S10" s="6"/>
      <c r="T10" s="156"/>
      <c r="U10" s="6"/>
    </row>
    <row r="11" spans="1:21" customFormat="1">
      <c r="A11" s="163" t="s">
        <v>625</v>
      </c>
      <c r="B11" s="100">
        <v>8.39</v>
      </c>
      <c r="C11" s="100">
        <v>19.32</v>
      </c>
      <c r="D11" s="100">
        <v>18.170000000000002</v>
      </c>
      <c r="E11" s="100">
        <v>9.0399999999999991</v>
      </c>
      <c r="F11" s="152" t="s">
        <v>15</v>
      </c>
      <c r="G11" s="100">
        <v>76.069999999999993</v>
      </c>
      <c r="H11" s="100">
        <v>26.21</v>
      </c>
      <c r="I11" s="100">
        <v>8.4700000000000006</v>
      </c>
      <c r="J11" s="100">
        <v>0.27</v>
      </c>
      <c r="K11" s="100">
        <v>11.31</v>
      </c>
      <c r="L11" s="100">
        <v>25.75</v>
      </c>
      <c r="M11" s="100">
        <v>42.03</v>
      </c>
      <c r="N11" s="100">
        <v>1</v>
      </c>
      <c r="O11" s="100">
        <v>0</v>
      </c>
      <c r="P11" s="100">
        <v>0.66</v>
      </c>
      <c r="Q11" s="100">
        <v>28.2</v>
      </c>
      <c r="R11" s="6"/>
      <c r="S11" s="6"/>
      <c r="T11" s="156"/>
      <c r="U11" s="6"/>
    </row>
    <row r="12" spans="1:21" customFormat="1">
      <c r="A12" s="163" t="s">
        <v>626</v>
      </c>
      <c r="B12" s="100">
        <v>8.9</v>
      </c>
      <c r="C12" s="100">
        <v>19.28</v>
      </c>
      <c r="D12" s="100">
        <v>18.559999999999999</v>
      </c>
      <c r="E12" s="100">
        <v>11.76</v>
      </c>
      <c r="F12" s="152" t="s">
        <v>15</v>
      </c>
      <c r="G12" s="100">
        <v>76.069999999999993</v>
      </c>
      <c r="H12" s="100">
        <v>26.21</v>
      </c>
      <c r="I12" s="100">
        <v>8.5500000000000007</v>
      </c>
      <c r="J12" s="100">
        <v>0.46</v>
      </c>
      <c r="K12" s="100">
        <v>30.66</v>
      </c>
      <c r="L12" s="100">
        <v>25.61</v>
      </c>
      <c r="M12" s="100">
        <v>42.22</v>
      </c>
      <c r="N12" s="100">
        <v>0.8</v>
      </c>
      <c r="O12" s="100">
        <v>0</v>
      </c>
      <c r="P12" s="100">
        <v>0.67</v>
      </c>
      <c r="Q12" s="100">
        <v>28.21</v>
      </c>
      <c r="R12" s="6"/>
      <c r="S12" s="6"/>
      <c r="T12" s="156"/>
      <c r="U12" s="6"/>
    </row>
    <row r="13" spans="1:21" customFormat="1">
      <c r="A13" s="163" t="s">
        <v>627</v>
      </c>
      <c r="B13" s="100">
        <v>9.14</v>
      </c>
      <c r="C13" s="100">
        <v>19.09</v>
      </c>
      <c r="D13" s="100">
        <v>18.66</v>
      </c>
      <c r="E13" s="100">
        <v>12.68</v>
      </c>
      <c r="F13" s="152" t="s">
        <v>15</v>
      </c>
      <c r="G13" s="100">
        <v>84.6</v>
      </c>
      <c r="H13" s="100">
        <v>28.6</v>
      </c>
      <c r="I13" s="100">
        <v>8.64</v>
      </c>
      <c r="J13" s="100">
        <v>0.86</v>
      </c>
      <c r="K13" s="100">
        <v>26.35</v>
      </c>
      <c r="L13" s="100">
        <v>25.63</v>
      </c>
      <c r="M13" s="100">
        <v>41.68</v>
      </c>
      <c r="N13" s="100">
        <v>0.7</v>
      </c>
      <c r="O13" s="100">
        <v>0</v>
      </c>
      <c r="P13" s="100">
        <v>0.68</v>
      </c>
      <c r="Q13" s="100">
        <v>28.21</v>
      </c>
      <c r="R13" s="6"/>
      <c r="S13" s="6"/>
      <c r="T13" s="156"/>
      <c r="U13" s="6"/>
    </row>
    <row r="14" spans="1:21" customFormat="1">
      <c r="A14" s="163" t="s">
        <v>628</v>
      </c>
      <c r="B14" s="100">
        <v>9.49</v>
      </c>
      <c r="C14" s="100">
        <v>19.12</v>
      </c>
      <c r="D14" s="100">
        <v>18.95</v>
      </c>
      <c r="E14" s="100">
        <v>13.94</v>
      </c>
      <c r="F14" s="152" t="s">
        <v>15</v>
      </c>
      <c r="G14" s="100">
        <v>85.43</v>
      </c>
      <c r="H14" s="100">
        <v>28.6</v>
      </c>
      <c r="I14" s="100">
        <v>8.6999999999999993</v>
      </c>
      <c r="J14" s="100">
        <v>0.67</v>
      </c>
      <c r="K14" s="100">
        <v>43.63</v>
      </c>
      <c r="L14" s="100">
        <v>25.44</v>
      </c>
      <c r="M14" s="100">
        <v>42.46</v>
      </c>
      <c r="N14" s="100">
        <v>1.1000000000000001</v>
      </c>
      <c r="O14" s="100">
        <v>0</v>
      </c>
      <c r="P14" s="100">
        <v>0.67</v>
      </c>
      <c r="Q14" s="100">
        <v>28.24</v>
      </c>
      <c r="R14" s="6"/>
      <c r="S14" s="6"/>
      <c r="T14" s="156"/>
      <c r="U14" s="6"/>
    </row>
    <row r="15" spans="1:21" customFormat="1">
      <c r="A15" s="163" t="s">
        <v>629</v>
      </c>
      <c r="B15" s="100">
        <v>9.8800000000000008</v>
      </c>
      <c r="C15" s="100">
        <v>19.010000000000002</v>
      </c>
      <c r="D15" s="100">
        <v>19.21</v>
      </c>
      <c r="E15" s="100">
        <v>10.07</v>
      </c>
      <c r="F15" s="152" t="s">
        <v>15</v>
      </c>
      <c r="G15" s="100">
        <v>85.43</v>
      </c>
      <c r="H15" s="100">
        <v>28.6</v>
      </c>
      <c r="I15" s="100">
        <v>8.7100000000000009</v>
      </c>
      <c r="J15" s="100">
        <v>0.63</v>
      </c>
      <c r="K15" s="100">
        <v>45.71</v>
      </c>
      <c r="L15" s="100">
        <v>25.1</v>
      </c>
      <c r="M15" s="100">
        <v>43.73</v>
      </c>
      <c r="N15" s="100">
        <v>1.2</v>
      </c>
      <c r="O15" s="100">
        <v>0</v>
      </c>
      <c r="P15" s="100">
        <v>0.67</v>
      </c>
      <c r="Q15" s="100">
        <v>28.25</v>
      </c>
      <c r="R15" s="6"/>
      <c r="S15" s="6"/>
      <c r="T15" s="156"/>
      <c r="U15" s="6"/>
    </row>
    <row r="16" spans="1:21" customFormat="1">
      <c r="A16" s="163" t="s">
        <v>630</v>
      </c>
      <c r="B16" s="100">
        <v>10.33</v>
      </c>
      <c r="C16" s="100">
        <v>19.05</v>
      </c>
      <c r="D16" s="100">
        <v>19.59</v>
      </c>
      <c r="E16" s="100">
        <v>9</v>
      </c>
      <c r="F16" s="152" t="s">
        <v>15</v>
      </c>
      <c r="G16" s="100">
        <v>85.43</v>
      </c>
      <c r="H16" s="100">
        <v>28.6</v>
      </c>
      <c r="I16" s="100">
        <v>8.67</v>
      </c>
      <c r="J16" s="100">
        <v>0.54</v>
      </c>
      <c r="K16" s="100">
        <v>45.44</v>
      </c>
      <c r="L16" s="100">
        <v>24.71</v>
      </c>
      <c r="M16" s="100">
        <v>45.09</v>
      </c>
      <c r="N16" s="100">
        <v>1.1000000000000001</v>
      </c>
      <c r="O16" s="100">
        <v>0</v>
      </c>
      <c r="P16" s="100">
        <v>0.66</v>
      </c>
      <c r="Q16" s="100">
        <v>28.28</v>
      </c>
      <c r="R16" s="6"/>
      <c r="S16" s="6"/>
      <c r="T16" s="156"/>
      <c r="U16" s="6"/>
    </row>
    <row r="17" spans="1:21" customFormat="1">
      <c r="A17" s="163" t="s">
        <v>631</v>
      </c>
      <c r="B17" s="100">
        <v>10.49</v>
      </c>
      <c r="C17" s="100">
        <v>18.809999999999999</v>
      </c>
      <c r="D17" s="100">
        <v>19.59</v>
      </c>
      <c r="E17" s="100">
        <v>8.1300000000000008</v>
      </c>
      <c r="F17" s="152" t="s">
        <v>15</v>
      </c>
      <c r="G17" s="100">
        <v>87.37</v>
      </c>
      <c r="H17" s="100">
        <v>27.42</v>
      </c>
      <c r="I17" s="100">
        <v>8.4700000000000006</v>
      </c>
      <c r="J17" s="100">
        <v>0.55000000000000004</v>
      </c>
      <c r="K17" s="100">
        <v>43.51</v>
      </c>
      <c r="L17" s="100">
        <v>24.43</v>
      </c>
      <c r="M17" s="100">
        <v>46.2</v>
      </c>
      <c r="N17" s="100">
        <v>1</v>
      </c>
      <c r="O17" s="100">
        <v>0</v>
      </c>
      <c r="P17" s="100">
        <v>0.65</v>
      </c>
      <c r="Q17" s="100">
        <v>28.28</v>
      </c>
      <c r="R17" s="6"/>
      <c r="S17" s="6"/>
      <c r="T17" s="156"/>
      <c r="U17" s="6"/>
    </row>
    <row r="18" spans="1:21" customFormat="1">
      <c r="A18" s="163" t="s">
        <v>632</v>
      </c>
      <c r="B18" s="100">
        <v>10.72</v>
      </c>
      <c r="C18" s="100">
        <v>18.59</v>
      </c>
      <c r="D18" s="100">
        <v>19.66</v>
      </c>
      <c r="E18" s="100">
        <v>9.41</v>
      </c>
      <c r="F18" s="152" t="s">
        <v>15</v>
      </c>
      <c r="G18" s="100">
        <v>87.56</v>
      </c>
      <c r="H18" s="100">
        <v>27.42</v>
      </c>
      <c r="I18" s="100">
        <v>8.17</v>
      </c>
      <c r="J18" s="100">
        <v>0.81</v>
      </c>
      <c r="K18" s="100">
        <v>53.88</v>
      </c>
      <c r="L18" s="100">
        <v>24.15</v>
      </c>
      <c r="M18" s="100">
        <v>47.26</v>
      </c>
      <c r="N18" s="100">
        <v>1</v>
      </c>
      <c r="O18" s="100">
        <v>0</v>
      </c>
      <c r="P18" s="100">
        <v>0.65</v>
      </c>
      <c r="Q18" s="100">
        <v>28.29</v>
      </c>
      <c r="R18" s="6"/>
      <c r="S18" s="6"/>
      <c r="T18" s="156"/>
      <c r="U18" s="6"/>
    </row>
    <row r="19" spans="1:21" customFormat="1">
      <c r="A19" s="163" t="s">
        <v>633</v>
      </c>
      <c r="B19" s="100">
        <v>10.69</v>
      </c>
      <c r="C19" s="100">
        <v>18.600000000000001</v>
      </c>
      <c r="D19" s="100">
        <v>19.64</v>
      </c>
      <c r="E19" s="100">
        <v>8.89</v>
      </c>
      <c r="F19" s="152" t="s">
        <v>15</v>
      </c>
      <c r="G19" s="100">
        <v>87.56</v>
      </c>
      <c r="H19" s="100">
        <v>27.42</v>
      </c>
      <c r="I19" s="100">
        <v>8.19</v>
      </c>
      <c r="J19" s="100">
        <v>0.83</v>
      </c>
      <c r="K19" s="100">
        <v>53.54</v>
      </c>
      <c r="L19" s="100">
        <v>23.89</v>
      </c>
      <c r="M19" s="100">
        <v>48.39</v>
      </c>
      <c r="N19" s="100">
        <v>1.1000000000000001</v>
      </c>
      <c r="O19" s="100">
        <v>0</v>
      </c>
      <c r="P19" s="100">
        <v>0.64</v>
      </c>
      <c r="Q19" s="100">
        <v>28.29</v>
      </c>
      <c r="R19" s="6"/>
      <c r="S19" s="6"/>
      <c r="T19" s="156"/>
      <c r="U19" s="6"/>
    </row>
    <row r="20" spans="1:21" customFormat="1">
      <c r="A20" s="163" t="s">
        <v>634</v>
      </c>
      <c r="B20" s="100">
        <v>10.24</v>
      </c>
      <c r="C20" s="100">
        <v>18.809999999999999</v>
      </c>
      <c r="D20" s="100">
        <v>19.39</v>
      </c>
      <c r="E20" s="100">
        <v>8.75</v>
      </c>
      <c r="F20" s="152" t="s">
        <v>15</v>
      </c>
      <c r="G20" s="100">
        <v>87.56</v>
      </c>
      <c r="H20" s="100">
        <v>27.42</v>
      </c>
      <c r="I20" s="100">
        <v>8.1999999999999993</v>
      </c>
      <c r="J20" s="100">
        <v>1</v>
      </c>
      <c r="K20" s="100">
        <v>31.3</v>
      </c>
      <c r="L20" s="100">
        <v>23.68</v>
      </c>
      <c r="M20" s="100">
        <v>48.17</v>
      </c>
      <c r="N20" s="100">
        <v>0.8</v>
      </c>
      <c r="O20" s="100">
        <v>0</v>
      </c>
      <c r="P20" s="100">
        <v>0.64</v>
      </c>
      <c r="Q20" s="100">
        <v>28.28</v>
      </c>
      <c r="R20" s="6"/>
      <c r="S20" s="6"/>
      <c r="T20" s="156"/>
      <c r="U20" s="6"/>
    </row>
    <row r="21" spans="1:21" customFormat="1">
      <c r="A21" s="163" t="s">
        <v>635</v>
      </c>
      <c r="B21" s="100">
        <v>9.6999999999999993</v>
      </c>
      <c r="C21" s="100">
        <v>18.940000000000001</v>
      </c>
      <c r="D21" s="100">
        <v>19.03</v>
      </c>
      <c r="E21" s="100">
        <v>8.75</v>
      </c>
      <c r="F21" s="152" t="s">
        <v>15</v>
      </c>
      <c r="G21" s="100">
        <v>78.58</v>
      </c>
      <c r="H21" s="100">
        <v>26.55</v>
      </c>
      <c r="I21" s="100">
        <v>8.1199999999999992</v>
      </c>
      <c r="J21" s="100">
        <v>1.1599999999999999</v>
      </c>
      <c r="K21" s="100">
        <v>40.4</v>
      </c>
      <c r="L21" s="100">
        <v>23.62</v>
      </c>
      <c r="M21" s="100">
        <v>46.54</v>
      </c>
      <c r="N21" s="100">
        <v>0.9</v>
      </c>
      <c r="O21" s="100">
        <v>0</v>
      </c>
      <c r="P21" s="100">
        <v>0.62</v>
      </c>
      <c r="Q21" s="100">
        <v>28.26</v>
      </c>
      <c r="R21" s="6"/>
      <c r="S21" s="6"/>
      <c r="T21" s="156"/>
      <c r="U21" s="6"/>
    </row>
    <row r="22" spans="1:21" customFormat="1">
      <c r="A22" s="163" t="s">
        <v>636</v>
      </c>
      <c r="B22" s="100">
        <v>9.1300000000000008</v>
      </c>
      <c r="C22" s="100">
        <v>19.13</v>
      </c>
      <c r="D22" s="100">
        <v>18.670000000000002</v>
      </c>
      <c r="E22" s="100">
        <v>8.7200000000000006</v>
      </c>
      <c r="F22" s="152" t="s">
        <v>15</v>
      </c>
      <c r="G22" s="100">
        <v>77.7</v>
      </c>
      <c r="H22" s="100">
        <v>26.55</v>
      </c>
      <c r="I22" s="100">
        <v>8</v>
      </c>
      <c r="J22" s="100">
        <v>0.86</v>
      </c>
      <c r="K22" s="100">
        <v>31.53</v>
      </c>
      <c r="L22" s="100">
        <v>23.51</v>
      </c>
      <c r="M22" s="100">
        <v>45.98</v>
      </c>
      <c r="N22" s="100">
        <v>1</v>
      </c>
      <c r="O22" s="100">
        <v>0</v>
      </c>
      <c r="P22" s="100">
        <v>0.61</v>
      </c>
      <c r="Q22" s="100">
        <v>28.23</v>
      </c>
      <c r="R22" s="6"/>
      <c r="S22" s="6"/>
      <c r="T22" s="156"/>
      <c r="U22" s="6"/>
    </row>
    <row r="23" spans="1:21" customFormat="1">
      <c r="A23" s="163" t="s">
        <v>637</v>
      </c>
      <c r="B23" s="100">
        <v>8.69</v>
      </c>
      <c r="C23" s="100">
        <v>19.38</v>
      </c>
      <c r="D23" s="100">
        <v>18.45</v>
      </c>
      <c r="E23" s="100">
        <v>8.86</v>
      </c>
      <c r="F23" s="152" t="s">
        <v>15</v>
      </c>
      <c r="G23" s="100">
        <v>77.7</v>
      </c>
      <c r="H23" s="100">
        <v>26.55</v>
      </c>
      <c r="I23" s="100">
        <v>7.92</v>
      </c>
      <c r="J23" s="100">
        <v>0.77</v>
      </c>
      <c r="K23" s="100">
        <v>31.57</v>
      </c>
      <c r="L23" s="100">
        <v>23.33</v>
      </c>
      <c r="M23" s="100">
        <v>45.87</v>
      </c>
      <c r="N23" s="100">
        <v>1.1000000000000001</v>
      </c>
      <c r="O23" s="100">
        <v>0</v>
      </c>
      <c r="P23" s="100">
        <v>0.61</v>
      </c>
      <c r="Q23" s="100">
        <v>28.23</v>
      </c>
      <c r="R23" s="6"/>
      <c r="S23" s="6"/>
      <c r="T23" s="156"/>
      <c r="U23" s="6"/>
    </row>
    <row r="24" spans="1:21" customFormat="1">
      <c r="A24" s="163" t="s">
        <v>638</v>
      </c>
      <c r="B24" s="100">
        <v>8.48</v>
      </c>
      <c r="C24" s="100">
        <v>19.73</v>
      </c>
      <c r="D24" s="100">
        <v>18.46</v>
      </c>
      <c r="E24" s="100">
        <v>8.7899999999999991</v>
      </c>
      <c r="F24" s="152" t="s">
        <v>15</v>
      </c>
      <c r="G24" s="100">
        <v>77.7</v>
      </c>
      <c r="H24" s="100">
        <v>26.55</v>
      </c>
      <c r="I24" s="100">
        <v>7.84</v>
      </c>
      <c r="J24" s="100">
        <v>0.64</v>
      </c>
      <c r="K24" s="100">
        <v>25.95</v>
      </c>
      <c r="L24" s="100">
        <v>23.02</v>
      </c>
      <c r="M24" s="100">
        <v>46.55</v>
      </c>
      <c r="N24" s="100">
        <v>1.1000000000000001</v>
      </c>
      <c r="O24" s="100">
        <v>0</v>
      </c>
      <c r="P24" s="100">
        <v>0.61</v>
      </c>
      <c r="Q24" s="100">
        <v>28.22</v>
      </c>
      <c r="R24" s="6"/>
      <c r="S24" s="6"/>
      <c r="T24" s="156"/>
      <c r="U24" s="6"/>
    </row>
    <row r="25" spans="1:21" customFormat="1">
      <c r="A25" s="163" t="s">
        <v>639</v>
      </c>
      <c r="B25" s="100">
        <v>8.4600000000000009</v>
      </c>
      <c r="C25" s="100">
        <v>19.97</v>
      </c>
      <c r="D25" s="100">
        <v>18.57</v>
      </c>
      <c r="E25" s="100">
        <v>8.36</v>
      </c>
      <c r="F25" s="152" t="s">
        <v>15</v>
      </c>
      <c r="G25" s="100">
        <v>71.8</v>
      </c>
      <c r="H25" s="100">
        <v>23.42</v>
      </c>
      <c r="I25" s="100">
        <v>7.74</v>
      </c>
      <c r="J25" s="100">
        <v>0.45</v>
      </c>
      <c r="K25" s="100">
        <v>56.93</v>
      </c>
      <c r="L25" s="100">
        <v>22.81</v>
      </c>
      <c r="M25" s="100">
        <v>47.08</v>
      </c>
      <c r="N25" s="100">
        <v>1</v>
      </c>
      <c r="O25" s="100">
        <v>0</v>
      </c>
      <c r="P25" s="100">
        <v>0.61</v>
      </c>
      <c r="Q25" s="100">
        <v>28.22</v>
      </c>
      <c r="R25" s="6"/>
      <c r="S25" s="6"/>
      <c r="T25" s="156"/>
      <c r="U25" s="6"/>
    </row>
    <row r="26" spans="1:21" customFormat="1">
      <c r="A26" s="163" t="s">
        <v>640</v>
      </c>
      <c r="B26" s="100">
        <v>8.5299999999999994</v>
      </c>
      <c r="C26" s="100">
        <v>20.14</v>
      </c>
      <c r="D26" s="100">
        <v>18.72</v>
      </c>
      <c r="E26" s="100">
        <v>8.64</v>
      </c>
      <c r="F26" s="152" t="s">
        <v>15</v>
      </c>
      <c r="G26" s="100">
        <v>71.23</v>
      </c>
      <c r="H26" s="100">
        <v>23.42</v>
      </c>
      <c r="I26" s="100">
        <v>7.67</v>
      </c>
      <c r="J26" s="100">
        <v>0.6</v>
      </c>
      <c r="K26" s="100">
        <v>42.81</v>
      </c>
      <c r="L26" s="100">
        <v>22.7</v>
      </c>
      <c r="M26" s="100">
        <v>45.86</v>
      </c>
      <c r="N26" s="100">
        <v>0.7</v>
      </c>
      <c r="O26" s="100">
        <v>0</v>
      </c>
      <c r="P26" s="100">
        <v>0.61</v>
      </c>
      <c r="Q26" s="100">
        <v>28.22</v>
      </c>
      <c r="R26" s="6"/>
      <c r="S26" s="6"/>
      <c r="T26" s="156"/>
      <c r="U26" s="6"/>
    </row>
    <row r="27" spans="1:21" customFormat="1">
      <c r="A27" s="163" t="s">
        <v>641</v>
      </c>
      <c r="B27" s="100">
        <v>8.5</v>
      </c>
      <c r="C27" s="100">
        <v>20.190000000000001</v>
      </c>
      <c r="D27" s="100">
        <v>18.72</v>
      </c>
      <c r="E27" s="100">
        <v>8.15</v>
      </c>
      <c r="F27" s="152" t="s">
        <v>15</v>
      </c>
      <c r="G27" s="100">
        <v>71.23</v>
      </c>
      <c r="H27" s="100">
        <v>23.42</v>
      </c>
      <c r="I27" s="100">
        <v>7.62</v>
      </c>
      <c r="J27" s="100">
        <v>0.55000000000000004</v>
      </c>
      <c r="K27" s="100">
        <v>51.26</v>
      </c>
      <c r="L27" s="100">
        <v>22.6</v>
      </c>
      <c r="M27" s="100">
        <v>45.1</v>
      </c>
      <c r="N27" s="100">
        <v>0.9</v>
      </c>
      <c r="O27" s="100">
        <v>0</v>
      </c>
      <c r="P27" s="100">
        <v>0.61</v>
      </c>
      <c r="Q27" s="100">
        <v>28.22</v>
      </c>
      <c r="R27" s="6"/>
      <c r="S27" s="6"/>
      <c r="T27" s="156"/>
      <c r="U27" s="6"/>
    </row>
    <row r="28" spans="1:21" customFormat="1">
      <c r="A28" s="163" t="s">
        <v>642</v>
      </c>
      <c r="B28" s="100">
        <v>8.5299999999999994</v>
      </c>
      <c r="C28" s="100">
        <v>20.3</v>
      </c>
      <c r="D28" s="100">
        <v>18.8</v>
      </c>
      <c r="E28" s="100">
        <v>8.48</v>
      </c>
      <c r="F28" s="152" t="s">
        <v>15</v>
      </c>
      <c r="G28" s="100">
        <v>71.23</v>
      </c>
      <c r="H28" s="100">
        <v>23.42</v>
      </c>
      <c r="I28" s="100">
        <v>7.56</v>
      </c>
      <c r="J28" s="100">
        <v>0.53</v>
      </c>
      <c r="K28" s="100">
        <v>48.13</v>
      </c>
      <c r="L28" s="100">
        <v>22.52</v>
      </c>
      <c r="M28" s="100">
        <v>44.26</v>
      </c>
      <c r="N28" s="100">
        <v>0.7</v>
      </c>
      <c r="O28" s="100">
        <v>0</v>
      </c>
      <c r="P28" s="100">
        <v>0.61</v>
      </c>
      <c r="Q28" s="100">
        <v>28.23</v>
      </c>
      <c r="R28" s="6"/>
      <c r="S28" s="6"/>
      <c r="T28" s="156"/>
      <c r="U28" s="6"/>
    </row>
    <row r="29" spans="1:21" customFormat="1">
      <c r="A29" s="163" t="s">
        <v>643</v>
      </c>
      <c r="B29" s="100">
        <v>8.5500000000000007</v>
      </c>
      <c r="C29" s="100">
        <v>20.39</v>
      </c>
      <c r="D29" s="100">
        <v>18.86</v>
      </c>
      <c r="E29" s="100">
        <v>8.2100000000000009</v>
      </c>
      <c r="F29" s="152" t="s">
        <v>15</v>
      </c>
      <c r="G29" s="100">
        <v>75.709999999999994</v>
      </c>
      <c r="H29" s="100">
        <v>25.19</v>
      </c>
      <c r="I29" s="100">
        <v>7.51</v>
      </c>
      <c r="J29" s="100">
        <v>0.6</v>
      </c>
      <c r="K29" s="100">
        <v>41.39</v>
      </c>
      <c r="L29" s="100">
        <v>22.4</v>
      </c>
      <c r="M29" s="100">
        <v>44.05</v>
      </c>
      <c r="N29" s="100">
        <v>0.7</v>
      </c>
      <c r="O29" s="100">
        <v>0</v>
      </c>
      <c r="P29" s="100">
        <v>0.61</v>
      </c>
      <c r="Q29" s="100">
        <v>28.22</v>
      </c>
      <c r="R29" s="6"/>
      <c r="S29" s="6"/>
      <c r="T29" s="156"/>
      <c r="U29" s="6"/>
    </row>
    <row r="30" spans="1:21" customFormat="1">
      <c r="A30" s="163" t="s">
        <v>644</v>
      </c>
      <c r="B30" s="100">
        <v>8.68</v>
      </c>
      <c r="C30" s="100">
        <v>20.71</v>
      </c>
      <c r="D30" s="100">
        <v>19.13</v>
      </c>
      <c r="E30" s="100">
        <v>8.08</v>
      </c>
      <c r="F30" s="152" t="s">
        <v>15</v>
      </c>
      <c r="G30" s="100">
        <v>76.14</v>
      </c>
      <c r="H30" s="100">
        <v>25.19</v>
      </c>
      <c r="I30" s="100">
        <v>7.48</v>
      </c>
      <c r="J30" s="100">
        <v>0.51</v>
      </c>
      <c r="K30" s="100">
        <v>37.53</v>
      </c>
      <c r="L30" s="100">
        <v>22.2</v>
      </c>
      <c r="M30" s="100">
        <v>44.73</v>
      </c>
      <c r="N30" s="100">
        <v>0.9</v>
      </c>
      <c r="O30" s="100">
        <v>0</v>
      </c>
      <c r="P30" s="100">
        <v>0.61</v>
      </c>
      <c r="Q30" s="100">
        <v>28.21</v>
      </c>
      <c r="R30" s="6"/>
      <c r="S30" s="6"/>
      <c r="T30" s="156"/>
      <c r="U30" s="6"/>
    </row>
    <row r="31" spans="1:21" customFormat="1">
      <c r="A31" s="163" t="s">
        <v>645</v>
      </c>
      <c r="B31" s="100">
        <v>8.85</v>
      </c>
      <c r="C31" s="100">
        <v>20.92</v>
      </c>
      <c r="D31" s="100">
        <v>19.38</v>
      </c>
      <c r="E31" s="100">
        <v>7.87</v>
      </c>
      <c r="F31" s="152" t="s">
        <v>15</v>
      </c>
      <c r="G31" s="100">
        <v>76.14</v>
      </c>
      <c r="H31" s="100">
        <v>25.19</v>
      </c>
      <c r="I31" s="100">
        <v>7.44</v>
      </c>
      <c r="J31" s="100">
        <v>0.28999999999999998</v>
      </c>
      <c r="K31" s="100">
        <v>24.34</v>
      </c>
      <c r="L31" s="100">
        <v>21.88</v>
      </c>
      <c r="M31" s="100">
        <v>46.46</v>
      </c>
      <c r="N31" s="100">
        <v>1</v>
      </c>
      <c r="O31" s="100">
        <v>0</v>
      </c>
      <c r="P31" s="100">
        <v>0.62</v>
      </c>
      <c r="Q31" s="100">
        <v>28.22</v>
      </c>
      <c r="R31" s="6"/>
      <c r="S31" s="6"/>
      <c r="T31" s="156"/>
      <c r="U31" s="6"/>
    </row>
    <row r="32" spans="1:21" customFormat="1">
      <c r="A32" s="163" t="s">
        <v>646</v>
      </c>
      <c r="B32" s="100">
        <v>9.26</v>
      </c>
      <c r="C32" s="100">
        <v>21.13</v>
      </c>
      <c r="D32" s="100">
        <v>19.809999999999999</v>
      </c>
      <c r="E32" s="100">
        <v>8.18</v>
      </c>
      <c r="F32" s="152" t="s">
        <v>15</v>
      </c>
      <c r="G32" s="100">
        <v>76.14</v>
      </c>
      <c r="H32" s="100">
        <v>25.19</v>
      </c>
      <c r="I32" s="100">
        <v>7.39</v>
      </c>
      <c r="J32" s="100">
        <v>0.45</v>
      </c>
      <c r="K32" s="100">
        <v>54.08</v>
      </c>
      <c r="L32" s="100">
        <v>21.89</v>
      </c>
      <c r="M32" s="100">
        <v>47.33</v>
      </c>
      <c r="N32" s="100">
        <v>0.6</v>
      </c>
      <c r="O32" s="100">
        <v>0</v>
      </c>
      <c r="P32" s="100">
        <v>0.63</v>
      </c>
      <c r="Q32" s="100">
        <v>28.22</v>
      </c>
      <c r="R32" s="6"/>
      <c r="S32" s="6"/>
      <c r="T32" s="156"/>
      <c r="U32" s="6"/>
    </row>
    <row r="33" spans="1:21" customFormat="1">
      <c r="A33" s="163" t="s">
        <v>647</v>
      </c>
      <c r="B33" s="100">
        <v>9.86</v>
      </c>
      <c r="C33" s="100">
        <v>21.4</v>
      </c>
      <c r="D33" s="100">
        <v>20.440000000000001</v>
      </c>
      <c r="E33" s="100">
        <v>8.7799999999999994</v>
      </c>
      <c r="F33" s="152" t="s">
        <v>15</v>
      </c>
      <c r="G33" s="100">
        <v>78.430000000000007</v>
      </c>
      <c r="H33" s="100">
        <v>24.84</v>
      </c>
      <c r="I33" s="100">
        <v>7.37</v>
      </c>
      <c r="J33" s="100">
        <v>0.38</v>
      </c>
      <c r="K33" s="100">
        <v>44.63</v>
      </c>
      <c r="L33" s="100">
        <v>21.86</v>
      </c>
      <c r="M33" s="100">
        <v>47.37</v>
      </c>
      <c r="N33" s="100">
        <v>1.2</v>
      </c>
      <c r="O33" s="100">
        <v>0</v>
      </c>
      <c r="P33" s="100">
        <v>0.7</v>
      </c>
      <c r="Q33" s="100">
        <v>28.27</v>
      </c>
      <c r="R33" s="6"/>
      <c r="S33" s="6"/>
      <c r="T33" s="156"/>
      <c r="U33" s="6"/>
    </row>
    <row r="34" spans="1:21" customFormat="1">
      <c r="A34" s="163" t="s">
        <v>648</v>
      </c>
      <c r="B34" s="100">
        <v>10.76</v>
      </c>
      <c r="C34" s="100">
        <v>21.64</v>
      </c>
      <c r="D34" s="100">
        <v>21.29</v>
      </c>
      <c r="E34" s="100">
        <v>8.98</v>
      </c>
      <c r="F34" s="152" t="s">
        <v>15</v>
      </c>
      <c r="G34" s="100">
        <v>78.650000000000006</v>
      </c>
      <c r="H34" s="100">
        <v>24.84</v>
      </c>
      <c r="I34" s="100">
        <v>7.45</v>
      </c>
      <c r="J34" s="100">
        <v>0.2</v>
      </c>
      <c r="K34" s="100">
        <v>27.88</v>
      </c>
      <c r="L34" s="100">
        <v>21.77</v>
      </c>
      <c r="M34" s="100">
        <v>47.8</v>
      </c>
      <c r="N34" s="100">
        <v>4.0999999999999996</v>
      </c>
      <c r="O34" s="100">
        <v>0</v>
      </c>
      <c r="P34" s="100">
        <v>0.94</v>
      </c>
      <c r="Q34" s="100">
        <v>28.31</v>
      </c>
      <c r="R34" s="6"/>
      <c r="S34" s="6"/>
      <c r="T34" s="156"/>
      <c r="U34" s="6"/>
    </row>
    <row r="35" spans="1:21" customFormat="1">
      <c r="A35" s="163" t="s">
        <v>649</v>
      </c>
      <c r="B35" s="100">
        <v>11.75</v>
      </c>
      <c r="C35" s="100">
        <v>22.1</v>
      </c>
      <c r="D35" s="100">
        <v>22.32</v>
      </c>
      <c r="E35" s="100">
        <v>9.1</v>
      </c>
      <c r="F35" s="152" t="s">
        <v>15</v>
      </c>
      <c r="G35" s="100">
        <v>78.650000000000006</v>
      </c>
      <c r="H35" s="100">
        <v>24.84</v>
      </c>
      <c r="I35" s="100">
        <v>7.65</v>
      </c>
      <c r="J35" s="100">
        <v>0.27</v>
      </c>
      <c r="K35" s="100">
        <v>26.11</v>
      </c>
      <c r="L35" s="100">
        <v>21.57</v>
      </c>
      <c r="M35" s="100">
        <v>49.91</v>
      </c>
      <c r="N35" s="100">
        <v>10.4</v>
      </c>
      <c r="O35" s="100">
        <v>0</v>
      </c>
      <c r="P35" s="100">
        <v>1.1000000000000001</v>
      </c>
      <c r="Q35" s="100">
        <v>28.36</v>
      </c>
      <c r="R35" s="6"/>
      <c r="S35" s="6"/>
      <c r="T35" s="156"/>
      <c r="U35" s="6"/>
    </row>
    <row r="36" spans="1:21" customFormat="1">
      <c r="A36" s="163" t="s">
        <v>650</v>
      </c>
      <c r="B36" s="100">
        <v>12.8</v>
      </c>
      <c r="C36" s="100">
        <v>22.27</v>
      </c>
      <c r="D36" s="100">
        <v>23.25</v>
      </c>
      <c r="E36" s="100">
        <v>9.43</v>
      </c>
      <c r="F36" s="152" t="s">
        <v>15</v>
      </c>
      <c r="G36" s="100">
        <v>78.650000000000006</v>
      </c>
      <c r="H36" s="100">
        <v>24.84</v>
      </c>
      <c r="I36" s="100">
        <v>7.97</v>
      </c>
      <c r="J36" s="100">
        <v>0.26</v>
      </c>
      <c r="K36" s="100">
        <v>32.39</v>
      </c>
      <c r="L36" s="100">
        <v>21.63</v>
      </c>
      <c r="M36" s="100">
        <v>50.31</v>
      </c>
      <c r="N36" s="100">
        <v>17.399999999999999</v>
      </c>
      <c r="O36" s="100">
        <v>0</v>
      </c>
      <c r="P36" s="100">
        <v>1.1200000000000001</v>
      </c>
      <c r="Q36" s="100">
        <v>28.4</v>
      </c>
      <c r="R36" s="6"/>
      <c r="S36" s="6"/>
      <c r="T36" s="156"/>
      <c r="U36" s="6"/>
    </row>
    <row r="37" spans="1:21" customFormat="1">
      <c r="A37" s="163" t="s">
        <v>651</v>
      </c>
      <c r="B37" s="100">
        <v>13.61</v>
      </c>
      <c r="C37" s="100">
        <v>22.27</v>
      </c>
      <c r="D37" s="100">
        <v>23.9</v>
      </c>
      <c r="E37" s="100">
        <v>8.91</v>
      </c>
      <c r="F37" s="152" t="s">
        <v>15</v>
      </c>
      <c r="G37" s="100">
        <v>94.46</v>
      </c>
      <c r="H37" s="100">
        <v>29.89</v>
      </c>
      <c r="I37" s="100">
        <v>8.33</v>
      </c>
      <c r="J37" s="100">
        <v>0.54</v>
      </c>
      <c r="K37" s="100">
        <v>31.12</v>
      </c>
      <c r="L37" s="100">
        <v>21.98</v>
      </c>
      <c r="M37" s="100">
        <v>49.02</v>
      </c>
      <c r="N37" s="100">
        <v>23.9</v>
      </c>
      <c r="O37" s="100">
        <v>0</v>
      </c>
      <c r="P37" s="100">
        <v>1.1100000000000001</v>
      </c>
      <c r="Q37" s="100">
        <v>28.43</v>
      </c>
      <c r="R37" s="6"/>
      <c r="S37" s="6"/>
      <c r="T37" s="156"/>
      <c r="U37" s="6"/>
    </row>
    <row r="38" spans="1:21" customFormat="1">
      <c r="A38" s="163" t="s">
        <v>652</v>
      </c>
      <c r="B38" s="100">
        <v>14.25</v>
      </c>
      <c r="C38" s="100">
        <v>22.47</v>
      </c>
      <c r="D38" s="100">
        <v>24.52</v>
      </c>
      <c r="E38" s="100">
        <v>9.01</v>
      </c>
      <c r="F38" s="152" t="s">
        <v>15</v>
      </c>
      <c r="G38" s="100">
        <v>96</v>
      </c>
      <c r="H38" s="100">
        <v>29.89</v>
      </c>
      <c r="I38" s="100">
        <v>8.58</v>
      </c>
      <c r="J38" s="100">
        <v>0.45</v>
      </c>
      <c r="K38" s="100">
        <v>36.01</v>
      </c>
      <c r="L38" s="100">
        <v>22.33</v>
      </c>
      <c r="M38" s="100">
        <v>47.91</v>
      </c>
      <c r="N38" s="100">
        <v>30.3</v>
      </c>
      <c r="O38" s="100">
        <v>0</v>
      </c>
      <c r="P38" s="100">
        <v>1.1000000000000001</v>
      </c>
      <c r="Q38" s="100">
        <v>28.48</v>
      </c>
      <c r="R38" s="6"/>
      <c r="S38" s="6"/>
      <c r="T38" s="156"/>
      <c r="U38" s="6"/>
    </row>
    <row r="39" spans="1:21" customFormat="1">
      <c r="A39" s="163" t="s">
        <v>653</v>
      </c>
      <c r="B39" s="100">
        <v>14.67</v>
      </c>
      <c r="C39" s="100">
        <v>22.5</v>
      </c>
      <c r="D39" s="100">
        <v>24.87</v>
      </c>
      <c r="E39" s="100">
        <v>9.15</v>
      </c>
      <c r="F39" s="152" t="s">
        <v>15</v>
      </c>
      <c r="G39" s="100">
        <v>96</v>
      </c>
      <c r="H39" s="100">
        <v>29.89</v>
      </c>
      <c r="I39" s="100">
        <v>8.7899999999999991</v>
      </c>
      <c r="J39" s="100">
        <v>0.92</v>
      </c>
      <c r="K39" s="100">
        <v>37.69</v>
      </c>
      <c r="L39" s="100">
        <v>22.82</v>
      </c>
      <c r="M39" s="100">
        <v>44.7</v>
      </c>
      <c r="N39" s="100">
        <v>38.299999999999997</v>
      </c>
      <c r="O39" s="100">
        <v>0</v>
      </c>
      <c r="P39" s="100">
        <v>1.1100000000000001</v>
      </c>
      <c r="Q39" s="100">
        <v>28.49</v>
      </c>
      <c r="R39" s="6"/>
      <c r="S39" s="6"/>
      <c r="T39" s="156"/>
      <c r="U39" s="6"/>
    </row>
    <row r="40" spans="1:21" customFormat="1">
      <c r="A40" s="163" t="s">
        <v>654</v>
      </c>
      <c r="B40" s="100">
        <v>15.16</v>
      </c>
      <c r="C40" s="100">
        <v>22.33</v>
      </c>
      <c r="D40" s="100">
        <v>25.18</v>
      </c>
      <c r="E40" s="100">
        <v>9.73</v>
      </c>
      <c r="F40" s="152" t="s">
        <v>15</v>
      </c>
      <c r="G40" s="100">
        <v>96</v>
      </c>
      <c r="H40" s="100">
        <v>29.89</v>
      </c>
      <c r="I40" s="100">
        <v>9.08</v>
      </c>
      <c r="J40" s="100">
        <v>0.94</v>
      </c>
      <c r="K40" s="100">
        <v>34.880000000000003</v>
      </c>
      <c r="L40" s="100">
        <v>23.47</v>
      </c>
      <c r="M40" s="100">
        <v>40.31</v>
      </c>
      <c r="N40" s="100">
        <v>60.1</v>
      </c>
      <c r="O40" s="100">
        <v>0</v>
      </c>
      <c r="P40" s="100">
        <v>1.1000000000000001</v>
      </c>
      <c r="Q40" s="100">
        <v>28.5</v>
      </c>
      <c r="R40" s="6"/>
      <c r="S40" s="6"/>
      <c r="T40" s="156"/>
      <c r="U40" s="6"/>
    </row>
    <row r="41" spans="1:21" customFormat="1">
      <c r="A41" s="163" t="s">
        <v>655</v>
      </c>
      <c r="B41" s="100">
        <v>15.5</v>
      </c>
      <c r="C41" s="100">
        <v>22.39</v>
      </c>
      <c r="D41" s="100">
        <v>25.48</v>
      </c>
      <c r="E41" s="100">
        <v>10.19</v>
      </c>
      <c r="F41" s="152" t="s">
        <v>15</v>
      </c>
      <c r="G41" s="100">
        <v>110.76</v>
      </c>
      <c r="H41" s="100">
        <v>28.87</v>
      </c>
      <c r="I41" s="100">
        <v>9.27</v>
      </c>
      <c r="J41" s="100">
        <v>0.98</v>
      </c>
      <c r="K41" s="100">
        <v>17.420000000000002</v>
      </c>
      <c r="L41" s="100">
        <v>24.09</v>
      </c>
      <c r="M41" s="100">
        <v>36.909999999999997</v>
      </c>
      <c r="N41" s="100">
        <v>107.5</v>
      </c>
      <c r="O41" s="100">
        <v>0</v>
      </c>
      <c r="P41" s="100">
        <v>1.08</v>
      </c>
      <c r="Q41" s="100">
        <v>28.54</v>
      </c>
      <c r="R41" s="6"/>
      <c r="S41" s="6"/>
      <c r="T41" s="156"/>
      <c r="U41" s="6"/>
    </row>
    <row r="42" spans="1:21" customFormat="1">
      <c r="A42" s="163" t="s">
        <v>656</v>
      </c>
      <c r="B42" s="100">
        <v>15.56</v>
      </c>
      <c r="C42" s="100">
        <v>22.05</v>
      </c>
      <c r="D42" s="100">
        <v>25.36</v>
      </c>
      <c r="E42" s="100">
        <v>10.52</v>
      </c>
      <c r="F42" s="152" t="s">
        <v>15</v>
      </c>
      <c r="G42" s="100">
        <v>112.2</v>
      </c>
      <c r="H42" s="100">
        <v>28.87</v>
      </c>
      <c r="I42" s="100">
        <v>9.17</v>
      </c>
      <c r="J42" s="100">
        <v>0.76</v>
      </c>
      <c r="K42" s="100">
        <v>349.68</v>
      </c>
      <c r="L42" s="100">
        <v>24.78</v>
      </c>
      <c r="M42" s="100">
        <v>33.32</v>
      </c>
      <c r="N42" s="100">
        <v>197.2</v>
      </c>
      <c r="O42" s="100">
        <v>0</v>
      </c>
      <c r="P42" s="100">
        <v>1.05</v>
      </c>
      <c r="Q42" s="100">
        <v>28.54</v>
      </c>
      <c r="R42" s="6"/>
      <c r="S42" s="6"/>
      <c r="T42" s="156"/>
      <c r="U42" s="6"/>
    </row>
    <row r="43" spans="1:21" customFormat="1">
      <c r="A43" s="163" t="s">
        <v>657</v>
      </c>
      <c r="B43" s="100">
        <v>15.62</v>
      </c>
      <c r="C43" s="100">
        <v>21.66</v>
      </c>
      <c r="D43" s="100">
        <v>25.2</v>
      </c>
      <c r="E43" s="100">
        <v>9.92</v>
      </c>
      <c r="F43" s="152" t="s">
        <v>15</v>
      </c>
      <c r="G43" s="100">
        <v>112.2</v>
      </c>
      <c r="H43" s="100">
        <v>28.87</v>
      </c>
      <c r="I43" s="100">
        <v>9.08</v>
      </c>
      <c r="J43" s="100">
        <v>1.07</v>
      </c>
      <c r="K43" s="100">
        <v>39.54</v>
      </c>
      <c r="L43" s="100">
        <v>25.57</v>
      </c>
      <c r="M43" s="100">
        <v>30.88</v>
      </c>
      <c r="N43" s="100">
        <v>241.2</v>
      </c>
      <c r="O43" s="100">
        <v>0</v>
      </c>
      <c r="P43" s="100">
        <v>1.03</v>
      </c>
      <c r="Q43" s="100">
        <v>28.53</v>
      </c>
      <c r="R43" s="6"/>
      <c r="S43" s="6"/>
      <c r="T43" s="156"/>
      <c r="U43" s="6"/>
    </row>
    <row r="44" spans="1:21" customFormat="1">
      <c r="A44" s="163" t="s">
        <v>658</v>
      </c>
      <c r="B44" s="100">
        <v>15.65</v>
      </c>
      <c r="C44" s="100">
        <v>21.52</v>
      </c>
      <c r="D44" s="100">
        <v>25.14</v>
      </c>
      <c r="E44" s="100">
        <v>10.16</v>
      </c>
      <c r="F44" s="152" t="s">
        <v>15</v>
      </c>
      <c r="G44" s="100">
        <v>112.2</v>
      </c>
      <c r="H44" s="100">
        <v>28.87</v>
      </c>
      <c r="I44" s="100">
        <v>8.9600000000000009</v>
      </c>
      <c r="J44" s="100">
        <v>0.81</v>
      </c>
      <c r="K44" s="100">
        <v>354.05</v>
      </c>
      <c r="L44" s="100">
        <v>25.96</v>
      </c>
      <c r="M44" s="100">
        <v>28.17</v>
      </c>
      <c r="N44" s="100">
        <v>253.4</v>
      </c>
      <c r="O44" s="100">
        <v>0</v>
      </c>
      <c r="P44" s="100">
        <v>1</v>
      </c>
      <c r="Q44" s="100">
        <v>28.53</v>
      </c>
      <c r="R44" s="6"/>
      <c r="S44" s="6"/>
      <c r="T44" s="156"/>
      <c r="U44" s="6"/>
    </row>
    <row r="45" spans="1:21" customFormat="1">
      <c r="A45" s="163" t="s">
        <v>659</v>
      </c>
      <c r="B45" s="100">
        <v>15.28</v>
      </c>
      <c r="C45" s="100">
        <v>21.5</v>
      </c>
      <c r="D45" s="100">
        <v>24.84</v>
      </c>
      <c r="E45" s="100">
        <v>10.94</v>
      </c>
      <c r="F45" s="152" t="s">
        <v>15</v>
      </c>
      <c r="G45" s="100">
        <v>112.75</v>
      </c>
      <c r="H45" s="100">
        <v>31.69</v>
      </c>
      <c r="I45" s="100">
        <v>8.92</v>
      </c>
      <c r="J45" s="100">
        <v>0.87</v>
      </c>
      <c r="K45" s="100">
        <v>355.3</v>
      </c>
      <c r="L45" s="100">
        <v>26.48</v>
      </c>
      <c r="M45" s="100">
        <v>24.84</v>
      </c>
      <c r="N45" s="100">
        <v>209.4</v>
      </c>
      <c r="O45" s="100">
        <v>0</v>
      </c>
      <c r="P45" s="100">
        <v>0.97</v>
      </c>
      <c r="Q45" s="100">
        <v>28.51</v>
      </c>
      <c r="R45" s="6"/>
      <c r="S45" s="6"/>
      <c r="T45" s="156"/>
      <c r="U45" s="6"/>
    </row>
    <row r="46" spans="1:21" customFormat="1">
      <c r="A46" s="163" t="s">
        <v>660</v>
      </c>
      <c r="B46" s="100">
        <v>14.78</v>
      </c>
      <c r="C46" s="100">
        <v>21.44</v>
      </c>
      <c r="D46" s="100">
        <v>24.41</v>
      </c>
      <c r="E46" s="100">
        <v>9.8000000000000007</v>
      </c>
      <c r="F46" s="152" t="s">
        <v>15</v>
      </c>
      <c r="G46" s="100">
        <v>112.81</v>
      </c>
      <c r="H46" s="100">
        <v>31.69</v>
      </c>
      <c r="I46" s="100">
        <v>8.84</v>
      </c>
      <c r="J46" s="100">
        <v>1.06</v>
      </c>
      <c r="K46" s="100">
        <v>9.92</v>
      </c>
      <c r="L46" s="100">
        <v>26.78</v>
      </c>
      <c r="M46" s="100">
        <v>22.93</v>
      </c>
      <c r="N46" s="100">
        <v>295.2</v>
      </c>
      <c r="O46" s="100">
        <v>0</v>
      </c>
      <c r="P46" s="100">
        <v>0.94</v>
      </c>
      <c r="Q46" s="100">
        <v>28.5</v>
      </c>
      <c r="R46" s="6"/>
      <c r="S46" s="6"/>
      <c r="T46" s="156"/>
      <c r="U46" s="6"/>
    </row>
    <row r="47" spans="1:21" customFormat="1">
      <c r="A47" s="163" t="s">
        <v>661</v>
      </c>
      <c r="B47" s="100">
        <v>14.34</v>
      </c>
      <c r="C47" s="100">
        <v>21.31</v>
      </c>
      <c r="D47" s="100">
        <v>23.98</v>
      </c>
      <c r="E47" s="100">
        <v>9.5</v>
      </c>
      <c r="F47" s="152" t="s">
        <v>15</v>
      </c>
      <c r="G47" s="100">
        <v>112.81</v>
      </c>
      <c r="H47" s="100">
        <v>31.69</v>
      </c>
      <c r="I47" s="100">
        <v>8.57</v>
      </c>
      <c r="J47" s="100">
        <v>1.18</v>
      </c>
      <c r="K47" s="100">
        <v>353.57</v>
      </c>
      <c r="L47" s="100">
        <v>26.89</v>
      </c>
      <c r="M47" s="100">
        <v>21.76</v>
      </c>
      <c r="N47" s="100">
        <v>310.7</v>
      </c>
      <c r="O47" s="100">
        <v>0</v>
      </c>
      <c r="P47" s="100">
        <v>0.93</v>
      </c>
      <c r="Q47" s="100">
        <v>28.46</v>
      </c>
      <c r="R47" s="6"/>
      <c r="S47" s="6"/>
      <c r="T47" s="156"/>
      <c r="U47" s="6"/>
    </row>
    <row r="48" spans="1:21" customFormat="1">
      <c r="A48" s="163" t="s">
        <v>662</v>
      </c>
      <c r="B48" s="100">
        <v>13.58</v>
      </c>
      <c r="C48" s="100">
        <v>21.19</v>
      </c>
      <c r="D48" s="100">
        <v>23.31</v>
      </c>
      <c r="E48" s="100">
        <v>10.039999999999999</v>
      </c>
      <c r="F48" s="152" t="s">
        <v>15</v>
      </c>
      <c r="G48" s="100">
        <v>112.81</v>
      </c>
      <c r="H48" s="100">
        <v>31.69</v>
      </c>
      <c r="I48" s="100">
        <v>8.44</v>
      </c>
      <c r="J48" s="100">
        <v>1.49</v>
      </c>
      <c r="K48" s="100">
        <v>35.44</v>
      </c>
      <c r="L48" s="100">
        <v>27.08</v>
      </c>
      <c r="M48" s="100">
        <v>21.23</v>
      </c>
      <c r="N48" s="100">
        <v>320.8</v>
      </c>
      <c r="O48" s="100">
        <v>0</v>
      </c>
      <c r="P48" s="100">
        <v>0.9</v>
      </c>
      <c r="Q48" s="100">
        <v>28.46</v>
      </c>
      <c r="R48" s="6"/>
      <c r="S48" s="6"/>
      <c r="T48" s="156"/>
      <c r="U48" s="6"/>
    </row>
    <row r="49" spans="1:21" customFormat="1">
      <c r="A49" s="163" t="s">
        <v>663</v>
      </c>
      <c r="B49" s="100">
        <v>12.71</v>
      </c>
      <c r="C49" s="100">
        <v>21.49</v>
      </c>
      <c r="D49" s="100">
        <v>22.77</v>
      </c>
      <c r="E49" s="100">
        <v>8.7100000000000009</v>
      </c>
      <c r="F49" s="152" t="s">
        <v>15</v>
      </c>
      <c r="G49" s="100">
        <v>108.37</v>
      </c>
      <c r="H49" s="100">
        <v>28.88</v>
      </c>
      <c r="I49" s="100">
        <v>8.27</v>
      </c>
      <c r="J49" s="100">
        <v>1.58</v>
      </c>
      <c r="K49" s="100">
        <v>34</v>
      </c>
      <c r="L49" s="100">
        <v>27.35</v>
      </c>
      <c r="M49" s="100">
        <v>20.440000000000001</v>
      </c>
      <c r="N49" s="100">
        <v>275.39999999999998</v>
      </c>
      <c r="O49" s="100">
        <v>0</v>
      </c>
      <c r="P49" s="100">
        <v>0.87</v>
      </c>
      <c r="Q49" s="100">
        <v>28.4</v>
      </c>
      <c r="R49" s="6"/>
      <c r="S49" s="6"/>
      <c r="T49" s="156"/>
      <c r="U49" s="6"/>
    </row>
    <row r="50" spans="1:21" customFormat="1">
      <c r="A50" s="163" t="s">
        <v>664</v>
      </c>
      <c r="B50" s="100">
        <v>12.02</v>
      </c>
      <c r="C50" s="100">
        <v>21.28</v>
      </c>
      <c r="D50" s="100">
        <v>22.11</v>
      </c>
      <c r="E50" s="100">
        <v>10.050000000000001</v>
      </c>
      <c r="F50" s="152" t="s">
        <v>15</v>
      </c>
      <c r="G50" s="100">
        <v>107.94</v>
      </c>
      <c r="H50" s="100">
        <v>28.88</v>
      </c>
      <c r="I50" s="100">
        <v>8.1</v>
      </c>
      <c r="J50" s="100">
        <v>1.61</v>
      </c>
      <c r="K50" s="100">
        <v>307.57</v>
      </c>
      <c r="L50" s="100">
        <v>27.45</v>
      </c>
      <c r="M50" s="100">
        <v>18.920000000000002</v>
      </c>
      <c r="N50" s="100">
        <v>269.10000000000002</v>
      </c>
      <c r="O50" s="100">
        <v>0</v>
      </c>
      <c r="P50" s="100">
        <v>0.86</v>
      </c>
      <c r="Q50" s="100">
        <v>28.37</v>
      </c>
      <c r="R50" s="6"/>
      <c r="S50" s="6"/>
      <c r="T50" s="156"/>
      <c r="U50" s="6"/>
    </row>
    <row r="51" spans="1:21" customFormat="1">
      <c r="A51" s="163" t="s">
        <v>665</v>
      </c>
      <c r="B51" s="100">
        <v>11.12</v>
      </c>
      <c r="C51" s="100">
        <v>21.18</v>
      </c>
      <c r="D51" s="100">
        <v>21.33</v>
      </c>
      <c r="E51" s="100">
        <v>9.34</v>
      </c>
      <c r="F51" s="152" t="s">
        <v>15</v>
      </c>
      <c r="G51" s="100">
        <v>107.94</v>
      </c>
      <c r="H51" s="100">
        <v>28.88</v>
      </c>
      <c r="I51" s="100">
        <v>8.0399999999999991</v>
      </c>
      <c r="J51" s="100">
        <v>1.18</v>
      </c>
      <c r="K51" s="100">
        <v>319.41000000000003</v>
      </c>
      <c r="L51" s="100">
        <v>27.64</v>
      </c>
      <c r="M51" s="100">
        <v>18.02</v>
      </c>
      <c r="N51" s="100">
        <v>361.3</v>
      </c>
      <c r="O51" s="100">
        <v>0</v>
      </c>
      <c r="P51" s="100">
        <v>0.83</v>
      </c>
      <c r="Q51" s="100">
        <v>28.31</v>
      </c>
      <c r="R51" s="6"/>
      <c r="S51" s="6"/>
      <c r="T51" s="156"/>
      <c r="U51" s="6"/>
    </row>
    <row r="52" spans="1:21" customFormat="1">
      <c r="A52" s="163" t="s">
        <v>666</v>
      </c>
      <c r="B52" s="100">
        <v>10.24</v>
      </c>
      <c r="C52" s="100">
        <v>21.12</v>
      </c>
      <c r="D52" s="100">
        <v>20.6</v>
      </c>
      <c r="E52" s="100">
        <v>9.48</v>
      </c>
      <c r="F52" s="152" t="s">
        <v>15</v>
      </c>
      <c r="G52" s="100">
        <v>107.94</v>
      </c>
      <c r="H52" s="100">
        <v>28.88</v>
      </c>
      <c r="I52" s="100">
        <v>8.09</v>
      </c>
      <c r="J52" s="100">
        <v>1.02</v>
      </c>
      <c r="K52" s="100">
        <v>346.33</v>
      </c>
      <c r="L52" s="100">
        <v>27.98</v>
      </c>
      <c r="M52" s="100">
        <v>17.670000000000002</v>
      </c>
      <c r="N52" s="100">
        <v>369</v>
      </c>
      <c r="O52" s="100">
        <v>0</v>
      </c>
      <c r="P52" s="100">
        <v>0.8</v>
      </c>
      <c r="Q52" s="100">
        <v>28.26</v>
      </c>
      <c r="R52" s="6"/>
      <c r="S52" s="6"/>
      <c r="T52" s="156"/>
      <c r="U52" s="6"/>
    </row>
    <row r="53" spans="1:21" customFormat="1">
      <c r="A53" s="163" t="s">
        <v>667</v>
      </c>
      <c r="B53" s="100">
        <v>9.42</v>
      </c>
      <c r="C53" s="100">
        <v>20.84</v>
      </c>
      <c r="D53" s="100">
        <v>19.79</v>
      </c>
      <c r="E53" s="100">
        <v>9.11</v>
      </c>
      <c r="F53" s="152" t="s">
        <v>15</v>
      </c>
      <c r="G53" s="100">
        <v>103.09</v>
      </c>
      <c r="H53" s="100">
        <v>27.21</v>
      </c>
      <c r="I53" s="100">
        <v>7.92</v>
      </c>
      <c r="J53" s="100">
        <v>1.03</v>
      </c>
      <c r="K53" s="100">
        <v>318.20999999999998</v>
      </c>
      <c r="L53" s="100">
        <v>28.53</v>
      </c>
      <c r="M53" s="100">
        <v>17.899999999999999</v>
      </c>
      <c r="N53" s="100">
        <v>369.2</v>
      </c>
      <c r="O53" s="100">
        <v>0</v>
      </c>
      <c r="P53" s="100">
        <v>0.77</v>
      </c>
      <c r="Q53" s="100">
        <v>28.24</v>
      </c>
      <c r="R53" s="6"/>
      <c r="S53" s="6"/>
      <c r="T53" s="156"/>
      <c r="U53" s="6"/>
    </row>
    <row r="54" spans="1:21" customFormat="1">
      <c r="A54" s="163" t="s">
        <v>668</v>
      </c>
      <c r="B54" s="100">
        <v>8.74</v>
      </c>
      <c r="C54" s="100">
        <v>20.61</v>
      </c>
      <c r="D54" s="100">
        <v>19.13</v>
      </c>
      <c r="E54" s="100">
        <v>8.68</v>
      </c>
      <c r="F54" s="152" t="s">
        <v>15</v>
      </c>
      <c r="G54" s="100">
        <v>102.62</v>
      </c>
      <c r="H54" s="100">
        <v>27.21</v>
      </c>
      <c r="I54" s="100">
        <v>7.65</v>
      </c>
      <c r="J54" s="100">
        <v>1.2</v>
      </c>
      <c r="K54" s="100">
        <v>324.63</v>
      </c>
      <c r="L54" s="100">
        <v>28.56</v>
      </c>
      <c r="M54" s="100">
        <v>17.899999999999999</v>
      </c>
      <c r="N54" s="100">
        <v>346.6</v>
      </c>
      <c r="O54" s="100">
        <v>0</v>
      </c>
      <c r="P54" s="100">
        <v>0.75</v>
      </c>
      <c r="Q54" s="100">
        <v>28.22</v>
      </c>
      <c r="R54" s="6"/>
      <c r="S54" s="6"/>
      <c r="T54" s="156"/>
      <c r="U54" s="6"/>
    </row>
    <row r="55" spans="1:21" customFormat="1">
      <c r="A55" s="163" t="s">
        <v>669</v>
      </c>
      <c r="B55" s="100">
        <v>9.69</v>
      </c>
      <c r="C55" s="100">
        <v>18.64</v>
      </c>
      <c r="D55" s="100">
        <v>18.87</v>
      </c>
      <c r="E55" s="100">
        <v>8.57</v>
      </c>
      <c r="F55" s="152" t="s">
        <v>15</v>
      </c>
      <c r="G55" s="100">
        <v>102.62</v>
      </c>
      <c r="H55" s="100">
        <v>27.21</v>
      </c>
      <c r="I55" s="100">
        <v>7.33</v>
      </c>
      <c r="J55" s="100">
        <v>0.96</v>
      </c>
      <c r="K55" s="100">
        <v>6.95</v>
      </c>
      <c r="L55" s="100">
        <v>28.57</v>
      </c>
      <c r="M55" s="100">
        <v>17.989999999999998</v>
      </c>
      <c r="N55" s="100">
        <v>355.7</v>
      </c>
      <c r="O55" s="100">
        <v>0</v>
      </c>
      <c r="P55" s="100">
        <v>0.73</v>
      </c>
      <c r="Q55" s="100">
        <v>28.19</v>
      </c>
      <c r="R55" s="6"/>
      <c r="S55" s="6"/>
      <c r="T55" s="156"/>
      <c r="U55" s="6"/>
    </row>
    <row r="56" spans="1:21" customFormat="1">
      <c r="A56" s="163" t="s">
        <v>670</v>
      </c>
      <c r="B56" s="100">
        <v>8</v>
      </c>
      <c r="C56" s="100">
        <v>20.09</v>
      </c>
      <c r="D56" s="100">
        <v>18.260000000000002</v>
      </c>
      <c r="E56" s="100">
        <v>8.75</v>
      </c>
      <c r="F56" s="152" t="s">
        <v>15</v>
      </c>
      <c r="G56" s="100">
        <v>102.62</v>
      </c>
      <c r="H56" s="100">
        <v>27.21</v>
      </c>
      <c r="I56" s="100">
        <v>7.17</v>
      </c>
      <c r="J56" s="100">
        <v>0.65</v>
      </c>
      <c r="K56" s="100">
        <v>2.17</v>
      </c>
      <c r="L56" s="100">
        <v>29.01</v>
      </c>
      <c r="M56" s="100">
        <v>17.66</v>
      </c>
      <c r="N56" s="100">
        <v>349.5</v>
      </c>
      <c r="O56" s="100">
        <v>0</v>
      </c>
      <c r="P56" s="100">
        <v>0.72</v>
      </c>
      <c r="Q56" s="100">
        <v>28.16</v>
      </c>
      <c r="R56" s="6"/>
      <c r="S56" s="6"/>
      <c r="T56" s="156"/>
      <c r="U56" s="6"/>
    </row>
    <row r="57" spans="1:21" customFormat="1">
      <c r="A57" s="163" t="s">
        <v>671</v>
      </c>
      <c r="B57" s="100">
        <v>7.25</v>
      </c>
      <c r="C57" s="100">
        <v>21.35</v>
      </c>
      <c r="D57" s="100">
        <v>18.32</v>
      </c>
      <c r="E57" s="100">
        <v>8.61</v>
      </c>
      <c r="F57" s="152" t="s">
        <v>15</v>
      </c>
      <c r="G57" s="100">
        <v>91.1</v>
      </c>
      <c r="H57" s="100">
        <v>25.76</v>
      </c>
      <c r="I57" s="100">
        <v>7.12</v>
      </c>
      <c r="J57" s="100">
        <v>1.01</v>
      </c>
      <c r="K57" s="100">
        <v>340.11</v>
      </c>
      <c r="L57" s="100">
        <v>29.24</v>
      </c>
      <c r="M57" s="100">
        <v>17.14</v>
      </c>
      <c r="N57" s="100">
        <v>389.1</v>
      </c>
      <c r="O57" s="100">
        <v>0</v>
      </c>
      <c r="P57" s="100">
        <v>0.7</v>
      </c>
      <c r="Q57" s="100">
        <v>28.14</v>
      </c>
      <c r="R57" s="6"/>
      <c r="S57" s="6"/>
      <c r="T57" s="156"/>
      <c r="U57" s="6"/>
    </row>
    <row r="58" spans="1:21" customFormat="1">
      <c r="A58" s="163" t="s">
        <v>672</v>
      </c>
      <c r="B58" s="100">
        <v>6.55</v>
      </c>
      <c r="C58" s="100">
        <v>20.94</v>
      </c>
      <c r="D58" s="100">
        <v>17.54</v>
      </c>
      <c r="E58" s="100">
        <v>8.5399999999999991</v>
      </c>
      <c r="F58" s="152" t="s">
        <v>15</v>
      </c>
      <c r="G58" s="100">
        <v>89.98</v>
      </c>
      <c r="H58" s="100">
        <v>25.76</v>
      </c>
      <c r="I58" s="100">
        <v>7.09</v>
      </c>
      <c r="J58" s="100">
        <v>1.22</v>
      </c>
      <c r="K58" s="100">
        <v>318.66000000000003</v>
      </c>
      <c r="L58" s="100">
        <v>29.65</v>
      </c>
      <c r="M58" s="100">
        <v>17.329999999999998</v>
      </c>
      <c r="N58" s="100">
        <v>383.5</v>
      </c>
      <c r="O58" s="100">
        <v>0</v>
      </c>
      <c r="P58" s="100">
        <v>0.66</v>
      </c>
      <c r="Q58" s="100">
        <v>28.11</v>
      </c>
      <c r="R58" s="6"/>
      <c r="S58" s="6"/>
      <c r="T58" s="156"/>
      <c r="U58" s="6"/>
    </row>
    <row r="59" spans="1:21" customFormat="1">
      <c r="A59" s="163" t="s">
        <v>673</v>
      </c>
      <c r="B59" s="100">
        <v>5.75</v>
      </c>
      <c r="C59" s="100">
        <v>20.63</v>
      </c>
      <c r="D59" s="100">
        <v>16.739999999999998</v>
      </c>
      <c r="E59" s="100">
        <v>8.6199999999999992</v>
      </c>
      <c r="F59" s="152" t="s">
        <v>15</v>
      </c>
      <c r="G59" s="100">
        <v>89.98</v>
      </c>
      <c r="H59" s="100">
        <v>25.76</v>
      </c>
      <c r="I59" s="100">
        <v>6.88</v>
      </c>
      <c r="J59" s="100">
        <v>0.77</v>
      </c>
      <c r="K59" s="100">
        <v>340.81</v>
      </c>
      <c r="L59" s="100">
        <v>29.93</v>
      </c>
      <c r="M59" s="100">
        <v>16.54</v>
      </c>
      <c r="N59" s="100">
        <v>376.8</v>
      </c>
      <c r="O59" s="100">
        <v>0</v>
      </c>
      <c r="P59" s="100">
        <v>0.64</v>
      </c>
      <c r="Q59" s="100">
        <v>28.09</v>
      </c>
      <c r="R59" s="6"/>
      <c r="S59" s="6"/>
      <c r="T59" s="156"/>
      <c r="U59" s="6"/>
    </row>
    <row r="60" spans="1:21" customFormat="1">
      <c r="A60" s="163" t="s">
        <v>674</v>
      </c>
      <c r="B60" s="100">
        <v>5.17</v>
      </c>
      <c r="C60" s="100">
        <v>20.84</v>
      </c>
      <c r="D60" s="100">
        <v>16.39</v>
      </c>
      <c r="E60" s="100">
        <v>8.9700000000000006</v>
      </c>
      <c r="F60" s="152" t="s">
        <v>15</v>
      </c>
      <c r="G60" s="100">
        <v>89.98</v>
      </c>
      <c r="H60" s="100">
        <v>25.76</v>
      </c>
      <c r="I60" s="100">
        <v>6.73</v>
      </c>
      <c r="J60" s="100">
        <v>1.1399999999999999</v>
      </c>
      <c r="K60" s="100">
        <v>26.32</v>
      </c>
      <c r="L60" s="100">
        <v>29.88</v>
      </c>
      <c r="M60" s="100">
        <v>16.61</v>
      </c>
      <c r="N60" s="100">
        <v>379.6</v>
      </c>
      <c r="O60" s="100">
        <v>0</v>
      </c>
      <c r="P60" s="100">
        <v>0.62</v>
      </c>
      <c r="Q60" s="100">
        <v>28.07</v>
      </c>
      <c r="R60" s="6"/>
      <c r="S60" s="6"/>
      <c r="T60" s="156"/>
      <c r="U60" s="6"/>
    </row>
    <row r="61" spans="1:21" customFormat="1">
      <c r="A61" s="163" t="s">
        <v>675</v>
      </c>
      <c r="B61" s="100">
        <v>4.83</v>
      </c>
      <c r="C61" s="100">
        <v>20.99</v>
      </c>
      <c r="D61" s="100">
        <v>16.2</v>
      </c>
      <c r="E61" s="100">
        <v>8.56</v>
      </c>
      <c r="F61" s="152" t="s">
        <v>15</v>
      </c>
      <c r="G61" s="100">
        <v>84.79</v>
      </c>
      <c r="H61" s="100">
        <v>23.29</v>
      </c>
      <c r="I61" s="100">
        <v>6.56</v>
      </c>
      <c r="J61" s="100">
        <v>1.27</v>
      </c>
      <c r="K61" s="100">
        <v>311.45999999999998</v>
      </c>
      <c r="L61" s="100">
        <v>30.46</v>
      </c>
      <c r="M61" s="100">
        <v>15.16</v>
      </c>
      <c r="N61" s="100">
        <v>383</v>
      </c>
      <c r="O61" s="100">
        <v>0</v>
      </c>
      <c r="P61" s="100">
        <v>0.6</v>
      </c>
      <c r="Q61" s="100">
        <v>28.07</v>
      </c>
      <c r="R61" s="6"/>
      <c r="S61" s="6"/>
      <c r="T61" s="156"/>
      <c r="U61" s="6"/>
    </row>
    <row r="62" spans="1:21" customFormat="1">
      <c r="A62" s="163" t="s">
        <v>676</v>
      </c>
      <c r="B62" s="100">
        <v>4.42</v>
      </c>
      <c r="C62" s="100">
        <v>20.71</v>
      </c>
      <c r="D62" s="100">
        <v>15.72</v>
      </c>
      <c r="E62" s="100">
        <v>8.69</v>
      </c>
      <c r="F62" s="152" t="s">
        <v>15</v>
      </c>
      <c r="G62" s="100">
        <v>84.29</v>
      </c>
      <c r="H62" s="100">
        <v>23.29</v>
      </c>
      <c r="I62" s="100">
        <v>6.41</v>
      </c>
      <c r="J62" s="100">
        <v>0.95</v>
      </c>
      <c r="K62" s="100">
        <v>307.02</v>
      </c>
      <c r="L62" s="100">
        <v>30.82</v>
      </c>
      <c r="M62" s="100">
        <v>14.67</v>
      </c>
      <c r="N62" s="100">
        <v>368.4</v>
      </c>
      <c r="O62" s="100">
        <v>0</v>
      </c>
      <c r="P62" s="100">
        <v>0.59</v>
      </c>
      <c r="Q62" s="100">
        <v>28.04</v>
      </c>
      <c r="R62" s="6"/>
      <c r="S62" s="6"/>
      <c r="T62" s="156"/>
      <c r="U62" s="6"/>
    </row>
    <row r="63" spans="1:21" customFormat="1">
      <c r="A63" s="163" t="s">
        <v>677</v>
      </c>
      <c r="B63" s="100">
        <v>4.2699999999999996</v>
      </c>
      <c r="C63" s="100">
        <v>20.3</v>
      </c>
      <c r="D63" s="100">
        <v>15.38</v>
      </c>
      <c r="E63" s="100">
        <v>8.6300000000000008</v>
      </c>
      <c r="F63" s="152" t="s">
        <v>15</v>
      </c>
      <c r="G63" s="100">
        <v>84.29</v>
      </c>
      <c r="H63" s="100">
        <v>23.29</v>
      </c>
      <c r="I63" s="100">
        <v>6.29</v>
      </c>
      <c r="J63" s="100">
        <v>0.96</v>
      </c>
      <c r="K63" s="100">
        <v>305.27</v>
      </c>
      <c r="L63" s="100">
        <v>30.89</v>
      </c>
      <c r="M63" s="100">
        <v>13.61</v>
      </c>
      <c r="N63" s="100">
        <v>366</v>
      </c>
      <c r="O63" s="100">
        <v>0</v>
      </c>
      <c r="P63" s="100">
        <v>0.56999999999999995</v>
      </c>
      <c r="Q63" s="100">
        <v>28.02</v>
      </c>
      <c r="R63" s="6"/>
      <c r="S63" s="6"/>
      <c r="T63" s="156"/>
      <c r="U63" s="6"/>
    </row>
    <row r="64" spans="1:21" customFormat="1">
      <c r="A64" s="163" t="s">
        <v>678</v>
      </c>
      <c r="B64" s="100">
        <v>4.12</v>
      </c>
      <c r="C64" s="100">
        <v>19.82</v>
      </c>
      <c r="D64" s="100">
        <v>15.01</v>
      </c>
      <c r="E64" s="100">
        <v>8.43</v>
      </c>
      <c r="F64" s="152" t="s">
        <v>15</v>
      </c>
      <c r="G64" s="100">
        <v>84.29</v>
      </c>
      <c r="H64" s="100">
        <v>23.29</v>
      </c>
      <c r="I64" s="100">
        <v>6.23</v>
      </c>
      <c r="J64" s="100">
        <v>0.72</v>
      </c>
      <c r="K64" s="100">
        <v>319.24</v>
      </c>
      <c r="L64" s="100">
        <v>31.38</v>
      </c>
      <c r="M64" s="100">
        <v>12.06</v>
      </c>
      <c r="N64" s="100">
        <v>396.8</v>
      </c>
      <c r="O64" s="100">
        <v>0</v>
      </c>
      <c r="P64" s="100">
        <v>0.55000000000000004</v>
      </c>
      <c r="Q64" s="100">
        <v>28.01</v>
      </c>
      <c r="R64" s="6"/>
      <c r="S64" s="6"/>
      <c r="T64" s="156"/>
      <c r="U64" s="6"/>
    </row>
    <row r="65" spans="1:21" customFormat="1">
      <c r="A65" s="163" t="s">
        <v>679</v>
      </c>
      <c r="B65" s="100">
        <v>4.2300000000000004</v>
      </c>
      <c r="C65" s="100">
        <v>19.18</v>
      </c>
      <c r="D65" s="100">
        <v>14.76</v>
      </c>
      <c r="E65" s="100">
        <v>7.97</v>
      </c>
      <c r="F65" s="152" t="s">
        <v>15</v>
      </c>
      <c r="G65" s="100">
        <v>82.02</v>
      </c>
      <c r="H65" s="100">
        <v>21.55</v>
      </c>
      <c r="I65" s="100">
        <v>6.11</v>
      </c>
      <c r="J65" s="100">
        <v>0.96</v>
      </c>
      <c r="K65" s="100">
        <v>299.42</v>
      </c>
      <c r="L65" s="100">
        <v>31.96</v>
      </c>
      <c r="M65" s="100">
        <v>12.29</v>
      </c>
      <c r="N65" s="100">
        <v>400.9</v>
      </c>
      <c r="O65" s="100">
        <v>0</v>
      </c>
      <c r="P65" s="100">
        <v>0.56000000000000005</v>
      </c>
      <c r="Q65" s="100">
        <v>28</v>
      </c>
      <c r="R65" s="6"/>
      <c r="S65" s="6"/>
      <c r="T65" s="156"/>
      <c r="U65" s="6"/>
    </row>
    <row r="66" spans="1:21" customFormat="1">
      <c r="A66" s="163" t="s">
        <v>680</v>
      </c>
      <c r="B66" s="100">
        <v>4.43</v>
      </c>
      <c r="C66" s="100">
        <v>18.600000000000001</v>
      </c>
      <c r="D66" s="100">
        <v>14.62</v>
      </c>
      <c r="E66" s="100">
        <v>7.88</v>
      </c>
      <c r="F66" s="152" t="s">
        <v>15</v>
      </c>
      <c r="G66" s="100">
        <v>81.8</v>
      </c>
      <c r="H66" s="100">
        <v>21.55</v>
      </c>
      <c r="I66" s="100">
        <v>5.95</v>
      </c>
      <c r="J66" s="100">
        <v>0.79</v>
      </c>
      <c r="K66" s="100">
        <v>347.91</v>
      </c>
      <c r="L66" s="100">
        <v>31.6</v>
      </c>
      <c r="M66" s="100">
        <v>12.54</v>
      </c>
      <c r="N66" s="100">
        <v>377.9</v>
      </c>
      <c r="O66" s="100">
        <v>0</v>
      </c>
      <c r="P66" s="100">
        <v>0.56000000000000005</v>
      </c>
      <c r="Q66" s="100">
        <v>28.02</v>
      </c>
      <c r="R66" s="6"/>
      <c r="S66" s="6"/>
      <c r="T66" s="156"/>
      <c r="U66" s="6"/>
    </row>
    <row r="67" spans="1:21" customFormat="1">
      <c r="A67" s="163" t="s">
        <v>681</v>
      </c>
      <c r="B67" s="100">
        <v>4.21</v>
      </c>
      <c r="C67" s="100">
        <v>18.829999999999998</v>
      </c>
      <c r="D67" s="100">
        <v>14.57</v>
      </c>
      <c r="E67" s="100">
        <v>8.3000000000000007</v>
      </c>
      <c r="F67" s="152" t="s">
        <v>15</v>
      </c>
      <c r="G67" s="100">
        <v>81.8</v>
      </c>
      <c r="H67" s="100">
        <v>21.55</v>
      </c>
      <c r="I67" s="100">
        <v>5.83</v>
      </c>
      <c r="J67" s="100">
        <v>1.0900000000000001</v>
      </c>
      <c r="K67" s="100">
        <v>311</v>
      </c>
      <c r="L67" s="100">
        <v>31.71</v>
      </c>
      <c r="M67" s="100">
        <v>12.01</v>
      </c>
      <c r="N67" s="100">
        <v>259.39999999999998</v>
      </c>
      <c r="O67" s="100">
        <v>0</v>
      </c>
      <c r="P67" s="100">
        <v>0.56000000000000005</v>
      </c>
      <c r="Q67" s="100">
        <v>28.02</v>
      </c>
      <c r="R67" s="6"/>
      <c r="S67" s="6"/>
      <c r="T67" s="156"/>
      <c r="U67" s="6"/>
    </row>
    <row r="68" spans="1:21" customFormat="1">
      <c r="A68" s="163" t="s">
        <v>682</v>
      </c>
      <c r="B68" s="100">
        <v>4.1500000000000004</v>
      </c>
      <c r="C68" s="100">
        <v>18.62</v>
      </c>
      <c r="D68" s="100">
        <v>14.41</v>
      </c>
      <c r="E68" s="100">
        <v>7.86</v>
      </c>
      <c r="F68" s="152" t="s">
        <v>15</v>
      </c>
      <c r="G68" s="100">
        <v>81.8</v>
      </c>
      <c r="H68" s="100">
        <v>21.55</v>
      </c>
      <c r="I68" s="100">
        <v>5.77</v>
      </c>
      <c r="J68" s="100">
        <v>1.35</v>
      </c>
      <c r="K68" s="100">
        <v>309.83</v>
      </c>
      <c r="L68" s="100">
        <v>31.28</v>
      </c>
      <c r="M68" s="100">
        <v>12.61</v>
      </c>
      <c r="N68" s="100">
        <v>105.4</v>
      </c>
      <c r="O68" s="100">
        <v>0</v>
      </c>
      <c r="P68" s="100">
        <v>0.54</v>
      </c>
      <c r="Q68" s="100">
        <v>28.01</v>
      </c>
      <c r="R68" s="6"/>
      <c r="S68" s="6"/>
      <c r="T68" s="156"/>
      <c r="U68" s="6"/>
    </row>
    <row r="69" spans="1:21" customFormat="1">
      <c r="A69" s="163" t="s">
        <v>683</v>
      </c>
      <c r="B69" s="100">
        <v>4.2699999999999996</v>
      </c>
      <c r="C69" s="100">
        <v>17.899999999999999</v>
      </c>
      <c r="D69" s="100">
        <v>14.13</v>
      </c>
      <c r="E69" s="100">
        <v>7.92</v>
      </c>
      <c r="F69" s="152" t="s">
        <v>15</v>
      </c>
      <c r="G69" s="100">
        <v>68.900000000000006</v>
      </c>
      <c r="H69" s="100">
        <v>19.940000000000001</v>
      </c>
      <c r="I69" s="100">
        <v>5.68</v>
      </c>
      <c r="J69" s="100">
        <v>0.78</v>
      </c>
      <c r="K69" s="100">
        <v>1.0900000000000001</v>
      </c>
      <c r="L69" s="100">
        <v>31.32</v>
      </c>
      <c r="M69" s="100">
        <v>12.9</v>
      </c>
      <c r="N69" s="100">
        <v>69.3</v>
      </c>
      <c r="O69" s="100">
        <v>0</v>
      </c>
      <c r="P69" s="100">
        <v>0.52</v>
      </c>
      <c r="Q69" s="100">
        <v>28.01</v>
      </c>
      <c r="R69" s="6"/>
      <c r="S69" s="6"/>
      <c r="T69" s="156"/>
      <c r="U69" s="6"/>
    </row>
    <row r="70" spans="1:21" customFormat="1">
      <c r="A70" s="163" t="s">
        <v>684</v>
      </c>
      <c r="B70" s="100">
        <v>4.32</v>
      </c>
      <c r="C70" s="100">
        <v>17.88</v>
      </c>
      <c r="D70" s="100">
        <v>14.16</v>
      </c>
      <c r="E70" s="100">
        <v>8.0299999999999994</v>
      </c>
      <c r="F70" s="152" t="s">
        <v>15</v>
      </c>
      <c r="G70" s="100">
        <v>67.64</v>
      </c>
      <c r="H70" s="100">
        <v>19.940000000000001</v>
      </c>
      <c r="I70" s="100">
        <v>5.54</v>
      </c>
      <c r="J70" s="100">
        <v>0.74</v>
      </c>
      <c r="K70" s="100">
        <v>310.57</v>
      </c>
      <c r="L70" s="100">
        <v>31.45</v>
      </c>
      <c r="M70" s="100">
        <v>13.16</v>
      </c>
      <c r="N70" s="100">
        <v>55.9</v>
      </c>
      <c r="O70" s="100">
        <v>0</v>
      </c>
      <c r="P70" s="100">
        <v>0.53</v>
      </c>
      <c r="Q70" s="100">
        <v>28.01</v>
      </c>
      <c r="R70" s="6"/>
      <c r="S70" s="6"/>
      <c r="T70" s="156"/>
      <c r="U70" s="6"/>
    </row>
    <row r="71" spans="1:21" customFormat="1">
      <c r="A71" s="163" t="s">
        <v>685</v>
      </c>
      <c r="B71" s="100">
        <v>4.2699999999999996</v>
      </c>
      <c r="C71" s="100">
        <v>18</v>
      </c>
      <c r="D71" s="100">
        <v>14.18</v>
      </c>
      <c r="E71" s="100">
        <v>8.14</v>
      </c>
      <c r="F71" s="152" t="s">
        <v>15</v>
      </c>
      <c r="G71" s="100">
        <v>67.64</v>
      </c>
      <c r="H71" s="100">
        <v>19.940000000000001</v>
      </c>
      <c r="I71" s="100">
        <v>5.43</v>
      </c>
      <c r="J71" s="100">
        <v>1.25</v>
      </c>
      <c r="K71" s="100">
        <v>308.13</v>
      </c>
      <c r="L71" s="100">
        <v>31.41</v>
      </c>
      <c r="M71" s="100">
        <v>11.82</v>
      </c>
      <c r="N71" s="100">
        <v>58.2</v>
      </c>
      <c r="O71" s="100">
        <v>0</v>
      </c>
      <c r="P71" s="100">
        <v>0.51</v>
      </c>
      <c r="Q71" s="100">
        <v>28.03</v>
      </c>
      <c r="R71" s="6"/>
      <c r="S71" s="6"/>
      <c r="T71" s="156"/>
      <c r="U71" s="6"/>
    </row>
    <row r="72" spans="1:21" customFormat="1">
      <c r="A72" s="163" t="s">
        <v>686</v>
      </c>
      <c r="B72" s="100">
        <v>4.47</v>
      </c>
      <c r="C72" s="100">
        <v>18.11</v>
      </c>
      <c r="D72" s="100">
        <v>14.4</v>
      </c>
      <c r="E72" s="100">
        <v>8.0399999999999991</v>
      </c>
      <c r="F72" s="152" t="s">
        <v>15</v>
      </c>
      <c r="G72" s="100">
        <v>67.64</v>
      </c>
      <c r="H72" s="100">
        <v>19.940000000000001</v>
      </c>
      <c r="I72" s="100">
        <v>5.37</v>
      </c>
      <c r="J72" s="100">
        <v>1.1399999999999999</v>
      </c>
      <c r="K72" s="100">
        <v>311.49</v>
      </c>
      <c r="L72" s="100">
        <v>31.33</v>
      </c>
      <c r="M72" s="100">
        <v>11.1</v>
      </c>
      <c r="N72" s="100">
        <v>91.9</v>
      </c>
      <c r="O72" s="100">
        <v>0</v>
      </c>
      <c r="P72" s="100">
        <v>0.51</v>
      </c>
      <c r="Q72" s="100">
        <v>28.02</v>
      </c>
      <c r="R72" s="6"/>
      <c r="S72" s="6"/>
      <c r="T72" s="156"/>
      <c r="U72" s="6"/>
    </row>
    <row r="73" spans="1:21" customFormat="1">
      <c r="A73" s="163" t="s">
        <v>687</v>
      </c>
      <c r="B73" s="100">
        <v>4.45</v>
      </c>
      <c r="C73" s="100">
        <v>18.16</v>
      </c>
      <c r="D73" s="100">
        <v>14.41</v>
      </c>
      <c r="E73" s="100">
        <v>7.99</v>
      </c>
      <c r="F73" s="152" t="s">
        <v>15</v>
      </c>
      <c r="G73" s="100">
        <v>63.41</v>
      </c>
      <c r="H73" s="100">
        <v>17.46</v>
      </c>
      <c r="I73" s="100">
        <v>5.24</v>
      </c>
      <c r="J73" s="100">
        <v>1.32</v>
      </c>
      <c r="K73" s="100">
        <v>312.08999999999997</v>
      </c>
      <c r="L73" s="100">
        <v>31.3</v>
      </c>
      <c r="M73" s="100">
        <v>10.56</v>
      </c>
      <c r="N73" s="100">
        <v>138.30000000000001</v>
      </c>
      <c r="O73" s="100">
        <v>0</v>
      </c>
      <c r="P73" s="100">
        <v>0.49</v>
      </c>
      <c r="Q73" s="100">
        <v>28.02</v>
      </c>
      <c r="R73" s="6"/>
      <c r="S73" s="6"/>
      <c r="T73" s="156"/>
      <c r="U73" s="6"/>
    </row>
    <row r="74" spans="1:21" customFormat="1">
      <c r="A74" s="163" t="s">
        <v>688</v>
      </c>
      <c r="B74" s="100">
        <v>4.3899999999999997</v>
      </c>
      <c r="C74" s="100">
        <v>18.2</v>
      </c>
      <c r="D74" s="100">
        <v>14.38</v>
      </c>
      <c r="E74" s="100">
        <v>7.61</v>
      </c>
      <c r="F74" s="152" t="s">
        <v>15</v>
      </c>
      <c r="G74" s="100">
        <v>63</v>
      </c>
      <c r="H74" s="100">
        <v>17.46</v>
      </c>
      <c r="I74" s="100">
        <v>5.16</v>
      </c>
      <c r="J74" s="100">
        <v>0.89</v>
      </c>
      <c r="K74" s="100">
        <v>316.23</v>
      </c>
      <c r="L74" s="100">
        <v>31.31</v>
      </c>
      <c r="M74" s="100">
        <v>10.65</v>
      </c>
      <c r="N74" s="100">
        <v>45.3</v>
      </c>
      <c r="O74" s="100">
        <v>0</v>
      </c>
      <c r="P74" s="100">
        <v>0.48</v>
      </c>
      <c r="Q74" s="100">
        <v>28.01</v>
      </c>
      <c r="R74" s="6"/>
      <c r="S74" s="6"/>
      <c r="T74" s="156"/>
      <c r="U74" s="6"/>
    </row>
    <row r="75" spans="1:21" customFormat="1">
      <c r="A75" s="163" t="s">
        <v>689</v>
      </c>
      <c r="B75" s="100">
        <v>4.3099999999999996</v>
      </c>
      <c r="C75" s="100">
        <v>18.38</v>
      </c>
      <c r="D75" s="100">
        <v>14.41</v>
      </c>
      <c r="E75" s="100">
        <v>7.57</v>
      </c>
      <c r="F75" s="152" t="s">
        <v>15</v>
      </c>
      <c r="G75" s="100">
        <v>63</v>
      </c>
      <c r="H75" s="100">
        <v>17.46</v>
      </c>
      <c r="I75" s="100">
        <v>5.05</v>
      </c>
      <c r="J75" s="100">
        <v>0.88</v>
      </c>
      <c r="K75" s="100">
        <v>314.27999999999997</v>
      </c>
      <c r="L75" s="100">
        <v>31.08</v>
      </c>
      <c r="M75" s="100">
        <v>10.68</v>
      </c>
      <c r="N75" s="100">
        <v>34.6</v>
      </c>
      <c r="O75" s="100">
        <v>0</v>
      </c>
      <c r="P75" s="100">
        <v>0.48</v>
      </c>
      <c r="Q75" s="100">
        <v>28.02</v>
      </c>
      <c r="R75" s="6"/>
      <c r="S75" s="6"/>
      <c r="T75" s="156"/>
      <c r="U75" s="6"/>
    </row>
    <row r="76" spans="1:21" customFormat="1">
      <c r="A76" s="163" t="s">
        <v>690</v>
      </c>
      <c r="B76" s="100">
        <v>4.45</v>
      </c>
      <c r="C76" s="100">
        <v>18.059999999999999</v>
      </c>
      <c r="D76" s="100">
        <v>14.35</v>
      </c>
      <c r="E76" s="100">
        <v>8.02</v>
      </c>
      <c r="F76" s="152" t="s">
        <v>15</v>
      </c>
      <c r="G76" s="100">
        <v>63</v>
      </c>
      <c r="H76" s="100">
        <v>17.46</v>
      </c>
      <c r="I76" s="100">
        <v>4.95</v>
      </c>
      <c r="J76" s="100">
        <v>0.78</v>
      </c>
      <c r="K76" s="100">
        <v>309.47000000000003</v>
      </c>
      <c r="L76" s="100">
        <v>30.92</v>
      </c>
      <c r="M76" s="100">
        <v>11.07</v>
      </c>
      <c r="N76" s="100">
        <v>31.4</v>
      </c>
      <c r="O76" s="100">
        <v>0</v>
      </c>
      <c r="P76" s="100">
        <v>0.48</v>
      </c>
      <c r="Q76" s="100">
        <v>28.02</v>
      </c>
      <c r="R76" s="6"/>
      <c r="S76" s="6"/>
      <c r="T76" s="156"/>
      <c r="U76" s="6"/>
    </row>
    <row r="77" spans="1:21" customFormat="1">
      <c r="A77" s="163" t="s">
        <v>691</v>
      </c>
      <c r="B77" s="100">
        <v>4.8099999999999996</v>
      </c>
      <c r="C77" s="100">
        <v>18.62</v>
      </c>
      <c r="D77" s="100">
        <v>14.94</v>
      </c>
      <c r="E77" s="100">
        <v>8.19</v>
      </c>
      <c r="F77" s="152" t="s">
        <v>15</v>
      </c>
      <c r="G77" s="100">
        <v>59.3</v>
      </c>
      <c r="H77" s="100">
        <v>14.61</v>
      </c>
      <c r="I77" s="100">
        <v>4.87</v>
      </c>
      <c r="J77" s="100">
        <v>0.81</v>
      </c>
      <c r="K77" s="100">
        <v>305.24</v>
      </c>
      <c r="L77" s="100">
        <v>30.65</v>
      </c>
      <c r="M77" s="100">
        <v>11.03</v>
      </c>
      <c r="N77" s="100">
        <v>25.3</v>
      </c>
      <c r="O77" s="100">
        <v>0</v>
      </c>
      <c r="P77" s="100">
        <v>0.48</v>
      </c>
      <c r="Q77" s="100">
        <v>28.01</v>
      </c>
      <c r="R77" s="6"/>
      <c r="S77" s="6"/>
      <c r="T77" s="156"/>
      <c r="U77" s="6"/>
    </row>
    <row r="78" spans="1:21" customFormat="1">
      <c r="A78" s="163" t="s">
        <v>692</v>
      </c>
      <c r="B78" s="100">
        <v>4.8</v>
      </c>
      <c r="C78" s="100">
        <v>18.940000000000001</v>
      </c>
      <c r="D78" s="100">
        <v>15.09</v>
      </c>
      <c r="E78" s="100">
        <v>8</v>
      </c>
      <c r="F78" s="152" t="s">
        <v>15</v>
      </c>
      <c r="G78" s="100">
        <v>58.99</v>
      </c>
      <c r="H78" s="100">
        <v>14.61</v>
      </c>
      <c r="I78" s="100">
        <v>4.84</v>
      </c>
      <c r="J78" s="100">
        <v>0.78</v>
      </c>
      <c r="K78" s="100">
        <v>310.54000000000002</v>
      </c>
      <c r="L78" s="100">
        <v>30.29</v>
      </c>
      <c r="M78" s="100">
        <v>11.01</v>
      </c>
      <c r="N78" s="100">
        <v>19.2</v>
      </c>
      <c r="O78" s="100">
        <v>0</v>
      </c>
      <c r="P78" s="100">
        <v>0.49</v>
      </c>
      <c r="Q78" s="100">
        <v>28.03</v>
      </c>
      <c r="R78" s="6"/>
      <c r="S78" s="6"/>
      <c r="T78" s="156"/>
      <c r="U78" s="6"/>
    </row>
    <row r="79" spans="1:21" customFormat="1">
      <c r="A79" s="163" t="s">
        <v>693</v>
      </c>
      <c r="B79" s="100">
        <v>4.8600000000000003</v>
      </c>
      <c r="C79" s="100">
        <v>18.97</v>
      </c>
      <c r="D79" s="100">
        <v>15.16</v>
      </c>
      <c r="E79" s="100">
        <v>7.24</v>
      </c>
      <c r="F79" s="152" t="s">
        <v>15</v>
      </c>
      <c r="G79" s="100">
        <v>58.99</v>
      </c>
      <c r="H79" s="100">
        <v>14.61</v>
      </c>
      <c r="I79" s="100">
        <v>4.78</v>
      </c>
      <c r="J79" s="100">
        <v>0.73</v>
      </c>
      <c r="K79" s="100">
        <v>301.64999999999998</v>
      </c>
      <c r="L79" s="100">
        <v>29.88</v>
      </c>
      <c r="M79" s="100">
        <v>11.35</v>
      </c>
      <c r="N79" s="100">
        <v>13.6</v>
      </c>
      <c r="O79" s="100">
        <v>0</v>
      </c>
      <c r="P79" s="100">
        <v>0.51</v>
      </c>
      <c r="Q79" s="100">
        <v>28.04</v>
      </c>
      <c r="R79" s="6"/>
      <c r="S79" s="6"/>
      <c r="T79" s="156"/>
      <c r="U79" s="6"/>
    </row>
    <row r="80" spans="1:21" customFormat="1">
      <c r="A80" s="163" t="s">
        <v>694</v>
      </c>
      <c r="B80" s="100">
        <v>6.59</v>
      </c>
      <c r="C80" s="100">
        <v>19.97</v>
      </c>
      <c r="D80" s="100">
        <v>17.07</v>
      </c>
      <c r="E80" s="100">
        <v>7.73</v>
      </c>
      <c r="F80" s="152" t="s">
        <v>15</v>
      </c>
      <c r="G80" s="100">
        <v>58.99</v>
      </c>
      <c r="H80" s="100">
        <v>14.61</v>
      </c>
      <c r="I80" s="100">
        <v>4.75</v>
      </c>
      <c r="J80" s="100">
        <v>0.97</v>
      </c>
      <c r="K80" s="100">
        <v>315.91000000000003</v>
      </c>
      <c r="L80" s="100">
        <v>29.63</v>
      </c>
      <c r="M80" s="100">
        <v>11.89</v>
      </c>
      <c r="N80" s="100">
        <v>6.5</v>
      </c>
      <c r="O80" s="100">
        <v>0</v>
      </c>
      <c r="P80" s="100">
        <v>0.51</v>
      </c>
      <c r="Q80" s="100">
        <v>28.05</v>
      </c>
      <c r="R80" s="6"/>
      <c r="S80" s="6"/>
      <c r="T80" s="156"/>
      <c r="U80" s="6"/>
    </row>
    <row r="81" spans="1:21" customFormat="1">
      <c r="A81" s="163" t="s">
        <v>695</v>
      </c>
      <c r="B81" s="100">
        <v>6.79</v>
      </c>
      <c r="C81" s="100">
        <v>22.12</v>
      </c>
      <c r="D81" s="100">
        <v>18.36</v>
      </c>
      <c r="E81" s="100">
        <v>7.39</v>
      </c>
      <c r="F81" s="152" t="s">
        <v>15</v>
      </c>
      <c r="G81" s="100">
        <v>56.22</v>
      </c>
      <c r="H81" s="100">
        <v>12.99</v>
      </c>
      <c r="I81" s="100">
        <v>4.78</v>
      </c>
      <c r="J81" s="100">
        <v>0.56000000000000005</v>
      </c>
      <c r="K81" s="100">
        <v>301.45</v>
      </c>
      <c r="L81" s="100">
        <v>29.07</v>
      </c>
      <c r="M81" s="100">
        <v>13.28</v>
      </c>
      <c r="N81" s="100">
        <v>2</v>
      </c>
      <c r="O81" s="100">
        <v>0</v>
      </c>
      <c r="P81" s="100">
        <v>0.53</v>
      </c>
      <c r="Q81" s="100">
        <v>28.06</v>
      </c>
      <c r="R81" s="6"/>
      <c r="S81" s="6"/>
      <c r="T81" s="156"/>
      <c r="U81" s="6"/>
    </row>
    <row r="82" spans="1:21" customFormat="1">
      <c r="A82" s="163" t="s">
        <v>696</v>
      </c>
      <c r="B82" s="100">
        <v>7.11</v>
      </c>
      <c r="C82" s="100">
        <v>22.09</v>
      </c>
      <c r="D82" s="100">
        <v>18.59</v>
      </c>
      <c r="E82" s="100">
        <v>8.91</v>
      </c>
      <c r="F82" s="152" t="s">
        <v>15</v>
      </c>
      <c r="G82" s="100">
        <v>55.95</v>
      </c>
      <c r="H82" s="100">
        <v>12.99</v>
      </c>
      <c r="I82" s="100">
        <v>4.84</v>
      </c>
      <c r="J82" s="100">
        <v>0.87</v>
      </c>
      <c r="K82" s="100">
        <v>304.18</v>
      </c>
      <c r="L82" s="100">
        <v>28.74</v>
      </c>
      <c r="M82" s="100">
        <v>13.53</v>
      </c>
      <c r="N82" s="100">
        <v>0.7</v>
      </c>
      <c r="O82" s="100">
        <v>0</v>
      </c>
      <c r="P82" s="100">
        <v>0.52</v>
      </c>
      <c r="Q82" s="100">
        <v>28.07</v>
      </c>
      <c r="R82" s="6"/>
      <c r="S82" s="6"/>
      <c r="T82" s="156"/>
      <c r="U82" s="6"/>
    </row>
    <row r="83" spans="1:21" customFormat="1">
      <c r="A83" s="163" t="s">
        <v>697</v>
      </c>
      <c r="B83" s="100">
        <v>7.26</v>
      </c>
      <c r="C83" s="100">
        <v>20.04</v>
      </c>
      <c r="D83" s="100">
        <v>17.649999999999999</v>
      </c>
      <c r="E83" s="100">
        <v>8.9499999999999993</v>
      </c>
      <c r="F83" s="152" t="s">
        <v>15</v>
      </c>
      <c r="G83" s="100">
        <v>55.95</v>
      </c>
      <c r="H83" s="100">
        <v>12.99</v>
      </c>
      <c r="I83" s="100">
        <v>5</v>
      </c>
      <c r="J83" s="100">
        <v>0.51</v>
      </c>
      <c r="K83" s="100">
        <v>294.99</v>
      </c>
      <c r="L83" s="100">
        <v>28.23</v>
      </c>
      <c r="M83" s="100">
        <v>13.67</v>
      </c>
      <c r="N83" s="100">
        <v>0.7</v>
      </c>
      <c r="O83" s="100">
        <v>0</v>
      </c>
      <c r="P83" s="100">
        <v>0.54</v>
      </c>
      <c r="Q83" s="100">
        <v>28.1</v>
      </c>
      <c r="R83" s="6"/>
      <c r="S83" s="6"/>
      <c r="T83" s="156"/>
      <c r="U83" s="6"/>
    </row>
    <row r="84" spans="1:21" customFormat="1">
      <c r="A84" s="163" t="s">
        <v>698</v>
      </c>
      <c r="B84" s="100">
        <v>6.94</v>
      </c>
      <c r="C84" s="100">
        <v>19.77</v>
      </c>
      <c r="D84" s="100">
        <v>17.25</v>
      </c>
      <c r="E84" s="100">
        <v>9.44</v>
      </c>
      <c r="F84" s="152" t="s">
        <v>15</v>
      </c>
      <c r="G84" s="100">
        <v>55.95</v>
      </c>
      <c r="H84" s="100">
        <v>12.99</v>
      </c>
      <c r="I84" s="100">
        <v>5.23</v>
      </c>
      <c r="J84" s="100">
        <v>0.45</v>
      </c>
      <c r="K84" s="100">
        <v>290.57</v>
      </c>
      <c r="L84" s="100">
        <v>27.71</v>
      </c>
      <c r="M84" s="100">
        <v>14.07</v>
      </c>
      <c r="N84" s="100">
        <v>0.6</v>
      </c>
      <c r="O84" s="100">
        <v>0</v>
      </c>
      <c r="P84" s="100">
        <v>0.54</v>
      </c>
      <c r="Q84" s="100">
        <v>28.1</v>
      </c>
      <c r="R84" s="6"/>
      <c r="S84" s="6"/>
      <c r="T84" s="156"/>
      <c r="U84" s="6"/>
    </row>
    <row r="85" spans="1:21" customFormat="1">
      <c r="A85" s="163" t="s">
        <v>699</v>
      </c>
      <c r="B85" s="100">
        <v>8.11</v>
      </c>
      <c r="C85" s="100">
        <v>21.57</v>
      </c>
      <c r="D85" s="100">
        <v>19.12</v>
      </c>
      <c r="E85" s="100">
        <v>12.61</v>
      </c>
      <c r="F85" s="152" t="s">
        <v>15</v>
      </c>
      <c r="G85" s="100">
        <v>59.16</v>
      </c>
      <c r="H85" s="100">
        <v>17.89</v>
      </c>
      <c r="I85" s="100">
        <v>5.27</v>
      </c>
      <c r="J85" s="100">
        <v>0.15</v>
      </c>
      <c r="K85" s="100">
        <v>306.94</v>
      </c>
      <c r="L85" s="100">
        <v>27.09</v>
      </c>
      <c r="M85" s="100">
        <v>15.14</v>
      </c>
      <c r="N85" s="100">
        <v>0.7</v>
      </c>
      <c r="O85" s="100">
        <v>0</v>
      </c>
      <c r="P85" s="100">
        <v>0.56999999999999995</v>
      </c>
      <c r="Q85" s="100">
        <v>28.11</v>
      </c>
      <c r="R85" s="6"/>
      <c r="S85" s="6"/>
      <c r="T85" s="156"/>
      <c r="U85" s="6"/>
    </row>
    <row r="86" spans="1:21" customFormat="1">
      <c r="A86" s="163" t="s">
        <v>700</v>
      </c>
      <c r="B86" s="100">
        <v>8.51</v>
      </c>
      <c r="C86" s="100">
        <v>20.65</v>
      </c>
      <c r="D86" s="100">
        <v>18.96</v>
      </c>
      <c r="E86" s="100">
        <v>12.2</v>
      </c>
      <c r="F86" s="152" t="s">
        <v>15</v>
      </c>
      <c r="G86" s="100">
        <v>59.47</v>
      </c>
      <c r="H86" s="100">
        <v>17.89</v>
      </c>
      <c r="I86" s="100">
        <v>5.42</v>
      </c>
      <c r="J86" s="100">
        <v>0.14000000000000001</v>
      </c>
      <c r="K86" s="100">
        <v>294.16000000000003</v>
      </c>
      <c r="L86" s="100">
        <v>26.42</v>
      </c>
      <c r="M86" s="100">
        <v>16.559999999999999</v>
      </c>
      <c r="N86" s="100">
        <v>0.5</v>
      </c>
      <c r="O86" s="100">
        <v>0</v>
      </c>
      <c r="P86" s="100">
        <v>0.56999999999999995</v>
      </c>
      <c r="Q86" s="100">
        <v>28.16</v>
      </c>
      <c r="R86" s="6"/>
      <c r="S86" s="6"/>
      <c r="T86" s="156"/>
      <c r="U86" s="6"/>
    </row>
    <row r="87" spans="1:21" customFormat="1">
      <c r="A87" s="163" t="s">
        <v>701</v>
      </c>
      <c r="B87" s="100">
        <v>10.06</v>
      </c>
      <c r="C87" s="100">
        <v>19.77</v>
      </c>
      <c r="D87" s="100">
        <v>19.75</v>
      </c>
      <c r="E87" s="100">
        <v>11.1</v>
      </c>
      <c r="F87" s="152" t="s">
        <v>15</v>
      </c>
      <c r="G87" s="100">
        <v>59.47</v>
      </c>
      <c r="H87" s="100">
        <v>17.89</v>
      </c>
      <c r="I87" s="100">
        <v>5.67</v>
      </c>
      <c r="J87" s="100">
        <v>0.2</v>
      </c>
      <c r="K87" s="100">
        <v>356.9</v>
      </c>
      <c r="L87" s="100">
        <v>26.32</v>
      </c>
      <c r="M87" s="100">
        <v>16.059999999999999</v>
      </c>
      <c r="N87" s="100">
        <v>0.2</v>
      </c>
      <c r="O87" s="100">
        <v>0</v>
      </c>
      <c r="P87" s="100">
        <v>0.59</v>
      </c>
      <c r="Q87" s="100">
        <v>28.19</v>
      </c>
      <c r="R87" s="6"/>
      <c r="S87" s="6"/>
      <c r="T87" s="156"/>
      <c r="U87" s="6"/>
    </row>
    <row r="88" spans="1:21" customFormat="1">
      <c r="A88" s="163" t="s">
        <v>702</v>
      </c>
      <c r="B88" s="100">
        <v>10.37</v>
      </c>
      <c r="C88" s="100">
        <v>21.1</v>
      </c>
      <c r="D88" s="100">
        <v>20.69</v>
      </c>
      <c r="E88" s="100">
        <v>9.99</v>
      </c>
      <c r="F88" s="152" t="s">
        <v>15</v>
      </c>
      <c r="G88" s="100">
        <v>59.47</v>
      </c>
      <c r="H88" s="100">
        <v>17.89</v>
      </c>
      <c r="I88" s="100">
        <v>5.83</v>
      </c>
      <c r="J88" s="100">
        <v>0.4</v>
      </c>
      <c r="K88" s="100">
        <v>319.61</v>
      </c>
      <c r="L88" s="100">
        <v>26.16</v>
      </c>
      <c r="M88" s="100">
        <v>15.74</v>
      </c>
      <c r="N88" s="100">
        <v>0.1</v>
      </c>
      <c r="O88" s="100">
        <v>0</v>
      </c>
      <c r="P88" s="100">
        <v>0.61</v>
      </c>
      <c r="Q88" s="100">
        <v>28.23</v>
      </c>
      <c r="R88" s="6"/>
      <c r="S88" s="6"/>
      <c r="T88" s="156"/>
      <c r="U88" s="6"/>
    </row>
    <row r="89" spans="1:21" customFormat="1">
      <c r="A89" s="163" t="s">
        <v>703</v>
      </c>
      <c r="B89" s="100">
        <v>10.3</v>
      </c>
      <c r="C89" s="100">
        <v>19.5</v>
      </c>
      <c r="D89" s="100">
        <v>19.8</v>
      </c>
      <c r="E89" s="100">
        <v>10.01</v>
      </c>
      <c r="F89" s="152" t="s">
        <v>15</v>
      </c>
      <c r="G89" s="100">
        <v>78.569999999999993</v>
      </c>
      <c r="H89" s="100">
        <v>20.5</v>
      </c>
      <c r="I89" s="100">
        <v>5.88</v>
      </c>
      <c r="J89" s="100">
        <v>0.82</v>
      </c>
      <c r="K89" s="100">
        <v>303.23</v>
      </c>
      <c r="L89" s="100">
        <v>26.11</v>
      </c>
      <c r="M89" s="100">
        <v>14.98</v>
      </c>
      <c r="N89" s="100">
        <v>0</v>
      </c>
      <c r="O89" s="100">
        <v>0</v>
      </c>
      <c r="P89" s="100">
        <v>0.6</v>
      </c>
      <c r="Q89" s="100">
        <v>28.25</v>
      </c>
      <c r="R89" s="6"/>
      <c r="S89" s="6"/>
      <c r="T89" s="156"/>
      <c r="U89" s="6"/>
    </row>
    <row r="90" spans="1:21" customFormat="1">
      <c r="A90" s="163" t="s">
        <v>704</v>
      </c>
      <c r="B90" s="100">
        <v>11.13</v>
      </c>
      <c r="C90" s="100">
        <v>18.309999999999999</v>
      </c>
      <c r="D90" s="100">
        <v>19.84</v>
      </c>
      <c r="E90" s="100">
        <v>9.3800000000000008</v>
      </c>
      <c r="F90" s="152" t="s">
        <v>15</v>
      </c>
      <c r="G90" s="100">
        <v>80.180000000000007</v>
      </c>
      <c r="H90" s="100">
        <v>20.5</v>
      </c>
      <c r="I90" s="100">
        <v>6.1</v>
      </c>
      <c r="J90" s="100">
        <v>0.74</v>
      </c>
      <c r="K90" s="100">
        <v>295.66000000000003</v>
      </c>
      <c r="L90" s="100">
        <v>25.88</v>
      </c>
      <c r="M90" s="100">
        <v>15.6</v>
      </c>
      <c r="N90" s="100">
        <v>0.5</v>
      </c>
      <c r="O90" s="100">
        <v>0</v>
      </c>
      <c r="P90" s="100">
        <v>0.61</v>
      </c>
      <c r="Q90" s="100">
        <v>28.27</v>
      </c>
      <c r="R90" s="6"/>
      <c r="S90" s="6"/>
      <c r="T90" s="156"/>
      <c r="U90" s="6"/>
    </row>
    <row r="91" spans="1:21" customFormat="1">
      <c r="A91" s="163" t="s">
        <v>705</v>
      </c>
      <c r="B91" s="100">
        <v>11.23</v>
      </c>
      <c r="C91" s="100">
        <v>18.09</v>
      </c>
      <c r="D91" s="100">
        <v>19.809999999999999</v>
      </c>
      <c r="E91" s="100">
        <v>8.94</v>
      </c>
      <c r="F91" s="152" t="s">
        <v>15</v>
      </c>
      <c r="G91" s="100">
        <v>80.180000000000007</v>
      </c>
      <c r="H91" s="100">
        <v>20.5</v>
      </c>
      <c r="I91" s="100">
        <v>6.26</v>
      </c>
      <c r="J91" s="100">
        <v>1.1599999999999999</v>
      </c>
      <c r="K91" s="100">
        <v>308.27999999999997</v>
      </c>
      <c r="L91" s="100">
        <v>25.58</v>
      </c>
      <c r="M91" s="100">
        <v>15.95</v>
      </c>
      <c r="N91" s="100">
        <v>0.4</v>
      </c>
      <c r="O91" s="100">
        <v>0</v>
      </c>
      <c r="P91" s="100">
        <v>0.62</v>
      </c>
      <c r="Q91" s="100">
        <v>28.28</v>
      </c>
      <c r="R91" s="6"/>
      <c r="S91" s="6"/>
      <c r="T91" s="156"/>
      <c r="U91" s="6"/>
    </row>
    <row r="92" spans="1:21" customFormat="1">
      <c r="A92" s="163" t="s">
        <v>706</v>
      </c>
      <c r="B92" s="100">
        <v>11.62</v>
      </c>
      <c r="C92" s="100">
        <v>17.82</v>
      </c>
      <c r="D92" s="100">
        <v>19.98</v>
      </c>
      <c r="E92" s="100">
        <v>8.93</v>
      </c>
      <c r="F92" s="152" t="s">
        <v>15</v>
      </c>
      <c r="G92" s="100">
        <v>80.180000000000007</v>
      </c>
      <c r="H92" s="100">
        <v>20.5</v>
      </c>
      <c r="I92" s="100">
        <v>6.28</v>
      </c>
      <c r="J92" s="100">
        <v>1.04</v>
      </c>
      <c r="K92" s="100">
        <v>302.12</v>
      </c>
      <c r="L92" s="100">
        <v>25.35</v>
      </c>
      <c r="M92" s="100">
        <v>15.87</v>
      </c>
      <c r="N92" s="100">
        <v>0.6</v>
      </c>
      <c r="O92" s="100">
        <v>0</v>
      </c>
      <c r="P92" s="100">
        <v>0.62</v>
      </c>
      <c r="Q92" s="100">
        <v>28.29</v>
      </c>
      <c r="R92" s="6"/>
      <c r="S92" s="6"/>
      <c r="T92" s="156"/>
      <c r="U92" s="6"/>
    </row>
    <row r="93" spans="1:21" customFormat="1">
      <c r="A93" s="163" t="s">
        <v>707</v>
      </c>
      <c r="B93" s="100">
        <v>12.02</v>
      </c>
      <c r="C93" s="100">
        <v>17.809999999999999</v>
      </c>
      <c r="D93" s="100">
        <v>20.29</v>
      </c>
      <c r="E93" s="100">
        <v>9.18</v>
      </c>
      <c r="F93" s="152" t="s">
        <v>15</v>
      </c>
      <c r="G93" s="100">
        <v>83.33</v>
      </c>
      <c r="H93" s="100">
        <v>21.77</v>
      </c>
      <c r="I93" s="100">
        <v>6.34</v>
      </c>
      <c r="J93" s="100">
        <v>0.77</v>
      </c>
      <c r="K93" s="100">
        <v>304.45</v>
      </c>
      <c r="L93" s="100">
        <v>25</v>
      </c>
      <c r="M93" s="100">
        <v>16.09</v>
      </c>
      <c r="N93" s="100">
        <v>0.7</v>
      </c>
      <c r="O93" s="100">
        <v>0</v>
      </c>
      <c r="P93" s="100">
        <v>0.63</v>
      </c>
      <c r="Q93" s="100">
        <v>28.3</v>
      </c>
      <c r="R93" s="6"/>
      <c r="S93" s="6"/>
      <c r="T93" s="156"/>
      <c r="U93" s="6"/>
    </row>
    <row r="94" spans="1:21" customFormat="1">
      <c r="A94" s="163" t="s">
        <v>708</v>
      </c>
      <c r="B94" s="100">
        <v>13.07</v>
      </c>
      <c r="C94" s="100">
        <v>17.100000000000001</v>
      </c>
      <c r="D94" s="100">
        <v>20.77</v>
      </c>
      <c r="E94" s="100">
        <v>8.92</v>
      </c>
      <c r="F94" s="152" t="s">
        <v>15</v>
      </c>
      <c r="G94" s="100">
        <v>83.6</v>
      </c>
      <c r="H94" s="100">
        <v>21.77</v>
      </c>
      <c r="I94" s="100">
        <v>6.37</v>
      </c>
      <c r="J94" s="100">
        <v>0.86</v>
      </c>
      <c r="K94" s="100">
        <v>305.8</v>
      </c>
      <c r="L94" s="100">
        <v>24.84</v>
      </c>
      <c r="M94" s="100">
        <v>15.73</v>
      </c>
      <c r="N94" s="100">
        <v>0.3</v>
      </c>
      <c r="O94" s="100">
        <v>0</v>
      </c>
      <c r="P94" s="100">
        <v>0.63</v>
      </c>
      <c r="Q94" s="100">
        <v>28.29</v>
      </c>
      <c r="R94" s="6"/>
      <c r="S94" s="6"/>
      <c r="T94" s="156"/>
      <c r="U94" s="6"/>
    </row>
    <row r="95" spans="1:21" customFormat="1">
      <c r="A95" s="163" t="s">
        <v>709</v>
      </c>
      <c r="B95" s="100">
        <v>14.03</v>
      </c>
      <c r="C95" s="100">
        <v>16.39</v>
      </c>
      <c r="D95" s="100">
        <v>21.16</v>
      </c>
      <c r="E95" s="100">
        <v>8.42</v>
      </c>
      <c r="F95" s="152" t="s">
        <v>15</v>
      </c>
      <c r="G95" s="100">
        <v>83.6</v>
      </c>
      <c r="H95" s="100">
        <v>21.77</v>
      </c>
      <c r="I95" s="100">
        <v>6.4</v>
      </c>
      <c r="J95" s="100">
        <v>1.22</v>
      </c>
      <c r="K95" s="100">
        <v>306.70999999999998</v>
      </c>
      <c r="L95" s="100">
        <v>24.78</v>
      </c>
      <c r="M95" s="100">
        <v>15.6</v>
      </c>
      <c r="N95" s="100">
        <v>0.2</v>
      </c>
      <c r="O95" s="100">
        <v>0</v>
      </c>
      <c r="P95" s="100">
        <v>0.64</v>
      </c>
      <c r="Q95" s="100">
        <v>28.29</v>
      </c>
      <c r="R95" s="6"/>
      <c r="S95" s="6"/>
      <c r="T95" s="156"/>
      <c r="U95" s="6"/>
    </row>
    <row r="96" spans="1:21" customFormat="1">
      <c r="A96" s="163" t="s">
        <v>710</v>
      </c>
      <c r="B96" s="100">
        <v>13.55</v>
      </c>
      <c r="C96" s="100">
        <v>16.89</v>
      </c>
      <c r="D96" s="100">
        <v>21.04</v>
      </c>
      <c r="E96" s="100">
        <v>8.52</v>
      </c>
      <c r="F96" s="152" t="s">
        <v>15</v>
      </c>
      <c r="G96" s="100">
        <v>83.6</v>
      </c>
      <c r="H96" s="100">
        <v>21.77</v>
      </c>
      <c r="I96" s="100">
        <v>6.45</v>
      </c>
      <c r="J96" s="100">
        <v>0.93</v>
      </c>
      <c r="K96" s="100">
        <v>311.8</v>
      </c>
      <c r="L96" s="100">
        <v>24.56</v>
      </c>
      <c r="M96" s="100">
        <v>16.22</v>
      </c>
      <c r="N96" s="100">
        <v>0.6</v>
      </c>
      <c r="O96" s="100">
        <v>0</v>
      </c>
      <c r="P96" s="100">
        <v>0.64</v>
      </c>
      <c r="Q96" s="100">
        <v>28.31</v>
      </c>
      <c r="R96" s="6"/>
      <c r="S96" s="6"/>
      <c r="T96" s="156"/>
      <c r="U96" s="6"/>
    </row>
    <row r="97" spans="1:28" customFormat="1">
      <c r="A97" s="163" t="s">
        <v>711</v>
      </c>
      <c r="B97" s="100">
        <v>14.1</v>
      </c>
      <c r="C97" s="100">
        <v>17.5</v>
      </c>
      <c r="D97" s="100">
        <v>21.8</v>
      </c>
      <c r="E97" s="100">
        <v>8.32</v>
      </c>
      <c r="F97" s="152" t="s">
        <v>15</v>
      </c>
      <c r="G97" s="100">
        <v>71.47</v>
      </c>
      <c r="H97" s="100">
        <v>20.329999999999998</v>
      </c>
      <c r="I97" s="100">
        <v>6.45</v>
      </c>
      <c r="J97" s="100">
        <v>0.67</v>
      </c>
      <c r="K97" s="100">
        <v>324.52</v>
      </c>
      <c r="L97" s="100">
        <v>24.1</v>
      </c>
      <c r="M97" s="100">
        <v>17.36</v>
      </c>
      <c r="N97" s="100">
        <v>0.7</v>
      </c>
      <c r="O97" s="100">
        <v>0</v>
      </c>
      <c r="P97" s="100">
        <v>0.64</v>
      </c>
      <c r="Q97" s="100">
        <v>28.32</v>
      </c>
      <c r="R97" s="6"/>
      <c r="S97" s="6"/>
      <c r="T97" s="156"/>
      <c r="U97" s="6"/>
    </row>
    <row r="98" spans="1:28" customFormat="1">
      <c r="A98" s="163" t="s">
        <v>712</v>
      </c>
      <c r="B98" s="100">
        <v>13.71</v>
      </c>
      <c r="C98" s="100">
        <v>17.64</v>
      </c>
      <c r="D98" s="100">
        <v>21.56</v>
      </c>
      <c r="E98" s="100">
        <v>8.33</v>
      </c>
      <c r="F98" s="152" t="s">
        <v>15</v>
      </c>
      <c r="G98" s="100">
        <v>70.45</v>
      </c>
      <c r="H98" s="100">
        <v>20.329999999999998</v>
      </c>
      <c r="I98" s="100">
        <v>6.43</v>
      </c>
      <c r="J98" s="100">
        <v>0.51</v>
      </c>
      <c r="K98" s="100">
        <v>325.23</v>
      </c>
      <c r="L98" s="100">
        <v>23.58</v>
      </c>
      <c r="M98" s="100">
        <v>18.91</v>
      </c>
      <c r="N98" s="100">
        <v>0.7</v>
      </c>
      <c r="O98" s="100">
        <v>0</v>
      </c>
      <c r="P98" s="100">
        <v>0.63</v>
      </c>
      <c r="Q98" s="100">
        <v>28.32</v>
      </c>
      <c r="R98" s="6"/>
      <c r="S98" s="6"/>
      <c r="T98" s="156"/>
      <c r="U98" s="6"/>
    </row>
    <row r="99" spans="1:28" customFormat="1">
      <c r="A99" s="163" t="s">
        <v>713</v>
      </c>
      <c r="B99" s="100">
        <v>14.48</v>
      </c>
      <c r="C99" s="100">
        <v>17.89</v>
      </c>
      <c r="D99" s="100">
        <v>22.31</v>
      </c>
      <c r="E99" s="100">
        <v>8.4700000000000006</v>
      </c>
      <c r="F99" s="152" t="s">
        <v>15</v>
      </c>
      <c r="G99" s="100">
        <v>70.45</v>
      </c>
      <c r="H99" s="100">
        <v>20.329999999999998</v>
      </c>
      <c r="I99" s="100">
        <v>6.4</v>
      </c>
      <c r="J99" s="100">
        <v>0.22</v>
      </c>
      <c r="K99" s="100">
        <v>315.8</v>
      </c>
      <c r="L99" s="100">
        <v>23.2</v>
      </c>
      <c r="M99" s="100">
        <v>20.11</v>
      </c>
      <c r="N99" s="100">
        <v>0.6</v>
      </c>
      <c r="O99" s="100">
        <v>0</v>
      </c>
      <c r="P99" s="100">
        <v>0.63</v>
      </c>
      <c r="Q99" s="100">
        <v>28.32</v>
      </c>
      <c r="R99" s="6"/>
      <c r="S99" s="6"/>
      <c r="T99" s="156"/>
      <c r="U99" s="6"/>
    </row>
    <row r="100" spans="1:28" customFormat="1">
      <c r="A100" s="163" t="s">
        <v>714</v>
      </c>
      <c r="B100" s="100">
        <v>15.86</v>
      </c>
      <c r="C100" s="100">
        <v>17.579999999999998</v>
      </c>
      <c r="D100" s="100">
        <v>23.25</v>
      </c>
      <c r="E100" s="100">
        <v>8.84</v>
      </c>
      <c r="F100" s="152" t="s">
        <v>15</v>
      </c>
      <c r="G100" s="100">
        <v>70.45</v>
      </c>
      <c r="H100" s="100">
        <v>20.329999999999998</v>
      </c>
      <c r="I100" s="100">
        <v>6.37</v>
      </c>
      <c r="J100" s="100">
        <v>0.49</v>
      </c>
      <c r="K100" s="100">
        <v>304.82</v>
      </c>
      <c r="L100" s="100">
        <v>22.94</v>
      </c>
      <c r="M100" s="100">
        <v>20.25</v>
      </c>
      <c r="N100" s="100">
        <v>0.2</v>
      </c>
      <c r="O100" s="100">
        <v>0</v>
      </c>
      <c r="P100" s="100">
        <v>0.64</v>
      </c>
      <c r="Q100" s="100">
        <v>28.34</v>
      </c>
      <c r="R100" s="6"/>
      <c r="S100" s="6"/>
      <c r="T100" s="156"/>
      <c r="U100" s="6"/>
      <c r="AB100" s="161"/>
    </row>
    <row r="101" spans="1:28" customFormat="1">
      <c r="A101" s="163" t="s">
        <v>715</v>
      </c>
      <c r="B101" s="100">
        <v>15.82</v>
      </c>
      <c r="C101" s="100">
        <v>18.16</v>
      </c>
      <c r="D101" s="100">
        <v>23.53</v>
      </c>
      <c r="E101" s="100">
        <v>9.01</v>
      </c>
      <c r="F101" s="152" t="s">
        <v>15</v>
      </c>
      <c r="G101" s="100">
        <v>67.02</v>
      </c>
      <c r="H101" s="100">
        <v>21.43</v>
      </c>
      <c r="I101" s="100">
        <v>6.36</v>
      </c>
      <c r="J101" s="100">
        <v>0.42</v>
      </c>
      <c r="K101" s="100">
        <v>313.06</v>
      </c>
      <c r="L101" s="100">
        <v>22.71</v>
      </c>
      <c r="M101" s="100">
        <v>20.48</v>
      </c>
      <c r="N101" s="100">
        <v>0.5</v>
      </c>
      <c r="O101" s="100">
        <v>0</v>
      </c>
      <c r="P101" s="100">
        <v>0.64</v>
      </c>
      <c r="Q101" s="100">
        <v>28.33</v>
      </c>
      <c r="R101" s="6"/>
      <c r="S101" s="6"/>
      <c r="T101" s="156"/>
      <c r="U101" s="6"/>
    </row>
    <row r="102" spans="1:28" customFormat="1">
      <c r="A102" s="163" t="s">
        <v>716</v>
      </c>
      <c r="B102" s="100">
        <v>16.32</v>
      </c>
      <c r="C102" s="100">
        <v>18.260000000000002</v>
      </c>
      <c r="D102" s="100">
        <v>23.98</v>
      </c>
      <c r="E102" s="100">
        <v>8.7200000000000006</v>
      </c>
      <c r="F102" s="152" t="s">
        <v>15</v>
      </c>
      <c r="G102" s="100">
        <v>66.73</v>
      </c>
      <c r="H102" s="100">
        <v>21.43</v>
      </c>
      <c r="I102" s="100">
        <v>6.35</v>
      </c>
      <c r="J102" s="100">
        <v>0.41</v>
      </c>
      <c r="K102" s="100">
        <v>328.96</v>
      </c>
      <c r="L102" s="100">
        <v>22.47</v>
      </c>
      <c r="M102" s="100">
        <v>20.21</v>
      </c>
      <c r="N102" s="100">
        <v>0.3</v>
      </c>
      <c r="O102" s="100">
        <v>0</v>
      </c>
      <c r="P102" s="100">
        <v>0.64</v>
      </c>
      <c r="Q102" s="100">
        <v>28.32</v>
      </c>
      <c r="R102" s="6"/>
      <c r="S102" s="6"/>
      <c r="T102" s="156"/>
      <c r="U102" s="6"/>
    </row>
    <row r="103" spans="1:28" customFormat="1">
      <c r="A103" s="163" t="s">
        <v>717</v>
      </c>
      <c r="B103" s="100">
        <v>15.94</v>
      </c>
      <c r="C103" s="100">
        <v>18.63</v>
      </c>
      <c r="D103" s="100">
        <v>23.87</v>
      </c>
      <c r="E103" s="100">
        <v>8.51</v>
      </c>
      <c r="F103" s="152" t="s">
        <v>15</v>
      </c>
      <c r="G103" s="100">
        <v>66.73</v>
      </c>
      <c r="H103" s="100">
        <v>21.43</v>
      </c>
      <c r="I103" s="100">
        <v>6.35</v>
      </c>
      <c r="J103" s="100">
        <v>0.36</v>
      </c>
      <c r="K103" s="100">
        <v>329.37</v>
      </c>
      <c r="L103" s="100">
        <v>22.31</v>
      </c>
      <c r="M103" s="100">
        <v>20.22</v>
      </c>
      <c r="N103" s="100">
        <v>0.3</v>
      </c>
      <c r="O103" s="100">
        <v>0</v>
      </c>
      <c r="P103" s="100">
        <v>0.63</v>
      </c>
      <c r="Q103" s="100">
        <v>28.32</v>
      </c>
      <c r="R103" s="6"/>
      <c r="S103" s="6"/>
      <c r="T103" s="156"/>
      <c r="U103" s="6"/>
    </row>
    <row r="104" spans="1:28" customFormat="1">
      <c r="A104" s="163" t="s">
        <v>718</v>
      </c>
      <c r="B104" s="100">
        <v>15.43</v>
      </c>
      <c r="C104" s="100">
        <v>18.88</v>
      </c>
      <c r="D104" s="100">
        <v>23.59</v>
      </c>
      <c r="E104" s="100">
        <v>8.44</v>
      </c>
      <c r="F104" s="152" t="s">
        <v>15</v>
      </c>
      <c r="G104" s="100">
        <v>66.73</v>
      </c>
      <c r="H104" s="100">
        <v>21.43</v>
      </c>
      <c r="I104" s="100">
        <v>6.31</v>
      </c>
      <c r="J104" s="100">
        <v>0.36</v>
      </c>
      <c r="K104" s="100">
        <v>348.61</v>
      </c>
      <c r="L104" s="100">
        <v>22.05</v>
      </c>
      <c r="M104" s="100">
        <v>20.23</v>
      </c>
      <c r="N104" s="100">
        <v>0.4</v>
      </c>
      <c r="O104" s="100">
        <v>0</v>
      </c>
      <c r="P104" s="100">
        <v>0.63</v>
      </c>
      <c r="Q104" s="100">
        <v>28.29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4.12</v>
      </c>
      <c r="C106" s="158">
        <f>MIN(C9:C104)</f>
        <v>16.39</v>
      </c>
      <c r="D106" s="158">
        <f t="shared" ref="D106:Q106" si="0">MIN(D9:D104)</f>
        <v>14.13</v>
      </c>
      <c r="E106" s="158">
        <f t="shared" si="0"/>
        <v>7.24</v>
      </c>
      <c r="F106" s="158">
        <f t="shared" si="0"/>
        <v>0</v>
      </c>
      <c r="G106" s="158">
        <f t="shared" si="0"/>
        <v>55.95</v>
      </c>
      <c r="H106" s="158">
        <f t="shared" si="0"/>
        <v>12.99</v>
      </c>
      <c r="I106" s="158">
        <f t="shared" si="0"/>
        <v>4.75</v>
      </c>
      <c r="J106" s="158">
        <f t="shared" si="0"/>
        <v>0.14000000000000001</v>
      </c>
      <c r="K106" s="158">
        <f t="shared" si="0"/>
        <v>1.0900000000000001</v>
      </c>
      <c r="L106" s="158">
        <f t="shared" si="0"/>
        <v>21.57</v>
      </c>
      <c r="M106" s="158">
        <f t="shared" si="0"/>
        <v>10.56</v>
      </c>
      <c r="N106" s="158">
        <f t="shared" si="0"/>
        <v>0</v>
      </c>
      <c r="O106" s="158">
        <f t="shared" si="0"/>
        <v>0</v>
      </c>
      <c r="P106" s="158">
        <f t="shared" si="0"/>
        <v>0.48</v>
      </c>
      <c r="Q106" s="158">
        <f t="shared" si="0"/>
        <v>28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16.32</v>
      </c>
      <c r="C107" s="157">
        <f t="shared" ref="C107:Q107" si="1">MAX(C9:C104)</f>
        <v>22.5</v>
      </c>
      <c r="D107" s="157">
        <f t="shared" si="1"/>
        <v>25.48</v>
      </c>
      <c r="E107" s="157">
        <f t="shared" si="1"/>
        <v>13.94</v>
      </c>
      <c r="F107" s="157">
        <f t="shared" si="1"/>
        <v>0</v>
      </c>
      <c r="G107" s="157">
        <f t="shared" si="1"/>
        <v>112.81</v>
      </c>
      <c r="H107" s="157">
        <f t="shared" si="1"/>
        <v>31.69</v>
      </c>
      <c r="I107" s="157">
        <f t="shared" si="1"/>
        <v>9.27</v>
      </c>
      <c r="J107" s="157">
        <f t="shared" si="1"/>
        <v>1.61</v>
      </c>
      <c r="K107" s="157">
        <f t="shared" si="1"/>
        <v>356.9</v>
      </c>
      <c r="L107" s="157">
        <f t="shared" si="1"/>
        <v>31.96</v>
      </c>
      <c r="M107" s="157">
        <f t="shared" si="1"/>
        <v>50.31</v>
      </c>
      <c r="N107" s="157">
        <f t="shared" si="1"/>
        <v>400.9</v>
      </c>
      <c r="O107" s="157">
        <f t="shared" si="1"/>
        <v>0</v>
      </c>
      <c r="P107" s="157">
        <f t="shared" si="1"/>
        <v>1.1200000000000001</v>
      </c>
      <c r="Q107" s="157">
        <f t="shared" si="1"/>
        <v>28.54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9.6215624999999996</v>
      </c>
      <c r="C108" s="158">
        <f t="shared" ref="C108:Q108" si="2">AVERAGE(C9:C104)</f>
        <v>19.787291666666665</v>
      </c>
      <c r="D108" s="158">
        <f t="shared" si="2"/>
        <v>19.405625000000001</v>
      </c>
      <c r="E108" s="158">
        <f t="shared" si="2"/>
        <v>9.0085416666666696</v>
      </c>
      <c r="F108" s="158" t="e">
        <f t="shared" si="2"/>
        <v>#DIV/0!</v>
      </c>
      <c r="G108" s="158">
        <f t="shared" si="2"/>
        <v>81.115520833333349</v>
      </c>
      <c r="H108" s="158">
        <f t="shared" si="2"/>
        <v>23.595416666666669</v>
      </c>
      <c r="I108" s="158">
        <f t="shared" si="2"/>
        <v>7.0302083333333343</v>
      </c>
      <c r="J108" s="158">
        <f t="shared" si="2"/>
        <v>0.76562500000000033</v>
      </c>
      <c r="K108" s="158">
        <f t="shared" si="2"/>
        <v>195.5411458333333</v>
      </c>
      <c r="L108" s="158">
        <f t="shared" si="2"/>
        <v>26.334062500000012</v>
      </c>
      <c r="M108" s="158">
        <f t="shared" si="2"/>
        <v>26.3871875</v>
      </c>
      <c r="N108" s="158">
        <f t="shared" si="2"/>
        <v>100.29791666666671</v>
      </c>
      <c r="O108" s="158">
        <f t="shared" si="2"/>
        <v>0</v>
      </c>
      <c r="P108" s="158">
        <f t="shared" si="2"/>
        <v>0.68166666666666653</v>
      </c>
      <c r="Q108" s="158">
        <f t="shared" si="2"/>
        <v>28.22687500000001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3.7201503444788817</v>
      </c>
      <c r="C109" s="158">
        <f t="shared" ref="C109:Q109" si="3">STDEV(C9:C104)</f>
        <v>1.5218752138945784</v>
      </c>
      <c r="D109" s="158">
        <f t="shared" si="3"/>
        <v>3.2125273908314069</v>
      </c>
      <c r="E109" s="158">
        <f t="shared" si="3"/>
        <v>1.141530808922488</v>
      </c>
      <c r="F109" s="158" t="e">
        <f t="shared" si="3"/>
        <v>#DIV/0!</v>
      </c>
      <c r="G109" s="158">
        <f t="shared" si="3"/>
        <v>15.992337432907654</v>
      </c>
      <c r="H109" s="158">
        <f t="shared" si="3"/>
        <v>4.8005113579956751</v>
      </c>
      <c r="I109" s="158">
        <f t="shared" si="3"/>
        <v>1.3179761032628465</v>
      </c>
      <c r="J109" s="158">
        <f t="shared" si="3"/>
        <v>0.33788447885724343</v>
      </c>
      <c r="K109" s="158">
        <f t="shared" si="3"/>
        <v>142.73738947245073</v>
      </c>
      <c r="L109" s="158">
        <f t="shared" si="3"/>
        <v>3.2270363063293281</v>
      </c>
      <c r="M109" s="158">
        <f t="shared" si="3"/>
        <v>14.323390564727907</v>
      </c>
      <c r="N109" s="158">
        <f t="shared" si="3"/>
        <v>146.87225955636751</v>
      </c>
      <c r="O109" s="158">
        <f t="shared" si="3"/>
        <v>0</v>
      </c>
      <c r="P109" s="158">
        <f t="shared" si="3"/>
        <v>0.17182406342515147</v>
      </c>
      <c r="Q109" s="158">
        <f t="shared" si="3"/>
        <v>0.15020906483263483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93" activePane="bottomRight" state="frozen"/>
      <selection pane="topRight"/>
      <selection pane="bottomLeft"/>
      <selection pane="bottomRight" activeCell="I101" sqref="I10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06/03/2025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719</v>
      </c>
      <c r="B9" s="100">
        <v>9.36</v>
      </c>
      <c r="C9" s="100">
        <v>18.53</v>
      </c>
      <c r="D9" s="100">
        <v>18.54</v>
      </c>
      <c r="E9" s="100">
        <v>8.18</v>
      </c>
      <c r="F9" s="152" t="s">
        <v>15</v>
      </c>
      <c r="G9" s="100">
        <v>65.13</v>
      </c>
      <c r="H9" s="100">
        <v>19.170000000000002</v>
      </c>
      <c r="I9" s="100">
        <v>6.26</v>
      </c>
      <c r="J9" s="100">
        <v>0.23</v>
      </c>
      <c r="K9" s="100">
        <v>358.33</v>
      </c>
      <c r="L9" s="100">
        <v>21.72</v>
      </c>
      <c r="M9" s="100">
        <v>20.58</v>
      </c>
      <c r="N9" s="100">
        <v>0.5</v>
      </c>
      <c r="O9" s="100">
        <v>0</v>
      </c>
      <c r="P9" s="100">
        <v>0.61</v>
      </c>
      <c r="Q9" s="100">
        <v>28.27</v>
      </c>
      <c r="R9" s="6"/>
      <c r="S9" s="6"/>
      <c r="T9" s="156"/>
      <c r="U9" s="6"/>
    </row>
    <row r="10" spans="1:21" customFormat="1">
      <c r="A10" s="163" t="s">
        <v>720</v>
      </c>
      <c r="B10" s="100">
        <v>9.14</v>
      </c>
      <c r="C10" s="100">
        <v>18.190000000000001</v>
      </c>
      <c r="D10" s="100">
        <v>18.18</v>
      </c>
      <c r="E10" s="100">
        <v>7.92</v>
      </c>
      <c r="F10" s="152" t="s">
        <v>15</v>
      </c>
      <c r="G10" s="100">
        <v>64.97</v>
      </c>
      <c r="H10" s="100">
        <v>19.170000000000002</v>
      </c>
      <c r="I10" s="100">
        <v>6.2</v>
      </c>
      <c r="J10" s="100">
        <v>0.34</v>
      </c>
      <c r="K10" s="100">
        <v>338.08</v>
      </c>
      <c r="L10" s="100">
        <v>21.35</v>
      </c>
      <c r="M10" s="100">
        <v>21.11</v>
      </c>
      <c r="N10" s="100">
        <v>0.4</v>
      </c>
      <c r="O10" s="100">
        <v>0</v>
      </c>
      <c r="P10" s="100">
        <v>0.6</v>
      </c>
      <c r="Q10" s="100">
        <v>28.26</v>
      </c>
      <c r="R10" s="6"/>
      <c r="S10" s="6"/>
      <c r="T10" s="156"/>
      <c r="U10" s="6"/>
    </row>
    <row r="11" spans="1:21" customFormat="1">
      <c r="A11" s="163" t="s">
        <v>721</v>
      </c>
      <c r="B11" s="100">
        <v>8.8800000000000008</v>
      </c>
      <c r="C11" s="100">
        <v>17.8</v>
      </c>
      <c r="D11" s="100">
        <v>17.77</v>
      </c>
      <c r="E11" s="100">
        <v>7.83</v>
      </c>
      <c r="F11" s="152" t="s">
        <v>15</v>
      </c>
      <c r="G11" s="100">
        <v>64.97</v>
      </c>
      <c r="H11" s="100">
        <v>19.170000000000002</v>
      </c>
      <c r="I11" s="100">
        <v>6.14</v>
      </c>
      <c r="J11" s="100">
        <v>0.31</v>
      </c>
      <c r="K11" s="100">
        <v>302.83</v>
      </c>
      <c r="L11" s="100">
        <v>21.21</v>
      </c>
      <c r="M11" s="100">
        <v>21.61</v>
      </c>
      <c r="N11" s="100">
        <v>0.3</v>
      </c>
      <c r="O11" s="100">
        <v>0</v>
      </c>
      <c r="P11" s="100">
        <v>0.6</v>
      </c>
      <c r="Q11" s="100">
        <v>28.24</v>
      </c>
      <c r="R11" s="6"/>
      <c r="S11" s="6"/>
      <c r="T11" s="156"/>
      <c r="U11" s="6"/>
    </row>
    <row r="12" spans="1:21" customFormat="1">
      <c r="A12" s="163" t="s">
        <v>722</v>
      </c>
      <c r="B12" s="100">
        <v>8.68</v>
      </c>
      <c r="C12" s="100">
        <v>17.63</v>
      </c>
      <c r="D12" s="100">
        <v>17.52</v>
      </c>
      <c r="E12" s="100">
        <v>8.0500000000000007</v>
      </c>
      <c r="F12" s="152" t="s">
        <v>15</v>
      </c>
      <c r="G12" s="100">
        <v>64.97</v>
      </c>
      <c r="H12" s="100">
        <v>19.170000000000002</v>
      </c>
      <c r="I12" s="100">
        <v>6.1</v>
      </c>
      <c r="J12" s="100">
        <v>0.26</v>
      </c>
      <c r="K12" s="100">
        <v>24.3</v>
      </c>
      <c r="L12" s="100">
        <v>20.85</v>
      </c>
      <c r="M12" s="100">
        <v>22.14</v>
      </c>
      <c r="N12" s="100">
        <v>0.5</v>
      </c>
      <c r="O12" s="100">
        <v>0</v>
      </c>
      <c r="P12" s="100">
        <v>0.59</v>
      </c>
      <c r="Q12" s="100">
        <v>28.22</v>
      </c>
      <c r="R12" s="6"/>
      <c r="S12" s="6"/>
      <c r="T12" s="156"/>
      <c r="U12" s="6"/>
    </row>
    <row r="13" spans="1:21" customFormat="1">
      <c r="A13" s="163" t="s">
        <v>723</v>
      </c>
      <c r="B13" s="100">
        <v>8.9600000000000009</v>
      </c>
      <c r="C13" s="100">
        <v>16.96</v>
      </c>
      <c r="D13" s="100">
        <v>17.399999999999999</v>
      </c>
      <c r="E13" s="100">
        <v>7.94</v>
      </c>
      <c r="F13" s="152" t="s">
        <v>15</v>
      </c>
      <c r="G13" s="100">
        <v>55.82</v>
      </c>
      <c r="H13" s="100">
        <v>19.09</v>
      </c>
      <c r="I13" s="100">
        <v>6.04</v>
      </c>
      <c r="J13" s="100">
        <v>0.46</v>
      </c>
      <c r="K13" s="100">
        <v>22.97</v>
      </c>
      <c r="L13" s="100">
        <v>20.67</v>
      </c>
      <c r="M13" s="100">
        <v>21.86</v>
      </c>
      <c r="N13" s="100">
        <v>0.3</v>
      </c>
      <c r="O13" s="100">
        <v>0</v>
      </c>
      <c r="P13" s="100">
        <v>0.57999999999999996</v>
      </c>
      <c r="Q13" s="100">
        <v>28.19</v>
      </c>
      <c r="R13" s="6"/>
      <c r="S13" s="6"/>
      <c r="T13" s="156"/>
      <c r="U13" s="6"/>
    </row>
    <row r="14" spans="1:21" customFormat="1">
      <c r="A14" s="163" t="s">
        <v>724</v>
      </c>
      <c r="B14" s="100">
        <v>9.01</v>
      </c>
      <c r="C14" s="100">
        <v>16.55</v>
      </c>
      <c r="D14" s="100">
        <v>17.22</v>
      </c>
      <c r="E14" s="100">
        <v>8.32</v>
      </c>
      <c r="F14" s="152" t="s">
        <v>15</v>
      </c>
      <c r="G14" s="100">
        <v>54.92</v>
      </c>
      <c r="H14" s="100">
        <v>19.09</v>
      </c>
      <c r="I14" s="100">
        <v>6</v>
      </c>
      <c r="J14" s="100">
        <v>0.61</v>
      </c>
      <c r="K14" s="100">
        <v>34.89</v>
      </c>
      <c r="L14" s="100">
        <v>20.59</v>
      </c>
      <c r="M14" s="100">
        <v>21.49</v>
      </c>
      <c r="N14" s="100">
        <v>0.2</v>
      </c>
      <c r="O14" s="100">
        <v>0</v>
      </c>
      <c r="P14" s="100">
        <v>0.57999999999999996</v>
      </c>
      <c r="Q14" s="100">
        <v>28.19</v>
      </c>
      <c r="R14" s="6"/>
      <c r="S14" s="6"/>
      <c r="T14" s="156"/>
      <c r="U14" s="6"/>
    </row>
    <row r="15" spans="1:21" customFormat="1">
      <c r="A15" s="163" t="s">
        <v>725</v>
      </c>
      <c r="B15" s="100">
        <v>9.43</v>
      </c>
      <c r="C15" s="100">
        <v>16.14</v>
      </c>
      <c r="D15" s="100">
        <v>17.350000000000001</v>
      </c>
      <c r="E15" s="100">
        <v>8.5299999999999994</v>
      </c>
      <c r="F15" s="152" t="s">
        <v>15</v>
      </c>
      <c r="G15" s="100">
        <v>54.92</v>
      </c>
      <c r="H15" s="100">
        <v>19.09</v>
      </c>
      <c r="I15" s="100">
        <v>5.99</v>
      </c>
      <c r="J15" s="100">
        <v>0.62</v>
      </c>
      <c r="K15" s="100">
        <v>49.2</v>
      </c>
      <c r="L15" s="100">
        <v>20.27</v>
      </c>
      <c r="M15" s="100">
        <v>22.96</v>
      </c>
      <c r="N15" s="100">
        <v>0.6</v>
      </c>
      <c r="O15" s="100">
        <v>0</v>
      </c>
      <c r="P15" s="100">
        <v>0.59</v>
      </c>
      <c r="Q15" s="100">
        <v>28.17</v>
      </c>
      <c r="R15" s="6"/>
      <c r="S15" s="6"/>
      <c r="T15" s="156"/>
      <c r="U15" s="6"/>
    </row>
    <row r="16" spans="1:21" customFormat="1">
      <c r="A16" s="163" t="s">
        <v>726</v>
      </c>
      <c r="B16" s="100">
        <v>9.73</v>
      </c>
      <c r="C16" s="100">
        <v>15.81</v>
      </c>
      <c r="D16" s="100">
        <v>17.420000000000002</v>
      </c>
      <c r="E16" s="100">
        <v>8.2200000000000006</v>
      </c>
      <c r="F16" s="152" t="s">
        <v>15</v>
      </c>
      <c r="G16" s="100">
        <v>54.92</v>
      </c>
      <c r="H16" s="100">
        <v>19.09</v>
      </c>
      <c r="I16" s="100">
        <v>5.96</v>
      </c>
      <c r="J16" s="100">
        <v>0.34</v>
      </c>
      <c r="K16" s="100">
        <v>14.61</v>
      </c>
      <c r="L16" s="100">
        <v>19.899999999999999</v>
      </c>
      <c r="M16" s="100">
        <v>24.07</v>
      </c>
      <c r="N16" s="100">
        <v>0.6</v>
      </c>
      <c r="O16" s="100">
        <v>0</v>
      </c>
      <c r="P16" s="100">
        <v>0.59</v>
      </c>
      <c r="Q16" s="100">
        <v>28.17</v>
      </c>
      <c r="R16" s="6"/>
      <c r="S16" s="6"/>
      <c r="T16" s="156"/>
      <c r="U16" s="6"/>
    </row>
    <row r="17" spans="1:21" customFormat="1">
      <c r="A17" s="163" t="s">
        <v>727</v>
      </c>
      <c r="B17" s="100">
        <v>10.54</v>
      </c>
      <c r="C17" s="100">
        <v>15.09</v>
      </c>
      <c r="D17" s="100">
        <v>17.690000000000001</v>
      </c>
      <c r="E17" s="100">
        <v>8.1300000000000008</v>
      </c>
      <c r="F17" s="152" t="s">
        <v>15</v>
      </c>
      <c r="G17" s="100">
        <v>53.51</v>
      </c>
      <c r="H17" s="100">
        <v>17.760000000000002</v>
      </c>
      <c r="I17" s="100">
        <v>5.94</v>
      </c>
      <c r="J17" s="100">
        <v>0.55000000000000004</v>
      </c>
      <c r="K17" s="100">
        <v>35.590000000000003</v>
      </c>
      <c r="L17" s="100">
        <v>19.739999999999998</v>
      </c>
      <c r="M17" s="100">
        <v>24.22</v>
      </c>
      <c r="N17" s="100">
        <v>0.3</v>
      </c>
      <c r="O17" s="100">
        <v>0</v>
      </c>
      <c r="P17" s="100">
        <v>0.59</v>
      </c>
      <c r="Q17" s="100">
        <v>28.16</v>
      </c>
      <c r="R17" s="6"/>
      <c r="S17" s="6"/>
      <c r="T17" s="156"/>
      <c r="U17" s="6"/>
    </row>
    <row r="18" spans="1:21" customFormat="1">
      <c r="A18" s="163" t="s">
        <v>728</v>
      </c>
      <c r="B18" s="100">
        <v>10.31</v>
      </c>
      <c r="C18" s="100">
        <v>15.05</v>
      </c>
      <c r="D18" s="100">
        <v>17.489999999999998</v>
      </c>
      <c r="E18" s="100">
        <v>9.48</v>
      </c>
      <c r="F18" s="152" t="s">
        <v>15</v>
      </c>
      <c r="G18" s="100">
        <v>53.37</v>
      </c>
      <c r="H18" s="100">
        <v>17.760000000000002</v>
      </c>
      <c r="I18" s="100">
        <v>5.92</v>
      </c>
      <c r="J18" s="100">
        <v>0.35</v>
      </c>
      <c r="K18" s="100">
        <v>9.34</v>
      </c>
      <c r="L18" s="100">
        <v>19.66</v>
      </c>
      <c r="M18" s="100">
        <v>24.3</v>
      </c>
      <c r="N18" s="100">
        <v>0.4</v>
      </c>
      <c r="O18" s="100">
        <v>0</v>
      </c>
      <c r="P18" s="100">
        <v>0.6</v>
      </c>
      <c r="Q18" s="100">
        <v>28.12</v>
      </c>
      <c r="R18" s="6"/>
      <c r="S18" s="6"/>
      <c r="T18" s="156"/>
      <c r="U18" s="6"/>
    </row>
    <row r="19" spans="1:21" customFormat="1">
      <c r="A19" s="163" t="s">
        <v>729</v>
      </c>
      <c r="B19" s="100">
        <v>8.68</v>
      </c>
      <c r="C19" s="100">
        <v>15.34</v>
      </c>
      <c r="D19" s="100">
        <v>16.32</v>
      </c>
      <c r="E19" s="100">
        <v>9.74</v>
      </c>
      <c r="F19" s="152" t="s">
        <v>15</v>
      </c>
      <c r="G19" s="100">
        <v>53.37</v>
      </c>
      <c r="H19" s="100">
        <v>17.760000000000002</v>
      </c>
      <c r="I19" s="100">
        <v>5.92</v>
      </c>
      <c r="J19" s="100">
        <v>0.05</v>
      </c>
      <c r="K19" s="100">
        <v>228.02</v>
      </c>
      <c r="L19" s="100">
        <v>19.43</v>
      </c>
      <c r="M19" s="100">
        <v>25.49</v>
      </c>
      <c r="N19" s="100">
        <v>0.6</v>
      </c>
      <c r="O19" s="100">
        <v>0</v>
      </c>
      <c r="P19" s="100">
        <v>0.6</v>
      </c>
      <c r="Q19" s="100">
        <v>28.12</v>
      </c>
      <c r="R19" s="6"/>
      <c r="S19" s="6"/>
      <c r="T19" s="156"/>
      <c r="U19" s="6"/>
    </row>
    <row r="20" spans="1:21" customFormat="1">
      <c r="A20" s="163" t="s">
        <v>730</v>
      </c>
      <c r="B20" s="100">
        <v>6.5</v>
      </c>
      <c r="C20" s="100">
        <v>16.16</v>
      </c>
      <c r="D20" s="100">
        <v>15</v>
      </c>
      <c r="E20" s="100">
        <v>9.8800000000000008</v>
      </c>
      <c r="F20" s="152" t="s">
        <v>15</v>
      </c>
      <c r="G20" s="100">
        <v>53.37</v>
      </c>
      <c r="H20" s="100">
        <v>17.760000000000002</v>
      </c>
      <c r="I20" s="100">
        <v>5.95</v>
      </c>
      <c r="J20" s="100">
        <v>0.21</v>
      </c>
      <c r="K20" s="100">
        <v>203.4</v>
      </c>
      <c r="L20" s="100">
        <v>18.97</v>
      </c>
      <c r="M20" s="100">
        <v>27.37</v>
      </c>
      <c r="N20" s="100">
        <v>0.6</v>
      </c>
      <c r="O20" s="100">
        <v>0</v>
      </c>
      <c r="P20" s="100">
        <v>0.61</v>
      </c>
      <c r="Q20" s="100">
        <v>28.11</v>
      </c>
      <c r="R20" s="6"/>
      <c r="S20" s="6"/>
      <c r="T20" s="156"/>
      <c r="U20" s="6"/>
    </row>
    <row r="21" spans="1:21" customFormat="1">
      <c r="A21" s="163" t="s">
        <v>731</v>
      </c>
      <c r="B21" s="100">
        <v>5.27</v>
      </c>
      <c r="C21" s="100">
        <v>16.39</v>
      </c>
      <c r="D21" s="100">
        <v>14.14</v>
      </c>
      <c r="E21" s="100">
        <v>9.07</v>
      </c>
      <c r="F21" s="152" t="s">
        <v>15</v>
      </c>
      <c r="G21" s="100">
        <v>53.68</v>
      </c>
      <c r="H21" s="100">
        <v>16.23</v>
      </c>
      <c r="I21" s="100">
        <v>5.96</v>
      </c>
      <c r="J21" s="100">
        <v>0.13</v>
      </c>
      <c r="K21" s="100">
        <v>153.44999999999999</v>
      </c>
      <c r="L21" s="100">
        <v>18.04</v>
      </c>
      <c r="M21" s="100">
        <v>32.15</v>
      </c>
      <c r="N21" s="100">
        <v>0.9</v>
      </c>
      <c r="O21" s="100">
        <v>0</v>
      </c>
      <c r="P21" s="100">
        <v>0.62</v>
      </c>
      <c r="Q21" s="100">
        <v>28.11</v>
      </c>
      <c r="R21" s="6"/>
      <c r="S21" s="6"/>
      <c r="T21" s="156"/>
      <c r="U21" s="6"/>
    </row>
    <row r="22" spans="1:21" customFormat="1">
      <c r="A22" s="163" t="s">
        <v>732</v>
      </c>
      <c r="B22" s="100">
        <v>5.27</v>
      </c>
      <c r="C22" s="100">
        <v>16.22</v>
      </c>
      <c r="D22" s="100">
        <v>14.05</v>
      </c>
      <c r="E22" s="100">
        <v>8.5299999999999994</v>
      </c>
      <c r="F22" s="152" t="s">
        <v>15</v>
      </c>
      <c r="G22" s="100">
        <v>53.71</v>
      </c>
      <c r="H22" s="100">
        <v>16.23</v>
      </c>
      <c r="I22" s="100">
        <v>5.96</v>
      </c>
      <c r="J22" s="100">
        <v>0.46</v>
      </c>
      <c r="K22" s="100">
        <v>36.130000000000003</v>
      </c>
      <c r="L22" s="100">
        <v>18.5</v>
      </c>
      <c r="M22" s="100">
        <v>26.77</v>
      </c>
      <c r="N22" s="100">
        <v>0</v>
      </c>
      <c r="O22" s="100">
        <v>0</v>
      </c>
      <c r="P22" s="100">
        <v>0.63</v>
      </c>
      <c r="Q22" s="100">
        <v>28.12</v>
      </c>
      <c r="R22" s="6"/>
      <c r="S22" s="6"/>
      <c r="T22" s="156"/>
      <c r="U22" s="6"/>
    </row>
    <row r="23" spans="1:21" customFormat="1">
      <c r="A23" s="163" t="s">
        <v>733</v>
      </c>
      <c r="B23" s="100">
        <v>4.53</v>
      </c>
      <c r="C23" s="100">
        <v>16.91</v>
      </c>
      <c r="D23" s="100">
        <v>13.82</v>
      </c>
      <c r="E23" s="100">
        <v>8.4600000000000009</v>
      </c>
      <c r="F23" s="152" t="s">
        <v>15</v>
      </c>
      <c r="G23" s="100">
        <v>53.71</v>
      </c>
      <c r="H23" s="100">
        <v>16.23</v>
      </c>
      <c r="I23" s="100">
        <v>5.98</v>
      </c>
      <c r="J23" s="100">
        <v>0.37</v>
      </c>
      <c r="K23" s="100">
        <v>38.11</v>
      </c>
      <c r="L23" s="100">
        <v>18.86</v>
      </c>
      <c r="M23" s="100">
        <v>26.16</v>
      </c>
      <c r="N23" s="100">
        <v>0.2</v>
      </c>
      <c r="O23" s="100">
        <v>0</v>
      </c>
      <c r="P23" s="100">
        <v>0.63</v>
      </c>
      <c r="Q23" s="100">
        <v>28.14</v>
      </c>
      <c r="R23" s="6"/>
      <c r="S23" s="6"/>
      <c r="T23" s="156"/>
      <c r="U23" s="6"/>
    </row>
    <row r="24" spans="1:21" customFormat="1">
      <c r="A24" s="163" t="s">
        <v>734</v>
      </c>
      <c r="B24" s="100">
        <v>3.88</v>
      </c>
      <c r="C24" s="100">
        <v>17.62</v>
      </c>
      <c r="D24" s="100">
        <v>13.67</v>
      </c>
      <c r="E24" s="100">
        <v>8.2899999999999991</v>
      </c>
      <c r="F24" s="152" t="s">
        <v>15</v>
      </c>
      <c r="G24" s="100">
        <v>53.71</v>
      </c>
      <c r="H24" s="100">
        <v>16.23</v>
      </c>
      <c r="I24" s="100">
        <v>6.03</v>
      </c>
      <c r="J24" s="100">
        <v>0.23</v>
      </c>
      <c r="K24" s="100">
        <v>193.86</v>
      </c>
      <c r="L24" s="100">
        <v>17.850000000000001</v>
      </c>
      <c r="M24" s="100">
        <v>33.49</v>
      </c>
      <c r="N24" s="100">
        <v>1.2</v>
      </c>
      <c r="O24" s="100">
        <v>0</v>
      </c>
      <c r="P24" s="100">
        <v>0.63</v>
      </c>
      <c r="Q24" s="100">
        <v>28.12</v>
      </c>
      <c r="R24" s="6"/>
      <c r="S24" s="6"/>
      <c r="T24" s="156"/>
      <c r="U24" s="6"/>
    </row>
    <row r="25" spans="1:21" customFormat="1">
      <c r="A25" s="163" t="s">
        <v>735</v>
      </c>
      <c r="B25" s="100">
        <v>7.39</v>
      </c>
      <c r="C25" s="100">
        <v>16.12</v>
      </c>
      <c r="D25" s="100">
        <v>15.7</v>
      </c>
      <c r="E25" s="100">
        <v>8.43</v>
      </c>
      <c r="F25" s="152" t="s">
        <v>15</v>
      </c>
      <c r="G25" s="100">
        <v>50.03</v>
      </c>
      <c r="H25" s="100">
        <v>11.36</v>
      </c>
      <c r="I25" s="100">
        <v>6.06</v>
      </c>
      <c r="J25" s="100">
        <v>0.08</v>
      </c>
      <c r="K25" s="100">
        <v>151.37</v>
      </c>
      <c r="L25" s="100">
        <v>16.989999999999998</v>
      </c>
      <c r="M25" s="100">
        <v>35.08</v>
      </c>
      <c r="N25" s="100">
        <v>0.9</v>
      </c>
      <c r="O25" s="100">
        <v>0</v>
      </c>
      <c r="P25" s="100">
        <v>0.64</v>
      </c>
      <c r="Q25" s="100">
        <v>28.13</v>
      </c>
      <c r="R25" s="6"/>
      <c r="S25" s="6"/>
      <c r="T25" s="156"/>
      <c r="U25" s="6"/>
    </row>
    <row r="26" spans="1:21" customFormat="1">
      <c r="A26" s="163" t="s">
        <v>736</v>
      </c>
      <c r="B26" s="100">
        <v>7.35</v>
      </c>
      <c r="C26" s="100">
        <v>16.079999999999998</v>
      </c>
      <c r="D26" s="100">
        <v>15.65</v>
      </c>
      <c r="E26" s="100">
        <v>8.1199999999999992</v>
      </c>
      <c r="F26" s="152" t="s">
        <v>15</v>
      </c>
      <c r="G26" s="100">
        <v>49.67</v>
      </c>
      <c r="H26" s="100">
        <v>11.36</v>
      </c>
      <c r="I26" s="100">
        <v>6.09</v>
      </c>
      <c r="J26" s="100">
        <v>0.73</v>
      </c>
      <c r="K26" s="100">
        <v>56.35</v>
      </c>
      <c r="L26" s="100">
        <v>17.579999999999998</v>
      </c>
      <c r="M26" s="100">
        <v>30.57</v>
      </c>
      <c r="N26" s="100">
        <v>0.1</v>
      </c>
      <c r="O26" s="100">
        <v>0</v>
      </c>
      <c r="P26" s="100">
        <v>0.63</v>
      </c>
      <c r="Q26" s="100">
        <v>28.16</v>
      </c>
      <c r="R26" s="6"/>
      <c r="S26" s="6"/>
      <c r="T26" s="156"/>
      <c r="U26" s="6"/>
    </row>
    <row r="27" spans="1:21" customFormat="1">
      <c r="A27" s="163" t="s">
        <v>737</v>
      </c>
      <c r="B27" s="100">
        <v>10.54</v>
      </c>
      <c r="C27" s="100">
        <v>15.19</v>
      </c>
      <c r="D27" s="100">
        <v>17.739999999999998</v>
      </c>
      <c r="E27" s="100">
        <v>7.67</v>
      </c>
      <c r="F27" s="152" t="s">
        <v>15</v>
      </c>
      <c r="G27" s="100">
        <v>49.67</v>
      </c>
      <c r="H27" s="100">
        <v>11.36</v>
      </c>
      <c r="I27" s="100">
        <v>6.12</v>
      </c>
      <c r="J27" s="100">
        <v>0.71</v>
      </c>
      <c r="K27" s="100">
        <v>55.6</v>
      </c>
      <c r="L27" s="100">
        <v>17.899999999999999</v>
      </c>
      <c r="M27" s="100">
        <v>29.23</v>
      </c>
      <c r="N27" s="100">
        <v>0.2</v>
      </c>
      <c r="O27" s="100">
        <v>0</v>
      </c>
      <c r="P27" s="100">
        <v>0.63</v>
      </c>
      <c r="Q27" s="100">
        <v>28.18</v>
      </c>
      <c r="R27" s="6"/>
      <c r="S27" s="6"/>
      <c r="T27" s="156"/>
      <c r="U27" s="6"/>
    </row>
    <row r="28" spans="1:21" customFormat="1">
      <c r="A28" s="163" t="s">
        <v>738</v>
      </c>
      <c r="B28" s="100">
        <v>10.08</v>
      </c>
      <c r="C28" s="100">
        <v>15.53</v>
      </c>
      <c r="D28" s="100">
        <v>17.55</v>
      </c>
      <c r="E28" s="100">
        <v>7.57</v>
      </c>
      <c r="F28" s="152" t="s">
        <v>15</v>
      </c>
      <c r="G28" s="100">
        <v>49.67</v>
      </c>
      <c r="H28" s="100">
        <v>11.36</v>
      </c>
      <c r="I28" s="100">
        <v>6.15</v>
      </c>
      <c r="J28" s="100">
        <v>0.38</v>
      </c>
      <c r="K28" s="100">
        <v>47</v>
      </c>
      <c r="L28" s="100">
        <v>17.54</v>
      </c>
      <c r="M28" s="100">
        <v>31.45</v>
      </c>
      <c r="N28" s="100">
        <v>0.6</v>
      </c>
      <c r="O28" s="100">
        <v>0</v>
      </c>
      <c r="P28" s="100">
        <v>0.62</v>
      </c>
      <c r="Q28" s="100">
        <v>28.17</v>
      </c>
      <c r="R28" s="6"/>
      <c r="S28" s="6"/>
      <c r="T28" s="156"/>
      <c r="U28" s="6"/>
    </row>
    <row r="29" spans="1:21" customFormat="1">
      <c r="A29" s="163" t="s">
        <v>739</v>
      </c>
      <c r="B29" s="100">
        <v>7.19</v>
      </c>
      <c r="C29" s="100">
        <v>17.149999999999999</v>
      </c>
      <c r="D29" s="100">
        <v>16.079999999999998</v>
      </c>
      <c r="E29" s="100">
        <v>7.66</v>
      </c>
      <c r="F29" s="152" t="s">
        <v>15</v>
      </c>
      <c r="G29" s="100">
        <v>46.21</v>
      </c>
      <c r="H29" s="100">
        <v>14.04</v>
      </c>
      <c r="I29" s="100">
        <v>6.16</v>
      </c>
      <c r="J29" s="100">
        <v>0.04</v>
      </c>
      <c r="K29" s="100">
        <v>80.150000000000006</v>
      </c>
      <c r="L29" s="100">
        <v>17.059999999999999</v>
      </c>
      <c r="M29" s="100">
        <v>34.450000000000003</v>
      </c>
      <c r="N29" s="100">
        <v>0.8</v>
      </c>
      <c r="O29" s="100">
        <v>0</v>
      </c>
      <c r="P29" s="100">
        <v>0.63</v>
      </c>
      <c r="Q29" s="100">
        <v>28.19</v>
      </c>
      <c r="R29" s="6"/>
      <c r="S29" s="6"/>
      <c r="T29" s="156"/>
      <c r="U29" s="6"/>
    </row>
    <row r="30" spans="1:21" customFormat="1">
      <c r="A30" s="163" t="s">
        <v>740</v>
      </c>
      <c r="B30" s="100">
        <v>6.92</v>
      </c>
      <c r="C30" s="100">
        <v>17.420000000000002</v>
      </c>
      <c r="D30" s="100">
        <v>16</v>
      </c>
      <c r="E30" s="100">
        <v>7.69</v>
      </c>
      <c r="F30" s="152" t="s">
        <v>15</v>
      </c>
      <c r="G30" s="100">
        <v>45.88</v>
      </c>
      <c r="H30" s="100">
        <v>14.04</v>
      </c>
      <c r="I30" s="100">
        <v>6.15</v>
      </c>
      <c r="J30" s="100">
        <v>0.17</v>
      </c>
      <c r="K30" s="100">
        <v>195.16</v>
      </c>
      <c r="L30" s="100">
        <v>15.89</v>
      </c>
      <c r="M30" s="100">
        <v>41.95</v>
      </c>
      <c r="N30" s="100">
        <v>1.1000000000000001</v>
      </c>
      <c r="O30" s="100">
        <v>0</v>
      </c>
      <c r="P30" s="100">
        <v>0.63</v>
      </c>
      <c r="Q30" s="100">
        <v>28.22</v>
      </c>
      <c r="R30" s="6"/>
      <c r="S30" s="6"/>
      <c r="T30" s="156"/>
      <c r="U30" s="6"/>
    </row>
    <row r="31" spans="1:21" customFormat="1">
      <c r="A31" s="163" t="s">
        <v>741</v>
      </c>
      <c r="B31" s="100">
        <v>9.27</v>
      </c>
      <c r="C31" s="100">
        <v>16.510000000000002</v>
      </c>
      <c r="D31" s="100">
        <v>17.41</v>
      </c>
      <c r="E31" s="100">
        <v>7.59</v>
      </c>
      <c r="F31" s="152" t="s">
        <v>15</v>
      </c>
      <c r="G31" s="100">
        <v>45.88</v>
      </c>
      <c r="H31" s="100">
        <v>14.04</v>
      </c>
      <c r="I31" s="100">
        <v>6.19</v>
      </c>
      <c r="J31" s="100">
        <v>0.12</v>
      </c>
      <c r="K31" s="100">
        <v>113.78</v>
      </c>
      <c r="L31" s="100">
        <v>15.65</v>
      </c>
      <c r="M31" s="100">
        <v>40.98</v>
      </c>
      <c r="N31" s="100">
        <v>0.5</v>
      </c>
      <c r="O31" s="100">
        <v>0</v>
      </c>
      <c r="P31" s="100">
        <v>0.63</v>
      </c>
      <c r="Q31" s="100">
        <v>28.24</v>
      </c>
      <c r="R31" s="6"/>
      <c r="S31" s="6"/>
      <c r="T31" s="156"/>
      <c r="U31" s="6"/>
    </row>
    <row r="32" spans="1:21" customFormat="1">
      <c r="A32" s="163" t="s">
        <v>742</v>
      </c>
      <c r="B32" s="100">
        <v>12.31</v>
      </c>
      <c r="C32" s="100">
        <v>15.86</v>
      </c>
      <c r="D32" s="100">
        <v>19.510000000000002</v>
      </c>
      <c r="E32" s="100">
        <v>7.59</v>
      </c>
      <c r="F32" s="152" t="s">
        <v>15</v>
      </c>
      <c r="G32" s="100">
        <v>45.88</v>
      </c>
      <c r="H32" s="100">
        <v>14.04</v>
      </c>
      <c r="I32" s="100">
        <v>6.25</v>
      </c>
      <c r="J32" s="100">
        <v>0.22</v>
      </c>
      <c r="K32" s="100">
        <v>145.25</v>
      </c>
      <c r="L32" s="100">
        <v>15.41</v>
      </c>
      <c r="M32" s="100">
        <v>45.6</v>
      </c>
      <c r="N32" s="100">
        <v>0.6</v>
      </c>
      <c r="O32" s="100">
        <v>0</v>
      </c>
      <c r="P32" s="100">
        <v>0.64</v>
      </c>
      <c r="Q32" s="100">
        <v>28.26</v>
      </c>
      <c r="R32" s="6"/>
      <c r="S32" s="6"/>
      <c r="T32" s="156"/>
      <c r="U32" s="6"/>
    </row>
    <row r="33" spans="1:21" customFormat="1">
      <c r="A33" s="163" t="s">
        <v>743</v>
      </c>
      <c r="B33" s="100">
        <v>10.99</v>
      </c>
      <c r="C33" s="100">
        <v>16.47</v>
      </c>
      <c r="D33" s="100">
        <v>18.77</v>
      </c>
      <c r="E33" s="100">
        <v>7.66</v>
      </c>
      <c r="F33" s="152" t="s">
        <v>15</v>
      </c>
      <c r="G33" s="100">
        <v>55.43</v>
      </c>
      <c r="H33" s="100">
        <v>16.48</v>
      </c>
      <c r="I33" s="100">
        <v>6.3</v>
      </c>
      <c r="J33" s="100">
        <v>0.25</v>
      </c>
      <c r="K33" s="100">
        <v>173.46</v>
      </c>
      <c r="L33" s="100">
        <v>14.74</v>
      </c>
      <c r="M33" s="100">
        <v>52.57</v>
      </c>
      <c r="N33" s="100">
        <v>1.7</v>
      </c>
      <c r="O33" s="100">
        <v>0</v>
      </c>
      <c r="P33" s="100">
        <v>0.65</v>
      </c>
      <c r="Q33" s="100">
        <v>28.27</v>
      </c>
      <c r="R33" s="6"/>
      <c r="S33" s="6"/>
      <c r="T33" s="156"/>
      <c r="U33" s="6"/>
    </row>
    <row r="34" spans="1:21" customFormat="1">
      <c r="A34" s="163" t="s">
        <v>744</v>
      </c>
      <c r="B34" s="100">
        <v>9.49</v>
      </c>
      <c r="C34" s="100">
        <v>17.32</v>
      </c>
      <c r="D34" s="100">
        <v>18.010000000000002</v>
      </c>
      <c r="E34" s="100">
        <v>8.0399999999999991</v>
      </c>
      <c r="F34" s="152" t="s">
        <v>15</v>
      </c>
      <c r="G34" s="100">
        <v>56.36</v>
      </c>
      <c r="H34" s="100">
        <v>16.48</v>
      </c>
      <c r="I34" s="100">
        <v>6.41</v>
      </c>
      <c r="J34" s="100">
        <v>0.22</v>
      </c>
      <c r="K34" s="100">
        <v>175.98</v>
      </c>
      <c r="L34" s="100">
        <v>14.41</v>
      </c>
      <c r="M34" s="100">
        <v>52.33</v>
      </c>
      <c r="N34" s="100">
        <v>5</v>
      </c>
      <c r="O34" s="100">
        <v>0</v>
      </c>
      <c r="P34" s="100">
        <v>0.65</v>
      </c>
      <c r="Q34" s="100">
        <v>28.28</v>
      </c>
      <c r="R34" s="6"/>
      <c r="S34" s="6"/>
      <c r="T34" s="156"/>
      <c r="U34" s="6"/>
    </row>
    <row r="35" spans="1:21" customFormat="1">
      <c r="A35" s="163" t="s">
        <v>745</v>
      </c>
      <c r="B35" s="100">
        <v>7.65</v>
      </c>
      <c r="C35" s="100">
        <v>18.59</v>
      </c>
      <c r="D35" s="100">
        <v>17.2</v>
      </c>
      <c r="E35" s="100">
        <v>8.02</v>
      </c>
      <c r="F35" s="152" t="s">
        <v>15</v>
      </c>
      <c r="G35" s="100">
        <v>56.36</v>
      </c>
      <c r="H35" s="100">
        <v>16.48</v>
      </c>
      <c r="I35" s="100">
        <v>6.55</v>
      </c>
      <c r="J35" s="100">
        <v>0.28999999999999998</v>
      </c>
      <c r="K35" s="100">
        <v>210.92</v>
      </c>
      <c r="L35" s="100">
        <v>14.13</v>
      </c>
      <c r="M35" s="100">
        <v>56.18</v>
      </c>
      <c r="N35" s="100">
        <v>10.7</v>
      </c>
      <c r="O35" s="100">
        <v>0</v>
      </c>
      <c r="P35" s="100">
        <v>0.67</v>
      </c>
      <c r="Q35" s="100">
        <v>28.31</v>
      </c>
      <c r="R35" s="6"/>
      <c r="S35" s="6"/>
      <c r="T35" s="156"/>
      <c r="U35" s="6"/>
    </row>
    <row r="36" spans="1:21" customFormat="1">
      <c r="A36" s="163" t="s">
        <v>746</v>
      </c>
      <c r="B36" s="100">
        <v>8.23</v>
      </c>
      <c r="C36" s="100">
        <v>17.8</v>
      </c>
      <c r="D36" s="100">
        <v>17.25</v>
      </c>
      <c r="E36" s="100">
        <v>8.0299999999999994</v>
      </c>
      <c r="F36" s="152" t="s">
        <v>15</v>
      </c>
      <c r="G36" s="100">
        <v>56.36</v>
      </c>
      <c r="H36" s="100">
        <v>16.48</v>
      </c>
      <c r="I36" s="100">
        <v>6.73</v>
      </c>
      <c r="J36" s="100">
        <v>0.28000000000000003</v>
      </c>
      <c r="K36" s="100">
        <v>198.09</v>
      </c>
      <c r="L36" s="100">
        <v>14.39</v>
      </c>
      <c r="M36" s="100">
        <v>53.23</v>
      </c>
      <c r="N36" s="100">
        <v>16</v>
      </c>
      <c r="O36" s="100">
        <v>0</v>
      </c>
      <c r="P36" s="100">
        <v>0.68</v>
      </c>
      <c r="Q36" s="100">
        <v>28.3</v>
      </c>
      <c r="R36" s="6"/>
      <c r="S36" s="6"/>
      <c r="T36" s="156"/>
      <c r="U36" s="6"/>
    </row>
    <row r="37" spans="1:21" customFormat="1">
      <c r="A37" s="163" t="s">
        <v>747</v>
      </c>
      <c r="B37" s="100">
        <v>8.3699999999999992</v>
      </c>
      <c r="C37" s="100">
        <v>17.05</v>
      </c>
      <c r="D37" s="100">
        <v>16.97</v>
      </c>
      <c r="E37" s="100">
        <v>7.86</v>
      </c>
      <c r="F37" s="152" t="s">
        <v>15</v>
      </c>
      <c r="G37" s="100">
        <v>67.680000000000007</v>
      </c>
      <c r="H37" s="100">
        <v>18.84</v>
      </c>
      <c r="I37" s="100">
        <v>7.18</v>
      </c>
      <c r="J37" s="100">
        <v>0.19</v>
      </c>
      <c r="K37" s="100">
        <v>174.85</v>
      </c>
      <c r="L37" s="100">
        <v>15.4</v>
      </c>
      <c r="M37" s="100">
        <v>46.12</v>
      </c>
      <c r="N37" s="100">
        <v>20.5</v>
      </c>
      <c r="O37" s="100">
        <v>0</v>
      </c>
      <c r="P37" s="100">
        <v>0.69</v>
      </c>
      <c r="Q37" s="100">
        <v>28.31</v>
      </c>
      <c r="R37" s="6"/>
      <c r="S37" s="6"/>
      <c r="T37" s="156"/>
      <c r="U37" s="6"/>
    </row>
    <row r="38" spans="1:21" customFormat="1">
      <c r="A38" s="163" t="s">
        <v>748</v>
      </c>
      <c r="B38" s="100">
        <v>12.75</v>
      </c>
      <c r="C38" s="100">
        <v>16.059999999999999</v>
      </c>
      <c r="D38" s="100">
        <v>19.97</v>
      </c>
      <c r="E38" s="100">
        <v>7.95</v>
      </c>
      <c r="F38" s="152" t="s">
        <v>15</v>
      </c>
      <c r="G38" s="100">
        <v>68.78</v>
      </c>
      <c r="H38" s="100">
        <v>18.84</v>
      </c>
      <c r="I38" s="100">
        <v>7.9</v>
      </c>
      <c r="J38" s="100">
        <v>0.24</v>
      </c>
      <c r="K38" s="100">
        <v>60.96</v>
      </c>
      <c r="L38" s="100">
        <v>16.47</v>
      </c>
      <c r="M38" s="100">
        <v>42.61</v>
      </c>
      <c r="N38" s="100">
        <v>24.8</v>
      </c>
      <c r="O38" s="100">
        <v>0</v>
      </c>
      <c r="P38" s="100">
        <v>0.69</v>
      </c>
      <c r="Q38" s="100">
        <v>28.33</v>
      </c>
      <c r="R38" s="6"/>
      <c r="S38" s="6"/>
      <c r="T38" s="156"/>
      <c r="U38" s="6"/>
    </row>
    <row r="39" spans="1:21" customFormat="1">
      <c r="A39" s="163" t="s">
        <v>749</v>
      </c>
      <c r="B39" s="100">
        <v>13.71</v>
      </c>
      <c r="C39" s="100">
        <v>16.59</v>
      </c>
      <c r="D39" s="100">
        <v>21.02</v>
      </c>
      <c r="E39" s="100">
        <v>8.27</v>
      </c>
      <c r="F39" s="152" t="s">
        <v>15</v>
      </c>
      <c r="G39" s="100">
        <v>68.78</v>
      </c>
      <c r="H39" s="100">
        <v>18.84</v>
      </c>
      <c r="I39" s="100">
        <v>8.35</v>
      </c>
      <c r="J39" s="100">
        <v>0.45</v>
      </c>
      <c r="K39" s="100">
        <v>24.17</v>
      </c>
      <c r="L39" s="100">
        <v>18.010000000000002</v>
      </c>
      <c r="M39" s="100">
        <v>36.32</v>
      </c>
      <c r="N39" s="100">
        <v>29.1</v>
      </c>
      <c r="O39" s="100">
        <v>0</v>
      </c>
      <c r="P39" s="100">
        <v>0.72</v>
      </c>
      <c r="Q39" s="100">
        <v>28.35</v>
      </c>
      <c r="R39" s="6"/>
      <c r="S39" s="6"/>
      <c r="T39" s="156"/>
      <c r="U39" s="6"/>
    </row>
    <row r="40" spans="1:21" customFormat="1">
      <c r="A40" s="163" t="s">
        <v>750</v>
      </c>
      <c r="B40" s="100">
        <v>12.72</v>
      </c>
      <c r="C40" s="100">
        <v>17.96</v>
      </c>
      <c r="D40" s="100">
        <v>20.93</v>
      </c>
      <c r="E40" s="100">
        <v>8.66</v>
      </c>
      <c r="F40" s="152" t="s">
        <v>15</v>
      </c>
      <c r="G40" s="100">
        <v>68.78</v>
      </c>
      <c r="H40" s="100">
        <v>18.84</v>
      </c>
      <c r="I40" s="100">
        <v>8.56</v>
      </c>
      <c r="J40" s="100">
        <v>0.8</v>
      </c>
      <c r="K40" s="100">
        <v>42.33</v>
      </c>
      <c r="L40" s="100">
        <v>19.149999999999999</v>
      </c>
      <c r="M40" s="100">
        <v>31.36</v>
      </c>
      <c r="N40" s="100">
        <v>56.1</v>
      </c>
      <c r="O40" s="100">
        <v>0</v>
      </c>
      <c r="P40" s="100">
        <v>0.75</v>
      </c>
      <c r="Q40" s="100">
        <v>28.39</v>
      </c>
      <c r="R40" s="6"/>
      <c r="S40" s="6"/>
      <c r="T40" s="156"/>
      <c r="U40" s="6"/>
    </row>
    <row r="41" spans="1:21" customFormat="1">
      <c r="A41" s="163" t="s">
        <v>751</v>
      </c>
      <c r="B41" s="100">
        <v>13.1</v>
      </c>
      <c r="C41" s="100">
        <v>18.190000000000001</v>
      </c>
      <c r="D41" s="100">
        <v>21.36</v>
      </c>
      <c r="E41" s="100">
        <v>9.7100000000000009</v>
      </c>
      <c r="F41" s="152" t="s">
        <v>15</v>
      </c>
      <c r="G41" s="100">
        <v>85.24</v>
      </c>
      <c r="H41" s="100">
        <v>26.9</v>
      </c>
      <c r="I41" s="100">
        <v>8.93</v>
      </c>
      <c r="J41" s="100">
        <v>1.07</v>
      </c>
      <c r="K41" s="100">
        <v>41.79</v>
      </c>
      <c r="L41" s="100">
        <v>20.27</v>
      </c>
      <c r="M41" s="100">
        <v>27.95</v>
      </c>
      <c r="N41" s="100">
        <v>115.1</v>
      </c>
      <c r="O41" s="100">
        <v>0</v>
      </c>
      <c r="P41" s="100">
        <v>0.76</v>
      </c>
      <c r="Q41" s="100">
        <v>28.41</v>
      </c>
      <c r="R41" s="6"/>
      <c r="S41" s="6"/>
      <c r="T41" s="156"/>
      <c r="U41" s="6"/>
    </row>
    <row r="42" spans="1:21" customFormat="1">
      <c r="A42" s="163" t="s">
        <v>752</v>
      </c>
      <c r="B42" s="100">
        <v>13.37</v>
      </c>
      <c r="C42" s="100">
        <v>18.309999999999999</v>
      </c>
      <c r="D42" s="100">
        <v>21.64</v>
      </c>
      <c r="E42" s="100">
        <v>10.24</v>
      </c>
      <c r="F42" s="152" t="s">
        <v>15</v>
      </c>
      <c r="G42" s="100">
        <v>86.84</v>
      </c>
      <c r="H42" s="100">
        <v>26.9</v>
      </c>
      <c r="I42" s="100">
        <v>9.41</v>
      </c>
      <c r="J42" s="100">
        <v>0.88</v>
      </c>
      <c r="K42" s="100">
        <v>41.08</v>
      </c>
      <c r="L42" s="100">
        <v>21.59</v>
      </c>
      <c r="M42" s="100">
        <v>23.53</v>
      </c>
      <c r="N42" s="100">
        <v>229.7</v>
      </c>
      <c r="O42" s="100">
        <v>0</v>
      </c>
      <c r="P42" s="100">
        <v>0.78</v>
      </c>
      <c r="Q42" s="100">
        <v>28.39</v>
      </c>
      <c r="R42" s="6"/>
      <c r="S42" s="6"/>
      <c r="T42" s="156"/>
      <c r="U42" s="6"/>
    </row>
    <row r="43" spans="1:21" customFormat="1">
      <c r="A43" s="163" t="s">
        <v>753</v>
      </c>
      <c r="B43" s="100">
        <v>16</v>
      </c>
      <c r="C43" s="100">
        <v>17.649999999999999</v>
      </c>
      <c r="D43" s="100">
        <v>23.41</v>
      </c>
      <c r="E43" s="100">
        <v>10.4</v>
      </c>
      <c r="F43" s="152" t="s">
        <v>15</v>
      </c>
      <c r="G43" s="100">
        <v>86.84</v>
      </c>
      <c r="H43" s="100">
        <v>26.9</v>
      </c>
      <c r="I43" s="100">
        <v>9.99</v>
      </c>
      <c r="J43" s="100">
        <v>1.1499999999999999</v>
      </c>
      <c r="K43" s="100">
        <v>41.75</v>
      </c>
      <c r="L43" s="100">
        <v>22.88</v>
      </c>
      <c r="M43" s="100">
        <v>18.72</v>
      </c>
      <c r="N43" s="100">
        <v>285.5</v>
      </c>
      <c r="O43" s="100">
        <v>0</v>
      </c>
      <c r="P43" s="100">
        <v>0.78</v>
      </c>
      <c r="Q43" s="100">
        <v>28.4</v>
      </c>
      <c r="R43" s="6"/>
      <c r="S43" s="6"/>
      <c r="T43" s="156"/>
      <c r="U43" s="6"/>
    </row>
    <row r="44" spans="1:21" customFormat="1">
      <c r="A44" s="163" t="s">
        <v>754</v>
      </c>
      <c r="B44" s="100">
        <v>16.23</v>
      </c>
      <c r="C44" s="100">
        <v>17.510000000000002</v>
      </c>
      <c r="D44" s="100">
        <v>23.51</v>
      </c>
      <c r="E44" s="100">
        <v>9.5500000000000007</v>
      </c>
      <c r="F44" s="152" t="s">
        <v>15</v>
      </c>
      <c r="G44" s="100">
        <v>86.84</v>
      </c>
      <c r="H44" s="100">
        <v>26.9</v>
      </c>
      <c r="I44" s="100">
        <v>10.28</v>
      </c>
      <c r="J44" s="100">
        <v>1.2</v>
      </c>
      <c r="K44" s="100">
        <v>38.159999999999997</v>
      </c>
      <c r="L44" s="100">
        <v>23.89</v>
      </c>
      <c r="M44" s="100">
        <v>17.350000000000001</v>
      </c>
      <c r="N44" s="100">
        <v>296.2</v>
      </c>
      <c r="O44" s="100">
        <v>0</v>
      </c>
      <c r="P44" s="100">
        <v>0.77</v>
      </c>
      <c r="Q44" s="100">
        <v>28.37</v>
      </c>
      <c r="R44" s="6"/>
      <c r="S44" s="6"/>
      <c r="T44" s="156"/>
      <c r="U44" s="6"/>
    </row>
    <row r="45" spans="1:21" customFormat="1">
      <c r="A45" s="163" t="s">
        <v>755</v>
      </c>
      <c r="B45" s="100">
        <v>15.79</v>
      </c>
      <c r="C45" s="100">
        <v>17.72</v>
      </c>
      <c r="D45" s="100">
        <v>23.27</v>
      </c>
      <c r="E45" s="100">
        <v>9.56</v>
      </c>
      <c r="F45" s="152" t="s">
        <v>15</v>
      </c>
      <c r="G45" s="100">
        <v>92.84</v>
      </c>
      <c r="H45" s="100">
        <v>30.7</v>
      </c>
      <c r="I45" s="100">
        <v>10.17</v>
      </c>
      <c r="J45" s="100">
        <v>0.98</v>
      </c>
      <c r="K45" s="100">
        <v>21.46</v>
      </c>
      <c r="L45" s="100">
        <v>24.86</v>
      </c>
      <c r="M45" s="100">
        <v>16.62</v>
      </c>
      <c r="N45" s="100">
        <v>229.7</v>
      </c>
      <c r="O45" s="100">
        <v>0</v>
      </c>
      <c r="P45" s="100">
        <v>0.76</v>
      </c>
      <c r="Q45" s="100">
        <v>28.32</v>
      </c>
      <c r="R45" s="6"/>
      <c r="S45" s="6"/>
      <c r="T45" s="156"/>
      <c r="U45" s="6"/>
    </row>
    <row r="46" spans="1:21" customFormat="1">
      <c r="A46" s="163" t="s">
        <v>756</v>
      </c>
      <c r="B46" s="100">
        <v>15.26</v>
      </c>
      <c r="C46" s="100">
        <v>17.39</v>
      </c>
      <c r="D46" s="100">
        <v>22.67</v>
      </c>
      <c r="E46" s="100">
        <v>8.73</v>
      </c>
      <c r="F46" s="152" t="s">
        <v>15</v>
      </c>
      <c r="G46" s="100">
        <v>93.43</v>
      </c>
      <c r="H46" s="100">
        <v>30.7</v>
      </c>
      <c r="I46" s="100">
        <v>9.91</v>
      </c>
      <c r="J46" s="100">
        <v>1</v>
      </c>
      <c r="K46" s="100">
        <v>37.729999999999997</v>
      </c>
      <c r="L46" s="100">
        <v>25.7</v>
      </c>
      <c r="M46" s="100">
        <v>13.72</v>
      </c>
      <c r="N46" s="100">
        <v>332.1</v>
      </c>
      <c r="O46" s="100">
        <v>0</v>
      </c>
      <c r="P46" s="100">
        <v>0.74</v>
      </c>
      <c r="Q46" s="100">
        <v>28.29</v>
      </c>
      <c r="R46" s="6"/>
      <c r="S46" s="6"/>
      <c r="T46" s="156"/>
      <c r="U46" s="6"/>
    </row>
    <row r="47" spans="1:21" customFormat="1">
      <c r="A47" s="163" t="s">
        <v>757</v>
      </c>
      <c r="B47" s="100">
        <v>14.07</v>
      </c>
      <c r="C47" s="100">
        <v>17.579999999999998</v>
      </c>
      <c r="D47" s="100">
        <v>21.82</v>
      </c>
      <c r="E47" s="100">
        <v>8.0299999999999994</v>
      </c>
      <c r="F47" s="152" t="s">
        <v>15</v>
      </c>
      <c r="G47" s="100">
        <v>93.43</v>
      </c>
      <c r="H47" s="100">
        <v>30.7</v>
      </c>
      <c r="I47" s="100">
        <v>9.67</v>
      </c>
      <c r="J47" s="100">
        <v>1.03</v>
      </c>
      <c r="K47" s="100">
        <v>21.91</v>
      </c>
      <c r="L47" s="100">
        <v>26.11</v>
      </c>
      <c r="M47" s="100">
        <v>13.19</v>
      </c>
      <c r="N47" s="100">
        <v>341.5</v>
      </c>
      <c r="O47" s="100">
        <v>0</v>
      </c>
      <c r="P47" s="100">
        <v>0.73</v>
      </c>
      <c r="Q47" s="100">
        <v>28.26</v>
      </c>
      <c r="R47" s="6"/>
      <c r="S47" s="6"/>
      <c r="T47" s="156"/>
      <c r="U47" s="6"/>
    </row>
    <row r="48" spans="1:21" customFormat="1">
      <c r="A48" s="163" t="s">
        <v>758</v>
      </c>
      <c r="B48" s="100">
        <v>14.41</v>
      </c>
      <c r="C48" s="100">
        <v>17.649999999999999</v>
      </c>
      <c r="D48" s="100">
        <v>22.13</v>
      </c>
      <c r="E48" s="100">
        <v>8.27</v>
      </c>
      <c r="F48" s="152" t="s">
        <v>15</v>
      </c>
      <c r="G48" s="100">
        <v>93.43</v>
      </c>
      <c r="H48" s="100">
        <v>30.7</v>
      </c>
      <c r="I48" s="100">
        <v>9.43</v>
      </c>
      <c r="J48" s="100">
        <v>0.79</v>
      </c>
      <c r="K48" s="100">
        <v>24.7</v>
      </c>
      <c r="L48" s="100">
        <v>26.49</v>
      </c>
      <c r="M48" s="100">
        <v>12.93</v>
      </c>
      <c r="N48" s="100">
        <v>345.6</v>
      </c>
      <c r="O48" s="100">
        <v>0</v>
      </c>
      <c r="P48" s="100">
        <v>0.72</v>
      </c>
      <c r="Q48" s="100">
        <v>28.24</v>
      </c>
      <c r="R48" s="6"/>
      <c r="S48" s="6"/>
      <c r="T48" s="156"/>
      <c r="U48" s="6"/>
    </row>
    <row r="49" spans="1:21" customFormat="1">
      <c r="A49" s="163" t="s">
        <v>759</v>
      </c>
      <c r="B49" s="100">
        <v>12.41</v>
      </c>
      <c r="C49" s="100">
        <v>17.59</v>
      </c>
      <c r="D49" s="100">
        <v>20.49</v>
      </c>
      <c r="E49" s="100">
        <v>8.27</v>
      </c>
      <c r="F49" s="152" t="s">
        <v>15</v>
      </c>
      <c r="G49" s="100">
        <v>73.52</v>
      </c>
      <c r="H49" s="100">
        <v>25.58</v>
      </c>
      <c r="I49" s="100">
        <v>9.14</v>
      </c>
      <c r="J49" s="100">
        <v>1.02</v>
      </c>
      <c r="K49" s="100">
        <v>33.49</v>
      </c>
      <c r="L49" s="100">
        <v>27.12</v>
      </c>
      <c r="M49" s="100">
        <v>12.28</v>
      </c>
      <c r="N49" s="100">
        <v>294</v>
      </c>
      <c r="O49" s="100">
        <v>0</v>
      </c>
      <c r="P49" s="100">
        <v>0.7</v>
      </c>
      <c r="Q49" s="100">
        <v>28.2</v>
      </c>
      <c r="R49" s="6"/>
      <c r="S49" s="6"/>
      <c r="T49" s="156"/>
      <c r="U49" s="6"/>
    </row>
    <row r="50" spans="1:21" customFormat="1">
      <c r="A50" s="163" t="s">
        <v>760</v>
      </c>
      <c r="B50" s="100">
        <v>11.39</v>
      </c>
      <c r="C50" s="100">
        <v>17.54</v>
      </c>
      <c r="D50" s="100">
        <v>19.649999999999999</v>
      </c>
      <c r="E50" s="100">
        <v>9.92</v>
      </c>
      <c r="F50" s="152" t="s">
        <v>15</v>
      </c>
      <c r="G50" s="100">
        <v>71.569999999999993</v>
      </c>
      <c r="H50" s="100">
        <v>25.58</v>
      </c>
      <c r="I50" s="100">
        <v>8.8800000000000008</v>
      </c>
      <c r="J50" s="100">
        <v>1.3</v>
      </c>
      <c r="K50" s="100">
        <v>39.200000000000003</v>
      </c>
      <c r="L50" s="100">
        <v>27.58</v>
      </c>
      <c r="M50" s="100">
        <v>11.94</v>
      </c>
      <c r="N50" s="100">
        <v>268.8</v>
      </c>
      <c r="O50" s="100">
        <v>0</v>
      </c>
      <c r="P50" s="100">
        <v>0.69</v>
      </c>
      <c r="Q50" s="100">
        <v>28.15</v>
      </c>
      <c r="R50" s="6"/>
      <c r="S50" s="6"/>
      <c r="T50" s="156"/>
      <c r="U50" s="6"/>
    </row>
    <row r="51" spans="1:21" customFormat="1">
      <c r="A51" s="163" t="s">
        <v>761</v>
      </c>
      <c r="B51" s="100">
        <v>12.69</v>
      </c>
      <c r="C51" s="100">
        <v>17.29</v>
      </c>
      <c r="D51" s="100">
        <v>20.56</v>
      </c>
      <c r="E51" s="100">
        <v>11.28</v>
      </c>
      <c r="F51" s="152" t="s">
        <v>15</v>
      </c>
      <c r="G51" s="100">
        <v>71.569999999999993</v>
      </c>
      <c r="H51" s="100">
        <v>25.58</v>
      </c>
      <c r="I51" s="100">
        <v>8.64</v>
      </c>
      <c r="J51" s="100">
        <v>1.17</v>
      </c>
      <c r="K51" s="100">
        <v>36.96</v>
      </c>
      <c r="L51" s="100">
        <v>28.08</v>
      </c>
      <c r="M51" s="100">
        <v>11.41</v>
      </c>
      <c r="N51" s="100">
        <v>363.7</v>
      </c>
      <c r="O51" s="100">
        <v>0</v>
      </c>
      <c r="P51" s="100">
        <v>0.67</v>
      </c>
      <c r="Q51" s="100">
        <v>28.12</v>
      </c>
      <c r="R51" s="6"/>
      <c r="S51" s="6"/>
      <c r="T51" s="156"/>
      <c r="U51" s="6"/>
    </row>
    <row r="52" spans="1:21" customFormat="1">
      <c r="A52" s="163" t="s">
        <v>762</v>
      </c>
      <c r="B52" s="100">
        <v>12.74</v>
      </c>
      <c r="C52" s="100">
        <v>17.190000000000001</v>
      </c>
      <c r="D52" s="100">
        <v>20.55</v>
      </c>
      <c r="E52" s="100">
        <v>11.88</v>
      </c>
      <c r="F52" s="152" t="s">
        <v>15</v>
      </c>
      <c r="G52" s="100">
        <v>71.569999999999993</v>
      </c>
      <c r="H52" s="100">
        <v>25.58</v>
      </c>
      <c r="I52" s="100">
        <v>8.4</v>
      </c>
      <c r="J52" s="100">
        <v>0.56000000000000005</v>
      </c>
      <c r="K52" s="100">
        <v>25.84</v>
      </c>
      <c r="L52" s="100">
        <v>28.31</v>
      </c>
      <c r="M52" s="100">
        <v>11.57</v>
      </c>
      <c r="N52" s="100">
        <v>362.7</v>
      </c>
      <c r="O52" s="100">
        <v>0</v>
      </c>
      <c r="P52" s="100">
        <v>0.66</v>
      </c>
      <c r="Q52" s="100">
        <v>28.12</v>
      </c>
      <c r="R52" s="6"/>
      <c r="S52" s="6"/>
      <c r="T52" s="156"/>
      <c r="U52" s="6"/>
    </row>
    <row r="53" spans="1:21" customFormat="1">
      <c r="A53" s="163" t="s">
        <v>763</v>
      </c>
      <c r="B53" s="100">
        <v>12.58</v>
      </c>
      <c r="C53" s="100">
        <v>16.79</v>
      </c>
      <c r="D53" s="100">
        <v>20.21</v>
      </c>
      <c r="E53" s="100">
        <v>12.51</v>
      </c>
      <c r="F53" s="152" t="s">
        <v>15</v>
      </c>
      <c r="G53" s="100">
        <v>57.64</v>
      </c>
      <c r="H53" s="100">
        <v>21.46</v>
      </c>
      <c r="I53" s="100">
        <v>8.18</v>
      </c>
      <c r="J53" s="100">
        <v>0.7</v>
      </c>
      <c r="K53" s="100">
        <v>352.56</v>
      </c>
      <c r="L53" s="100">
        <v>29.04</v>
      </c>
      <c r="M53" s="100">
        <v>11.19</v>
      </c>
      <c r="N53" s="100">
        <v>357.9</v>
      </c>
      <c r="O53" s="100">
        <v>0</v>
      </c>
      <c r="P53" s="100">
        <v>0.64</v>
      </c>
      <c r="Q53" s="100">
        <v>28.12</v>
      </c>
      <c r="R53" s="6"/>
      <c r="S53" s="6"/>
      <c r="T53" s="156"/>
      <c r="U53" s="6"/>
    </row>
    <row r="54" spans="1:21" customFormat="1">
      <c r="A54" s="163" t="s">
        <v>764</v>
      </c>
      <c r="B54" s="100">
        <v>10.9</v>
      </c>
      <c r="C54" s="100">
        <v>16.73</v>
      </c>
      <c r="D54" s="100">
        <v>18.829999999999998</v>
      </c>
      <c r="E54" s="100">
        <v>10.76</v>
      </c>
      <c r="F54" s="152" t="s">
        <v>15</v>
      </c>
      <c r="G54" s="100">
        <v>56.29</v>
      </c>
      <c r="H54" s="100">
        <v>21.46</v>
      </c>
      <c r="I54" s="100">
        <v>8.01</v>
      </c>
      <c r="J54" s="100">
        <v>0.63</v>
      </c>
      <c r="K54" s="100">
        <v>302.08</v>
      </c>
      <c r="L54" s="100">
        <v>29.06</v>
      </c>
      <c r="M54" s="100">
        <v>10.15</v>
      </c>
      <c r="N54" s="100">
        <v>335.8</v>
      </c>
      <c r="O54" s="100">
        <v>0</v>
      </c>
      <c r="P54" s="100">
        <v>0.64</v>
      </c>
      <c r="Q54" s="100">
        <v>28.1</v>
      </c>
      <c r="R54" s="6"/>
      <c r="S54" s="6"/>
      <c r="T54" s="156"/>
      <c r="U54" s="6"/>
    </row>
    <row r="55" spans="1:21" customFormat="1">
      <c r="A55" s="163" t="s">
        <v>765</v>
      </c>
      <c r="B55" s="100">
        <v>9.1999999999999993</v>
      </c>
      <c r="C55" s="100">
        <v>16.649999999999999</v>
      </c>
      <c r="D55" s="100">
        <v>17.43</v>
      </c>
      <c r="E55" s="100">
        <v>11.41</v>
      </c>
      <c r="F55" s="152" t="s">
        <v>15</v>
      </c>
      <c r="G55" s="100">
        <v>56.29</v>
      </c>
      <c r="H55" s="100">
        <v>21.46</v>
      </c>
      <c r="I55" s="100">
        <v>7.81</v>
      </c>
      <c r="J55" s="100">
        <v>0.55000000000000004</v>
      </c>
      <c r="K55" s="100">
        <v>47.18</v>
      </c>
      <c r="L55" s="100">
        <v>30.09</v>
      </c>
      <c r="M55" s="100">
        <v>10.220000000000001</v>
      </c>
      <c r="N55" s="100">
        <v>342.3</v>
      </c>
      <c r="O55" s="100">
        <v>0</v>
      </c>
      <c r="P55" s="100">
        <v>0.63</v>
      </c>
      <c r="Q55" s="100">
        <v>28.08</v>
      </c>
      <c r="R55" s="6"/>
      <c r="S55" s="6"/>
      <c r="T55" s="156"/>
      <c r="U55" s="6"/>
    </row>
    <row r="56" spans="1:21" customFormat="1">
      <c r="A56" s="163" t="s">
        <v>766</v>
      </c>
      <c r="B56" s="100">
        <v>8.5299999999999994</v>
      </c>
      <c r="C56" s="100">
        <v>16.25</v>
      </c>
      <c r="D56" s="100">
        <v>16.68</v>
      </c>
      <c r="E56" s="100">
        <v>11.23</v>
      </c>
      <c r="F56" s="152" t="s">
        <v>15</v>
      </c>
      <c r="G56" s="100">
        <v>56.29</v>
      </c>
      <c r="H56" s="100">
        <v>21.46</v>
      </c>
      <c r="I56" s="100">
        <v>7.64</v>
      </c>
      <c r="J56" s="100">
        <v>0.79</v>
      </c>
      <c r="K56" s="100">
        <v>333.54</v>
      </c>
      <c r="L56" s="100">
        <v>29.52</v>
      </c>
      <c r="M56" s="100">
        <v>10.55</v>
      </c>
      <c r="N56" s="100">
        <v>341.7</v>
      </c>
      <c r="O56" s="100">
        <v>0</v>
      </c>
      <c r="P56" s="100">
        <v>0.62</v>
      </c>
      <c r="Q56" s="100">
        <v>28.06</v>
      </c>
      <c r="R56" s="6"/>
      <c r="S56" s="6"/>
      <c r="T56" s="156"/>
      <c r="U56" s="6"/>
    </row>
    <row r="57" spans="1:21" customFormat="1">
      <c r="A57" s="163" t="s">
        <v>767</v>
      </c>
      <c r="B57" s="100">
        <v>9.9499999999999993</v>
      </c>
      <c r="C57" s="100">
        <v>15.57</v>
      </c>
      <c r="D57" s="100">
        <v>17.46</v>
      </c>
      <c r="E57" s="100">
        <v>10.32</v>
      </c>
      <c r="F57" s="152" t="s">
        <v>15</v>
      </c>
      <c r="G57" s="100">
        <v>58.88</v>
      </c>
      <c r="H57" s="100">
        <v>20.9</v>
      </c>
      <c r="I57" s="100">
        <v>7.54</v>
      </c>
      <c r="J57" s="100">
        <v>0.91</v>
      </c>
      <c r="K57" s="100">
        <v>311.68</v>
      </c>
      <c r="L57" s="100">
        <v>29.58</v>
      </c>
      <c r="M57" s="100">
        <v>9.69</v>
      </c>
      <c r="N57" s="100">
        <v>373.5</v>
      </c>
      <c r="O57" s="100">
        <v>0</v>
      </c>
      <c r="P57" s="100">
        <v>0.62</v>
      </c>
      <c r="Q57" s="100">
        <v>28.05</v>
      </c>
      <c r="R57" s="6"/>
      <c r="S57" s="6"/>
      <c r="T57" s="156"/>
      <c r="U57" s="6"/>
    </row>
    <row r="58" spans="1:21" customFormat="1">
      <c r="A58" s="163" t="s">
        <v>768</v>
      </c>
      <c r="B58" s="100">
        <v>8.48</v>
      </c>
      <c r="C58" s="100">
        <v>15.56</v>
      </c>
      <c r="D58" s="100">
        <v>16.28</v>
      </c>
      <c r="E58" s="100">
        <v>10.25</v>
      </c>
      <c r="F58" s="152" t="s">
        <v>15</v>
      </c>
      <c r="G58" s="100">
        <v>59.14</v>
      </c>
      <c r="H58" s="100">
        <v>20.9</v>
      </c>
      <c r="I58" s="100">
        <v>7.46</v>
      </c>
      <c r="J58" s="100">
        <v>0.24</v>
      </c>
      <c r="K58" s="100">
        <v>8.49</v>
      </c>
      <c r="L58" s="100">
        <v>30.38</v>
      </c>
      <c r="M58" s="100">
        <v>8.7100000000000009</v>
      </c>
      <c r="N58" s="100">
        <v>377.7</v>
      </c>
      <c r="O58" s="100">
        <v>0</v>
      </c>
      <c r="P58" s="100">
        <v>0.61</v>
      </c>
      <c r="Q58" s="100">
        <v>28.03</v>
      </c>
      <c r="R58" s="6"/>
      <c r="S58" s="6"/>
      <c r="T58" s="156"/>
      <c r="U58" s="6"/>
    </row>
    <row r="59" spans="1:21" customFormat="1">
      <c r="A59" s="163" t="s">
        <v>769</v>
      </c>
      <c r="B59" s="100">
        <v>6.62</v>
      </c>
      <c r="C59" s="100">
        <v>16.77</v>
      </c>
      <c r="D59" s="100">
        <v>15.42</v>
      </c>
      <c r="E59" s="100">
        <v>10.19</v>
      </c>
      <c r="F59" s="152" t="s">
        <v>15</v>
      </c>
      <c r="G59" s="100">
        <v>59.14</v>
      </c>
      <c r="H59" s="100">
        <v>20.9</v>
      </c>
      <c r="I59" s="100">
        <v>7.38</v>
      </c>
      <c r="J59" s="100">
        <v>0.39</v>
      </c>
      <c r="K59" s="100">
        <v>328.59</v>
      </c>
      <c r="L59" s="100">
        <v>30.97</v>
      </c>
      <c r="M59" s="100">
        <v>7.67</v>
      </c>
      <c r="N59" s="100">
        <v>387.3</v>
      </c>
      <c r="O59" s="100">
        <v>0</v>
      </c>
      <c r="P59" s="100">
        <v>0.6</v>
      </c>
      <c r="Q59" s="100">
        <v>28.03</v>
      </c>
      <c r="R59" s="6"/>
      <c r="S59" s="6"/>
      <c r="T59" s="156"/>
      <c r="U59" s="6"/>
    </row>
    <row r="60" spans="1:21" customFormat="1">
      <c r="A60" s="163" t="s">
        <v>770</v>
      </c>
      <c r="B60" s="100">
        <v>9.92</v>
      </c>
      <c r="C60" s="100">
        <v>14.66</v>
      </c>
      <c r="D60" s="100">
        <v>16.96</v>
      </c>
      <c r="E60" s="100">
        <v>9.09</v>
      </c>
      <c r="F60" s="152" t="s">
        <v>15</v>
      </c>
      <c r="G60" s="100">
        <v>59.14</v>
      </c>
      <c r="H60" s="100">
        <v>20.9</v>
      </c>
      <c r="I60" s="100">
        <v>7.24</v>
      </c>
      <c r="J60" s="100">
        <v>0.75</v>
      </c>
      <c r="K60" s="100">
        <v>306.37</v>
      </c>
      <c r="L60" s="100">
        <v>31.25</v>
      </c>
      <c r="M60" s="100">
        <v>7.16</v>
      </c>
      <c r="N60" s="100">
        <v>394.4</v>
      </c>
      <c r="O60" s="100">
        <v>0</v>
      </c>
      <c r="P60" s="100">
        <v>0.59</v>
      </c>
      <c r="Q60" s="100">
        <v>28.02</v>
      </c>
      <c r="R60" s="6"/>
      <c r="S60" s="6"/>
      <c r="T60" s="156"/>
      <c r="U60" s="6"/>
    </row>
    <row r="61" spans="1:21" customFormat="1">
      <c r="A61" s="163" t="s">
        <v>771</v>
      </c>
      <c r="B61" s="100">
        <v>8.9</v>
      </c>
      <c r="C61" s="100">
        <v>14.1</v>
      </c>
      <c r="D61" s="100">
        <v>15.86</v>
      </c>
      <c r="E61" s="100">
        <v>9.0500000000000007</v>
      </c>
      <c r="F61" s="152" t="s">
        <v>15</v>
      </c>
      <c r="G61" s="100">
        <v>57.7</v>
      </c>
      <c r="H61" s="100">
        <v>18.489999999999998</v>
      </c>
      <c r="I61" s="100">
        <v>7.1</v>
      </c>
      <c r="J61" s="100">
        <v>0.55000000000000004</v>
      </c>
      <c r="K61" s="100">
        <v>262.32</v>
      </c>
      <c r="L61" s="100">
        <v>31.67</v>
      </c>
      <c r="M61" s="100">
        <v>8.4499999999999993</v>
      </c>
      <c r="N61" s="100">
        <v>389.2</v>
      </c>
      <c r="O61" s="100">
        <v>0</v>
      </c>
      <c r="P61" s="100">
        <v>0.57999999999999996</v>
      </c>
      <c r="Q61" s="100">
        <v>28.01</v>
      </c>
      <c r="R61" s="6"/>
      <c r="S61" s="6"/>
      <c r="T61" s="156"/>
      <c r="U61" s="6"/>
    </row>
    <row r="62" spans="1:21" customFormat="1">
      <c r="A62" s="163" t="s">
        <v>772</v>
      </c>
      <c r="B62" s="100">
        <v>9.86</v>
      </c>
      <c r="C62" s="100">
        <v>13.41</v>
      </c>
      <c r="D62" s="100">
        <v>16.260000000000002</v>
      </c>
      <c r="E62" s="100">
        <v>8.4700000000000006</v>
      </c>
      <c r="F62" s="152" t="s">
        <v>15</v>
      </c>
      <c r="G62" s="100">
        <v>57.56</v>
      </c>
      <c r="H62" s="100">
        <v>18.489999999999998</v>
      </c>
      <c r="I62" s="100">
        <v>6.98</v>
      </c>
      <c r="J62" s="100">
        <v>0.67</v>
      </c>
      <c r="K62" s="100">
        <v>258.23</v>
      </c>
      <c r="L62" s="100">
        <v>31.95</v>
      </c>
      <c r="M62" s="100">
        <v>9.3000000000000007</v>
      </c>
      <c r="N62" s="100">
        <v>371.1</v>
      </c>
      <c r="O62" s="100">
        <v>0</v>
      </c>
      <c r="P62" s="100">
        <v>0.59</v>
      </c>
      <c r="Q62" s="100">
        <v>28.02</v>
      </c>
      <c r="R62" s="6"/>
      <c r="S62" s="6"/>
      <c r="T62" s="156"/>
      <c r="U62" s="6"/>
    </row>
    <row r="63" spans="1:21" customFormat="1">
      <c r="A63" s="163" t="s">
        <v>773</v>
      </c>
      <c r="B63" s="100">
        <v>11.25</v>
      </c>
      <c r="C63" s="100">
        <v>12.82</v>
      </c>
      <c r="D63" s="100">
        <v>17.07</v>
      </c>
      <c r="E63" s="100">
        <v>8.5</v>
      </c>
      <c r="F63" s="152" t="s">
        <v>15</v>
      </c>
      <c r="G63" s="100">
        <v>57.56</v>
      </c>
      <c r="H63" s="100">
        <v>18.489999999999998</v>
      </c>
      <c r="I63" s="100">
        <v>6.87</v>
      </c>
      <c r="J63" s="100">
        <v>0.45</v>
      </c>
      <c r="K63" s="100">
        <v>329.48</v>
      </c>
      <c r="L63" s="100">
        <v>31.97</v>
      </c>
      <c r="M63" s="100">
        <v>8.48</v>
      </c>
      <c r="N63" s="100">
        <v>367.7</v>
      </c>
      <c r="O63" s="100">
        <v>0</v>
      </c>
      <c r="P63" s="100">
        <v>0.6</v>
      </c>
      <c r="Q63" s="100">
        <v>28.02</v>
      </c>
      <c r="R63" s="6"/>
      <c r="S63" s="6"/>
      <c r="T63" s="156"/>
      <c r="U63" s="6"/>
    </row>
    <row r="64" spans="1:21" customFormat="1">
      <c r="A64" s="163" t="s">
        <v>774</v>
      </c>
      <c r="B64" s="100">
        <v>11.75</v>
      </c>
      <c r="C64" s="100">
        <v>12.35</v>
      </c>
      <c r="D64" s="100">
        <v>17.23</v>
      </c>
      <c r="E64" s="100">
        <v>8.42</v>
      </c>
      <c r="F64" s="152" t="s">
        <v>15</v>
      </c>
      <c r="G64" s="100">
        <v>57.56</v>
      </c>
      <c r="H64" s="100">
        <v>18.489999999999998</v>
      </c>
      <c r="I64" s="100">
        <v>6.81</v>
      </c>
      <c r="J64" s="100">
        <v>0.27</v>
      </c>
      <c r="K64" s="100">
        <v>353.42</v>
      </c>
      <c r="L64" s="100">
        <v>32.619999999999997</v>
      </c>
      <c r="M64" s="100">
        <v>8.4499999999999993</v>
      </c>
      <c r="N64" s="100">
        <v>386.6</v>
      </c>
      <c r="O64" s="100">
        <v>0</v>
      </c>
      <c r="P64" s="100">
        <v>0.6</v>
      </c>
      <c r="Q64" s="100">
        <v>28.01</v>
      </c>
      <c r="R64" s="6"/>
      <c r="S64" s="6"/>
      <c r="T64" s="156"/>
      <c r="U64" s="6"/>
    </row>
    <row r="65" spans="1:21" customFormat="1">
      <c r="A65" s="163" t="s">
        <v>775</v>
      </c>
      <c r="B65" s="100">
        <v>11.72</v>
      </c>
      <c r="C65" s="100">
        <v>12.02</v>
      </c>
      <c r="D65" s="100">
        <v>17.03</v>
      </c>
      <c r="E65" s="100">
        <v>8.81</v>
      </c>
      <c r="F65" s="152" t="s">
        <v>15</v>
      </c>
      <c r="G65" s="100">
        <v>56.91</v>
      </c>
      <c r="H65" s="100">
        <v>19.84</v>
      </c>
      <c r="I65" s="100">
        <v>6.75</v>
      </c>
      <c r="J65" s="100">
        <v>0.21</v>
      </c>
      <c r="K65" s="100">
        <v>278.93</v>
      </c>
      <c r="L65" s="100">
        <v>32.979999999999997</v>
      </c>
      <c r="M65" s="100">
        <v>7.94</v>
      </c>
      <c r="N65" s="100">
        <v>387.4</v>
      </c>
      <c r="O65" s="100">
        <v>0</v>
      </c>
      <c r="P65" s="100">
        <v>0.53</v>
      </c>
      <c r="Q65" s="100">
        <v>28.02</v>
      </c>
      <c r="R65" s="6"/>
      <c r="S65" s="6"/>
      <c r="T65" s="156"/>
      <c r="U65" s="6"/>
    </row>
    <row r="66" spans="1:21" customFormat="1">
      <c r="A66" s="163" t="s">
        <v>776</v>
      </c>
      <c r="B66" s="100">
        <v>12.02</v>
      </c>
      <c r="C66" s="100">
        <v>11.67</v>
      </c>
      <c r="D66" s="100">
        <v>17.09</v>
      </c>
      <c r="E66" s="100">
        <v>8.1300000000000008</v>
      </c>
      <c r="F66" s="152" t="s">
        <v>15</v>
      </c>
      <c r="G66" s="100">
        <v>56.84</v>
      </c>
      <c r="H66" s="100">
        <v>19.84</v>
      </c>
      <c r="I66" s="100">
        <v>6.68</v>
      </c>
      <c r="J66" s="100">
        <v>0.63</v>
      </c>
      <c r="K66" s="100">
        <v>317.20999999999998</v>
      </c>
      <c r="L66" s="100">
        <v>32.799999999999997</v>
      </c>
      <c r="M66" s="100">
        <v>7.76</v>
      </c>
      <c r="N66" s="100">
        <v>360.2</v>
      </c>
      <c r="O66" s="100">
        <v>0</v>
      </c>
      <c r="P66" s="100">
        <v>0.55000000000000004</v>
      </c>
      <c r="Q66" s="100">
        <v>28</v>
      </c>
      <c r="R66" s="6"/>
      <c r="S66" s="6"/>
      <c r="T66" s="156"/>
      <c r="U66" s="6"/>
    </row>
    <row r="67" spans="1:21" customFormat="1">
      <c r="A67" s="163" t="s">
        <v>777</v>
      </c>
      <c r="B67" s="100">
        <v>12.23</v>
      </c>
      <c r="C67" s="100">
        <v>11.29</v>
      </c>
      <c r="D67" s="100">
        <v>17.05</v>
      </c>
      <c r="E67" s="100">
        <v>8.58</v>
      </c>
      <c r="F67" s="152" t="s">
        <v>15</v>
      </c>
      <c r="G67" s="100">
        <v>56.84</v>
      </c>
      <c r="H67" s="100">
        <v>19.84</v>
      </c>
      <c r="I67" s="100">
        <v>6.6</v>
      </c>
      <c r="J67" s="100">
        <v>0.49</v>
      </c>
      <c r="K67" s="100">
        <v>348.33</v>
      </c>
      <c r="L67" s="100">
        <v>31.82</v>
      </c>
      <c r="M67" s="100">
        <v>7.52</v>
      </c>
      <c r="N67" s="100">
        <v>266.7</v>
      </c>
      <c r="O67" s="100">
        <v>0</v>
      </c>
      <c r="P67" s="100">
        <v>0.55000000000000004</v>
      </c>
      <c r="Q67" s="100">
        <v>27.99</v>
      </c>
      <c r="R67" s="6"/>
      <c r="S67" s="6"/>
      <c r="T67" s="156"/>
      <c r="U67" s="6"/>
    </row>
    <row r="68" spans="1:21" customFormat="1">
      <c r="A68" s="163" t="s">
        <v>778</v>
      </c>
      <c r="B68" s="100">
        <v>12.15</v>
      </c>
      <c r="C68" s="100">
        <v>11.6</v>
      </c>
      <c r="D68" s="100">
        <v>17.149999999999999</v>
      </c>
      <c r="E68" s="100">
        <v>8.3699999999999992</v>
      </c>
      <c r="F68" s="152" t="s">
        <v>15</v>
      </c>
      <c r="G68" s="100">
        <v>56.84</v>
      </c>
      <c r="H68" s="100">
        <v>19.84</v>
      </c>
      <c r="I68" s="100">
        <v>6.55</v>
      </c>
      <c r="J68" s="100">
        <v>0.44</v>
      </c>
      <c r="K68" s="100">
        <v>282.38</v>
      </c>
      <c r="L68" s="100">
        <v>32.11</v>
      </c>
      <c r="M68" s="100">
        <v>7.51</v>
      </c>
      <c r="N68" s="100">
        <v>130.9</v>
      </c>
      <c r="O68" s="100">
        <v>0</v>
      </c>
      <c r="P68" s="100">
        <v>0.54</v>
      </c>
      <c r="Q68" s="100">
        <v>28.01</v>
      </c>
      <c r="R68" s="6"/>
      <c r="S68" s="6"/>
      <c r="T68" s="156"/>
      <c r="U68" s="6"/>
    </row>
    <row r="69" spans="1:21" customFormat="1">
      <c r="A69" s="163" t="s">
        <v>779</v>
      </c>
      <c r="B69" s="100">
        <v>12.34</v>
      </c>
      <c r="C69" s="100">
        <v>11.28</v>
      </c>
      <c r="D69" s="100">
        <v>17.14</v>
      </c>
      <c r="E69" s="100">
        <v>8.91</v>
      </c>
      <c r="F69" s="152" t="s">
        <v>15</v>
      </c>
      <c r="G69" s="100">
        <v>49.18</v>
      </c>
      <c r="H69" s="100">
        <v>15.42</v>
      </c>
      <c r="I69" s="100">
        <v>6.45</v>
      </c>
      <c r="J69" s="100">
        <v>0.68</v>
      </c>
      <c r="K69" s="100">
        <v>16.21</v>
      </c>
      <c r="L69" s="100">
        <v>31.66</v>
      </c>
      <c r="M69" s="100">
        <v>6.9</v>
      </c>
      <c r="N69" s="100">
        <v>55.6</v>
      </c>
      <c r="O69" s="100">
        <v>0</v>
      </c>
      <c r="P69" s="100">
        <v>0.52</v>
      </c>
      <c r="Q69" s="100">
        <v>28.03</v>
      </c>
      <c r="R69" s="6"/>
      <c r="S69" s="6"/>
      <c r="T69" s="156"/>
      <c r="U69" s="6"/>
    </row>
    <row r="70" spans="1:21" customFormat="1">
      <c r="A70" s="163" t="s">
        <v>780</v>
      </c>
      <c r="B70" s="100">
        <v>12.23</v>
      </c>
      <c r="C70" s="100">
        <v>11.18</v>
      </c>
      <c r="D70" s="100">
        <v>17</v>
      </c>
      <c r="E70" s="100">
        <v>9.2899999999999991</v>
      </c>
      <c r="F70" s="152" t="s">
        <v>15</v>
      </c>
      <c r="G70" s="100">
        <v>48.43</v>
      </c>
      <c r="H70" s="100">
        <v>15.42</v>
      </c>
      <c r="I70" s="100">
        <v>6.31</v>
      </c>
      <c r="J70" s="100">
        <v>0.76</v>
      </c>
      <c r="K70" s="100">
        <v>8.35</v>
      </c>
      <c r="L70" s="100">
        <v>31.4</v>
      </c>
      <c r="M70" s="100">
        <v>7.55</v>
      </c>
      <c r="N70" s="100">
        <v>50.8</v>
      </c>
      <c r="O70" s="100">
        <v>0</v>
      </c>
      <c r="P70" s="100">
        <v>0.52</v>
      </c>
      <c r="Q70" s="100">
        <v>28.03</v>
      </c>
      <c r="R70" s="6"/>
      <c r="S70" s="6"/>
      <c r="T70" s="156"/>
      <c r="U70" s="6"/>
    </row>
    <row r="71" spans="1:21" customFormat="1">
      <c r="A71" s="163" t="s">
        <v>781</v>
      </c>
      <c r="B71" s="100">
        <v>10.31</v>
      </c>
      <c r="C71" s="100">
        <v>11.29</v>
      </c>
      <c r="D71" s="100">
        <v>15.52</v>
      </c>
      <c r="E71" s="100">
        <v>12.69</v>
      </c>
      <c r="F71" s="152" t="s">
        <v>15</v>
      </c>
      <c r="G71" s="100">
        <v>48.43</v>
      </c>
      <c r="H71" s="100">
        <v>15.42</v>
      </c>
      <c r="I71" s="100">
        <v>6.17</v>
      </c>
      <c r="J71" s="100">
        <v>1.23</v>
      </c>
      <c r="K71" s="100">
        <v>28.75</v>
      </c>
      <c r="L71" s="100">
        <v>31.1</v>
      </c>
      <c r="M71" s="100">
        <v>7.75</v>
      </c>
      <c r="N71" s="100">
        <v>52.9</v>
      </c>
      <c r="O71" s="100">
        <v>0</v>
      </c>
      <c r="P71" s="100">
        <v>0.51</v>
      </c>
      <c r="Q71" s="100">
        <v>28.04</v>
      </c>
      <c r="R71" s="6"/>
      <c r="S71" s="6"/>
      <c r="T71" s="156"/>
      <c r="U71" s="6"/>
    </row>
    <row r="72" spans="1:21" customFormat="1">
      <c r="A72" s="163" t="s">
        <v>782</v>
      </c>
      <c r="B72" s="100">
        <v>7.98</v>
      </c>
      <c r="C72" s="100">
        <v>11.59</v>
      </c>
      <c r="D72" s="100">
        <v>13.81</v>
      </c>
      <c r="E72" s="100">
        <v>14.97</v>
      </c>
      <c r="F72" s="152" t="s">
        <v>15</v>
      </c>
      <c r="G72" s="100">
        <v>48.43</v>
      </c>
      <c r="H72" s="100">
        <v>15.42</v>
      </c>
      <c r="I72" s="100">
        <v>6.11</v>
      </c>
      <c r="J72" s="100">
        <v>0.72</v>
      </c>
      <c r="K72" s="100">
        <v>45.22</v>
      </c>
      <c r="L72" s="100">
        <v>30.88</v>
      </c>
      <c r="M72" s="100">
        <v>7.46</v>
      </c>
      <c r="N72" s="100">
        <v>61.1</v>
      </c>
      <c r="O72" s="100">
        <v>0</v>
      </c>
      <c r="P72" s="100">
        <v>0.51</v>
      </c>
      <c r="Q72" s="100">
        <v>28.03</v>
      </c>
      <c r="R72" s="6"/>
      <c r="S72" s="6"/>
      <c r="T72" s="156"/>
      <c r="U72" s="6"/>
    </row>
    <row r="73" spans="1:21" customFormat="1">
      <c r="A73" s="163" t="s">
        <v>783</v>
      </c>
      <c r="B73" s="100">
        <v>10.65</v>
      </c>
      <c r="C73" s="100">
        <v>13.15</v>
      </c>
      <c r="D73" s="100">
        <v>16.760000000000002</v>
      </c>
      <c r="E73" s="100">
        <v>12.18</v>
      </c>
      <c r="F73" s="152" t="s">
        <v>15</v>
      </c>
      <c r="G73" s="100">
        <v>41.14</v>
      </c>
      <c r="H73" s="100">
        <v>13.87</v>
      </c>
      <c r="I73" s="100">
        <v>5.97</v>
      </c>
      <c r="J73" s="100">
        <v>1.78</v>
      </c>
      <c r="K73" s="100">
        <v>45.59</v>
      </c>
      <c r="L73" s="100">
        <v>31.01</v>
      </c>
      <c r="M73" s="100">
        <v>7.56</v>
      </c>
      <c r="N73" s="100">
        <v>71.599999999999994</v>
      </c>
      <c r="O73" s="100">
        <v>0</v>
      </c>
      <c r="P73" s="100">
        <v>0.5</v>
      </c>
      <c r="Q73" s="100">
        <v>28.05</v>
      </c>
      <c r="R73" s="6"/>
      <c r="S73" s="6"/>
      <c r="T73" s="156"/>
      <c r="U73" s="6"/>
    </row>
    <row r="74" spans="1:21" customFormat="1">
      <c r="A74" s="163" t="s">
        <v>784</v>
      </c>
      <c r="B74" s="100">
        <v>11.7</v>
      </c>
      <c r="C74" s="100">
        <v>13.18</v>
      </c>
      <c r="D74" s="100">
        <v>17.62</v>
      </c>
      <c r="E74" s="100">
        <v>9.65</v>
      </c>
      <c r="F74" s="152" t="s">
        <v>15</v>
      </c>
      <c r="G74" s="100">
        <v>40.43</v>
      </c>
      <c r="H74" s="100">
        <v>13.87</v>
      </c>
      <c r="I74" s="100">
        <v>5.92</v>
      </c>
      <c r="J74" s="100">
        <v>1.56</v>
      </c>
      <c r="K74" s="100">
        <v>51.04</v>
      </c>
      <c r="L74" s="100">
        <v>30.58</v>
      </c>
      <c r="M74" s="100">
        <v>8.52</v>
      </c>
      <c r="N74" s="100">
        <v>36.700000000000003</v>
      </c>
      <c r="O74" s="100">
        <v>0</v>
      </c>
      <c r="P74" s="100">
        <v>0.5</v>
      </c>
      <c r="Q74" s="100">
        <v>28.04</v>
      </c>
      <c r="R74" s="6"/>
      <c r="S74" s="6"/>
      <c r="T74" s="156"/>
      <c r="U74" s="6"/>
    </row>
    <row r="75" spans="1:21" customFormat="1">
      <c r="A75" s="163" t="s">
        <v>785</v>
      </c>
      <c r="B75" s="100">
        <v>11.37</v>
      </c>
      <c r="C75" s="100">
        <v>11.53</v>
      </c>
      <c r="D75" s="100">
        <v>16.489999999999998</v>
      </c>
      <c r="E75" s="100">
        <v>9.56</v>
      </c>
      <c r="F75" s="152" t="s">
        <v>15</v>
      </c>
      <c r="G75" s="100">
        <v>40.43</v>
      </c>
      <c r="H75" s="100">
        <v>13.87</v>
      </c>
      <c r="I75" s="100">
        <v>5.87</v>
      </c>
      <c r="J75" s="100">
        <v>1.68</v>
      </c>
      <c r="K75" s="100">
        <v>48.3</v>
      </c>
      <c r="L75" s="100">
        <v>30.3</v>
      </c>
      <c r="M75" s="100">
        <v>9.52</v>
      </c>
      <c r="N75" s="100">
        <v>31.5</v>
      </c>
      <c r="O75" s="100">
        <v>0</v>
      </c>
      <c r="P75" s="100">
        <v>0.49</v>
      </c>
      <c r="Q75" s="100">
        <v>28.05</v>
      </c>
      <c r="R75" s="6"/>
      <c r="S75" s="6"/>
      <c r="T75" s="156"/>
      <c r="U75" s="6"/>
    </row>
    <row r="76" spans="1:21" customFormat="1">
      <c r="A76" s="163" t="s">
        <v>786</v>
      </c>
      <c r="B76" s="100">
        <v>12.48</v>
      </c>
      <c r="C76" s="100">
        <v>11.55</v>
      </c>
      <c r="D76" s="100">
        <v>17.39</v>
      </c>
      <c r="E76" s="100">
        <v>9.2100000000000009</v>
      </c>
      <c r="F76" s="152" t="s">
        <v>15</v>
      </c>
      <c r="G76" s="100">
        <v>40.43</v>
      </c>
      <c r="H76" s="100">
        <v>13.87</v>
      </c>
      <c r="I76" s="100">
        <v>5.81</v>
      </c>
      <c r="J76" s="100">
        <v>1.22</v>
      </c>
      <c r="K76" s="100">
        <v>50.18</v>
      </c>
      <c r="L76" s="100">
        <v>30.12</v>
      </c>
      <c r="M76" s="100">
        <v>10.02</v>
      </c>
      <c r="N76" s="100">
        <v>30</v>
      </c>
      <c r="O76" s="100">
        <v>0</v>
      </c>
      <c r="P76" s="100">
        <v>0.49</v>
      </c>
      <c r="Q76" s="100">
        <v>28.04</v>
      </c>
      <c r="R76" s="6"/>
      <c r="S76" s="6"/>
      <c r="T76" s="156"/>
      <c r="U76" s="6"/>
    </row>
    <row r="77" spans="1:21" customFormat="1">
      <c r="A77" s="163" t="s">
        <v>787</v>
      </c>
      <c r="B77" s="100">
        <v>13.38</v>
      </c>
      <c r="C77" s="100">
        <v>11.98</v>
      </c>
      <c r="D77" s="100">
        <v>18.34</v>
      </c>
      <c r="E77" s="100">
        <v>9.7899999999999991</v>
      </c>
      <c r="F77" s="152" t="s">
        <v>15</v>
      </c>
      <c r="G77" s="100">
        <v>41.49</v>
      </c>
      <c r="H77" s="100">
        <v>11.81</v>
      </c>
      <c r="I77" s="100">
        <v>5.75</v>
      </c>
      <c r="J77" s="100">
        <v>0.78</v>
      </c>
      <c r="K77" s="100">
        <v>59.13</v>
      </c>
      <c r="L77" s="100">
        <v>29.89</v>
      </c>
      <c r="M77" s="100">
        <v>10.72</v>
      </c>
      <c r="N77" s="100">
        <v>23.2</v>
      </c>
      <c r="O77" s="100">
        <v>0</v>
      </c>
      <c r="P77" s="100">
        <v>0.5</v>
      </c>
      <c r="Q77" s="100">
        <v>28.06</v>
      </c>
      <c r="R77" s="6"/>
      <c r="S77" s="6"/>
      <c r="T77" s="156"/>
      <c r="U77" s="6"/>
    </row>
    <row r="78" spans="1:21" customFormat="1">
      <c r="A78" s="163" t="s">
        <v>788</v>
      </c>
      <c r="B78" s="100">
        <v>13.48</v>
      </c>
      <c r="C78" s="100">
        <v>12.73</v>
      </c>
      <c r="D78" s="100">
        <v>18.82</v>
      </c>
      <c r="E78" s="100">
        <v>9.91</v>
      </c>
      <c r="F78" s="152" t="s">
        <v>15</v>
      </c>
      <c r="G78" s="100">
        <v>41.6</v>
      </c>
      <c r="H78" s="100">
        <v>11.81</v>
      </c>
      <c r="I78" s="100">
        <v>5.65</v>
      </c>
      <c r="J78" s="100">
        <v>0.95</v>
      </c>
      <c r="K78" s="100">
        <v>56.27</v>
      </c>
      <c r="L78" s="100">
        <v>29.59</v>
      </c>
      <c r="M78" s="100">
        <v>11.24</v>
      </c>
      <c r="N78" s="100">
        <v>17</v>
      </c>
      <c r="O78" s="100">
        <v>0</v>
      </c>
      <c r="P78" s="100">
        <v>0.51</v>
      </c>
      <c r="Q78" s="100">
        <v>28.05</v>
      </c>
      <c r="R78" s="6"/>
      <c r="S78" s="6"/>
      <c r="T78" s="156"/>
      <c r="U78" s="6"/>
    </row>
    <row r="79" spans="1:21" customFormat="1">
      <c r="A79" s="163" t="s">
        <v>789</v>
      </c>
      <c r="B79" s="100">
        <v>11.63</v>
      </c>
      <c r="C79" s="100">
        <v>12.99</v>
      </c>
      <c r="D79" s="100">
        <v>17.46</v>
      </c>
      <c r="E79" s="100">
        <v>9.1</v>
      </c>
      <c r="F79" s="152" t="s">
        <v>15</v>
      </c>
      <c r="G79" s="100">
        <v>41.6</v>
      </c>
      <c r="H79" s="100">
        <v>11.81</v>
      </c>
      <c r="I79" s="100">
        <v>5.61</v>
      </c>
      <c r="J79" s="100">
        <v>0.6</v>
      </c>
      <c r="K79" s="100">
        <v>64.900000000000006</v>
      </c>
      <c r="L79" s="100">
        <v>29.11</v>
      </c>
      <c r="M79" s="100">
        <v>12.06</v>
      </c>
      <c r="N79" s="100">
        <v>11.8</v>
      </c>
      <c r="O79" s="100">
        <v>0</v>
      </c>
      <c r="P79" s="100">
        <v>0.51</v>
      </c>
      <c r="Q79" s="100">
        <v>28.06</v>
      </c>
      <c r="R79" s="6"/>
      <c r="S79" s="6"/>
      <c r="T79" s="156"/>
      <c r="U79" s="6"/>
    </row>
    <row r="80" spans="1:21" customFormat="1">
      <c r="A80" s="163" t="s">
        <v>790</v>
      </c>
      <c r="B80" s="100">
        <v>9.25</v>
      </c>
      <c r="C80" s="100">
        <v>13.86</v>
      </c>
      <c r="D80" s="100">
        <v>16.010000000000002</v>
      </c>
      <c r="E80" s="100">
        <v>8.51</v>
      </c>
      <c r="F80" s="152" t="s">
        <v>15</v>
      </c>
      <c r="G80" s="100">
        <v>41.6</v>
      </c>
      <c r="H80" s="100">
        <v>11.81</v>
      </c>
      <c r="I80" s="100">
        <v>5.69</v>
      </c>
      <c r="J80" s="100">
        <v>0.42</v>
      </c>
      <c r="K80" s="100">
        <v>69.98</v>
      </c>
      <c r="L80" s="100">
        <v>28.56</v>
      </c>
      <c r="M80" s="100">
        <v>13.16</v>
      </c>
      <c r="N80" s="100">
        <v>6</v>
      </c>
      <c r="O80" s="100">
        <v>0</v>
      </c>
      <c r="P80" s="100">
        <v>0.52</v>
      </c>
      <c r="Q80" s="100">
        <v>28.09</v>
      </c>
      <c r="R80" s="6"/>
      <c r="S80" s="6"/>
      <c r="T80" s="156"/>
      <c r="U80" s="6"/>
    </row>
    <row r="81" spans="1:21" customFormat="1">
      <c r="A81" s="163" t="s">
        <v>791</v>
      </c>
      <c r="B81" s="100">
        <v>7.95</v>
      </c>
      <c r="C81" s="100">
        <v>16.13</v>
      </c>
      <c r="D81" s="100">
        <v>16.16</v>
      </c>
      <c r="E81" s="100">
        <v>8.25</v>
      </c>
      <c r="F81" s="152" t="s">
        <v>15</v>
      </c>
      <c r="G81" s="100">
        <v>42.3</v>
      </c>
      <c r="H81" s="100">
        <v>10.49</v>
      </c>
      <c r="I81" s="100">
        <v>5.73</v>
      </c>
      <c r="J81" s="100">
        <v>0.18</v>
      </c>
      <c r="K81" s="100">
        <v>114.67</v>
      </c>
      <c r="L81" s="100">
        <v>27.58</v>
      </c>
      <c r="M81" s="100">
        <v>16.91</v>
      </c>
      <c r="N81" s="100">
        <v>2.2999999999999998</v>
      </c>
      <c r="O81" s="100">
        <v>0</v>
      </c>
      <c r="P81" s="100">
        <v>0.51</v>
      </c>
      <c r="Q81" s="100">
        <v>28.09</v>
      </c>
      <c r="R81" s="6"/>
      <c r="S81" s="6"/>
      <c r="T81" s="156"/>
      <c r="U81" s="6"/>
    </row>
    <row r="82" spans="1:21" customFormat="1">
      <c r="A82" s="163" t="s">
        <v>792</v>
      </c>
      <c r="B82" s="100">
        <v>11.44</v>
      </c>
      <c r="C82" s="100">
        <v>13.5</v>
      </c>
      <c r="D82" s="100">
        <v>17.579999999999998</v>
      </c>
      <c r="E82" s="100">
        <v>9.02</v>
      </c>
      <c r="F82" s="152" t="s">
        <v>15</v>
      </c>
      <c r="G82" s="100">
        <v>42.35</v>
      </c>
      <c r="H82" s="100">
        <v>10.49</v>
      </c>
      <c r="I82" s="100">
        <v>5.77</v>
      </c>
      <c r="J82" s="100">
        <v>0.31</v>
      </c>
      <c r="K82" s="100">
        <v>168.77</v>
      </c>
      <c r="L82" s="100">
        <v>26.29</v>
      </c>
      <c r="M82" s="100">
        <v>21.99</v>
      </c>
      <c r="N82" s="100">
        <v>1.5</v>
      </c>
      <c r="O82" s="100">
        <v>0</v>
      </c>
      <c r="P82" s="100">
        <v>0.51</v>
      </c>
      <c r="Q82" s="100">
        <v>28.06</v>
      </c>
      <c r="R82" s="6"/>
      <c r="S82" s="6"/>
      <c r="T82" s="156"/>
      <c r="U82" s="6"/>
    </row>
    <row r="83" spans="1:21" customFormat="1">
      <c r="A83" s="163" t="s">
        <v>793</v>
      </c>
      <c r="B83" s="100">
        <v>12.36</v>
      </c>
      <c r="C83" s="100">
        <v>13.25</v>
      </c>
      <c r="D83" s="100">
        <v>18.190000000000001</v>
      </c>
      <c r="E83" s="100">
        <v>8.59</v>
      </c>
      <c r="F83" s="152" t="s">
        <v>15</v>
      </c>
      <c r="G83" s="100">
        <v>42.35</v>
      </c>
      <c r="H83" s="100">
        <v>10.49</v>
      </c>
      <c r="I83" s="100">
        <v>5.77</v>
      </c>
      <c r="J83" s="100">
        <v>0.28000000000000003</v>
      </c>
      <c r="K83" s="100">
        <v>173.5</v>
      </c>
      <c r="L83" s="100">
        <v>25.22</v>
      </c>
      <c r="M83" s="100">
        <v>26.3</v>
      </c>
      <c r="N83" s="100">
        <v>1.1000000000000001</v>
      </c>
      <c r="O83" s="100">
        <v>0</v>
      </c>
      <c r="P83" s="100">
        <v>0.52</v>
      </c>
      <c r="Q83" s="100">
        <v>28.08</v>
      </c>
      <c r="R83" s="6"/>
      <c r="S83" s="6"/>
      <c r="T83" s="156"/>
      <c r="U83" s="6"/>
    </row>
    <row r="84" spans="1:21" customFormat="1">
      <c r="A84" s="163" t="s">
        <v>794</v>
      </c>
      <c r="B84" s="100">
        <v>11.2</v>
      </c>
      <c r="C84" s="100">
        <v>13.49</v>
      </c>
      <c r="D84" s="100">
        <v>17.38</v>
      </c>
      <c r="E84" s="100">
        <v>8.67</v>
      </c>
      <c r="F84" s="152" t="s">
        <v>15</v>
      </c>
      <c r="G84" s="100">
        <v>42.35</v>
      </c>
      <c r="H84" s="100">
        <v>10.49</v>
      </c>
      <c r="I84" s="100">
        <v>5.87</v>
      </c>
      <c r="J84" s="100">
        <v>0.25</v>
      </c>
      <c r="K84" s="100">
        <v>195.68</v>
      </c>
      <c r="L84" s="100">
        <v>24.47</v>
      </c>
      <c r="M84" s="100">
        <v>25.71</v>
      </c>
      <c r="N84" s="100">
        <v>0.8</v>
      </c>
      <c r="O84" s="100">
        <v>0</v>
      </c>
      <c r="P84" s="100">
        <v>0.54</v>
      </c>
      <c r="Q84" s="100">
        <v>28.07</v>
      </c>
      <c r="R84" s="6"/>
      <c r="S84" s="6"/>
      <c r="T84" s="156"/>
      <c r="U84" s="6"/>
    </row>
    <row r="85" spans="1:21" customFormat="1">
      <c r="A85" s="163" t="s">
        <v>795</v>
      </c>
      <c r="B85" s="100">
        <v>9.9600000000000009</v>
      </c>
      <c r="C85" s="100">
        <v>13.97</v>
      </c>
      <c r="D85" s="100">
        <v>16.64</v>
      </c>
      <c r="E85" s="100">
        <v>8.6999999999999993</v>
      </c>
      <c r="F85" s="152" t="s">
        <v>15</v>
      </c>
      <c r="G85" s="100">
        <v>54.93</v>
      </c>
      <c r="H85" s="100">
        <v>13.5</v>
      </c>
      <c r="I85" s="100">
        <v>6.04</v>
      </c>
      <c r="J85" s="100">
        <v>0.28000000000000003</v>
      </c>
      <c r="K85" s="100">
        <v>195.11</v>
      </c>
      <c r="L85" s="100">
        <v>23.51</v>
      </c>
      <c r="M85" s="100">
        <v>30.88</v>
      </c>
      <c r="N85" s="100">
        <v>1.1000000000000001</v>
      </c>
      <c r="O85" s="100">
        <v>0</v>
      </c>
      <c r="P85" s="100">
        <v>0.53</v>
      </c>
      <c r="Q85" s="100">
        <v>28.07</v>
      </c>
      <c r="R85" s="6"/>
      <c r="S85" s="6"/>
      <c r="T85" s="156"/>
      <c r="U85" s="6"/>
    </row>
    <row r="86" spans="1:21" customFormat="1">
      <c r="A86" s="163" t="s">
        <v>796</v>
      </c>
      <c r="B86" s="100">
        <v>9.32</v>
      </c>
      <c r="C86" s="100">
        <v>13.82</v>
      </c>
      <c r="D86" s="100">
        <v>16.05</v>
      </c>
      <c r="E86" s="100">
        <v>8.6</v>
      </c>
      <c r="F86" s="152" t="s">
        <v>15</v>
      </c>
      <c r="G86" s="100">
        <v>56.15</v>
      </c>
      <c r="H86" s="100">
        <v>13.5</v>
      </c>
      <c r="I86" s="100">
        <v>6.22</v>
      </c>
      <c r="J86" s="100">
        <v>0.2</v>
      </c>
      <c r="K86" s="100">
        <v>180.98</v>
      </c>
      <c r="L86" s="100">
        <v>23.03</v>
      </c>
      <c r="M86" s="100">
        <v>30.49</v>
      </c>
      <c r="N86" s="100">
        <v>0.7</v>
      </c>
      <c r="O86" s="100">
        <v>0</v>
      </c>
      <c r="P86" s="100">
        <v>0.54</v>
      </c>
      <c r="Q86" s="100">
        <v>28.07</v>
      </c>
      <c r="R86" s="6"/>
      <c r="S86" s="6"/>
      <c r="T86" s="156"/>
      <c r="U86" s="6"/>
    </row>
    <row r="87" spans="1:21" customFormat="1">
      <c r="A87" s="163" t="s">
        <v>797</v>
      </c>
      <c r="B87" s="100">
        <v>9.65</v>
      </c>
      <c r="C87" s="100">
        <v>13.54</v>
      </c>
      <c r="D87" s="100">
        <v>16.16</v>
      </c>
      <c r="E87" s="100">
        <v>8.9499999999999993</v>
      </c>
      <c r="F87" s="152" t="s">
        <v>15</v>
      </c>
      <c r="G87" s="100">
        <v>56.15</v>
      </c>
      <c r="H87" s="100">
        <v>13.5</v>
      </c>
      <c r="I87" s="100">
        <v>6.34</v>
      </c>
      <c r="J87" s="100">
        <v>0.19</v>
      </c>
      <c r="K87" s="100">
        <v>188.77</v>
      </c>
      <c r="L87" s="100">
        <v>22.92</v>
      </c>
      <c r="M87" s="100">
        <v>27.9</v>
      </c>
      <c r="N87" s="100">
        <v>0.4</v>
      </c>
      <c r="O87" s="100">
        <v>0</v>
      </c>
      <c r="P87" s="100">
        <v>0.54</v>
      </c>
      <c r="Q87" s="100">
        <v>28.08</v>
      </c>
      <c r="R87" s="6"/>
      <c r="S87" s="6"/>
      <c r="T87" s="156"/>
      <c r="U87" s="6"/>
    </row>
    <row r="88" spans="1:21" customFormat="1">
      <c r="A88" s="163" t="s">
        <v>798</v>
      </c>
      <c r="B88" s="100">
        <v>8.18</v>
      </c>
      <c r="C88" s="100">
        <v>13.51</v>
      </c>
      <c r="D88" s="100">
        <v>14.97</v>
      </c>
      <c r="E88" s="100">
        <v>8.69</v>
      </c>
      <c r="F88" s="152" t="s">
        <v>15</v>
      </c>
      <c r="G88" s="100">
        <v>56.15</v>
      </c>
      <c r="H88" s="100">
        <v>13.5</v>
      </c>
      <c r="I88" s="100">
        <v>6.39</v>
      </c>
      <c r="J88" s="100">
        <v>0.23</v>
      </c>
      <c r="K88" s="100">
        <v>177.25</v>
      </c>
      <c r="L88" s="100">
        <v>22.55</v>
      </c>
      <c r="M88" s="100">
        <v>33.340000000000003</v>
      </c>
      <c r="N88" s="100">
        <v>0.6</v>
      </c>
      <c r="O88" s="100">
        <v>0</v>
      </c>
      <c r="P88" s="100">
        <v>0.54</v>
      </c>
      <c r="Q88" s="100">
        <v>28.08</v>
      </c>
      <c r="R88" s="6"/>
      <c r="S88" s="6"/>
      <c r="T88" s="156"/>
      <c r="U88" s="6"/>
    </row>
    <row r="89" spans="1:21" customFormat="1">
      <c r="A89" s="163" t="s">
        <v>799</v>
      </c>
      <c r="B89" s="100">
        <v>8.48</v>
      </c>
      <c r="C89" s="100">
        <v>13.45</v>
      </c>
      <c r="D89" s="100">
        <v>15.18</v>
      </c>
      <c r="E89" s="100">
        <v>8.99</v>
      </c>
      <c r="F89" s="152" t="s">
        <v>15</v>
      </c>
      <c r="G89" s="100">
        <v>71.180000000000007</v>
      </c>
      <c r="H89" s="100">
        <v>16.91</v>
      </c>
      <c r="I89" s="100">
        <v>6.48</v>
      </c>
      <c r="J89" s="100">
        <v>0.15</v>
      </c>
      <c r="K89" s="100">
        <v>205.21</v>
      </c>
      <c r="L89" s="100">
        <v>22.18</v>
      </c>
      <c r="M89" s="100">
        <v>30.4</v>
      </c>
      <c r="N89" s="100">
        <v>0.5</v>
      </c>
      <c r="O89" s="100">
        <v>0</v>
      </c>
      <c r="P89" s="100">
        <v>0.55000000000000004</v>
      </c>
      <c r="Q89" s="100">
        <v>28.07</v>
      </c>
      <c r="R89" s="6"/>
      <c r="S89" s="6"/>
      <c r="T89" s="156"/>
      <c r="U89" s="6"/>
    </row>
    <row r="90" spans="1:21" customFormat="1">
      <c r="A90" s="163" t="s">
        <v>800</v>
      </c>
      <c r="B90" s="100">
        <v>8.34</v>
      </c>
      <c r="C90" s="100">
        <v>13.46</v>
      </c>
      <c r="D90" s="100">
        <v>15.07</v>
      </c>
      <c r="E90" s="100">
        <v>8.9600000000000009</v>
      </c>
      <c r="F90" s="152" t="s">
        <v>15</v>
      </c>
      <c r="G90" s="100">
        <v>72.45</v>
      </c>
      <c r="H90" s="100">
        <v>16.91</v>
      </c>
      <c r="I90" s="100">
        <v>6.68</v>
      </c>
      <c r="J90" s="100">
        <v>0.31</v>
      </c>
      <c r="K90" s="100">
        <v>200.34</v>
      </c>
      <c r="L90" s="100">
        <v>21.67</v>
      </c>
      <c r="M90" s="100">
        <v>36.200000000000003</v>
      </c>
      <c r="N90" s="100">
        <v>0.9</v>
      </c>
      <c r="O90" s="100">
        <v>0</v>
      </c>
      <c r="P90" s="100">
        <v>0.55000000000000004</v>
      </c>
      <c r="Q90" s="100">
        <v>28.08</v>
      </c>
      <c r="R90" s="6"/>
      <c r="S90" s="6"/>
      <c r="T90" s="156"/>
      <c r="U90" s="6"/>
    </row>
    <row r="91" spans="1:21" customFormat="1">
      <c r="A91" s="163" t="s">
        <v>801</v>
      </c>
      <c r="B91" s="100">
        <v>7.2</v>
      </c>
      <c r="C91" s="100">
        <v>13.62</v>
      </c>
      <c r="D91" s="100">
        <v>14.24</v>
      </c>
      <c r="E91" s="100">
        <v>8.93</v>
      </c>
      <c r="F91" s="152" t="s">
        <v>15</v>
      </c>
      <c r="G91" s="100">
        <v>72.45</v>
      </c>
      <c r="H91" s="100">
        <v>16.91</v>
      </c>
      <c r="I91" s="100">
        <v>6.93</v>
      </c>
      <c r="J91" s="100">
        <v>0.23</v>
      </c>
      <c r="K91" s="100">
        <v>191.75</v>
      </c>
      <c r="L91" s="100">
        <v>21.06</v>
      </c>
      <c r="M91" s="100">
        <v>38.369999999999997</v>
      </c>
      <c r="N91" s="100">
        <v>0.7</v>
      </c>
      <c r="O91" s="100">
        <v>0</v>
      </c>
      <c r="P91" s="100">
        <v>0.56000000000000005</v>
      </c>
      <c r="Q91" s="100">
        <v>28.08</v>
      </c>
      <c r="R91" s="6"/>
      <c r="S91" s="6"/>
      <c r="T91" s="156"/>
      <c r="U91" s="6"/>
    </row>
    <row r="92" spans="1:21" customFormat="1">
      <c r="A92" s="163" t="s">
        <v>802</v>
      </c>
      <c r="B92" s="100">
        <v>6.51</v>
      </c>
      <c r="C92" s="100">
        <v>13.75</v>
      </c>
      <c r="D92" s="100">
        <v>13.75</v>
      </c>
      <c r="E92" s="100">
        <v>8.76</v>
      </c>
      <c r="F92" s="152" t="s">
        <v>15</v>
      </c>
      <c r="G92" s="100">
        <v>72.45</v>
      </c>
      <c r="H92" s="100">
        <v>16.91</v>
      </c>
      <c r="I92" s="100">
        <v>7.09</v>
      </c>
      <c r="J92" s="100">
        <v>0.12</v>
      </c>
      <c r="K92" s="100">
        <v>191.13</v>
      </c>
      <c r="L92" s="100">
        <v>20.85</v>
      </c>
      <c r="M92" s="100">
        <v>37.56</v>
      </c>
      <c r="N92" s="100">
        <v>0.5</v>
      </c>
      <c r="O92" s="100">
        <v>0</v>
      </c>
      <c r="P92" s="100">
        <v>0.56999999999999995</v>
      </c>
      <c r="Q92" s="100">
        <v>28.08</v>
      </c>
      <c r="R92" s="6"/>
      <c r="S92" s="6"/>
      <c r="T92" s="156"/>
      <c r="U92" s="6"/>
    </row>
    <row r="93" spans="1:21" customFormat="1">
      <c r="A93" s="163" t="s">
        <v>803</v>
      </c>
      <c r="B93" s="100">
        <v>6.8</v>
      </c>
      <c r="C93" s="100">
        <v>13.85</v>
      </c>
      <c r="D93" s="100">
        <v>14.04</v>
      </c>
      <c r="E93" s="100">
        <v>8.9499999999999993</v>
      </c>
      <c r="F93" s="152" t="s">
        <v>15</v>
      </c>
      <c r="G93" s="100">
        <v>82.77</v>
      </c>
      <c r="H93" s="100">
        <v>20.89</v>
      </c>
      <c r="I93" s="100">
        <v>7.07</v>
      </c>
      <c r="J93" s="100">
        <v>0.23</v>
      </c>
      <c r="K93" s="100">
        <v>166.1</v>
      </c>
      <c r="L93" s="100">
        <v>20.92</v>
      </c>
      <c r="M93" s="100">
        <v>35.9</v>
      </c>
      <c r="N93" s="100">
        <v>0.3</v>
      </c>
      <c r="O93" s="100">
        <v>0</v>
      </c>
      <c r="P93" s="100">
        <v>0.59</v>
      </c>
      <c r="Q93" s="100">
        <v>28.09</v>
      </c>
      <c r="R93" s="6"/>
      <c r="S93" s="6"/>
      <c r="T93" s="156"/>
      <c r="U93" s="6"/>
    </row>
    <row r="94" spans="1:21" customFormat="1">
      <c r="A94" s="163" t="s">
        <v>804</v>
      </c>
      <c r="B94" s="100">
        <v>3.76</v>
      </c>
      <c r="C94" s="100">
        <v>15.5</v>
      </c>
      <c r="D94" s="100">
        <v>12.47</v>
      </c>
      <c r="E94" s="100">
        <v>9.2200000000000006</v>
      </c>
      <c r="F94" s="152" t="s">
        <v>15</v>
      </c>
      <c r="G94" s="100">
        <v>83.78</v>
      </c>
      <c r="H94" s="100">
        <v>20.89</v>
      </c>
      <c r="I94" s="100">
        <v>7.26</v>
      </c>
      <c r="J94" s="100">
        <v>0.22</v>
      </c>
      <c r="K94" s="100">
        <v>192.2</v>
      </c>
      <c r="L94" s="100">
        <v>20.67</v>
      </c>
      <c r="M94" s="100">
        <v>41.34</v>
      </c>
      <c r="N94" s="100">
        <v>0.5</v>
      </c>
      <c r="O94" s="100">
        <v>0</v>
      </c>
      <c r="P94" s="100">
        <v>0.62</v>
      </c>
      <c r="Q94" s="100">
        <v>28.1</v>
      </c>
      <c r="R94" s="6"/>
      <c r="S94" s="6"/>
      <c r="T94" s="156"/>
      <c r="U94" s="6"/>
    </row>
    <row r="95" spans="1:21" customFormat="1">
      <c r="A95" s="163" t="s">
        <v>805</v>
      </c>
      <c r="B95" s="100">
        <v>2.86</v>
      </c>
      <c r="C95" s="100">
        <v>16.239999999999998</v>
      </c>
      <c r="D95" s="100">
        <v>12.13</v>
      </c>
      <c r="E95" s="100">
        <v>9.17</v>
      </c>
      <c r="F95" s="152" t="s">
        <v>15</v>
      </c>
      <c r="G95" s="100">
        <v>83.78</v>
      </c>
      <c r="H95" s="100">
        <v>20.89</v>
      </c>
      <c r="I95" s="100">
        <v>7.52</v>
      </c>
      <c r="J95" s="100">
        <v>0.14000000000000001</v>
      </c>
      <c r="K95" s="100">
        <v>188.67</v>
      </c>
      <c r="L95" s="100">
        <v>20.34</v>
      </c>
      <c r="M95" s="100">
        <v>37.29</v>
      </c>
      <c r="N95" s="100">
        <v>0.5</v>
      </c>
      <c r="O95" s="100">
        <v>0</v>
      </c>
      <c r="P95" s="100">
        <v>0.64</v>
      </c>
      <c r="Q95" s="100">
        <v>28.13</v>
      </c>
      <c r="R95" s="6"/>
      <c r="S95" s="6"/>
      <c r="T95" s="156"/>
      <c r="U95" s="6"/>
    </row>
    <row r="96" spans="1:21" customFormat="1">
      <c r="A96" s="163" t="s">
        <v>806</v>
      </c>
      <c r="B96" s="100">
        <v>2.6</v>
      </c>
      <c r="C96" s="100">
        <v>16.510000000000002</v>
      </c>
      <c r="D96" s="100">
        <v>12.06</v>
      </c>
      <c r="E96" s="100">
        <v>9.27</v>
      </c>
      <c r="F96" s="152" t="s">
        <v>15</v>
      </c>
      <c r="G96" s="100">
        <v>83.78</v>
      </c>
      <c r="H96" s="100">
        <v>20.89</v>
      </c>
      <c r="I96" s="100">
        <v>7.76</v>
      </c>
      <c r="J96" s="100">
        <v>0.22</v>
      </c>
      <c r="K96" s="100">
        <v>190.84</v>
      </c>
      <c r="L96" s="100">
        <v>20.29</v>
      </c>
      <c r="M96" s="100">
        <v>39.200000000000003</v>
      </c>
      <c r="N96" s="100">
        <v>0.5</v>
      </c>
      <c r="O96" s="100">
        <v>0</v>
      </c>
      <c r="P96" s="100">
        <v>0.66</v>
      </c>
      <c r="Q96" s="100">
        <v>28.12</v>
      </c>
      <c r="R96" s="6"/>
      <c r="S96" s="6"/>
      <c r="T96" s="156"/>
      <c r="U96" s="6"/>
    </row>
    <row r="97" spans="1:28" customFormat="1">
      <c r="A97" s="163" t="s">
        <v>807</v>
      </c>
      <c r="B97" s="100">
        <v>2</v>
      </c>
      <c r="C97" s="100">
        <v>17.100000000000001</v>
      </c>
      <c r="D97" s="100">
        <v>11.89</v>
      </c>
      <c r="E97" s="100">
        <v>8.84</v>
      </c>
      <c r="F97" s="152" t="s">
        <v>15</v>
      </c>
      <c r="G97" s="100">
        <v>78.98</v>
      </c>
      <c r="H97" s="100">
        <v>19.190000000000001</v>
      </c>
      <c r="I97" s="100">
        <v>7.99</v>
      </c>
      <c r="J97" s="100">
        <v>0.21</v>
      </c>
      <c r="K97" s="100">
        <v>186.88</v>
      </c>
      <c r="L97" s="100">
        <v>19.809999999999999</v>
      </c>
      <c r="M97" s="100">
        <v>41.32</v>
      </c>
      <c r="N97" s="100">
        <v>0.6</v>
      </c>
      <c r="O97" s="100">
        <v>0</v>
      </c>
      <c r="P97" s="100">
        <v>0.69</v>
      </c>
      <c r="Q97" s="100">
        <v>28.14</v>
      </c>
      <c r="R97" s="6"/>
      <c r="S97" s="6"/>
      <c r="T97" s="156"/>
      <c r="U97" s="6"/>
    </row>
    <row r="98" spans="1:28" customFormat="1">
      <c r="A98" s="163" t="s">
        <v>808</v>
      </c>
      <c r="B98" s="100">
        <v>2.02</v>
      </c>
      <c r="C98" s="100">
        <v>17.489999999999998</v>
      </c>
      <c r="D98" s="100">
        <v>12.11</v>
      </c>
      <c r="E98" s="100">
        <v>9.2899999999999991</v>
      </c>
      <c r="F98" s="152" t="s">
        <v>15</v>
      </c>
      <c r="G98" s="100">
        <v>78.510000000000005</v>
      </c>
      <c r="H98" s="100">
        <v>19.190000000000001</v>
      </c>
      <c r="I98" s="100">
        <v>8.19</v>
      </c>
      <c r="J98" s="100">
        <v>0.25</v>
      </c>
      <c r="K98" s="100">
        <v>172.26</v>
      </c>
      <c r="L98" s="100">
        <v>19.54</v>
      </c>
      <c r="M98" s="100">
        <v>44.54</v>
      </c>
      <c r="N98" s="100">
        <v>0.5</v>
      </c>
      <c r="O98" s="100">
        <v>0</v>
      </c>
      <c r="P98" s="100">
        <v>0.7</v>
      </c>
      <c r="Q98" s="100">
        <v>28.14</v>
      </c>
      <c r="R98" s="6"/>
      <c r="S98" s="6"/>
      <c r="T98" s="156"/>
      <c r="U98" s="6"/>
    </row>
    <row r="99" spans="1:28" customFormat="1">
      <c r="A99" s="163" t="s">
        <v>809</v>
      </c>
      <c r="B99" s="100">
        <v>2.4700000000000002</v>
      </c>
      <c r="C99" s="100">
        <v>17.34</v>
      </c>
      <c r="D99" s="100">
        <v>12.39</v>
      </c>
      <c r="E99" s="100">
        <v>9.06</v>
      </c>
      <c r="F99" s="152" t="s">
        <v>15</v>
      </c>
      <c r="G99" s="100">
        <v>78.510000000000005</v>
      </c>
      <c r="H99" s="100">
        <v>19.190000000000001</v>
      </c>
      <c r="I99" s="100">
        <v>8.3800000000000008</v>
      </c>
      <c r="J99" s="100">
        <v>0.21</v>
      </c>
      <c r="K99" s="100">
        <v>185.48</v>
      </c>
      <c r="L99" s="100">
        <v>19.27</v>
      </c>
      <c r="M99" s="100">
        <v>47.8</v>
      </c>
      <c r="N99" s="100">
        <v>0.7</v>
      </c>
      <c r="O99" s="100">
        <v>0</v>
      </c>
      <c r="P99" s="100">
        <v>0.71</v>
      </c>
      <c r="Q99" s="100">
        <v>28.15</v>
      </c>
      <c r="R99" s="6"/>
      <c r="S99" s="6"/>
      <c r="T99" s="156"/>
      <c r="U99" s="6"/>
    </row>
    <row r="100" spans="1:28" customFormat="1">
      <c r="A100" s="163" t="s">
        <v>810</v>
      </c>
      <c r="B100" s="100">
        <v>2.59</v>
      </c>
      <c r="C100" s="100">
        <v>17.62</v>
      </c>
      <c r="D100" s="100">
        <v>12.64</v>
      </c>
      <c r="E100" s="100">
        <v>9</v>
      </c>
      <c r="F100" s="152" t="s">
        <v>15</v>
      </c>
      <c r="G100" s="100">
        <v>78.510000000000005</v>
      </c>
      <c r="H100" s="100">
        <v>19.190000000000001</v>
      </c>
      <c r="I100" s="100">
        <v>8.68</v>
      </c>
      <c r="J100" s="100">
        <v>0.23</v>
      </c>
      <c r="K100" s="100">
        <v>177.64</v>
      </c>
      <c r="L100" s="100">
        <v>19.170000000000002</v>
      </c>
      <c r="M100" s="100">
        <v>46.93</v>
      </c>
      <c r="N100" s="100">
        <v>0.5</v>
      </c>
      <c r="O100" s="100">
        <v>0</v>
      </c>
      <c r="P100" s="100">
        <v>0.74</v>
      </c>
      <c r="Q100" s="100">
        <v>28.15</v>
      </c>
      <c r="R100" s="6"/>
      <c r="S100" s="6"/>
      <c r="T100" s="156"/>
      <c r="U100" s="6"/>
      <c r="AB100" s="161"/>
    </row>
    <row r="101" spans="1:28" customFormat="1">
      <c r="A101" s="163" t="s">
        <v>811</v>
      </c>
      <c r="B101" s="100">
        <v>3.87</v>
      </c>
      <c r="C101" s="100">
        <v>17.010000000000002</v>
      </c>
      <c r="D101" s="100">
        <v>13.34</v>
      </c>
      <c r="E101" s="100">
        <v>9.17</v>
      </c>
      <c r="F101" s="152" t="s">
        <v>15</v>
      </c>
      <c r="G101" s="100">
        <v>86</v>
      </c>
      <c r="H101" s="100">
        <v>22.32</v>
      </c>
      <c r="I101" s="100">
        <v>9.06</v>
      </c>
      <c r="J101" s="100">
        <v>0.2</v>
      </c>
      <c r="K101" s="100">
        <v>190.26</v>
      </c>
      <c r="L101" s="100">
        <v>18.829999999999998</v>
      </c>
      <c r="M101" s="100">
        <v>47.71</v>
      </c>
      <c r="N101" s="100">
        <v>0.6</v>
      </c>
      <c r="O101" s="100">
        <v>0</v>
      </c>
      <c r="P101" s="100">
        <v>0.77</v>
      </c>
      <c r="Q101" s="100">
        <v>28.18</v>
      </c>
      <c r="R101" s="6"/>
      <c r="S101" s="6"/>
      <c r="T101" s="156"/>
      <c r="U101" s="6"/>
    </row>
    <row r="102" spans="1:28" customFormat="1">
      <c r="A102" s="163" t="s">
        <v>812</v>
      </c>
      <c r="B102" s="100">
        <v>2.77</v>
      </c>
      <c r="C102" s="100">
        <v>18.32</v>
      </c>
      <c r="D102" s="100">
        <v>13.15</v>
      </c>
      <c r="E102" s="100">
        <v>8.9600000000000009</v>
      </c>
      <c r="F102" s="152" t="s">
        <v>15</v>
      </c>
      <c r="G102" s="100">
        <v>86.63</v>
      </c>
      <c r="H102" s="100">
        <v>22.32</v>
      </c>
      <c r="I102" s="100">
        <v>9.09</v>
      </c>
      <c r="J102" s="100">
        <v>0.13</v>
      </c>
      <c r="K102" s="100">
        <v>194.59</v>
      </c>
      <c r="L102" s="100">
        <v>18.63</v>
      </c>
      <c r="M102" s="100">
        <v>47.61</v>
      </c>
      <c r="N102" s="100">
        <v>0.6</v>
      </c>
      <c r="O102" s="100">
        <v>0</v>
      </c>
      <c r="P102" s="100">
        <v>0.78</v>
      </c>
      <c r="Q102" s="100">
        <v>28.19</v>
      </c>
      <c r="R102" s="6"/>
      <c r="S102" s="6"/>
      <c r="T102" s="156"/>
      <c r="U102" s="6"/>
    </row>
    <row r="103" spans="1:28" customFormat="1">
      <c r="A103" s="163" t="s">
        <v>813</v>
      </c>
      <c r="B103" s="100">
        <v>2.96</v>
      </c>
      <c r="C103" s="100">
        <v>18.39</v>
      </c>
      <c r="D103" s="100">
        <v>13.33</v>
      </c>
      <c r="E103" s="100">
        <v>9.0299999999999994</v>
      </c>
      <c r="F103" s="152" t="s">
        <v>15</v>
      </c>
      <c r="G103" s="100">
        <v>86.63</v>
      </c>
      <c r="H103" s="100">
        <v>22.32</v>
      </c>
      <c r="I103" s="100">
        <v>9.14</v>
      </c>
      <c r="J103" s="100">
        <v>0.23</v>
      </c>
      <c r="K103" s="100">
        <v>166.43</v>
      </c>
      <c r="L103" s="100">
        <v>18.510000000000002</v>
      </c>
      <c r="M103" s="100">
        <v>48.96</v>
      </c>
      <c r="N103" s="100">
        <v>0.6</v>
      </c>
      <c r="O103" s="100">
        <v>0</v>
      </c>
      <c r="P103" s="100">
        <v>0.8</v>
      </c>
      <c r="Q103" s="100">
        <v>28.18</v>
      </c>
      <c r="R103" s="6"/>
      <c r="S103" s="6"/>
      <c r="T103" s="156"/>
      <c r="U103" s="6"/>
    </row>
    <row r="104" spans="1:28" customFormat="1">
      <c r="A104" s="163" t="s">
        <v>814</v>
      </c>
      <c r="B104" s="100">
        <v>4.03</v>
      </c>
      <c r="C104" s="100">
        <v>17.64</v>
      </c>
      <c r="D104" s="100">
        <v>13.8</v>
      </c>
      <c r="E104" s="100">
        <v>9.0399999999999991</v>
      </c>
      <c r="F104" s="152" t="s">
        <v>15</v>
      </c>
      <c r="G104" s="100">
        <v>86.63</v>
      </c>
      <c r="H104" s="100">
        <v>22.32</v>
      </c>
      <c r="I104" s="100">
        <v>9.51</v>
      </c>
      <c r="J104" s="100">
        <v>0.22</v>
      </c>
      <c r="K104" s="100">
        <v>178.93</v>
      </c>
      <c r="L104" s="100">
        <v>18.43</v>
      </c>
      <c r="M104" s="100">
        <v>51.18</v>
      </c>
      <c r="N104" s="100">
        <v>0.6</v>
      </c>
      <c r="O104" s="100">
        <v>0</v>
      </c>
      <c r="P104" s="100">
        <v>0.81</v>
      </c>
      <c r="Q104" s="100">
        <v>28.19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</v>
      </c>
      <c r="C106" s="158">
        <f>MIN(C9:C104)</f>
        <v>11.18</v>
      </c>
      <c r="D106" s="158">
        <f t="shared" ref="D106:Q106" si="0">MIN(D9:D104)</f>
        <v>11.89</v>
      </c>
      <c r="E106" s="158">
        <f t="shared" si="0"/>
        <v>7.57</v>
      </c>
      <c r="F106" s="158">
        <f t="shared" si="0"/>
        <v>0</v>
      </c>
      <c r="G106" s="158">
        <f t="shared" si="0"/>
        <v>40.43</v>
      </c>
      <c r="H106" s="158">
        <f t="shared" si="0"/>
        <v>10.49</v>
      </c>
      <c r="I106" s="158">
        <f t="shared" si="0"/>
        <v>5.61</v>
      </c>
      <c r="J106" s="158">
        <f t="shared" si="0"/>
        <v>0.04</v>
      </c>
      <c r="K106" s="158">
        <f t="shared" si="0"/>
        <v>8.35</v>
      </c>
      <c r="L106" s="158">
        <f t="shared" si="0"/>
        <v>14.13</v>
      </c>
      <c r="M106" s="158">
        <f t="shared" si="0"/>
        <v>6.9</v>
      </c>
      <c r="N106" s="158">
        <f t="shared" si="0"/>
        <v>0</v>
      </c>
      <c r="O106" s="158">
        <f t="shared" si="0"/>
        <v>0</v>
      </c>
      <c r="P106" s="158">
        <f t="shared" si="0"/>
        <v>0.49</v>
      </c>
      <c r="Q106" s="158">
        <f t="shared" si="0"/>
        <v>27.99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16.23</v>
      </c>
      <c r="C107" s="157">
        <f t="shared" ref="C107:Q107" si="1">MAX(C9:C104)</f>
        <v>18.59</v>
      </c>
      <c r="D107" s="157">
        <f t="shared" si="1"/>
        <v>23.51</v>
      </c>
      <c r="E107" s="157">
        <f t="shared" si="1"/>
        <v>14.97</v>
      </c>
      <c r="F107" s="157">
        <f t="shared" si="1"/>
        <v>0</v>
      </c>
      <c r="G107" s="157">
        <f t="shared" si="1"/>
        <v>93.43</v>
      </c>
      <c r="H107" s="157">
        <f t="shared" si="1"/>
        <v>30.7</v>
      </c>
      <c r="I107" s="157">
        <f t="shared" si="1"/>
        <v>10.28</v>
      </c>
      <c r="J107" s="157">
        <f t="shared" si="1"/>
        <v>1.78</v>
      </c>
      <c r="K107" s="157">
        <f t="shared" si="1"/>
        <v>358.33</v>
      </c>
      <c r="L107" s="157">
        <f t="shared" si="1"/>
        <v>32.979999999999997</v>
      </c>
      <c r="M107" s="157">
        <f t="shared" si="1"/>
        <v>56.18</v>
      </c>
      <c r="N107" s="157">
        <f t="shared" si="1"/>
        <v>394.4</v>
      </c>
      <c r="O107" s="157">
        <f t="shared" si="1"/>
        <v>0</v>
      </c>
      <c r="P107" s="157">
        <f t="shared" si="1"/>
        <v>0.81</v>
      </c>
      <c r="Q107" s="157">
        <f t="shared" si="1"/>
        <v>28.41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9.4038541666666706</v>
      </c>
      <c r="C108" s="158">
        <f t="shared" ref="C108:Q108" si="2">AVERAGE(C9:C104)</f>
        <v>15.507812499999995</v>
      </c>
      <c r="D108" s="158">
        <f t="shared" si="2"/>
        <v>16.994687500000001</v>
      </c>
      <c r="E108" s="158">
        <f t="shared" si="2"/>
        <v>9.0748958333333327</v>
      </c>
      <c r="F108" s="158" t="e">
        <f t="shared" si="2"/>
        <v>#DIV/0!</v>
      </c>
      <c r="G108" s="158">
        <f t="shared" si="2"/>
        <v>61.637187500000003</v>
      </c>
      <c r="H108" s="158">
        <f t="shared" si="2"/>
        <v>18.385000000000009</v>
      </c>
      <c r="I108" s="158">
        <f t="shared" si="2"/>
        <v>7.0647916666666681</v>
      </c>
      <c r="J108" s="158">
        <f t="shared" si="2"/>
        <v>0.51156249999999992</v>
      </c>
      <c r="K108" s="158">
        <f t="shared" si="2"/>
        <v>142.61197916666666</v>
      </c>
      <c r="L108" s="158">
        <f t="shared" si="2"/>
        <v>23.530833333333334</v>
      </c>
      <c r="M108" s="158">
        <f t="shared" si="2"/>
        <v>24.854687500000011</v>
      </c>
      <c r="N108" s="158">
        <f t="shared" si="2"/>
        <v>100.80312500000004</v>
      </c>
      <c r="O108" s="158">
        <f t="shared" si="2"/>
        <v>0</v>
      </c>
      <c r="P108" s="158">
        <f t="shared" si="2"/>
        <v>0.61979166666666685</v>
      </c>
      <c r="Q108" s="158">
        <f t="shared" si="2"/>
        <v>28.144583333333319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3.4087621984933412</v>
      </c>
      <c r="C109" s="158">
        <f t="shared" ref="C109:Q109" si="3">STDEV(C9:C104)</f>
        <v>2.1678998826781593</v>
      </c>
      <c r="D109" s="158">
        <f t="shared" si="3"/>
        <v>2.6895364316374715</v>
      </c>
      <c r="E109" s="158">
        <f t="shared" si="3"/>
        <v>1.2442888434271129</v>
      </c>
      <c r="F109" s="158" t="e">
        <f t="shared" si="3"/>
        <v>#DIV/0!</v>
      </c>
      <c r="G109" s="158">
        <f t="shared" si="3"/>
        <v>15.027072951185918</v>
      </c>
      <c r="H109" s="158">
        <f t="shared" si="3"/>
        <v>4.8351310873210513</v>
      </c>
      <c r="I109" s="158">
        <f t="shared" si="3"/>
        <v>1.2807703102895898</v>
      </c>
      <c r="J109" s="158">
        <f t="shared" si="3"/>
        <v>0.38325840705579761</v>
      </c>
      <c r="K109" s="158">
        <f t="shared" si="3"/>
        <v>105.65945370431503</v>
      </c>
      <c r="L109" s="158">
        <f t="shared" si="3"/>
        <v>5.6025489812869278</v>
      </c>
      <c r="M109" s="158">
        <f t="shared" si="3"/>
        <v>14.34113266855532</v>
      </c>
      <c r="N109" s="158">
        <f t="shared" si="3"/>
        <v>149.13314747011177</v>
      </c>
      <c r="O109" s="158">
        <f t="shared" si="3"/>
        <v>0</v>
      </c>
      <c r="P109" s="158">
        <f t="shared" si="3"/>
        <v>8.2206148658069828E-2</v>
      </c>
      <c r="Q109" s="158">
        <f t="shared" si="3"/>
        <v>0.10556032614642848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F9" sqref="F9:F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07/03/2025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815</v>
      </c>
      <c r="B9" s="100">
        <v>8.3000000000000007</v>
      </c>
      <c r="C9" s="100">
        <v>18.149999999999999</v>
      </c>
      <c r="D9" s="100">
        <v>17.489999999999998</v>
      </c>
      <c r="E9" s="100">
        <v>9.23</v>
      </c>
      <c r="F9" s="152" t="s">
        <v>15</v>
      </c>
      <c r="G9" s="100">
        <v>84.62</v>
      </c>
      <c r="H9" s="100">
        <v>25.93</v>
      </c>
      <c r="I9" s="100">
        <v>9.6300000000000008</v>
      </c>
      <c r="J9" s="100">
        <v>0.19</v>
      </c>
      <c r="K9" s="100">
        <v>154.37</v>
      </c>
      <c r="L9" s="100">
        <v>17.89</v>
      </c>
      <c r="M9" s="100">
        <v>54.45</v>
      </c>
      <c r="N9" s="100">
        <v>0.9</v>
      </c>
      <c r="O9" s="100">
        <v>0</v>
      </c>
      <c r="P9" s="100">
        <v>0.82</v>
      </c>
      <c r="Q9" s="100">
        <v>28.2</v>
      </c>
      <c r="R9" s="6"/>
      <c r="S9" s="6"/>
      <c r="T9" s="156"/>
      <c r="U9" s="6"/>
    </row>
    <row r="10" spans="1:21" customFormat="1">
      <c r="A10" s="163" t="s">
        <v>816</v>
      </c>
      <c r="B10" s="100">
        <v>9.5500000000000007</v>
      </c>
      <c r="C10" s="100">
        <v>17.02</v>
      </c>
      <c r="D10" s="100">
        <v>17.899999999999999</v>
      </c>
      <c r="E10" s="100">
        <v>9.23</v>
      </c>
      <c r="F10" s="152" t="s">
        <v>15</v>
      </c>
      <c r="G10" s="100">
        <v>84.45</v>
      </c>
      <c r="H10" s="100">
        <v>25.93</v>
      </c>
      <c r="I10" s="100">
        <v>9.74</v>
      </c>
      <c r="J10" s="100">
        <v>0.14000000000000001</v>
      </c>
      <c r="K10" s="100">
        <v>156.15</v>
      </c>
      <c r="L10" s="100">
        <v>17.600000000000001</v>
      </c>
      <c r="M10" s="100">
        <v>53.42</v>
      </c>
      <c r="N10" s="100">
        <v>0.6</v>
      </c>
      <c r="O10" s="100">
        <v>0</v>
      </c>
      <c r="P10" s="100">
        <v>0.84</v>
      </c>
      <c r="Q10" s="100">
        <v>28.21</v>
      </c>
      <c r="R10" s="6"/>
      <c r="S10" s="6"/>
      <c r="T10" s="156"/>
      <c r="U10" s="6"/>
    </row>
    <row r="11" spans="1:21" customFormat="1">
      <c r="A11" s="163" t="s">
        <v>817</v>
      </c>
      <c r="B11" s="100">
        <v>10.39</v>
      </c>
      <c r="C11" s="100">
        <v>16.3</v>
      </c>
      <c r="D11" s="100">
        <v>18.2</v>
      </c>
      <c r="E11" s="100">
        <v>8.98</v>
      </c>
      <c r="F11" s="152" t="s">
        <v>15</v>
      </c>
      <c r="G11" s="100">
        <v>84.45</v>
      </c>
      <c r="H11" s="100">
        <v>25.93</v>
      </c>
      <c r="I11" s="100">
        <v>9.89</v>
      </c>
      <c r="J11" s="100">
        <v>0.19</v>
      </c>
      <c r="K11" s="100">
        <v>166.24</v>
      </c>
      <c r="L11" s="100">
        <v>17.739999999999998</v>
      </c>
      <c r="M11" s="100">
        <v>52.54</v>
      </c>
      <c r="N11" s="100">
        <v>0.5</v>
      </c>
      <c r="O11" s="100">
        <v>0</v>
      </c>
      <c r="P11" s="100">
        <v>0.85</v>
      </c>
      <c r="Q11" s="100">
        <v>28.2</v>
      </c>
      <c r="R11" s="6"/>
      <c r="S11" s="6"/>
      <c r="T11" s="156"/>
      <c r="U11" s="6"/>
    </row>
    <row r="12" spans="1:21" customFormat="1">
      <c r="A12" s="163" t="s">
        <v>818</v>
      </c>
      <c r="B12" s="100">
        <v>8.61</v>
      </c>
      <c r="C12" s="100">
        <v>18.12</v>
      </c>
      <c r="D12" s="100">
        <v>17.73</v>
      </c>
      <c r="E12" s="100">
        <v>9.16</v>
      </c>
      <c r="F12" s="152" t="s">
        <v>15</v>
      </c>
      <c r="G12" s="100">
        <v>84.45</v>
      </c>
      <c r="H12" s="100">
        <v>25.93</v>
      </c>
      <c r="I12" s="100">
        <v>10</v>
      </c>
      <c r="J12" s="100">
        <v>0.2</v>
      </c>
      <c r="K12" s="100">
        <v>174.11</v>
      </c>
      <c r="L12" s="100">
        <v>17.59</v>
      </c>
      <c r="M12" s="100">
        <v>54.09</v>
      </c>
      <c r="N12" s="100">
        <v>0.6</v>
      </c>
      <c r="O12" s="100">
        <v>0</v>
      </c>
      <c r="P12" s="100">
        <v>0.86</v>
      </c>
      <c r="Q12" s="100">
        <v>28.22</v>
      </c>
      <c r="R12" s="6"/>
      <c r="S12" s="6"/>
      <c r="T12" s="156"/>
      <c r="U12" s="6"/>
    </row>
    <row r="13" spans="1:21" customFormat="1">
      <c r="A13" s="163" t="s">
        <v>819</v>
      </c>
      <c r="B13" s="100">
        <v>7.8</v>
      </c>
      <c r="C13" s="100">
        <v>19.87</v>
      </c>
      <c r="D13" s="100">
        <v>17.989999999999998</v>
      </c>
      <c r="E13" s="100">
        <v>9.01</v>
      </c>
      <c r="F13" s="152" t="s">
        <v>15</v>
      </c>
      <c r="G13" s="100">
        <v>83.96</v>
      </c>
      <c r="H13" s="100">
        <v>24.11</v>
      </c>
      <c r="I13" s="100">
        <v>10.119999999999999</v>
      </c>
      <c r="J13" s="100">
        <v>0.25</v>
      </c>
      <c r="K13" s="100">
        <v>177.07</v>
      </c>
      <c r="L13" s="100">
        <v>17.149999999999999</v>
      </c>
      <c r="M13" s="100">
        <v>57.33</v>
      </c>
      <c r="N13" s="100">
        <v>0.7</v>
      </c>
      <c r="O13" s="100">
        <v>0</v>
      </c>
      <c r="P13" s="100">
        <v>0.86</v>
      </c>
      <c r="Q13" s="100">
        <v>28.24</v>
      </c>
      <c r="R13" s="6"/>
      <c r="S13" s="6"/>
      <c r="T13" s="156"/>
      <c r="U13" s="6"/>
    </row>
    <row r="14" spans="1:21" customFormat="1">
      <c r="A14" s="163" t="s">
        <v>820</v>
      </c>
      <c r="B14" s="100">
        <v>9.49</v>
      </c>
      <c r="C14" s="100">
        <v>19.09</v>
      </c>
      <c r="D14" s="100">
        <v>18.93</v>
      </c>
      <c r="E14" s="100">
        <v>9.1</v>
      </c>
      <c r="F14" s="152" t="s">
        <v>15</v>
      </c>
      <c r="G14" s="100">
        <v>83.92</v>
      </c>
      <c r="H14" s="100">
        <v>24.11</v>
      </c>
      <c r="I14" s="100">
        <v>10.25</v>
      </c>
      <c r="J14" s="100">
        <v>0.2</v>
      </c>
      <c r="K14" s="100">
        <v>169.15</v>
      </c>
      <c r="L14" s="100">
        <v>16.809999999999999</v>
      </c>
      <c r="M14" s="100">
        <v>58.36</v>
      </c>
      <c r="N14" s="100">
        <v>0.7</v>
      </c>
      <c r="O14" s="100">
        <v>0</v>
      </c>
      <c r="P14" s="100">
        <v>0.88</v>
      </c>
      <c r="Q14" s="100">
        <v>28.27</v>
      </c>
      <c r="R14" s="6"/>
      <c r="S14" s="6"/>
      <c r="T14" s="156"/>
      <c r="U14" s="6"/>
    </row>
    <row r="15" spans="1:21" customFormat="1">
      <c r="A15" s="163" t="s">
        <v>821</v>
      </c>
      <c r="B15" s="100">
        <v>8.81</v>
      </c>
      <c r="C15" s="100">
        <v>19.989999999999998</v>
      </c>
      <c r="D15" s="100">
        <v>18.86</v>
      </c>
      <c r="E15" s="100">
        <v>9.27</v>
      </c>
      <c r="F15" s="152" t="s">
        <v>15</v>
      </c>
      <c r="G15" s="100">
        <v>83.92</v>
      </c>
      <c r="H15" s="100">
        <v>24.11</v>
      </c>
      <c r="I15" s="100">
        <v>10.38</v>
      </c>
      <c r="J15" s="100">
        <v>0.23</v>
      </c>
      <c r="K15" s="100">
        <v>193.88</v>
      </c>
      <c r="L15" s="100">
        <v>16.600000000000001</v>
      </c>
      <c r="M15" s="100">
        <v>59.61</v>
      </c>
      <c r="N15" s="100">
        <v>0.7</v>
      </c>
      <c r="O15" s="100">
        <v>0</v>
      </c>
      <c r="P15" s="100">
        <v>0.89</v>
      </c>
      <c r="Q15" s="100">
        <v>28.31</v>
      </c>
      <c r="R15" s="6"/>
      <c r="S15" s="6"/>
      <c r="T15" s="156"/>
      <c r="U15" s="6"/>
    </row>
    <row r="16" spans="1:21" customFormat="1">
      <c r="A16" s="163" t="s">
        <v>822</v>
      </c>
      <c r="B16" s="100">
        <v>9.2799999999999994</v>
      </c>
      <c r="C16" s="100">
        <v>19.72</v>
      </c>
      <c r="D16" s="100">
        <v>19.09</v>
      </c>
      <c r="E16" s="100">
        <v>9.06</v>
      </c>
      <c r="F16" s="152" t="s">
        <v>15</v>
      </c>
      <c r="G16" s="100">
        <v>83.92</v>
      </c>
      <c r="H16" s="100">
        <v>24.11</v>
      </c>
      <c r="I16" s="100">
        <v>10.45</v>
      </c>
      <c r="J16" s="100">
        <v>0.16</v>
      </c>
      <c r="K16" s="100">
        <v>202.72</v>
      </c>
      <c r="L16" s="100">
        <v>16.23</v>
      </c>
      <c r="M16" s="100">
        <v>58.46</v>
      </c>
      <c r="N16" s="100">
        <v>0.7</v>
      </c>
      <c r="O16" s="100">
        <v>0</v>
      </c>
      <c r="P16" s="100">
        <v>0.9</v>
      </c>
      <c r="Q16" s="100">
        <v>28.32</v>
      </c>
      <c r="R16" s="6"/>
      <c r="S16" s="6"/>
      <c r="T16" s="156"/>
      <c r="U16" s="6"/>
    </row>
    <row r="17" spans="1:21" customFormat="1">
      <c r="A17" s="163" t="s">
        <v>823</v>
      </c>
      <c r="B17" s="100">
        <v>10.33</v>
      </c>
      <c r="C17" s="100">
        <v>18.86</v>
      </c>
      <c r="D17" s="100">
        <v>19.489999999999998</v>
      </c>
      <c r="E17" s="100">
        <v>7.52</v>
      </c>
      <c r="F17" s="152" t="s">
        <v>15</v>
      </c>
      <c r="G17" s="100">
        <v>73.78</v>
      </c>
      <c r="H17" s="100">
        <v>27.19</v>
      </c>
      <c r="I17" s="100">
        <v>10.56</v>
      </c>
      <c r="J17" s="100">
        <v>0.14000000000000001</v>
      </c>
      <c r="K17" s="100">
        <v>198.87</v>
      </c>
      <c r="L17" s="100">
        <v>16.09</v>
      </c>
      <c r="M17" s="100">
        <v>58.8</v>
      </c>
      <c r="N17" s="100">
        <v>0.6</v>
      </c>
      <c r="O17" s="100">
        <v>0</v>
      </c>
      <c r="P17" s="100">
        <v>0.92</v>
      </c>
      <c r="Q17" s="100">
        <v>28.3</v>
      </c>
      <c r="R17" s="6"/>
      <c r="S17" s="6"/>
      <c r="T17" s="156"/>
      <c r="U17" s="6"/>
    </row>
    <row r="18" spans="1:21" customFormat="1">
      <c r="A18" s="163" t="s">
        <v>824</v>
      </c>
      <c r="B18" s="100">
        <v>9.59</v>
      </c>
      <c r="C18" s="100">
        <v>19.440000000000001</v>
      </c>
      <c r="D18" s="100">
        <v>19.2</v>
      </c>
      <c r="E18" s="100">
        <v>8.31</v>
      </c>
      <c r="F18" s="152" t="s">
        <v>15</v>
      </c>
      <c r="G18" s="100">
        <v>72.8</v>
      </c>
      <c r="H18" s="100">
        <v>27.19</v>
      </c>
      <c r="I18" s="100">
        <v>10.98</v>
      </c>
      <c r="J18" s="100">
        <v>0.16</v>
      </c>
      <c r="K18" s="100">
        <v>166.84</v>
      </c>
      <c r="L18" s="100">
        <v>15.63</v>
      </c>
      <c r="M18" s="100">
        <v>62.7</v>
      </c>
      <c r="N18" s="100">
        <v>0.7</v>
      </c>
      <c r="O18" s="100">
        <v>0</v>
      </c>
      <c r="P18" s="100">
        <v>0.94</v>
      </c>
      <c r="Q18" s="100">
        <v>28.3</v>
      </c>
      <c r="R18" s="6"/>
      <c r="S18" s="6"/>
      <c r="T18" s="156"/>
      <c r="U18" s="6"/>
    </row>
    <row r="19" spans="1:21" customFormat="1">
      <c r="A19" s="163" t="s">
        <v>825</v>
      </c>
      <c r="B19" s="100">
        <v>9.2200000000000006</v>
      </c>
      <c r="C19" s="100">
        <v>19.690000000000001</v>
      </c>
      <c r="D19" s="100">
        <v>19.04</v>
      </c>
      <c r="E19" s="100">
        <v>8.67</v>
      </c>
      <c r="F19" s="152" t="s">
        <v>15</v>
      </c>
      <c r="G19" s="100">
        <v>72.8</v>
      </c>
      <c r="H19" s="100">
        <v>27.19</v>
      </c>
      <c r="I19" s="100">
        <v>13.15</v>
      </c>
      <c r="J19" s="100">
        <v>0.18</v>
      </c>
      <c r="K19" s="100">
        <v>166.34</v>
      </c>
      <c r="L19" s="100">
        <v>15.45</v>
      </c>
      <c r="M19" s="100">
        <v>63.14</v>
      </c>
      <c r="N19" s="100">
        <v>0.6</v>
      </c>
      <c r="O19" s="100">
        <v>0</v>
      </c>
      <c r="P19" s="100">
        <v>0.97</v>
      </c>
      <c r="Q19" s="100">
        <v>28.31</v>
      </c>
      <c r="R19" s="6"/>
      <c r="S19" s="6"/>
      <c r="T19" s="156"/>
      <c r="U19" s="6"/>
    </row>
    <row r="20" spans="1:21" customFormat="1">
      <c r="A20" s="163" t="s">
        <v>826</v>
      </c>
      <c r="B20" s="100">
        <v>9.0500000000000007</v>
      </c>
      <c r="C20" s="100">
        <v>19.760000000000002</v>
      </c>
      <c r="D20" s="100">
        <v>18.93</v>
      </c>
      <c r="E20" s="100">
        <v>8.51</v>
      </c>
      <c r="F20" s="152" t="s">
        <v>15</v>
      </c>
      <c r="G20" s="100">
        <v>72.8</v>
      </c>
      <c r="H20" s="100">
        <v>27.19</v>
      </c>
      <c r="I20" s="100">
        <v>17.13</v>
      </c>
      <c r="J20" s="100">
        <v>0.16</v>
      </c>
      <c r="K20" s="100">
        <v>152.5</v>
      </c>
      <c r="L20" s="100">
        <v>15.6</v>
      </c>
      <c r="M20" s="100">
        <v>62.43</v>
      </c>
      <c r="N20" s="100">
        <v>0.6</v>
      </c>
      <c r="O20" s="100">
        <v>0</v>
      </c>
      <c r="P20" s="100">
        <v>0.99</v>
      </c>
      <c r="Q20" s="100">
        <v>28.3</v>
      </c>
      <c r="R20" s="6"/>
      <c r="S20" s="6"/>
      <c r="T20" s="156"/>
      <c r="U20" s="6"/>
    </row>
    <row r="21" spans="1:21" customFormat="1">
      <c r="A21" s="163" t="s">
        <v>827</v>
      </c>
      <c r="B21" s="100">
        <v>9.93</v>
      </c>
      <c r="C21" s="100">
        <v>18.899999999999999</v>
      </c>
      <c r="D21" s="100">
        <v>19.190000000000001</v>
      </c>
      <c r="E21" s="100">
        <v>8.6999999999999993</v>
      </c>
      <c r="F21" s="152" t="s">
        <v>15</v>
      </c>
      <c r="G21" s="100">
        <v>87.73</v>
      </c>
      <c r="H21" s="100">
        <v>33.74</v>
      </c>
      <c r="I21" s="100">
        <v>20.149999999999999</v>
      </c>
      <c r="J21" s="100">
        <v>0.15</v>
      </c>
      <c r="K21" s="100">
        <v>167.59</v>
      </c>
      <c r="L21" s="100">
        <v>15.54</v>
      </c>
      <c r="M21" s="100">
        <v>61.58</v>
      </c>
      <c r="N21" s="100">
        <v>0.5</v>
      </c>
      <c r="O21" s="100">
        <v>0</v>
      </c>
      <c r="P21" s="100">
        <v>0.99</v>
      </c>
      <c r="Q21" s="100">
        <v>28.31</v>
      </c>
      <c r="R21" s="6"/>
      <c r="S21" s="6"/>
      <c r="T21" s="156"/>
      <c r="U21" s="6"/>
    </row>
    <row r="22" spans="1:21" customFormat="1">
      <c r="A22" s="163" t="s">
        <v>828</v>
      </c>
      <c r="B22" s="100">
        <v>11.08</v>
      </c>
      <c r="C22" s="100">
        <v>19.46</v>
      </c>
      <c r="D22" s="100">
        <v>20.41</v>
      </c>
      <c r="E22" s="100">
        <v>8.3000000000000007</v>
      </c>
      <c r="F22" s="152" t="s">
        <v>15</v>
      </c>
      <c r="G22" s="100">
        <v>89.19</v>
      </c>
      <c r="H22" s="100">
        <v>33.74</v>
      </c>
      <c r="I22" s="100">
        <v>22.18</v>
      </c>
      <c r="J22" s="100">
        <v>0.12</v>
      </c>
      <c r="K22" s="100">
        <v>154.36000000000001</v>
      </c>
      <c r="L22" s="100">
        <v>15.66</v>
      </c>
      <c r="M22" s="100">
        <v>60.62</v>
      </c>
      <c r="N22" s="100">
        <v>0.5</v>
      </c>
      <c r="O22" s="100">
        <v>0</v>
      </c>
      <c r="P22" s="100">
        <v>1.01</v>
      </c>
      <c r="Q22" s="100">
        <v>28.38</v>
      </c>
      <c r="R22" s="6"/>
      <c r="S22" s="6"/>
      <c r="T22" s="156"/>
      <c r="U22" s="6"/>
    </row>
    <row r="23" spans="1:21" customFormat="1">
      <c r="A23" s="163" t="s">
        <v>829</v>
      </c>
      <c r="B23" s="100">
        <v>14.62</v>
      </c>
      <c r="C23" s="100">
        <v>19.34</v>
      </c>
      <c r="D23" s="100">
        <v>23.17</v>
      </c>
      <c r="E23" s="100">
        <v>8.7100000000000009</v>
      </c>
      <c r="F23" s="152" t="s">
        <v>15</v>
      </c>
      <c r="G23" s="100">
        <v>89.19</v>
      </c>
      <c r="H23" s="100">
        <v>33.74</v>
      </c>
      <c r="I23" s="100">
        <v>23.56</v>
      </c>
      <c r="J23" s="100">
        <v>0.19</v>
      </c>
      <c r="K23" s="100">
        <v>161.76</v>
      </c>
      <c r="L23" s="100">
        <v>15.67</v>
      </c>
      <c r="M23" s="100">
        <v>62.35</v>
      </c>
      <c r="N23" s="100">
        <v>0.6</v>
      </c>
      <c r="O23" s="100">
        <v>0</v>
      </c>
      <c r="P23" s="100">
        <v>1.02</v>
      </c>
      <c r="Q23" s="100">
        <v>28.47</v>
      </c>
      <c r="R23" s="6"/>
      <c r="S23" s="6"/>
      <c r="T23" s="156"/>
      <c r="U23" s="6"/>
    </row>
    <row r="24" spans="1:21" customFormat="1">
      <c r="A24" s="163" t="s">
        <v>830</v>
      </c>
      <c r="B24" s="100">
        <v>16.8</v>
      </c>
      <c r="C24" s="100">
        <v>19.690000000000001</v>
      </c>
      <c r="D24" s="100">
        <v>25.11</v>
      </c>
      <c r="E24" s="100">
        <v>8.68</v>
      </c>
      <c r="F24" s="152" t="s">
        <v>15</v>
      </c>
      <c r="G24" s="100">
        <v>89.19</v>
      </c>
      <c r="H24" s="100">
        <v>33.74</v>
      </c>
      <c r="I24" s="100">
        <v>24.5</v>
      </c>
      <c r="J24" s="100">
        <v>0.19</v>
      </c>
      <c r="K24" s="100">
        <v>173</v>
      </c>
      <c r="L24" s="100">
        <v>15.46</v>
      </c>
      <c r="M24" s="100">
        <v>64.209999999999994</v>
      </c>
      <c r="N24" s="100">
        <v>0.6</v>
      </c>
      <c r="O24" s="100">
        <v>0</v>
      </c>
      <c r="P24" s="100">
        <v>1.03</v>
      </c>
      <c r="Q24" s="100">
        <v>28.56</v>
      </c>
      <c r="R24" s="6"/>
      <c r="S24" s="6"/>
      <c r="T24" s="156"/>
      <c r="U24" s="6"/>
    </row>
    <row r="25" spans="1:21" customFormat="1">
      <c r="A25" s="163" t="s">
        <v>831</v>
      </c>
      <c r="B25" s="100">
        <v>17.149999999999999</v>
      </c>
      <c r="C25" s="100">
        <v>20.52</v>
      </c>
      <c r="D25" s="100">
        <v>25.83</v>
      </c>
      <c r="E25" s="100">
        <v>8.61</v>
      </c>
      <c r="F25" s="152" t="s">
        <v>15</v>
      </c>
      <c r="G25" s="100">
        <v>89.79</v>
      </c>
      <c r="H25" s="100">
        <v>33.770000000000003</v>
      </c>
      <c r="I25" s="100">
        <v>25.21</v>
      </c>
      <c r="J25" s="100">
        <v>0.25</v>
      </c>
      <c r="K25" s="100">
        <v>159.47999999999999</v>
      </c>
      <c r="L25" s="100">
        <v>15.4</v>
      </c>
      <c r="M25" s="100">
        <v>65.02</v>
      </c>
      <c r="N25" s="100">
        <v>0.5</v>
      </c>
      <c r="O25" s="100">
        <v>0</v>
      </c>
      <c r="P25" s="100">
        <v>1.03</v>
      </c>
      <c r="Q25" s="100">
        <v>28.61</v>
      </c>
      <c r="R25" s="6"/>
      <c r="S25" s="6"/>
      <c r="T25" s="156"/>
      <c r="U25" s="6"/>
    </row>
    <row r="26" spans="1:21" customFormat="1">
      <c r="A26" s="163" t="s">
        <v>832</v>
      </c>
      <c r="B26" s="100">
        <v>18.28</v>
      </c>
      <c r="C26" s="100">
        <v>20.100000000000001</v>
      </c>
      <c r="D26" s="100">
        <v>26.51</v>
      </c>
      <c r="E26" s="100">
        <v>8.7100000000000009</v>
      </c>
      <c r="F26" s="152" t="s">
        <v>15</v>
      </c>
      <c r="G26" s="100">
        <v>89.85</v>
      </c>
      <c r="H26" s="100">
        <v>33.770000000000003</v>
      </c>
      <c r="I26" s="100">
        <v>25.86</v>
      </c>
      <c r="J26" s="100">
        <v>0.13</v>
      </c>
      <c r="K26" s="100">
        <v>149.97999999999999</v>
      </c>
      <c r="L26" s="100">
        <v>15.53</v>
      </c>
      <c r="M26" s="100">
        <v>63.02</v>
      </c>
      <c r="N26" s="100">
        <v>0.5</v>
      </c>
      <c r="O26" s="100">
        <v>0</v>
      </c>
      <c r="P26" s="100">
        <v>1.03</v>
      </c>
      <c r="Q26" s="100">
        <v>28.63</v>
      </c>
      <c r="R26" s="6"/>
      <c r="S26" s="6"/>
      <c r="T26" s="156"/>
      <c r="U26" s="6"/>
    </row>
    <row r="27" spans="1:21" customFormat="1">
      <c r="A27" s="163" t="s">
        <v>833</v>
      </c>
      <c r="B27" s="100">
        <v>19.899999999999999</v>
      </c>
      <c r="C27" s="100">
        <v>20.38</v>
      </c>
      <c r="D27" s="100">
        <v>27.96</v>
      </c>
      <c r="E27" s="100">
        <v>8.4</v>
      </c>
      <c r="F27" s="152" t="s">
        <v>15</v>
      </c>
      <c r="G27" s="100">
        <v>89.85</v>
      </c>
      <c r="H27" s="100">
        <v>33.770000000000003</v>
      </c>
      <c r="I27" s="100">
        <v>26.25</v>
      </c>
      <c r="J27" s="100">
        <v>0.38</v>
      </c>
      <c r="K27" s="100">
        <v>53.12</v>
      </c>
      <c r="L27" s="100">
        <v>16.87</v>
      </c>
      <c r="M27" s="100">
        <v>48.52</v>
      </c>
      <c r="N27" s="100">
        <v>0</v>
      </c>
      <c r="O27" s="100">
        <v>0</v>
      </c>
      <c r="P27" s="100">
        <v>1.05</v>
      </c>
      <c r="Q27" s="100">
        <v>28.72</v>
      </c>
      <c r="R27" s="6"/>
      <c r="S27" s="6"/>
      <c r="T27" s="156"/>
      <c r="U27" s="6"/>
    </row>
    <row r="28" spans="1:21" customFormat="1">
      <c r="A28" s="163" t="s">
        <v>834</v>
      </c>
      <c r="B28" s="100">
        <v>21.87</v>
      </c>
      <c r="C28" s="100">
        <v>20.62</v>
      </c>
      <c r="D28" s="100">
        <v>29.66</v>
      </c>
      <c r="E28" s="100">
        <v>8.93</v>
      </c>
      <c r="F28" s="152" t="s">
        <v>15</v>
      </c>
      <c r="G28" s="100">
        <v>89.85</v>
      </c>
      <c r="H28" s="100">
        <v>33.770000000000003</v>
      </c>
      <c r="I28" s="100">
        <v>26.43</v>
      </c>
      <c r="J28" s="100">
        <v>0.35</v>
      </c>
      <c r="K28" s="100">
        <v>36.86</v>
      </c>
      <c r="L28" s="100">
        <v>17.53</v>
      </c>
      <c r="M28" s="100">
        <v>44.14</v>
      </c>
      <c r="N28" s="100">
        <v>0.1</v>
      </c>
      <c r="O28" s="100">
        <v>0</v>
      </c>
      <c r="P28" s="100">
        <v>1.06</v>
      </c>
      <c r="Q28" s="100">
        <v>28.82</v>
      </c>
      <c r="R28" s="6"/>
      <c r="S28" s="6"/>
      <c r="T28" s="156"/>
      <c r="U28" s="6"/>
    </row>
    <row r="29" spans="1:21" customFormat="1">
      <c r="A29" s="163" t="s">
        <v>835</v>
      </c>
      <c r="B29" s="100">
        <v>22.51</v>
      </c>
      <c r="C29" s="100">
        <v>21.71</v>
      </c>
      <c r="D29" s="100">
        <v>30.75</v>
      </c>
      <c r="E29" s="100">
        <v>8.9600000000000009</v>
      </c>
      <c r="F29" s="152" t="s">
        <v>15</v>
      </c>
      <c r="G29" s="100">
        <v>94.73</v>
      </c>
      <c r="H29" s="100">
        <v>32.9</v>
      </c>
      <c r="I29" s="100">
        <v>26.44</v>
      </c>
      <c r="J29" s="100">
        <v>0.52</v>
      </c>
      <c r="K29" s="100">
        <v>57.39</v>
      </c>
      <c r="L29" s="100">
        <v>17.7</v>
      </c>
      <c r="M29" s="100">
        <v>42.04</v>
      </c>
      <c r="N29" s="100">
        <v>0.1</v>
      </c>
      <c r="O29" s="100">
        <v>0</v>
      </c>
      <c r="P29" s="100">
        <v>1.07</v>
      </c>
      <c r="Q29" s="100">
        <v>28.86</v>
      </c>
      <c r="R29" s="6"/>
      <c r="S29" s="6"/>
      <c r="T29" s="156"/>
      <c r="U29" s="6"/>
    </row>
    <row r="30" spans="1:21" customFormat="1">
      <c r="A30" s="163" t="s">
        <v>836</v>
      </c>
      <c r="B30" s="100">
        <v>23.97</v>
      </c>
      <c r="C30" s="100">
        <v>21.31</v>
      </c>
      <c r="D30" s="100">
        <v>31.71</v>
      </c>
      <c r="E30" s="100">
        <v>9.19</v>
      </c>
      <c r="F30" s="152" t="s">
        <v>15</v>
      </c>
      <c r="G30" s="100">
        <v>95.2</v>
      </c>
      <c r="H30" s="100">
        <v>32.9</v>
      </c>
      <c r="I30" s="100">
        <v>26.15</v>
      </c>
      <c r="J30" s="100">
        <v>0.54</v>
      </c>
      <c r="K30" s="100">
        <v>53.78</v>
      </c>
      <c r="L30" s="100">
        <v>17.79</v>
      </c>
      <c r="M30" s="100">
        <v>41.46</v>
      </c>
      <c r="N30" s="100">
        <v>0.2</v>
      </c>
      <c r="O30" s="100">
        <v>0</v>
      </c>
      <c r="P30" s="100">
        <v>1.07</v>
      </c>
      <c r="Q30" s="100">
        <v>28.88</v>
      </c>
      <c r="R30" s="6"/>
      <c r="S30" s="6"/>
      <c r="T30" s="156"/>
      <c r="U30" s="6"/>
    </row>
    <row r="31" spans="1:21" customFormat="1">
      <c r="A31" s="163" t="s">
        <v>837</v>
      </c>
      <c r="B31" s="100">
        <v>25.02</v>
      </c>
      <c r="C31" s="100">
        <v>20.98</v>
      </c>
      <c r="D31" s="100">
        <v>32.369999999999997</v>
      </c>
      <c r="E31" s="100">
        <v>8.8699999999999992</v>
      </c>
      <c r="F31" s="152" t="s">
        <v>15</v>
      </c>
      <c r="G31" s="100">
        <v>95.2</v>
      </c>
      <c r="H31" s="100">
        <v>32.9</v>
      </c>
      <c r="I31" s="100">
        <v>25.75</v>
      </c>
      <c r="J31" s="100">
        <v>0.28000000000000003</v>
      </c>
      <c r="K31" s="100">
        <v>54.85</v>
      </c>
      <c r="L31" s="100">
        <v>17.46</v>
      </c>
      <c r="M31" s="100">
        <v>45.16</v>
      </c>
      <c r="N31" s="100">
        <v>0.9</v>
      </c>
      <c r="O31" s="100">
        <v>0</v>
      </c>
      <c r="P31" s="100">
        <v>1.06</v>
      </c>
      <c r="Q31" s="100">
        <v>28.93</v>
      </c>
      <c r="R31" s="6"/>
      <c r="S31" s="6"/>
      <c r="T31" s="156"/>
      <c r="U31" s="6"/>
    </row>
    <row r="32" spans="1:21" customFormat="1">
      <c r="A32" s="163" t="s">
        <v>838</v>
      </c>
      <c r="B32" s="100">
        <v>24.96</v>
      </c>
      <c r="C32" s="100">
        <v>20.72</v>
      </c>
      <c r="D32" s="100">
        <v>32.19</v>
      </c>
      <c r="E32" s="100">
        <v>8.76</v>
      </c>
      <c r="F32" s="152" t="s">
        <v>15</v>
      </c>
      <c r="G32" s="100">
        <v>95.2</v>
      </c>
      <c r="H32" s="100">
        <v>32.9</v>
      </c>
      <c r="I32" s="100">
        <v>25.19</v>
      </c>
      <c r="J32" s="100">
        <v>0.25</v>
      </c>
      <c r="K32" s="100">
        <v>199.38</v>
      </c>
      <c r="L32" s="100">
        <v>15.22</v>
      </c>
      <c r="M32" s="100">
        <v>62.21</v>
      </c>
      <c r="N32" s="100">
        <v>2.2999999999999998</v>
      </c>
      <c r="O32" s="100">
        <v>0</v>
      </c>
      <c r="P32" s="100">
        <v>1.06</v>
      </c>
      <c r="Q32" s="100">
        <v>28.92</v>
      </c>
      <c r="R32" s="6"/>
      <c r="S32" s="6"/>
      <c r="T32" s="156"/>
      <c r="U32" s="6"/>
    </row>
    <row r="33" spans="1:21" customFormat="1">
      <c r="A33" s="163" t="s">
        <v>839</v>
      </c>
      <c r="B33" s="100">
        <v>24.32</v>
      </c>
      <c r="C33" s="100">
        <v>20.309999999999999</v>
      </c>
      <c r="D33" s="100">
        <v>31.47</v>
      </c>
      <c r="E33" s="100">
        <v>8.61</v>
      </c>
      <c r="F33" s="152" t="s">
        <v>15</v>
      </c>
      <c r="G33" s="100">
        <v>97.3</v>
      </c>
      <c r="H33" s="100">
        <v>34.979999999999997</v>
      </c>
      <c r="I33" s="100">
        <v>24.64</v>
      </c>
      <c r="J33" s="100">
        <v>0.18</v>
      </c>
      <c r="K33" s="100">
        <v>184.92</v>
      </c>
      <c r="L33" s="100">
        <v>14.44</v>
      </c>
      <c r="M33" s="100">
        <v>64.510000000000005</v>
      </c>
      <c r="N33" s="100">
        <v>2.2999999999999998</v>
      </c>
      <c r="O33" s="100">
        <v>0</v>
      </c>
      <c r="P33" s="100">
        <v>1.05</v>
      </c>
      <c r="Q33" s="100">
        <v>28.89</v>
      </c>
      <c r="R33" s="6"/>
      <c r="S33" s="6"/>
      <c r="T33" s="156"/>
      <c r="U33" s="6"/>
    </row>
    <row r="34" spans="1:21" customFormat="1">
      <c r="A34" s="163" t="s">
        <v>840</v>
      </c>
      <c r="B34" s="100">
        <v>23.52</v>
      </c>
      <c r="C34" s="100">
        <v>19.649999999999999</v>
      </c>
      <c r="D34" s="100">
        <v>30.48</v>
      </c>
      <c r="E34" s="100">
        <v>8.8699999999999992</v>
      </c>
      <c r="F34" s="152" t="s">
        <v>15</v>
      </c>
      <c r="G34" s="100">
        <v>97.5</v>
      </c>
      <c r="H34" s="100">
        <v>34.979999999999997</v>
      </c>
      <c r="I34" s="100">
        <v>24.18</v>
      </c>
      <c r="J34" s="100">
        <v>0.17</v>
      </c>
      <c r="K34" s="100">
        <v>208.94</v>
      </c>
      <c r="L34" s="100">
        <v>14.37</v>
      </c>
      <c r="M34" s="100">
        <v>64.16</v>
      </c>
      <c r="N34" s="100">
        <v>4.8</v>
      </c>
      <c r="O34" s="100">
        <v>0</v>
      </c>
      <c r="P34" s="100">
        <v>1.04</v>
      </c>
      <c r="Q34" s="100">
        <v>28.86</v>
      </c>
      <c r="R34" s="6"/>
      <c r="S34" s="6"/>
      <c r="T34" s="156"/>
      <c r="U34" s="6"/>
    </row>
    <row r="35" spans="1:21" customFormat="1">
      <c r="A35" s="163" t="s">
        <v>841</v>
      </c>
      <c r="B35" s="100">
        <v>22.14</v>
      </c>
      <c r="C35" s="100">
        <v>19.829999999999998</v>
      </c>
      <c r="D35" s="100">
        <v>29.46</v>
      </c>
      <c r="E35" s="100">
        <v>8.81</v>
      </c>
      <c r="F35" s="152" t="s">
        <v>15</v>
      </c>
      <c r="G35" s="100">
        <v>97.5</v>
      </c>
      <c r="H35" s="100">
        <v>34.979999999999997</v>
      </c>
      <c r="I35" s="100">
        <v>23.69</v>
      </c>
      <c r="J35" s="100">
        <v>0.19</v>
      </c>
      <c r="K35" s="100">
        <v>244.14</v>
      </c>
      <c r="L35" s="100">
        <v>14.48</v>
      </c>
      <c r="M35" s="100">
        <v>63.32</v>
      </c>
      <c r="N35" s="100">
        <v>10</v>
      </c>
      <c r="O35" s="100">
        <v>0</v>
      </c>
      <c r="P35" s="100">
        <v>1.04</v>
      </c>
      <c r="Q35" s="100">
        <v>28.8</v>
      </c>
      <c r="R35" s="6"/>
      <c r="S35" s="6"/>
      <c r="T35" s="156"/>
      <c r="U35" s="6"/>
    </row>
    <row r="36" spans="1:21" customFormat="1">
      <c r="A36" s="163" t="s">
        <v>842</v>
      </c>
      <c r="B36" s="100">
        <v>21.44</v>
      </c>
      <c r="C36" s="100">
        <v>20.170000000000002</v>
      </c>
      <c r="D36" s="100">
        <v>29.09</v>
      </c>
      <c r="E36" s="100">
        <v>8.2899999999999991</v>
      </c>
      <c r="F36" s="152" t="s">
        <v>15</v>
      </c>
      <c r="G36" s="100">
        <v>97.5</v>
      </c>
      <c r="H36" s="100">
        <v>34.979999999999997</v>
      </c>
      <c r="I36" s="100">
        <v>23.19</v>
      </c>
      <c r="J36" s="100">
        <v>0.15</v>
      </c>
      <c r="K36" s="100">
        <v>139.99</v>
      </c>
      <c r="L36" s="100">
        <v>15.47</v>
      </c>
      <c r="M36" s="100">
        <v>60.56</v>
      </c>
      <c r="N36" s="100">
        <v>15</v>
      </c>
      <c r="O36" s="100">
        <v>0</v>
      </c>
      <c r="P36" s="100">
        <v>1.05</v>
      </c>
      <c r="Q36" s="100">
        <v>28.82</v>
      </c>
      <c r="R36" s="6"/>
      <c r="S36" s="6"/>
      <c r="T36" s="156"/>
      <c r="U36" s="6"/>
    </row>
    <row r="37" spans="1:21" customFormat="1">
      <c r="A37" s="163" t="s">
        <v>843</v>
      </c>
      <c r="B37" s="100">
        <v>22.47</v>
      </c>
      <c r="C37" s="100">
        <v>19.75</v>
      </c>
      <c r="D37" s="100">
        <v>29.68</v>
      </c>
      <c r="E37" s="100">
        <v>8.6199999999999992</v>
      </c>
      <c r="F37" s="152" t="s">
        <v>15</v>
      </c>
      <c r="G37" s="100">
        <v>93.72</v>
      </c>
      <c r="H37" s="100">
        <v>30.33</v>
      </c>
      <c r="I37" s="100">
        <v>22.7</v>
      </c>
      <c r="J37" s="100">
        <v>0.2</v>
      </c>
      <c r="K37" s="100">
        <v>159.63999999999999</v>
      </c>
      <c r="L37" s="100">
        <v>16.420000000000002</v>
      </c>
      <c r="M37" s="100">
        <v>57.47</v>
      </c>
      <c r="N37" s="100">
        <v>19.600000000000001</v>
      </c>
      <c r="O37" s="100">
        <v>0</v>
      </c>
      <c r="P37" s="100">
        <v>1.05</v>
      </c>
      <c r="Q37" s="100">
        <v>28.87</v>
      </c>
      <c r="R37" s="6"/>
      <c r="S37" s="6"/>
      <c r="T37" s="156"/>
      <c r="U37" s="6"/>
    </row>
    <row r="38" spans="1:21" customFormat="1">
      <c r="A38" s="163" t="s">
        <v>844</v>
      </c>
      <c r="B38" s="100">
        <v>22.96</v>
      </c>
      <c r="C38" s="100">
        <v>19.829999999999998</v>
      </c>
      <c r="D38" s="100">
        <v>30.12</v>
      </c>
      <c r="E38" s="100">
        <v>8.8800000000000008</v>
      </c>
      <c r="F38" s="152" t="s">
        <v>15</v>
      </c>
      <c r="G38" s="100">
        <v>93.35</v>
      </c>
      <c r="H38" s="100">
        <v>30.33</v>
      </c>
      <c r="I38" s="100">
        <v>22.23</v>
      </c>
      <c r="J38" s="100">
        <v>0.14000000000000001</v>
      </c>
      <c r="K38" s="100">
        <v>173.14</v>
      </c>
      <c r="L38" s="100">
        <v>17.37</v>
      </c>
      <c r="M38" s="100">
        <v>55.02</v>
      </c>
      <c r="N38" s="100">
        <v>24.3</v>
      </c>
      <c r="O38" s="100">
        <v>0</v>
      </c>
      <c r="P38" s="100">
        <v>1.05</v>
      </c>
      <c r="Q38" s="100">
        <v>28.89</v>
      </c>
      <c r="R38" s="6"/>
      <c r="S38" s="6"/>
      <c r="T38" s="156"/>
      <c r="U38" s="6"/>
    </row>
    <row r="39" spans="1:21" customFormat="1">
      <c r="A39" s="163" t="s">
        <v>845</v>
      </c>
      <c r="B39" s="100">
        <v>23.31</v>
      </c>
      <c r="C39" s="100">
        <v>19.97</v>
      </c>
      <c r="D39" s="100">
        <v>30.48</v>
      </c>
      <c r="E39" s="100">
        <v>8.81</v>
      </c>
      <c r="F39" s="152" t="s">
        <v>15</v>
      </c>
      <c r="G39" s="100">
        <v>93.35</v>
      </c>
      <c r="H39" s="100">
        <v>30.33</v>
      </c>
      <c r="I39" s="100">
        <v>21.88</v>
      </c>
      <c r="J39" s="100">
        <v>0.36</v>
      </c>
      <c r="K39" s="100">
        <v>29.31</v>
      </c>
      <c r="L39" s="100">
        <v>19</v>
      </c>
      <c r="M39" s="100">
        <v>43.86</v>
      </c>
      <c r="N39" s="100">
        <v>27.7</v>
      </c>
      <c r="O39" s="100">
        <v>0</v>
      </c>
      <c r="P39" s="100">
        <v>1.06</v>
      </c>
      <c r="Q39" s="100">
        <v>28.89</v>
      </c>
      <c r="R39" s="6"/>
      <c r="S39" s="6"/>
      <c r="T39" s="156"/>
      <c r="U39" s="6"/>
    </row>
    <row r="40" spans="1:21" customFormat="1">
      <c r="A40" s="163" t="s">
        <v>846</v>
      </c>
      <c r="B40" s="100">
        <v>23.02</v>
      </c>
      <c r="C40" s="100">
        <v>20.55</v>
      </c>
      <c r="D40" s="100">
        <v>30.55</v>
      </c>
      <c r="E40" s="100">
        <v>8.76</v>
      </c>
      <c r="F40" s="152" t="s">
        <v>15</v>
      </c>
      <c r="G40" s="100">
        <v>93.35</v>
      </c>
      <c r="H40" s="100">
        <v>30.33</v>
      </c>
      <c r="I40" s="100">
        <v>21.55</v>
      </c>
      <c r="J40" s="100">
        <v>0.75</v>
      </c>
      <c r="K40" s="100">
        <v>60.61</v>
      </c>
      <c r="L40" s="100">
        <v>20.420000000000002</v>
      </c>
      <c r="M40" s="100">
        <v>37.31</v>
      </c>
      <c r="N40" s="100">
        <v>52</v>
      </c>
      <c r="O40" s="100">
        <v>0</v>
      </c>
      <c r="P40" s="100">
        <v>1.07</v>
      </c>
      <c r="Q40" s="100">
        <v>28.86</v>
      </c>
      <c r="R40" s="6"/>
      <c r="S40" s="6"/>
      <c r="T40" s="156"/>
      <c r="U40" s="6"/>
    </row>
    <row r="41" spans="1:21" customFormat="1">
      <c r="A41" s="163" t="s">
        <v>847</v>
      </c>
      <c r="B41" s="100">
        <v>22.38</v>
      </c>
      <c r="C41" s="100">
        <v>20.94</v>
      </c>
      <c r="D41" s="100">
        <v>30.24</v>
      </c>
      <c r="E41" s="100">
        <v>9.25</v>
      </c>
      <c r="F41" s="152" t="s">
        <v>15</v>
      </c>
      <c r="G41" s="100">
        <v>102.79</v>
      </c>
      <c r="H41" s="100">
        <v>34.15</v>
      </c>
      <c r="I41" s="100">
        <v>21.2</v>
      </c>
      <c r="J41" s="100">
        <v>1.07</v>
      </c>
      <c r="K41" s="100">
        <v>54.06</v>
      </c>
      <c r="L41" s="100">
        <v>21.49</v>
      </c>
      <c r="M41" s="100">
        <v>33.200000000000003</v>
      </c>
      <c r="N41" s="100">
        <v>111.1</v>
      </c>
      <c r="O41" s="100">
        <v>0</v>
      </c>
      <c r="P41" s="100">
        <v>1.05</v>
      </c>
      <c r="Q41" s="100">
        <v>28.8</v>
      </c>
      <c r="R41" s="6"/>
      <c r="S41" s="6"/>
      <c r="T41" s="156"/>
      <c r="U41" s="6"/>
    </row>
    <row r="42" spans="1:21" customFormat="1">
      <c r="A42" s="163" t="s">
        <v>848</v>
      </c>
      <c r="B42" s="100">
        <v>21.42</v>
      </c>
      <c r="C42" s="100">
        <v>21.57</v>
      </c>
      <c r="D42" s="100">
        <v>29.8</v>
      </c>
      <c r="E42" s="100">
        <v>9.17</v>
      </c>
      <c r="F42" s="152" t="s">
        <v>15</v>
      </c>
      <c r="G42" s="100">
        <v>103.71</v>
      </c>
      <c r="H42" s="100">
        <v>34.15</v>
      </c>
      <c r="I42" s="100">
        <v>20.77</v>
      </c>
      <c r="J42" s="100">
        <v>0.96</v>
      </c>
      <c r="K42" s="100">
        <v>52.29</v>
      </c>
      <c r="L42" s="100">
        <v>22.66</v>
      </c>
      <c r="M42" s="100">
        <v>30.81</v>
      </c>
      <c r="N42" s="100">
        <v>225.4</v>
      </c>
      <c r="O42" s="100">
        <v>0</v>
      </c>
      <c r="P42" s="100">
        <v>1.04</v>
      </c>
      <c r="Q42" s="100">
        <v>28.75</v>
      </c>
      <c r="R42" s="6"/>
      <c r="S42" s="6"/>
      <c r="T42" s="156"/>
      <c r="U42" s="6"/>
    </row>
    <row r="43" spans="1:21" customFormat="1">
      <c r="A43" s="163" t="s">
        <v>849</v>
      </c>
      <c r="B43" s="100">
        <v>19.87</v>
      </c>
      <c r="C43" s="100">
        <v>22.88</v>
      </c>
      <c r="D43" s="100">
        <v>29.24</v>
      </c>
      <c r="E43" s="100">
        <v>9.27</v>
      </c>
      <c r="F43" s="152" t="s">
        <v>15</v>
      </c>
      <c r="G43" s="100">
        <v>103.71</v>
      </c>
      <c r="H43" s="100">
        <v>34.15</v>
      </c>
      <c r="I43" s="100">
        <v>20.3</v>
      </c>
      <c r="J43" s="100">
        <v>1.1299999999999999</v>
      </c>
      <c r="K43" s="100">
        <v>43.9</v>
      </c>
      <c r="L43" s="100">
        <v>23.93</v>
      </c>
      <c r="M43" s="100">
        <v>25.42</v>
      </c>
      <c r="N43" s="100">
        <v>277.8</v>
      </c>
      <c r="O43" s="100">
        <v>0</v>
      </c>
      <c r="P43" s="100">
        <v>1.03</v>
      </c>
      <c r="Q43" s="100">
        <v>28.73</v>
      </c>
      <c r="R43" s="6"/>
      <c r="S43" s="6"/>
      <c r="T43" s="156"/>
      <c r="U43" s="6"/>
    </row>
    <row r="44" spans="1:21" customFormat="1">
      <c r="A44" s="163" t="s">
        <v>850</v>
      </c>
      <c r="B44" s="100">
        <v>20.100000000000001</v>
      </c>
      <c r="C44" s="100">
        <v>22.5</v>
      </c>
      <c r="D44" s="100">
        <v>29.22</v>
      </c>
      <c r="E44" s="100">
        <v>9.32</v>
      </c>
      <c r="F44" s="152" t="s">
        <v>15</v>
      </c>
      <c r="G44" s="100">
        <v>103.71</v>
      </c>
      <c r="H44" s="100">
        <v>34.15</v>
      </c>
      <c r="I44" s="100">
        <v>19.89</v>
      </c>
      <c r="J44" s="100">
        <v>0.71</v>
      </c>
      <c r="K44" s="100">
        <v>52.77</v>
      </c>
      <c r="L44" s="100">
        <v>25.32</v>
      </c>
      <c r="M44" s="100">
        <v>21.96</v>
      </c>
      <c r="N44" s="100">
        <v>286.39999999999998</v>
      </c>
      <c r="O44" s="100">
        <v>0</v>
      </c>
      <c r="P44" s="100">
        <v>1.02</v>
      </c>
      <c r="Q44" s="100">
        <v>28.72</v>
      </c>
      <c r="R44" s="6"/>
      <c r="S44" s="6"/>
      <c r="T44" s="156"/>
      <c r="U44" s="6"/>
    </row>
    <row r="45" spans="1:21" customFormat="1">
      <c r="A45" s="163" t="s">
        <v>851</v>
      </c>
      <c r="B45" s="100">
        <v>20.52</v>
      </c>
      <c r="C45" s="100">
        <v>22.13</v>
      </c>
      <c r="D45" s="100">
        <v>29.37</v>
      </c>
      <c r="E45" s="100">
        <v>8.9</v>
      </c>
      <c r="F45" s="152" t="s">
        <v>15</v>
      </c>
      <c r="G45" s="100">
        <v>98.56</v>
      </c>
      <c r="H45" s="100">
        <v>34.33</v>
      </c>
      <c r="I45" s="100">
        <v>19.43</v>
      </c>
      <c r="J45" s="100">
        <v>0.78</v>
      </c>
      <c r="K45" s="100">
        <v>61.5</v>
      </c>
      <c r="L45" s="100">
        <v>26.71</v>
      </c>
      <c r="M45" s="100">
        <v>18.79</v>
      </c>
      <c r="N45" s="100">
        <v>227.5</v>
      </c>
      <c r="O45" s="100">
        <v>0</v>
      </c>
      <c r="P45" s="100">
        <v>1.02</v>
      </c>
      <c r="Q45" s="100">
        <v>28.71</v>
      </c>
      <c r="R45" s="6"/>
      <c r="S45" s="6"/>
      <c r="T45" s="156"/>
      <c r="U45" s="6"/>
    </row>
    <row r="46" spans="1:21" customFormat="1">
      <c r="A46" s="163" t="s">
        <v>852</v>
      </c>
      <c r="B46" s="100">
        <v>20.97</v>
      </c>
      <c r="C46" s="100">
        <v>21.72</v>
      </c>
      <c r="D46" s="100">
        <v>29.52</v>
      </c>
      <c r="E46" s="100">
        <v>9.07</v>
      </c>
      <c r="F46" s="152" t="s">
        <v>15</v>
      </c>
      <c r="G46" s="100">
        <v>98.06</v>
      </c>
      <c r="H46" s="100">
        <v>34.33</v>
      </c>
      <c r="I46" s="100">
        <v>19</v>
      </c>
      <c r="J46" s="100">
        <v>1.37</v>
      </c>
      <c r="K46" s="100">
        <v>59.13</v>
      </c>
      <c r="L46" s="100">
        <v>27.01</v>
      </c>
      <c r="M46" s="100">
        <v>15.25</v>
      </c>
      <c r="N46" s="100">
        <v>322</v>
      </c>
      <c r="O46" s="100">
        <v>0</v>
      </c>
      <c r="P46" s="100">
        <v>1</v>
      </c>
      <c r="Q46" s="100">
        <v>28.69</v>
      </c>
      <c r="R46" s="6"/>
      <c r="S46" s="6"/>
      <c r="T46" s="156"/>
      <c r="U46" s="6"/>
    </row>
    <row r="47" spans="1:21" customFormat="1">
      <c r="A47" s="163" t="s">
        <v>853</v>
      </c>
      <c r="B47" s="100">
        <v>21.13</v>
      </c>
      <c r="C47" s="100">
        <v>21.62</v>
      </c>
      <c r="D47" s="100">
        <v>29.59</v>
      </c>
      <c r="E47" s="100">
        <v>10.210000000000001</v>
      </c>
      <c r="F47" s="152" t="s">
        <v>15</v>
      </c>
      <c r="G47" s="100">
        <v>98.06</v>
      </c>
      <c r="H47" s="100">
        <v>34.33</v>
      </c>
      <c r="I47" s="100">
        <v>18.75</v>
      </c>
      <c r="J47" s="100">
        <v>1.38</v>
      </c>
      <c r="K47" s="100">
        <v>55.29</v>
      </c>
      <c r="L47" s="100">
        <v>27.46</v>
      </c>
      <c r="M47" s="100">
        <v>14.15</v>
      </c>
      <c r="N47" s="100">
        <v>330.7</v>
      </c>
      <c r="O47" s="100">
        <v>0</v>
      </c>
      <c r="P47" s="100">
        <v>0.97</v>
      </c>
      <c r="Q47" s="100">
        <v>28.68</v>
      </c>
      <c r="R47" s="6"/>
      <c r="S47" s="6"/>
      <c r="T47" s="156"/>
      <c r="U47" s="6"/>
    </row>
    <row r="48" spans="1:21" customFormat="1">
      <c r="A48" s="163" t="s">
        <v>854</v>
      </c>
      <c r="B48" s="100">
        <v>20.2</v>
      </c>
      <c r="C48" s="100">
        <v>21.79</v>
      </c>
      <c r="D48" s="100">
        <v>28.94</v>
      </c>
      <c r="E48" s="100">
        <v>9.8000000000000007</v>
      </c>
      <c r="F48" s="152" t="s">
        <v>15</v>
      </c>
      <c r="G48" s="100">
        <v>98.06</v>
      </c>
      <c r="H48" s="100">
        <v>34.33</v>
      </c>
      <c r="I48" s="100">
        <v>18.399999999999999</v>
      </c>
      <c r="J48" s="100">
        <v>1</v>
      </c>
      <c r="K48" s="100">
        <v>56.31</v>
      </c>
      <c r="L48" s="100">
        <v>28.16</v>
      </c>
      <c r="M48" s="100">
        <v>14.11</v>
      </c>
      <c r="N48" s="100">
        <v>338.2</v>
      </c>
      <c r="O48" s="100">
        <v>0</v>
      </c>
      <c r="P48" s="100">
        <v>0.96</v>
      </c>
      <c r="Q48" s="100">
        <v>28.67</v>
      </c>
      <c r="R48" s="6"/>
      <c r="S48" s="6"/>
      <c r="T48" s="156"/>
      <c r="U48" s="6"/>
    </row>
    <row r="49" spans="1:21" customFormat="1">
      <c r="A49" s="163" t="s">
        <v>855</v>
      </c>
      <c r="B49" s="100">
        <v>19.05</v>
      </c>
      <c r="C49" s="100">
        <v>22.27</v>
      </c>
      <c r="D49" s="100">
        <v>28.26</v>
      </c>
      <c r="E49" s="100">
        <v>9.1199999999999992</v>
      </c>
      <c r="F49" s="152" t="s">
        <v>15</v>
      </c>
      <c r="G49" s="100">
        <v>86.55</v>
      </c>
      <c r="H49" s="100">
        <v>25.95</v>
      </c>
      <c r="I49" s="100">
        <v>17.940000000000001</v>
      </c>
      <c r="J49" s="100">
        <v>1.1399999999999999</v>
      </c>
      <c r="K49" s="100">
        <v>46.16</v>
      </c>
      <c r="L49" s="100">
        <v>28.44</v>
      </c>
      <c r="M49" s="100">
        <v>14.26</v>
      </c>
      <c r="N49" s="100">
        <v>283.8</v>
      </c>
      <c r="O49" s="100">
        <v>0</v>
      </c>
      <c r="P49" s="100">
        <v>0.94</v>
      </c>
      <c r="Q49" s="100">
        <v>28.63</v>
      </c>
      <c r="R49" s="6"/>
      <c r="S49" s="6"/>
      <c r="T49" s="156"/>
      <c r="U49" s="6"/>
    </row>
    <row r="50" spans="1:21" customFormat="1">
      <c r="A50" s="163" t="s">
        <v>856</v>
      </c>
      <c r="B50" s="100">
        <v>18.53</v>
      </c>
      <c r="C50" s="100">
        <v>22.13</v>
      </c>
      <c r="D50" s="100">
        <v>27.78</v>
      </c>
      <c r="E50" s="100">
        <v>10.33</v>
      </c>
      <c r="F50" s="152" t="s">
        <v>15</v>
      </c>
      <c r="G50" s="100">
        <v>85.43</v>
      </c>
      <c r="H50" s="100">
        <v>25.95</v>
      </c>
      <c r="I50" s="100">
        <v>17.43</v>
      </c>
      <c r="J50" s="100">
        <v>0.84</v>
      </c>
      <c r="K50" s="100">
        <v>61.08</v>
      </c>
      <c r="L50" s="100">
        <v>29.32</v>
      </c>
      <c r="M50" s="100">
        <v>13.32</v>
      </c>
      <c r="N50" s="100">
        <v>257.89999999999998</v>
      </c>
      <c r="O50" s="100">
        <v>0</v>
      </c>
      <c r="P50" s="100">
        <v>0.92</v>
      </c>
      <c r="Q50" s="100">
        <v>28.61</v>
      </c>
      <c r="R50" s="6"/>
      <c r="S50" s="6"/>
      <c r="T50" s="156"/>
      <c r="U50" s="6"/>
    </row>
    <row r="51" spans="1:21" customFormat="1">
      <c r="A51" s="163" t="s">
        <v>857</v>
      </c>
      <c r="B51" s="100">
        <v>18.34</v>
      </c>
      <c r="C51" s="100">
        <v>21.62</v>
      </c>
      <c r="D51" s="100">
        <v>27.35</v>
      </c>
      <c r="E51" s="100">
        <v>9.4600000000000009</v>
      </c>
      <c r="F51" s="152" t="s">
        <v>15</v>
      </c>
      <c r="G51" s="100">
        <v>85.43</v>
      </c>
      <c r="H51" s="100">
        <v>25.95</v>
      </c>
      <c r="I51" s="100">
        <v>16.84</v>
      </c>
      <c r="J51" s="100">
        <v>0.77</v>
      </c>
      <c r="K51" s="100">
        <v>50.04</v>
      </c>
      <c r="L51" s="100">
        <v>29.69</v>
      </c>
      <c r="M51" s="100">
        <v>12.31</v>
      </c>
      <c r="N51" s="100">
        <v>349.7</v>
      </c>
      <c r="O51" s="100">
        <v>0</v>
      </c>
      <c r="P51" s="100">
        <v>0.91</v>
      </c>
      <c r="Q51" s="100">
        <v>28.59</v>
      </c>
      <c r="R51" s="6"/>
      <c r="S51" s="6"/>
      <c r="T51" s="156"/>
      <c r="U51" s="6"/>
    </row>
    <row r="52" spans="1:21" customFormat="1">
      <c r="A52" s="163" t="s">
        <v>858</v>
      </c>
      <c r="B52" s="100">
        <v>18.91</v>
      </c>
      <c r="C52" s="100">
        <v>20.62</v>
      </c>
      <c r="D52" s="100">
        <v>27.29</v>
      </c>
      <c r="E52" s="100">
        <v>9.2899999999999991</v>
      </c>
      <c r="F52" s="152" t="s">
        <v>15</v>
      </c>
      <c r="G52" s="100">
        <v>85.43</v>
      </c>
      <c r="H52" s="100">
        <v>25.95</v>
      </c>
      <c r="I52" s="100">
        <v>16.5</v>
      </c>
      <c r="J52" s="100">
        <v>0.75</v>
      </c>
      <c r="K52" s="100">
        <v>61.97</v>
      </c>
      <c r="L52" s="100">
        <v>30.52</v>
      </c>
      <c r="M52" s="100">
        <v>11.08</v>
      </c>
      <c r="N52" s="100">
        <v>363.9</v>
      </c>
      <c r="O52" s="100">
        <v>0</v>
      </c>
      <c r="P52" s="100">
        <v>0.89</v>
      </c>
      <c r="Q52" s="100">
        <v>28.56</v>
      </c>
      <c r="R52" s="6"/>
      <c r="S52" s="6"/>
      <c r="T52" s="156"/>
      <c r="U52" s="6"/>
    </row>
    <row r="53" spans="1:21" customFormat="1">
      <c r="A53" s="163" t="s">
        <v>859</v>
      </c>
      <c r="B53" s="100">
        <v>19.239999999999998</v>
      </c>
      <c r="C53" s="100">
        <v>19.829999999999998</v>
      </c>
      <c r="D53" s="100">
        <v>27.14</v>
      </c>
      <c r="E53" s="100">
        <v>10.69</v>
      </c>
      <c r="F53" s="152" t="s">
        <v>15</v>
      </c>
      <c r="G53" s="100">
        <v>70.19</v>
      </c>
      <c r="H53" s="100">
        <v>23.34</v>
      </c>
      <c r="I53" s="100">
        <v>16.149999999999999</v>
      </c>
      <c r="J53" s="100">
        <v>0.89</v>
      </c>
      <c r="K53" s="100">
        <v>39.590000000000003</v>
      </c>
      <c r="L53" s="100">
        <v>30.61</v>
      </c>
      <c r="M53" s="100">
        <v>10.64</v>
      </c>
      <c r="N53" s="100">
        <v>366.5</v>
      </c>
      <c r="O53" s="100">
        <v>0</v>
      </c>
      <c r="P53" s="100">
        <v>0.85</v>
      </c>
      <c r="Q53" s="100">
        <v>28.53</v>
      </c>
      <c r="R53" s="6"/>
      <c r="S53" s="6"/>
      <c r="T53" s="156"/>
      <c r="U53" s="6"/>
    </row>
    <row r="54" spans="1:21" customFormat="1">
      <c r="A54" s="163" t="s">
        <v>860</v>
      </c>
      <c r="B54" s="100">
        <v>19.91</v>
      </c>
      <c r="C54" s="100">
        <v>18.850000000000001</v>
      </c>
      <c r="D54" s="100">
        <v>27.17</v>
      </c>
      <c r="E54" s="100">
        <v>9.43</v>
      </c>
      <c r="F54" s="152" t="s">
        <v>15</v>
      </c>
      <c r="G54" s="100">
        <v>68.709999999999994</v>
      </c>
      <c r="H54" s="100">
        <v>23.34</v>
      </c>
      <c r="I54" s="100">
        <v>15.6</v>
      </c>
      <c r="J54" s="100">
        <v>0.72</v>
      </c>
      <c r="K54" s="100">
        <v>21.88</v>
      </c>
      <c r="L54" s="100">
        <v>30.73</v>
      </c>
      <c r="M54" s="100">
        <v>9.9600000000000009</v>
      </c>
      <c r="N54" s="100">
        <v>339.5</v>
      </c>
      <c r="O54" s="100">
        <v>0</v>
      </c>
      <c r="P54" s="100">
        <v>0.84</v>
      </c>
      <c r="Q54" s="100">
        <v>28.5</v>
      </c>
      <c r="R54" s="6"/>
      <c r="S54" s="6"/>
      <c r="T54" s="156"/>
      <c r="U54" s="6"/>
    </row>
    <row r="55" spans="1:21" customFormat="1">
      <c r="A55" s="163" t="s">
        <v>861</v>
      </c>
      <c r="B55" s="100">
        <v>20.05</v>
      </c>
      <c r="C55" s="100">
        <v>18.27</v>
      </c>
      <c r="D55" s="100">
        <v>26.98</v>
      </c>
      <c r="E55" s="100">
        <v>8.75</v>
      </c>
      <c r="F55" s="152" t="s">
        <v>15</v>
      </c>
      <c r="G55" s="100">
        <v>68.709999999999994</v>
      </c>
      <c r="H55" s="100">
        <v>23.34</v>
      </c>
      <c r="I55" s="100">
        <v>15.06</v>
      </c>
      <c r="J55" s="100">
        <v>0.5</v>
      </c>
      <c r="K55" s="100">
        <v>73.41</v>
      </c>
      <c r="L55" s="100">
        <v>31.69</v>
      </c>
      <c r="M55" s="100">
        <v>9.6199999999999992</v>
      </c>
      <c r="N55" s="100">
        <v>354.7</v>
      </c>
      <c r="O55" s="100">
        <v>0</v>
      </c>
      <c r="P55" s="100">
        <v>0.83</v>
      </c>
      <c r="Q55" s="100">
        <v>28.47</v>
      </c>
      <c r="R55" s="6"/>
      <c r="S55" s="6"/>
      <c r="T55" s="156"/>
      <c r="U55" s="6"/>
    </row>
    <row r="56" spans="1:21" customFormat="1">
      <c r="A56" s="163" t="s">
        <v>862</v>
      </c>
      <c r="B56" s="100">
        <v>19.739999999999998</v>
      </c>
      <c r="C56" s="100">
        <v>17.53</v>
      </c>
      <c r="D56" s="100">
        <v>26.34</v>
      </c>
      <c r="E56" s="100">
        <v>8.83</v>
      </c>
      <c r="F56" s="152" t="s">
        <v>15</v>
      </c>
      <c r="G56" s="100">
        <v>68.709999999999994</v>
      </c>
      <c r="H56" s="100">
        <v>23.34</v>
      </c>
      <c r="I56" s="100">
        <v>14.7</v>
      </c>
      <c r="J56" s="100">
        <v>1.25</v>
      </c>
      <c r="K56" s="100">
        <v>32.75</v>
      </c>
      <c r="L56" s="100">
        <v>31.12</v>
      </c>
      <c r="M56" s="100">
        <v>9.6</v>
      </c>
      <c r="N56" s="100">
        <v>348.4</v>
      </c>
      <c r="O56" s="100">
        <v>0</v>
      </c>
      <c r="P56" s="100">
        <v>0.79</v>
      </c>
      <c r="Q56" s="100">
        <v>28.44</v>
      </c>
      <c r="R56" s="6"/>
      <c r="S56" s="6"/>
      <c r="T56" s="156"/>
      <c r="U56" s="6"/>
    </row>
    <row r="57" spans="1:21" customFormat="1">
      <c r="A57" s="163" t="s">
        <v>863</v>
      </c>
      <c r="B57" s="100">
        <v>19.05</v>
      </c>
      <c r="C57" s="100">
        <v>17.100000000000001</v>
      </c>
      <c r="D57" s="100">
        <v>25.56</v>
      </c>
      <c r="E57" s="100">
        <v>9.1</v>
      </c>
      <c r="F57" s="152" t="s">
        <v>15</v>
      </c>
      <c r="G57" s="100">
        <v>59.3</v>
      </c>
      <c r="H57" s="100">
        <v>21.1</v>
      </c>
      <c r="I57" s="100">
        <v>14.32</v>
      </c>
      <c r="J57" s="100">
        <v>0.3</v>
      </c>
      <c r="K57" s="100">
        <v>335.75</v>
      </c>
      <c r="L57" s="100">
        <v>31.55</v>
      </c>
      <c r="M57" s="100">
        <v>9.67</v>
      </c>
      <c r="N57" s="100">
        <v>372.6</v>
      </c>
      <c r="O57" s="100">
        <v>0</v>
      </c>
      <c r="P57" s="100">
        <v>0.77</v>
      </c>
      <c r="Q57" s="100">
        <v>28.38</v>
      </c>
      <c r="R57" s="6"/>
      <c r="S57" s="6"/>
      <c r="T57" s="156"/>
      <c r="U57" s="6"/>
    </row>
    <row r="58" spans="1:21" customFormat="1">
      <c r="A58" s="163" t="s">
        <v>864</v>
      </c>
      <c r="B58" s="100">
        <v>18.440000000000001</v>
      </c>
      <c r="C58" s="100">
        <v>16.79</v>
      </c>
      <c r="D58" s="100">
        <v>24.91</v>
      </c>
      <c r="E58" s="100">
        <v>10.37</v>
      </c>
      <c r="F58" s="152" t="s">
        <v>15</v>
      </c>
      <c r="G58" s="100">
        <v>58.38</v>
      </c>
      <c r="H58" s="100">
        <v>21.1</v>
      </c>
      <c r="I58" s="100">
        <v>13.73</v>
      </c>
      <c r="J58" s="100">
        <v>0.44</v>
      </c>
      <c r="K58" s="100">
        <v>338.28</v>
      </c>
      <c r="L58" s="100">
        <v>32.270000000000003</v>
      </c>
      <c r="M58" s="100">
        <v>9.5399999999999991</v>
      </c>
      <c r="N58" s="100">
        <v>365.5</v>
      </c>
      <c r="O58" s="100">
        <v>0</v>
      </c>
      <c r="P58" s="100">
        <v>0.76</v>
      </c>
      <c r="Q58" s="100">
        <v>28.32</v>
      </c>
      <c r="R58" s="6"/>
      <c r="S58" s="6"/>
      <c r="T58" s="156"/>
      <c r="U58" s="6"/>
    </row>
    <row r="59" spans="1:21" customFormat="1">
      <c r="A59" s="163" t="s">
        <v>865</v>
      </c>
      <c r="B59" s="100">
        <v>16.2</v>
      </c>
      <c r="C59" s="100">
        <v>17.010000000000002</v>
      </c>
      <c r="D59" s="100">
        <v>23.23</v>
      </c>
      <c r="E59" s="100">
        <v>11.63</v>
      </c>
      <c r="F59" s="152" t="s">
        <v>15</v>
      </c>
      <c r="G59" s="100">
        <v>58.38</v>
      </c>
      <c r="H59" s="100">
        <v>21.1</v>
      </c>
      <c r="I59" s="100">
        <v>13.21</v>
      </c>
      <c r="J59" s="100">
        <v>0.8</v>
      </c>
      <c r="K59" s="100">
        <v>10.6</v>
      </c>
      <c r="L59" s="100">
        <v>32.17</v>
      </c>
      <c r="M59" s="100">
        <v>9.33</v>
      </c>
      <c r="N59" s="100">
        <v>369.4</v>
      </c>
      <c r="O59" s="100">
        <v>0</v>
      </c>
      <c r="P59" s="100">
        <v>0.74</v>
      </c>
      <c r="Q59" s="100">
        <v>28.27</v>
      </c>
      <c r="R59" s="6"/>
      <c r="S59" s="6"/>
      <c r="T59" s="156"/>
      <c r="U59" s="6"/>
    </row>
    <row r="60" spans="1:21" customFormat="1">
      <c r="A60" s="163" t="s">
        <v>866</v>
      </c>
      <c r="B60" s="100">
        <v>16.21</v>
      </c>
      <c r="C60" s="100">
        <v>16.739999999999998</v>
      </c>
      <c r="D60" s="100">
        <v>23.1</v>
      </c>
      <c r="E60" s="100">
        <v>10.65</v>
      </c>
      <c r="F60" s="152" t="s">
        <v>15</v>
      </c>
      <c r="G60" s="100">
        <v>58.38</v>
      </c>
      <c r="H60" s="100">
        <v>21.1</v>
      </c>
      <c r="I60" s="100">
        <v>12.91</v>
      </c>
      <c r="J60" s="100">
        <v>0.44</v>
      </c>
      <c r="K60" s="100">
        <v>18.59</v>
      </c>
      <c r="L60" s="100">
        <v>33</v>
      </c>
      <c r="M60" s="100">
        <v>8.68</v>
      </c>
      <c r="N60" s="100">
        <v>357.3</v>
      </c>
      <c r="O60" s="100">
        <v>0</v>
      </c>
      <c r="P60" s="100">
        <v>0.74</v>
      </c>
      <c r="Q60" s="100">
        <v>28.22</v>
      </c>
      <c r="R60" s="6"/>
      <c r="S60" s="6"/>
      <c r="T60" s="156"/>
      <c r="U60" s="6"/>
    </row>
    <row r="61" spans="1:21" customFormat="1">
      <c r="A61" s="163" t="s">
        <v>867</v>
      </c>
      <c r="B61" s="100">
        <v>17.059999999999999</v>
      </c>
      <c r="C61" s="100">
        <v>16.34</v>
      </c>
      <c r="D61" s="100">
        <v>23.57</v>
      </c>
      <c r="E61" s="100">
        <v>11.5</v>
      </c>
      <c r="F61" s="152" t="s">
        <v>15</v>
      </c>
      <c r="G61" s="100">
        <v>55.88</v>
      </c>
      <c r="H61" s="100">
        <v>17.010000000000002</v>
      </c>
      <c r="I61" s="100">
        <v>12.46</v>
      </c>
      <c r="J61" s="100">
        <v>0.68</v>
      </c>
      <c r="K61" s="100">
        <v>328.98</v>
      </c>
      <c r="L61" s="100">
        <v>33.14</v>
      </c>
      <c r="M61" s="100">
        <v>8.57</v>
      </c>
      <c r="N61" s="100">
        <v>362.1</v>
      </c>
      <c r="O61" s="100">
        <v>0</v>
      </c>
      <c r="P61" s="100">
        <v>0.72</v>
      </c>
      <c r="Q61" s="100">
        <v>28.2</v>
      </c>
      <c r="R61" s="6"/>
      <c r="S61" s="6"/>
      <c r="T61" s="156"/>
      <c r="U61" s="6"/>
    </row>
    <row r="62" spans="1:21" customFormat="1">
      <c r="A62" s="163" t="s">
        <v>868</v>
      </c>
      <c r="B62" s="100">
        <v>17.399999999999999</v>
      </c>
      <c r="C62" s="100">
        <v>16.260000000000002</v>
      </c>
      <c r="D62" s="100">
        <v>23.8</v>
      </c>
      <c r="E62" s="100">
        <v>10.69</v>
      </c>
      <c r="F62" s="152" t="s">
        <v>15</v>
      </c>
      <c r="G62" s="100">
        <v>55.63</v>
      </c>
      <c r="H62" s="100">
        <v>17.010000000000002</v>
      </c>
      <c r="I62" s="100">
        <v>12.1</v>
      </c>
      <c r="J62" s="100">
        <v>1.05</v>
      </c>
      <c r="K62" s="100">
        <v>311.93</v>
      </c>
      <c r="L62" s="100">
        <v>32.869999999999997</v>
      </c>
      <c r="M62" s="100">
        <v>8.1999999999999993</v>
      </c>
      <c r="N62" s="100">
        <v>357.5</v>
      </c>
      <c r="O62" s="100">
        <v>0</v>
      </c>
      <c r="P62" s="100">
        <v>0.72</v>
      </c>
      <c r="Q62" s="100">
        <v>28.15</v>
      </c>
      <c r="R62" s="6"/>
      <c r="S62" s="6"/>
      <c r="T62" s="156"/>
      <c r="U62" s="6"/>
    </row>
    <row r="63" spans="1:21" customFormat="1">
      <c r="A63" s="163" t="s">
        <v>869</v>
      </c>
      <c r="B63" s="100">
        <v>16.850000000000001</v>
      </c>
      <c r="C63" s="100">
        <v>15.95</v>
      </c>
      <c r="D63" s="100">
        <v>23.2</v>
      </c>
      <c r="E63" s="100">
        <v>9.75</v>
      </c>
      <c r="F63" s="152" t="s">
        <v>15</v>
      </c>
      <c r="G63" s="100">
        <v>55.63</v>
      </c>
      <c r="H63" s="100">
        <v>17.010000000000002</v>
      </c>
      <c r="I63" s="100">
        <v>11.78</v>
      </c>
      <c r="J63" s="100">
        <v>1.1200000000000001</v>
      </c>
      <c r="K63" s="100">
        <v>302.55</v>
      </c>
      <c r="L63" s="100">
        <v>33.200000000000003</v>
      </c>
      <c r="M63" s="100">
        <v>7.55</v>
      </c>
      <c r="N63" s="100">
        <v>357.8</v>
      </c>
      <c r="O63" s="100">
        <v>0</v>
      </c>
      <c r="P63" s="100">
        <v>0.69</v>
      </c>
      <c r="Q63" s="100">
        <v>28.12</v>
      </c>
      <c r="R63" s="6"/>
      <c r="S63" s="6"/>
      <c r="T63" s="156"/>
      <c r="U63" s="6"/>
    </row>
    <row r="64" spans="1:21" customFormat="1">
      <c r="A64" s="163" t="s">
        <v>870</v>
      </c>
      <c r="B64" s="100">
        <v>16.36</v>
      </c>
      <c r="C64" s="100">
        <v>15.84</v>
      </c>
      <c r="D64" s="100">
        <v>22.74</v>
      </c>
      <c r="E64" s="100">
        <v>8.9600000000000009</v>
      </c>
      <c r="F64" s="152" t="s">
        <v>15</v>
      </c>
      <c r="G64" s="100">
        <v>55.63</v>
      </c>
      <c r="H64" s="100">
        <v>17.010000000000002</v>
      </c>
      <c r="I64" s="100">
        <v>11.73</v>
      </c>
      <c r="J64" s="100">
        <v>0.85</v>
      </c>
      <c r="K64" s="100">
        <v>296.22000000000003</v>
      </c>
      <c r="L64" s="100">
        <v>32.97</v>
      </c>
      <c r="M64" s="100">
        <v>7.68</v>
      </c>
      <c r="N64" s="100">
        <v>372.9</v>
      </c>
      <c r="O64" s="100">
        <v>0</v>
      </c>
      <c r="P64" s="100">
        <v>0.65</v>
      </c>
      <c r="Q64" s="100">
        <v>28.11</v>
      </c>
      <c r="R64" s="6"/>
      <c r="S64" s="6"/>
      <c r="T64" s="156"/>
      <c r="U64" s="6"/>
    </row>
    <row r="65" spans="1:21" customFormat="1">
      <c r="A65" s="163" t="s">
        <v>871</v>
      </c>
      <c r="B65" s="100">
        <v>15.45</v>
      </c>
      <c r="C65" s="100">
        <v>15.74</v>
      </c>
      <c r="D65" s="100">
        <v>21.96</v>
      </c>
      <c r="E65" s="100">
        <v>8.42</v>
      </c>
      <c r="F65" s="152" t="s">
        <v>15</v>
      </c>
      <c r="G65" s="100">
        <v>55.76</v>
      </c>
      <c r="H65" s="100">
        <v>19.53</v>
      </c>
      <c r="I65" s="100">
        <v>11.46</v>
      </c>
      <c r="J65" s="100">
        <v>0.51</v>
      </c>
      <c r="K65" s="100">
        <v>214.45</v>
      </c>
      <c r="L65" s="100">
        <v>34.119999999999997</v>
      </c>
      <c r="M65" s="100">
        <v>7.48</v>
      </c>
      <c r="N65" s="100">
        <v>371.5</v>
      </c>
      <c r="O65" s="100">
        <v>0</v>
      </c>
      <c r="P65" s="100">
        <v>0.62</v>
      </c>
      <c r="Q65" s="100">
        <v>28.08</v>
      </c>
      <c r="R65" s="6"/>
      <c r="S65" s="6"/>
      <c r="T65" s="156"/>
      <c r="U65" s="6"/>
    </row>
    <row r="66" spans="1:21" customFormat="1">
      <c r="A66" s="163" t="s">
        <v>872</v>
      </c>
      <c r="B66" s="100">
        <v>15.27</v>
      </c>
      <c r="C66" s="100">
        <v>14.89</v>
      </c>
      <c r="D66" s="100">
        <v>21.37</v>
      </c>
      <c r="E66" s="100">
        <v>8.76</v>
      </c>
      <c r="F66" s="152" t="s">
        <v>15</v>
      </c>
      <c r="G66" s="100">
        <v>55.77</v>
      </c>
      <c r="H66" s="100">
        <v>19.53</v>
      </c>
      <c r="I66" s="100">
        <v>11.06</v>
      </c>
      <c r="J66" s="100">
        <v>0.44</v>
      </c>
      <c r="K66" s="100">
        <v>234.6</v>
      </c>
      <c r="L66" s="100">
        <v>33.89</v>
      </c>
      <c r="M66" s="100">
        <v>7.72</v>
      </c>
      <c r="N66" s="100">
        <v>357.3</v>
      </c>
      <c r="O66" s="100">
        <v>0</v>
      </c>
      <c r="P66" s="100">
        <v>0.61</v>
      </c>
      <c r="Q66" s="100">
        <v>28.04</v>
      </c>
      <c r="R66" s="6"/>
      <c r="S66" s="6"/>
      <c r="T66" s="156"/>
      <c r="U66" s="6"/>
    </row>
    <row r="67" spans="1:21" customFormat="1">
      <c r="A67" s="163" t="s">
        <v>873</v>
      </c>
      <c r="B67" s="100">
        <v>14.62</v>
      </c>
      <c r="C67" s="100">
        <v>14.37</v>
      </c>
      <c r="D67" s="100">
        <v>20.58</v>
      </c>
      <c r="E67" s="100">
        <v>8.94</v>
      </c>
      <c r="F67" s="152" t="s">
        <v>15</v>
      </c>
      <c r="G67" s="100">
        <v>55.77</v>
      </c>
      <c r="H67" s="100">
        <v>19.53</v>
      </c>
      <c r="I67" s="100">
        <v>10.71</v>
      </c>
      <c r="J67" s="100">
        <v>0.73</v>
      </c>
      <c r="K67" s="100">
        <v>318.27999999999997</v>
      </c>
      <c r="L67" s="100">
        <v>32.94</v>
      </c>
      <c r="M67" s="100">
        <v>8.39</v>
      </c>
      <c r="N67" s="100">
        <v>300.39999999999998</v>
      </c>
      <c r="O67" s="100">
        <v>0</v>
      </c>
      <c r="P67" s="100">
        <v>0.61</v>
      </c>
      <c r="Q67" s="100">
        <v>28.03</v>
      </c>
      <c r="R67" s="6"/>
      <c r="S67" s="6"/>
      <c r="T67" s="156"/>
      <c r="U67" s="6"/>
    </row>
    <row r="68" spans="1:21" customFormat="1">
      <c r="A68" s="163" t="s">
        <v>874</v>
      </c>
      <c r="B68" s="100">
        <v>12.36</v>
      </c>
      <c r="C68" s="100">
        <v>14.5</v>
      </c>
      <c r="D68" s="100">
        <v>18.84</v>
      </c>
      <c r="E68" s="100">
        <v>9.0299999999999994</v>
      </c>
      <c r="F68" s="152" t="s">
        <v>15</v>
      </c>
      <c r="G68" s="100">
        <v>55.77</v>
      </c>
      <c r="H68" s="100">
        <v>19.53</v>
      </c>
      <c r="I68" s="100">
        <v>10.34</v>
      </c>
      <c r="J68" s="100">
        <v>0.39</v>
      </c>
      <c r="K68" s="100">
        <v>328.16</v>
      </c>
      <c r="L68" s="100">
        <v>32.75</v>
      </c>
      <c r="M68" s="100">
        <v>8.2100000000000009</v>
      </c>
      <c r="N68" s="100">
        <v>100.4</v>
      </c>
      <c r="O68" s="100">
        <v>0</v>
      </c>
      <c r="P68" s="100">
        <v>0.59</v>
      </c>
      <c r="Q68" s="100">
        <v>28.02</v>
      </c>
      <c r="R68" s="6"/>
      <c r="S68" s="6"/>
      <c r="T68" s="156"/>
      <c r="U68" s="6"/>
    </row>
    <row r="69" spans="1:21" customFormat="1">
      <c r="A69" s="163" t="s">
        <v>875</v>
      </c>
      <c r="B69" s="100">
        <v>10.94</v>
      </c>
      <c r="C69" s="100">
        <v>13.97</v>
      </c>
      <c r="D69" s="100">
        <v>17.420000000000002</v>
      </c>
      <c r="E69" s="100">
        <v>9.56</v>
      </c>
      <c r="F69" s="152" t="s">
        <v>15</v>
      </c>
      <c r="G69" s="100">
        <v>53.65</v>
      </c>
      <c r="H69" s="100">
        <v>17.05</v>
      </c>
      <c r="I69" s="100">
        <v>9.8800000000000008</v>
      </c>
      <c r="J69" s="100">
        <v>0.83</v>
      </c>
      <c r="K69" s="100">
        <v>326.27</v>
      </c>
      <c r="L69" s="100">
        <v>32.369999999999997</v>
      </c>
      <c r="M69" s="100">
        <v>9.15</v>
      </c>
      <c r="N69" s="100">
        <v>68.2</v>
      </c>
      <c r="O69" s="100">
        <v>0</v>
      </c>
      <c r="P69" s="100">
        <v>0.56000000000000005</v>
      </c>
      <c r="Q69" s="100">
        <v>28.02</v>
      </c>
      <c r="R69" s="6"/>
      <c r="S69" s="6"/>
      <c r="T69" s="156"/>
      <c r="U69" s="6"/>
    </row>
    <row r="70" spans="1:21" customFormat="1">
      <c r="A70" s="163" t="s">
        <v>876</v>
      </c>
      <c r="B70" s="100">
        <v>11.53</v>
      </c>
      <c r="C70" s="100">
        <v>13.6</v>
      </c>
      <c r="D70" s="100">
        <v>17.71</v>
      </c>
      <c r="E70" s="100">
        <v>8.7100000000000009</v>
      </c>
      <c r="F70" s="152" t="s">
        <v>15</v>
      </c>
      <c r="G70" s="100">
        <v>53.44</v>
      </c>
      <c r="H70" s="100">
        <v>17.05</v>
      </c>
      <c r="I70" s="100">
        <v>9.3800000000000008</v>
      </c>
      <c r="J70" s="100">
        <v>0.53</v>
      </c>
      <c r="K70" s="100">
        <v>290.60000000000002</v>
      </c>
      <c r="L70" s="100">
        <v>32.36</v>
      </c>
      <c r="M70" s="100">
        <v>9.11</v>
      </c>
      <c r="N70" s="100">
        <v>50.8</v>
      </c>
      <c r="O70" s="100">
        <v>0</v>
      </c>
      <c r="P70" s="100">
        <v>0.57999999999999996</v>
      </c>
      <c r="Q70" s="100">
        <v>28.02</v>
      </c>
      <c r="R70" s="6"/>
      <c r="S70" s="6"/>
      <c r="T70" s="156"/>
      <c r="U70" s="6"/>
    </row>
    <row r="71" spans="1:21" customFormat="1">
      <c r="A71" s="163" t="s">
        <v>877</v>
      </c>
      <c r="B71" s="100">
        <v>11.47</v>
      </c>
      <c r="C71" s="100">
        <v>13.16</v>
      </c>
      <c r="D71" s="100">
        <v>17.43</v>
      </c>
      <c r="E71" s="100">
        <v>8.4600000000000009</v>
      </c>
      <c r="F71" s="152" t="s">
        <v>15</v>
      </c>
      <c r="G71" s="100">
        <v>53.44</v>
      </c>
      <c r="H71" s="100">
        <v>17.05</v>
      </c>
      <c r="I71" s="100">
        <v>9.06</v>
      </c>
      <c r="J71" s="100">
        <v>0.24</v>
      </c>
      <c r="K71" s="100">
        <v>227.57</v>
      </c>
      <c r="L71" s="100">
        <v>32.29</v>
      </c>
      <c r="M71" s="100">
        <v>9.7899999999999991</v>
      </c>
      <c r="N71" s="100">
        <v>58.8</v>
      </c>
      <c r="O71" s="100">
        <v>0</v>
      </c>
      <c r="P71" s="100">
        <v>0.56000000000000005</v>
      </c>
      <c r="Q71" s="100">
        <v>28</v>
      </c>
      <c r="R71" s="6"/>
      <c r="S71" s="6"/>
      <c r="T71" s="156"/>
      <c r="U71" s="6"/>
    </row>
    <row r="72" spans="1:21" customFormat="1">
      <c r="A72" s="163" t="s">
        <v>878</v>
      </c>
      <c r="B72" s="100">
        <v>11.96</v>
      </c>
      <c r="C72" s="100">
        <v>14.18</v>
      </c>
      <c r="D72" s="100">
        <v>18.350000000000001</v>
      </c>
      <c r="E72" s="100">
        <v>9.01</v>
      </c>
      <c r="F72" s="152" t="s">
        <v>15</v>
      </c>
      <c r="G72" s="100">
        <v>53.44</v>
      </c>
      <c r="H72" s="100">
        <v>17.05</v>
      </c>
      <c r="I72" s="100">
        <v>8.73</v>
      </c>
      <c r="J72" s="100">
        <v>0.75</v>
      </c>
      <c r="K72" s="100">
        <v>315.04000000000002</v>
      </c>
      <c r="L72" s="100">
        <v>32.61</v>
      </c>
      <c r="M72" s="100">
        <v>10.33</v>
      </c>
      <c r="N72" s="100">
        <v>104.5</v>
      </c>
      <c r="O72" s="100">
        <v>0</v>
      </c>
      <c r="P72" s="100">
        <v>0.55000000000000004</v>
      </c>
      <c r="Q72" s="100">
        <v>27.99</v>
      </c>
      <c r="R72" s="6"/>
      <c r="S72" s="6"/>
      <c r="T72" s="156"/>
      <c r="U72" s="6"/>
    </row>
    <row r="73" spans="1:21" customFormat="1">
      <c r="A73" s="163" t="s">
        <v>879</v>
      </c>
      <c r="B73" s="100">
        <v>13.24</v>
      </c>
      <c r="C73" s="100">
        <v>14.25</v>
      </c>
      <c r="D73" s="100">
        <v>19.420000000000002</v>
      </c>
      <c r="E73" s="100">
        <v>9.6300000000000008</v>
      </c>
      <c r="F73" s="152" t="s">
        <v>15</v>
      </c>
      <c r="G73" s="100">
        <v>43.76</v>
      </c>
      <c r="H73" s="100">
        <v>12.43</v>
      </c>
      <c r="I73" s="100">
        <v>8.48</v>
      </c>
      <c r="J73" s="100">
        <v>0.4</v>
      </c>
      <c r="K73" s="100">
        <v>313.85000000000002</v>
      </c>
      <c r="L73" s="100">
        <v>32.5</v>
      </c>
      <c r="M73" s="100">
        <v>10.37</v>
      </c>
      <c r="N73" s="100">
        <v>110.8</v>
      </c>
      <c r="O73" s="100">
        <v>0</v>
      </c>
      <c r="P73" s="100">
        <v>0.53</v>
      </c>
      <c r="Q73" s="100">
        <v>28.01</v>
      </c>
      <c r="R73" s="6"/>
      <c r="S73" s="6"/>
      <c r="T73" s="156"/>
      <c r="U73" s="6"/>
    </row>
    <row r="74" spans="1:21" customFormat="1">
      <c r="A74" s="163" t="s">
        <v>880</v>
      </c>
      <c r="B74" s="100">
        <v>11.43</v>
      </c>
      <c r="C74" s="100">
        <v>13.76</v>
      </c>
      <c r="D74" s="100">
        <v>17.71</v>
      </c>
      <c r="E74" s="100">
        <v>9.07</v>
      </c>
      <c r="F74" s="152" t="s">
        <v>15</v>
      </c>
      <c r="G74" s="100">
        <v>42.82</v>
      </c>
      <c r="H74" s="100">
        <v>12.43</v>
      </c>
      <c r="I74" s="100">
        <v>8.07</v>
      </c>
      <c r="J74" s="100">
        <v>0.46</v>
      </c>
      <c r="K74" s="100">
        <v>290.89</v>
      </c>
      <c r="L74" s="100">
        <v>32.56</v>
      </c>
      <c r="M74" s="100">
        <v>10.77</v>
      </c>
      <c r="N74" s="100">
        <v>37.799999999999997</v>
      </c>
      <c r="O74" s="100">
        <v>0</v>
      </c>
      <c r="P74" s="100">
        <v>0.53</v>
      </c>
      <c r="Q74" s="100">
        <v>27.99</v>
      </c>
      <c r="R74" s="6"/>
      <c r="S74" s="6"/>
      <c r="T74" s="156"/>
      <c r="U74" s="6"/>
    </row>
    <row r="75" spans="1:21" customFormat="1">
      <c r="A75" s="163" t="s">
        <v>881</v>
      </c>
      <c r="B75" s="100">
        <v>10.7</v>
      </c>
      <c r="C75" s="100">
        <v>12.62</v>
      </c>
      <c r="D75" s="100">
        <v>16.52</v>
      </c>
      <c r="E75" s="100">
        <v>8.93</v>
      </c>
      <c r="F75" s="152" t="s">
        <v>15</v>
      </c>
      <c r="G75" s="100">
        <v>42.82</v>
      </c>
      <c r="H75" s="100">
        <v>12.43</v>
      </c>
      <c r="I75" s="100">
        <v>7.78</v>
      </c>
      <c r="J75" s="100">
        <v>0.3</v>
      </c>
      <c r="K75" s="100">
        <v>198.35</v>
      </c>
      <c r="L75" s="100">
        <v>32.28</v>
      </c>
      <c r="M75" s="100">
        <v>11.21</v>
      </c>
      <c r="N75" s="100">
        <v>32.700000000000003</v>
      </c>
      <c r="O75" s="100">
        <v>0</v>
      </c>
      <c r="P75" s="100">
        <v>0.52</v>
      </c>
      <c r="Q75" s="100">
        <v>28</v>
      </c>
      <c r="R75" s="6"/>
      <c r="S75" s="6"/>
      <c r="T75" s="156"/>
      <c r="U75" s="6"/>
    </row>
    <row r="76" spans="1:21" customFormat="1">
      <c r="A76" s="163" t="s">
        <v>882</v>
      </c>
      <c r="B76" s="100">
        <v>12.67</v>
      </c>
      <c r="C76" s="100">
        <v>11.39</v>
      </c>
      <c r="D76" s="100">
        <v>17.46</v>
      </c>
      <c r="E76" s="100">
        <v>9.41</v>
      </c>
      <c r="F76" s="152" t="s">
        <v>15</v>
      </c>
      <c r="G76" s="100">
        <v>42.82</v>
      </c>
      <c r="H76" s="100">
        <v>12.43</v>
      </c>
      <c r="I76" s="100">
        <v>7.58</v>
      </c>
      <c r="J76" s="100">
        <v>0.26</v>
      </c>
      <c r="K76" s="100">
        <v>168.33</v>
      </c>
      <c r="L76" s="100">
        <v>31.9</v>
      </c>
      <c r="M76" s="100">
        <v>12.07</v>
      </c>
      <c r="N76" s="100">
        <v>29.5</v>
      </c>
      <c r="O76" s="100">
        <v>0</v>
      </c>
      <c r="P76" s="100">
        <v>0.5</v>
      </c>
      <c r="Q76" s="100">
        <v>28</v>
      </c>
      <c r="R76" s="6"/>
      <c r="S76" s="6"/>
      <c r="T76" s="156"/>
      <c r="U76" s="6"/>
    </row>
    <row r="77" spans="1:21" customFormat="1">
      <c r="A77" s="163" t="s">
        <v>883</v>
      </c>
      <c r="B77" s="100">
        <v>13.29</v>
      </c>
      <c r="C77" s="100">
        <v>10.62</v>
      </c>
      <c r="D77" s="100">
        <v>17.559999999999999</v>
      </c>
      <c r="E77" s="100">
        <v>9.16</v>
      </c>
      <c r="F77" s="152" t="s">
        <v>15</v>
      </c>
      <c r="G77" s="100">
        <v>36.950000000000003</v>
      </c>
      <c r="H77" s="100">
        <v>12.67</v>
      </c>
      <c r="I77" s="100">
        <v>7.33</v>
      </c>
      <c r="J77" s="100">
        <v>0.26</v>
      </c>
      <c r="K77" s="100">
        <v>167.04</v>
      </c>
      <c r="L77" s="100">
        <v>31.41</v>
      </c>
      <c r="M77" s="100">
        <v>13.37</v>
      </c>
      <c r="N77" s="100">
        <v>24.9</v>
      </c>
      <c r="O77" s="100">
        <v>0</v>
      </c>
      <c r="P77" s="100">
        <v>0.49</v>
      </c>
      <c r="Q77" s="100">
        <v>27.99</v>
      </c>
      <c r="R77" s="6"/>
      <c r="S77" s="6"/>
      <c r="T77" s="156"/>
      <c r="U77" s="6"/>
    </row>
    <row r="78" spans="1:21" customFormat="1">
      <c r="A78" s="163" t="s">
        <v>884</v>
      </c>
      <c r="B78" s="100">
        <v>13.26</v>
      </c>
      <c r="C78" s="100">
        <v>10.4</v>
      </c>
      <c r="D78" s="100">
        <v>17.420000000000002</v>
      </c>
      <c r="E78" s="100">
        <v>8.99</v>
      </c>
      <c r="F78" s="152" t="s">
        <v>15</v>
      </c>
      <c r="G78" s="100">
        <v>36.380000000000003</v>
      </c>
      <c r="H78" s="100">
        <v>12.67</v>
      </c>
      <c r="I78" s="100">
        <v>6.93</v>
      </c>
      <c r="J78" s="100">
        <v>0.25</v>
      </c>
      <c r="K78" s="100">
        <v>169.73</v>
      </c>
      <c r="L78" s="100">
        <v>30.55</v>
      </c>
      <c r="M78" s="100">
        <v>14.79</v>
      </c>
      <c r="N78" s="100">
        <v>18.399999999999999</v>
      </c>
      <c r="O78" s="100">
        <v>0</v>
      </c>
      <c r="P78" s="100">
        <v>0.49</v>
      </c>
      <c r="Q78" s="100">
        <v>27.97</v>
      </c>
      <c r="R78" s="6"/>
      <c r="S78" s="6"/>
      <c r="T78" s="156"/>
      <c r="U78" s="6"/>
    </row>
    <row r="79" spans="1:21" customFormat="1">
      <c r="A79" s="163" t="s">
        <v>885</v>
      </c>
      <c r="B79" s="100">
        <v>12.61</v>
      </c>
      <c r="C79" s="100">
        <v>10.130000000000001</v>
      </c>
      <c r="D79" s="100">
        <v>16.75</v>
      </c>
      <c r="E79" s="100">
        <v>8.7200000000000006</v>
      </c>
      <c r="F79" s="152" t="s">
        <v>15</v>
      </c>
      <c r="G79" s="100">
        <v>36.380000000000003</v>
      </c>
      <c r="H79" s="100">
        <v>12.67</v>
      </c>
      <c r="I79" s="100">
        <v>6.68</v>
      </c>
      <c r="J79" s="100">
        <v>0.22</v>
      </c>
      <c r="K79" s="100">
        <v>168.66</v>
      </c>
      <c r="L79" s="100">
        <v>29.66</v>
      </c>
      <c r="M79" s="100">
        <v>16.66</v>
      </c>
      <c r="N79" s="100">
        <v>12.5</v>
      </c>
      <c r="O79" s="100">
        <v>0</v>
      </c>
      <c r="P79" s="100">
        <v>0.49</v>
      </c>
      <c r="Q79" s="100">
        <v>28</v>
      </c>
      <c r="R79" s="6"/>
      <c r="S79" s="6"/>
      <c r="T79" s="156"/>
      <c r="U79" s="6"/>
    </row>
    <row r="80" spans="1:21" customFormat="1">
      <c r="A80" s="163" t="s">
        <v>886</v>
      </c>
      <c r="B80" s="100">
        <v>10.3</v>
      </c>
      <c r="C80" s="100">
        <v>10.32</v>
      </c>
      <c r="D80" s="100">
        <v>15</v>
      </c>
      <c r="E80" s="100">
        <v>8.1999999999999993</v>
      </c>
      <c r="F80" s="152" t="s">
        <v>15</v>
      </c>
      <c r="G80" s="100">
        <v>36.380000000000003</v>
      </c>
      <c r="H80" s="100">
        <v>12.67</v>
      </c>
      <c r="I80" s="100">
        <v>6.64</v>
      </c>
      <c r="J80" s="100">
        <v>0.23</v>
      </c>
      <c r="K80" s="100">
        <v>176.41</v>
      </c>
      <c r="L80" s="100">
        <v>28.55</v>
      </c>
      <c r="M80" s="100">
        <v>18.440000000000001</v>
      </c>
      <c r="N80" s="100">
        <v>6.3</v>
      </c>
      <c r="O80" s="100">
        <v>0</v>
      </c>
      <c r="P80" s="100">
        <v>0.5</v>
      </c>
      <c r="Q80" s="100">
        <v>27.98</v>
      </c>
      <c r="R80" s="6"/>
      <c r="S80" s="6"/>
      <c r="T80" s="156"/>
      <c r="U80" s="6"/>
    </row>
    <row r="81" spans="1:21" customFormat="1">
      <c r="A81" s="163" t="s">
        <v>887</v>
      </c>
      <c r="B81" s="100">
        <v>8.3800000000000008</v>
      </c>
      <c r="C81" s="100">
        <v>10.69</v>
      </c>
      <c r="D81" s="100">
        <v>13.65</v>
      </c>
      <c r="E81" s="100">
        <v>7.53</v>
      </c>
      <c r="F81" s="152" t="s">
        <v>15</v>
      </c>
      <c r="G81" s="100">
        <v>42.18</v>
      </c>
      <c r="H81" s="100">
        <v>12.61</v>
      </c>
      <c r="I81" s="100">
        <v>6.6</v>
      </c>
      <c r="J81" s="100">
        <v>0.28999999999999998</v>
      </c>
      <c r="K81" s="100">
        <v>168.85</v>
      </c>
      <c r="L81" s="100">
        <v>27.52</v>
      </c>
      <c r="M81" s="100">
        <v>25.86</v>
      </c>
      <c r="N81" s="100">
        <v>2.5</v>
      </c>
      <c r="O81" s="100">
        <v>0</v>
      </c>
      <c r="P81" s="100">
        <v>0.49</v>
      </c>
      <c r="Q81" s="100">
        <v>27.97</v>
      </c>
      <c r="R81" s="6"/>
      <c r="S81" s="6"/>
      <c r="T81" s="156"/>
      <c r="U81" s="6"/>
    </row>
    <row r="82" spans="1:21" customFormat="1">
      <c r="A82" s="163" t="s">
        <v>888</v>
      </c>
      <c r="B82" s="100">
        <v>10.72</v>
      </c>
      <c r="C82" s="100">
        <v>10.52</v>
      </c>
      <c r="D82" s="100">
        <v>15.45</v>
      </c>
      <c r="E82" s="100">
        <v>8.6199999999999992</v>
      </c>
      <c r="F82" s="152" t="s">
        <v>15</v>
      </c>
      <c r="G82" s="100">
        <v>42.67</v>
      </c>
      <c r="H82" s="100">
        <v>12.61</v>
      </c>
      <c r="I82" s="100">
        <v>6.62</v>
      </c>
      <c r="J82" s="100">
        <v>0.24</v>
      </c>
      <c r="K82" s="100">
        <v>161.63999999999999</v>
      </c>
      <c r="L82" s="100">
        <v>26.58</v>
      </c>
      <c r="M82" s="100">
        <v>27.73</v>
      </c>
      <c r="N82" s="100">
        <v>1</v>
      </c>
      <c r="O82" s="100">
        <v>0</v>
      </c>
      <c r="P82" s="100">
        <v>0.5</v>
      </c>
      <c r="Q82" s="100">
        <v>27.98</v>
      </c>
      <c r="R82" s="6"/>
      <c r="S82" s="6"/>
      <c r="T82" s="156"/>
      <c r="U82" s="6"/>
    </row>
    <row r="83" spans="1:21" customFormat="1">
      <c r="A83" s="163" t="s">
        <v>889</v>
      </c>
      <c r="B83" s="100">
        <v>14.34</v>
      </c>
      <c r="C83" s="100">
        <v>12.9</v>
      </c>
      <c r="D83" s="100">
        <v>19.59</v>
      </c>
      <c r="E83" s="100">
        <v>8.5500000000000007</v>
      </c>
      <c r="F83" s="152" t="s">
        <v>15</v>
      </c>
      <c r="G83" s="100">
        <v>42.67</v>
      </c>
      <c r="H83" s="100">
        <v>12.61</v>
      </c>
      <c r="I83" s="100">
        <v>6.6</v>
      </c>
      <c r="J83" s="100">
        <v>0.22</v>
      </c>
      <c r="K83" s="100">
        <v>170.89</v>
      </c>
      <c r="L83" s="100">
        <v>26.04</v>
      </c>
      <c r="M83" s="100">
        <v>27.58</v>
      </c>
      <c r="N83" s="100">
        <v>0.8</v>
      </c>
      <c r="O83" s="100">
        <v>0</v>
      </c>
      <c r="P83" s="100">
        <v>0.54</v>
      </c>
      <c r="Q83" s="100">
        <v>27.99</v>
      </c>
      <c r="R83" s="6"/>
      <c r="S83" s="6"/>
      <c r="T83" s="156"/>
      <c r="U83" s="6"/>
    </row>
    <row r="84" spans="1:21" customFormat="1">
      <c r="A84" s="163" t="s">
        <v>890</v>
      </c>
      <c r="B84" s="100">
        <v>15.6</v>
      </c>
      <c r="C84" s="100">
        <v>12.2</v>
      </c>
      <c r="D84" s="100">
        <v>20.23</v>
      </c>
      <c r="E84" s="100">
        <v>8.32</v>
      </c>
      <c r="F84" s="152" t="s">
        <v>15</v>
      </c>
      <c r="G84" s="100">
        <v>42.67</v>
      </c>
      <c r="H84" s="100">
        <v>12.61</v>
      </c>
      <c r="I84" s="100">
        <v>6.62</v>
      </c>
      <c r="J84" s="100">
        <v>0.21</v>
      </c>
      <c r="K84" s="100">
        <v>159.05000000000001</v>
      </c>
      <c r="L84" s="100">
        <v>24.92</v>
      </c>
      <c r="M84" s="100">
        <v>32.700000000000003</v>
      </c>
      <c r="N84" s="100">
        <v>1</v>
      </c>
      <c r="O84" s="100">
        <v>0</v>
      </c>
      <c r="P84" s="100">
        <v>0.56000000000000005</v>
      </c>
      <c r="Q84" s="100">
        <v>28.01</v>
      </c>
      <c r="R84" s="6"/>
      <c r="S84" s="6"/>
      <c r="T84" s="156"/>
      <c r="U84" s="6"/>
    </row>
    <row r="85" spans="1:21" customFormat="1">
      <c r="A85" s="163" t="s">
        <v>891</v>
      </c>
      <c r="B85" s="100">
        <v>15.83</v>
      </c>
      <c r="C85" s="100">
        <v>11.72</v>
      </c>
      <c r="D85" s="100">
        <v>20.16</v>
      </c>
      <c r="E85" s="100">
        <v>8.39</v>
      </c>
      <c r="F85" s="152" t="s">
        <v>15</v>
      </c>
      <c r="G85" s="100">
        <v>64.75</v>
      </c>
      <c r="H85" s="100">
        <v>17.95</v>
      </c>
      <c r="I85" s="100">
        <v>6.69</v>
      </c>
      <c r="J85" s="100">
        <v>0.28000000000000003</v>
      </c>
      <c r="K85" s="100">
        <v>184.39</v>
      </c>
      <c r="L85" s="100">
        <v>24.28</v>
      </c>
      <c r="M85" s="100">
        <v>35.450000000000003</v>
      </c>
      <c r="N85" s="100">
        <v>1.2</v>
      </c>
      <c r="O85" s="100">
        <v>0</v>
      </c>
      <c r="P85" s="100">
        <v>0.56000000000000005</v>
      </c>
      <c r="Q85" s="100">
        <v>28.01</v>
      </c>
      <c r="R85" s="6"/>
      <c r="S85" s="6"/>
      <c r="T85" s="156"/>
      <c r="U85" s="6"/>
    </row>
    <row r="86" spans="1:21" customFormat="1">
      <c r="A86" s="163" t="s">
        <v>892</v>
      </c>
      <c r="B86" s="100">
        <v>16.11</v>
      </c>
      <c r="C86" s="100">
        <v>11.71</v>
      </c>
      <c r="D86" s="100">
        <v>20.39</v>
      </c>
      <c r="E86" s="100">
        <v>8.3800000000000008</v>
      </c>
      <c r="F86" s="152" t="s">
        <v>15</v>
      </c>
      <c r="G86" s="100">
        <v>66.900000000000006</v>
      </c>
      <c r="H86" s="100">
        <v>17.95</v>
      </c>
      <c r="I86" s="100">
        <v>6.75</v>
      </c>
      <c r="J86" s="100">
        <v>0.11</v>
      </c>
      <c r="K86" s="100">
        <v>193.51</v>
      </c>
      <c r="L86" s="100">
        <v>23.71</v>
      </c>
      <c r="M86" s="100">
        <v>31.67</v>
      </c>
      <c r="N86" s="100">
        <v>0.7</v>
      </c>
      <c r="O86" s="100">
        <v>0</v>
      </c>
      <c r="P86" s="100">
        <v>0.56999999999999995</v>
      </c>
      <c r="Q86" s="100">
        <v>28.04</v>
      </c>
      <c r="R86" s="6"/>
      <c r="S86" s="6"/>
      <c r="T86" s="156"/>
      <c r="U86" s="6"/>
    </row>
    <row r="87" spans="1:21" customFormat="1">
      <c r="A87" s="163" t="s">
        <v>893</v>
      </c>
      <c r="B87" s="100">
        <v>9.8800000000000008</v>
      </c>
      <c r="C87" s="100">
        <v>13.2</v>
      </c>
      <c r="D87" s="100">
        <v>16.170000000000002</v>
      </c>
      <c r="E87" s="100">
        <v>8.31</v>
      </c>
      <c r="F87" s="152" t="s">
        <v>15</v>
      </c>
      <c r="G87" s="100">
        <v>66.900000000000006</v>
      </c>
      <c r="H87" s="100">
        <v>17.95</v>
      </c>
      <c r="I87" s="100">
        <v>6.81</v>
      </c>
      <c r="J87" s="100">
        <v>0.15</v>
      </c>
      <c r="K87" s="100">
        <v>175.23</v>
      </c>
      <c r="L87" s="100">
        <v>23.5</v>
      </c>
      <c r="M87" s="100">
        <v>34.32</v>
      </c>
      <c r="N87" s="100">
        <v>0.6</v>
      </c>
      <c r="O87" s="100">
        <v>0</v>
      </c>
      <c r="P87" s="100">
        <v>0.56999999999999995</v>
      </c>
      <c r="Q87" s="100">
        <v>28.05</v>
      </c>
      <c r="R87" s="6"/>
      <c r="S87" s="6"/>
      <c r="T87" s="156"/>
      <c r="U87" s="6"/>
    </row>
    <row r="88" spans="1:21" customFormat="1">
      <c r="A88" s="163" t="s">
        <v>894</v>
      </c>
      <c r="B88" s="100">
        <v>4.83</v>
      </c>
      <c r="C88" s="100">
        <v>15.22</v>
      </c>
      <c r="D88" s="100">
        <v>13.18</v>
      </c>
      <c r="E88" s="100">
        <v>8.26</v>
      </c>
      <c r="F88" s="152" t="s">
        <v>15</v>
      </c>
      <c r="G88" s="100">
        <v>66.900000000000006</v>
      </c>
      <c r="H88" s="100">
        <v>17.95</v>
      </c>
      <c r="I88" s="100">
        <v>6.88</v>
      </c>
      <c r="J88" s="100">
        <v>0.14000000000000001</v>
      </c>
      <c r="K88" s="100">
        <v>207.62</v>
      </c>
      <c r="L88" s="100">
        <v>23.07</v>
      </c>
      <c r="M88" s="100">
        <v>33.979999999999997</v>
      </c>
      <c r="N88" s="100">
        <v>0.6</v>
      </c>
      <c r="O88" s="100">
        <v>0</v>
      </c>
      <c r="P88" s="100">
        <v>0.56999999999999995</v>
      </c>
      <c r="Q88" s="100">
        <v>28.05</v>
      </c>
      <c r="R88" s="6"/>
      <c r="S88" s="6"/>
      <c r="T88" s="156"/>
      <c r="U88" s="6"/>
    </row>
    <row r="89" spans="1:21" customFormat="1">
      <c r="A89" s="163" t="s">
        <v>895</v>
      </c>
      <c r="B89" s="100">
        <v>5.25</v>
      </c>
      <c r="C89" s="100">
        <v>14.88</v>
      </c>
      <c r="D89" s="100">
        <v>13.34</v>
      </c>
      <c r="E89" s="100">
        <v>8.3699999999999992</v>
      </c>
      <c r="F89" s="152" t="s">
        <v>15</v>
      </c>
      <c r="G89" s="100">
        <v>86.57</v>
      </c>
      <c r="H89" s="100">
        <v>20.309999999999999</v>
      </c>
      <c r="I89" s="100">
        <v>6.94</v>
      </c>
      <c r="J89" s="100">
        <v>0.17</v>
      </c>
      <c r="K89" s="100">
        <v>178.51</v>
      </c>
      <c r="L89" s="100">
        <v>22.76</v>
      </c>
      <c r="M89" s="100">
        <v>36.5</v>
      </c>
      <c r="N89" s="100">
        <v>0.6</v>
      </c>
      <c r="O89" s="100">
        <v>0</v>
      </c>
      <c r="P89" s="100">
        <v>0.59</v>
      </c>
      <c r="Q89" s="100">
        <v>28.05</v>
      </c>
      <c r="R89" s="6"/>
      <c r="S89" s="6"/>
      <c r="T89" s="156"/>
      <c r="U89" s="6"/>
    </row>
    <row r="90" spans="1:21" customFormat="1">
      <c r="A90" s="163" t="s">
        <v>896</v>
      </c>
      <c r="B90" s="100">
        <v>13.15</v>
      </c>
      <c r="C90" s="100">
        <v>12.1</v>
      </c>
      <c r="D90" s="100">
        <v>18.22</v>
      </c>
      <c r="E90" s="100">
        <v>8.14</v>
      </c>
      <c r="F90" s="152" t="s">
        <v>15</v>
      </c>
      <c r="G90" s="100">
        <v>88.49</v>
      </c>
      <c r="H90" s="100">
        <v>20.309999999999999</v>
      </c>
      <c r="I90" s="100">
        <v>7.01</v>
      </c>
      <c r="J90" s="100">
        <v>0.19</v>
      </c>
      <c r="K90" s="100">
        <v>172.86</v>
      </c>
      <c r="L90" s="100">
        <v>22.5</v>
      </c>
      <c r="M90" s="100">
        <v>40.06</v>
      </c>
      <c r="N90" s="100">
        <v>0.6</v>
      </c>
      <c r="O90" s="100">
        <v>0</v>
      </c>
      <c r="P90" s="100">
        <v>0.59</v>
      </c>
      <c r="Q90" s="100">
        <v>28.05</v>
      </c>
      <c r="R90" s="6"/>
      <c r="S90" s="6"/>
      <c r="T90" s="156"/>
      <c r="U90" s="6"/>
    </row>
    <row r="91" spans="1:21" customFormat="1">
      <c r="A91" s="163" t="s">
        <v>897</v>
      </c>
      <c r="B91" s="100">
        <v>13.65</v>
      </c>
      <c r="C91" s="100">
        <v>11.7</v>
      </c>
      <c r="D91" s="100">
        <v>18.41</v>
      </c>
      <c r="E91" s="100">
        <v>8.3800000000000008</v>
      </c>
      <c r="F91" s="152" t="s">
        <v>15</v>
      </c>
      <c r="G91" s="100">
        <v>88.49</v>
      </c>
      <c r="H91" s="100">
        <v>20.309999999999999</v>
      </c>
      <c r="I91" s="100">
        <v>7.09</v>
      </c>
      <c r="J91" s="100">
        <v>0.2</v>
      </c>
      <c r="K91" s="100">
        <v>177.08</v>
      </c>
      <c r="L91" s="100">
        <v>22.05</v>
      </c>
      <c r="M91" s="100">
        <v>41.12</v>
      </c>
      <c r="N91" s="100">
        <v>0.6</v>
      </c>
      <c r="O91" s="100">
        <v>0</v>
      </c>
      <c r="P91" s="100">
        <v>0.6</v>
      </c>
      <c r="Q91" s="100">
        <v>28.06</v>
      </c>
      <c r="R91" s="6"/>
      <c r="S91" s="6"/>
      <c r="T91" s="156"/>
      <c r="U91" s="6"/>
    </row>
    <row r="92" spans="1:21" customFormat="1">
      <c r="A92" s="163" t="s">
        <v>898</v>
      </c>
      <c r="B92" s="100">
        <v>12.41</v>
      </c>
      <c r="C92" s="100">
        <v>11.7</v>
      </c>
      <c r="D92" s="100">
        <v>17.41</v>
      </c>
      <c r="E92" s="100">
        <v>8.4700000000000006</v>
      </c>
      <c r="F92" s="152" t="s">
        <v>15</v>
      </c>
      <c r="G92" s="100">
        <v>88.49</v>
      </c>
      <c r="H92" s="100">
        <v>20.309999999999999</v>
      </c>
      <c r="I92" s="100">
        <v>7.17</v>
      </c>
      <c r="J92" s="100">
        <v>0.22</v>
      </c>
      <c r="K92" s="100">
        <v>196.7</v>
      </c>
      <c r="L92" s="100">
        <v>21.8</v>
      </c>
      <c r="M92" s="100">
        <v>42.43</v>
      </c>
      <c r="N92" s="100">
        <v>0.7</v>
      </c>
      <c r="O92" s="100">
        <v>0</v>
      </c>
      <c r="P92" s="100">
        <v>0.62</v>
      </c>
      <c r="Q92" s="100">
        <v>28.07</v>
      </c>
      <c r="R92" s="6"/>
      <c r="S92" s="6"/>
      <c r="T92" s="156"/>
      <c r="U92" s="6"/>
    </row>
    <row r="93" spans="1:21" customFormat="1">
      <c r="A93" s="163" t="s">
        <v>899</v>
      </c>
      <c r="B93" s="100">
        <v>11.73</v>
      </c>
      <c r="C93" s="100">
        <v>11.87</v>
      </c>
      <c r="D93" s="100">
        <v>16.96</v>
      </c>
      <c r="E93" s="100">
        <v>8.27</v>
      </c>
      <c r="F93" s="152" t="s">
        <v>15</v>
      </c>
      <c r="G93" s="100">
        <v>85.53</v>
      </c>
      <c r="H93" s="100">
        <v>21.43</v>
      </c>
      <c r="I93" s="100">
        <v>7.25</v>
      </c>
      <c r="J93" s="100">
        <v>0.23</v>
      </c>
      <c r="K93" s="100">
        <v>188.52</v>
      </c>
      <c r="L93" s="100">
        <v>21.38</v>
      </c>
      <c r="M93" s="100">
        <v>45.98</v>
      </c>
      <c r="N93" s="100">
        <v>0.8</v>
      </c>
      <c r="O93" s="100">
        <v>0</v>
      </c>
      <c r="P93" s="100">
        <v>0.62</v>
      </c>
      <c r="Q93" s="100">
        <v>28.07</v>
      </c>
      <c r="R93" s="6"/>
      <c r="S93" s="6"/>
      <c r="T93" s="156"/>
      <c r="U93" s="6"/>
    </row>
    <row r="94" spans="1:21" customFormat="1">
      <c r="A94" s="163" t="s">
        <v>900</v>
      </c>
      <c r="B94" s="100">
        <v>12.31</v>
      </c>
      <c r="C94" s="100">
        <v>11.78</v>
      </c>
      <c r="D94" s="100">
        <v>17.38</v>
      </c>
      <c r="E94" s="100">
        <v>8.41</v>
      </c>
      <c r="F94" s="152" t="s">
        <v>15</v>
      </c>
      <c r="G94" s="100">
        <v>85.28</v>
      </c>
      <c r="H94" s="100">
        <v>21.43</v>
      </c>
      <c r="I94" s="100">
        <v>7.32</v>
      </c>
      <c r="J94" s="100">
        <v>0.2</v>
      </c>
      <c r="K94" s="100">
        <v>196.2</v>
      </c>
      <c r="L94" s="100">
        <v>21.2</v>
      </c>
      <c r="M94" s="100">
        <v>43.23</v>
      </c>
      <c r="N94" s="100">
        <v>0.6</v>
      </c>
      <c r="O94" s="100">
        <v>0</v>
      </c>
      <c r="P94" s="100">
        <v>0.64</v>
      </c>
      <c r="Q94" s="100">
        <v>28.07</v>
      </c>
      <c r="R94" s="6"/>
      <c r="S94" s="6"/>
      <c r="T94" s="156"/>
      <c r="U94" s="6"/>
    </row>
    <row r="95" spans="1:21" customFormat="1">
      <c r="A95" s="163" t="s">
        <v>901</v>
      </c>
      <c r="B95" s="100">
        <v>13.47</v>
      </c>
      <c r="C95" s="100">
        <v>11.79</v>
      </c>
      <c r="D95" s="100">
        <v>18.309999999999999</v>
      </c>
      <c r="E95" s="100">
        <v>8.5299999999999994</v>
      </c>
      <c r="F95" s="152" t="s">
        <v>15</v>
      </c>
      <c r="G95" s="100">
        <v>85.28</v>
      </c>
      <c r="H95" s="100">
        <v>21.43</v>
      </c>
      <c r="I95" s="100">
        <v>7.43</v>
      </c>
      <c r="J95" s="100">
        <v>0.21</v>
      </c>
      <c r="K95" s="100">
        <v>200.97</v>
      </c>
      <c r="L95" s="100">
        <v>20.96</v>
      </c>
      <c r="M95" s="100">
        <v>45.28</v>
      </c>
      <c r="N95" s="100">
        <v>0.7</v>
      </c>
      <c r="O95" s="100">
        <v>0</v>
      </c>
      <c r="P95" s="100">
        <v>0.65</v>
      </c>
      <c r="Q95" s="100">
        <v>28.07</v>
      </c>
      <c r="R95" s="6"/>
      <c r="S95" s="6"/>
      <c r="T95" s="156"/>
      <c r="U95" s="6"/>
    </row>
    <row r="96" spans="1:21" customFormat="1">
      <c r="A96" s="163" t="s">
        <v>902</v>
      </c>
      <c r="B96" s="100">
        <v>12.89</v>
      </c>
      <c r="C96" s="100">
        <v>12.48</v>
      </c>
      <c r="D96" s="100">
        <v>18.21</v>
      </c>
      <c r="E96" s="100">
        <v>8.52</v>
      </c>
      <c r="F96" s="152" t="s">
        <v>15</v>
      </c>
      <c r="G96" s="100">
        <v>85.28</v>
      </c>
      <c r="H96" s="100">
        <v>21.43</v>
      </c>
      <c r="I96" s="100">
        <v>7.57</v>
      </c>
      <c r="J96" s="100">
        <v>0.12</v>
      </c>
      <c r="K96" s="100">
        <v>203.71</v>
      </c>
      <c r="L96" s="100">
        <v>20.94</v>
      </c>
      <c r="M96" s="100">
        <v>43.85</v>
      </c>
      <c r="N96" s="100">
        <v>0.5</v>
      </c>
      <c r="O96" s="100">
        <v>0</v>
      </c>
      <c r="P96" s="100">
        <v>0.67</v>
      </c>
      <c r="Q96" s="100">
        <v>28.08</v>
      </c>
      <c r="R96" s="6"/>
      <c r="S96" s="6"/>
      <c r="T96" s="156"/>
      <c r="U96" s="6"/>
    </row>
    <row r="97" spans="1:28" customFormat="1">
      <c r="A97" s="163" t="s">
        <v>903</v>
      </c>
      <c r="B97" s="100">
        <v>8.0500000000000007</v>
      </c>
      <c r="C97" s="100">
        <v>14.53</v>
      </c>
      <c r="D97" s="100">
        <v>15.4</v>
      </c>
      <c r="E97" s="100">
        <v>8.52</v>
      </c>
      <c r="F97" s="152" t="s">
        <v>15</v>
      </c>
      <c r="G97" s="100">
        <v>79.680000000000007</v>
      </c>
      <c r="H97" s="100">
        <v>21.55</v>
      </c>
      <c r="I97" s="100">
        <v>7.71</v>
      </c>
      <c r="J97" s="100">
        <v>0.11</v>
      </c>
      <c r="K97" s="100">
        <v>160.43</v>
      </c>
      <c r="L97" s="100">
        <v>20.74</v>
      </c>
      <c r="M97" s="100">
        <v>46.67</v>
      </c>
      <c r="N97" s="100">
        <v>0.6</v>
      </c>
      <c r="O97" s="100">
        <v>0</v>
      </c>
      <c r="P97" s="100">
        <v>0.69</v>
      </c>
      <c r="Q97" s="100">
        <v>28.08</v>
      </c>
      <c r="R97" s="6"/>
      <c r="S97" s="6"/>
      <c r="T97" s="156"/>
      <c r="U97" s="6"/>
    </row>
    <row r="98" spans="1:28" customFormat="1">
      <c r="A98" s="163" t="s">
        <v>904</v>
      </c>
      <c r="B98" s="100">
        <v>7.77</v>
      </c>
      <c r="C98" s="100">
        <v>14.79</v>
      </c>
      <c r="D98" s="100">
        <v>15.31</v>
      </c>
      <c r="E98" s="100">
        <v>8.68</v>
      </c>
      <c r="F98" s="152" t="s">
        <v>15</v>
      </c>
      <c r="G98" s="100">
        <v>79.13</v>
      </c>
      <c r="H98" s="100">
        <v>21.55</v>
      </c>
      <c r="I98" s="100">
        <v>7.92</v>
      </c>
      <c r="J98" s="100">
        <v>0.08</v>
      </c>
      <c r="K98" s="100">
        <v>238.15</v>
      </c>
      <c r="L98" s="100">
        <v>20.69</v>
      </c>
      <c r="M98" s="100">
        <v>43.11</v>
      </c>
      <c r="N98" s="100">
        <v>0.4</v>
      </c>
      <c r="O98" s="100">
        <v>0</v>
      </c>
      <c r="P98" s="100">
        <v>0.7</v>
      </c>
      <c r="Q98" s="100">
        <v>28.1</v>
      </c>
      <c r="R98" s="6"/>
      <c r="S98" s="6"/>
      <c r="T98" s="156"/>
      <c r="U98" s="6"/>
    </row>
    <row r="99" spans="1:28" customFormat="1">
      <c r="A99" s="163" t="s">
        <v>905</v>
      </c>
      <c r="B99" s="100">
        <v>12.15</v>
      </c>
      <c r="C99" s="100">
        <v>13.22</v>
      </c>
      <c r="D99" s="100">
        <v>18</v>
      </c>
      <c r="E99" s="100">
        <v>8.84</v>
      </c>
      <c r="F99" s="152" t="s">
        <v>15</v>
      </c>
      <c r="G99" s="100">
        <v>79.13</v>
      </c>
      <c r="H99" s="100">
        <v>21.55</v>
      </c>
      <c r="I99" s="100">
        <v>8.2100000000000009</v>
      </c>
      <c r="J99" s="100">
        <v>0.09</v>
      </c>
      <c r="K99" s="100">
        <v>213.64</v>
      </c>
      <c r="L99" s="100">
        <v>20.97</v>
      </c>
      <c r="M99" s="100">
        <v>41.98</v>
      </c>
      <c r="N99" s="100">
        <v>0.4</v>
      </c>
      <c r="O99" s="100">
        <v>0</v>
      </c>
      <c r="P99" s="100">
        <v>0.72</v>
      </c>
      <c r="Q99" s="100">
        <v>28.12</v>
      </c>
      <c r="R99" s="6"/>
      <c r="S99" s="6"/>
      <c r="T99" s="156"/>
      <c r="U99" s="6"/>
    </row>
    <row r="100" spans="1:28" customFormat="1">
      <c r="A100" s="163" t="s">
        <v>906</v>
      </c>
      <c r="B100" s="100">
        <v>13.7</v>
      </c>
      <c r="C100" s="100">
        <v>12.7</v>
      </c>
      <c r="D100" s="100">
        <v>18.97</v>
      </c>
      <c r="E100" s="100">
        <v>8.5299999999999994</v>
      </c>
      <c r="F100" s="152" t="s">
        <v>15</v>
      </c>
      <c r="G100" s="100">
        <v>79.13</v>
      </c>
      <c r="H100" s="100">
        <v>21.55</v>
      </c>
      <c r="I100" s="100">
        <v>8.5399999999999991</v>
      </c>
      <c r="J100" s="100">
        <v>0.15</v>
      </c>
      <c r="K100" s="100">
        <v>205.1</v>
      </c>
      <c r="L100" s="100">
        <v>20.93</v>
      </c>
      <c r="M100" s="100">
        <v>44.96</v>
      </c>
      <c r="N100" s="100">
        <v>0.4</v>
      </c>
      <c r="O100" s="100">
        <v>0</v>
      </c>
      <c r="P100" s="100">
        <v>0.73</v>
      </c>
      <c r="Q100" s="100">
        <v>28.12</v>
      </c>
      <c r="R100" s="6"/>
      <c r="S100" s="6"/>
      <c r="T100" s="156"/>
      <c r="U100" s="6"/>
      <c r="AB100" s="161"/>
    </row>
    <row r="101" spans="1:28" customFormat="1">
      <c r="A101" s="163" t="s">
        <v>907</v>
      </c>
      <c r="B101" s="100">
        <v>11.26</v>
      </c>
      <c r="C101" s="100">
        <v>13.52</v>
      </c>
      <c r="D101" s="100">
        <v>17.440000000000001</v>
      </c>
      <c r="E101" s="100">
        <v>8.6</v>
      </c>
      <c r="F101" s="152" t="s">
        <v>15</v>
      </c>
      <c r="G101" s="100">
        <v>78.03</v>
      </c>
      <c r="H101" s="100">
        <v>23.47</v>
      </c>
      <c r="I101" s="100">
        <v>8.82</v>
      </c>
      <c r="J101" s="100">
        <v>0.18</v>
      </c>
      <c r="K101" s="100">
        <v>158.63999999999999</v>
      </c>
      <c r="L101" s="100">
        <v>20.329999999999998</v>
      </c>
      <c r="M101" s="100">
        <v>47.42</v>
      </c>
      <c r="N101" s="100">
        <v>0.8</v>
      </c>
      <c r="O101" s="100">
        <v>0</v>
      </c>
      <c r="P101" s="100">
        <v>0.74</v>
      </c>
      <c r="Q101" s="100">
        <v>28.11</v>
      </c>
      <c r="R101" s="6"/>
      <c r="S101" s="6"/>
      <c r="T101" s="156"/>
      <c r="U101" s="6"/>
    </row>
    <row r="102" spans="1:28" customFormat="1">
      <c r="A102" s="163" t="s">
        <v>908</v>
      </c>
      <c r="B102" s="100">
        <v>8.4700000000000006</v>
      </c>
      <c r="C102" s="100">
        <v>14.53</v>
      </c>
      <c r="D102" s="100">
        <v>15.73</v>
      </c>
      <c r="E102" s="100">
        <v>9.0399999999999991</v>
      </c>
      <c r="F102" s="152" t="s">
        <v>15</v>
      </c>
      <c r="G102" s="100">
        <v>77.94</v>
      </c>
      <c r="H102" s="100">
        <v>23.47</v>
      </c>
      <c r="I102" s="100">
        <v>8.98</v>
      </c>
      <c r="J102" s="100">
        <v>0.16</v>
      </c>
      <c r="K102" s="100">
        <v>210.14</v>
      </c>
      <c r="L102" s="100">
        <v>20.170000000000002</v>
      </c>
      <c r="M102" s="100">
        <v>45.35</v>
      </c>
      <c r="N102" s="100">
        <v>0.5</v>
      </c>
      <c r="O102" s="100">
        <v>0</v>
      </c>
      <c r="P102" s="100">
        <v>0.74</v>
      </c>
      <c r="Q102" s="100">
        <v>28.11</v>
      </c>
      <c r="R102" s="6"/>
      <c r="S102" s="6"/>
      <c r="T102" s="156"/>
      <c r="U102" s="6"/>
    </row>
    <row r="103" spans="1:28" customFormat="1">
      <c r="A103" s="163" t="s">
        <v>909</v>
      </c>
      <c r="B103" s="100">
        <v>11.44</v>
      </c>
      <c r="C103" s="100">
        <v>13.26</v>
      </c>
      <c r="D103" s="100">
        <v>17.46</v>
      </c>
      <c r="E103" s="100">
        <v>9.16</v>
      </c>
      <c r="F103" s="152" t="s">
        <v>15</v>
      </c>
      <c r="G103" s="100">
        <v>77.94</v>
      </c>
      <c r="H103" s="100">
        <v>23.47</v>
      </c>
      <c r="I103" s="100">
        <v>9.1300000000000008</v>
      </c>
      <c r="J103" s="100">
        <v>0.13</v>
      </c>
      <c r="K103" s="100">
        <v>202.87</v>
      </c>
      <c r="L103" s="100">
        <v>20.21</v>
      </c>
      <c r="M103" s="100">
        <v>42.84</v>
      </c>
      <c r="N103" s="100">
        <v>0.6</v>
      </c>
      <c r="O103" s="100">
        <v>0</v>
      </c>
      <c r="P103" s="100">
        <v>0.74</v>
      </c>
      <c r="Q103" s="100">
        <v>28.08</v>
      </c>
      <c r="R103" s="6"/>
      <c r="S103" s="6"/>
      <c r="T103" s="156"/>
      <c r="U103" s="6"/>
    </row>
    <row r="104" spans="1:28" customFormat="1">
      <c r="A104" s="163" t="s">
        <v>910</v>
      </c>
      <c r="B104" s="100">
        <v>12.78</v>
      </c>
      <c r="C104" s="100">
        <v>12.7</v>
      </c>
      <c r="D104" s="100">
        <v>18.239999999999998</v>
      </c>
      <c r="E104" s="100">
        <v>8.86</v>
      </c>
      <c r="F104" s="152" t="s">
        <v>15</v>
      </c>
      <c r="G104" s="100">
        <v>77.94</v>
      </c>
      <c r="H104" s="100">
        <v>23.47</v>
      </c>
      <c r="I104" s="100">
        <v>9.2799999999999994</v>
      </c>
      <c r="J104" s="100">
        <v>0.17</v>
      </c>
      <c r="K104" s="100">
        <v>143.41</v>
      </c>
      <c r="L104" s="100">
        <v>20.190000000000001</v>
      </c>
      <c r="M104" s="100">
        <v>45.4</v>
      </c>
      <c r="N104" s="100">
        <v>0.6</v>
      </c>
      <c r="O104" s="100">
        <v>0</v>
      </c>
      <c r="P104" s="100">
        <v>0.74</v>
      </c>
      <c r="Q104" s="100">
        <v>28.08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4.83</v>
      </c>
      <c r="C106" s="158">
        <f>MIN(C9:C104)</f>
        <v>10.130000000000001</v>
      </c>
      <c r="D106" s="158">
        <f t="shared" ref="D106:Q106" si="0">MIN(D9:D104)</f>
        <v>13.18</v>
      </c>
      <c r="E106" s="158">
        <f t="shared" si="0"/>
        <v>7.52</v>
      </c>
      <c r="F106" s="158">
        <f t="shared" si="0"/>
        <v>0</v>
      </c>
      <c r="G106" s="158">
        <f t="shared" si="0"/>
        <v>36.380000000000003</v>
      </c>
      <c r="H106" s="158">
        <f t="shared" si="0"/>
        <v>12.43</v>
      </c>
      <c r="I106" s="158">
        <f t="shared" si="0"/>
        <v>6.6</v>
      </c>
      <c r="J106" s="158">
        <f t="shared" si="0"/>
        <v>0.08</v>
      </c>
      <c r="K106" s="158">
        <f t="shared" si="0"/>
        <v>10.6</v>
      </c>
      <c r="L106" s="158">
        <f t="shared" si="0"/>
        <v>14.37</v>
      </c>
      <c r="M106" s="158">
        <f t="shared" si="0"/>
        <v>7.48</v>
      </c>
      <c r="N106" s="158">
        <f t="shared" si="0"/>
        <v>0</v>
      </c>
      <c r="O106" s="158">
        <f t="shared" si="0"/>
        <v>0</v>
      </c>
      <c r="P106" s="158">
        <f t="shared" si="0"/>
        <v>0.49</v>
      </c>
      <c r="Q106" s="158">
        <f t="shared" si="0"/>
        <v>27.97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25.02</v>
      </c>
      <c r="C107" s="157">
        <f t="shared" ref="C107:Q107" si="1">MAX(C9:C104)</f>
        <v>22.88</v>
      </c>
      <c r="D107" s="157">
        <f t="shared" si="1"/>
        <v>32.369999999999997</v>
      </c>
      <c r="E107" s="157">
        <f t="shared" si="1"/>
        <v>11.63</v>
      </c>
      <c r="F107" s="157">
        <f t="shared" si="1"/>
        <v>0</v>
      </c>
      <c r="G107" s="157">
        <f t="shared" si="1"/>
        <v>103.71</v>
      </c>
      <c r="H107" s="157">
        <f t="shared" si="1"/>
        <v>34.979999999999997</v>
      </c>
      <c r="I107" s="157">
        <f t="shared" si="1"/>
        <v>26.44</v>
      </c>
      <c r="J107" s="157">
        <f t="shared" si="1"/>
        <v>1.38</v>
      </c>
      <c r="K107" s="157">
        <f t="shared" si="1"/>
        <v>338.28</v>
      </c>
      <c r="L107" s="157">
        <f t="shared" si="1"/>
        <v>34.119999999999997</v>
      </c>
      <c r="M107" s="157">
        <f t="shared" si="1"/>
        <v>65.02</v>
      </c>
      <c r="N107" s="157">
        <f t="shared" si="1"/>
        <v>372.9</v>
      </c>
      <c r="O107" s="157">
        <f t="shared" si="1"/>
        <v>0</v>
      </c>
      <c r="P107" s="157">
        <f t="shared" si="1"/>
        <v>1.07</v>
      </c>
      <c r="Q107" s="157">
        <f t="shared" si="1"/>
        <v>28.93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15.155104166666669</v>
      </c>
      <c r="C108" s="158">
        <f t="shared" ref="C108:Q108" si="2">AVERAGE(C9:C104)</f>
        <v>16.788645833333337</v>
      </c>
      <c r="D108" s="158">
        <f t="shared" si="2"/>
        <v>22.275937500000001</v>
      </c>
      <c r="E108" s="158">
        <f t="shared" si="2"/>
        <v>8.9660416666666638</v>
      </c>
      <c r="F108" s="158" t="e">
        <f t="shared" si="2"/>
        <v>#DIV/0!</v>
      </c>
      <c r="G108" s="158">
        <f t="shared" si="2"/>
        <v>75.21624999999996</v>
      </c>
      <c r="H108" s="158">
        <f t="shared" si="2"/>
        <v>24.076249999999987</v>
      </c>
      <c r="I108" s="158">
        <f t="shared" si="2"/>
        <v>13.794375000000002</v>
      </c>
      <c r="J108" s="158">
        <f t="shared" si="2"/>
        <v>0.41333333333333327</v>
      </c>
      <c r="K108" s="158">
        <f t="shared" si="2"/>
        <v>165.01927083333337</v>
      </c>
      <c r="L108" s="158">
        <f t="shared" si="2"/>
        <v>23.795729166666661</v>
      </c>
      <c r="M108" s="158">
        <f t="shared" si="2"/>
        <v>33.946874999999999</v>
      </c>
      <c r="N108" s="158">
        <f t="shared" si="2"/>
        <v>99.704166666666652</v>
      </c>
      <c r="O108" s="158">
        <f t="shared" si="2"/>
        <v>0</v>
      </c>
      <c r="P108" s="158">
        <f t="shared" si="2"/>
        <v>0.79510416666666661</v>
      </c>
      <c r="Q108" s="158">
        <f t="shared" si="2"/>
        <v>28.32875000000001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5.1189495210991653</v>
      </c>
      <c r="C109" s="158">
        <f t="shared" ref="C109:Q109" si="3">STDEV(C9:C104)</f>
        <v>3.7651383199003918</v>
      </c>
      <c r="D109" s="158">
        <f t="shared" si="3"/>
        <v>5.4686269956091635</v>
      </c>
      <c r="E109" s="158">
        <f t="shared" si="3"/>
        <v>0.69157102488185584</v>
      </c>
      <c r="F109" s="158" t="e">
        <f t="shared" si="3"/>
        <v>#DIV/0!</v>
      </c>
      <c r="G109" s="158">
        <f t="shared" si="3"/>
        <v>19.18228509794783</v>
      </c>
      <c r="H109" s="158">
        <f t="shared" si="3"/>
        <v>7.2213985013838702</v>
      </c>
      <c r="I109" s="158">
        <f t="shared" si="3"/>
        <v>6.5694906976352145</v>
      </c>
      <c r="J109" s="158">
        <f t="shared" si="3"/>
        <v>0.3330612924994491</v>
      </c>
      <c r="K109" s="158">
        <f t="shared" si="3"/>
        <v>85.495066391912005</v>
      </c>
      <c r="L109" s="158">
        <f t="shared" si="3"/>
        <v>6.5404430470873347</v>
      </c>
      <c r="M109" s="158">
        <f t="shared" si="3"/>
        <v>20.263131794754223</v>
      </c>
      <c r="N109" s="158">
        <f t="shared" si="3"/>
        <v>145.72932148456223</v>
      </c>
      <c r="O109" s="158">
        <f t="shared" si="3"/>
        <v>0</v>
      </c>
      <c r="P109" s="158">
        <f t="shared" si="3"/>
        <v>0.19784095042904237</v>
      </c>
      <c r="Q109" s="158">
        <f t="shared" si="3"/>
        <v>0.31610208211239227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H13" sqref="H13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08/03/2025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911</v>
      </c>
      <c r="B9" s="100">
        <v>5.37</v>
      </c>
      <c r="C9" s="100">
        <v>12.13</v>
      </c>
      <c r="D9" s="100">
        <v>11.99</v>
      </c>
      <c r="E9" s="100">
        <v>8.89</v>
      </c>
      <c r="F9" s="100">
        <v>0</v>
      </c>
      <c r="G9" s="100">
        <v>75.239999999999995</v>
      </c>
      <c r="H9" s="100">
        <v>21.82</v>
      </c>
      <c r="I9" s="100">
        <v>9.36</v>
      </c>
      <c r="J9" s="100">
        <v>0.18</v>
      </c>
      <c r="K9" s="100">
        <v>168.47</v>
      </c>
      <c r="L9" s="100">
        <v>20.09</v>
      </c>
      <c r="M9" s="100">
        <v>45.91</v>
      </c>
      <c r="N9" s="100">
        <v>0.6</v>
      </c>
      <c r="O9" s="100">
        <v>0</v>
      </c>
      <c r="P9" s="100">
        <v>0.75</v>
      </c>
      <c r="Q9" s="100">
        <v>28.04</v>
      </c>
      <c r="R9" s="6"/>
      <c r="S9" s="6"/>
      <c r="T9" s="156"/>
      <c r="U9" s="6"/>
    </row>
    <row r="10" spans="1:21" customFormat="1">
      <c r="A10" s="163" t="s">
        <v>912</v>
      </c>
      <c r="B10" s="100">
        <v>4.26</v>
      </c>
      <c r="C10" s="100">
        <v>12.19</v>
      </c>
      <c r="D10" s="100">
        <v>11.13</v>
      </c>
      <c r="E10" s="100">
        <v>8.7200000000000006</v>
      </c>
      <c r="F10" s="100">
        <v>0</v>
      </c>
      <c r="G10" s="100">
        <v>74.98</v>
      </c>
      <c r="H10" s="100">
        <v>21.82</v>
      </c>
      <c r="I10" s="100">
        <v>9.39</v>
      </c>
      <c r="J10" s="100">
        <v>0.14000000000000001</v>
      </c>
      <c r="K10" s="100">
        <v>185.48</v>
      </c>
      <c r="L10" s="100">
        <v>19.920000000000002</v>
      </c>
      <c r="M10" s="100">
        <v>44.68</v>
      </c>
      <c r="N10" s="100">
        <v>0.6</v>
      </c>
      <c r="O10" s="100">
        <v>0</v>
      </c>
      <c r="P10" s="100">
        <v>0.76</v>
      </c>
      <c r="Q10" s="100">
        <v>28.05</v>
      </c>
      <c r="R10" s="6"/>
      <c r="S10" s="6"/>
      <c r="T10" s="156"/>
      <c r="U10" s="6"/>
    </row>
    <row r="11" spans="1:21" customFormat="1">
      <c r="A11" s="163" t="s">
        <v>913</v>
      </c>
      <c r="B11" s="100">
        <v>4.42</v>
      </c>
      <c r="C11" s="100">
        <v>12.14</v>
      </c>
      <c r="D11" s="100">
        <v>11.24</v>
      </c>
      <c r="E11" s="100">
        <v>8.91</v>
      </c>
      <c r="F11" s="100">
        <v>0</v>
      </c>
      <c r="G11" s="100">
        <v>74.98</v>
      </c>
      <c r="H11" s="100">
        <v>21.82</v>
      </c>
      <c r="I11" s="100">
        <v>9.4</v>
      </c>
      <c r="J11" s="100">
        <v>0.17</v>
      </c>
      <c r="K11" s="100">
        <v>165.42</v>
      </c>
      <c r="L11" s="100">
        <v>20.13</v>
      </c>
      <c r="M11" s="100">
        <v>43.85</v>
      </c>
      <c r="N11" s="100">
        <v>0.4</v>
      </c>
      <c r="O11" s="100">
        <v>0</v>
      </c>
      <c r="P11" s="100">
        <v>0.76</v>
      </c>
      <c r="Q11" s="100">
        <v>28.04</v>
      </c>
      <c r="R11" s="6"/>
      <c r="S11" s="6"/>
      <c r="T11" s="156"/>
      <c r="U11" s="6"/>
    </row>
    <row r="12" spans="1:21" customFormat="1">
      <c r="A12" s="163" t="s">
        <v>914</v>
      </c>
      <c r="B12" s="100">
        <v>4.0199999999999996</v>
      </c>
      <c r="C12" s="100">
        <v>12.15</v>
      </c>
      <c r="D12" s="100">
        <v>10.92</v>
      </c>
      <c r="E12" s="100">
        <v>8.89</v>
      </c>
      <c r="F12" s="100">
        <v>0</v>
      </c>
      <c r="G12" s="100">
        <v>74.98</v>
      </c>
      <c r="H12" s="100">
        <v>21.82</v>
      </c>
      <c r="I12" s="100">
        <v>9.51</v>
      </c>
      <c r="J12" s="100">
        <v>0.18</v>
      </c>
      <c r="K12" s="100">
        <v>164.53</v>
      </c>
      <c r="L12" s="100">
        <v>19.73</v>
      </c>
      <c r="M12" s="100">
        <v>45.19</v>
      </c>
      <c r="N12" s="100">
        <v>0.8</v>
      </c>
      <c r="O12" s="100">
        <v>0</v>
      </c>
      <c r="P12" s="100">
        <v>0.76</v>
      </c>
      <c r="Q12" s="100">
        <v>28.05</v>
      </c>
      <c r="R12" s="6"/>
      <c r="S12" s="6"/>
      <c r="T12" s="156"/>
      <c r="U12" s="6"/>
    </row>
    <row r="13" spans="1:21" customFormat="1">
      <c r="A13" s="163" t="s">
        <v>915</v>
      </c>
      <c r="B13" s="100">
        <v>3.84</v>
      </c>
      <c r="C13" s="100">
        <v>12</v>
      </c>
      <c r="D13" s="100">
        <v>10.7</v>
      </c>
      <c r="E13" s="100">
        <v>8.7799999999999994</v>
      </c>
      <c r="F13" s="100">
        <v>0</v>
      </c>
      <c r="G13" s="100">
        <v>64.900000000000006</v>
      </c>
      <c r="H13" s="100">
        <v>24.48</v>
      </c>
      <c r="I13" s="100">
        <v>9.68</v>
      </c>
      <c r="J13" s="100">
        <v>0.17</v>
      </c>
      <c r="K13" s="100">
        <v>180.7</v>
      </c>
      <c r="L13" s="100">
        <v>19.649999999999999</v>
      </c>
      <c r="M13" s="100">
        <v>47.41</v>
      </c>
      <c r="N13" s="100">
        <v>0.7</v>
      </c>
      <c r="O13" s="100">
        <v>0</v>
      </c>
      <c r="P13" s="100">
        <v>0.77</v>
      </c>
      <c r="Q13" s="100">
        <v>28.04</v>
      </c>
      <c r="R13" s="6"/>
      <c r="S13" s="6"/>
      <c r="T13" s="156"/>
      <c r="U13" s="6"/>
    </row>
    <row r="14" spans="1:21" customFormat="1">
      <c r="A14" s="163" t="s">
        <v>916</v>
      </c>
      <c r="B14" s="100">
        <v>4.34</v>
      </c>
      <c r="C14" s="100">
        <v>11.91</v>
      </c>
      <c r="D14" s="100">
        <v>11.06</v>
      </c>
      <c r="E14" s="100">
        <v>8.99</v>
      </c>
      <c r="F14" s="100">
        <v>0</v>
      </c>
      <c r="G14" s="100">
        <v>64.05</v>
      </c>
      <c r="H14" s="100">
        <v>24.48</v>
      </c>
      <c r="I14" s="100">
        <v>9.66</v>
      </c>
      <c r="J14" s="100">
        <v>0.24</v>
      </c>
      <c r="K14" s="100">
        <v>163.97</v>
      </c>
      <c r="L14" s="100">
        <v>19.53</v>
      </c>
      <c r="M14" s="100">
        <v>47.79</v>
      </c>
      <c r="N14" s="100">
        <v>0.6</v>
      </c>
      <c r="O14" s="100">
        <v>0</v>
      </c>
      <c r="P14" s="100">
        <v>0.77</v>
      </c>
      <c r="Q14" s="100">
        <v>28.02</v>
      </c>
      <c r="R14" s="6"/>
      <c r="S14" s="6"/>
      <c r="T14" s="156"/>
      <c r="U14" s="6"/>
    </row>
    <row r="15" spans="1:21" customFormat="1">
      <c r="A15" s="163" t="s">
        <v>917</v>
      </c>
      <c r="B15" s="100">
        <v>2.4500000000000002</v>
      </c>
      <c r="C15" s="100">
        <v>11.27</v>
      </c>
      <c r="D15" s="100">
        <v>9.1999999999999993</v>
      </c>
      <c r="E15" s="100">
        <v>8.4499999999999993</v>
      </c>
      <c r="F15" s="100">
        <v>0</v>
      </c>
      <c r="G15" s="100">
        <v>64.05</v>
      </c>
      <c r="H15" s="100">
        <v>24.48</v>
      </c>
      <c r="I15" s="100">
        <v>9.6199999999999992</v>
      </c>
      <c r="J15" s="100">
        <v>0.24</v>
      </c>
      <c r="K15" s="100">
        <v>161.52000000000001</v>
      </c>
      <c r="L15" s="100">
        <v>19.47</v>
      </c>
      <c r="M15" s="100">
        <v>48.52</v>
      </c>
      <c r="N15" s="100">
        <v>0.6</v>
      </c>
      <c r="O15" s="100">
        <v>0</v>
      </c>
      <c r="P15" s="100">
        <v>0.77</v>
      </c>
      <c r="Q15" s="100">
        <v>28.02</v>
      </c>
      <c r="R15" s="6"/>
      <c r="S15" s="6"/>
      <c r="T15" s="156"/>
      <c r="U15" s="6"/>
    </row>
    <row r="16" spans="1:21" customFormat="1">
      <c r="A16" s="163" t="s">
        <v>918</v>
      </c>
      <c r="B16" s="100">
        <v>2.25</v>
      </c>
      <c r="C16" s="100">
        <v>11.45</v>
      </c>
      <c r="D16" s="100">
        <v>9.14</v>
      </c>
      <c r="E16" s="100">
        <v>9.0299999999999994</v>
      </c>
      <c r="F16" s="100">
        <v>0</v>
      </c>
      <c r="G16" s="100">
        <v>64.05</v>
      </c>
      <c r="H16" s="100">
        <v>24.48</v>
      </c>
      <c r="I16" s="100">
        <v>9.44</v>
      </c>
      <c r="J16" s="100">
        <v>0.24</v>
      </c>
      <c r="K16" s="100">
        <v>187.23</v>
      </c>
      <c r="L16" s="100">
        <v>19.09</v>
      </c>
      <c r="M16" s="100">
        <v>51.91</v>
      </c>
      <c r="N16" s="100">
        <v>0.8</v>
      </c>
      <c r="O16" s="100">
        <v>0</v>
      </c>
      <c r="P16" s="100">
        <v>0.77</v>
      </c>
      <c r="Q16" s="100">
        <v>28.02</v>
      </c>
      <c r="R16" s="6"/>
      <c r="S16" s="6"/>
      <c r="T16" s="156"/>
      <c r="U16" s="6"/>
    </row>
    <row r="17" spans="1:21" customFormat="1">
      <c r="A17" s="163" t="s">
        <v>919</v>
      </c>
      <c r="B17" s="100">
        <v>2.1800000000000002</v>
      </c>
      <c r="C17" s="100">
        <v>11.03</v>
      </c>
      <c r="D17" s="100">
        <v>8.86</v>
      </c>
      <c r="E17" s="100">
        <v>7.01</v>
      </c>
      <c r="F17" s="100">
        <v>0</v>
      </c>
      <c r="G17" s="100">
        <v>60.72</v>
      </c>
      <c r="H17" s="100">
        <v>26.66</v>
      </c>
      <c r="I17" s="100">
        <v>9.32</v>
      </c>
      <c r="J17" s="100">
        <v>0.22</v>
      </c>
      <c r="K17" s="100">
        <v>184.58</v>
      </c>
      <c r="L17" s="100">
        <v>18.600000000000001</v>
      </c>
      <c r="M17" s="100">
        <v>49.72</v>
      </c>
      <c r="N17" s="100">
        <v>0.9</v>
      </c>
      <c r="O17" s="100">
        <v>0</v>
      </c>
      <c r="P17" s="100">
        <v>0.77</v>
      </c>
      <c r="Q17" s="100">
        <v>28.02</v>
      </c>
      <c r="R17" s="6"/>
      <c r="S17" s="6"/>
      <c r="T17" s="156"/>
      <c r="U17" s="6"/>
    </row>
    <row r="18" spans="1:21" customFormat="1">
      <c r="A18" s="163" t="s">
        <v>920</v>
      </c>
      <c r="B18" s="100">
        <v>2</v>
      </c>
      <c r="C18" s="100">
        <v>9.64</v>
      </c>
      <c r="D18" s="100">
        <v>7.99</v>
      </c>
      <c r="E18" s="100">
        <v>7.86</v>
      </c>
      <c r="F18" s="100">
        <v>0</v>
      </c>
      <c r="G18" s="100">
        <v>60.39</v>
      </c>
      <c r="H18" s="100">
        <v>26.66</v>
      </c>
      <c r="I18" s="100">
        <v>9.35</v>
      </c>
      <c r="J18" s="100">
        <v>0.27</v>
      </c>
      <c r="K18" s="100">
        <v>168.05</v>
      </c>
      <c r="L18" s="100">
        <v>18.53</v>
      </c>
      <c r="M18" s="100">
        <v>51.55</v>
      </c>
      <c r="N18" s="100">
        <v>0.7</v>
      </c>
      <c r="O18" s="100">
        <v>0</v>
      </c>
      <c r="P18" s="100">
        <v>0.78</v>
      </c>
      <c r="Q18" s="100">
        <v>28.04</v>
      </c>
      <c r="R18" s="6"/>
      <c r="S18" s="6"/>
      <c r="T18" s="156"/>
      <c r="U18" s="6"/>
    </row>
    <row r="19" spans="1:21" customFormat="1">
      <c r="A19" s="163" t="s">
        <v>921</v>
      </c>
      <c r="B19" s="100">
        <v>3.39</v>
      </c>
      <c r="C19" s="100">
        <v>11.59</v>
      </c>
      <c r="D19" s="100">
        <v>10.130000000000001</v>
      </c>
      <c r="E19" s="100">
        <v>7.89</v>
      </c>
      <c r="F19" s="100">
        <v>0</v>
      </c>
      <c r="G19" s="100">
        <v>60.39</v>
      </c>
      <c r="H19" s="100">
        <v>26.66</v>
      </c>
      <c r="I19" s="100">
        <v>9.2200000000000006</v>
      </c>
      <c r="J19" s="100">
        <v>0.24</v>
      </c>
      <c r="K19" s="100">
        <v>170.52</v>
      </c>
      <c r="L19" s="100">
        <v>18.36</v>
      </c>
      <c r="M19" s="100">
        <v>51.87</v>
      </c>
      <c r="N19" s="100">
        <v>0.8</v>
      </c>
      <c r="O19" s="100">
        <v>0</v>
      </c>
      <c r="P19" s="100">
        <v>0.78</v>
      </c>
      <c r="Q19" s="100">
        <v>28.04</v>
      </c>
      <c r="R19" s="6"/>
      <c r="S19" s="6"/>
      <c r="T19" s="156"/>
      <c r="U19" s="6"/>
    </row>
    <row r="20" spans="1:21" customFormat="1">
      <c r="A20" s="163" t="s">
        <v>922</v>
      </c>
      <c r="B20" s="100">
        <v>2.5299999999999998</v>
      </c>
      <c r="C20" s="100">
        <v>11.49</v>
      </c>
      <c r="D20" s="100">
        <v>9.3800000000000008</v>
      </c>
      <c r="E20" s="100">
        <v>7.86</v>
      </c>
      <c r="F20" s="100">
        <v>0</v>
      </c>
      <c r="G20" s="100">
        <v>60.39</v>
      </c>
      <c r="H20" s="100">
        <v>26.66</v>
      </c>
      <c r="I20" s="100">
        <v>9.3699999999999992</v>
      </c>
      <c r="J20" s="100">
        <v>0.26</v>
      </c>
      <c r="K20" s="100">
        <v>166.1</v>
      </c>
      <c r="L20" s="100">
        <v>18.16</v>
      </c>
      <c r="M20" s="100">
        <v>52.92</v>
      </c>
      <c r="N20" s="100">
        <v>0.8</v>
      </c>
      <c r="O20" s="100">
        <v>0</v>
      </c>
      <c r="P20" s="100">
        <v>0.78</v>
      </c>
      <c r="Q20" s="100">
        <v>28.04</v>
      </c>
      <c r="R20" s="6"/>
      <c r="S20" s="6"/>
      <c r="T20" s="156"/>
      <c r="U20" s="6"/>
    </row>
    <row r="21" spans="1:21" customFormat="1">
      <c r="A21" s="163" t="s">
        <v>923</v>
      </c>
      <c r="B21" s="100">
        <v>3.59</v>
      </c>
      <c r="C21" s="100">
        <v>11.18</v>
      </c>
      <c r="D21" s="100">
        <v>10.07</v>
      </c>
      <c r="E21" s="100">
        <v>7.56</v>
      </c>
      <c r="F21" s="100">
        <v>0</v>
      </c>
      <c r="G21" s="100">
        <v>55.35</v>
      </c>
      <c r="H21" s="100">
        <v>23.68</v>
      </c>
      <c r="I21" s="100">
        <v>9.34</v>
      </c>
      <c r="J21" s="100">
        <v>0.24</v>
      </c>
      <c r="K21" s="100">
        <v>164.68</v>
      </c>
      <c r="L21" s="100">
        <v>18.100000000000001</v>
      </c>
      <c r="M21" s="100">
        <v>53.12</v>
      </c>
      <c r="N21" s="100">
        <v>0.7</v>
      </c>
      <c r="O21" s="100">
        <v>0</v>
      </c>
      <c r="P21" s="100">
        <v>0.78</v>
      </c>
      <c r="Q21" s="100">
        <v>28.05</v>
      </c>
      <c r="R21" s="6"/>
      <c r="S21" s="6"/>
      <c r="T21" s="156"/>
      <c r="U21" s="6"/>
    </row>
    <row r="22" spans="1:21" customFormat="1">
      <c r="A22" s="163" t="s">
        <v>924</v>
      </c>
      <c r="B22" s="100">
        <v>3.41</v>
      </c>
      <c r="C22" s="100">
        <v>11.21</v>
      </c>
      <c r="D22" s="100">
        <v>9.94</v>
      </c>
      <c r="E22" s="100">
        <v>7.93</v>
      </c>
      <c r="F22" s="100">
        <v>0</v>
      </c>
      <c r="G22" s="100">
        <v>54.85</v>
      </c>
      <c r="H22" s="100">
        <v>23.68</v>
      </c>
      <c r="I22" s="100">
        <v>9.3000000000000007</v>
      </c>
      <c r="J22" s="100">
        <v>0.21</v>
      </c>
      <c r="K22" s="100">
        <v>176.23</v>
      </c>
      <c r="L22" s="100">
        <v>17.809999999999999</v>
      </c>
      <c r="M22" s="100">
        <v>53.39</v>
      </c>
      <c r="N22" s="100">
        <v>0.8</v>
      </c>
      <c r="O22" s="100">
        <v>0</v>
      </c>
      <c r="P22" s="100">
        <v>0.78</v>
      </c>
      <c r="Q22" s="100">
        <v>28.06</v>
      </c>
      <c r="R22" s="6"/>
      <c r="S22" s="6"/>
      <c r="T22" s="156"/>
      <c r="U22" s="6"/>
    </row>
    <row r="23" spans="1:21" customFormat="1">
      <c r="A23" s="163" t="s">
        <v>925</v>
      </c>
      <c r="B23" s="100">
        <v>2.37</v>
      </c>
      <c r="C23" s="100">
        <v>11.11</v>
      </c>
      <c r="D23" s="100">
        <v>9.06</v>
      </c>
      <c r="E23" s="100">
        <v>7.57</v>
      </c>
      <c r="F23" s="100">
        <v>0</v>
      </c>
      <c r="G23" s="100">
        <v>54.85</v>
      </c>
      <c r="H23" s="100">
        <v>23.68</v>
      </c>
      <c r="I23" s="100">
        <v>9.2899999999999991</v>
      </c>
      <c r="J23" s="100">
        <v>0.26</v>
      </c>
      <c r="K23" s="100">
        <v>162.58000000000001</v>
      </c>
      <c r="L23" s="100">
        <v>17.79</v>
      </c>
      <c r="M23" s="100">
        <v>54.35</v>
      </c>
      <c r="N23" s="100">
        <v>0.7</v>
      </c>
      <c r="O23" s="100">
        <v>0</v>
      </c>
      <c r="P23" s="100">
        <v>0.78</v>
      </c>
      <c r="Q23" s="100">
        <v>28.04</v>
      </c>
      <c r="R23" s="6"/>
      <c r="S23" s="6"/>
      <c r="T23" s="156"/>
      <c r="U23" s="6"/>
    </row>
    <row r="24" spans="1:21" customFormat="1">
      <c r="A24" s="163" t="s">
        <v>926</v>
      </c>
      <c r="B24" s="100">
        <v>2</v>
      </c>
      <c r="C24" s="100">
        <v>10.17</v>
      </c>
      <c r="D24" s="100">
        <v>8.27</v>
      </c>
      <c r="E24" s="100">
        <v>7.61</v>
      </c>
      <c r="F24" s="100">
        <v>0</v>
      </c>
      <c r="G24" s="100">
        <v>54.85</v>
      </c>
      <c r="H24" s="100">
        <v>23.68</v>
      </c>
      <c r="I24" s="100">
        <v>9.3000000000000007</v>
      </c>
      <c r="J24" s="100">
        <v>0.27</v>
      </c>
      <c r="K24" s="100">
        <v>166.91</v>
      </c>
      <c r="L24" s="100">
        <v>17.600000000000001</v>
      </c>
      <c r="M24" s="100">
        <v>57.89</v>
      </c>
      <c r="N24" s="100">
        <v>0.8</v>
      </c>
      <c r="O24" s="100">
        <v>0</v>
      </c>
      <c r="P24" s="100">
        <v>0.79</v>
      </c>
      <c r="Q24" s="100">
        <v>28.05</v>
      </c>
      <c r="R24" s="6"/>
      <c r="S24" s="6"/>
      <c r="T24" s="156"/>
      <c r="U24" s="6"/>
    </row>
    <row r="25" spans="1:21" customFormat="1">
      <c r="A25" s="163" t="s">
        <v>927</v>
      </c>
      <c r="B25" s="100">
        <v>2</v>
      </c>
      <c r="C25" s="100">
        <v>10.24</v>
      </c>
      <c r="D25" s="100">
        <v>8.3000000000000007</v>
      </c>
      <c r="E25" s="100">
        <v>7.78</v>
      </c>
      <c r="F25" s="100">
        <v>0</v>
      </c>
      <c r="G25" s="100">
        <v>51.99</v>
      </c>
      <c r="H25" s="100">
        <v>22.43</v>
      </c>
      <c r="I25" s="100">
        <v>9.3000000000000007</v>
      </c>
      <c r="J25" s="100">
        <v>0.2</v>
      </c>
      <c r="K25" s="100">
        <v>179.06</v>
      </c>
      <c r="L25" s="100">
        <v>17.16</v>
      </c>
      <c r="M25" s="100">
        <v>57.2</v>
      </c>
      <c r="N25" s="100">
        <v>1</v>
      </c>
      <c r="O25" s="100">
        <v>0</v>
      </c>
      <c r="P25" s="100">
        <v>0.78</v>
      </c>
      <c r="Q25" s="100">
        <v>28.05</v>
      </c>
      <c r="R25" s="6"/>
      <c r="S25" s="6"/>
      <c r="T25" s="156"/>
      <c r="U25" s="6"/>
    </row>
    <row r="26" spans="1:21" customFormat="1">
      <c r="A26" s="163" t="s">
        <v>928</v>
      </c>
      <c r="B26" s="100">
        <v>2</v>
      </c>
      <c r="C26" s="100">
        <v>9.61</v>
      </c>
      <c r="D26" s="100">
        <v>7.98</v>
      </c>
      <c r="E26" s="100">
        <v>7.93</v>
      </c>
      <c r="F26" s="100">
        <v>0</v>
      </c>
      <c r="G26" s="100">
        <v>51.71</v>
      </c>
      <c r="H26" s="100">
        <v>22.43</v>
      </c>
      <c r="I26" s="100">
        <v>9.32</v>
      </c>
      <c r="J26" s="100">
        <v>0.24</v>
      </c>
      <c r="K26" s="100">
        <v>163.86</v>
      </c>
      <c r="L26" s="100">
        <v>17.02</v>
      </c>
      <c r="M26" s="100">
        <v>58.18</v>
      </c>
      <c r="N26" s="100">
        <v>0.7</v>
      </c>
      <c r="O26" s="100">
        <v>0</v>
      </c>
      <c r="P26" s="100">
        <v>0.79</v>
      </c>
      <c r="Q26" s="100">
        <v>28.05</v>
      </c>
      <c r="R26" s="6"/>
      <c r="S26" s="6"/>
      <c r="T26" s="156"/>
      <c r="U26" s="6"/>
    </row>
    <row r="27" spans="1:21" customFormat="1">
      <c r="A27" s="163" t="s">
        <v>929</v>
      </c>
      <c r="B27" s="100">
        <v>2</v>
      </c>
      <c r="C27" s="100">
        <v>9.75</v>
      </c>
      <c r="D27" s="100">
        <v>8.0500000000000007</v>
      </c>
      <c r="E27" s="100">
        <v>7.78</v>
      </c>
      <c r="F27" s="100">
        <v>0</v>
      </c>
      <c r="G27" s="100">
        <v>51.71</v>
      </c>
      <c r="H27" s="100">
        <v>22.43</v>
      </c>
      <c r="I27" s="100">
        <v>9.3699999999999992</v>
      </c>
      <c r="J27" s="100">
        <v>0.15</v>
      </c>
      <c r="K27" s="100">
        <v>157.97</v>
      </c>
      <c r="L27" s="100">
        <v>17</v>
      </c>
      <c r="M27" s="100">
        <v>59.02</v>
      </c>
      <c r="N27" s="100">
        <v>0.6</v>
      </c>
      <c r="O27" s="100">
        <v>0</v>
      </c>
      <c r="P27" s="100">
        <v>0.81</v>
      </c>
      <c r="Q27" s="100">
        <v>28.08</v>
      </c>
      <c r="R27" s="6"/>
      <c r="S27" s="6"/>
      <c r="T27" s="156"/>
      <c r="U27" s="6"/>
    </row>
    <row r="28" spans="1:21" customFormat="1">
      <c r="A28" s="163" t="s">
        <v>930</v>
      </c>
      <c r="B28" s="100">
        <v>2.09</v>
      </c>
      <c r="C28" s="100">
        <v>12.31</v>
      </c>
      <c r="D28" s="100">
        <v>9.4600000000000009</v>
      </c>
      <c r="E28" s="100">
        <v>7.76</v>
      </c>
      <c r="F28" s="100">
        <v>0</v>
      </c>
      <c r="G28" s="100">
        <v>51.71</v>
      </c>
      <c r="H28" s="100">
        <v>22.43</v>
      </c>
      <c r="I28" s="100">
        <v>9.43</v>
      </c>
      <c r="J28" s="100">
        <v>0.2</v>
      </c>
      <c r="K28" s="100">
        <v>172.58</v>
      </c>
      <c r="L28" s="100">
        <v>17.25</v>
      </c>
      <c r="M28" s="100">
        <v>59.45</v>
      </c>
      <c r="N28" s="100">
        <v>0.7</v>
      </c>
      <c r="O28" s="100">
        <v>0</v>
      </c>
      <c r="P28" s="100">
        <v>0.82</v>
      </c>
      <c r="Q28" s="100">
        <v>28.14</v>
      </c>
      <c r="R28" s="6"/>
      <c r="S28" s="6"/>
      <c r="T28" s="156"/>
      <c r="U28" s="6"/>
    </row>
    <row r="29" spans="1:21" customFormat="1">
      <c r="A29" s="163" t="s">
        <v>931</v>
      </c>
      <c r="B29" s="100">
        <v>3.51</v>
      </c>
      <c r="C29" s="100">
        <v>14.65</v>
      </c>
      <c r="D29" s="100">
        <v>11.82</v>
      </c>
      <c r="E29" s="100">
        <v>8.1300000000000008</v>
      </c>
      <c r="F29" s="100">
        <v>0</v>
      </c>
      <c r="G29" s="100">
        <v>57.44</v>
      </c>
      <c r="H29" s="100">
        <v>23.22</v>
      </c>
      <c r="I29" s="100">
        <v>9.49</v>
      </c>
      <c r="J29" s="100">
        <v>0.24</v>
      </c>
      <c r="K29" s="100">
        <v>165.63</v>
      </c>
      <c r="L29" s="100">
        <v>16.79</v>
      </c>
      <c r="M29" s="100">
        <v>61.86</v>
      </c>
      <c r="N29" s="100">
        <v>1</v>
      </c>
      <c r="O29" s="100">
        <v>0</v>
      </c>
      <c r="P29" s="100">
        <v>0.84</v>
      </c>
      <c r="Q29" s="100">
        <v>28.22</v>
      </c>
      <c r="R29" s="6"/>
      <c r="S29" s="6"/>
      <c r="T29" s="156"/>
      <c r="U29" s="6"/>
    </row>
    <row r="30" spans="1:21" customFormat="1">
      <c r="A30" s="163" t="s">
        <v>932</v>
      </c>
      <c r="B30" s="100">
        <v>4.49</v>
      </c>
      <c r="C30" s="100">
        <v>15.52</v>
      </c>
      <c r="D30" s="100">
        <v>13.06</v>
      </c>
      <c r="E30" s="100">
        <v>7.92</v>
      </c>
      <c r="F30" s="100">
        <v>0</v>
      </c>
      <c r="G30" s="100">
        <v>58</v>
      </c>
      <c r="H30" s="100">
        <v>23.22</v>
      </c>
      <c r="I30" s="100">
        <v>9.59</v>
      </c>
      <c r="J30" s="100">
        <v>0.21</v>
      </c>
      <c r="K30" s="100">
        <v>125.31</v>
      </c>
      <c r="L30" s="100">
        <v>16.690000000000001</v>
      </c>
      <c r="M30" s="100">
        <v>61.13</v>
      </c>
      <c r="N30" s="100">
        <v>0.8</v>
      </c>
      <c r="O30" s="100">
        <v>0</v>
      </c>
      <c r="P30" s="100">
        <v>0.85</v>
      </c>
      <c r="Q30" s="100">
        <v>28.27</v>
      </c>
      <c r="R30" s="6"/>
      <c r="S30" s="6"/>
      <c r="T30" s="156"/>
      <c r="U30" s="6"/>
    </row>
    <row r="31" spans="1:21" customFormat="1">
      <c r="A31" s="163" t="s">
        <v>933</v>
      </c>
      <c r="B31" s="100">
        <v>5.03</v>
      </c>
      <c r="C31" s="100">
        <v>16.21</v>
      </c>
      <c r="D31" s="100">
        <v>13.85</v>
      </c>
      <c r="E31" s="100">
        <v>7.82</v>
      </c>
      <c r="F31" s="100">
        <v>0</v>
      </c>
      <c r="G31" s="100">
        <v>58</v>
      </c>
      <c r="H31" s="100">
        <v>23.22</v>
      </c>
      <c r="I31" s="100">
        <v>9.7200000000000006</v>
      </c>
      <c r="J31" s="100">
        <v>0.28000000000000003</v>
      </c>
      <c r="K31" s="100">
        <v>162.94</v>
      </c>
      <c r="L31" s="100">
        <v>16.77</v>
      </c>
      <c r="M31" s="100">
        <v>63.64</v>
      </c>
      <c r="N31" s="100">
        <v>0.9</v>
      </c>
      <c r="O31" s="100">
        <v>0</v>
      </c>
      <c r="P31" s="100">
        <v>0.86</v>
      </c>
      <c r="Q31" s="100">
        <v>28.34</v>
      </c>
      <c r="R31" s="6"/>
      <c r="S31" s="6"/>
      <c r="T31" s="156"/>
      <c r="U31" s="6"/>
    </row>
    <row r="32" spans="1:21" customFormat="1">
      <c r="A32" s="163" t="s">
        <v>934</v>
      </c>
      <c r="B32" s="100">
        <v>6.67</v>
      </c>
      <c r="C32" s="100">
        <v>16.239999999999998</v>
      </c>
      <c r="D32" s="100">
        <v>15.18</v>
      </c>
      <c r="E32" s="100">
        <v>8.1300000000000008</v>
      </c>
      <c r="F32" s="100">
        <v>0</v>
      </c>
      <c r="G32" s="100">
        <v>58</v>
      </c>
      <c r="H32" s="100">
        <v>23.22</v>
      </c>
      <c r="I32" s="100">
        <v>9.86</v>
      </c>
      <c r="J32" s="100">
        <v>0.25</v>
      </c>
      <c r="K32" s="100">
        <v>170.43</v>
      </c>
      <c r="L32" s="100">
        <v>16.37</v>
      </c>
      <c r="M32" s="100">
        <v>64.069999999999993</v>
      </c>
      <c r="N32" s="100">
        <v>1.1000000000000001</v>
      </c>
      <c r="O32" s="100">
        <v>0</v>
      </c>
      <c r="P32" s="100">
        <v>0.88</v>
      </c>
      <c r="Q32" s="100">
        <v>28.36</v>
      </c>
      <c r="R32" s="6"/>
      <c r="S32" s="6"/>
      <c r="T32" s="156"/>
      <c r="U32" s="6"/>
    </row>
    <row r="33" spans="1:21" customFormat="1">
      <c r="A33" s="163" t="s">
        <v>935</v>
      </c>
      <c r="B33" s="100">
        <v>8.77</v>
      </c>
      <c r="C33" s="100">
        <v>15.84</v>
      </c>
      <c r="D33" s="100">
        <v>16.66</v>
      </c>
      <c r="E33" s="100">
        <v>8.15</v>
      </c>
      <c r="F33" s="100">
        <v>0</v>
      </c>
      <c r="G33" s="100">
        <v>71.58</v>
      </c>
      <c r="H33" s="100">
        <v>28.31</v>
      </c>
      <c r="I33" s="100">
        <v>10.050000000000001</v>
      </c>
      <c r="J33" s="100">
        <v>0.2</v>
      </c>
      <c r="K33" s="100">
        <v>120.51</v>
      </c>
      <c r="L33" s="100">
        <v>16.21</v>
      </c>
      <c r="M33" s="100">
        <v>62.49</v>
      </c>
      <c r="N33" s="100">
        <v>1.9</v>
      </c>
      <c r="O33" s="100">
        <v>0</v>
      </c>
      <c r="P33" s="100">
        <v>0.89</v>
      </c>
      <c r="Q33" s="100">
        <v>28.41</v>
      </c>
      <c r="R33" s="6"/>
      <c r="S33" s="6"/>
      <c r="T33" s="156"/>
      <c r="U33" s="6"/>
    </row>
    <row r="34" spans="1:21" customFormat="1">
      <c r="A34" s="163" t="s">
        <v>936</v>
      </c>
      <c r="B34" s="100">
        <v>9.14</v>
      </c>
      <c r="C34" s="100">
        <v>16.47</v>
      </c>
      <c r="D34" s="100">
        <v>17.28</v>
      </c>
      <c r="E34" s="100">
        <v>8.16</v>
      </c>
      <c r="F34" s="100">
        <v>0</v>
      </c>
      <c r="G34" s="100">
        <v>72.900000000000006</v>
      </c>
      <c r="H34" s="100">
        <v>28.31</v>
      </c>
      <c r="I34" s="100">
        <v>10.25</v>
      </c>
      <c r="J34" s="100">
        <v>0.1</v>
      </c>
      <c r="K34" s="100">
        <v>147.30000000000001</v>
      </c>
      <c r="L34" s="100">
        <v>16.72</v>
      </c>
      <c r="M34" s="100">
        <v>58.83</v>
      </c>
      <c r="N34" s="100">
        <v>5</v>
      </c>
      <c r="O34" s="100">
        <v>0</v>
      </c>
      <c r="P34" s="100">
        <v>0.91</v>
      </c>
      <c r="Q34" s="100">
        <v>28.47</v>
      </c>
      <c r="R34" s="6"/>
      <c r="S34" s="6"/>
      <c r="T34" s="156"/>
      <c r="U34" s="6"/>
    </row>
    <row r="35" spans="1:21" customFormat="1">
      <c r="A35" s="163" t="s">
        <v>937</v>
      </c>
      <c r="B35" s="100">
        <v>9.3699999999999992</v>
      </c>
      <c r="C35" s="100">
        <v>17.87</v>
      </c>
      <c r="D35" s="100">
        <v>18.2</v>
      </c>
      <c r="E35" s="100">
        <v>8.09</v>
      </c>
      <c r="F35" s="100">
        <v>0</v>
      </c>
      <c r="G35" s="100">
        <v>72.900000000000006</v>
      </c>
      <c r="H35" s="100">
        <v>28.31</v>
      </c>
      <c r="I35" s="100">
        <v>10.47</v>
      </c>
      <c r="J35" s="100">
        <v>0.14000000000000001</v>
      </c>
      <c r="K35" s="100">
        <v>204.09</v>
      </c>
      <c r="L35" s="100">
        <v>16.989999999999998</v>
      </c>
      <c r="M35" s="100">
        <v>60</v>
      </c>
      <c r="N35" s="100">
        <v>10.6</v>
      </c>
      <c r="O35" s="100">
        <v>0</v>
      </c>
      <c r="P35" s="100">
        <v>0.94</v>
      </c>
      <c r="Q35" s="100">
        <v>28.54</v>
      </c>
      <c r="R35" s="6"/>
      <c r="S35" s="6"/>
      <c r="T35" s="156"/>
      <c r="U35" s="6"/>
    </row>
    <row r="36" spans="1:21" customFormat="1">
      <c r="A36" s="163" t="s">
        <v>938</v>
      </c>
      <c r="B36" s="100">
        <v>9.44</v>
      </c>
      <c r="C36" s="100">
        <v>19.45</v>
      </c>
      <c r="D36" s="100">
        <v>19.079999999999998</v>
      </c>
      <c r="E36" s="100">
        <v>8.27</v>
      </c>
      <c r="F36" s="100">
        <v>0</v>
      </c>
      <c r="G36" s="100">
        <v>72.900000000000006</v>
      </c>
      <c r="H36" s="100">
        <v>28.31</v>
      </c>
      <c r="I36" s="100">
        <v>10.76</v>
      </c>
      <c r="J36" s="100">
        <v>0.17</v>
      </c>
      <c r="K36" s="100">
        <v>189.02</v>
      </c>
      <c r="L36" s="100">
        <v>17.05</v>
      </c>
      <c r="M36" s="100">
        <v>65.739999999999995</v>
      </c>
      <c r="N36" s="100">
        <v>16.600000000000001</v>
      </c>
      <c r="O36" s="100">
        <v>0</v>
      </c>
      <c r="P36" s="100">
        <v>0.97</v>
      </c>
      <c r="Q36" s="100">
        <v>28.62</v>
      </c>
      <c r="R36" s="6"/>
      <c r="S36" s="6"/>
      <c r="T36" s="156"/>
      <c r="U36" s="6"/>
    </row>
    <row r="37" spans="1:21" customFormat="1">
      <c r="A37" s="163" t="s">
        <v>939</v>
      </c>
      <c r="B37" s="100">
        <v>9.7100000000000009</v>
      </c>
      <c r="C37" s="100">
        <v>20.02</v>
      </c>
      <c r="D37" s="100">
        <v>19.600000000000001</v>
      </c>
      <c r="E37" s="100">
        <v>8.19</v>
      </c>
      <c r="F37" s="100">
        <v>0</v>
      </c>
      <c r="G37" s="100">
        <v>99.85</v>
      </c>
      <c r="H37" s="100">
        <v>40.299999999999997</v>
      </c>
      <c r="I37" s="100">
        <v>11.1</v>
      </c>
      <c r="J37" s="100">
        <v>0.34</v>
      </c>
      <c r="K37" s="100">
        <v>175.96</v>
      </c>
      <c r="L37" s="100">
        <v>17.39</v>
      </c>
      <c r="M37" s="100">
        <v>63.53</v>
      </c>
      <c r="N37" s="100">
        <v>21.5</v>
      </c>
      <c r="O37" s="100">
        <v>0</v>
      </c>
      <c r="P37" s="100">
        <v>0.98</v>
      </c>
      <c r="Q37" s="100">
        <v>28.66</v>
      </c>
      <c r="R37" s="6"/>
      <c r="S37" s="6"/>
      <c r="T37" s="156"/>
      <c r="U37" s="6"/>
    </row>
    <row r="38" spans="1:21" customFormat="1">
      <c r="A38" s="163" t="s">
        <v>940</v>
      </c>
      <c r="B38" s="100">
        <v>9.58</v>
      </c>
      <c r="C38" s="100">
        <v>20.32</v>
      </c>
      <c r="D38" s="100">
        <v>19.649999999999999</v>
      </c>
      <c r="E38" s="100">
        <v>8.2799999999999994</v>
      </c>
      <c r="F38" s="100">
        <v>0</v>
      </c>
      <c r="G38" s="100">
        <v>102.48</v>
      </c>
      <c r="H38" s="100">
        <v>40.299999999999997</v>
      </c>
      <c r="I38" s="100">
        <v>11.46</v>
      </c>
      <c r="J38" s="100">
        <v>0.41</v>
      </c>
      <c r="K38" s="100">
        <v>167.74</v>
      </c>
      <c r="L38" s="100">
        <v>18.350000000000001</v>
      </c>
      <c r="M38" s="100">
        <v>58.01</v>
      </c>
      <c r="N38" s="100">
        <v>26.4</v>
      </c>
      <c r="O38" s="100">
        <v>0</v>
      </c>
      <c r="P38" s="100">
        <v>1</v>
      </c>
      <c r="Q38" s="100">
        <v>28.69</v>
      </c>
      <c r="R38" s="6"/>
      <c r="S38" s="6"/>
      <c r="T38" s="156"/>
      <c r="U38" s="6"/>
    </row>
    <row r="39" spans="1:21" customFormat="1">
      <c r="A39" s="163" t="s">
        <v>941</v>
      </c>
      <c r="B39" s="100">
        <v>9.2899999999999991</v>
      </c>
      <c r="C39" s="100">
        <v>20.62</v>
      </c>
      <c r="D39" s="100">
        <v>19.57</v>
      </c>
      <c r="E39" s="100">
        <v>8.25</v>
      </c>
      <c r="F39" s="100">
        <v>0</v>
      </c>
      <c r="G39" s="100">
        <v>102.48</v>
      </c>
      <c r="H39" s="100">
        <v>40.299999999999997</v>
      </c>
      <c r="I39" s="100">
        <v>11.76</v>
      </c>
      <c r="J39" s="100">
        <v>7.0000000000000007E-2</v>
      </c>
      <c r="K39" s="100">
        <v>185.89</v>
      </c>
      <c r="L39" s="100">
        <v>19.43</v>
      </c>
      <c r="M39" s="100">
        <v>55.97</v>
      </c>
      <c r="N39" s="100">
        <v>32.200000000000003</v>
      </c>
      <c r="O39" s="100">
        <v>0</v>
      </c>
      <c r="P39" s="100">
        <v>1.01</v>
      </c>
      <c r="Q39" s="100">
        <v>28.69</v>
      </c>
      <c r="R39" s="6"/>
      <c r="S39" s="6"/>
      <c r="T39" s="156"/>
      <c r="U39" s="6"/>
    </row>
    <row r="40" spans="1:21" customFormat="1">
      <c r="A40" s="163" t="s">
        <v>942</v>
      </c>
      <c r="B40" s="100">
        <v>8.85</v>
      </c>
      <c r="C40" s="100">
        <v>21.12</v>
      </c>
      <c r="D40" s="100">
        <v>19.48</v>
      </c>
      <c r="E40" s="100">
        <v>8.1</v>
      </c>
      <c r="F40" s="100">
        <v>0</v>
      </c>
      <c r="G40" s="100">
        <v>102.48</v>
      </c>
      <c r="H40" s="100">
        <v>40.299999999999997</v>
      </c>
      <c r="I40" s="100">
        <v>12.06</v>
      </c>
      <c r="J40" s="100">
        <v>0.09</v>
      </c>
      <c r="K40" s="100">
        <v>216.12</v>
      </c>
      <c r="L40" s="100">
        <v>20.83</v>
      </c>
      <c r="M40" s="100">
        <v>49.16</v>
      </c>
      <c r="N40" s="100">
        <v>56.5</v>
      </c>
      <c r="O40" s="100">
        <v>0</v>
      </c>
      <c r="P40" s="100">
        <v>1.04</v>
      </c>
      <c r="Q40" s="100">
        <v>28.66</v>
      </c>
      <c r="R40" s="6"/>
      <c r="S40" s="6"/>
      <c r="T40" s="156"/>
      <c r="U40" s="6"/>
    </row>
    <row r="41" spans="1:21" customFormat="1">
      <c r="A41" s="163" t="s">
        <v>943</v>
      </c>
      <c r="B41" s="100">
        <v>9.27</v>
      </c>
      <c r="C41" s="100">
        <v>20.87</v>
      </c>
      <c r="D41" s="100">
        <v>19.68</v>
      </c>
      <c r="E41" s="100">
        <v>8.2799999999999994</v>
      </c>
      <c r="F41" s="100">
        <v>0</v>
      </c>
      <c r="G41" s="100">
        <v>109.08</v>
      </c>
      <c r="H41" s="100">
        <v>44.29</v>
      </c>
      <c r="I41" s="100">
        <v>12.37</v>
      </c>
      <c r="J41" s="100">
        <v>0.1</v>
      </c>
      <c r="K41" s="100">
        <v>118.67</v>
      </c>
      <c r="L41" s="100">
        <v>22.88</v>
      </c>
      <c r="M41" s="100">
        <v>40.36</v>
      </c>
      <c r="N41" s="100">
        <v>101</v>
      </c>
      <c r="O41" s="100">
        <v>0</v>
      </c>
      <c r="P41" s="100">
        <v>1.05</v>
      </c>
      <c r="Q41" s="100">
        <v>28.63</v>
      </c>
      <c r="R41" s="6"/>
      <c r="S41" s="6"/>
      <c r="T41" s="156"/>
      <c r="U41" s="6"/>
    </row>
    <row r="42" spans="1:21" customFormat="1">
      <c r="A42" s="163" t="s">
        <v>944</v>
      </c>
      <c r="B42" s="100">
        <v>11.13</v>
      </c>
      <c r="C42" s="100">
        <v>19.32</v>
      </c>
      <c r="D42" s="100">
        <v>20.36</v>
      </c>
      <c r="E42" s="100">
        <v>8.34</v>
      </c>
      <c r="F42" s="100">
        <v>0</v>
      </c>
      <c r="G42" s="100">
        <v>109.72</v>
      </c>
      <c r="H42" s="100">
        <v>44.29</v>
      </c>
      <c r="I42" s="100">
        <v>12.64</v>
      </c>
      <c r="J42" s="100">
        <v>0.18</v>
      </c>
      <c r="K42" s="100">
        <v>143.16</v>
      </c>
      <c r="L42" s="100">
        <v>24.56</v>
      </c>
      <c r="M42" s="100">
        <v>34.49</v>
      </c>
      <c r="N42" s="100">
        <v>201.1</v>
      </c>
      <c r="O42" s="100">
        <v>0</v>
      </c>
      <c r="P42" s="100">
        <v>1.06</v>
      </c>
      <c r="Q42" s="100">
        <v>28.58</v>
      </c>
      <c r="R42" s="6"/>
      <c r="S42" s="6"/>
      <c r="T42" s="156"/>
      <c r="U42" s="6"/>
    </row>
    <row r="43" spans="1:21" customFormat="1">
      <c r="A43" s="163" t="s">
        <v>945</v>
      </c>
      <c r="B43" s="100">
        <v>10.97</v>
      </c>
      <c r="C43" s="100">
        <v>18.899999999999999</v>
      </c>
      <c r="D43" s="100">
        <v>20.02</v>
      </c>
      <c r="E43" s="100">
        <v>8.51</v>
      </c>
      <c r="F43" s="100">
        <v>0</v>
      </c>
      <c r="G43" s="100">
        <v>109.72</v>
      </c>
      <c r="H43" s="100">
        <v>44.29</v>
      </c>
      <c r="I43" s="100">
        <v>12.84</v>
      </c>
      <c r="J43" s="100">
        <v>0.11</v>
      </c>
      <c r="K43" s="100">
        <v>298.26</v>
      </c>
      <c r="L43" s="100">
        <v>25.76</v>
      </c>
      <c r="M43" s="100">
        <v>31.98</v>
      </c>
      <c r="N43" s="100">
        <v>251.6</v>
      </c>
      <c r="O43" s="100">
        <v>0</v>
      </c>
      <c r="P43" s="100">
        <v>1.06</v>
      </c>
      <c r="Q43" s="100">
        <v>28.55</v>
      </c>
      <c r="R43" s="6"/>
      <c r="S43" s="6"/>
      <c r="T43" s="156"/>
      <c r="U43" s="6"/>
    </row>
    <row r="44" spans="1:21" customFormat="1">
      <c r="A44" s="163" t="s">
        <v>946</v>
      </c>
      <c r="B44" s="100">
        <v>10.38</v>
      </c>
      <c r="C44" s="100">
        <v>18.45</v>
      </c>
      <c r="D44" s="100">
        <v>19.32</v>
      </c>
      <c r="E44" s="100">
        <v>8.65</v>
      </c>
      <c r="F44" s="100">
        <v>0</v>
      </c>
      <c r="G44" s="100">
        <v>109.72</v>
      </c>
      <c r="H44" s="100">
        <v>44.29</v>
      </c>
      <c r="I44" s="100">
        <v>12.96</v>
      </c>
      <c r="J44" s="100">
        <v>0.18</v>
      </c>
      <c r="K44" s="100">
        <v>278.70999999999998</v>
      </c>
      <c r="L44" s="100">
        <v>26.85</v>
      </c>
      <c r="M44" s="100">
        <v>29.93</v>
      </c>
      <c r="N44" s="100">
        <v>259.2</v>
      </c>
      <c r="O44" s="100">
        <v>0</v>
      </c>
      <c r="P44" s="100">
        <v>1.06</v>
      </c>
      <c r="Q44" s="100">
        <v>28.54</v>
      </c>
      <c r="R44" s="6"/>
      <c r="S44" s="6"/>
      <c r="T44" s="156"/>
      <c r="U44" s="6"/>
    </row>
    <row r="45" spans="1:21" customFormat="1">
      <c r="A45" s="163" t="s">
        <v>947</v>
      </c>
      <c r="B45" s="100">
        <v>9.9700000000000006</v>
      </c>
      <c r="C45" s="100">
        <v>18.16</v>
      </c>
      <c r="D45" s="100">
        <v>18.84</v>
      </c>
      <c r="E45" s="100">
        <v>8.2899999999999991</v>
      </c>
      <c r="F45" s="100">
        <v>0</v>
      </c>
      <c r="G45" s="100">
        <v>114.64</v>
      </c>
      <c r="H45" s="100">
        <v>46.09</v>
      </c>
      <c r="I45" s="100">
        <v>13.01</v>
      </c>
      <c r="J45" s="100">
        <v>0.08</v>
      </c>
      <c r="K45" s="100">
        <v>271.83</v>
      </c>
      <c r="L45" s="100">
        <v>28.27</v>
      </c>
      <c r="M45" s="100">
        <v>27.49</v>
      </c>
      <c r="N45" s="100">
        <v>209</v>
      </c>
      <c r="O45" s="100">
        <v>0</v>
      </c>
      <c r="P45" s="100">
        <v>1.05</v>
      </c>
      <c r="Q45" s="100">
        <v>28.49</v>
      </c>
      <c r="R45" s="6"/>
      <c r="S45" s="6"/>
      <c r="T45" s="156"/>
      <c r="U45" s="6"/>
    </row>
    <row r="46" spans="1:21" customFormat="1">
      <c r="A46" s="163" t="s">
        <v>948</v>
      </c>
      <c r="B46" s="100">
        <v>6.97</v>
      </c>
      <c r="C46" s="100">
        <v>19.52</v>
      </c>
      <c r="D46" s="100">
        <v>17.14</v>
      </c>
      <c r="E46" s="100">
        <v>8.84</v>
      </c>
      <c r="F46" s="100">
        <v>0</v>
      </c>
      <c r="G46" s="100">
        <v>115.12</v>
      </c>
      <c r="H46" s="100">
        <v>46.09</v>
      </c>
      <c r="I46" s="100">
        <v>13</v>
      </c>
      <c r="J46" s="100">
        <v>0.41</v>
      </c>
      <c r="K46" s="100">
        <v>74.77</v>
      </c>
      <c r="L46" s="100">
        <v>29.48</v>
      </c>
      <c r="M46" s="100">
        <v>21.98</v>
      </c>
      <c r="N46" s="100">
        <v>297.2</v>
      </c>
      <c r="O46" s="100">
        <v>0</v>
      </c>
      <c r="P46" s="100">
        <v>1.04</v>
      </c>
      <c r="Q46" s="100">
        <v>28.43</v>
      </c>
      <c r="R46" s="6"/>
      <c r="S46" s="6"/>
      <c r="T46" s="156"/>
      <c r="U46" s="6"/>
    </row>
    <row r="47" spans="1:21" customFormat="1">
      <c r="A47" s="163" t="s">
        <v>949</v>
      </c>
      <c r="B47" s="100">
        <v>4.54</v>
      </c>
      <c r="C47" s="100">
        <v>20.59</v>
      </c>
      <c r="D47" s="100">
        <v>15.75</v>
      </c>
      <c r="E47" s="100">
        <v>8.7100000000000009</v>
      </c>
      <c r="F47" s="100">
        <v>0</v>
      </c>
      <c r="G47" s="100">
        <v>115.12</v>
      </c>
      <c r="H47" s="100">
        <v>46.09</v>
      </c>
      <c r="I47" s="100">
        <v>12.99</v>
      </c>
      <c r="J47" s="100">
        <v>0.26</v>
      </c>
      <c r="K47" s="100">
        <v>5.52</v>
      </c>
      <c r="L47" s="100">
        <v>30.63</v>
      </c>
      <c r="M47" s="100">
        <v>19.97</v>
      </c>
      <c r="N47" s="100">
        <v>307.5</v>
      </c>
      <c r="O47" s="100">
        <v>0</v>
      </c>
      <c r="P47" s="100">
        <v>1.03</v>
      </c>
      <c r="Q47" s="100">
        <v>28.36</v>
      </c>
      <c r="R47" s="6"/>
      <c r="S47" s="6"/>
      <c r="T47" s="156"/>
      <c r="U47" s="6"/>
    </row>
    <row r="48" spans="1:21" customFormat="1">
      <c r="A48" s="163" t="s">
        <v>950</v>
      </c>
      <c r="B48" s="100">
        <v>4.5</v>
      </c>
      <c r="C48" s="100">
        <v>20</v>
      </c>
      <c r="D48" s="100">
        <v>15.41</v>
      </c>
      <c r="E48" s="100">
        <v>8.6300000000000008</v>
      </c>
      <c r="F48" s="100">
        <v>0</v>
      </c>
      <c r="G48" s="100">
        <v>115.12</v>
      </c>
      <c r="H48" s="100">
        <v>46.09</v>
      </c>
      <c r="I48" s="100">
        <v>12.88</v>
      </c>
      <c r="J48" s="100">
        <v>0.22</v>
      </c>
      <c r="K48" s="100">
        <v>125.7</v>
      </c>
      <c r="L48" s="100">
        <v>31.72</v>
      </c>
      <c r="M48" s="100">
        <v>18.25</v>
      </c>
      <c r="N48" s="100">
        <v>317.60000000000002</v>
      </c>
      <c r="O48" s="100">
        <v>0</v>
      </c>
      <c r="P48" s="100">
        <v>1</v>
      </c>
      <c r="Q48" s="100">
        <v>28.29</v>
      </c>
      <c r="R48" s="6"/>
      <c r="S48" s="6"/>
      <c r="T48" s="156"/>
      <c r="U48" s="6"/>
    </row>
    <row r="49" spans="1:21" customFormat="1">
      <c r="A49" s="163" t="s">
        <v>951</v>
      </c>
      <c r="B49" s="100">
        <v>2.61</v>
      </c>
      <c r="C49" s="100">
        <v>20.13</v>
      </c>
      <c r="D49" s="100">
        <v>13.96</v>
      </c>
      <c r="E49" s="100">
        <v>8.52</v>
      </c>
      <c r="F49" s="100">
        <v>0</v>
      </c>
      <c r="G49" s="100">
        <v>103.32</v>
      </c>
      <c r="H49" s="100">
        <v>38.31</v>
      </c>
      <c r="I49" s="100">
        <v>12.65</v>
      </c>
      <c r="J49" s="100">
        <v>0.45</v>
      </c>
      <c r="K49" s="100">
        <v>287.61</v>
      </c>
      <c r="L49" s="100">
        <v>31.71</v>
      </c>
      <c r="M49" s="100">
        <v>16.63</v>
      </c>
      <c r="N49" s="100">
        <v>271.5</v>
      </c>
      <c r="O49" s="100">
        <v>0</v>
      </c>
      <c r="P49" s="100">
        <v>0.96</v>
      </c>
      <c r="Q49" s="100">
        <v>28.21</v>
      </c>
      <c r="R49" s="6"/>
      <c r="S49" s="6"/>
      <c r="T49" s="156"/>
      <c r="U49" s="6"/>
    </row>
    <row r="50" spans="1:21" customFormat="1">
      <c r="A50" s="163" t="s">
        <v>952</v>
      </c>
      <c r="B50" s="100">
        <v>2</v>
      </c>
      <c r="C50" s="100">
        <v>18.690000000000001</v>
      </c>
      <c r="D50" s="100">
        <v>12.72</v>
      </c>
      <c r="E50" s="100">
        <v>9.68</v>
      </c>
      <c r="F50" s="100">
        <v>0</v>
      </c>
      <c r="G50" s="100">
        <v>102.16</v>
      </c>
      <c r="H50" s="100">
        <v>38.31</v>
      </c>
      <c r="I50" s="100">
        <v>12.42</v>
      </c>
      <c r="J50" s="100">
        <v>0.51</v>
      </c>
      <c r="K50" s="100">
        <v>289.42</v>
      </c>
      <c r="L50" s="100">
        <v>32.049999999999997</v>
      </c>
      <c r="M50" s="100">
        <v>16.36</v>
      </c>
      <c r="N50" s="100">
        <v>248.3</v>
      </c>
      <c r="O50" s="100">
        <v>0</v>
      </c>
      <c r="P50" s="100">
        <v>0.94</v>
      </c>
      <c r="Q50" s="100">
        <v>28.14</v>
      </c>
      <c r="R50" s="6"/>
      <c r="S50" s="6"/>
      <c r="T50" s="156"/>
      <c r="U50" s="6"/>
    </row>
    <row r="51" spans="1:21" customFormat="1">
      <c r="A51" s="163" t="s">
        <v>953</v>
      </c>
      <c r="B51" s="100">
        <v>2</v>
      </c>
      <c r="C51" s="100">
        <v>18.100000000000001</v>
      </c>
      <c r="D51" s="100">
        <v>12.41</v>
      </c>
      <c r="E51" s="100">
        <v>10.09</v>
      </c>
      <c r="F51" s="100">
        <v>0</v>
      </c>
      <c r="G51" s="100">
        <v>102.16</v>
      </c>
      <c r="H51" s="100">
        <v>38.31</v>
      </c>
      <c r="I51" s="100">
        <v>12.13</v>
      </c>
      <c r="J51" s="100">
        <v>0.56000000000000005</v>
      </c>
      <c r="K51" s="100">
        <v>264.32</v>
      </c>
      <c r="L51" s="100">
        <v>32.630000000000003</v>
      </c>
      <c r="M51" s="100">
        <v>16.13</v>
      </c>
      <c r="N51" s="100">
        <v>333.3</v>
      </c>
      <c r="O51" s="100">
        <v>0</v>
      </c>
      <c r="P51" s="100">
        <v>0.9</v>
      </c>
      <c r="Q51" s="100">
        <v>28.1</v>
      </c>
      <c r="R51" s="6"/>
      <c r="S51" s="6"/>
      <c r="T51" s="156"/>
      <c r="U51" s="6"/>
    </row>
    <row r="52" spans="1:21" customFormat="1">
      <c r="A52" s="163" t="s">
        <v>954</v>
      </c>
      <c r="B52" s="100">
        <v>2</v>
      </c>
      <c r="C52" s="100">
        <v>15.43</v>
      </c>
      <c r="D52" s="100">
        <v>11.02</v>
      </c>
      <c r="E52" s="100">
        <v>9.6999999999999993</v>
      </c>
      <c r="F52" s="100">
        <v>0</v>
      </c>
      <c r="G52" s="100">
        <v>102.16</v>
      </c>
      <c r="H52" s="100">
        <v>38.31</v>
      </c>
      <c r="I52" s="100">
        <v>11.73</v>
      </c>
      <c r="J52" s="100">
        <v>0.25</v>
      </c>
      <c r="K52" s="100">
        <v>280.19</v>
      </c>
      <c r="L52" s="100">
        <v>33.479999999999997</v>
      </c>
      <c r="M52" s="100">
        <v>15.79</v>
      </c>
      <c r="N52" s="100">
        <v>332</v>
      </c>
      <c r="O52" s="100">
        <v>0</v>
      </c>
      <c r="P52" s="100">
        <v>0.89</v>
      </c>
      <c r="Q52" s="100">
        <v>28.05</v>
      </c>
      <c r="R52" s="6"/>
      <c r="S52" s="6"/>
      <c r="T52" s="156"/>
      <c r="U52" s="6"/>
    </row>
    <row r="53" spans="1:21" customFormat="1">
      <c r="A53" s="163" t="s">
        <v>955</v>
      </c>
      <c r="B53" s="100">
        <v>2</v>
      </c>
      <c r="C53" s="100">
        <v>13.43</v>
      </c>
      <c r="D53" s="100">
        <v>9.9700000000000006</v>
      </c>
      <c r="E53" s="100">
        <v>10.130000000000001</v>
      </c>
      <c r="F53" s="100">
        <v>0</v>
      </c>
      <c r="G53" s="100">
        <v>79.63</v>
      </c>
      <c r="H53" s="100">
        <v>27.27</v>
      </c>
      <c r="I53" s="100">
        <v>11.36</v>
      </c>
      <c r="J53" s="100">
        <v>0.21</v>
      </c>
      <c r="K53" s="100">
        <v>110.13</v>
      </c>
      <c r="L53" s="100">
        <v>33.86</v>
      </c>
      <c r="M53" s="100">
        <v>15.5</v>
      </c>
      <c r="N53" s="100">
        <v>331.6</v>
      </c>
      <c r="O53" s="100">
        <v>0</v>
      </c>
      <c r="P53" s="100">
        <v>0.85</v>
      </c>
      <c r="Q53" s="100">
        <v>28.04</v>
      </c>
      <c r="R53" s="6"/>
      <c r="S53" s="6"/>
      <c r="T53" s="156"/>
      <c r="U53" s="6"/>
    </row>
    <row r="54" spans="1:21" customFormat="1">
      <c r="A54" s="163" t="s">
        <v>956</v>
      </c>
      <c r="B54" s="100">
        <v>2</v>
      </c>
      <c r="C54" s="100">
        <v>11.5</v>
      </c>
      <c r="D54" s="100">
        <v>8.9600000000000009</v>
      </c>
      <c r="E54" s="100">
        <v>10.66</v>
      </c>
      <c r="F54" s="100">
        <v>0</v>
      </c>
      <c r="G54" s="100">
        <v>77.430000000000007</v>
      </c>
      <c r="H54" s="100">
        <v>27.27</v>
      </c>
      <c r="I54" s="100">
        <v>11.01</v>
      </c>
      <c r="J54" s="100">
        <v>0.65</v>
      </c>
      <c r="K54" s="100">
        <v>266.38</v>
      </c>
      <c r="L54" s="100">
        <v>34.18</v>
      </c>
      <c r="M54" s="100">
        <v>15.57</v>
      </c>
      <c r="N54" s="100">
        <v>307.3</v>
      </c>
      <c r="O54" s="100">
        <v>0</v>
      </c>
      <c r="P54" s="100">
        <v>0.83</v>
      </c>
      <c r="Q54" s="100">
        <v>28.02</v>
      </c>
      <c r="R54" s="6"/>
      <c r="S54" s="6"/>
      <c r="T54" s="156"/>
      <c r="U54" s="6"/>
    </row>
    <row r="55" spans="1:21" customFormat="1">
      <c r="A55" s="163" t="s">
        <v>957</v>
      </c>
      <c r="B55" s="100">
        <v>2</v>
      </c>
      <c r="C55" s="100">
        <v>12.99</v>
      </c>
      <c r="D55" s="100">
        <v>9.74</v>
      </c>
      <c r="E55" s="100">
        <v>11.96</v>
      </c>
      <c r="F55" s="100">
        <v>0</v>
      </c>
      <c r="G55" s="100">
        <v>77.430000000000007</v>
      </c>
      <c r="H55" s="100">
        <v>27.27</v>
      </c>
      <c r="I55" s="100">
        <v>10.65</v>
      </c>
      <c r="J55" s="100">
        <v>0.59</v>
      </c>
      <c r="K55" s="100">
        <v>348.97</v>
      </c>
      <c r="L55" s="100">
        <v>33.85</v>
      </c>
      <c r="M55" s="100">
        <v>14.82</v>
      </c>
      <c r="N55" s="100">
        <v>299.3</v>
      </c>
      <c r="O55" s="100">
        <v>0</v>
      </c>
      <c r="P55" s="100">
        <v>0.82</v>
      </c>
      <c r="Q55" s="100">
        <v>28</v>
      </c>
      <c r="R55" s="6"/>
      <c r="S55" s="6"/>
      <c r="T55" s="156"/>
      <c r="U55" s="6"/>
    </row>
    <row r="56" spans="1:21" customFormat="1">
      <c r="A56" s="163" t="s">
        <v>958</v>
      </c>
      <c r="B56" s="100">
        <v>2</v>
      </c>
      <c r="C56" s="100">
        <v>11.1</v>
      </c>
      <c r="D56" s="100">
        <v>8.75</v>
      </c>
      <c r="E56" s="100">
        <v>16.72</v>
      </c>
      <c r="F56" s="100">
        <v>0</v>
      </c>
      <c r="G56" s="100">
        <v>77.430000000000007</v>
      </c>
      <c r="H56" s="100">
        <v>27.27</v>
      </c>
      <c r="I56" s="100">
        <v>10.38</v>
      </c>
      <c r="J56" s="100">
        <v>0.42</v>
      </c>
      <c r="K56" s="100">
        <v>294.45999999999998</v>
      </c>
      <c r="L56" s="100">
        <v>34.26</v>
      </c>
      <c r="M56" s="100">
        <v>15.29</v>
      </c>
      <c r="N56" s="100">
        <v>304</v>
      </c>
      <c r="O56" s="100">
        <v>0</v>
      </c>
      <c r="P56" s="100">
        <v>0.82</v>
      </c>
      <c r="Q56" s="100">
        <v>28.01</v>
      </c>
      <c r="R56" s="6"/>
      <c r="S56" s="6"/>
      <c r="T56" s="156"/>
      <c r="U56" s="6"/>
    </row>
    <row r="57" spans="1:21" customFormat="1">
      <c r="A57" s="163" t="s">
        <v>959</v>
      </c>
      <c r="B57" s="100">
        <v>2</v>
      </c>
      <c r="C57" s="100">
        <v>9.7899999999999991</v>
      </c>
      <c r="D57" s="100">
        <v>8.07</v>
      </c>
      <c r="E57" s="100">
        <v>16.28</v>
      </c>
      <c r="F57" s="100">
        <v>0</v>
      </c>
      <c r="G57" s="100">
        <v>71.44</v>
      </c>
      <c r="H57" s="100">
        <v>30.14</v>
      </c>
      <c r="I57" s="100">
        <v>10.19</v>
      </c>
      <c r="J57" s="100">
        <v>0.79</v>
      </c>
      <c r="K57" s="100">
        <v>304.25</v>
      </c>
      <c r="L57" s="100">
        <v>34.380000000000003</v>
      </c>
      <c r="M57" s="100">
        <v>15.47</v>
      </c>
      <c r="N57" s="100">
        <v>319.8</v>
      </c>
      <c r="O57" s="100">
        <v>0</v>
      </c>
      <c r="P57" s="100">
        <v>0.83</v>
      </c>
      <c r="Q57" s="100">
        <v>28</v>
      </c>
      <c r="R57" s="6"/>
      <c r="S57" s="6"/>
      <c r="T57" s="156"/>
      <c r="U57" s="6"/>
    </row>
    <row r="58" spans="1:21" customFormat="1">
      <c r="A58" s="163" t="s">
        <v>960</v>
      </c>
      <c r="B58" s="100">
        <v>2</v>
      </c>
      <c r="C58" s="100">
        <v>9.3800000000000008</v>
      </c>
      <c r="D58" s="100">
        <v>7.85</v>
      </c>
      <c r="E58" s="100">
        <v>13.96</v>
      </c>
      <c r="F58" s="100">
        <v>0</v>
      </c>
      <c r="G58" s="100">
        <v>70.86</v>
      </c>
      <c r="H58" s="100">
        <v>30.14</v>
      </c>
      <c r="I58" s="100">
        <v>10.07</v>
      </c>
      <c r="J58" s="100">
        <v>0.89</v>
      </c>
      <c r="K58" s="100">
        <v>299.51</v>
      </c>
      <c r="L58" s="100">
        <v>34.659999999999997</v>
      </c>
      <c r="M58" s="100">
        <v>15.32</v>
      </c>
      <c r="N58" s="100">
        <v>328.4</v>
      </c>
      <c r="O58" s="100">
        <v>0</v>
      </c>
      <c r="P58" s="100">
        <v>0.82</v>
      </c>
      <c r="Q58" s="100">
        <v>28</v>
      </c>
      <c r="R58" s="6"/>
      <c r="S58" s="6"/>
      <c r="T58" s="156"/>
      <c r="U58" s="6"/>
    </row>
    <row r="59" spans="1:21" customFormat="1">
      <c r="A59" s="163" t="s">
        <v>961</v>
      </c>
      <c r="B59" s="100">
        <v>2</v>
      </c>
      <c r="C59" s="100">
        <v>10.52</v>
      </c>
      <c r="D59" s="100">
        <v>8.4499999999999993</v>
      </c>
      <c r="E59" s="100">
        <v>12.58</v>
      </c>
      <c r="F59" s="100">
        <v>0</v>
      </c>
      <c r="G59" s="100">
        <v>70.86</v>
      </c>
      <c r="H59" s="100">
        <v>30.14</v>
      </c>
      <c r="I59" s="100">
        <v>10.039999999999999</v>
      </c>
      <c r="J59" s="100">
        <v>0.83</v>
      </c>
      <c r="K59" s="100">
        <v>289.45</v>
      </c>
      <c r="L59" s="100">
        <v>34.590000000000003</v>
      </c>
      <c r="M59" s="100">
        <v>14.08</v>
      </c>
      <c r="N59" s="100">
        <v>341.5</v>
      </c>
      <c r="O59" s="100">
        <v>0</v>
      </c>
      <c r="P59" s="100">
        <v>0.8</v>
      </c>
      <c r="Q59" s="100">
        <v>28.01</v>
      </c>
      <c r="R59" s="6"/>
      <c r="S59" s="6"/>
      <c r="T59" s="156"/>
      <c r="U59" s="6"/>
    </row>
    <row r="60" spans="1:21" customFormat="1">
      <c r="A60" s="163" t="s">
        <v>962</v>
      </c>
      <c r="B60" s="100">
        <v>2</v>
      </c>
      <c r="C60" s="100">
        <v>11.4</v>
      </c>
      <c r="D60" s="100">
        <v>8.91</v>
      </c>
      <c r="E60" s="100">
        <v>11.89</v>
      </c>
      <c r="F60" s="100">
        <v>0</v>
      </c>
      <c r="G60" s="100">
        <v>70.86</v>
      </c>
      <c r="H60" s="100">
        <v>30.14</v>
      </c>
      <c r="I60" s="100">
        <v>9.93</v>
      </c>
      <c r="J60" s="100">
        <v>0.65</v>
      </c>
      <c r="K60" s="100">
        <v>304.35000000000002</v>
      </c>
      <c r="L60" s="100">
        <v>34.89</v>
      </c>
      <c r="M60" s="100">
        <v>13.08</v>
      </c>
      <c r="N60" s="100">
        <v>347.4</v>
      </c>
      <c r="O60" s="100">
        <v>0</v>
      </c>
      <c r="P60" s="100">
        <v>0.76</v>
      </c>
      <c r="Q60" s="100">
        <v>28</v>
      </c>
      <c r="R60" s="6"/>
      <c r="S60" s="6"/>
      <c r="T60" s="156"/>
      <c r="U60" s="6"/>
    </row>
    <row r="61" spans="1:21" customFormat="1">
      <c r="A61" s="163" t="s">
        <v>963</v>
      </c>
      <c r="B61" s="100">
        <v>2</v>
      </c>
      <c r="C61" s="100">
        <v>12.83</v>
      </c>
      <c r="D61" s="100">
        <v>9.66</v>
      </c>
      <c r="E61" s="100">
        <v>12.61</v>
      </c>
      <c r="F61" s="100">
        <v>0</v>
      </c>
      <c r="G61" s="100">
        <v>78.47</v>
      </c>
      <c r="H61" s="100">
        <v>28.57</v>
      </c>
      <c r="I61" s="100">
        <v>9.74</v>
      </c>
      <c r="J61" s="100">
        <v>0.75</v>
      </c>
      <c r="K61" s="100">
        <v>31.02</v>
      </c>
      <c r="L61" s="100">
        <v>35.04</v>
      </c>
      <c r="M61" s="100">
        <v>12.31</v>
      </c>
      <c r="N61" s="100">
        <v>343.5</v>
      </c>
      <c r="O61" s="100">
        <v>0</v>
      </c>
      <c r="P61" s="100">
        <v>0.72</v>
      </c>
      <c r="Q61" s="100">
        <v>28.01</v>
      </c>
      <c r="R61" s="6"/>
      <c r="S61" s="6"/>
      <c r="T61" s="156"/>
      <c r="U61" s="6"/>
    </row>
    <row r="62" spans="1:21" customFormat="1">
      <c r="A62" s="163" t="s">
        <v>964</v>
      </c>
      <c r="B62" s="100">
        <v>2.54</v>
      </c>
      <c r="C62" s="100">
        <v>13.71</v>
      </c>
      <c r="D62" s="100">
        <v>10.55</v>
      </c>
      <c r="E62" s="100">
        <v>11.25</v>
      </c>
      <c r="F62" s="100">
        <v>0</v>
      </c>
      <c r="G62" s="100">
        <v>79.22</v>
      </c>
      <c r="H62" s="100">
        <v>28.57</v>
      </c>
      <c r="I62" s="100">
        <v>9.2100000000000009</v>
      </c>
      <c r="J62" s="100">
        <v>0.61</v>
      </c>
      <c r="K62" s="100">
        <v>1.1399999999999999</v>
      </c>
      <c r="L62" s="100">
        <v>35.54</v>
      </c>
      <c r="M62" s="100">
        <v>12.29</v>
      </c>
      <c r="N62" s="100">
        <v>328.2</v>
      </c>
      <c r="O62" s="100">
        <v>0</v>
      </c>
      <c r="P62" s="100">
        <v>0.73</v>
      </c>
      <c r="Q62" s="100">
        <v>28.01</v>
      </c>
      <c r="R62" s="6"/>
      <c r="S62" s="6"/>
      <c r="T62" s="156"/>
      <c r="U62" s="6"/>
    </row>
    <row r="63" spans="1:21" customFormat="1">
      <c r="A63" s="163" t="s">
        <v>965</v>
      </c>
      <c r="B63" s="100">
        <v>4.63</v>
      </c>
      <c r="C63" s="100">
        <v>13.61</v>
      </c>
      <c r="D63" s="100">
        <v>12.17</v>
      </c>
      <c r="E63" s="100">
        <v>11.74</v>
      </c>
      <c r="F63" s="100">
        <v>0</v>
      </c>
      <c r="G63" s="100">
        <v>79.22</v>
      </c>
      <c r="H63" s="100">
        <v>28.57</v>
      </c>
      <c r="I63" s="100">
        <v>8.67</v>
      </c>
      <c r="J63" s="100">
        <v>0.63</v>
      </c>
      <c r="K63" s="100">
        <v>357.44</v>
      </c>
      <c r="L63" s="100">
        <v>35.39</v>
      </c>
      <c r="M63" s="100">
        <v>12.05</v>
      </c>
      <c r="N63" s="100">
        <v>335.2</v>
      </c>
      <c r="O63" s="100">
        <v>0</v>
      </c>
      <c r="P63" s="100">
        <v>0.68</v>
      </c>
      <c r="Q63" s="100">
        <v>28</v>
      </c>
      <c r="R63" s="6"/>
      <c r="S63" s="6"/>
      <c r="T63" s="156"/>
      <c r="U63" s="6"/>
    </row>
    <row r="64" spans="1:21" customFormat="1">
      <c r="A64" s="163" t="s">
        <v>966</v>
      </c>
      <c r="B64" s="100">
        <v>3.02</v>
      </c>
      <c r="C64" s="100">
        <v>12.57</v>
      </c>
      <c r="D64" s="100">
        <v>10.34</v>
      </c>
      <c r="E64" s="100">
        <v>10.86</v>
      </c>
      <c r="F64" s="100">
        <v>0</v>
      </c>
      <c r="G64" s="100">
        <v>79.22</v>
      </c>
      <c r="H64" s="100">
        <v>28.57</v>
      </c>
      <c r="I64" s="100">
        <v>8.5</v>
      </c>
      <c r="J64" s="100">
        <v>1.1399999999999999</v>
      </c>
      <c r="K64" s="100">
        <v>301.54000000000002</v>
      </c>
      <c r="L64" s="100">
        <v>35.14</v>
      </c>
      <c r="M64" s="100">
        <v>12.35</v>
      </c>
      <c r="N64" s="100">
        <v>361.5</v>
      </c>
      <c r="O64" s="100">
        <v>0</v>
      </c>
      <c r="P64" s="100">
        <v>0.68</v>
      </c>
      <c r="Q64" s="100">
        <v>28.01</v>
      </c>
      <c r="R64" s="6"/>
      <c r="S64" s="6"/>
      <c r="T64" s="156"/>
      <c r="U64" s="6"/>
    </row>
    <row r="65" spans="1:21" customFormat="1">
      <c r="A65" s="163" t="s">
        <v>967</v>
      </c>
      <c r="B65" s="100">
        <v>2</v>
      </c>
      <c r="C65" s="100">
        <v>7.85</v>
      </c>
      <c r="D65" s="100">
        <v>7.06</v>
      </c>
      <c r="E65" s="100">
        <v>10.53</v>
      </c>
      <c r="F65" s="100">
        <v>0</v>
      </c>
      <c r="G65" s="100">
        <v>69.08</v>
      </c>
      <c r="H65" s="100">
        <v>25.86</v>
      </c>
      <c r="I65" s="100">
        <v>8.27</v>
      </c>
      <c r="J65" s="100">
        <v>0.4</v>
      </c>
      <c r="K65" s="100">
        <v>306.23</v>
      </c>
      <c r="L65" s="100">
        <v>35.92</v>
      </c>
      <c r="M65" s="100">
        <v>12.01</v>
      </c>
      <c r="N65" s="100">
        <v>354.7</v>
      </c>
      <c r="O65" s="100">
        <v>0</v>
      </c>
      <c r="P65" s="100">
        <v>0.56000000000000005</v>
      </c>
      <c r="Q65" s="100">
        <v>28</v>
      </c>
      <c r="R65" s="6"/>
      <c r="S65" s="6"/>
      <c r="T65" s="156"/>
      <c r="U65" s="6"/>
    </row>
    <row r="66" spans="1:21" customFormat="1">
      <c r="A66" s="163" t="s">
        <v>968</v>
      </c>
      <c r="B66" s="100">
        <v>2.02</v>
      </c>
      <c r="C66" s="100">
        <v>12.65</v>
      </c>
      <c r="D66" s="100">
        <v>9.58</v>
      </c>
      <c r="E66" s="100">
        <v>11.52</v>
      </c>
      <c r="F66" s="100">
        <v>0</v>
      </c>
      <c r="G66" s="100">
        <v>68.09</v>
      </c>
      <c r="H66" s="100">
        <v>25.86</v>
      </c>
      <c r="I66" s="100">
        <v>8</v>
      </c>
      <c r="J66" s="100">
        <v>0.9</v>
      </c>
      <c r="K66" s="100">
        <v>18.61</v>
      </c>
      <c r="L66" s="100">
        <v>35.46</v>
      </c>
      <c r="M66" s="100">
        <v>11.97</v>
      </c>
      <c r="N66" s="100">
        <v>353.7</v>
      </c>
      <c r="O66" s="100">
        <v>0</v>
      </c>
      <c r="P66" s="100">
        <v>0.56999999999999995</v>
      </c>
      <c r="Q66" s="100">
        <v>28</v>
      </c>
      <c r="R66" s="6"/>
      <c r="S66" s="6"/>
      <c r="T66" s="156"/>
      <c r="U66" s="6"/>
    </row>
    <row r="67" spans="1:21" customFormat="1">
      <c r="A67" s="163" t="s">
        <v>969</v>
      </c>
      <c r="B67" s="100">
        <v>2.2200000000000002</v>
      </c>
      <c r="C67" s="100">
        <v>12.75</v>
      </c>
      <c r="D67" s="100">
        <v>9.7899999999999991</v>
      </c>
      <c r="E67" s="100">
        <v>10.96</v>
      </c>
      <c r="F67" s="100">
        <v>0</v>
      </c>
      <c r="G67" s="100">
        <v>68.09</v>
      </c>
      <c r="H67" s="100">
        <v>25.86</v>
      </c>
      <c r="I67" s="100">
        <v>7.66</v>
      </c>
      <c r="J67" s="100">
        <v>0.35</v>
      </c>
      <c r="K67" s="100">
        <v>353.69</v>
      </c>
      <c r="L67" s="100">
        <v>36.01</v>
      </c>
      <c r="M67" s="100">
        <v>11.31</v>
      </c>
      <c r="N67" s="100">
        <v>278.8</v>
      </c>
      <c r="O67" s="100">
        <v>0</v>
      </c>
      <c r="P67" s="100">
        <v>0.59</v>
      </c>
      <c r="Q67" s="100">
        <v>27.99</v>
      </c>
      <c r="R67" s="6"/>
      <c r="S67" s="6"/>
      <c r="T67" s="156"/>
      <c r="U67" s="6"/>
    </row>
    <row r="68" spans="1:21" customFormat="1">
      <c r="A68" s="163" t="s">
        <v>970</v>
      </c>
      <c r="B68" s="100">
        <v>4.3099999999999996</v>
      </c>
      <c r="C68" s="100">
        <v>12.48</v>
      </c>
      <c r="D68" s="100">
        <v>11.32</v>
      </c>
      <c r="E68" s="100">
        <v>10.31</v>
      </c>
      <c r="F68" s="100">
        <v>0</v>
      </c>
      <c r="G68" s="100">
        <v>68.09</v>
      </c>
      <c r="H68" s="100">
        <v>25.86</v>
      </c>
      <c r="I68" s="100">
        <v>7.45</v>
      </c>
      <c r="J68" s="100">
        <v>0.57999999999999996</v>
      </c>
      <c r="K68" s="100">
        <v>3.88</v>
      </c>
      <c r="L68" s="100">
        <v>35.36</v>
      </c>
      <c r="M68" s="100">
        <v>11.62</v>
      </c>
      <c r="N68" s="100">
        <v>99.3</v>
      </c>
      <c r="O68" s="100">
        <v>0</v>
      </c>
      <c r="P68" s="100">
        <v>0.61</v>
      </c>
      <c r="Q68" s="100">
        <v>28.01</v>
      </c>
      <c r="R68" s="6"/>
      <c r="S68" s="6"/>
      <c r="T68" s="156"/>
      <c r="U68" s="6"/>
    </row>
    <row r="69" spans="1:21" customFormat="1">
      <c r="A69" s="163" t="s">
        <v>971</v>
      </c>
      <c r="B69" s="100">
        <v>5.84</v>
      </c>
      <c r="C69" s="100">
        <v>11.87</v>
      </c>
      <c r="D69" s="100">
        <v>12.24</v>
      </c>
      <c r="E69" s="100">
        <v>10.66</v>
      </c>
      <c r="F69" s="100">
        <v>0</v>
      </c>
      <c r="G69" s="100">
        <v>55.59</v>
      </c>
      <c r="H69" s="100">
        <v>22.18</v>
      </c>
      <c r="I69" s="100">
        <v>7.37</v>
      </c>
      <c r="J69" s="100">
        <v>0.42</v>
      </c>
      <c r="K69" s="100">
        <v>298.95999999999998</v>
      </c>
      <c r="L69" s="100">
        <v>34.85</v>
      </c>
      <c r="M69" s="100">
        <v>12.14</v>
      </c>
      <c r="N69" s="100">
        <v>80.8</v>
      </c>
      <c r="O69" s="100">
        <v>0</v>
      </c>
      <c r="P69" s="100">
        <v>0.59</v>
      </c>
      <c r="Q69" s="100">
        <v>28.01</v>
      </c>
      <c r="R69" s="6"/>
      <c r="S69" s="6"/>
      <c r="T69" s="156"/>
      <c r="U69" s="6"/>
    </row>
    <row r="70" spans="1:21" customFormat="1">
      <c r="A70" s="163" t="s">
        <v>972</v>
      </c>
      <c r="B70" s="100">
        <v>6.98</v>
      </c>
      <c r="C70" s="100">
        <v>11.16</v>
      </c>
      <c r="D70" s="100">
        <v>12.78</v>
      </c>
      <c r="E70" s="100">
        <v>9.57</v>
      </c>
      <c r="F70" s="100">
        <v>0</v>
      </c>
      <c r="G70" s="100">
        <v>54.38</v>
      </c>
      <c r="H70" s="100">
        <v>22.18</v>
      </c>
      <c r="I70" s="100">
        <v>7.18</v>
      </c>
      <c r="J70" s="100">
        <v>0.73</v>
      </c>
      <c r="K70" s="100">
        <v>261.57</v>
      </c>
      <c r="L70" s="100">
        <v>34.79</v>
      </c>
      <c r="M70" s="100">
        <v>12.77</v>
      </c>
      <c r="N70" s="100">
        <v>58.5</v>
      </c>
      <c r="O70" s="100">
        <v>0</v>
      </c>
      <c r="P70" s="100">
        <v>0.57999999999999996</v>
      </c>
      <c r="Q70" s="100">
        <v>28.01</v>
      </c>
      <c r="R70" s="6"/>
      <c r="S70" s="6"/>
      <c r="T70" s="156"/>
      <c r="U70" s="6"/>
    </row>
    <row r="71" spans="1:21" customFormat="1">
      <c r="A71" s="163" t="s">
        <v>973</v>
      </c>
      <c r="B71" s="100">
        <v>7.9</v>
      </c>
      <c r="C71" s="100">
        <v>10.57</v>
      </c>
      <c r="D71" s="100">
        <v>13.21</v>
      </c>
      <c r="E71" s="100">
        <v>9.48</v>
      </c>
      <c r="F71" s="100">
        <v>0</v>
      </c>
      <c r="G71" s="100">
        <v>54.38</v>
      </c>
      <c r="H71" s="100">
        <v>22.18</v>
      </c>
      <c r="I71" s="100">
        <v>6.97</v>
      </c>
      <c r="J71" s="100">
        <v>0.51</v>
      </c>
      <c r="K71" s="100">
        <v>256.47000000000003</v>
      </c>
      <c r="L71" s="100">
        <v>34.76</v>
      </c>
      <c r="M71" s="100">
        <v>13.38</v>
      </c>
      <c r="N71" s="100">
        <v>61.9</v>
      </c>
      <c r="O71" s="100">
        <v>0</v>
      </c>
      <c r="P71" s="100">
        <v>0.57999999999999996</v>
      </c>
      <c r="Q71" s="100">
        <v>28.01</v>
      </c>
      <c r="R71" s="6"/>
      <c r="S71" s="6"/>
      <c r="T71" s="156"/>
      <c r="U71" s="6"/>
    </row>
    <row r="72" spans="1:21" customFormat="1">
      <c r="A72" s="163" t="s">
        <v>974</v>
      </c>
      <c r="B72" s="100">
        <v>7.7</v>
      </c>
      <c r="C72" s="100">
        <v>10.67</v>
      </c>
      <c r="D72" s="100">
        <v>13.1</v>
      </c>
      <c r="E72" s="100">
        <v>10.27</v>
      </c>
      <c r="F72" s="100">
        <v>0</v>
      </c>
      <c r="G72" s="100">
        <v>54.38</v>
      </c>
      <c r="H72" s="100">
        <v>22.18</v>
      </c>
      <c r="I72" s="100">
        <v>7.06</v>
      </c>
      <c r="J72" s="100">
        <v>0.67</v>
      </c>
      <c r="K72" s="100">
        <v>300.93</v>
      </c>
      <c r="L72" s="100">
        <v>34.83</v>
      </c>
      <c r="M72" s="100">
        <v>13.04</v>
      </c>
      <c r="N72" s="100">
        <v>105.4</v>
      </c>
      <c r="O72" s="100">
        <v>0</v>
      </c>
      <c r="P72" s="100">
        <v>0.55000000000000004</v>
      </c>
      <c r="Q72" s="100">
        <v>28.02</v>
      </c>
      <c r="R72" s="6"/>
      <c r="S72" s="6"/>
      <c r="T72" s="156"/>
      <c r="U72" s="6"/>
    </row>
    <row r="73" spans="1:21" customFormat="1">
      <c r="A73" s="163" t="s">
        <v>975</v>
      </c>
      <c r="B73" s="100">
        <v>6.33</v>
      </c>
      <c r="C73" s="100">
        <v>11.37</v>
      </c>
      <c r="D73" s="100">
        <v>12.37</v>
      </c>
      <c r="E73" s="100">
        <v>11.22</v>
      </c>
      <c r="F73" s="100">
        <v>0</v>
      </c>
      <c r="G73" s="100">
        <v>39.18</v>
      </c>
      <c r="H73" s="100">
        <v>15.31</v>
      </c>
      <c r="I73" s="100">
        <v>6.89</v>
      </c>
      <c r="J73" s="100">
        <v>0.92</v>
      </c>
      <c r="K73" s="100">
        <v>50.7</v>
      </c>
      <c r="L73" s="100">
        <v>34.61</v>
      </c>
      <c r="M73" s="100">
        <v>12.67</v>
      </c>
      <c r="N73" s="100">
        <v>83.3</v>
      </c>
      <c r="O73" s="100">
        <v>0</v>
      </c>
      <c r="P73" s="100">
        <v>0.54</v>
      </c>
      <c r="Q73" s="100">
        <v>27.99</v>
      </c>
      <c r="R73" s="6"/>
      <c r="S73" s="6"/>
      <c r="T73" s="156"/>
      <c r="U73" s="6"/>
    </row>
    <row r="74" spans="1:21" customFormat="1">
      <c r="A74" s="163" t="s">
        <v>976</v>
      </c>
      <c r="B74" s="100">
        <v>6.6</v>
      </c>
      <c r="C74" s="100">
        <v>12.49</v>
      </c>
      <c r="D74" s="100">
        <v>13.17</v>
      </c>
      <c r="E74" s="100">
        <v>11.96</v>
      </c>
      <c r="F74" s="100">
        <v>0</v>
      </c>
      <c r="G74" s="100">
        <v>37.69</v>
      </c>
      <c r="H74" s="100">
        <v>15.31</v>
      </c>
      <c r="I74" s="100">
        <v>6.55</v>
      </c>
      <c r="J74" s="100">
        <v>0.63</v>
      </c>
      <c r="K74" s="100">
        <v>62.72</v>
      </c>
      <c r="L74" s="100">
        <v>34.57</v>
      </c>
      <c r="M74" s="100">
        <v>13.02</v>
      </c>
      <c r="N74" s="100">
        <v>42.3</v>
      </c>
      <c r="O74" s="100">
        <v>0</v>
      </c>
      <c r="P74" s="100">
        <v>0.52</v>
      </c>
      <c r="Q74" s="100">
        <v>28</v>
      </c>
      <c r="R74" s="6"/>
      <c r="S74" s="6"/>
      <c r="T74" s="156"/>
      <c r="U74" s="6"/>
    </row>
    <row r="75" spans="1:21" customFormat="1">
      <c r="A75" s="163" t="s">
        <v>977</v>
      </c>
      <c r="B75" s="100">
        <v>8.14</v>
      </c>
      <c r="C75" s="100">
        <v>16.22</v>
      </c>
      <c r="D75" s="100">
        <v>16.36</v>
      </c>
      <c r="E75" s="100">
        <v>12.71</v>
      </c>
      <c r="F75" s="100">
        <v>0</v>
      </c>
      <c r="G75" s="100">
        <v>37.69</v>
      </c>
      <c r="H75" s="100">
        <v>15.31</v>
      </c>
      <c r="I75" s="100">
        <v>6.22</v>
      </c>
      <c r="J75" s="100">
        <v>0.72</v>
      </c>
      <c r="K75" s="100">
        <v>38.700000000000003</v>
      </c>
      <c r="L75" s="100">
        <v>34.409999999999997</v>
      </c>
      <c r="M75" s="100">
        <v>13.26</v>
      </c>
      <c r="N75" s="100">
        <v>36.299999999999997</v>
      </c>
      <c r="O75" s="100">
        <v>0</v>
      </c>
      <c r="P75" s="100">
        <v>0.53</v>
      </c>
      <c r="Q75" s="100">
        <v>28.03</v>
      </c>
      <c r="R75" s="6"/>
      <c r="S75" s="6"/>
      <c r="T75" s="156"/>
      <c r="U75" s="6"/>
    </row>
    <row r="76" spans="1:21" customFormat="1">
      <c r="A76" s="163" t="s">
        <v>978</v>
      </c>
      <c r="B76" s="100">
        <v>6.67</v>
      </c>
      <c r="C76" s="100">
        <v>14.46</v>
      </c>
      <c r="D76" s="100">
        <v>14.26</v>
      </c>
      <c r="E76" s="100">
        <v>11.34</v>
      </c>
      <c r="F76" s="100">
        <v>0</v>
      </c>
      <c r="G76" s="100">
        <v>37.69</v>
      </c>
      <c r="H76" s="100">
        <v>15.31</v>
      </c>
      <c r="I76" s="100">
        <v>5.97</v>
      </c>
      <c r="J76" s="100">
        <v>0.16</v>
      </c>
      <c r="K76" s="100">
        <v>230.78</v>
      </c>
      <c r="L76" s="100">
        <v>33.93</v>
      </c>
      <c r="M76" s="100">
        <v>15.6</v>
      </c>
      <c r="N76" s="100">
        <v>31.9</v>
      </c>
      <c r="O76" s="100">
        <v>0</v>
      </c>
      <c r="P76" s="100">
        <v>0.5</v>
      </c>
      <c r="Q76" s="100">
        <v>28.04</v>
      </c>
      <c r="R76" s="6"/>
      <c r="S76" s="6"/>
      <c r="T76" s="156"/>
      <c r="U76" s="6"/>
    </row>
    <row r="77" spans="1:21" customFormat="1">
      <c r="A77" s="163" t="s">
        <v>979</v>
      </c>
      <c r="B77" s="100">
        <v>6.48</v>
      </c>
      <c r="C77" s="100">
        <v>14.1</v>
      </c>
      <c r="D77" s="100">
        <v>13.91</v>
      </c>
      <c r="E77" s="100">
        <v>11.59</v>
      </c>
      <c r="F77" s="100">
        <v>0</v>
      </c>
      <c r="G77" s="100">
        <v>41.13</v>
      </c>
      <c r="H77" s="100">
        <v>12.78</v>
      </c>
      <c r="I77" s="100">
        <v>5.74</v>
      </c>
      <c r="J77" s="100">
        <v>0.53</v>
      </c>
      <c r="K77" s="100">
        <v>48.39</v>
      </c>
      <c r="L77" s="100">
        <v>33.61</v>
      </c>
      <c r="M77" s="100">
        <v>14.51</v>
      </c>
      <c r="N77" s="100">
        <v>26</v>
      </c>
      <c r="O77" s="100">
        <v>0</v>
      </c>
      <c r="P77" s="100">
        <v>0.53</v>
      </c>
      <c r="Q77" s="100">
        <v>28.05</v>
      </c>
      <c r="R77" s="6"/>
      <c r="S77" s="6"/>
      <c r="T77" s="156"/>
      <c r="U77" s="6"/>
    </row>
    <row r="78" spans="1:21" customFormat="1">
      <c r="A78" s="163" t="s">
        <v>980</v>
      </c>
      <c r="B78" s="100">
        <v>8.1199999999999992</v>
      </c>
      <c r="C78" s="100">
        <v>19</v>
      </c>
      <c r="D78" s="100">
        <v>17.79</v>
      </c>
      <c r="E78" s="100">
        <v>12.34</v>
      </c>
      <c r="F78" s="100">
        <v>0</v>
      </c>
      <c r="G78" s="100">
        <v>41.47</v>
      </c>
      <c r="H78" s="100">
        <v>12.78</v>
      </c>
      <c r="I78" s="100">
        <v>5.6</v>
      </c>
      <c r="J78" s="100">
        <v>0.54</v>
      </c>
      <c r="K78" s="100">
        <v>59.46</v>
      </c>
      <c r="L78" s="100">
        <v>33.31</v>
      </c>
      <c r="M78" s="100">
        <v>15.13</v>
      </c>
      <c r="N78" s="100">
        <v>19.399999999999999</v>
      </c>
      <c r="O78" s="100">
        <v>0</v>
      </c>
      <c r="P78" s="100">
        <v>0.56999999999999995</v>
      </c>
      <c r="Q78" s="100">
        <v>28.04</v>
      </c>
      <c r="R78" s="6"/>
      <c r="S78" s="6"/>
      <c r="T78" s="156"/>
      <c r="U78" s="6"/>
    </row>
    <row r="79" spans="1:21" customFormat="1">
      <c r="A79" s="163" t="s">
        <v>981</v>
      </c>
      <c r="B79" s="100">
        <v>6.9</v>
      </c>
      <c r="C79" s="100">
        <v>15.1</v>
      </c>
      <c r="D79" s="100">
        <v>14.78</v>
      </c>
      <c r="E79" s="100">
        <v>11.61</v>
      </c>
      <c r="F79" s="100">
        <v>0</v>
      </c>
      <c r="G79" s="100">
        <v>41.47</v>
      </c>
      <c r="H79" s="100">
        <v>12.78</v>
      </c>
      <c r="I79" s="100">
        <v>5.66</v>
      </c>
      <c r="J79" s="100">
        <v>0.36</v>
      </c>
      <c r="K79" s="100">
        <v>161.66999999999999</v>
      </c>
      <c r="L79" s="100">
        <v>31.91</v>
      </c>
      <c r="M79" s="100">
        <v>19.89</v>
      </c>
      <c r="N79" s="100">
        <v>13.9</v>
      </c>
      <c r="O79" s="100">
        <v>0</v>
      </c>
      <c r="P79" s="100">
        <v>0.53</v>
      </c>
      <c r="Q79" s="100">
        <v>28.06</v>
      </c>
      <c r="R79" s="6"/>
      <c r="S79" s="6"/>
      <c r="T79" s="156"/>
      <c r="U79" s="6"/>
    </row>
    <row r="80" spans="1:21" customFormat="1">
      <c r="A80" s="163" t="s">
        <v>982</v>
      </c>
      <c r="B80" s="100">
        <v>6.93</v>
      </c>
      <c r="C80" s="100">
        <v>12.18</v>
      </c>
      <c r="D80" s="100">
        <v>13.27</v>
      </c>
      <c r="E80" s="100">
        <v>12.24</v>
      </c>
      <c r="F80" s="100">
        <v>0</v>
      </c>
      <c r="G80" s="100">
        <v>41.47</v>
      </c>
      <c r="H80" s="100">
        <v>12.78</v>
      </c>
      <c r="I80" s="100">
        <v>5.98</v>
      </c>
      <c r="J80" s="100">
        <v>0.17</v>
      </c>
      <c r="K80" s="100">
        <v>146.84</v>
      </c>
      <c r="L80" s="100">
        <v>30.85</v>
      </c>
      <c r="M80" s="100">
        <v>20.38</v>
      </c>
      <c r="N80" s="100">
        <v>6.8</v>
      </c>
      <c r="O80" s="100">
        <v>0</v>
      </c>
      <c r="P80" s="100">
        <v>0.51</v>
      </c>
      <c r="Q80" s="100">
        <v>28.04</v>
      </c>
      <c r="R80" s="6"/>
      <c r="S80" s="6"/>
      <c r="T80" s="156"/>
      <c r="U80" s="6"/>
    </row>
    <row r="81" spans="1:21" customFormat="1">
      <c r="A81" s="163" t="s">
        <v>983</v>
      </c>
      <c r="B81" s="100">
        <v>8.3000000000000007</v>
      </c>
      <c r="C81" s="100">
        <v>16.260000000000002</v>
      </c>
      <c r="D81" s="100">
        <v>16.510000000000002</v>
      </c>
      <c r="E81" s="100">
        <v>8.57</v>
      </c>
      <c r="F81" s="100">
        <v>0</v>
      </c>
      <c r="G81" s="100">
        <v>41.73</v>
      </c>
      <c r="H81" s="100">
        <v>14.05</v>
      </c>
      <c r="I81" s="100">
        <v>5.82</v>
      </c>
      <c r="J81" s="100">
        <v>0.17</v>
      </c>
      <c r="K81" s="100">
        <v>137.05000000000001</v>
      </c>
      <c r="L81" s="100">
        <v>30.47</v>
      </c>
      <c r="M81" s="100">
        <v>20.84</v>
      </c>
      <c r="N81" s="100">
        <v>2.2000000000000002</v>
      </c>
      <c r="O81" s="100">
        <v>0</v>
      </c>
      <c r="P81" s="100">
        <v>0.59</v>
      </c>
      <c r="Q81" s="100">
        <v>28.04</v>
      </c>
      <c r="R81" s="6"/>
      <c r="S81" s="6"/>
      <c r="T81" s="156"/>
      <c r="U81" s="6"/>
    </row>
    <row r="82" spans="1:21" customFormat="1">
      <c r="A82" s="163" t="s">
        <v>984</v>
      </c>
      <c r="B82" s="100">
        <v>8.39</v>
      </c>
      <c r="C82" s="100">
        <v>16.5</v>
      </c>
      <c r="D82" s="100">
        <v>16.7</v>
      </c>
      <c r="E82" s="100">
        <v>9.11</v>
      </c>
      <c r="F82" s="100">
        <v>0</v>
      </c>
      <c r="G82" s="100">
        <v>41.75</v>
      </c>
      <c r="H82" s="100">
        <v>14.05</v>
      </c>
      <c r="I82" s="100">
        <v>5.83</v>
      </c>
      <c r="J82" s="100">
        <v>0.27</v>
      </c>
      <c r="K82" s="100">
        <v>180.24</v>
      </c>
      <c r="L82" s="100">
        <v>28.83</v>
      </c>
      <c r="M82" s="100">
        <v>32.130000000000003</v>
      </c>
      <c r="N82" s="100">
        <v>2.2000000000000002</v>
      </c>
      <c r="O82" s="100">
        <v>0</v>
      </c>
      <c r="P82" s="100">
        <v>0.57999999999999996</v>
      </c>
      <c r="Q82" s="100">
        <v>28.05</v>
      </c>
      <c r="R82" s="6"/>
      <c r="S82" s="6"/>
      <c r="T82" s="156"/>
      <c r="U82" s="6"/>
    </row>
    <row r="83" spans="1:21" customFormat="1">
      <c r="A83" s="163" t="s">
        <v>985</v>
      </c>
      <c r="B83" s="100">
        <v>6.51</v>
      </c>
      <c r="C83" s="100">
        <v>13.15</v>
      </c>
      <c r="D83" s="100">
        <v>13.44</v>
      </c>
      <c r="E83" s="100">
        <v>9.4499999999999993</v>
      </c>
      <c r="F83" s="100">
        <v>0</v>
      </c>
      <c r="G83" s="100">
        <v>41.75</v>
      </c>
      <c r="H83" s="100">
        <v>14.05</v>
      </c>
      <c r="I83" s="100">
        <v>6.19</v>
      </c>
      <c r="J83" s="100">
        <v>0.21</v>
      </c>
      <c r="K83" s="100">
        <v>171.11</v>
      </c>
      <c r="L83" s="100">
        <v>27.75</v>
      </c>
      <c r="M83" s="100">
        <v>28.73</v>
      </c>
      <c r="N83" s="100">
        <v>1.2</v>
      </c>
      <c r="O83" s="100">
        <v>0</v>
      </c>
      <c r="P83" s="100">
        <v>0.57999999999999996</v>
      </c>
      <c r="Q83" s="100">
        <v>28.07</v>
      </c>
      <c r="R83" s="6"/>
      <c r="S83" s="6"/>
      <c r="T83" s="156"/>
      <c r="U83" s="6"/>
    </row>
    <row r="84" spans="1:21" customFormat="1">
      <c r="A84" s="163" t="s">
        <v>986</v>
      </c>
      <c r="B84" s="100">
        <v>4.1500000000000004</v>
      </c>
      <c r="C84" s="100">
        <v>12.77</v>
      </c>
      <c r="D84" s="100">
        <v>11.35</v>
      </c>
      <c r="E84" s="100">
        <v>8.7799999999999994</v>
      </c>
      <c r="F84" s="100">
        <v>0</v>
      </c>
      <c r="G84" s="100">
        <v>41.75</v>
      </c>
      <c r="H84" s="100">
        <v>14.05</v>
      </c>
      <c r="I84" s="100">
        <v>6.69</v>
      </c>
      <c r="J84" s="100">
        <v>0.17</v>
      </c>
      <c r="K84" s="100">
        <v>192</v>
      </c>
      <c r="L84" s="100">
        <v>26.99</v>
      </c>
      <c r="M84" s="100">
        <v>37.89</v>
      </c>
      <c r="N84" s="100">
        <v>1.3</v>
      </c>
      <c r="O84" s="100">
        <v>0</v>
      </c>
      <c r="P84" s="100">
        <v>0.56000000000000005</v>
      </c>
      <c r="Q84" s="100">
        <v>28.07</v>
      </c>
      <c r="R84" s="6"/>
      <c r="S84" s="6"/>
      <c r="T84" s="156"/>
      <c r="U84" s="6"/>
    </row>
    <row r="85" spans="1:21" customFormat="1">
      <c r="A85" s="163" t="s">
        <v>987</v>
      </c>
      <c r="B85" s="100">
        <v>2.31</v>
      </c>
      <c r="C85" s="100">
        <v>12.27</v>
      </c>
      <c r="D85" s="100">
        <v>9.61</v>
      </c>
      <c r="E85" s="100">
        <v>9.02</v>
      </c>
      <c r="F85" s="100">
        <v>0</v>
      </c>
      <c r="G85" s="100">
        <v>64.430000000000007</v>
      </c>
      <c r="H85" s="100">
        <v>18.920000000000002</v>
      </c>
      <c r="I85" s="100">
        <v>6.83</v>
      </c>
      <c r="J85" s="100">
        <v>0.14000000000000001</v>
      </c>
      <c r="K85" s="100">
        <v>178.68</v>
      </c>
      <c r="L85" s="100">
        <v>26.56</v>
      </c>
      <c r="M85" s="100">
        <v>32.590000000000003</v>
      </c>
      <c r="N85" s="100">
        <v>0.8</v>
      </c>
      <c r="O85" s="100">
        <v>0</v>
      </c>
      <c r="P85" s="100">
        <v>0.56000000000000005</v>
      </c>
      <c r="Q85" s="100">
        <v>28.05</v>
      </c>
      <c r="R85" s="6"/>
      <c r="S85" s="6"/>
      <c r="T85" s="156"/>
      <c r="U85" s="6"/>
    </row>
    <row r="86" spans="1:21" customFormat="1">
      <c r="A86" s="163" t="s">
        <v>988</v>
      </c>
      <c r="B86" s="100">
        <v>2</v>
      </c>
      <c r="C86" s="100">
        <v>11.12</v>
      </c>
      <c r="D86" s="100">
        <v>8.76</v>
      </c>
      <c r="E86" s="100">
        <v>9.0299999999999994</v>
      </c>
      <c r="F86" s="100">
        <v>0</v>
      </c>
      <c r="G86" s="100">
        <v>66.34</v>
      </c>
      <c r="H86" s="100">
        <v>18.920000000000002</v>
      </c>
      <c r="I86" s="100">
        <v>6.93</v>
      </c>
      <c r="J86" s="100">
        <v>0.25</v>
      </c>
      <c r="K86" s="100">
        <v>163.1</v>
      </c>
      <c r="L86" s="100">
        <v>26.38</v>
      </c>
      <c r="M86" s="100">
        <v>34.07</v>
      </c>
      <c r="N86" s="100">
        <v>0.7</v>
      </c>
      <c r="O86" s="100">
        <v>0</v>
      </c>
      <c r="P86" s="100">
        <v>0.56000000000000005</v>
      </c>
      <c r="Q86" s="100">
        <v>28.06</v>
      </c>
      <c r="R86" s="6"/>
      <c r="S86" s="6"/>
      <c r="T86" s="156"/>
      <c r="U86" s="6"/>
    </row>
    <row r="87" spans="1:21" customFormat="1">
      <c r="A87" s="163" t="s">
        <v>989</v>
      </c>
      <c r="B87" s="100">
        <v>2</v>
      </c>
      <c r="C87" s="100">
        <v>11.64</v>
      </c>
      <c r="D87" s="100">
        <v>9.0399999999999991</v>
      </c>
      <c r="E87" s="100">
        <v>8.68</v>
      </c>
      <c r="F87" s="100">
        <v>0</v>
      </c>
      <c r="G87" s="100">
        <v>66.34</v>
      </c>
      <c r="H87" s="100">
        <v>18.920000000000002</v>
      </c>
      <c r="I87" s="100">
        <v>6.88</v>
      </c>
      <c r="J87" s="100">
        <v>0.23</v>
      </c>
      <c r="K87" s="100">
        <v>171.99</v>
      </c>
      <c r="L87" s="100">
        <v>25.86</v>
      </c>
      <c r="M87" s="100">
        <v>37.43</v>
      </c>
      <c r="N87" s="100">
        <v>0.8</v>
      </c>
      <c r="O87" s="100">
        <v>0</v>
      </c>
      <c r="P87" s="100">
        <v>0.56999999999999995</v>
      </c>
      <c r="Q87" s="100">
        <v>28.08</v>
      </c>
      <c r="R87" s="6"/>
      <c r="S87" s="6"/>
      <c r="T87" s="156"/>
      <c r="U87" s="6"/>
    </row>
    <row r="88" spans="1:21" customFormat="1">
      <c r="A88" s="163" t="s">
        <v>990</v>
      </c>
      <c r="B88" s="100">
        <v>2</v>
      </c>
      <c r="C88" s="100">
        <v>11.06</v>
      </c>
      <c r="D88" s="100">
        <v>8.73</v>
      </c>
      <c r="E88" s="100">
        <v>8.99</v>
      </c>
      <c r="F88" s="100">
        <v>0</v>
      </c>
      <c r="G88" s="100">
        <v>66.34</v>
      </c>
      <c r="H88" s="100">
        <v>18.920000000000002</v>
      </c>
      <c r="I88" s="100">
        <v>6.72</v>
      </c>
      <c r="J88" s="100">
        <v>0.21</v>
      </c>
      <c r="K88" s="100">
        <v>169.56</v>
      </c>
      <c r="L88" s="100">
        <v>25.4</v>
      </c>
      <c r="M88" s="100">
        <v>41.4</v>
      </c>
      <c r="N88" s="100">
        <v>0.8</v>
      </c>
      <c r="O88" s="100">
        <v>0</v>
      </c>
      <c r="P88" s="100">
        <v>0.57999999999999996</v>
      </c>
      <c r="Q88" s="100">
        <v>28.06</v>
      </c>
      <c r="R88" s="6"/>
      <c r="S88" s="6"/>
      <c r="T88" s="156"/>
      <c r="U88" s="6"/>
    </row>
    <row r="89" spans="1:21" customFormat="1">
      <c r="A89" s="163" t="s">
        <v>991</v>
      </c>
      <c r="B89" s="100">
        <v>2</v>
      </c>
      <c r="C89" s="100">
        <v>9.9499999999999993</v>
      </c>
      <c r="D89" s="100">
        <v>8.15</v>
      </c>
      <c r="E89" s="100">
        <v>8.56</v>
      </c>
      <c r="F89" s="100">
        <v>0</v>
      </c>
      <c r="G89" s="100">
        <v>80.63</v>
      </c>
      <c r="H89" s="100">
        <v>23.76</v>
      </c>
      <c r="I89" s="100">
        <v>6.99</v>
      </c>
      <c r="J89" s="100">
        <v>0.17</v>
      </c>
      <c r="K89" s="100">
        <v>180.11</v>
      </c>
      <c r="L89" s="100">
        <v>24.94</v>
      </c>
      <c r="M89" s="100">
        <v>42.97</v>
      </c>
      <c r="N89" s="100">
        <v>0.6</v>
      </c>
      <c r="O89" s="100">
        <v>0</v>
      </c>
      <c r="P89" s="100">
        <v>0.57999999999999996</v>
      </c>
      <c r="Q89" s="100">
        <v>28.04</v>
      </c>
      <c r="R89" s="6"/>
      <c r="S89" s="6"/>
      <c r="T89" s="156"/>
      <c r="U89" s="6"/>
    </row>
    <row r="90" spans="1:21" customFormat="1">
      <c r="A90" s="163" t="s">
        <v>992</v>
      </c>
      <c r="B90" s="100">
        <v>2</v>
      </c>
      <c r="C90" s="100">
        <v>9.68</v>
      </c>
      <c r="D90" s="100">
        <v>8.01</v>
      </c>
      <c r="E90" s="100">
        <v>8.6199999999999992</v>
      </c>
      <c r="F90" s="100">
        <v>0</v>
      </c>
      <c r="G90" s="100">
        <v>81.84</v>
      </c>
      <c r="H90" s="100">
        <v>23.76</v>
      </c>
      <c r="I90" s="100">
        <v>7.38</v>
      </c>
      <c r="J90" s="100">
        <v>0.17</v>
      </c>
      <c r="K90" s="100">
        <v>182.42</v>
      </c>
      <c r="L90" s="100">
        <v>24.53</v>
      </c>
      <c r="M90" s="100">
        <v>41.78</v>
      </c>
      <c r="N90" s="100">
        <v>0.7</v>
      </c>
      <c r="O90" s="100">
        <v>0</v>
      </c>
      <c r="P90" s="100">
        <v>0.59</v>
      </c>
      <c r="Q90" s="100">
        <v>28.03</v>
      </c>
      <c r="R90" s="6"/>
      <c r="S90" s="6"/>
      <c r="T90" s="156"/>
      <c r="U90" s="6"/>
    </row>
    <row r="91" spans="1:21" customFormat="1">
      <c r="A91" s="163" t="s">
        <v>993</v>
      </c>
      <c r="B91" s="100">
        <v>2</v>
      </c>
      <c r="C91" s="100">
        <v>7.95</v>
      </c>
      <c r="D91" s="100">
        <v>7.11</v>
      </c>
      <c r="E91" s="100">
        <v>8.36</v>
      </c>
      <c r="F91" s="100">
        <v>0</v>
      </c>
      <c r="G91" s="100">
        <v>81.84</v>
      </c>
      <c r="H91" s="100">
        <v>23.76</v>
      </c>
      <c r="I91" s="100">
        <v>7.48</v>
      </c>
      <c r="J91" s="100">
        <v>0.18</v>
      </c>
      <c r="K91" s="100">
        <v>189.59</v>
      </c>
      <c r="L91" s="100">
        <v>24.3</v>
      </c>
      <c r="M91" s="100">
        <v>43.28</v>
      </c>
      <c r="N91" s="100">
        <v>0.6</v>
      </c>
      <c r="O91" s="100">
        <v>0</v>
      </c>
      <c r="P91" s="100">
        <v>0.6</v>
      </c>
      <c r="Q91" s="100">
        <v>28.03</v>
      </c>
      <c r="R91" s="6"/>
      <c r="S91" s="6"/>
      <c r="T91" s="156"/>
      <c r="U91" s="6"/>
    </row>
    <row r="92" spans="1:21" customFormat="1">
      <c r="A92" s="163" t="s">
        <v>994</v>
      </c>
      <c r="B92" s="100">
        <v>2</v>
      </c>
      <c r="C92" s="100">
        <v>6.85</v>
      </c>
      <c r="D92" s="100">
        <v>6.53</v>
      </c>
      <c r="E92" s="100">
        <v>8.68</v>
      </c>
      <c r="F92" s="100">
        <v>0</v>
      </c>
      <c r="G92" s="100">
        <v>81.84</v>
      </c>
      <c r="H92" s="100">
        <v>23.76</v>
      </c>
      <c r="I92" s="100">
        <v>7.53</v>
      </c>
      <c r="J92" s="100">
        <v>0.09</v>
      </c>
      <c r="K92" s="100">
        <v>200.72</v>
      </c>
      <c r="L92" s="100">
        <v>24.23</v>
      </c>
      <c r="M92" s="100">
        <v>40.86</v>
      </c>
      <c r="N92" s="100">
        <v>0.6</v>
      </c>
      <c r="O92" s="100">
        <v>0</v>
      </c>
      <c r="P92" s="100">
        <v>0.6</v>
      </c>
      <c r="Q92" s="100">
        <v>28.04</v>
      </c>
      <c r="R92" s="6"/>
      <c r="S92" s="6"/>
      <c r="T92" s="156"/>
      <c r="U92" s="6"/>
    </row>
    <row r="93" spans="1:21" customFormat="1">
      <c r="A93" s="163" t="s">
        <v>995</v>
      </c>
      <c r="B93" s="100">
        <v>2</v>
      </c>
      <c r="C93" s="100">
        <v>6.25</v>
      </c>
      <c r="D93" s="100">
        <v>6.22</v>
      </c>
      <c r="E93" s="100">
        <v>8.5</v>
      </c>
      <c r="F93" s="100">
        <v>0</v>
      </c>
      <c r="G93" s="100">
        <v>78.489999999999995</v>
      </c>
      <c r="H93" s="100">
        <v>23.63</v>
      </c>
      <c r="I93" s="100">
        <v>7.54</v>
      </c>
      <c r="J93" s="100">
        <v>0.11</v>
      </c>
      <c r="K93" s="100">
        <v>163.41</v>
      </c>
      <c r="L93" s="100">
        <v>24.11</v>
      </c>
      <c r="M93" s="100">
        <v>41.05</v>
      </c>
      <c r="N93" s="100">
        <v>0.6</v>
      </c>
      <c r="O93" s="100">
        <v>0</v>
      </c>
      <c r="P93" s="100">
        <v>0.59</v>
      </c>
      <c r="Q93" s="100">
        <v>28.03</v>
      </c>
      <c r="R93" s="6"/>
      <c r="S93" s="6"/>
      <c r="T93" s="156"/>
      <c r="U93" s="6"/>
    </row>
    <row r="94" spans="1:21" customFormat="1">
      <c r="A94" s="163" t="s">
        <v>996</v>
      </c>
      <c r="B94" s="100">
        <v>2</v>
      </c>
      <c r="C94" s="100">
        <v>5.87</v>
      </c>
      <c r="D94" s="100">
        <v>6.02</v>
      </c>
      <c r="E94" s="100">
        <v>8.4499999999999993</v>
      </c>
      <c r="F94" s="100">
        <v>0</v>
      </c>
      <c r="G94" s="100">
        <v>78.2</v>
      </c>
      <c r="H94" s="100">
        <v>23.63</v>
      </c>
      <c r="I94" s="100">
        <v>7.53</v>
      </c>
      <c r="J94" s="100">
        <v>0.17</v>
      </c>
      <c r="K94" s="100">
        <v>201.49</v>
      </c>
      <c r="L94" s="100">
        <v>24.16</v>
      </c>
      <c r="M94" s="100">
        <v>40.99</v>
      </c>
      <c r="N94" s="100">
        <v>0.5</v>
      </c>
      <c r="O94" s="100">
        <v>0</v>
      </c>
      <c r="P94" s="100">
        <v>0.6</v>
      </c>
      <c r="Q94" s="100">
        <v>28.02</v>
      </c>
      <c r="R94" s="6"/>
      <c r="S94" s="6"/>
      <c r="T94" s="156"/>
      <c r="U94" s="6"/>
    </row>
    <row r="95" spans="1:21" customFormat="1">
      <c r="A95" s="163" t="s">
        <v>997</v>
      </c>
      <c r="B95" s="100">
        <v>2</v>
      </c>
      <c r="C95" s="100">
        <v>5.84</v>
      </c>
      <c r="D95" s="100">
        <v>6.01</v>
      </c>
      <c r="E95" s="100">
        <v>8.43</v>
      </c>
      <c r="F95" s="100">
        <v>0</v>
      </c>
      <c r="G95" s="100">
        <v>78.2</v>
      </c>
      <c r="H95" s="100">
        <v>23.63</v>
      </c>
      <c r="I95" s="100">
        <v>7.5</v>
      </c>
      <c r="J95" s="100">
        <v>0.24</v>
      </c>
      <c r="K95" s="100">
        <v>187.43</v>
      </c>
      <c r="L95" s="100">
        <v>23.79</v>
      </c>
      <c r="M95" s="100">
        <v>44.04</v>
      </c>
      <c r="N95" s="100">
        <v>0.8</v>
      </c>
      <c r="O95" s="100">
        <v>0</v>
      </c>
      <c r="P95" s="100">
        <v>0.61</v>
      </c>
      <c r="Q95" s="100">
        <v>28.02</v>
      </c>
      <c r="R95" s="6"/>
      <c r="S95" s="6"/>
      <c r="T95" s="156"/>
      <c r="U95" s="6"/>
    </row>
    <row r="96" spans="1:21" customFormat="1">
      <c r="A96" s="163" t="s">
        <v>998</v>
      </c>
      <c r="B96" s="100">
        <v>2</v>
      </c>
      <c r="C96" s="100">
        <v>5.8</v>
      </c>
      <c r="D96" s="100">
        <v>5.98</v>
      </c>
      <c r="E96" s="100">
        <v>8.43</v>
      </c>
      <c r="F96" s="100">
        <v>0</v>
      </c>
      <c r="G96" s="100">
        <v>78.2</v>
      </c>
      <c r="H96" s="100">
        <v>23.63</v>
      </c>
      <c r="I96" s="100">
        <v>7.51</v>
      </c>
      <c r="J96" s="100">
        <v>0.18</v>
      </c>
      <c r="K96" s="100">
        <v>188.95</v>
      </c>
      <c r="L96" s="100">
        <v>23.13</v>
      </c>
      <c r="M96" s="100">
        <v>47.55</v>
      </c>
      <c r="N96" s="100">
        <v>1</v>
      </c>
      <c r="O96" s="100">
        <v>0</v>
      </c>
      <c r="P96" s="100">
        <v>0.62</v>
      </c>
      <c r="Q96" s="100">
        <v>28.02</v>
      </c>
      <c r="R96" s="6"/>
      <c r="S96" s="6"/>
      <c r="T96" s="156"/>
      <c r="U96" s="6"/>
    </row>
    <row r="97" spans="1:28" customFormat="1">
      <c r="A97" s="163" t="s">
        <v>999</v>
      </c>
      <c r="B97" s="100">
        <v>2</v>
      </c>
      <c r="C97" s="100">
        <v>6.53</v>
      </c>
      <c r="D97" s="100">
        <v>6.36</v>
      </c>
      <c r="E97" s="100">
        <v>8.66</v>
      </c>
      <c r="F97" s="100">
        <v>0</v>
      </c>
      <c r="G97" s="100">
        <v>86.59</v>
      </c>
      <c r="H97" s="100">
        <v>25.47</v>
      </c>
      <c r="I97" s="100">
        <v>7.51</v>
      </c>
      <c r="J97" s="100">
        <v>0.17</v>
      </c>
      <c r="K97" s="100">
        <v>91.97</v>
      </c>
      <c r="L97" s="100">
        <v>23.42</v>
      </c>
      <c r="M97" s="100">
        <v>43.43</v>
      </c>
      <c r="N97" s="100">
        <v>0.3</v>
      </c>
      <c r="O97" s="100">
        <v>0</v>
      </c>
      <c r="P97" s="100">
        <v>0.63</v>
      </c>
      <c r="Q97" s="100">
        <v>28.04</v>
      </c>
      <c r="R97" s="6"/>
      <c r="S97" s="6"/>
      <c r="T97" s="156"/>
      <c r="U97" s="6"/>
    </row>
    <row r="98" spans="1:28" customFormat="1">
      <c r="A98" s="163" t="s">
        <v>1000</v>
      </c>
      <c r="B98" s="100">
        <v>2</v>
      </c>
      <c r="C98" s="100">
        <v>10.26</v>
      </c>
      <c r="D98" s="100">
        <v>8.32</v>
      </c>
      <c r="E98" s="100">
        <v>8.73</v>
      </c>
      <c r="F98" s="100">
        <v>0</v>
      </c>
      <c r="G98" s="100">
        <v>87.3</v>
      </c>
      <c r="H98" s="100">
        <v>25.47</v>
      </c>
      <c r="I98" s="100">
        <v>7.54</v>
      </c>
      <c r="J98" s="100">
        <v>0.26</v>
      </c>
      <c r="K98" s="100">
        <v>164.55</v>
      </c>
      <c r="L98" s="100">
        <v>23.68</v>
      </c>
      <c r="M98" s="100">
        <v>46.3</v>
      </c>
      <c r="N98" s="100">
        <v>0.7</v>
      </c>
      <c r="O98" s="100">
        <v>0</v>
      </c>
      <c r="P98" s="100">
        <v>0.66</v>
      </c>
      <c r="Q98" s="100">
        <v>28.1</v>
      </c>
      <c r="R98" s="6"/>
      <c r="S98" s="6"/>
      <c r="T98" s="156"/>
      <c r="U98" s="6"/>
    </row>
    <row r="99" spans="1:28" customFormat="1">
      <c r="A99" s="163" t="s">
        <v>1001</v>
      </c>
      <c r="B99" s="100">
        <v>2</v>
      </c>
      <c r="C99" s="100">
        <v>13.27</v>
      </c>
      <c r="D99" s="100">
        <v>9.89</v>
      </c>
      <c r="E99" s="100">
        <v>8.36</v>
      </c>
      <c r="F99" s="100">
        <v>0</v>
      </c>
      <c r="G99" s="100">
        <v>87.3</v>
      </c>
      <c r="H99" s="100">
        <v>25.47</v>
      </c>
      <c r="I99" s="100">
        <v>7.63</v>
      </c>
      <c r="J99" s="100">
        <v>0.23</v>
      </c>
      <c r="K99" s="100">
        <v>203.4</v>
      </c>
      <c r="L99" s="100">
        <v>22.59</v>
      </c>
      <c r="M99" s="100">
        <v>50.49</v>
      </c>
      <c r="N99" s="100">
        <v>1.3</v>
      </c>
      <c r="O99" s="100">
        <v>0</v>
      </c>
      <c r="P99" s="100">
        <v>0.68</v>
      </c>
      <c r="Q99" s="100">
        <v>28.14</v>
      </c>
      <c r="R99" s="6"/>
      <c r="S99" s="6"/>
      <c r="T99" s="156"/>
      <c r="U99" s="6"/>
    </row>
    <row r="100" spans="1:28" customFormat="1">
      <c r="A100" s="163" t="s">
        <v>1002</v>
      </c>
      <c r="B100" s="100">
        <v>2</v>
      </c>
      <c r="C100" s="100">
        <v>13.43</v>
      </c>
      <c r="D100" s="100">
        <v>9.9700000000000006</v>
      </c>
      <c r="E100" s="100">
        <v>8.59</v>
      </c>
      <c r="F100" s="100">
        <v>0</v>
      </c>
      <c r="G100" s="100">
        <v>87.3</v>
      </c>
      <c r="H100" s="100">
        <v>25.47</v>
      </c>
      <c r="I100" s="100">
        <v>7.78</v>
      </c>
      <c r="J100" s="100">
        <v>0.16</v>
      </c>
      <c r="K100" s="100">
        <v>214.89</v>
      </c>
      <c r="L100" s="100">
        <v>22.29</v>
      </c>
      <c r="M100" s="100">
        <v>50.05</v>
      </c>
      <c r="N100" s="100">
        <v>0.8</v>
      </c>
      <c r="O100" s="100">
        <v>0</v>
      </c>
      <c r="P100" s="100">
        <v>0.69</v>
      </c>
      <c r="Q100" s="100">
        <v>28.16</v>
      </c>
      <c r="R100" s="6"/>
      <c r="S100" s="6"/>
      <c r="T100" s="156"/>
      <c r="U100" s="6"/>
      <c r="AB100" s="161"/>
    </row>
    <row r="101" spans="1:28" customFormat="1">
      <c r="A101" s="163" t="s">
        <v>1003</v>
      </c>
      <c r="B101" s="100">
        <v>2</v>
      </c>
      <c r="C101" s="100">
        <v>14.17</v>
      </c>
      <c r="D101" s="100">
        <v>10.36</v>
      </c>
      <c r="E101" s="100">
        <v>8.64</v>
      </c>
      <c r="F101" s="100">
        <v>0</v>
      </c>
      <c r="G101" s="100">
        <v>110.97</v>
      </c>
      <c r="H101" s="100">
        <v>27.31</v>
      </c>
      <c r="I101" s="100">
        <v>7.91</v>
      </c>
      <c r="J101" s="100">
        <v>0.18</v>
      </c>
      <c r="K101" s="100">
        <v>180.49</v>
      </c>
      <c r="L101" s="100">
        <v>22.41</v>
      </c>
      <c r="M101" s="100">
        <v>47.04</v>
      </c>
      <c r="N101" s="100">
        <v>0.6</v>
      </c>
      <c r="O101" s="100">
        <v>0</v>
      </c>
      <c r="P101" s="100">
        <v>0.7</v>
      </c>
      <c r="Q101" s="100">
        <v>28.17</v>
      </c>
      <c r="R101" s="6"/>
      <c r="S101" s="6"/>
      <c r="T101" s="156"/>
      <c r="U101" s="6"/>
    </row>
    <row r="102" spans="1:28" customFormat="1">
      <c r="A102" s="163" t="s">
        <v>1004</v>
      </c>
      <c r="B102" s="100">
        <v>2</v>
      </c>
      <c r="C102" s="100">
        <v>17.25</v>
      </c>
      <c r="D102" s="100">
        <v>11.97</v>
      </c>
      <c r="E102" s="100">
        <v>8.68</v>
      </c>
      <c r="F102" s="100">
        <v>0</v>
      </c>
      <c r="G102" s="100">
        <v>113.27</v>
      </c>
      <c r="H102" s="100">
        <v>27.31</v>
      </c>
      <c r="I102" s="100">
        <v>7.99</v>
      </c>
      <c r="J102" s="100">
        <v>0.13</v>
      </c>
      <c r="K102" s="100">
        <v>144.22999999999999</v>
      </c>
      <c r="L102" s="100">
        <v>22.43</v>
      </c>
      <c r="M102" s="100">
        <v>46.88</v>
      </c>
      <c r="N102" s="100">
        <v>0.6</v>
      </c>
      <c r="O102" s="100">
        <v>0</v>
      </c>
      <c r="P102" s="100">
        <v>0.72</v>
      </c>
      <c r="Q102" s="100">
        <v>28.24</v>
      </c>
      <c r="R102" s="6"/>
      <c r="S102" s="6"/>
      <c r="T102" s="156"/>
      <c r="U102" s="6"/>
    </row>
    <row r="103" spans="1:28" customFormat="1">
      <c r="A103" s="163" t="s">
        <v>1005</v>
      </c>
      <c r="B103" s="100">
        <v>2.39</v>
      </c>
      <c r="C103" s="100">
        <v>22.01</v>
      </c>
      <c r="D103" s="100">
        <v>14.77</v>
      </c>
      <c r="E103" s="100">
        <v>8.82</v>
      </c>
      <c r="F103" s="100">
        <v>0</v>
      </c>
      <c r="G103" s="100">
        <v>113.27</v>
      </c>
      <c r="H103" s="100">
        <v>27.31</v>
      </c>
      <c r="I103" s="100">
        <v>8.1</v>
      </c>
      <c r="J103" s="100">
        <v>0.21</v>
      </c>
      <c r="K103" s="100">
        <v>173.33</v>
      </c>
      <c r="L103" s="100">
        <v>22.26</v>
      </c>
      <c r="M103" s="100">
        <v>49.42</v>
      </c>
      <c r="N103" s="100">
        <v>0.7</v>
      </c>
      <c r="O103" s="100">
        <v>0</v>
      </c>
      <c r="P103" s="100">
        <v>0.75</v>
      </c>
      <c r="Q103" s="100">
        <v>28.36</v>
      </c>
      <c r="R103" s="6"/>
      <c r="S103" s="6"/>
      <c r="T103" s="156"/>
      <c r="U103" s="6"/>
    </row>
    <row r="104" spans="1:28" customFormat="1">
      <c r="A104" s="163" t="s">
        <v>1006</v>
      </c>
      <c r="B104" s="100">
        <v>5.28</v>
      </c>
      <c r="C104" s="100">
        <v>23.83</v>
      </c>
      <c r="D104" s="100">
        <v>18.04</v>
      </c>
      <c r="E104" s="100">
        <v>8.49</v>
      </c>
      <c r="F104" s="100">
        <v>0</v>
      </c>
      <c r="G104" s="100">
        <v>113.27</v>
      </c>
      <c r="H104" s="100">
        <v>27.31</v>
      </c>
      <c r="I104" s="100">
        <v>8.2100000000000009</v>
      </c>
      <c r="J104" s="100">
        <v>0.24</v>
      </c>
      <c r="K104" s="100">
        <v>146.54</v>
      </c>
      <c r="L104" s="100">
        <v>21.9</v>
      </c>
      <c r="M104" s="100">
        <v>50.88</v>
      </c>
      <c r="N104" s="100">
        <v>0.8</v>
      </c>
      <c r="O104" s="100">
        <v>0</v>
      </c>
      <c r="P104" s="100">
        <v>0.77</v>
      </c>
      <c r="Q104" s="100">
        <v>28.5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</v>
      </c>
      <c r="C106" s="158">
        <f>MIN(C9:C104)</f>
        <v>5.8</v>
      </c>
      <c r="D106" s="158">
        <f t="shared" ref="D106:Q106" si="0">MIN(D9:D104)</f>
        <v>5.98</v>
      </c>
      <c r="E106" s="158">
        <f t="shared" si="0"/>
        <v>7.01</v>
      </c>
      <c r="F106" s="158">
        <f t="shared" si="0"/>
        <v>0</v>
      </c>
      <c r="G106" s="158">
        <f t="shared" si="0"/>
        <v>37.69</v>
      </c>
      <c r="H106" s="158">
        <f t="shared" si="0"/>
        <v>12.78</v>
      </c>
      <c r="I106" s="158">
        <f t="shared" si="0"/>
        <v>5.6</v>
      </c>
      <c r="J106" s="158">
        <f t="shared" si="0"/>
        <v>7.0000000000000007E-2</v>
      </c>
      <c r="K106" s="158">
        <f t="shared" si="0"/>
        <v>1.1399999999999999</v>
      </c>
      <c r="L106" s="158">
        <f t="shared" si="0"/>
        <v>16.21</v>
      </c>
      <c r="M106" s="158">
        <f t="shared" si="0"/>
        <v>11.31</v>
      </c>
      <c r="N106" s="158">
        <f t="shared" si="0"/>
        <v>0.3</v>
      </c>
      <c r="O106" s="158">
        <f t="shared" si="0"/>
        <v>0</v>
      </c>
      <c r="P106" s="158">
        <f t="shared" si="0"/>
        <v>0.5</v>
      </c>
      <c r="Q106" s="158">
        <f t="shared" si="0"/>
        <v>27.99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11.13</v>
      </c>
      <c r="C107" s="157">
        <f t="shared" ref="C107:Q107" si="1">MAX(C9:C104)</f>
        <v>23.83</v>
      </c>
      <c r="D107" s="157">
        <f t="shared" si="1"/>
        <v>20.36</v>
      </c>
      <c r="E107" s="157">
        <f t="shared" si="1"/>
        <v>16.72</v>
      </c>
      <c r="F107" s="157">
        <f t="shared" si="1"/>
        <v>0</v>
      </c>
      <c r="G107" s="157">
        <f t="shared" si="1"/>
        <v>115.12</v>
      </c>
      <c r="H107" s="157">
        <f t="shared" si="1"/>
        <v>46.09</v>
      </c>
      <c r="I107" s="157">
        <f t="shared" si="1"/>
        <v>13.01</v>
      </c>
      <c r="J107" s="157">
        <f t="shared" si="1"/>
        <v>1.1399999999999999</v>
      </c>
      <c r="K107" s="157">
        <f t="shared" si="1"/>
        <v>357.44</v>
      </c>
      <c r="L107" s="157">
        <f t="shared" si="1"/>
        <v>36.01</v>
      </c>
      <c r="M107" s="157">
        <f t="shared" si="1"/>
        <v>65.739999999999995</v>
      </c>
      <c r="N107" s="157">
        <f t="shared" si="1"/>
        <v>361.5</v>
      </c>
      <c r="O107" s="157">
        <f t="shared" si="1"/>
        <v>0</v>
      </c>
      <c r="P107" s="157">
        <f t="shared" si="1"/>
        <v>1.06</v>
      </c>
      <c r="Q107" s="157">
        <f t="shared" si="1"/>
        <v>28.69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4.4308333333333323</v>
      </c>
      <c r="C108" s="158">
        <f t="shared" ref="C108:Q108" si="2">AVERAGE(C9:C104)</f>
        <v>13.526249999999999</v>
      </c>
      <c r="D108" s="158">
        <f t="shared" si="2"/>
        <v>11.970729166666665</v>
      </c>
      <c r="E108" s="158">
        <f t="shared" si="2"/>
        <v>9.4219791666666648</v>
      </c>
      <c r="F108" s="158">
        <f t="shared" si="2"/>
        <v>0</v>
      </c>
      <c r="G108" s="158">
        <f t="shared" si="2"/>
        <v>73.479895833333359</v>
      </c>
      <c r="H108" s="158">
        <f t="shared" si="2"/>
        <v>26.451666666666664</v>
      </c>
      <c r="I108" s="158">
        <f t="shared" si="2"/>
        <v>9.046875</v>
      </c>
      <c r="J108" s="158">
        <f t="shared" si="2"/>
        <v>0.32729166666666681</v>
      </c>
      <c r="K108" s="158">
        <f t="shared" si="2"/>
        <v>182.96906250000004</v>
      </c>
      <c r="L108" s="158">
        <f t="shared" si="2"/>
        <v>25.916354166666675</v>
      </c>
      <c r="M108" s="158">
        <f t="shared" si="2"/>
        <v>35.73572916666668</v>
      </c>
      <c r="N108" s="158">
        <f t="shared" si="2"/>
        <v>93.124999999999929</v>
      </c>
      <c r="O108" s="158">
        <f t="shared" si="2"/>
        <v>0</v>
      </c>
      <c r="P108" s="158">
        <f t="shared" si="2"/>
        <v>0.74927083333333322</v>
      </c>
      <c r="Q108" s="158">
        <f t="shared" si="2"/>
        <v>28.146562500000002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2.8442254210266178</v>
      </c>
      <c r="C109" s="158">
        <f t="shared" ref="C109:Q109" si="3">STDEV(C9:C104)</f>
        <v>4.0707369693562976</v>
      </c>
      <c r="D109" s="158">
        <f t="shared" si="3"/>
        <v>3.9547602881089445</v>
      </c>
      <c r="E109" s="158">
        <f t="shared" si="3"/>
        <v>1.8042485648523994</v>
      </c>
      <c r="F109" s="158">
        <f t="shared" si="3"/>
        <v>0</v>
      </c>
      <c r="G109" s="158">
        <f t="shared" si="3"/>
        <v>22.088572396498392</v>
      </c>
      <c r="H109" s="158">
        <f t="shared" si="3"/>
        <v>8.3986132522818018</v>
      </c>
      <c r="I109" s="158">
        <f t="shared" si="3"/>
        <v>2.0346608730746869</v>
      </c>
      <c r="J109" s="158">
        <f t="shared" si="3"/>
        <v>0.22846618621934844</v>
      </c>
      <c r="K109" s="158">
        <f t="shared" si="3"/>
        <v>79.0514834918974</v>
      </c>
      <c r="L109" s="158">
        <f t="shared" si="3"/>
        <v>6.8627433704009473</v>
      </c>
      <c r="M109" s="158">
        <f t="shared" si="3"/>
        <v>18.042360724565665</v>
      </c>
      <c r="N109" s="158">
        <f t="shared" si="3"/>
        <v>134.43311856987131</v>
      </c>
      <c r="O109" s="158">
        <f t="shared" si="3"/>
        <v>0</v>
      </c>
      <c r="P109" s="158">
        <f t="shared" si="3"/>
        <v>0.16008711307263393</v>
      </c>
      <c r="Q109" s="158">
        <f t="shared" si="3"/>
        <v>0.20177542558106765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90" activePane="bottomRight" state="frozen"/>
      <selection pane="topRight"/>
      <selection pane="bottomLeft"/>
      <selection pane="bottomRight" activeCell="I95" sqref="I95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09/03/2025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1007</v>
      </c>
      <c r="B9" s="100">
        <v>17.7</v>
      </c>
      <c r="C9" s="100">
        <v>25.05</v>
      </c>
      <c r="D9" s="100">
        <v>28.63</v>
      </c>
      <c r="E9" s="100">
        <v>8.86</v>
      </c>
      <c r="F9" s="152" t="s">
        <v>15</v>
      </c>
      <c r="G9" s="100">
        <v>134.47999999999999</v>
      </c>
      <c r="H9" s="100">
        <v>36.5</v>
      </c>
      <c r="I9" s="100">
        <v>8.35</v>
      </c>
      <c r="J9" s="100">
        <v>0.24</v>
      </c>
      <c r="K9" s="100">
        <v>179.62</v>
      </c>
      <c r="L9" s="100">
        <v>21.45</v>
      </c>
      <c r="M9" s="100">
        <v>54.1</v>
      </c>
      <c r="N9" s="100">
        <v>1</v>
      </c>
      <c r="O9" s="100">
        <v>0</v>
      </c>
      <c r="P9" s="100">
        <v>0.78</v>
      </c>
      <c r="Q9" s="100">
        <v>28.58</v>
      </c>
      <c r="R9" s="6"/>
      <c r="S9" s="6"/>
      <c r="T9" s="156"/>
      <c r="U9" s="6"/>
    </row>
    <row r="10" spans="1:21" customFormat="1">
      <c r="A10" s="163" t="s">
        <v>1008</v>
      </c>
      <c r="B10" s="100">
        <v>18.559999999999999</v>
      </c>
      <c r="C10" s="100">
        <v>25.15</v>
      </c>
      <c r="D10" s="100">
        <v>29.38</v>
      </c>
      <c r="E10" s="100">
        <v>8.5399999999999991</v>
      </c>
      <c r="F10" s="152" t="s">
        <v>15</v>
      </c>
      <c r="G10" s="100">
        <v>136.26</v>
      </c>
      <c r="H10" s="100">
        <v>36.5</v>
      </c>
      <c r="I10" s="100">
        <v>8.44</v>
      </c>
      <c r="J10" s="100">
        <v>0.13</v>
      </c>
      <c r="K10" s="100">
        <v>186.64</v>
      </c>
      <c r="L10" s="100">
        <v>20.99</v>
      </c>
      <c r="M10" s="100">
        <v>52.06</v>
      </c>
      <c r="N10" s="100">
        <v>0.9</v>
      </c>
      <c r="O10" s="100">
        <v>0</v>
      </c>
      <c r="P10" s="100">
        <v>0.8</v>
      </c>
      <c r="Q10" s="100">
        <v>28.63</v>
      </c>
      <c r="R10" s="6"/>
      <c r="S10" s="6"/>
      <c r="T10" s="156"/>
      <c r="U10" s="6"/>
    </row>
    <row r="11" spans="1:21" customFormat="1">
      <c r="A11" s="163" t="s">
        <v>1009</v>
      </c>
      <c r="B11" s="100">
        <v>18.670000000000002</v>
      </c>
      <c r="C11" s="100">
        <v>24.89</v>
      </c>
      <c r="D11" s="100">
        <v>29.33</v>
      </c>
      <c r="E11" s="100">
        <v>8.58</v>
      </c>
      <c r="F11" s="152" t="s">
        <v>15</v>
      </c>
      <c r="G11" s="100">
        <v>136.26</v>
      </c>
      <c r="H11" s="100">
        <v>36.5</v>
      </c>
      <c r="I11" s="100">
        <v>8.51</v>
      </c>
      <c r="J11" s="100">
        <v>0.24</v>
      </c>
      <c r="K11" s="100">
        <v>180.88</v>
      </c>
      <c r="L11" s="100">
        <v>20.92</v>
      </c>
      <c r="M11" s="100">
        <v>53.09</v>
      </c>
      <c r="N11" s="100">
        <v>0.9</v>
      </c>
      <c r="O11" s="100">
        <v>0</v>
      </c>
      <c r="P11" s="100">
        <v>0.81</v>
      </c>
      <c r="Q11" s="100">
        <v>28.65</v>
      </c>
      <c r="R11" s="6"/>
      <c r="S11" s="6"/>
      <c r="T11" s="156"/>
      <c r="U11" s="6"/>
    </row>
    <row r="12" spans="1:21" customFormat="1">
      <c r="A12" s="163" t="s">
        <v>1010</v>
      </c>
      <c r="B12" s="100">
        <v>18.64</v>
      </c>
      <c r="C12" s="100">
        <v>24.5</v>
      </c>
      <c r="D12" s="100">
        <v>29.09</v>
      </c>
      <c r="E12" s="100">
        <v>8.4700000000000006</v>
      </c>
      <c r="F12" s="152" t="s">
        <v>15</v>
      </c>
      <c r="G12" s="100">
        <v>136.26</v>
      </c>
      <c r="H12" s="100">
        <v>36.5</v>
      </c>
      <c r="I12" s="100">
        <v>8.6</v>
      </c>
      <c r="J12" s="100">
        <v>0.18</v>
      </c>
      <c r="K12" s="100">
        <v>185.39</v>
      </c>
      <c r="L12" s="100">
        <v>20.04</v>
      </c>
      <c r="M12" s="100">
        <v>57.23</v>
      </c>
      <c r="N12" s="100">
        <v>1.3</v>
      </c>
      <c r="O12" s="100">
        <v>0</v>
      </c>
      <c r="P12" s="100">
        <v>0.81</v>
      </c>
      <c r="Q12" s="100">
        <v>28.62</v>
      </c>
      <c r="R12" s="6"/>
      <c r="S12" s="6"/>
      <c r="T12" s="156"/>
      <c r="U12" s="6"/>
    </row>
    <row r="13" spans="1:21" customFormat="1">
      <c r="A13" s="163" t="s">
        <v>1011</v>
      </c>
      <c r="B13" s="100">
        <v>18.39</v>
      </c>
      <c r="C13" s="100">
        <v>24.03</v>
      </c>
      <c r="D13" s="100">
        <v>28.66</v>
      </c>
      <c r="E13" s="100">
        <v>8.6300000000000008</v>
      </c>
      <c r="F13" s="152" t="s">
        <v>15</v>
      </c>
      <c r="G13" s="100">
        <v>116.79</v>
      </c>
      <c r="H13" s="100">
        <v>34.85</v>
      </c>
      <c r="I13" s="100">
        <v>8.6300000000000008</v>
      </c>
      <c r="J13" s="100">
        <v>0.16</v>
      </c>
      <c r="K13" s="100">
        <v>23.06</v>
      </c>
      <c r="L13" s="100">
        <v>20.12</v>
      </c>
      <c r="M13" s="100">
        <v>54.15</v>
      </c>
      <c r="N13" s="100">
        <v>0.6</v>
      </c>
      <c r="O13" s="100">
        <v>0</v>
      </c>
      <c r="P13" s="100">
        <v>0.82</v>
      </c>
      <c r="Q13" s="100">
        <v>28.61</v>
      </c>
      <c r="R13" s="6"/>
      <c r="S13" s="6"/>
      <c r="T13" s="156"/>
      <c r="U13" s="6"/>
    </row>
    <row r="14" spans="1:21" customFormat="1">
      <c r="A14" s="163" t="s">
        <v>1012</v>
      </c>
      <c r="B14" s="100">
        <v>18.5</v>
      </c>
      <c r="C14" s="100">
        <v>23.67</v>
      </c>
      <c r="D14" s="100">
        <v>28.55</v>
      </c>
      <c r="E14" s="100">
        <v>8.5500000000000007</v>
      </c>
      <c r="F14" s="152" t="s">
        <v>15</v>
      </c>
      <c r="G14" s="100">
        <v>115.15</v>
      </c>
      <c r="H14" s="100">
        <v>34.85</v>
      </c>
      <c r="I14" s="100">
        <v>8.66</v>
      </c>
      <c r="J14" s="100">
        <v>0.71</v>
      </c>
      <c r="K14" s="100">
        <v>26.38</v>
      </c>
      <c r="L14" s="100">
        <v>22.21</v>
      </c>
      <c r="M14" s="100">
        <v>40.01</v>
      </c>
      <c r="N14" s="100">
        <v>0</v>
      </c>
      <c r="O14" s="100">
        <v>0</v>
      </c>
      <c r="P14" s="100">
        <v>0.82</v>
      </c>
      <c r="Q14" s="100">
        <v>28.61</v>
      </c>
      <c r="R14" s="6"/>
      <c r="S14" s="6"/>
      <c r="T14" s="156"/>
      <c r="U14" s="6"/>
    </row>
    <row r="15" spans="1:21" customFormat="1">
      <c r="A15" s="163" t="s">
        <v>1013</v>
      </c>
      <c r="B15" s="100">
        <v>19</v>
      </c>
      <c r="C15" s="100">
        <v>23.92</v>
      </c>
      <c r="D15" s="100">
        <v>29.08</v>
      </c>
      <c r="E15" s="100">
        <v>8.8000000000000007</v>
      </c>
      <c r="F15" s="152" t="s">
        <v>15</v>
      </c>
      <c r="G15" s="100">
        <v>115.15</v>
      </c>
      <c r="H15" s="100">
        <v>34.85</v>
      </c>
      <c r="I15" s="100">
        <v>8.69</v>
      </c>
      <c r="J15" s="100">
        <v>0.32</v>
      </c>
      <c r="K15" s="100">
        <v>72.849999999999994</v>
      </c>
      <c r="L15" s="100">
        <v>22.89</v>
      </c>
      <c r="M15" s="100">
        <v>36.78</v>
      </c>
      <c r="N15" s="100">
        <v>0.6</v>
      </c>
      <c r="O15" s="100">
        <v>0</v>
      </c>
      <c r="P15" s="100">
        <v>0.83</v>
      </c>
      <c r="Q15" s="100">
        <v>28.62</v>
      </c>
      <c r="R15" s="6"/>
      <c r="S15" s="6"/>
      <c r="T15" s="156"/>
      <c r="U15" s="6"/>
    </row>
    <row r="16" spans="1:21" customFormat="1">
      <c r="A16" s="163" t="s">
        <v>1014</v>
      </c>
      <c r="B16" s="100">
        <v>19.559999999999999</v>
      </c>
      <c r="C16" s="100">
        <v>23.6</v>
      </c>
      <c r="D16" s="100">
        <v>29.36</v>
      </c>
      <c r="E16" s="100">
        <v>8.76</v>
      </c>
      <c r="F16" s="152" t="s">
        <v>15</v>
      </c>
      <c r="G16" s="100">
        <v>115.15</v>
      </c>
      <c r="H16" s="100">
        <v>34.85</v>
      </c>
      <c r="I16" s="100">
        <v>8.74</v>
      </c>
      <c r="J16" s="100">
        <v>0.18</v>
      </c>
      <c r="K16" s="100">
        <v>123.42</v>
      </c>
      <c r="L16" s="100">
        <v>22.28</v>
      </c>
      <c r="M16" s="100">
        <v>40.049999999999997</v>
      </c>
      <c r="N16" s="100">
        <v>1.2</v>
      </c>
      <c r="O16" s="100">
        <v>0</v>
      </c>
      <c r="P16" s="100">
        <v>0.83</v>
      </c>
      <c r="Q16" s="100">
        <v>28.62</v>
      </c>
      <c r="R16" s="6"/>
      <c r="S16" s="6"/>
      <c r="T16" s="156"/>
      <c r="U16" s="6"/>
    </row>
    <row r="17" spans="1:21" customFormat="1">
      <c r="A17" s="163" t="s">
        <v>1015</v>
      </c>
      <c r="B17" s="100">
        <v>19.579999999999998</v>
      </c>
      <c r="C17" s="100">
        <v>23.73</v>
      </c>
      <c r="D17" s="100">
        <v>29.46</v>
      </c>
      <c r="E17" s="100">
        <v>6.88</v>
      </c>
      <c r="F17" s="152" t="s">
        <v>15</v>
      </c>
      <c r="G17" s="100">
        <v>100.84</v>
      </c>
      <c r="H17" s="100">
        <v>33.82</v>
      </c>
      <c r="I17" s="100">
        <v>8.81</v>
      </c>
      <c r="J17" s="100">
        <v>0.25</v>
      </c>
      <c r="K17" s="100">
        <v>85.55</v>
      </c>
      <c r="L17" s="100">
        <v>22.06</v>
      </c>
      <c r="M17" s="100">
        <v>38.549999999999997</v>
      </c>
      <c r="N17" s="100">
        <v>0.9</v>
      </c>
      <c r="O17" s="100">
        <v>0</v>
      </c>
      <c r="P17" s="100">
        <v>0.84</v>
      </c>
      <c r="Q17" s="100">
        <v>28.61</v>
      </c>
      <c r="R17" s="6"/>
      <c r="S17" s="6"/>
      <c r="T17" s="156"/>
      <c r="U17" s="6"/>
    </row>
    <row r="18" spans="1:21" customFormat="1">
      <c r="A18" s="163" t="s">
        <v>1016</v>
      </c>
      <c r="B18" s="100">
        <v>19.52</v>
      </c>
      <c r="C18" s="100">
        <v>23.77</v>
      </c>
      <c r="D18" s="100">
        <v>29.43</v>
      </c>
      <c r="E18" s="100">
        <v>8.31</v>
      </c>
      <c r="F18" s="152" t="s">
        <v>15</v>
      </c>
      <c r="G18" s="100">
        <v>99.45</v>
      </c>
      <c r="H18" s="100">
        <v>33.82</v>
      </c>
      <c r="I18" s="100">
        <v>8.83</v>
      </c>
      <c r="J18" s="100">
        <v>0.09</v>
      </c>
      <c r="K18" s="100">
        <v>187.81</v>
      </c>
      <c r="L18" s="100">
        <v>21.91</v>
      </c>
      <c r="M18" s="100">
        <v>41.6</v>
      </c>
      <c r="N18" s="100">
        <v>1</v>
      </c>
      <c r="O18" s="100">
        <v>0</v>
      </c>
      <c r="P18" s="100">
        <v>0.84</v>
      </c>
      <c r="Q18" s="100">
        <v>28.66</v>
      </c>
      <c r="R18" s="6"/>
      <c r="S18" s="6"/>
      <c r="T18" s="156"/>
      <c r="U18" s="6"/>
    </row>
    <row r="19" spans="1:21" customFormat="1">
      <c r="A19" s="163" t="s">
        <v>1017</v>
      </c>
      <c r="B19" s="100">
        <v>20.5</v>
      </c>
      <c r="C19" s="100">
        <v>22.95</v>
      </c>
      <c r="D19" s="100">
        <v>29.78</v>
      </c>
      <c r="E19" s="100">
        <v>7.98</v>
      </c>
      <c r="F19" s="152" t="s">
        <v>15</v>
      </c>
      <c r="G19" s="100">
        <v>99.45</v>
      </c>
      <c r="H19" s="100">
        <v>33.82</v>
      </c>
      <c r="I19" s="100">
        <v>8.8699999999999992</v>
      </c>
      <c r="J19" s="100">
        <v>0.17</v>
      </c>
      <c r="K19" s="100">
        <v>178.99</v>
      </c>
      <c r="L19" s="100">
        <v>20.73</v>
      </c>
      <c r="M19" s="100">
        <v>49.61</v>
      </c>
      <c r="N19" s="100">
        <v>1.6</v>
      </c>
      <c r="O19" s="100">
        <v>0</v>
      </c>
      <c r="P19" s="100">
        <v>0.84</v>
      </c>
      <c r="Q19" s="100">
        <v>28.64</v>
      </c>
      <c r="R19" s="6"/>
      <c r="S19" s="6"/>
      <c r="T19" s="156"/>
      <c r="U19" s="6"/>
    </row>
    <row r="20" spans="1:21" customFormat="1">
      <c r="A20" s="163" t="s">
        <v>1018</v>
      </c>
      <c r="B20" s="100">
        <v>22.31</v>
      </c>
      <c r="C20" s="100">
        <v>21.18</v>
      </c>
      <c r="D20" s="100">
        <v>30.31</v>
      </c>
      <c r="E20" s="100">
        <v>7.99</v>
      </c>
      <c r="F20" s="152" t="s">
        <v>15</v>
      </c>
      <c r="G20" s="100">
        <v>99.45</v>
      </c>
      <c r="H20" s="100">
        <v>33.82</v>
      </c>
      <c r="I20" s="100">
        <v>8.92</v>
      </c>
      <c r="J20" s="100">
        <v>0.21</v>
      </c>
      <c r="K20" s="100">
        <v>185.97</v>
      </c>
      <c r="L20" s="100">
        <v>20.190000000000001</v>
      </c>
      <c r="M20" s="100">
        <v>49.37</v>
      </c>
      <c r="N20" s="100">
        <v>1.2</v>
      </c>
      <c r="O20" s="100">
        <v>0</v>
      </c>
      <c r="P20" s="100">
        <v>0.84</v>
      </c>
      <c r="Q20" s="100">
        <v>28.64</v>
      </c>
      <c r="R20" s="6"/>
      <c r="S20" s="6"/>
      <c r="T20" s="156"/>
      <c r="U20" s="6"/>
    </row>
    <row r="21" spans="1:21" customFormat="1">
      <c r="A21" s="163" t="s">
        <v>1019</v>
      </c>
      <c r="B21" s="100">
        <v>22.7</v>
      </c>
      <c r="C21" s="100">
        <v>20.260000000000002</v>
      </c>
      <c r="D21" s="100">
        <v>30.14</v>
      </c>
      <c r="E21" s="100">
        <v>7.82</v>
      </c>
      <c r="F21" s="152" t="s">
        <v>15</v>
      </c>
      <c r="G21" s="100">
        <v>100.67</v>
      </c>
      <c r="H21" s="100">
        <v>34.14</v>
      </c>
      <c r="I21" s="100">
        <v>8.94</v>
      </c>
      <c r="J21" s="100">
        <v>0.21</v>
      </c>
      <c r="K21" s="100">
        <v>198.67</v>
      </c>
      <c r="L21" s="100">
        <v>19.899999999999999</v>
      </c>
      <c r="M21" s="100">
        <v>51.33</v>
      </c>
      <c r="N21" s="100">
        <v>1.2</v>
      </c>
      <c r="O21" s="100">
        <v>0</v>
      </c>
      <c r="P21" s="100">
        <v>0.84</v>
      </c>
      <c r="Q21" s="100">
        <v>28.6</v>
      </c>
      <c r="R21" s="6"/>
      <c r="S21" s="6"/>
      <c r="T21" s="156"/>
      <c r="U21" s="6"/>
    </row>
    <row r="22" spans="1:21" customFormat="1">
      <c r="A22" s="163" t="s">
        <v>1020</v>
      </c>
      <c r="B22" s="100">
        <v>21.13</v>
      </c>
      <c r="C22" s="100">
        <v>20.8</v>
      </c>
      <c r="D22" s="100">
        <v>29.16</v>
      </c>
      <c r="E22" s="100">
        <v>7.77</v>
      </c>
      <c r="F22" s="152" t="s">
        <v>15</v>
      </c>
      <c r="G22" s="100">
        <v>100.79</v>
      </c>
      <c r="H22" s="100">
        <v>34.14</v>
      </c>
      <c r="I22" s="100">
        <v>8.99</v>
      </c>
      <c r="J22" s="100">
        <v>0.12</v>
      </c>
      <c r="K22" s="100">
        <v>175.35</v>
      </c>
      <c r="L22" s="100">
        <v>19.36</v>
      </c>
      <c r="M22" s="100">
        <v>53.32</v>
      </c>
      <c r="N22" s="100">
        <v>1.1000000000000001</v>
      </c>
      <c r="O22" s="100">
        <v>0</v>
      </c>
      <c r="P22" s="100">
        <v>0.84</v>
      </c>
      <c r="Q22" s="100">
        <v>28.6</v>
      </c>
      <c r="R22" s="6"/>
      <c r="S22" s="6"/>
      <c r="T22" s="156"/>
      <c r="U22" s="6"/>
    </row>
    <row r="23" spans="1:21" customFormat="1">
      <c r="A23" s="163" t="s">
        <v>1021</v>
      </c>
      <c r="B23" s="100">
        <v>20.92</v>
      </c>
      <c r="C23" s="100">
        <v>20.3</v>
      </c>
      <c r="D23" s="100">
        <v>28.73</v>
      </c>
      <c r="E23" s="100">
        <v>7.72</v>
      </c>
      <c r="F23" s="152" t="s">
        <v>15</v>
      </c>
      <c r="G23" s="100">
        <v>100.79</v>
      </c>
      <c r="H23" s="100">
        <v>34.14</v>
      </c>
      <c r="I23" s="100">
        <v>9.01</v>
      </c>
      <c r="J23" s="100">
        <v>0.15</v>
      </c>
      <c r="K23" s="100">
        <v>202.82</v>
      </c>
      <c r="L23" s="100">
        <v>19.170000000000002</v>
      </c>
      <c r="M23" s="100">
        <v>56.69</v>
      </c>
      <c r="N23" s="100">
        <v>1</v>
      </c>
      <c r="O23" s="100">
        <v>0</v>
      </c>
      <c r="P23" s="100">
        <v>0.85</v>
      </c>
      <c r="Q23" s="100">
        <v>28.59</v>
      </c>
      <c r="R23" s="6"/>
      <c r="S23" s="6"/>
      <c r="T23" s="156"/>
      <c r="U23" s="6"/>
    </row>
    <row r="24" spans="1:21" customFormat="1">
      <c r="A24" s="163" t="s">
        <v>1022</v>
      </c>
      <c r="B24" s="100">
        <v>21.46</v>
      </c>
      <c r="C24" s="100">
        <v>19.21</v>
      </c>
      <c r="D24" s="100">
        <v>28.6</v>
      </c>
      <c r="E24" s="100">
        <v>7.67</v>
      </c>
      <c r="F24" s="152" t="s">
        <v>15</v>
      </c>
      <c r="G24" s="100">
        <v>100.79</v>
      </c>
      <c r="H24" s="100">
        <v>34.14</v>
      </c>
      <c r="I24" s="100">
        <v>9.01</v>
      </c>
      <c r="J24" s="100">
        <v>0.1</v>
      </c>
      <c r="K24" s="100">
        <v>164.81</v>
      </c>
      <c r="L24" s="100">
        <v>19.09</v>
      </c>
      <c r="M24" s="100">
        <v>56.87</v>
      </c>
      <c r="N24" s="100">
        <v>0.9</v>
      </c>
      <c r="O24" s="100">
        <v>0</v>
      </c>
      <c r="P24" s="100">
        <v>0.85</v>
      </c>
      <c r="Q24" s="100">
        <v>28.56</v>
      </c>
      <c r="R24" s="6"/>
      <c r="S24" s="6"/>
      <c r="T24" s="156"/>
      <c r="U24" s="6"/>
    </row>
    <row r="25" spans="1:21" customFormat="1">
      <c r="A25" s="163" t="s">
        <v>1023</v>
      </c>
      <c r="B25" s="100">
        <v>22.13</v>
      </c>
      <c r="C25" s="100">
        <v>18.41</v>
      </c>
      <c r="D25" s="100">
        <v>28.72</v>
      </c>
      <c r="E25" s="100">
        <v>7.62</v>
      </c>
      <c r="F25" s="152" t="s">
        <v>15</v>
      </c>
      <c r="G25" s="100">
        <v>87.14</v>
      </c>
      <c r="H25" s="100">
        <v>30.12</v>
      </c>
      <c r="I25" s="100">
        <v>9.02</v>
      </c>
      <c r="J25" s="100">
        <v>0.22</v>
      </c>
      <c r="K25" s="100">
        <v>89.69</v>
      </c>
      <c r="L25" s="100">
        <v>19.39</v>
      </c>
      <c r="M25" s="100">
        <v>52.36</v>
      </c>
      <c r="N25" s="100">
        <v>0.6</v>
      </c>
      <c r="O25" s="100">
        <v>0</v>
      </c>
      <c r="P25" s="100">
        <v>0.84</v>
      </c>
      <c r="Q25" s="100">
        <v>28.55</v>
      </c>
      <c r="R25" s="6"/>
      <c r="S25" s="6"/>
      <c r="T25" s="156"/>
      <c r="U25" s="6"/>
    </row>
    <row r="26" spans="1:21" customFormat="1">
      <c r="A26" s="163" t="s">
        <v>1024</v>
      </c>
      <c r="B26" s="100">
        <v>22.32</v>
      </c>
      <c r="C26" s="100">
        <v>19.05</v>
      </c>
      <c r="D26" s="100">
        <v>29.2</v>
      </c>
      <c r="E26" s="100">
        <v>7.78</v>
      </c>
      <c r="F26" s="152" t="s">
        <v>15</v>
      </c>
      <c r="G26" s="100">
        <v>85.8</v>
      </c>
      <c r="H26" s="100">
        <v>30.12</v>
      </c>
      <c r="I26" s="100">
        <v>8.8800000000000008</v>
      </c>
      <c r="J26" s="100">
        <v>0.13</v>
      </c>
      <c r="K26" s="100">
        <v>160.97</v>
      </c>
      <c r="L26" s="100">
        <v>19.63</v>
      </c>
      <c r="M26" s="100">
        <v>54.61</v>
      </c>
      <c r="N26" s="100">
        <v>0.7</v>
      </c>
      <c r="O26" s="100">
        <v>0</v>
      </c>
      <c r="P26" s="100">
        <v>0.84</v>
      </c>
      <c r="Q26" s="100">
        <v>28.58</v>
      </c>
      <c r="R26" s="6"/>
      <c r="S26" s="6"/>
      <c r="T26" s="156"/>
      <c r="U26" s="6"/>
    </row>
    <row r="27" spans="1:21" customFormat="1">
      <c r="A27" s="163" t="s">
        <v>1025</v>
      </c>
      <c r="B27" s="100">
        <v>21.53</v>
      </c>
      <c r="C27" s="100">
        <v>20.87</v>
      </c>
      <c r="D27" s="100">
        <v>29.52</v>
      </c>
      <c r="E27" s="100">
        <v>7.98</v>
      </c>
      <c r="F27" s="152" t="s">
        <v>15</v>
      </c>
      <c r="G27" s="100">
        <v>85.8</v>
      </c>
      <c r="H27" s="100">
        <v>30.12</v>
      </c>
      <c r="I27" s="100">
        <v>8.65</v>
      </c>
      <c r="J27" s="100">
        <v>0.17</v>
      </c>
      <c r="K27" s="100">
        <v>15.63</v>
      </c>
      <c r="L27" s="100">
        <v>19.72</v>
      </c>
      <c r="M27" s="100">
        <v>53.28</v>
      </c>
      <c r="N27" s="100">
        <v>0.4</v>
      </c>
      <c r="O27" s="100">
        <v>0</v>
      </c>
      <c r="P27" s="100">
        <v>0.85</v>
      </c>
      <c r="Q27" s="100">
        <v>28.64</v>
      </c>
      <c r="R27" s="6"/>
      <c r="S27" s="6"/>
      <c r="T27" s="156"/>
      <c r="U27" s="6"/>
    </row>
    <row r="28" spans="1:21" customFormat="1">
      <c r="A28" s="163" t="s">
        <v>1026</v>
      </c>
      <c r="B28" s="100">
        <v>21.25</v>
      </c>
      <c r="C28" s="100">
        <v>22.27</v>
      </c>
      <c r="D28" s="100">
        <v>30.03</v>
      </c>
      <c r="E28" s="100">
        <v>7.68</v>
      </c>
      <c r="F28" s="152" t="s">
        <v>15</v>
      </c>
      <c r="G28" s="100">
        <v>85.8</v>
      </c>
      <c r="H28" s="100">
        <v>30.12</v>
      </c>
      <c r="I28" s="100">
        <v>8.86</v>
      </c>
      <c r="J28" s="100">
        <v>0.17</v>
      </c>
      <c r="K28" s="100">
        <v>161.97999999999999</v>
      </c>
      <c r="L28" s="100">
        <v>19.649999999999999</v>
      </c>
      <c r="M28" s="100">
        <v>57.81</v>
      </c>
      <c r="N28" s="100">
        <v>1.1000000000000001</v>
      </c>
      <c r="O28" s="100">
        <v>0</v>
      </c>
      <c r="P28" s="100">
        <v>0.84</v>
      </c>
      <c r="Q28" s="100">
        <v>28.7</v>
      </c>
      <c r="R28" s="6"/>
      <c r="S28" s="6"/>
      <c r="T28" s="156"/>
      <c r="U28" s="6"/>
    </row>
    <row r="29" spans="1:21" customFormat="1">
      <c r="A29" s="163" t="s">
        <v>1027</v>
      </c>
      <c r="B29" s="100">
        <v>21.98</v>
      </c>
      <c r="C29" s="100">
        <v>22.42</v>
      </c>
      <c r="D29" s="100">
        <v>30.69</v>
      </c>
      <c r="E29" s="100">
        <v>7.75</v>
      </c>
      <c r="F29" s="152" t="s">
        <v>15</v>
      </c>
      <c r="G29" s="100">
        <v>101.91</v>
      </c>
      <c r="H29" s="100">
        <v>34.51</v>
      </c>
      <c r="I29" s="100">
        <v>9.1300000000000008</v>
      </c>
      <c r="J29" s="100">
        <v>0.2</v>
      </c>
      <c r="K29" s="100">
        <v>154.97</v>
      </c>
      <c r="L29" s="100">
        <v>19.18</v>
      </c>
      <c r="M29" s="100">
        <v>58.4</v>
      </c>
      <c r="N29" s="100">
        <v>1</v>
      </c>
      <c r="O29" s="100">
        <v>0</v>
      </c>
      <c r="P29" s="100">
        <v>0.82</v>
      </c>
      <c r="Q29" s="100">
        <v>28.71</v>
      </c>
      <c r="R29" s="6"/>
      <c r="S29" s="6"/>
      <c r="T29" s="156"/>
      <c r="U29" s="6"/>
    </row>
    <row r="30" spans="1:21" customFormat="1">
      <c r="A30" s="163" t="s">
        <v>1028</v>
      </c>
      <c r="B30" s="100">
        <v>23.07</v>
      </c>
      <c r="C30" s="100">
        <v>22.11</v>
      </c>
      <c r="D30" s="100">
        <v>31.4</v>
      </c>
      <c r="E30" s="100">
        <v>8.0399999999999991</v>
      </c>
      <c r="F30" s="152" t="s">
        <v>15</v>
      </c>
      <c r="G30" s="100">
        <v>103.48</v>
      </c>
      <c r="H30" s="100">
        <v>34.51</v>
      </c>
      <c r="I30" s="100">
        <v>9.15</v>
      </c>
      <c r="J30" s="100">
        <v>0.22</v>
      </c>
      <c r="K30" s="100">
        <v>172.02</v>
      </c>
      <c r="L30" s="100">
        <v>19.12</v>
      </c>
      <c r="M30" s="100">
        <v>60.02</v>
      </c>
      <c r="N30" s="100">
        <v>0.9</v>
      </c>
      <c r="O30" s="100">
        <v>0</v>
      </c>
      <c r="P30" s="100">
        <v>0.82</v>
      </c>
      <c r="Q30" s="100">
        <v>28.76</v>
      </c>
      <c r="R30" s="6"/>
      <c r="S30" s="6"/>
      <c r="T30" s="156"/>
      <c r="U30" s="6"/>
    </row>
    <row r="31" spans="1:21" customFormat="1">
      <c r="A31" s="163" t="s">
        <v>1029</v>
      </c>
      <c r="B31" s="100">
        <v>24.23</v>
      </c>
      <c r="C31" s="100">
        <v>21.62</v>
      </c>
      <c r="D31" s="100">
        <v>32.08</v>
      </c>
      <c r="E31" s="100">
        <v>7.84</v>
      </c>
      <c r="F31" s="152" t="s">
        <v>15</v>
      </c>
      <c r="G31" s="100">
        <v>103.48</v>
      </c>
      <c r="H31" s="100">
        <v>34.51</v>
      </c>
      <c r="I31" s="100">
        <v>9.15</v>
      </c>
      <c r="J31" s="100">
        <v>0.25</v>
      </c>
      <c r="K31" s="100">
        <v>175.42</v>
      </c>
      <c r="L31" s="100">
        <v>18.55</v>
      </c>
      <c r="M31" s="100">
        <v>62.63</v>
      </c>
      <c r="N31" s="100">
        <v>1.2</v>
      </c>
      <c r="O31" s="100">
        <v>0</v>
      </c>
      <c r="P31" s="100">
        <v>0.82</v>
      </c>
      <c r="Q31" s="100">
        <v>28.78</v>
      </c>
      <c r="R31" s="6"/>
      <c r="S31" s="6"/>
      <c r="T31" s="156"/>
      <c r="U31" s="6"/>
    </row>
    <row r="32" spans="1:21" customFormat="1">
      <c r="A32" s="163" t="s">
        <v>1030</v>
      </c>
      <c r="B32" s="100">
        <v>24.04</v>
      </c>
      <c r="C32" s="100">
        <v>21.82</v>
      </c>
      <c r="D32" s="100">
        <v>32.03</v>
      </c>
      <c r="E32" s="100">
        <v>8.0399999999999991</v>
      </c>
      <c r="F32" s="152" t="s">
        <v>15</v>
      </c>
      <c r="G32" s="100">
        <v>103.48</v>
      </c>
      <c r="H32" s="100">
        <v>34.51</v>
      </c>
      <c r="I32" s="100">
        <v>9.16</v>
      </c>
      <c r="J32" s="100">
        <v>0.17</v>
      </c>
      <c r="K32" s="100">
        <v>182.86</v>
      </c>
      <c r="L32" s="100">
        <v>18.3</v>
      </c>
      <c r="M32" s="100">
        <v>59.04</v>
      </c>
      <c r="N32" s="100">
        <v>1</v>
      </c>
      <c r="O32" s="100">
        <v>0</v>
      </c>
      <c r="P32" s="100">
        <v>0.83</v>
      </c>
      <c r="Q32" s="100">
        <v>28.78</v>
      </c>
      <c r="R32" s="6"/>
      <c r="S32" s="6"/>
      <c r="T32" s="156"/>
      <c r="U32" s="6"/>
    </row>
    <row r="33" spans="1:21" customFormat="1">
      <c r="A33" s="163" t="s">
        <v>1031</v>
      </c>
      <c r="B33" s="100">
        <v>23.95</v>
      </c>
      <c r="C33" s="100">
        <v>22.15</v>
      </c>
      <c r="D33" s="100">
        <v>32.130000000000003</v>
      </c>
      <c r="E33" s="100">
        <v>7.8</v>
      </c>
      <c r="F33" s="152" t="s">
        <v>15</v>
      </c>
      <c r="G33" s="100">
        <v>104.6</v>
      </c>
      <c r="H33" s="100">
        <v>35.26</v>
      </c>
      <c r="I33" s="100">
        <v>9.19</v>
      </c>
      <c r="J33" s="100">
        <v>0.17</v>
      </c>
      <c r="K33" s="100">
        <v>179</v>
      </c>
      <c r="L33" s="100">
        <v>18.309999999999999</v>
      </c>
      <c r="M33" s="100">
        <v>59.34</v>
      </c>
      <c r="N33" s="100">
        <v>1.8</v>
      </c>
      <c r="O33" s="100">
        <v>0</v>
      </c>
      <c r="P33" s="100">
        <v>0.82</v>
      </c>
      <c r="Q33" s="100">
        <v>28.77</v>
      </c>
      <c r="R33" s="6"/>
      <c r="S33" s="6"/>
      <c r="T33" s="156"/>
      <c r="U33" s="6"/>
    </row>
    <row r="34" spans="1:21" customFormat="1">
      <c r="A34" s="163" t="s">
        <v>1032</v>
      </c>
      <c r="B34" s="100">
        <v>24.7</v>
      </c>
      <c r="C34" s="100">
        <v>22.7</v>
      </c>
      <c r="D34" s="100">
        <v>33.020000000000003</v>
      </c>
      <c r="E34" s="100">
        <v>7.94</v>
      </c>
      <c r="F34" s="152" t="s">
        <v>15</v>
      </c>
      <c r="G34" s="100">
        <v>104.7</v>
      </c>
      <c r="H34" s="100">
        <v>35.26</v>
      </c>
      <c r="I34" s="100">
        <v>9.24</v>
      </c>
      <c r="J34" s="100">
        <v>0.24</v>
      </c>
      <c r="K34" s="100">
        <v>153.36000000000001</v>
      </c>
      <c r="L34" s="100">
        <v>18.32</v>
      </c>
      <c r="M34" s="100">
        <v>61.27</v>
      </c>
      <c r="N34" s="100">
        <v>5.0999999999999996</v>
      </c>
      <c r="O34" s="100">
        <v>0</v>
      </c>
      <c r="P34" s="100">
        <v>0.82</v>
      </c>
      <c r="Q34" s="100">
        <v>28.83</v>
      </c>
      <c r="R34" s="6"/>
      <c r="S34" s="6"/>
      <c r="T34" s="156"/>
      <c r="U34" s="6"/>
    </row>
    <row r="35" spans="1:21" customFormat="1">
      <c r="A35" s="163" t="s">
        <v>1033</v>
      </c>
      <c r="B35" s="100">
        <v>25.6</v>
      </c>
      <c r="C35" s="100">
        <v>22.7</v>
      </c>
      <c r="D35" s="100">
        <v>33.74</v>
      </c>
      <c r="E35" s="100">
        <v>7.7</v>
      </c>
      <c r="F35" s="152" t="s">
        <v>15</v>
      </c>
      <c r="G35" s="100">
        <v>104.7</v>
      </c>
      <c r="H35" s="100">
        <v>35.26</v>
      </c>
      <c r="I35" s="100">
        <v>9.32</v>
      </c>
      <c r="J35" s="100">
        <v>0.22</v>
      </c>
      <c r="K35" s="100">
        <v>167.65</v>
      </c>
      <c r="L35" s="100">
        <v>18.37</v>
      </c>
      <c r="M35" s="100">
        <v>61.77</v>
      </c>
      <c r="N35" s="100">
        <v>11</v>
      </c>
      <c r="O35" s="100">
        <v>0</v>
      </c>
      <c r="P35" s="100">
        <v>0.83</v>
      </c>
      <c r="Q35" s="100">
        <v>28.89</v>
      </c>
      <c r="R35" s="6"/>
      <c r="S35" s="6"/>
      <c r="T35" s="156"/>
      <c r="U35" s="6"/>
    </row>
    <row r="36" spans="1:21" customFormat="1">
      <c r="A36" s="163" t="s">
        <v>1034</v>
      </c>
      <c r="B36" s="100">
        <v>26.38</v>
      </c>
      <c r="C36" s="100">
        <v>22.86</v>
      </c>
      <c r="D36" s="100">
        <v>34.450000000000003</v>
      </c>
      <c r="E36" s="100">
        <v>7.87</v>
      </c>
      <c r="F36" s="152" t="s">
        <v>15</v>
      </c>
      <c r="G36" s="100">
        <v>104.7</v>
      </c>
      <c r="H36" s="100">
        <v>35.26</v>
      </c>
      <c r="I36" s="100">
        <v>9.43</v>
      </c>
      <c r="J36" s="100">
        <v>0.08</v>
      </c>
      <c r="K36" s="100">
        <v>188.34</v>
      </c>
      <c r="L36" s="100">
        <v>18.8</v>
      </c>
      <c r="M36" s="100">
        <v>60.39</v>
      </c>
      <c r="N36" s="100">
        <v>17.3</v>
      </c>
      <c r="O36" s="100">
        <v>0</v>
      </c>
      <c r="P36" s="100">
        <v>0.84</v>
      </c>
      <c r="Q36" s="100">
        <v>28.91</v>
      </c>
      <c r="R36" s="6"/>
      <c r="S36" s="6"/>
      <c r="T36" s="156"/>
      <c r="U36" s="6"/>
    </row>
    <row r="37" spans="1:21" customFormat="1">
      <c r="A37" s="163" t="s">
        <v>1035</v>
      </c>
      <c r="B37" s="100">
        <v>26.96</v>
      </c>
      <c r="C37" s="100">
        <v>22.66</v>
      </c>
      <c r="D37" s="100">
        <v>34.81</v>
      </c>
      <c r="E37" s="100">
        <v>7.94</v>
      </c>
      <c r="F37" s="152" t="s">
        <v>15</v>
      </c>
      <c r="G37" s="100">
        <v>112.76</v>
      </c>
      <c r="H37" s="100">
        <v>37.92</v>
      </c>
      <c r="I37" s="100">
        <v>9.58</v>
      </c>
      <c r="J37" s="100">
        <v>0.34</v>
      </c>
      <c r="K37" s="100">
        <v>23.09</v>
      </c>
      <c r="L37" s="100">
        <v>19.78</v>
      </c>
      <c r="M37" s="100">
        <v>54.12</v>
      </c>
      <c r="N37" s="100">
        <v>23</v>
      </c>
      <c r="O37" s="100">
        <v>0</v>
      </c>
      <c r="P37" s="100">
        <v>0.84</v>
      </c>
      <c r="Q37" s="100">
        <v>28.94</v>
      </c>
      <c r="R37" s="6"/>
      <c r="S37" s="6"/>
      <c r="T37" s="156"/>
      <c r="U37" s="6"/>
    </row>
    <row r="38" spans="1:21" customFormat="1">
      <c r="A38" s="163" t="s">
        <v>1036</v>
      </c>
      <c r="B38" s="100">
        <v>27.13</v>
      </c>
      <c r="C38" s="100">
        <v>22.7</v>
      </c>
      <c r="D38" s="100">
        <v>34.97</v>
      </c>
      <c r="E38" s="100">
        <v>8.31</v>
      </c>
      <c r="F38" s="152" t="s">
        <v>15</v>
      </c>
      <c r="G38" s="100">
        <v>113.55</v>
      </c>
      <c r="H38" s="100">
        <v>37.92</v>
      </c>
      <c r="I38" s="100">
        <v>9.74</v>
      </c>
      <c r="J38" s="100">
        <v>0.6</v>
      </c>
      <c r="K38" s="100">
        <v>35.75</v>
      </c>
      <c r="L38" s="100">
        <v>21.08</v>
      </c>
      <c r="M38" s="100">
        <v>49.08</v>
      </c>
      <c r="N38" s="100">
        <v>29.8</v>
      </c>
      <c r="O38" s="100">
        <v>0</v>
      </c>
      <c r="P38" s="100">
        <v>0.87</v>
      </c>
      <c r="Q38" s="100">
        <v>28.96</v>
      </c>
      <c r="R38" s="6"/>
      <c r="S38" s="6"/>
      <c r="T38" s="156"/>
      <c r="U38" s="6"/>
    </row>
    <row r="39" spans="1:21" customFormat="1">
      <c r="A39" s="163" t="s">
        <v>1037</v>
      </c>
      <c r="B39" s="100">
        <v>27.03</v>
      </c>
      <c r="C39" s="100">
        <v>23.1</v>
      </c>
      <c r="D39" s="100">
        <v>35.1</v>
      </c>
      <c r="E39" s="100">
        <v>8.1300000000000008</v>
      </c>
      <c r="F39" s="152" t="s">
        <v>15</v>
      </c>
      <c r="G39" s="100">
        <v>113.55</v>
      </c>
      <c r="H39" s="100">
        <v>37.92</v>
      </c>
      <c r="I39" s="100">
        <v>10.02</v>
      </c>
      <c r="J39" s="100">
        <v>0.64</v>
      </c>
      <c r="K39" s="100">
        <v>40.03</v>
      </c>
      <c r="L39" s="100">
        <v>21.71</v>
      </c>
      <c r="M39" s="100">
        <v>50.76</v>
      </c>
      <c r="N39" s="100">
        <v>38.700000000000003</v>
      </c>
      <c r="O39" s="100">
        <v>0</v>
      </c>
      <c r="P39" s="100">
        <v>0.9</v>
      </c>
      <c r="Q39" s="100">
        <v>28.94</v>
      </c>
      <c r="R39" s="6"/>
      <c r="S39" s="6"/>
      <c r="T39" s="156"/>
      <c r="U39" s="6"/>
    </row>
    <row r="40" spans="1:21" customFormat="1">
      <c r="A40" s="163" t="s">
        <v>1038</v>
      </c>
      <c r="B40" s="100">
        <v>26.12</v>
      </c>
      <c r="C40" s="100">
        <v>23.19</v>
      </c>
      <c r="D40" s="100">
        <v>34.42</v>
      </c>
      <c r="E40" s="100">
        <v>7.97</v>
      </c>
      <c r="F40" s="152" t="s">
        <v>15</v>
      </c>
      <c r="G40" s="100">
        <v>113.55</v>
      </c>
      <c r="H40" s="100">
        <v>37.92</v>
      </c>
      <c r="I40" s="100">
        <v>10.46</v>
      </c>
      <c r="J40" s="100">
        <v>1.04</v>
      </c>
      <c r="K40" s="100">
        <v>58.03</v>
      </c>
      <c r="L40" s="100">
        <v>22.46</v>
      </c>
      <c r="M40" s="100">
        <v>49.34</v>
      </c>
      <c r="N40" s="100">
        <v>59.4</v>
      </c>
      <c r="O40" s="100">
        <v>0</v>
      </c>
      <c r="P40" s="100">
        <v>0.92</v>
      </c>
      <c r="Q40" s="100">
        <v>28.92</v>
      </c>
      <c r="R40" s="6"/>
      <c r="S40" s="6"/>
      <c r="T40" s="156"/>
      <c r="U40" s="6"/>
    </row>
    <row r="41" spans="1:21" customFormat="1">
      <c r="A41" s="163" t="s">
        <v>1039</v>
      </c>
      <c r="B41" s="100">
        <v>24.96</v>
      </c>
      <c r="C41" s="100">
        <v>23.68</v>
      </c>
      <c r="D41" s="100">
        <v>33.74</v>
      </c>
      <c r="E41" s="100">
        <v>8.11</v>
      </c>
      <c r="F41" s="152" t="s">
        <v>15</v>
      </c>
      <c r="G41" s="100">
        <v>132.94</v>
      </c>
      <c r="H41" s="100">
        <v>44.59</v>
      </c>
      <c r="I41" s="100">
        <v>10.85</v>
      </c>
      <c r="J41" s="100">
        <v>1.07</v>
      </c>
      <c r="K41" s="100">
        <v>55.43</v>
      </c>
      <c r="L41" s="100">
        <v>23.32</v>
      </c>
      <c r="M41" s="100">
        <v>45.81</v>
      </c>
      <c r="N41" s="100">
        <v>88</v>
      </c>
      <c r="O41" s="100">
        <v>0</v>
      </c>
      <c r="P41" s="100">
        <v>0.92</v>
      </c>
      <c r="Q41" s="100">
        <v>28.88</v>
      </c>
      <c r="R41" s="6"/>
      <c r="S41" s="6"/>
      <c r="T41" s="156"/>
      <c r="U41" s="6"/>
    </row>
    <row r="42" spans="1:21" customFormat="1">
      <c r="A42" s="163" t="s">
        <v>1040</v>
      </c>
      <c r="B42" s="100">
        <v>23.49</v>
      </c>
      <c r="C42" s="100">
        <v>24.1</v>
      </c>
      <c r="D42" s="100">
        <v>32.79</v>
      </c>
      <c r="E42" s="100">
        <v>7.97</v>
      </c>
      <c r="F42" s="152" t="s">
        <v>15</v>
      </c>
      <c r="G42" s="100">
        <v>134.84</v>
      </c>
      <c r="H42" s="100">
        <v>44.59</v>
      </c>
      <c r="I42" s="100">
        <v>11.05</v>
      </c>
      <c r="J42" s="100">
        <v>0.74</v>
      </c>
      <c r="K42" s="100">
        <v>65.64</v>
      </c>
      <c r="L42" s="100">
        <v>24.62</v>
      </c>
      <c r="M42" s="100">
        <v>41.85</v>
      </c>
      <c r="N42" s="100">
        <v>164.6</v>
      </c>
      <c r="O42" s="100">
        <v>0</v>
      </c>
      <c r="P42" s="100">
        <v>0.93</v>
      </c>
      <c r="Q42" s="100">
        <v>28.81</v>
      </c>
      <c r="R42" s="6"/>
      <c r="S42" s="6"/>
      <c r="T42" s="156"/>
      <c r="U42" s="6"/>
    </row>
    <row r="43" spans="1:21" customFormat="1">
      <c r="A43" s="163" t="s">
        <v>1041</v>
      </c>
      <c r="B43" s="100">
        <v>21.34</v>
      </c>
      <c r="C43" s="100">
        <v>24.73</v>
      </c>
      <c r="D43" s="100">
        <v>31.38</v>
      </c>
      <c r="E43" s="100">
        <v>8.34</v>
      </c>
      <c r="F43" s="152" t="s">
        <v>15</v>
      </c>
      <c r="G43" s="100">
        <v>134.84</v>
      </c>
      <c r="H43" s="100">
        <v>44.59</v>
      </c>
      <c r="I43" s="100">
        <v>11.18</v>
      </c>
      <c r="J43" s="100">
        <v>0.95</v>
      </c>
      <c r="K43" s="100">
        <v>61.41</v>
      </c>
      <c r="L43" s="100">
        <v>26.05</v>
      </c>
      <c r="M43" s="100">
        <v>36.07</v>
      </c>
      <c r="N43" s="100">
        <v>210.2</v>
      </c>
      <c r="O43" s="100">
        <v>0</v>
      </c>
      <c r="P43" s="100">
        <v>0.93</v>
      </c>
      <c r="Q43" s="100">
        <v>28.73</v>
      </c>
      <c r="R43" s="6"/>
      <c r="S43" s="6"/>
      <c r="T43" s="156"/>
      <c r="U43" s="6"/>
    </row>
    <row r="44" spans="1:21" customFormat="1">
      <c r="A44" s="163" t="s">
        <v>1042</v>
      </c>
      <c r="B44" s="100">
        <v>19.149999999999999</v>
      </c>
      <c r="C44" s="100">
        <v>25.52</v>
      </c>
      <c r="D44" s="100">
        <v>30.04</v>
      </c>
      <c r="E44" s="100">
        <v>9.76</v>
      </c>
      <c r="F44" s="152" t="s">
        <v>15</v>
      </c>
      <c r="G44" s="100">
        <v>134.84</v>
      </c>
      <c r="H44" s="100">
        <v>44.59</v>
      </c>
      <c r="I44" s="100">
        <v>11.35</v>
      </c>
      <c r="J44" s="100">
        <v>0.53</v>
      </c>
      <c r="K44" s="100">
        <v>76.72</v>
      </c>
      <c r="L44" s="100">
        <v>27.34</v>
      </c>
      <c r="M44" s="100">
        <v>30.79</v>
      </c>
      <c r="N44" s="100">
        <v>224.1</v>
      </c>
      <c r="O44" s="100">
        <v>0</v>
      </c>
      <c r="P44" s="100">
        <v>0.93</v>
      </c>
      <c r="Q44" s="100">
        <v>28.65</v>
      </c>
      <c r="R44" s="6"/>
      <c r="S44" s="6"/>
      <c r="T44" s="156"/>
      <c r="U44" s="6"/>
    </row>
    <row r="45" spans="1:21" customFormat="1">
      <c r="A45" s="163" t="s">
        <v>1043</v>
      </c>
      <c r="B45" s="100">
        <v>17.02</v>
      </c>
      <c r="C45" s="100">
        <v>26.31</v>
      </c>
      <c r="D45" s="100">
        <v>28.74</v>
      </c>
      <c r="E45" s="100">
        <v>10.02</v>
      </c>
      <c r="F45" s="152" t="s">
        <v>15</v>
      </c>
      <c r="G45" s="100">
        <v>122.13</v>
      </c>
      <c r="H45" s="100">
        <v>42.99</v>
      </c>
      <c r="I45" s="100">
        <v>11.58</v>
      </c>
      <c r="J45" s="100">
        <v>0.41</v>
      </c>
      <c r="K45" s="100">
        <v>79.63</v>
      </c>
      <c r="L45" s="100">
        <v>28.8</v>
      </c>
      <c r="M45" s="100">
        <v>28.67</v>
      </c>
      <c r="N45" s="100">
        <v>187.2</v>
      </c>
      <c r="O45" s="100">
        <v>0</v>
      </c>
      <c r="P45" s="100">
        <v>0.92</v>
      </c>
      <c r="Q45" s="100">
        <v>28.56</v>
      </c>
      <c r="R45" s="6"/>
      <c r="S45" s="6"/>
      <c r="T45" s="156"/>
      <c r="U45" s="6"/>
    </row>
    <row r="46" spans="1:21" customFormat="1">
      <c r="A46" s="163" t="s">
        <v>1044</v>
      </c>
      <c r="B46" s="100">
        <v>14.8</v>
      </c>
      <c r="C46" s="100">
        <v>26.93</v>
      </c>
      <c r="D46" s="100">
        <v>27.29</v>
      </c>
      <c r="E46" s="100">
        <v>9.11</v>
      </c>
      <c r="F46" s="152" t="s">
        <v>15</v>
      </c>
      <c r="G46" s="100">
        <v>120.89</v>
      </c>
      <c r="H46" s="100">
        <v>42.99</v>
      </c>
      <c r="I46" s="100">
        <v>11.64</v>
      </c>
      <c r="J46" s="100">
        <v>0.31</v>
      </c>
      <c r="K46" s="100">
        <v>84.22</v>
      </c>
      <c r="L46" s="100">
        <v>30.08</v>
      </c>
      <c r="M46" s="100">
        <v>25.94</v>
      </c>
      <c r="N46" s="100">
        <v>256.89999999999998</v>
      </c>
      <c r="O46" s="100">
        <v>0</v>
      </c>
      <c r="P46" s="100">
        <v>0.91</v>
      </c>
      <c r="Q46" s="100">
        <v>28.47</v>
      </c>
      <c r="R46" s="6"/>
      <c r="S46" s="6"/>
      <c r="T46" s="156"/>
      <c r="U46" s="6"/>
    </row>
    <row r="47" spans="1:21" customFormat="1">
      <c r="A47" s="163" t="s">
        <v>1045</v>
      </c>
      <c r="B47" s="100">
        <v>12.34</v>
      </c>
      <c r="C47" s="100">
        <v>27.33</v>
      </c>
      <c r="D47" s="100">
        <v>25.52</v>
      </c>
      <c r="E47" s="100">
        <v>8.27</v>
      </c>
      <c r="F47" s="152" t="s">
        <v>15</v>
      </c>
      <c r="G47" s="100">
        <v>120.89</v>
      </c>
      <c r="H47" s="100">
        <v>42.99</v>
      </c>
      <c r="I47" s="100">
        <v>11.52</v>
      </c>
      <c r="J47" s="100">
        <v>0.52</v>
      </c>
      <c r="K47" s="100">
        <v>71.819999999999993</v>
      </c>
      <c r="L47" s="100">
        <v>30.65</v>
      </c>
      <c r="M47" s="100">
        <v>24.48</v>
      </c>
      <c r="N47" s="100">
        <v>270.10000000000002</v>
      </c>
      <c r="O47" s="100">
        <v>0</v>
      </c>
      <c r="P47" s="100">
        <v>0.91</v>
      </c>
      <c r="Q47" s="100">
        <v>28.35</v>
      </c>
      <c r="R47" s="6"/>
      <c r="S47" s="6"/>
      <c r="T47" s="156"/>
      <c r="U47" s="6"/>
    </row>
    <row r="48" spans="1:21" customFormat="1">
      <c r="A48" s="163" t="s">
        <v>1046</v>
      </c>
      <c r="B48" s="100">
        <v>9.99</v>
      </c>
      <c r="C48" s="100">
        <v>27.74</v>
      </c>
      <c r="D48" s="100">
        <v>23.86</v>
      </c>
      <c r="E48" s="100">
        <v>8.3699999999999992</v>
      </c>
      <c r="F48" s="152" t="s">
        <v>15</v>
      </c>
      <c r="G48" s="100">
        <v>120.89</v>
      </c>
      <c r="H48" s="100">
        <v>42.99</v>
      </c>
      <c r="I48" s="100">
        <v>11.41</v>
      </c>
      <c r="J48" s="100">
        <v>0.42</v>
      </c>
      <c r="K48" s="100">
        <v>78.12</v>
      </c>
      <c r="L48" s="100">
        <v>31.11</v>
      </c>
      <c r="M48" s="100">
        <v>23.5</v>
      </c>
      <c r="N48" s="100">
        <v>280.60000000000002</v>
      </c>
      <c r="O48" s="100">
        <v>0</v>
      </c>
      <c r="P48" s="100">
        <v>0.9</v>
      </c>
      <c r="Q48" s="100">
        <v>28.26</v>
      </c>
      <c r="R48" s="6"/>
      <c r="S48" s="6"/>
      <c r="T48" s="156"/>
      <c r="U48" s="6"/>
    </row>
    <row r="49" spans="1:21" customFormat="1">
      <c r="A49" s="163" t="s">
        <v>1047</v>
      </c>
      <c r="B49" s="100">
        <v>8.08</v>
      </c>
      <c r="C49" s="100">
        <v>27.48</v>
      </c>
      <c r="D49" s="100">
        <v>22.19</v>
      </c>
      <c r="E49" s="100">
        <v>9</v>
      </c>
      <c r="F49" s="152" t="s">
        <v>15</v>
      </c>
      <c r="G49" s="100">
        <v>100.16</v>
      </c>
      <c r="H49" s="100">
        <v>40.64</v>
      </c>
      <c r="I49" s="100">
        <v>11.25</v>
      </c>
      <c r="J49" s="100">
        <v>0.73</v>
      </c>
      <c r="K49" s="100">
        <v>67.03</v>
      </c>
      <c r="L49" s="100">
        <v>31.87</v>
      </c>
      <c r="M49" s="100">
        <v>21.61</v>
      </c>
      <c r="N49" s="100">
        <v>248.7</v>
      </c>
      <c r="O49" s="100">
        <v>0</v>
      </c>
      <c r="P49" s="100">
        <v>0.9</v>
      </c>
      <c r="Q49" s="100">
        <v>28.2</v>
      </c>
      <c r="R49" s="6"/>
      <c r="S49" s="6"/>
      <c r="T49" s="156"/>
      <c r="U49" s="6"/>
    </row>
    <row r="50" spans="1:21" customFormat="1">
      <c r="A50" s="163" t="s">
        <v>1048</v>
      </c>
      <c r="B50" s="100">
        <v>7.12</v>
      </c>
      <c r="C50" s="100">
        <v>27.46</v>
      </c>
      <c r="D50" s="100">
        <v>21.41</v>
      </c>
      <c r="E50" s="100">
        <v>10.71</v>
      </c>
      <c r="F50" s="152" t="s">
        <v>15</v>
      </c>
      <c r="G50" s="100">
        <v>98.14</v>
      </c>
      <c r="H50" s="100">
        <v>40.64</v>
      </c>
      <c r="I50" s="100">
        <v>11.06</v>
      </c>
      <c r="J50" s="100">
        <v>0.81</v>
      </c>
      <c r="K50" s="100">
        <v>53.05</v>
      </c>
      <c r="L50" s="100">
        <v>32.31</v>
      </c>
      <c r="M50" s="100">
        <v>20.59</v>
      </c>
      <c r="N50" s="100">
        <v>230.1</v>
      </c>
      <c r="O50" s="100">
        <v>0</v>
      </c>
      <c r="P50" s="100">
        <v>0.91</v>
      </c>
      <c r="Q50" s="100">
        <v>28.16</v>
      </c>
      <c r="R50" s="6"/>
      <c r="S50" s="6"/>
      <c r="T50" s="156"/>
      <c r="U50" s="6"/>
    </row>
    <row r="51" spans="1:21" customFormat="1">
      <c r="A51" s="163" t="s">
        <v>1049</v>
      </c>
      <c r="B51" s="100">
        <v>6.41</v>
      </c>
      <c r="C51" s="100">
        <v>26.96</v>
      </c>
      <c r="D51" s="100">
        <v>20.58</v>
      </c>
      <c r="E51" s="100">
        <v>10.88</v>
      </c>
      <c r="F51" s="152" t="s">
        <v>15</v>
      </c>
      <c r="G51" s="100">
        <v>98.14</v>
      </c>
      <c r="H51" s="100">
        <v>40.64</v>
      </c>
      <c r="I51" s="100">
        <v>10.91</v>
      </c>
      <c r="J51" s="100">
        <v>0.53</v>
      </c>
      <c r="K51" s="100">
        <v>72.53</v>
      </c>
      <c r="L51" s="100">
        <v>32.76</v>
      </c>
      <c r="M51" s="100">
        <v>19.95</v>
      </c>
      <c r="N51" s="100">
        <v>299.7</v>
      </c>
      <c r="O51" s="100">
        <v>0</v>
      </c>
      <c r="P51" s="100">
        <v>0.91</v>
      </c>
      <c r="Q51" s="100">
        <v>28.14</v>
      </c>
      <c r="R51" s="6"/>
      <c r="S51" s="6"/>
      <c r="T51" s="156"/>
      <c r="U51" s="6"/>
    </row>
    <row r="52" spans="1:21" customFormat="1">
      <c r="A52" s="163" t="s">
        <v>1050</v>
      </c>
      <c r="B52" s="100">
        <v>5.84</v>
      </c>
      <c r="C52" s="100">
        <v>26.19</v>
      </c>
      <c r="D52" s="100">
        <v>19.72</v>
      </c>
      <c r="E52" s="100">
        <v>10.68</v>
      </c>
      <c r="F52" s="152" t="s">
        <v>15</v>
      </c>
      <c r="G52" s="100">
        <v>98.14</v>
      </c>
      <c r="H52" s="100">
        <v>40.64</v>
      </c>
      <c r="I52" s="100">
        <v>10.88</v>
      </c>
      <c r="J52" s="100">
        <v>0.55000000000000004</v>
      </c>
      <c r="K52" s="100">
        <v>73.08</v>
      </c>
      <c r="L52" s="100">
        <v>33.619999999999997</v>
      </c>
      <c r="M52" s="100">
        <v>18.350000000000001</v>
      </c>
      <c r="N52" s="100">
        <v>309.60000000000002</v>
      </c>
      <c r="O52" s="100">
        <v>0</v>
      </c>
      <c r="P52" s="100">
        <v>0.91</v>
      </c>
      <c r="Q52" s="100">
        <v>28.09</v>
      </c>
      <c r="R52" s="6"/>
      <c r="S52" s="6"/>
      <c r="T52" s="156"/>
      <c r="U52" s="6"/>
    </row>
    <row r="53" spans="1:21" customFormat="1">
      <c r="A53" s="163" t="s">
        <v>1051</v>
      </c>
      <c r="B53" s="100">
        <v>5.41</v>
      </c>
      <c r="C53" s="100">
        <v>25.31</v>
      </c>
      <c r="D53" s="100">
        <v>18.920000000000002</v>
      </c>
      <c r="E53" s="100">
        <v>11.73</v>
      </c>
      <c r="F53" s="152" t="s">
        <v>15</v>
      </c>
      <c r="G53" s="100">
        <v>86.68</v>
      </c>
      <c r="H53" s="100">
        <v>37.79</v>
      </c>
      <c r="I53" s="100">
        <v>10.77</v>
      </c>
      <c r="J53" s="100">
        <v>0.56000000000000005</v>
      </c>
      <c r="K53" s="100">
        <v>51.66</v>
      </c>
      <c r="L53" s="100">
        <v>34.020000000000003</v>
      </c>
      <c r="M53" s="100">
        <v>17.690000000000001</v>
      </c>
      <c r="N53" s="100">
        <v>309.5</v>
      </c>
      <c r="O53" s="100">
        <v>0</v>
      </c>
      <c r="P53" s="100">
        <v>0.9</v>
      </c>
      <c r="Q53" s="100">
        <v>28.07</v>
      </c>
      <c r="R53" s="6"/>
      <c r="S53" s="6"/>
      <c r="T53" s="156"/>
      <c r="U53" s="6"/>
    </row>
    <row r="54" spans="1:21" customFormat="1">
      <c r="A54" s="163" t="s">
        <v>1052</v>
      </c>
      <c r="B54" s="100">
        <v>5.09</v>
      </c>
      <c r="C54" s="100">
        <v>24.61</v>
      </c>
      <c r="D54" s="100">
        <v>18.29</v>
      </c>
      <c r="E54" s="100">
        <v>10.5</v>
      </c>
      <c r="F54" s="152" t="s">
        <v>15</v>
      </c>
      <c r="G54" s="100">
        <v>85.56</v>
      </c>
      <c r="H54" s="100">
        <v>37.79</v>
      </c>
      <c r="I54" s="100">
        <v>10.63</v>
      </c>
      <c r="J54" s="100">
        <v>0.34</v>
      </c>
      <c r="K54" s="100">
        <v>132.59</v>
      </c>
      <c r="L54" s="100">
        <v>34.549999999999997</v>
      </c>
      <c r="M54" s="100">
        <v>16.510000000000002</v>
      </c>
      <c r="N54" s="100">
        <v>292.7</v>
      </c>
      <c r="O54" s="100">
        <v>0</v>
      </c>
      <c r="P54" s="100">
        <v>0.89</v>
      </c>
      <c r="Q54" s="100">
        <v>28.05</v>
      </c>
      <c r="R54" s="6"/>
      <c r="S54" s="6"/>
      <c r="T54" s="156"/>
      <c r="U54" s="6"/>
    </row>
    <row r="55" spans="1:21" customFormat="1">
      <c r="A55" s="163" t="s">
        <v>1053</v>
      </c>
      <c r="B55" s="100">
        <v>4.7699999999999996</v>
      </c>
      <c r="C55" s="100">
        <v>23.6</v>
      </c>
      <c r="D55" s="100">
        <v>17.510000000000002</v>
      </c>
      <c r="E55" s="100">
        <v>11.33</v>
      </c>
      <c r="F55" s="152" t="s">
        <v>15</v>
      </c>
      <c r="G55" s="100">
        <v>85.56</v>
      </c>
      <c r="H55" s="100">
        <v>37.79</v>
      </c>
      <c r="I55" s="100">
        <v>10.49</v>
      </c>
      <c r="J55" s="100">
        <v>0.21</v>
      </c>
      <c r="K55" s="100">
        <v>43.26</v>
      </c>
      <c r="L55" s="100">
        <v>35.04</v>
      </c>
      <c r="M55" s="100">
        <v>16.260000000000002</v>
      </c>
      <c r="N55" s="100">
        <v>292.89999999999998</v>
      </c>
      <c r="O55" s="100">
        <v>0</v>
      </c>
      <c r="P55" s="100">
        <v>0.89</v>
      </c>
      <c r="Q55" s="100">
        <v>28.04</v>
      </c>
      <c r="R55" s="6"/>
      <c r="S55" s="6"/>
      <c r="T55" s="156"/>
      <c r="U55" s="6"/>
    </row>
    <row r="56" spans="1:21" customFormat="1">
      <c r="A56" s="163" t="s">
        <v>1054</v>
      </c>
      <c r="B56" s="100">
        <v>4.63</v>
      </c>
      <c r="C56" s="100">
        <v>23.13</v>
      </c>
      <c r="D56" s="100">
        <v>17.149999999999999</v>
      </c>
      <c r="E56" s="100">
        <v>10.91</v>
      </c>
      <c r="F56" s="152" t="s">
        <v>15</v>
      </c>
      <c r="G56" s="100">
        <v>85.56</v>
      </c>
      <c r="H56" s="100">
        <v>37.79</v>
      </c>
      <c r="I56" s="100">
        <v>10.41</v>
      </c>
      <c r="J56" s="100">
        <v>0.27</v>
      </c>
      <c r="K56" s="100">
        <v>37.06</v>
      </c>
      <c r="L56" s="100">
        <v>35.11</v>
      </c>
      <c r="M56" s="100">
        <v>15.59</v>
      </c>
      <c r="N56" s="100">
        <v>321.89999999999998</v>
      </c>
      <c r="O56" s="100">
        <v>0</v>
      </c>
      <c r="P56" s="100">
        <v>0.89</v>
      </c>
      <c r="Q56" s="100">
        <v>28.04</v>
      </c>
      <c r="R56" s="6"/>
      <c r="S56" s="6"/>
      <c r="T56" s="156"/>
      <c r="U56" s="6"/>
    </row>
    <row r="57" spans="1:21" customFormat="1">
      <c r="A57" s="163" t="s">
        <v>1055</v>
      </c>
      <c r="B57" s="100">
        <v>4.75</v>
      </c>
      <c r="C57" s="100">
        <v>21.74</v>
      </c>
      <c r="D57" s="100">
        <v>16.52</v>
      </c>
      <c r="E57" s="100">
        <v>12.57</v>
      </c>
      <c r="F57" s="152" t="s">
        <v>15</v>
      </c>
      <c r="G57" s="100">
        <v>75.8</v>
      </c>
      <c r="H57" s="100">
        <v>36.630000000000003</v>
      </c>
      <c r="I57" s="100">
        <v>10.26</v>
      </c>
      <c r="J57" s="100">
        <v>0.83</v>
      </c>
      <c r="K57" s="100">
        <v>22.28</v>
      </c>
      <c r="L57" s="100">
        <v>34.57</v>
      </c>
      <c r="M57" s="100">
        <v>15.45</v>
      </c>
      <c r="N57" s="100">
        <v>330.1</v>
      </c>
      <c r="O57" s="100">
        <v>0</v>
      </c>
      <c r="P57" s="100">
        <v>0.87</v>
      </c>
      <c r="Q57" s="100">
        <v>28.03</v>
      </c>
      <c r="R57" s="6"/>
      <c r="S57" s="6"/>
      <c r="T57" s="156"/>
      <c r="U57" s="6"/>
    </row>
    <row r="58" spans="1:21" customFormat="1">
      <c r="A58" s="163" t="s">
        <v>1056</v>
      </c>
      <c r="B58" s="100">
        <v>4.82</v>
      </c>
      <c r="C58" s="100">
        <v>23.34</v>
      </c>
      <c r="D58" s="100">
        <v>17.420000000000002</v>
      </c>
      <c r="E58" s="100">
        <v>12.18</v>
      </c>
      <c r="F58" s="152" t="s">
        <v>15</v>
      </c>
      <c r="G58" s="100">
        <v>74.849999999999994</v>
      </c>
      <c r="H58" s="100">
        <v>36.630000000000003</v>
      </c>
      <c r="I58" s="100">
        <v>10.08</v>
      </c>
      <c r="J58" s="100">
        <v>0.9</v>
      </c>
      <c r="K58" s="100">
        <v>50.78</v>
      </c>
      <c r="L58" s="100">
        <v>35.07</v>
      </c>
      <c r="M58" s="100">
        <v>14.77</v>
      </c>
      <c r="N58" s="100">
        <v>318.39999999999998</v>
      </c>
      <c r="O58" s="100">
        <v>0</v>
      </c>
      <c r="P58" s="100">
        <v>0.87</v>
      </c>
      <c r="Q58" s="100">
        <v>28.02</v>
      </c>
      <c r="R58" s="6"/>
      <c r="S58" s="6"/>
      <c r="T58" s="156"/>
      <c r="U58" s="6"/>
    </row>
    <row r="59" spans="1:21" customFormat="1">
      <c r="A59" s="163" t="s">
        <v>1057</v>
      </c>
      <c r="B59" s="100">
        <v>4.92</v>
      </c>
      <c r="C59" s="100">
        <v>21.07</v>
      </c>
      <c r="D59" s="100">
        <v>16.309999999999999</v>
      </c>
      <c r="E59" s="100">
        <v>11.54</v>
      </c>
      <c r="F59" s="152" t="s">
        <v>15</v>
      </c>
      <c r="G59" s="100">
        <v>74.849999999999994</v>
      </c>
      <c r="H59" s="100">
        <v>36.630000000000003</v>
      </c>
      <c r="I59" s="100">
        <v>9.7200000000000006</v>
      </c>
      <c r="J59" s="100">
        <v>0.64</v>
      </c>
      <c r="K59" s="100">
        <v>50.09</v>
      </c>
      <c r="L59" s="100">
        <v>35.450000000000003</v>
      </c>
      <c r="M59" s="100">
        <v>14.23</v>
      </c>
      <c r="N59" s="100">
        <v>319.89999999999998</v>
      </c>
      <c r="O59" s="100">
        <v>0</v>
      </c>
      <c r="P59" s="100">
        <v>0.86</v>
      </c>
      <c r="Q59" s="100">
        <v>28.02</v>
      </c>
      <c r="R59" s="6"/>
      <c r="S59" s="6"/>
      <c r="T59" s="156"/>
      <c r="U59" s="6"/>
    </row>
    <row r="60" spans="1:21" customFormat="1">
      <c r="A60" s="163" t="s">
        <v>1058</v>
      </c>
      <c r="B60" s="100">
        <v>5.0999999999999996</v>
      </c>
      <c r="C60" s="100">
        <v>19.98</v>
      </c>
      <c r="D60" s="100">
        <v>15.88</v>
      </c>
      <c r="E60" s="100">
        <v>11.59</v>
      </c>
      <c r="F60" s="152" t="s">
        <v>15</v>
      </c>
      <c r="G60" s="100">
        <v>74.849999999999994</v>
      </c>
      <c r="H60" s="100">
        <v>36.630000000000003</v>
      </c>
      <c r="I60" s="100">
        <v>9.65</v>
      </c>
      <c r="J60" s="100">
        <v>0.53</v>
      </c>
      <c r="K60" s="100">
        <v>61.96</v>
      </c>
      <c r="L60" s="100">
        <v>35.56</v>
      </c>
      <c r="M60" s="100">
        <v>14.12</v>
      </c>
      <c r="N60" s="100">
        <v>315.10000000000002</v>
      </c>
      <c r="O60" s="100">
        <v>0</v>
      </c>
      <c r="P60" s="100">
        <v>0.84</v>
      </c>
      <c r="Q60" s="100">
        <v>28</v>
      </c>
      <c r="R60" s="6"/>
      <c r="S60" s="6"/>
      <c r="T60" s="156"/>
      <c r="U60" s="6"/>
    </row>
    <row r="61" spans="1:21" customFormat="1">
      <c r="A61" s="163" t="s">
        <v>1059</v>
      </c>
      <c r="B61" s="100">
        <v>6</v>
      </c>
      <c r="C61" s="100">
        <v>17.440000000000001</v>
      </c>
      <c r="D61" s="100">
        <v>15.27</v>
      </c>
      <c r="E61" s="100">
        <v>11.4</v>
      </c>
      <c r="F61" s="152" t="s">
        <v>15</v>
      </c>
      <c r="G61" s="100">
        <v>70.13</v>
      </c>
      <c r="H61" s="100">
        <v>29.63</v>
      </c>
      <c r="I61" s="100">
        <v>9.5</v>
      </c>
      <c r="J61" s="100">
        <v>0.2</v>
      </c>
      <c r="K61" s="100">
        <v>122.27</v>
      </c>
      <c r="L61" s="100">
        <v>36.21</v>
      </c>
      <c r="M61" s="100">
        <v>13.78</v>
      </c>
      <c r="N61" s="100">
        <v>316.39999999999998</v>
      </c>
      <c r="O61" s="100">
        <v>0</v>
      </c>
      <c r="P61" s="100">
        <v>0.82</v>
      </c>
      <c r="Q61" s="100">
        <v>28.01</v>
      </c>
      <c r="R61" s="6"/>
      <c r="S61" s="6"/>
      <c r="T61" s="156"/>
      <c r="U61" s="6"/>
    </row>
    <row r="62" spans="1:21" customFormat="1">
      <c r="A62" s="163" t="s">
        <v>1060</v>
      </c>
      <c r="B62" s="100">
        <v>5.78</v>
      </c>
      <c r="C62" s="100">
        <v>17.399999999999999</v>
      </c>
      <c r="D62" s="100">
        <v>15.07</v>
      </c>
      <c r="E62" s="100">
        <v>10.88</v>
      </c>
      <c r="F62" s="152" t="s">
        <v>15</v>
      </c>
      <c r="G62" s="100">
        <v>69.67</v>
      </c>
      <c r="H62" s="100">
        <v>29.63</v>
      </c>
      <c r="I62" s="100">
        <v>9.2799999999999994</v>
      </c>
      <c r="J62" s="100">
        <v>0.34</v>
      </c>
      <c r="K62" s="100">
        <v>212.42</v>
      </c>
      <c r="L62" s="100">
        <v>36.299999999999997</v>
      </c>
      <c r="M62" s="100">
        <v>13.86</v>
      </c>
      <c r="N62" s="100">
        <v>314.2</v>
      </c>
      <c r="O62" s="100">
        <v>0</v>
      </c>
      <c r="P62" s="100">
        <v>0.82</v>
      </c>
      <c r="Q62" s="100">
        <v>28.02</v>
      </c>
      <c r="R62" s="6"/>
      <c r="S62" s="6"/>
      <c r="T62" s="156"/>
      <c r="U62" s="6"/>
    </row>
    <row r="63" spans="1:21" customFormat="1">
      <c r="A63" s="163" t="s">
        <v>1061</v>
      </c>
      <c r="B63" s="100">
        <v>5.8</v>
      </c>
      <c r="C63" s="100">
        <v>16.78</v>
      </c>
      <c r="D63" s="100">
        <v>14.77</v>
      </c>
      <c r="E63" s="100">
        <v>10.79</v>
      </c>
      <c r="F63" s="152" t="s">
        <v>15</v>
      </c>
      <c r="G63" s="100">
        <v>69.67</v>
      </c>
      <c r="H63" s="100">
        <v>29.63</v>
      </c>
      <c r="I63" s="100">
        <v>9.16</v>
      </c>
      <c r="J63" s="100">
        <v>0.3</v>
      </c>
      <c r="K63" s="100">
        <v>77</v>
      </c>
      <c r="L63" s="100">
        <v>36.42</v>
      </c>
      <c r="M63" s="100">
        <v>13.21</v>
      </c>
      <c r="N63" s="100">
        <v>311.39999999999998</v>
      </c>
      <c r="O63" s="100">
        <v>0</v>
      </c>
      <c r="P63" s="100">
        <v>0.8</v>
      </c>
      <c r="Q63" s="100">
        <v>28.01</v>
      </c>
      <c r="R63" s="6"/>
      <c r="S63" s="6"/>
      <c r="T63" s="156"/>
      <c r="U63" s="6"/>
    </row>
    <row r="64" spans="1:21" customFormat="1">
      <c r="A64" s="163" t="s">
        <v>1062</v>
      </c>
      <c r="B64" s="100">
        <v>7.28</v>
      </c>
      <c r="C64" s="100">
        <v>15.09</v>
      </c>
      <c r="D64" s="100">
        <v>15.07</v>
      </c>
      <c r="E64" s="100">
        <v>11.52</v>
      </c>
      <c r="F64" s="152" t="s">
        <v>15</v>
      </c>
      <c r="G64" s="100">
        <v>69.67</v>
      </c>
      <c r="H64" s="100">
        <v>29.63</v>
      </c>
      <c r="I64" s="100">
        <v>9.17</v>
      </c>
      <c r="J64" s="100">
        <v>0.23</v>
      </c>
      <c r="K64" s="100">
        <v>55.62</v>
      </c>
      <c r="L64" s="100">
        <v>36.74</v>
      </c>
      <c r="M64" s="100">
        <v>13.38</v>
      </c>
      <c r="N64" s="100">
        <v>327.5</v>
      </c>
      <c r="O64" s="100">
        <v>0</v>
      </c>
      <c r="P64" s="100">
        <v>0.79</v>
      </c>
      <c r="Q64" s="100">
        <v>28.01</v>
      </c>
      <c r="R64" s="6"/>
      <c r="S64" s="6"/>
      <c r="T64" s="156"/>
      <c r="U64" s="6"/>
    </row>
    <row r="65" spans="1:21" customFormat="1">
      <c r="A65" s="163" t="s">
        <v>1063</v>
      </c>
      <c r="B65" s="100">
        <v>7.46</v>
      </c>
      <c r="C65" s="100">
        <v>14.82</v>
      </c>
      <c r="D65" s="100">
        <v>15.08</v>
      </c>
      <c r="E65" s="100">
        <v>11.45</v>
      </c>
      <c r="F65" s="152" t="s">
        <v>15</v>
      </c>
      <c r="G65" s="100">
        <v>60.59</v>
      </c>
      <c r="H65" s="100">
        <v>27.25</v>
      </c>
      <c r="I65" s="100">
        <v>8.8699999999999992</v>
      </c>
      <c r="J65" s="100">
        <v>0.16</v>
      </c>
      <c r="K65" s="100">
        <v>15.09</v>
      </c>
      <c r="L65" s="100">
        <v>36.6</v>
      </c>
      <c r="M65" s="100">
        <v>13.44</v>
      </c>
      <c r="N65" s="100">
        <v>315.3</v>
      </c>
      <c r="O65" s="100">
        <v>0</v>
      </c>
      <c r="P65" s="100">
        <v>0.64</v>
      </c>
      <c r="Q65" s="100">
        <v>28.02</v>
      </c>
      <c r="R65" s="6"/>
      <c r="S65" s="6"/>
      <c r="T65" s="156"/>
      <c r="U65" s="6"/>
    </row>
    <row r="66" spans="1:21" customFormat="1">
      <c r="A66" s="163" t="s">
        <v>1064</v>
      </c>
      <c r="B66" s="100">
        <v>8.7100000000000009</v>
      </c>
      <c r="C66" s="100">
        <v>13.35</v>
      </c>
      <c r="D66" s="100">
        <v>15.31</v>
      </c>
      <c r="E66" s="100">
        <v>11.27</v>
      </c>
      <c r="F66" s="152" t="s">
        <v>15</v>
      </c>
      <c r="G66" s="100">
        <v>59.7</v>
      </c>
      <c r="H66" s="100">
        <v>27.25</v>
      </c>
      <c r="I66" s="100">
        <v>8.56</v>
      </c>
      <c r="J66" s="100">
        <v>0.61</v>
      </c>
      <c r="K66" s="100">
        <v>299.85000000000002</v>
      </c>
      <c r="L66" s="100">
        <v>36.21</v>
      </c>
      <c r="M66" s="100">
        <v>13.83</v>
      </c>
      <c r="N66" s="100">
        <v>317.10000000000002</v>
      </c>
      <c r="O66" s="100">
        <v>0</v>
      </c>
      <c r="P66" s="100">
        <v>0.66</v>
      </c>
      <c r="Q66" s="100">
        <v>28.03</v>
      </c>
      <c r="R66" s="6"/>
      <c r="S66" s="6"/>
      <c r="T66" s="156"/>
      <c r="U66" s="6"/>
    </row>
    <row r="67" spans="1:21" customFormat="1">
      <c r="A67" s="163" t="s">
        <v>1065</v>
      </c>
      <c r="B67" s="100">
        <v>8.7200000000000006</v>
      </c>
      <c r="C67" s="100">
        <v>13.64</v>
      </c>
      <c r="D67" s="100">
        <v>15.47</v>
      </c>
      <c r="E67" s="100">
        <v>11.23</v>
      </c>
      <c r="F67" s="152" t="s">
        <v>15</v>
      </c>
      <c r="G67" s="100">
        <v>59.7</v>
      </c>
      <c r="H67" s="100">
        <v>27.25</v>
      </c>
      <c r="I67" s="100">
        <v>8.43</v>
      </c>
      <c r="J67" s="100">
        <v>0.5</v>
      </c>
      <c r="K67" s="100">
        <v>315.88</v>
      </c>
      <c r="L67" s="100">
        <v>36.01</v>
      </c>
      <c r="M67" s="100">
        <v>13.37</v>
      </c>
      <c r="N67" s="100">
        <v>278</v>
      </c>
      <c r="O67" s="100">
        <v>0</v>
      </c>
      <c r="P67" s="100">
        <v>0.64</v>
      </c>
      <c r="Q67" s="100">
        <v>28.03</v>
      </c>
      <c r="R67" s="6"/>
      <c r="S67" s="6"/>
      <c r="T67" s="156"/>
      <c r="U67" s="6"/>
    </row>
    <row r="68" spans="1:21" customFormat="1">
      <c r="A68" s="163" t="s">
        <v>1066</v>
      </c>
      <c r="B68" s="100">
        <v>7.73</v>
      </c>
      <c r="C68" s="100">
        <v>14.51</v>
      </c>
      <c r="D68" s="100">
        <v>15.13</v>
      </c>
      <c r="E68" s="100">
        <v>11.28</v>
      </c>
      <c r="F68" s="152" t="s">
        <v>15</v>
      </c>
      <c r="G68" s="100">
        <v>59.7</v>
      </c>
      <c r="H68" s="100">
        <v>27.25</v>
      </c>
      <c r="I68" s="100">
        <v>8.2899999999999991</v>
      </c>
      <c r="J68" s="100">
        <v>0.96</v>
      </c>
      <c r="K68" s="100">
        <v>298.55</v>
      </c>
      <c r="L68" s="100">
        <v>35.770000000000003</v>
      </c>
      <c r="M68" s="100">
        <v>13.86</v>
      </c>
      <c r="N68" s="100">
        <v>117.1</v>
      </c>
      <c r="O68" s="100">
        <v>0</v>
      </c>
      <c r="P68" s="100">
        <v>0.65</v>
      </c>
      <c r="Q68" s="100">
        <v>27.99</v>
      </c>
      <c r="R68" s="6"/>
      <c r="S68" s="6"/>
      <c r="T68" s="156"/>
      <c r="U68" s="6"/>
    </row>
    <row r="69" spans="1:21" customFormat="1">
      <c r="A69" s="163" t="s">
        <v>1067</v>
      </c>
      <c r="B69" s="100">
        <v>8.2200000000000006</v>
      </c>
      <c r="C69" s="100">
        <v>14.68</v>
      </c>
      <c r="D69" s="100">
        <v>15.61</v>
      </c>
      <c r="E69" s="100">
        <v>12.64</v>
      </c>
      <c r="F69" s="152" t="s">
        <v>15</v>
      </c>
      <c r="G69" s="100">
        <v>48.96</v>
      </c>
      <c r="H69" s="100">
        <v>26.81</v>
      </c>
      <c r="I69" s="100">
        <v>8.15</v>
      </c>
      <c r="J69" s="100">
        <v>0.92</v>
      </c>
      <c r="K69" s="100">
        <v>321.83</v>
      </c>
      <c r="L69" s="100">
        <v>35.15</v>
      </c>
      <c r="M69" s="100">
        <v>14.16</v>
      </c>
      <c r="N69" s="100">
        <v>91.7</v>
      </c>
      <c r="O69" s="100">
        <v>0</v>
      </c>
      <c r="P69" s="100">
        <v>0.57999999999999996</v>
      </c>
      <c r="Q69" s="100">
        <v>27.99</v>
      </c>
      <c r="R69" s="6"/>
      <c r="S69" s="6"/>
      <c r="T69" s="156"/>
      <c r="U69" s="6"/>
    </row>
    <row r="70" spans="1:21" customFormat="1">
      <c r="A70" s="163" t="s">
        <v>1068</v>
      </c>
      <c r="B70" s="100">
        <v>10.69</v>
      </c>
      <c r="C70" s="100">
        <v>13.23</v>
      </c>
      <c r="D70" s="100">
        <v>16.829999999999998</v>
      </c>
      <c r="E70" s="100">
        <v>11.72</v>
      </c>
      <c r="F70" s="152" t="s">
        <v>15</v>
      </c>
      <c r="G70" s="100">
        <v>47.91</v>
      </c>
      <c r="H70" s="100">
        <v>26.81</v>
      </c>
      <c r="I70" s="100">
        <v>7.98</v>
      </c>
      <c r="J70" s="100">
        <v>0.57999999999999996</v>
      </c>
      <c r="K70" s="100">
        <v>313.11</v>
      </c>
      <c r="L70" s="100">
        <v>35.24</v>
      </c>
      <c r="M70" s="100">
        <v>14.21</v>
      </c>
      <c r="N70" s="100">
        <v>79.599999999999994</v>
      </c>
      <c r="O70" s="100">
        <v>0</v>
      </c>
      <c r="P70" s="100">
        <v>0.56000000000000005</v>
      </c>
      <c r="Q70" s="100">
        <v>28</v>
      </c>
      <c r="R70" s="6"/>
      <c r="S70" s="6"/>
      <c r="T70" s="156"/>
      <c r="U70" s="6"/>
    </row>
    <row r="71" spans="1:21" customFormat="1">
      <c r="A71" s="163" t="s">
        <v>1069</v>
      </c>
      <c r="B71" s="100">
        <v>8.75</v>
      </c>
      <c r="C71" s="100">
        <v>13.94</v>
      </c>
      <c r="D71" s="100">
        <v>15.65</v>
      </c>
      <c r="E71" s="100">
        <v>12.71</v>
      </c>
      <c r="F71" s="152" t="s">
        <v>15</v>
      </c>
      <c r="G71" s="100">
        <v>47.91</v>
      </c>
      <c r="H71" s="100">
        <v>26.81</v>
      </c>
      <c r="I71" s="100">
        <v>7.74</v>
      </c>
      <c r="J71" s="100">
        <v>0.05</v>
      </c>
      <c r="K71" s="100">
        <v>189.76</v>
      </c>
      <c r="L71" s="100">
        <v>35.4</v>
      </c>
      <c r="M71" s="100">
        <v>14.29</v>
      </c>
      <c r="N71" s="100">
        <v>74.3</v>
      </c>
      <c r="O71" s="100">
        <v>0</v>
      </c>
      <c r="P71" s="100">
        <v>0.56000000000000005</v>
      </c>
      <c r="Q71" s="100">
        <v>28</v>
      </c>
      <c r="R71" s="6"/>
      <c r="S71" s="6"/>
      <c r="T71" s="156"/>
      <c r="U71" s="6"/>
    </row>
    <row r="72" spans="1:21" customFormat="1">
      <c r="A72" s="163" t="s">
        <v>1070</v>
      </c>
      <c r="B72" s="100">
        <v>5.49</v>
      </c>
      <c r="C72" s="100">
        <v>17.43</v>
      </c>
      <c r="D72" s="100">
        <v>14.86</v>
      </c>
      <c r="E72" s="100">
        <v>15.54</v>
      </c>
      <c r="F72" s="152" t="s">
        <v>15</v>
      </c>
      <c r="G72" s="100">
        <v>47.91</v>
      </c>
      <c r="H72" s="100">
        <v>26.81</v>
      </c>
      <c r="I72" s="100">
        <v>7.65</v>
      </c>
      <c r="J72" s="100">
        <v>0.61</v>
      </c>
      <c r="K72" s="100">
        <v>42.13</v>
      </c>
      <c r="L72" s="100">
        <v>35.32</v>
      </c>
      <c r="M72" s="100">
        <v>14.48</v>
      </c>
      <c r="N72" s="100">
        <v>87.9</v>
      </c>
      <c r="O72" s="100">
        <v>0</v>
      </c>
      <c r="P72" s="100">
        <v>0.55000000000000004</v>
      </c>
      <c r="Q72" s="100">
        <v>27.98</v>
      </c>
      <c r="R72" s="6"/>
      <c r="S72" s="6"/>
      <c r="T72" s="156"/>
      <c r="U72" s="6"/>
    </row>
    <row r="73" spans="1:21" customFormat="1">
      <c r="A73" s="163" t="s">
        <v>1071</v>
      </c>
      <c r="B73" s="100">
        <v>4.34</v>
      </c>
      <c r="C73" s="100">
        <v>19.27</v>
      </c>
      <c r="D73" s="100">
        <v>14.9</v>
      </c>
      <c r="E73" s="100">
        <v>15.6</v>
      </c>
      <c r="F73" s="152" t="s">
        <v>15</v>
      </c>
      <c r="G73" s="100">
        <v>50.18</v>
      </c>
      <c r="H73" s="100">
        <v>22.58</v>
      </c>
      <c r="I73" s="100">
        <v>7.34</v>
      </c>
      <c r="J73" s="100">
        <v>0.57999999999999996</v>
      </c>
      <c r="K73" s="100">
        <v>346.57</v>
      </c>
      <c r="L73" s="100">
        <v>35.21</v>
      </c>
      <c r="M73" s="100">
        <v>15.07</v>
      </c>
      <c r="N73" s="100">
        <v>79</v>
      </c>
      <c r="O73" s="100">
        <v>0</v>
      </c>
      <c r="P73" s="100">
        <v>0.56000000000000005</v>
      </c>
      <c r="Q73" s="100">
        <v>28</v>
      </c>
      <c r="R73" s="6"/>
      <c r="S73" s="6"/>
      <c r="T73" s="156"/>
      <c r="U73" s="6"/>
    </row>
    <row r="74" spans="1:21" customFormat="1">
      <c r="A74" s="163" t="s">
        <v>1072</v>
      </c>
      <c r="B74" s="100">
        <v>4.24</v>
      </c>
      <c r="C74" s="100">
        <v>17.68</v>
      </c>
      <c r="D74" s="100">
        <v>13.99</v>
      </c>
      <c r="E74" s="100">
        <v>14.67</v>
      </c>
      <c r="F74" s="152" t="s">
        <v>15</v>
      </c>
      <c r="G74" s="100">
        <v>50.4</v>
      </c>
      <c r="H74" s="100">
        <v>22.58</v>
      </c>
      <c r="I74" s="100">
        <v>7.08</v>
      </c>
      <c r="J74" s="100">
        <v>0.44</v>
      </c>
      <c r="K74" s="100">
        <v>296.92</v>
      </c>
      <c r="L74" s="100">
        <v>34.770000000000003</v>
      </c>
      <c r="M74" s="100">
        <v>14.88</v>
      </c>
      <c r="N74" s="100">
        <v>50.4</v>
      </c>
      <c r="O74" s="100">
        <v>0</v>
      </c>
      <c r="P74" s="100">
        <v>0.54</v>
      </c>
      <c r="Q74" s="100">
        <v>28</v>
      </c>
      <c r="R74" s="6"/>
      <c r="S74" s="6"/>
      <c r="T74" s="156"/>
      <c r="U74" s="6"/>
    </row>
    <row r="75" spans="1:21" customFormat="1">
      <c r="A75" s="163" t="s">
        <v>1073</v>
      </c>
      <c r="B75" s="100">
        <v>6.19</v>
      </c>
      <c r="C75" s="100">
        <v>17.59</v>
      </c>
      <c r="D75" s="100">
        <v>15.5</v>
      </c>
      <c r="E75" s="100">
        <v>15.27</v>
      </c>
      <c r="F75" s="152" t="s">
        <v>15</v>
      </c>
      <c r="G75" s="100">
        <v>50.4</v>
      </c>
      <c r="H75" s="100">
        <v>22.58</v>
      </c>
      <c r="I75" s="100">
        <v>6.96</v>
      </c>
      <c r="J75" s="100">
        <v>0.53</v>
      </c>
      <c r="K75" s="100">
        <v>312.89999999999998</v>
      </c>
      <c r="L75" s="100">
        <v>34.520000000000003</v>
      </c>
      <c r="M75" s="100">
        <v>16.07</v>
      </c>
      <c r="N75" s="100">
        <v>41.6</v>
      </c>
      <c r="O75" s="100">
        <v>0</v>
      </c>
      <c r="P75" s="100">
        <v>0.56000000000000005</v>
      </c>
      <c r="Q75" s="100">
        <v>28</v>
      </c>
      <c r="R75" s="6"/>
      <c r="S75" s="6"/>
      <c r="T75" s="156"/>
      <c r="U75" s="6"/>
    </row>
    <row r="76" spans="1:21" customFormat="1">
      <c r="A76" s="163" t="s">
        <v>1074</v>
      </c>
      <c r="B76" s="100">
        <v>7.83</v>
      </c>
      <c r="C76" s="100">
        <v>23.97</v>
      </c>
      <c r="D76" s="100">
        <v>20.149999999999999</v>
      </c>
      <c r="E76" s="100">
        <v>26.6</v>
      </c>
      <c r="F76" s="152" t="s">
        <v>15</v>
      </c>
      <c r="G76" s="100">
        <v>50.4</v>
      </c>
      <c r="H76" s="100">
        <v>22.58</v>
      </c>
      <c r="I76" s="100">
        <v>6.93</v>
      </c>
      <c r="J76" s="100">
        <v>0.76</v>
      </c>
      <c r="K76" s="100">
        <v>35.58</v>
      </c>
      <c r="L76" s="100">
        <v>34.119999999999997</v>
      </c>
      <c r="M76" s="100">
        <v>19.16</v>
      </c>
      <c r="N76" s="100">
        <v>34.700000000000003</v>
      </c>
      <c r="O76" s="100">
        <v>0</v>
      </c>
      <c r="P76" s="100">
        <v>0.62</v>
      </c>
      <c r="Q76" s="100">
        <v>28</v>
      </c>
      <c r="R76" s="6"/>
      <c r="S76" s="6"/>
      <c r="T76" s="156"/>
      <c r="U76" s="6"/>
    </row>
    <row r="77" spans="1:21" customFormat="1">
      <c r="A77" s="163" t="s">
        <v>1075</v>
      </c>
      <c r="B77" s="100">
        <v>6.14</v>
      </c>
      <c r="C77" s="100">
        <v>21.74</v>
      </c>
      <c r="D77" s="100">
        <v>17.63</v>
      </c>
      <c r="E77" s="100">
        <v>18.5</v>
      </c>
      <c r="F77" s="152" t="s">
        <v>15</v>
      </c>
      <c r="G77" s="100">
        <v>58.27</v>
      </c>
      <c r="H77" s="100">
        <v>24.88</v>
      </c>
      <c r="I77" s="100">
        <v>7.01</v>
      </c>
      <c r="J77" s="100">
        <v>0.86</v>
      </c>
      <c r="K77" s="100">
        <v>25.78</v>
      </c>
      <c r="L77" s="100">
        <v>33.479999999999997</v>
      </c>
      <c r="M77" s="100">
        <v>20.309999999999999</v>
      </c>
      <c r="N77" s="100">
        <v>26.9</v>
      </c>
      <c r="O77" s="100">
        <v>0</v>
      </c>
      <c r="P77" s="100">
        <v>0.59</v>
      </c>
      <c r="Q77" s="100">
        <v>28</v>
      </c>
      <c r="R77" s="6"/>
      <c r="S77" s="6"/>
      <c r="T77" s="156"/>
      <c r="U77" s="6"/>
    </row>
    <row r="78" spans="1:21" customFormat="1">
      <c r="A78" s="163" t="s">
        <v>1076</v>
      </c>
      <c r="B78" s="100">
        <v>5.35</v>
      </c>
      <c r="C78" s="100">
        <v>24.94</v>
      </c>
      <c r="D78" s="100">
        <v>18.670000000000002</v>
      </c>
      <c r="E78" s="100">
        <v>17.190000000000001</v>
      </c>
      <c r="F78" s="152" t="s">
        <v>15</v>
      </c>
      <c r="G78" s="100">
        <v>59.04</v>
      </c>
      <c r="H78" s="100">
        <v>24.88</v>
      </c>
      <c r="I78" s="100">
        <v>7.08</v>
      </c>
      <c r="J78" s="100">
        <v>0.91</v>
      </c>
      <c r="K78" s="100">
        <v>38.76</v>
      </c>
      <c r="L78" s="100">
        <v>32.99</v>
      </c>
      <c r="M78" s="100">
        <v>20.47</v>
      </c>
      <c r="N78" s="100">
        <v>19.100000000000001</v>
      </c>
      <c r="O78" s="100">
        <v>0</v>
      </c>
      <c r="P78" s="100">
        <v>0.6</v>
      </c>
      <c r="Q78" s="100">
        <v>28.01</v>
      </c>
      <c r="R78" s="6"/>
      <c r="S78" s="6"/>
      <c r="T78" s="156"/>
      <c r="U78" s="6"/>
    </row>
    <row r="79" spans="1:21" customFormat="1">
      <c r="A79" s="163" t="s">
        <v>1077</v>
      </c>
      <c r="B79" s="100">
        <v>4.84</v>
      </c>
      <c r="C79" s="100">
        <v>25.48</v>
      </c>
      <c r="D79" s="100">
        <v>18.55</v>
      </c>
      <c r="E79" s="100">
        <v>15.77</v>
      </c>
      <c r="F79" s="152" t="s">
        <v>15</v>
      </c>
      <c r="G79" s="100">
        <v>59.04</v>
      </c>
      <c r="H79" s="100">
        <v>24.88</v>
      </c>
      <c r="I79" s="100">
        <v>6.97</v>
      </c>
      <c r="J79" s="100">
        <v>0.78</v>
      </c>
      <c r="K79" s="100">
        <v>51.3</v>
      </c>
      <c r="L79" s="100">
        <v>32.549999999999997</v>
      </c>
      <c r="M79" s="100">
        <v>20.71</v>
      </c>
      <c r="N79" s="100">
        <v>11.9</v>
      </c>
      <c r="O79" s="100">
        <v>0</v>
      </c>
      <c r="P79" s="100">
        <v>0.61</v>
      </c>
      <c r="Q79" s="100">
        <v>28.01</v>
      </c>
      <c r="R79" s="6"/>
      <c r="S79" s="6"/>
      <c r="T79" s="156"/>
      <c r="U79" s="6"/>
    </row>
    <row r="80" spans="1:21" customFormat="1">
      <c r="A80" s="163" t="s">
        <v>1078</v>
      </c>
      <c r="B80" s="100">
        <v>5.0599999999999996</v>
      </c>
      <c r="C80" s="100">
        <v>27.31</v>
      </c>
      <c r="D80" s="100">
        <v>19.68</v>
      </c>
      <c r="E80" s="100">
        <v>15.66</v>
      </c>
      <c r="F80" s="152" t="s">
        <v>15</v>
      </c>
      <c r="G80" s="100">
        <v>59.04</v>
      </c>
      <c r="H80" s="100">
        <v>24.88</v>
      </c>
      <c r="I80" s="100">
        <v>6.96</v>
      </c>
      <c r="J80" s="100">
        <v>0.71</v>
      </c>
      <c r="K80" s="100">
        <v>47.36</v>
      </c>
      <c r="L80" s="100">
        <v>31.98</v>
      </c>
      <c r="M80" s="100">
        <v>21.98</v>
      </c>
      <c r="N80" s="100">
        <v>5.8</v>
      </c>
      <c r="O80" s="100">
        <v>0</v>
      </c>
      <c r="P80" s="100">
        <v>0.63</v>
      </c>
      <c r="Q80" s="100">
        <v>28.01</v>
      </c>
      <c r="R80" s="6"/>
      <c r="S80" s="6"/>
      <c r="T80" s="156"/>
      <c r="U80" s="6"/>
    </row>
    <row r="81" spans="1:21" customFormat="1">
      <c r="A81" s="163" t="s">
        <v>1079</v>
      </c>
      <c r="B81" s="100">
        <v>4.8600000000000003</v>
      </c>
      <c r="C81" s="100">
        <v>26.48</v>
      </c>
      <c r="D81" s="100">
        <v>19.079999999999998</v>
      </c>
      <c r="E81" s="100">
        <v>8.6</v>
      </c>
      <c r="F81" s="152" t="s">
        <v>15</v>
      </c>
      <c r="G81" s="100">
        <v>70.38</v>
      </c>
      <c r="H81" s="100">
        <v>27.1</v>
      </c>
      <c r="I81" s="100">
        <v>6.97</v>
      </c>
      <c r="J81" s="100">
        <v>0.87</v>
      </c>
      <c r="K81" s="100">
        <v>53.38</v>
      </c>
      <c r="L81" s="100">
        <v>31.41</v>
      </c>
      <c r="M81" s="100">
        <v>22.86</v>
      </c>
      <c r="N81" s="100">
        <v>2.1</v>
      </c>
      <c r="O81" s="100">
        <v>0</v>
      </c>
      <c r="P81" s="100">
        <v>0.63</v>
      </c>
      <c r="Q81" s="100">
        <v>28.02</v>
      </c>
      <c r="R81" s="6"/>
      <c r="S81" s="6"/>
      <c r="T81" s="156"/>
      <c r="U81" s="6"/>
    </row>
    <row r="82" spans="1:21" customFormat="1">
      <c r="A82" s="163" t="s">
        <v>1080</v>
      </c>
      <c r="B82" s="100">
        <v>6.38</v>
      </c>
      <c r="C82" s="100">
        <v>29.6</v>
      </c>
      <c r="D82" s="100">
        <v>21.93</v>
      </c>
      <c r="E82" s="100">
        <v>10.039999999999999</v>
      </c>
      <c r="F82" s="152" t="s">
        <v>15</v>
      </c>
      <c r="G82" s="100">
        <v>71.489999999999995</v>
      </c>
      <c r="H82" s="100">
        <v>27.1</v>
      </c>
      <c r="I82" s="100">
        <v>7.06</v>
      </c>
      <c r="J82" s="100">
        <v>0.63</v>
      </c>
      <c r="K82" s="100">
        <v>48.43</v>
      </c>
      <c r="L82" s="100">
        <v>31.03</v>
      </c>
      <c r="M82" s="100">
        <v>23.14</v>
      </c>
      <c r="N82" s="100">
        <v>1</v>
      </c>
      <c r="O82" s="100">
        <v>0</v>
      </c>
      <c r="P82" s="100">
        <v>0.66</v>
      </c>
      <c r="Q82" s="100">
        <v>28.01</v>
      </c>
      <c r="R82" s="6"/>
      <c r="S82" s="6"/>
      <c r="T82" s="156"/>
      <c r="U82" s="6"/>
    </row>
    <row r="83" spans="1:21" customFormat="1">
      <c r="A83" s="163" t="s">
        <v>1081</v>
      </c>
      <c r="B83" s="100">
        <v>5.66</v>
      </c>
      <c r="C83" s="100">
        <v>30.97</v>
      </c>
      <c r="D83" s="100">
        <v>22.07</v>
      </c>
      <c r="E83" s="100">
        <v>9.9</v>
      </c>
      <c r="F83" s="152" t="s">
        <v>15</v>
      </c>
      <c r="G83" s="100">
        <v>71.489999999999995</v>
      </c>
      <c r="H83" s="100">
        <v>27.1</v>
      </c>
      <c r="I83" s="100">
        <v>7.15</v>
      </c>
      <c r="J83" s="100">
        <v>0.43</v>
      </c>
      <c r="K83" s="100">
        <v>68.92</v>
      </c>
      <c r="L83" s="100">
        <v>30.5</v>
      </c>
      <c r="M83" s="100">
        <v>24.39</v>
      </c>
      <c r="N83" s="100">
        <v>1</v>
      </c>
      <c r="O83" s="100">
        <v>0</v>
      </c>
      <c r="P83" s="100">
        <v>0.68</v>
      </c>
      <c r="Q83" s="100">
        <v>28.03</v>
      </c>
      <c r="R83" s="6"/>
      <c r="S83" s="6"/>
      <c r="T83" s="156"/>
      <c r="U83" s="6"/>
    </row>
    <row r="84" spans="1:21" customFormat="1">
      <c r="A84" s="163" t="s">
        <v>1082</v>
      </c>
      <c r="B84" s="100">
        <v>7.23</v>
      </c>
      <c r="C84" s="100">
        <v>26.02</v>
      </c>
      <c r="D84" s="100">
        <v>20.75</v>
      </c>
      <c r="E84" s="100">
        <v>9.16</v>
      </c>
      <c r="F84" s="152" t="s">
        <v>15</v>
      </c>
      <c r="G84" s="100">
        <v>71.489999999999995</v>
      </c>
      <c r="H84" s="100">
        <v>27.1</v>
      </c>
      <c r="I84" s="100">
        <v>7.28</v>
      </c>
      <c r="J84" s="100">
        <v>0.16</v>
      </c>
      <c r="K84" s="100">
        <v>81.63</v>
      </c>
      <c r="L84" s="100">
        <v>29.52</v>
      </c>
      <c r="M84" s="100">
        <v>30.43</v>
      </c>
      <c r="N84" s="100">
        <v>1.3</v>
      </c>
      <c r="O84" s="100">
        <v>0</v>
      </c>
      <c r="P84" s="100">
        <v>0.7</v>
      </c>
      <c r="Q84" s="100">
        <v>28.06</v>
      </c>
      <c r="R84" s="6"/>
      <c r="S84" s="6"/>
      <c r="T84" s="156"/>
      <c r="U84" s="6"/>
    </row>
    <row r="85" spans="1:21" customFormat="1">
      <c r="A85" s="163" t="s">
        <v>1083</v>
      </c>
      <c r="B85" s="100">
        <v>6.99</v>
      </c>
      <c r="C85" s="100">
        <v>28.5</v>
      </c>
      <c r="D85" s="100">
        <v>21.85</v>
      </c>
      <c r="E85" s="100">
        <v>9.16</v>
      </c>
      <c r="F85" s="152" t="s">
        <v>15</v>
      </c>
      <c r="G85" s="100">
        <v>81.93</v>
      </c>
      <c r="H85" s="100">
        <v>28.38</v>
      </c>
      <c r="I85" s="100">
        <v>7.56</v>
      </c>
      <c r="J85" s="100">
        <v>0.31</v>
      </c>
      <c r="K85" s="100">
        <v>79.41</v>
      </c>
      <c r="L85" s="100">
        <v>29.52</v>
      </c>
      <c r="M85" s="100">
        <v>28.32</v>
      </c>
      <c r="N85" s="100">
        <v>0.7</v>
      </c>
      <c r="O85" s="100">
        <v>0</v>
      </c>
      <c r="P85" s="100">
        <v>0.71</v>
      </c>
      <c r="Q85" s="100">
        <v>28.05</v>
      </c>
      <c r="R85" s="6"/>
      <c r="S85" s="6"/>
      <c r="T85" s="156"/>
      <c r="U85" s="6"/>
    </row>
    <row r="86" spans="1:21" customFormat="1">
      <c r="A86" s="163" t="s">
        <v>1084</v>
      </c>
      <c r="B86" s="100">
        <v>6.03</v>
      </c>
      <c r="C86" s="100">
        <v>27.42</v>
      </c>
      <c r="D86" s="100">
        <v>20.52</v>
      </c>
      <c r="E86" s="100">
        <v>8.61</v>
      </c>
      <c r="F86" s="152" t="s">
        <v>15</v>
      </c>
      <c r="G86" s="100">
        <v>82.95</v>
      </c>
      <c r="H86" s="100">
        <v>28.38</v>
      </c>
      <c r="I86" s="100">
        <v>7.88</v>
      </c>
      <c r="J86" s="100">
        <v>0.24</v>
      </c>
      <c r="K86" s="100">
        <v>101.6</v>
      </c>
      <c r="L86" s="100">
        <v>28.77</v>
      </c>
      <c r="M86" s="100">
        <v>31.23</v>
      </c>
      <c r="N86" s="100">
        <v>1</v>
      </c>
      <c r="O86" s="100">
        <v>0</v>
      </c>
      <c r="P86" s="100">
        <v>0.71</v>
      </c>
      <c r="Q86" s="100">
        <v>28.06</v>
      </c>
      <c r="R86" s="6"/>
      <c r="S86" s="6"/>
      <c r="T86" s="156"/>
      <c r="U86" s="6"/>
    </row>
    <row r="87" spans="1:21" customFormat="1">
      <c r="A87" s="163" t="s">
        <v>1085</v>
      </c>
      <c r="B87" s="100">
        <v>6.76</v>
      </c>
      <c r="C87" s="100">
        <v>25.15</v>
      </c>
      <c r="D87" s="100">
        <v>19.91</v>
      </c>
      <c r="E87" s="100">
        <v>8.36</v>
      </c>
      <c r="F87" s="152" t="s">
        <v>15</v>
      </c>
      <c r="G87" s="100">
        <v>82.95</v>
      </c>
      <c r="H87" s="100">
        <v>28.38</v>
      </c>
      <c r="I87" s="100">
        <v>8.18</v>
      </c>
      <c r="J87" s="100">
        <v>0.38</v>
      </c>
      <c r="K87" s="100">
        <v>83.82</v>
      </c>
      <c r="L87" s="100">
        <v>28.67</v>
      </c>
      <c r="M87" s="100">
        <v>29.57</v>
      </c>
      <c r="N87" s="100">
        <v>0.4</v>
      </c>
      <c r="O87" s="100">
        <v>0</v>
      </c>
      <c r="P87" s="100">
        <v>0.71</v>
      </c>
      <c r="Q87" s="100">
        <v>28.05</v>
      </c>
      <c r="R87" s="6"/>
      <c r="S87" s="6"/>
      <c r="T87" s="156"/>
      <c r="U87" s="6"/>
    </row>
    <row r="88" spans="1:21" customFormat="1">
      <c r="A88" s="163" t="s">
        <v>1086</v>
      </c>
      <c r="B88" s="100">
        <v>7.07</v>
      </c>
      <c r="C88" s="100">
        <v>24.67</v>
      </c>
      <c r="D88" s="100">
        <v>19.91</v>
      </c>
      <c r="E88" s="100">
        <v>9.16</v>
      </c>
      <c r="F88" s="152" t="s">
        <v>15</v>
      </c>
      <c r="G88" s="100">
        <v>82.95</v>
      </c>
      <c r="H88" s="100">
        <v>28.38</v>
      </c>
      <c r="I88" s="100">
        <v>8.25</v>
      </c>
      <c r="J88" s="100">
        <v>0.36</v>
      </c>
      <c r="K88" s="100">
        <v>84.73</v>
      </c>
      <c r="L88" s="100">
        <v>28.94</v>
      </c>
      <c r="M88" s="100">
        <v>28.6</v>
      </c>
      <c r="N88" s="100">
        <v>0.3</v>
      </c>
      <c r="O88" s="100">
        <v>0</v>
      </c>
      <c r="P88" s="100">
        <v>0.73</v>
      </c>
      <c r="Q88" s="100">
        <v>28.02</v>
      </c>
      <c r="R88" s="6"/>
      <c r="S88" s="6"/>
      <c r="T88" s="156"/>
      <c r="U88" s="6"/>
    </row>
    <row r="89" spans="1:21" customFormat="1">
      <c r="A89" s="163" t="s">
        <v>1087</v>
      </c>
      <c r="B89" s="100">
        <v>5.08</v>
      </c>
      <c r="C89" s="100">
        <v>27.27</v>
      </c>
      <c r="D89" s="100">
        <v>19.670000000000002</v>
      </c>
      <c r="E89" s="100">
        <v>11.23</v>
      </c>
      <c r="F89" s="152" t="s">
        <v>15</v>
      </c>
      <c r="G89" s="100">
        <v>104.41</v>
      </c>
      <c r="H89" s="100">
        <v>33.42</v>
      </c>
      <c r="I89" s="100">
        <v>8.3000000000000007</v>
      </c>
      <c r="J89" s="100">
        <v>0.57999999999999996</v>
      </c>
      <c r="K89" s="100">
        <v>77.14</v>
      </c>
      <c r="L89" s="100">
        <v>28.92</v>
      </c>
      <c r="M89" s="100">
        <v>28.19</v>
      </c>
      <c r="N89" s="100">
        <v>0.4</v>
      </c>
      <c r="O89" s="100">
        <v>0</v>
      </c>
      <c r="P89" s="100">
        <v>0.76</v>
      </c>
      <c r="Q89" s="100">
        <v>28.05</v>
      </c>
      <c r="R89" s="6"/>
      <c r="S89" s="6"/>
      <c r="T89" s="156"/>
      <c r="U89" s="6"/>
    </row>
    <row r="90" spans="1:21" customFormat="1">
      <c r="A90" s="163" t="s">
        <v>1088</v>
      </c>
      <c r="B90" s="100">
        <v>4.75</v>
      </c>
      <c r="C90" s="100">
        <v>26.33</v>
      </c>
      <c r="D90" s="100">
        <v>18.91</v>
      </c>
      <c r="E90" s="100">
        <v>9.48</v>
      </c>
      <c r="F90" s="152" t="s">
        <v>15</v>
      </c>
      <c r="G90" s="100">
        <v>106.22</v>
      </c>
      <c r="H90" s="100">
        <v>33.42</v>
      </c>
      <c r="I90" s="100">
        <v>8.35</v>
      </c>
      <c r="J90" s="100">
        <v>0.3</v>
      </c>
      <c r="K90" s="100">
        <v>91.53</v>
      </c>
      <c r="L90" s="100">
        <v>28.68</v>
      </c>
      <c r="M90" s="100">
        <v>28.69</v>
      </c>
      <c r="N90" s="100">
        <v>0.5</v>
      </c>
      <c r="O90" s="100">
        <v>0</v>
      </c>
      <c r="P90" s="100">
        <v>0.75</v>
      </c>
      <c r="Q90" s="100">
        <v>28.05</v>
      </c>
      <c r="R90" s="6"/>
      <c r="S90" s="6"/>
      <c r="T90" s="156"/>
      <c r="U90" s="6"/>
    </row>
    <row r="91" spans="1:21" customFormat="1">
      <c r="A91" s="163" t="s">
        <v>1089</v>
      </c>
      <c r="B91" s="100">
        <v>4.7699999999999996</v>
      </c>
      <c r="C91" s="100">
        <v>24.95</v>
      </c>
      <c r="D91" s="100">
        <v>18.22</v>
      </c>
      <c r="E91" s="100">
        <v>9.49</v>
      </c>
      <c r="F91" s="152" t="s">
        <v>15</v>
      </c>
      <c r="G91" s="100">
        <v>106.22</v>
      </c>
      <c r="H91" s="100">
        <v>33.42</v>
      </c>
      <c r="I91" s="100">
        <v>8.4499999999999993</v>
      </c>
      <c r="J91" s="100">
        <v>0.47</v>
      </c>
      <c r="K91" s="100">
        <v>73.23</v>
      </c>
      <c r="L91" s="100">
        <v>28.43</v>
      </c>
      <c r="M91" s="100">
        <v>29.58</v>
      </c>
      <c r="N91" s="100">
        <v>0.7</v>
      </c>
      <c r="O91" s="100">
        <v>0</v>
      </c>
      <c r="P91" s="100">
        <v>0.74</v>
      </c>
      <c r="Q91" s="100">
        <v>28.04</v>
      </c>
      <c r="R91" s="6"/>
      <c r="S91" s="6"/>
      <c r="T91" s="156"/>
      <c r="U91" s="6"/>
    </row>
    <row r="92" spans="1:21" customFormat="1">
      <c r="A92" s="163" t="s">
        <v>1090</v>
      </c>
      <c r="B92" s="100">
        <v>4.7699999999999996</v>
      </c>
      <c r="C92" s="100">
        <v>24.03</v>
      </c>
      <c r="D92" s="100">
        <v>17.73</v>
      </c>
      <c r="E92" s="100">
        <v>9.8000000000000007</v>
      </c>
      <c r="F92" s="152" t="s">
        <v>15</v>
      </c>
      <c r="G92" s="100">
        <v>106.22</v>
      </c>
      <c r="H92" s="100">
        <v>33.42</v>
      </c>
      <c r="I92" s="100">
        <v>8.33</v>
      </c>
      <c r="J92" s="100">
        <v>0.83</v>
      </c>
      <c r="K92" s="100">
        <v>65.38</v>
      </c>
      <c r="L92" s="100">
        <v>28.15</v>
      </c>
      <c r="M92" s="100">
        <v>30.23</v>
      </c>
      <c r="N92" s="100">
        <v>0.5</v>
      </c>
      <c r="O92" s="100">
        <v>0</v>
      </c>
      <c r="P92" s="100">
        <v>0.76</v>
      </c>
      <c r="Q92" s="100">
        <v>28.05</v>
      </c>
      <c r="R92" s="6"/>
      <c r="S92" s="6"/>
      <c r="T92" s="156"/>
      <c r="U92" s="6"/>
    </row>
    <row r="93" spans="1:21" customFormat="1">
      <c r="A93" s="163" t="s">
        <v>1091</v>
      </c>
      <c r="B93" s="100">
        <v>4.92</v>
      </c>
      <c r="C93" s="100">
        <v>24.3</v>
      </c>
      <c r="D93" s="100">
        <v>17.989999999999998</v>
      </c>
      <c r="E93" s="100">
        <v>10.199999999999999</v>
      </c>
      <c r="F93" s="152" t="s">
        <v>15</v>
      </c>
      <c r="G93" s="100">
        <v>104.36</v>
      </c>
      <c r="H93" s="100">
        <v>31.93</v>
      </c>
      <c r="I93" s="100">
        <v>8.0299999999999994</v>
      </c>
      <c r="J93" s="100">
        <v>0.6</v>
      </c>
      <c r="K93" s="100">
        <v>67.5</v>
      </c>
      <c r="L93" s="100">
        <v>27.74</v>
      </c>
      <c r="M93" s="100">
        <v>31.32</v>
      </c>
      <c r="N93" s="100">
        <v>1</v>
      </c>
      <c r="O93" s="100">
        <v>0</v>
      </c>
      <c r="P93" s="100">
        <v>0.76</v>
      </c>
      <c r="Q93" s="100">
        <v>28.05</v>
      </c>
      <c r="R93" s="6"/>
      <c r="S93" s="6"/>
      <c r="T93" s="156"/>
      <c r="U93" s="6"/>
    </row>
    <row r="94" spans="1:21" customFormat="1">
      <c r="A94" s="163" t="s">
        <v>1092</v>
      </c>
      <c r="B94" s="100">
        <v>5.01</v>
      </c>
      <c r="C94" s="100">
        <v>24.21</v>
      </c>
      <c r="D94" s="100">
        <v>18.010000000000002</v>
      </c>
      <c r="E94" s="100">
        <v>8.1300000000000008</v>
      </c>
      <c r="F94" s="152" t="s">
        <v>15</v>
      </c>
      <c r="G94" s="100">
        <v>104.18</v>
      </c>
      <c r="H94" s="100">
        <v>31.93</v>
      </c>
      <c r="I94" s="100">
        <v>8.0299999999999994</v>
      </c>
      <c r="J94" s="100">
        <v>0.46</v>
      </c>
      <c r="K94" s="100">
        <v>73.489999999999995</v>
      </c>
      <c r="L94" s="100">
        <v>27.3</v>
      </c>
      <c r="M94" s="100">
        <v>33.090000000000003</v>
      </c>
      <c r="N94" s="100">
        <v>0.9</v>
      </c>
      <c r="O94" s="100">
        <v>0</v>
      </c>
      <c r="P94" s="100">
        <v>0.76</v>
      </c>
      <c r="Q94" s="100">
        <v>28.05</v>
      </c>
      <c r="R94" s="6"/>
      <c r="S94" s="6"/>
      <c r="T94" s="156"/>
      <c r="U94" s="6"/>
    </row>
    <row r="95" spans="1:21" customFormat="1">
      <c r="A95" s="163" t="s">
        <v>1093</v>
      </c>
      <c r="B95" s="100">
        <v>5.16</v>
      </c>
      <c r="C95" s="100">
        <v>23.55</v>
      </c>
      <c r="D95" s="100">
        <v>17.8</v>
      </c>
      <c r="E95" s="100">
        <v>7.9</v>
      </c>
      <c r="F95" s="152" t="s">
        <v>15</v>
      </c>
      <c r="G95" s="100">
        <v>104.18</v>
      </c>
      <c r="H95" s="100">
        <v>31.93</v>
      </c>
      <c r="I95" s="100">
        <v>8.09</v>
      </c>
      <c r="J95" s="100">
        <v>0.48</v>
      </c>
      <c r="K95" s="100">
        <v>69.67</v>
      </c>
      <c r="L95" s="100">
        <v>27.07</v>
      </c>
      <c r="M95" s="100">
        <v>33.409999999999997</v>
      </c>
      <c r="N95" s="100">
        <v>0.7</v>
      </c>
      <c r="O95" s="100">
        <v>0</v>
      </c>
      <c r="P95" s="100">
        <v>0.76</v>
      </c>
      <c r="Q95" s="100">
        <v>28.06</v>
      </c>
      <c r="R95" s="6"/>
      <c r="S95" s="6"/>
      <c r="T95" s="156"/>
      <c r="U95" s="6"/>
    </row>
    <row r="96" spans="1:21" customFormat="1">
      <c r="A96" s="163" t="s">
        <v>1094</v>
      </c>
      <c r="B96" s="100">
        <v>5.25</v>
      </c>
      <c r="C96" s="100">
        <v>22.99</v>
      </c>
      <c r="D96" s="100">
        <v>17.57</v>
      </c>
      <c r="E96" s="100">
        <v>8.2200000000000006</v>
      </c>
      <c r="F96" s="152" t="s">
        <v>15</v>
      </c>
      <c r="G96" s="100">
        <v>104.18</v>
      </c>
      <c r="H96" s="100">
        <v>31.93</v>
      </c>
      <c r="I96" s="100">
        <v>8.18</v>
      </c>
      <c r="J96" s="100">
        <v>0.48</v>
      </c>
      <c r="K96" s="100">
        <v>73.38</v>
      </c>
      <c r="L96" s="100">
        <v>26.81</v>
      </c>
      <c r="M96" s="100">
        <v>33.909999999999997</v>
      </c>
      <c r="N96" s="100">
        <v>0.6</v>
      </c>
      <c r="O96" s="100">
        <v>0</v>
      </c>
      <c r="P96" s="100">
        <v>0.77</v>
      </c>
      <c r="Q96" s="100">
        <v>28.07</v>
      </c>
      <c r="R96" s="6"/>
      <c r="S96" s="6"/>
      <c r="T96" s="156"/>
      <c r="U96" s="6"/>
    </row>
    <row r="97" spans="1:28" customFormat="1">
      <c r="A97" s="163" t="s">
        <v>1095</v>
      </c>
      <c r="B97" s="100">
        <v>5.3</v>
      </c>
      <c r="C97" s="100">
        <v>22.52</v>
      </c>
      <c r="D97" s="100">
        <v>17.37</v>
      </c>
      <c r="E97" s="100">
        <v>8.34</v>
      </c>
      <c r="F97" s="152" t="s">
        <v>15</v>
      </c>
      <c r="G97" s="100">
        <v>97.49</v>
      </c>
      <c r="H97" s="100">
        <v>30.92</v>
      </c>
      <c r="I97" s="100">
        <v>8.15</v>
      </c>
      <c r="J97" s="100">
        <v>0.46</v>
      </c>
      <c r="K97" s="100">
        <v>78.88</v>
      </c>
      <c r="L97" s="100">
        <v>26.74</v>
      </c>
      <c r="M97" s="100">
        <v>34.1</v>
      </c>
      <c r="N97" s="100">
        <v>0.4</v>
      </c>
      <c r="O97" s="100">
        <v>0</v>
      </c>
      <c r="P97" s="100">
        <v>0.77</v>
      </c>
      <c r="Q97" s="100">
        <v>28.08</v>
      </c>
      <c r="R97" s="6"/>
      <c r="S97" s="6"/>
      <c r="T97" s="156"/>
      <c r="U97" s="6"/>
    </row>
    <row r="98" spans="1:28" customFormat="1">
      <c r="A98" s="163" t="s">
        <v>1096</v>
      </c>
      <c r="B98" s="100">
        <v>5.34</v>
      </c>
      <c r="C98" s="100">
        <v>22</v>
      </c>
      <c r="D98" s="100">
        <v>17.13</v>
      </c>
      <c r="E98" s="100">
        <v>7.89</v>
      </c>
      <c r="F98" s="152" t="s">
        <v>15</v>
      </c>
      <c r="G98" s="100">
        <v>96.93</v>
      </c>
      <c r="H98" s="100">
        <v>30.92</v>
      </c>
      <c r="I98" s="100">
        <v>8.11</v>
      </c>
      <c r="J98" s="100">
        <v>0.75</v>
      </c>
      <c r="K98" s="100">
        <v>71.86</v>
      </c>
      <c r="L98" s="100">
        <v>26.89</v>
      </c>
      <c r="M98" s="100">
        <v>33.880000000000003</v>
      </c>
      <c r="N98" s="100">
        <v>0.4</v>
      </c>
      <c r="O98" s="100">
        <v>0</v>
      </c>
      <c r="P98" s="100">
        <v>0.76</v>
      </c>
      <c r="Q98" s="100">
        <v>28.07</v>
      </c>
      <c r="R98" s="6"/>
      <c r="S98" s="6"/>
      <c r="T98" s="156"/>
      <c r="U98" s="6"/>
    </row>
    <row r="99" spans="1:28" customFormat="1">
      <c r="A99" s="163" t="s">
        <v>1097</v>
      </c>
      <c r="B99" s="100">
        <v>5.31</v>
      </c>
      <c r="C99" s="100">
        <v>21.53</v>
      </c>
      <c r="D99" s="100">
        <v>16.86</v>
      </c>
      <c r="E99" s="100">
        <v>8.27</v>
      </c>
      <c r="F99" s="152" t="s">
        <v>15</v>
      </c>
      <c r="G99" s="100">
        <v>96.93</v>
      </c>
      <c r="H99" s="100">
        <v>30.92</v>
      </c>
      <c r="I99" s="100">
        <v>8.08</v>
      </c>
      <c r="J99" s="100">
        <v>0.26</v>
      </c>
      <c r="K99" s="100">
        <v>94.31</v>
      </c>
      <c r="L99" s="100">
        <v>26.68</v>
      </c>
      <c r="M99" s="100">
        <v>34.450000000000003</v>
      </c>
      <c r="N99" s="100">
        <v>0.8</v>
      </c>
      <c r="O99" s="100">
        <v>0</v>
      </c>
      <c r="P99" s="100">
        <v>0.76</v>
      </c>
      <c r="Q99" s="100">
        <v>28.07</v>
      </c>
      <c r="R99" s="6"/>
      <c r="S99" s="6"/>
      <c r="T99" s="156"/>
      <c r="U99" s="6"/>
    </row>
    <row r="100" spans="1:28" customFormat="1">
      <c r="A100" s="163" t="s">
        <v>1098</v>
      </c>
      <c r="B100" s="100">
        <v>5.32</v>
      </c>
      <c r="C100" s="100">
        <v>21.88</v>
      </c>
      <c r="D100" s="100">
        <v>17.05</v>
      </c>
      <c r="E100" s="100">
        <v>8.66</v>
      </c>
      <c r="F100" s="152" t="s">
        <v>15</v>
      </c>
      <c r="G100" s="100">
        <v>96.93</v>
      </c>
      <c r="H100" s="100">
        <v>30.92</v>
      </c>
      <c r="I100" s="100">
        <v>8.1300000000000008</v>
      </c>
      <c r="J100" s="100">
        <v>0.14000000000000001</v>
      </c>
      <c r="K100" s="100">
        <v>93.33</v>
      </c>
      <c r="L100" s="100">
        <v>26.17</v>
      </c>
      <c r="M100" s="100">
        <v>36.11</v>
      </c>
      <c r="N100" s="100">
        <v>1</v>
      </c>
      <c r="O100" s="100">
        <v>0</v>
      </c>
      <c r="P100" s="100">
        <v>0.76</v>
      </c>
      <c r="Q100" s="100">
        <v>28.05</v>
      </c>
      <c r="R100" s="6"/>
      <c r="S100" s="6"/>
      <c r="T100" s="156"/>
      <c r="U100" s="6"/>
      <c r="AB100" s="161"/>
    </row>
    <row r="101" spans="1:28" customFormat="1">
      <c r="A101" s="163" t="s">
        <v>1099</v>
      </c>
      <c r="B101" s="100">
        <v>5.52</v>
      </c>
      <c r="C101" s="100">
        <v>22.98</v>
      </c>
      <c r="D101" s="100">
        <v>17.78</v>
      </c>
      <c r="E101" s="100">
        <v>8.7899999999999991</v>
      </c>
      <c r="F101" s="152" t="s">
        <v>15</v>
      </c>
      <c r="G101" s="100">
        <v>92.9</v>
      </c>
      <c r="H101" s="100">
        <v>31.5</v>
      </c>
      <c r="I101" s="100">
        <v>8.09</v>
      </c>
      <c r="J101" s="100">
        <v>0.12</v>
      </c>
      <c r="K101" s="100">
        <v>118.05</v>
      </c>
      <c r="L101" s="100">
        <v>25.65</v>
      </c>
      <c r="M101" s="100">
        <v>38.479999999999997</v>
      </c>
      <c r="N101" s="100">
        <v>1</v>
      </c>
      <c r="O101" s="100">
        <v>0</v>
      </c>
      <c r="P101" s="100">
        <v>0.76</v>
      </c>
      <c r="Q101" s="100">
        <v>28.05</v>
      </c>
      <c r="R101" s="6"/>
      <c r="S101" s="6"/>
      <c r="T101" s="156"/>
      <c r="U101" s="6"/>
    </row>
    <row r="102" spans="1:28" customFormat="1">
      <c r="A102" s="163" t="s">
        <v>1100</v>
      </c>
      <c r="B102" s="100">
        <v>5.56</v>
      </c>
      <c r="C102" s="100">
        <v>22.27</v>
      </c>
      <c r="D102" s="100">
        <v>17.440000000000001</v>
      </c>
      <c r="E102" s="100">
        <v>8.8800000000000008</v>
      </c>
      <c r="F102" s="152" t="s">
        <v>15</v>
      </c>
      <c r="G102" s="100">
        <v>92.51</v>
      </c>
      <c r="H102" s="100">
        <v>31.5</v>
      </c>
      <c r="I102" s="100">
        <v>8.06</v>
      </c>
      <c r="J102" s="100">
        <v>0.16</v>
      </c>
      <c r="K102" s="100">
        <v>86.32</v>
      </c>
      <c r="L102" s="100">
        <v>25.41</v>
      </c>
      <c r="M102" s="100">
        <v>38.81</v>
      </c>
      <c r="N102" s="100">
        <v>0.7</v>
      </c>
      <c r="O102" s="100">
        <v>0</v>
      </c>
      <c r="P102" s="100">
        <v>0.77</v>
      </c>
      <c r="Q102" s="100">
        <v>28.07</v>
      </c>
      <c r="R102" s="6"/>
      <c r="S102" s="6"/>
      <c r="T102" s="156"/>
      <c r="U102" s="6"/>
    </row>
    <row r="103" spans="1:28" customFormat="1">
      <c r="A103" s="163" t="s">
        <v>1101</v>
      </c>
      <c r="B103" s="100">
        <v>5.65</v>
      </c>
      <c r="C103" s="100">
        <v>22.05</v>
      </c>
      <c r="D103" s="100">
        <v>17.41</v>
      </c>
      <c r="E103" s="100">
        <v>8.68</v>
      </c>
      <c r="F103" s="152" t="s">
        <v>15</v>
      </c>
      <c r="G103" s="100">
        <v>92.51</v>
      </c>
      <c r="H103" s="100">
        <v>31.5</v>
      </c>
      <c r="I103" s="100">
        <v>8.09</v>
      </c>
      <c r="J103" s="100">
        <v>0.36</v>
      </c>
      <c r="K103" s="100">
        <v>71.7</v>
      </c>
      <c r="L103" s="100">
        <v>25.54</v>
      </c>
      <c r="M103" s="100">
        <v>37.75</v>
      </c>
      <c r="N103" s="100">
        <v>0.4</v>
      </c>
      <c r="O103" s="100">
        <v>0</v>
      </c>
      <c r="P103" s="100">
        <v>0.79</v>
      </c>
      <c r="Q103" s="100">
        <v>28.07</v>
      </c>
      <c r="R103" s="6"/>
      <c r="S103" s="6"/>
      <c r="T103" s="156"/>
      <c r="U103" s="6"/>
    </row>
    <row r="104" spans="1:28" customFormat="1">
      <c r="A104" s="163" t="s">
        <v>1102</v>
      </c>
      <c r="B104" s="100">
        <v>5.7</v>
      </c>
      <c r="C104" s="100">
        <v>21.63</v>
      </c>
      <c r="D104" s="100">
        <v>17.23</v>
      </c>
      <c r="E104" s="100">
        <v>8.66</v>
      </c>
      <c r="F104" s="152" t="s">
        <v>15</v>
      </c>
      <c r="G104" s="100">
        <v>92.51</v>
      </c>
      <c r="H104" s="100">
        <v>31.5</v>
      </c>
      <c r="I104" s="100">
        <v>8.11</v>
      </c>
      <c r="J104" s="100">
        <v>0.71</v>
      </c>
      <c r="K104" s="100">
        <v>69.23</v>
      </c>
      <c r="L104" s="100">
        <v>26.18</v>
      </c>
      <c r="M104" s="100">
        <v>34.520000000000003</v>
      </c>
      <c r="N104" s="100">
        <v>0.1</v>
      </c>
      <c r="O104" s="100">
        <v>0</v>
      </c>
      <c r="P104" s="100">
        <v>0.78</v>
      </c>
      <c r="Q104" s="100">
        <v>28.08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4.24</v>
      </c>
      <c r="C106" s="158">
        <f>MIN(C9:C104)</f>
        <v>13.23</v>
      </c>
      <c r="D106" s="158">
        <f t="shared" ref="D106:Q106" si="0">MIN(D9:D104)</f>
        <v>13.99</v>
      </c>
      <c r="E106" s="158">
        <f t="shared" si="0"/>
        <v>6.88</v>
      </c>
      <c r="F106" s="158">
        <f t="shared" si="0"/>
        <v>0</v>
      </c>
      <c r="G106" s="158">
        <f t="shared" si="0"/>
        <v>47.91</v>
      </c>
      <c r="H106" s="158">
        <f t="shared" si="0"/>
        <v>22.58</v>
      </c>
      <c r="I106" s="158">
        <f t="shared" si="0"/>
        <v>6.93</v>
      </c>
      <c r="J106" s="158">
        <f t="shared" si="0"/>
        <v>0.05</v>
      </c>
      <c r="K106" s="158">
        <f t="shared" si="0"/>
        <v>15.09</v>
      </c>
      <c r="L106" s="158">
        <f t="shared" si="0"/>
        <v>18.3</v>
      </c>
      <c r="M106" s="158">
        <f t="shared" si="0"/>
        <v>13.21</v>
      </c>
      <c r="N106" s="158">
        <f t="shared" si="0"/>
        <v>0</v>
      </c>
      <c r="O106" s="158">
        <f t="shared" si="0"/>
        <v>0</v>
      </c>
      <c r="P106" s="158">
        <f t="shared" si="0"/>
        <v>0.54</v>
      </c>
      <c r="Q106" s="158">
        <f t="shared" si="0"/>
        <v>27.98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27.13</v>
      </c>
      <c r="C107" s="157">
        <f t="shared" ref="C107:Q107" si="1">MAX(C9:C104)</f>
        <v>30.97</v>
      </c>
      <c r="D107" s="157">
        <f t="shared" si="1"/>
        <v>35.1</v>
      </c>
      <c r="E107" s="157">
        <f t="shared" si="1"/>
        <v>26.6</v>
      </c>
      <c r="F107" s="157">
        <f t="shared" si="1"/>
        <v>0</v>
      </c>
      <c r="G107" s="157">
        <f t="shared" si="1"/>
        <v>136.26</v>
      </c>
      <c r="H107" s="157">
        <f t="shared" si="1"/>
        <v>44.59</v>
      </c>
      <c r="I107" s="157">
        <f t="shared" si="1"/>
        <v>11.64</v>
      </c>
      <c r="J107" s="157">
        <f t="shared" si="1"/>
        <v>1.07</v>
      </c>
      <c r="K107" s="157">
        <f t="shared" si="1"/>
        <v>346.57</v>
      </c>
      <c r="L107" s="157">
        <f t="shared" si="1"/>
        <v>36.74</v>
      </c>
      <c r="M107" s="157">
        <f t="shared" si="1"/>
        <v>62.63</v>
      </c>
      <c r="N107" s="157">
        <f t="shared" si="1"/>
        <v>330.1</v>
      </c>
      <c r="O107" s="157">
        <f t="shared" si="1"/>
        <v>0</v>
      </c>
      <c r="P107" s="157">
        <f t="shared" si="1"/>
        <v>0.93</v>
      </c>
      <c r="Q107" s="157">
        <f t="shared" si="1"/>
        <v>28.96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12.339583333333335</v>
      </c>
      <c r="C108" s="158">
        <f t="shared" ref="C108:Q108" si="2">AVERAGE(C9:C104)</f>
        <v>22.587916666666676</v>
      </c>
      <c r="D108" s="158">
        <f t="shared" si="2"/>
        <v>23.048333333333346</v>
      </c>
      <c r="E108" s="158">
        <f t="shared" si="2"/>
        <v>9.9853124999999974</v>
      </c>
      <c r="F108" s="158" t="e">
        <f t="shared" si="2"/>
        <v>#DIV/0!</v>
      </c>
      <c r="G108" s="158">
        <f t="shared" si="2"/>
        <v>92.290416666666729</v>
      </c>
      <c r="H108" s="158">
        <f t="shared" si="2"/>
        <v>33.090000000000011</v>
      </c>
      <c r="I108" s="158">
        <f t="shared" si="2"/>
        <v>8.9134374999999988</v>
      </c>
      <c r="J108" s="158">
        <f t="shared" si="2"/>
        <v>0.43479166666666652</v>
      </c>
      <c r="K108" s="158">
        <f t="shared" si="2"/>
        <v>113.55166666666663</v>
      </c>
      <c r="L108" s="158">
        <f t="shared" si="2"/>
        <v>27.596770833333327</v>
      </c>
      <c r="M108" s="158">
        <f t="shared" si="2"/>
        <v>33.550416666666671</v>
      </c>
      <c r="N108" s="158">
        <f t="shared" si="2"/>
        <v>87.463541666666643</v>
      </c>
      <c r="O108" s="158">
        <f t="shared" si="2"/>
        <v>0</v>
      </c>
      <c r="P108" s="158">
        <f t="shared" si="2"/>
        <v>0.78385416666666685</v>
      </c>
      <c r="Q108" s="158">
        <f t="shared" si="2"/>
        <v>28.30677083333336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7.9937622940662303</v>
      </c>
      <c r="C109" s="158">
        <f t="shared" ref="C109:Q109" si="3">STDEV(C9:C104)</f>
        <v>3.7680093632318465</v>
      </c>
      <c r="D109" s="158">
        <f t="shared" si="3"/>
        <v>6.6845952783311358</v>
      </c>
      <c r="E109" s="158">
        <f t="shared" si="3"/>
        <v>2.9291759046297074</v>
      </c>
      <c r="F109" s="158" t="e">
        <f t="shared" si="3"/>
        <v>#DIV/0!</v>
      </c>
      <c r="G109" s="158">
        <f t="shared" si="3"/>
        <v>23.900945804525435</v>
      </c>
      <c r="H109" s="158">
        <f t="shared" si="3"/>
        <v>5.4570313888548716</v>
      </c>
      <c r="I109" s="158">
        <f t="shared" si="3"/>
        <v>1.2448198585591388</v>
      </c>
      <c r="J109" s="158">
        <f t="shared" si="3"/>
        <v>0.26379409500859496</v>
      </c>
      <c r="K109" s="158">
        <f t="shared" si="3"/>
        <v>80.559430271160949</v>
      </c>
      <c r="L109" s="158">
        <f t="shared" si="3"/>
        <v>6.1827986330143085</v>
      </c>
      <c r="M109" s="158">
        <f t="shared" si="3"/>
        <v>15.977094388145778</v>
      </c>
      <c r="N109" s="158">
        <f t="shared" si="3"/>
        <v>124.51263146219493</v>
      </c>
      <c r="O109" s="158">
        <f t="shared" si="3"/>
        <v>0</v>
      </c>
      <c r="P109" s="158">
        <f t="shared" si="3"/>
        <v>0.10543513637519417</v>
      </c>
      <c r="Q109" s="158">
        <f t="shared" si="3"/>
        <v>0.33396342312064059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89" activePane="bottomRight" state="frozen"/>
      <selection pane="topRight"/>
      <selection pane="bottomLeft"/>
      <selection pane="bottomRight" activeCell="I92" sqref="I92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10/03/2025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1103</v>
      </c>
      <c r="B9" s="100">
        <v>5.35</v>
      </c>
      <c r="C9" s="100">
        <v>21.39</v>
      </c>
      <c r="D9" s="100">
        <v>16.809999999999999</v>
      </c>
      <c r="E9" s="100">
        <v>8.64</v>
      </c>
      <c r="F9" s="152" t="s">
        <v>15</v>
      </c>
      <c r="G9" s="100">
        <v>88.68</v>
      </c>
      <c r="H9" s="100">
        <v>35.090000000000003</v>
      </c>
      <c r="I9" s="100">
        <v>8.14</v>
      </c>
      <c r="J9" s="100">
        <v>0.71</v>
      </c>
      <c r="K9" s="100">
        <v>58.25</v>
      </c>
      <c r="L9" s="100">
        <v>26.07</v>
      </c>
      <c r="M9" s="100">
        <v>35.32</v>
      </c>
      <c r="N9" s="100">
        <v>0.6</v>
      </c>
      <c r="O9" s="100">
        <v>0</v>
      </c>
      <c r="P9" s="100">
        <v>0.77</v>
      </c>
      <c r="Q9" s="100">
        <v>28.06</v>
      </c>
      <c r="R9" s="6"/>
      <c r="S9" s="6"/>
      <c r="T9" s="156"/>
      <c r="U9" s="6"/>
    </row>
    <row r="10" spans="1:21" customFormat="1">
      <c r="A10" s="163" t="s">
        <v>1104</v>
      </c>
      <c r="B10" s="100">
        <v>5.59</v>
      </c>
      <c r="C10" s="100">
        <v>21.58</v>
      </c>
      <c r="D10" s="100">
        <v>17.11</v>
      </c>
      <c r="E10" s="100">
        <v>8.19</v>
      </c>
      <c r="F10" s="152" t="s">
        <v>15</v>
      </c>
      <c r="G10" s="100">
        <v>88.36</v>
      </c>
      <c r="H10" s="100">
        <v>35.090000000000003</v>
      </c>
      <c r="I10" s="100">
        <v>8.14</v>
      </c>
      <c r="J10" s="100">
        <v>0.55000000000000004</v>
      </c>
      <c r="K10" s="100">
        <v>54.35</v>
      </c>
      <c r="L10" s="100">
        <v>25.64</v>
      </c>
      <c r="M10" s="100">
        <v>37.770000000000003</v>
      </c>
      <c r="N10" s="100">
        <v>1</v>
      </c>
      <c r="O10" s="100">
        <v>0</v>
      </c>
      <c r="P10" s="100">
        <v>0.78</v>
      </c>
      <c r="Q10" s="100">
        <v>28.07</v>
      </c>
      <c r="R10" s="6"/>
      <c r="S10" s="6"/>
      <c r="T10" s="156"/>
      <c r="U10" s="6"/>
    </row>
    <row r="11" spans="1:21" customFormat="1">
      <c r="A11" s="163" t="s">
        <v>1105</v>
      </c>
      <c r="B11" s="100">
        <v>5.93</v>
      </c>
      <c r="C11" s="100">
        <v>22.55</v>
      </c>
      <c r="D11" s="100">
        <v>17.89</v>
      </c>
      <c r="E11" s="100">
        <v>8.32</v>
      </c>
      <c r="F11" s="152" t="s">
        <v>15</v>
      </c>
      <c r="G11" s="100">
        <v>88.36</v>
      </c>
      <c r="H11" s="100">
        <v>35.090000000000003</v>
      </c>
      <c r="I11" s="100">
        <v>8.1300000000000008</v>
      </c>
      <c r="J11" s="100">
        <v>0.52</v>
      </c>
      <c r="K11" s="100">
        <v>31.63</v>
      </c>
      <c r="L11" s="100">
        <v>25.28</v>
      </c>
      <c r="M11" s="100">
        <v>39.17</v>
      </c>
      <c r="N11" s="100">
        <v>0.9</v>
      </c>
      <c r="O11" s="100">
        <v>0</v>
      </c>
      <c r="P11" s="100">
        <v>0.78</v>
      </c>
      <c r="Q11" s="100">
        <v>28.06</v>
      </c>
      <c r="R11" s="6"/>
      <c r="S11" s="6"/>
      <c r="T11" s="156"/>
      <c r="U11" s="6"/>
    </row>
    <row r="12" spans="1:21" customFormat="1">
      <c r="A12" s="163" t="s">
        <v>1106</v>
      </c>
      <c r="B12" s="100">
        <v>5.9</v>
      </c>
      <c r="C12" s="100">
        <v>22.8</v>
      </c>
      <c r="D12" s="100">
        <v>18</v>
      </c>
      <c r="E12" s="100">
        <v>8.1999999999999993</v>
      </c>
      <c r="F12" s="152" t="s">
        <v>15</v>
      </c>
      <c r="G12" s="100">
        <v>88.36</v>
      </c>
      <c r="H12" s="100">
        <v>35.090000000000003</v>
      </c>
      <c r="I12" s="100">
        <v>8.27</v>
      </c>
      <c r="J12" s="100">
        <v>0.49</v>
      </c>
      <c r="K12" s="100">
        <v>35.159999999999997</v>
      </c>
      <c r="L12" s="100">
        <v>24.81</v>
      </c>
      <c r="M12" s="100">
        <v>40.56</v>
      </c>
      <c r="N12" s="100">
        <v>1.2</v>
      </c>
      <c r="O12" s="100">
        <v>0</v>
      </c>
      <c r="P12" s="100">
        <v>0.77</v>
      </c>
      <c r="Q12" s="100">
        <v>28.09</v>
      </c>
      <c r="R12" s="6"/>
      <c r="S12" s="6"/>
      <c r="T12" s="156"/>
      <c r="U12" s="6"/>
    </row>
    <row r="13" spans="1:21" customFormat="1">
      <c r="A13" s="163" t="s">
        <v>1107</v>
      </c>
      <c r="B13" s="100">
        <v>5.58</v>
      </c>
      <c r="C13" s="100">
        <v>23.25</v>
      </c>
      <c r="D13" s="100">
        <v>17.97</v>
      </c>
      <c r="E13" s="100">
        <v>8.35</v>
      </c>
      <c r="F13" s="152" t="s">
        <v>15</v>
      </c>
      <c r="G13" s="100">
        <v>91.17</v>
      </c>
      <c r="H13" s="100">
        <v>37.44</v>
      </c>
      <c r="I13" s="100">
        <v>8.4600000000000009</v>
      </c>
      <c r="J13" s="100">
        <v>0.42</v>
      </c>
      <c r="K13" s="100">
        <v>19.940000000000001</v>
      </c>
      <c r="L13" s="100">
        <v>24.28</v>
      </c>
      <c r="M13" s="100">
        <v>42.3</v>
      </c>
      <c r="N13" s="100">
        <v>1.3</v>
      </c>
      <c r="O13" s="100">
        <v>0</v>
      </c>
      <c r="P13" s="100">
        <v>0.75</v>
      </c>
      <c r="Q13" s="100">
        <v>28.1</v>
      </c>
      <c r="R13" s="6"/>
      <c r="S13" s="6"/>
      <c r="T13" s="156"/>
      <c r="U13" s="6"/>
    </row>
    <row r="14" spans="1:21" customFormat="1">
      <c r="A14" s="163" t="s">
        <v>1108</v>
      </c>
      <c r="B14" s="100">
        <v>5.68</v>
      </c>
      <c r="C14" s="100">
        <v>23.45</v>
      </c>
      <c r="D14" s="100">
        <v>18.16</v>
      </c>
      <c r="E14" s="100">
        <v>7.88</v>
      </c>
      <c r="F14" s="152" t="s">
        <v>15</v>
      </c>
      <c r="G14" s="100">
        <v>91.4</v>
      </c>
      <c r="H14" s="100">
        <v>37.44</v>
      </c>
      <c r="I14" s="100">
        <v>8.44</v>
      </c>
      <c r="J14" s="100">
        <v>0.7</v>
      </c>
      <c r="K14" s="100">
        <v>29.78</v>
      </c>
      <c r="L14" s="100">
        <v>23.88</v>
      </c>
      <c r="M14" s="100">
        <v>41.24</v>
      </c>
      <c r="N14" s="100">
        <v>1</v>
      </c>
      <c r="O14" s="100">
        <v>0</v>
      </c>
      <c r="P14" s="100">
        <v>0.76</v>
      </c>
      <c r="Q14" s="100">
        <v>28.09</v>
      </c>
      <c r="R14" s="6"/>
      <c r="S14" s="6"/>
      <c r="T14" s="156"/>
      <c r="U14" s="6"/>
    </row>
    <row r="15" spans="1:21" customFormat="1">
      <c r="A15" s="163" t="s">
        <v>1109</v>
      </c>
      <c r="B15" s="100">
        <v>5.99</v>
      </c>
      <c r="C15" s="100">
        <v>23.22</v>
      </c>
      <c r="D15" s="100">
        <v>18.29</v>
      </c>
      <c r="E15" s="100">
        <v>8.39</v>
      </c>
      <c r="F15" s="152" t="s">
        <v>15</v>
      </c>
      <c r="G15" s="100">
        <v>91.4</v>
      </c>
      <c r="H15" s="100">
        <v>37.44</v>
      </c>
      <c r="I15" s="100">
        <v>8.4499999999999993</v>
      </c>
      <c r="J15" s="100">
        <v>0.77</v>
      </c>
      <c r="K15" s="100">
        <v>40.369999999999997</v>
      </c>
      <c r="L15" s="100">
        <v>24.03</v>
      </c>
      <c r="M15" s="100">
        <v>39.840000000000003</v>
      </c>
      <c r="N15" s="100">
        <v>0.8</v>
      </c>
      <c r="O15" s="100">
        <v>0</v>
      </c>
      <c r="P15" s="100">
        <v>0.77</v>
      </c>
      <c r="Q15" s="100">
        <v>28.08</v>
      </c>
      <c r="R15" s="6"/>
      <c r="S15" s="6"/>
      <c r="T15" s="156"/>
      <c r="U15" s="6"/>
    </row>
    <row r="16" spans="1:21" customFormat="1">
      <c r="A16" s="163" t="s">
        <v>1110</v>
      </c>
      <c r="B16" s="100">
        <v>5.77</v>
      </c>
      <c r="C16" s="100">
        <v>23.29</v>
      </c>
      <c r="D16" s="100">
        <v>18.14</v>
      </c>
      <c r="E16" s="100">
        <v>8.67</v>
      </c>
      <c r="F16" s="152" t="s">
        <v>15</v>
      </c>
      <c r="G16" s="100">
        <v>91.4</v>
      </c>
      <c r="H16" s="100">
        <v>37.44</v>
      </c>
      <c r="I16" s="100">
        <v>8.3800000000000008</v>
      </c>
      <c r="J16" s="100">
        <v>0.78</v>
      </c>
      <c r="K16" s="100">
        <v>54.05</v>
      </c>
      <c r="L16" s="100">
        <v>24.02</v>
      </c>
      <c r="M16" s="100">
        <v>39.270000000000003</v>
      </c>
      <c r="N16" s="100">
        <v>0.7</v>
      </c>
      <c r="O16" s="100">
        <v>0</v>
      </c>
      <c r="P16" s="100">
        <v>0.78</v>
      </c>
      <c r="Q16" s="100">
        <v>28.09</v>
      </c>
      <c r="R16" s="6"/>
      <c r="S16" s="6"/>
      <c r="T16" s="156"/>
      <c r="U16" s="6"/>
    </row>
    <row r="17" spans="1:21" customFormat="1">
      <c r="A17" s="163" t="s">
        <v>1111</v>
      </c>
      <c r="B17" s="100">
        <v>5.39</v>
      </c>
      <c r="C17" s="100">
        <v>24.1</v>
      </c>
      <c r="D17" s="100">
        <v>18.27</v>
      </c>
      <c r="E17" s="100">
        <v>8.15</v>
      </c>
      <c r="F17" s="152" t="s">
        <v>15</v>
      </c>
      <c r="G17" s="100">
        <v>101.68</v>
      </c>
      <c r="H17" s="100">
        <v>36.06</v>
      </c>
      <c r="I17" s="100">
        <v>8.2899999999999991</v>
      </c>
      <c r="J17" s="100">
        <v>0.69</v>
      </c>
      <c r="K17" s="100">
        <v>39.08</v>
      </c>
      <c r="L17" s="100">
        <v>24.23</v>
      </c>
      <c r="M17" s="100">
        <v>37.46</v>
      </c>
      <c r="N17" s="100">
        <v>0.5</v>
      </c>
      <c r="O17" s="100">
        <v>0</v>
      </c>
      <c r="P17" s="100">
        <v>0.78</v>
      </c>
      <c r="Q17" s="100">
        <v>28.08</v>
      </c>
      <c r="R17" s="6"/>
      <c r="S17" s="6"/>
      <c r="T17" s="156"/>
      <c r="U17" s="6"/>
    </row>
    <row r="18" spans="1:21" customFormat="1">
      <c r="A18" s="163" t="s">
        <v>1112</v>
      </c>
      <c r="B18" s="100">
        <v>5.3</v>
      </c>
      <c r="C18" s="100">
        <v>24.2</v>
      </c>
      <c r="D18" s="100">
        <v>18.25</v>
      </c>
      <c r="E18" s="100">
        <v>10.54</v>
      </c>
      <c r="F18" s="152" t="s">
        <v>15</v>
      </c>
      <c r="G18" s="100">
        <v>102.68</v>
      </c>
      <c r="H18" s="100">
        <v>36.06</v>
      </c>
      <c r="I18" s="100">
        <v>8.32</v>
      </c>
      <c r="J18" s="100">
        <v>0.64</v>
      </c>
      <c r="K18" s="100">
        <v>43.09</v>
      </c>
      <c r="L18" s="100">
        <v>24.26</v>
      </c>
      <c r="M18" s="100">
        <v>36.54</v>
      </c>
      <c r="N18" s="100">
        <v>0.7</v>
      </c>
      <c r="O18" s="100">
        <v>0</v>
      </c>
      <c r="P18" s="100">
        <v>0.78</v>
      </c>
      <c r="Q18" s="100">
        <v>28.07</v>
      </c>
      <c r="R18" s="6"/>
      <c r="S18" s="6"/>
      <c r="T18" s="156"/>
      <c r="U18" s="6"/>
    </row>
    <row r="19" spans="1:21" customFormat="1">
      <c r="A19" s="163" t="s">
        <v>1113</v>
      </c>
      <c r="B19" s="100">
        <v>5.14</v>
      </c>
      <c r="C19" s="100">
        <v>24.16</v>
      </c>
      <c r="D19" s="100">
        <v>18.100000000000001</v>
      </c>
      <c r="E19" s="100">
        <v>10.3</v>
      </c>
      <c r="F19" s="152" t="s">
        <v>15</v>
      </c>
      <c r="G19" s="100">
        <v>102.68</v>
      </c>
      <c r="H19" s="100">
        <v>36.06</v>
      </c>
      <c r="I19" s="100">
        <v>8.32</v>
      </c>
      <c r="J19" s="100">
        <v>0.18</v>
      </c>
      <c r="K19" s="100">
        <v>56.96</v>
      </c>
      <c r="L19" s="100">
        <v>24</v>
      </c>
      <c r="M19" s="100">
        <v>38.07</v>
      </c>
      <c r="N19" s="100">
        <v>1.2</v>
      </c>
      <c r="O19" s="100">
        <v>0</v>
      </c>
      <c r="P19" s="100">
        <v>0.78</v>
      </c>
      <c r="Q19" s="100">
        <v>28.08</v>
      </c>
      <c r="R19" s="6"/>
      <c r="S19" s="6"/>
      <c r="T19" s="156"/>
      <c r="U19" s="6"/>
    </row>
    <row r="20" spans="1:21" customFormat="1">
      <c r="A20" s="163" t="s">
        <v>1114</v>
      </c>
      <c r="B20" s="100">
        <v>4.99</v>
      </c>
      <c r="C20" s="100">
        <v>24.08</v>
      </c>
      <c r="D20" s="100">
        <v>17.93</v>
      </c>
      <c r="E20" s="100">
        <v>9.9700000000000006</v>
      </c>
      <c r="F20" s="152" t="s">
        <v>15</v>
      </c>
      <c r="G20" s="100">
        <v>102.68</v>
      </c>
      <c r="H20" s="100">
        <v>36.06</v>
      </c>
      <c r="I20" s="100">
        <v>8.3000000000000007</v>
      </c>
      <c r="J20" s="100">
        <v>0.22</v>
      </c>
      <c r="K20" s="100">
        <v>165.61</v>
      </c>
      <c r="L20" s="100">
        <v>23.23</v>
      </c>
      <c r="M20" s="100">
        <v>43.33</v>
      </c>
      <c r="N20" s="100">
        <v>1.5</v>
      </c>
      <c r="O20" s="100">
        <v>0</v>
      </c>
      <c r="P20" s="100">
        <v>0.78</v>
      </c>
      <c r="Q20" s="100">
        <v>28.07</v>
      </c>
      <c r="R20" s="6"/>
      <c r="S20" s="6"/>
      <c r="T20" s="156"/>
      <c r="U20" s="6"/>
    </row>
    <row r="21" spans="1:21" customFormat="1">
      <c r="A21" s="163" t="s">
        <v>1115</v>
      </c>
      <c r="B21" s="100">
        <v>4.9000000000000004</v>
      </c>
      <c r="C21" s="100">
        <v>23.66</v>
      </c>
      <c r="D21" s="100">
        <v>17.64</v>
      </c>
      <c r="E21" s="100">
        <v>9.51</v>
      </c>
      <c r="F21" s="152" t="s">
        <v>15</v>
      </c>
      <c r="G21" s="100">
        <v>93.67</v>
      </c>
      <c r="H21" s="100">
        <v>35.200000000000003</v>
      </c>
      <c r="I21" s="100">
        <v>8.33</v>
      </c>
      <c r="J21" s="100">
        <v>0.14000000000000001</v>
      </c>
      <c r="K21" s="100">
        <v>170.35</v>
      </c>
      <c r="L21" s="100">
        <v>22.08</v>
      </c>
      <c r="M21" s="100">
        <v>46.34</v>
      </c>
      <c r="N21" s="100">
        <v>1.6</v>
      </c>
      <c r="O21" s="100">
        <v>0</v>
      </c>
      <c r="P21" s="100">
        <v>0.76</v>
      </c>
      <c r="Q21" s="100">
        <v>28.06</v>
      </c>
      <c r="R21" s="6"/>
      <c r="S21" s="6"/>
      <c r="T21" s="156"/>
      <c r="U21" s="6"/>
    </row>
    <row r="22" spans="1:21" customFormat="1">
      <c r="A22" s="163" t="s">
        <v>1116</v>
      </c>
      <c r="B22" s="100">
        <v>4.92</v>
      </c>
      <c r="C22" s="100">
        <v>23.54</v>
      </c>
      <c r="D22" s="100">
        <v>17.59</v>
      </c>
      <c r="E22" s="100">
        <v>9.6199999999999992</v>
      </c>
      <c r="F22" s="152" t="s">
        <v>15</v>
      </c>
      <c r="G22" s="100">
        <v>92.79</v>
      </c>
      <c r="H22" s="100">
        <v>35.200000000000003</v>
      </c>
      <c r="I22" s="100">
        <v>8.33</v>
      </c>
      <c r="J22" s="100">
        <v>0.14000000000000001</v>
      </c>
      <c r="K22" s="100">
        <v>90.68</v>
      </c>
      <c r="L22" s="100">
        <v>22.54</v>
      </c>
      <c r="M22" s="100">
        <v>43.79</v>
      </c>
      <c r="N22" s="100">
        <v>0.5</v>
      </c>
      <c r="O22" s="100">
        <v>0</v>
      </c>
      <c r="P22" s="100">
        <v>0.77</v>
      </c>
      <c r="Q22" s="100">
        <v>28.06</v>
      </c>
      <c r="R22" s="6"/>
      <c r="S22" s="6"/>
      <c r="T22" s="156"/>
      <c r="U22" s="6"/>
    </row>
    <row r="23" spans="1:21" customFormat="1">
      <c r="A23" s="163" t="s">
        <v>1117</v>
      </c>
      <c r="B23" s="100">
        <v>5.0199999999999996</v>
      </c>
      <c r="C23" s="100">
        <v>23.36</v>
      </c>
      <c r="D23" s="100">
        <v>17.579999999999998</v>
      </c>
      <c r="E23" s="100">
        <v>9.73</v>
      </c>
      <c r="F23" s="152" t="s">
        <v>15</v>
      </c>
      <c r="G23" s="100">
        <v>92.79</v>
      </c>
      <c r="H23" s="100">
        <v>35.200000000000003</v>
      </c>
      <c r="I23" s="100">
        <v>8.33</v>
      </c>
      <c r="J23" s="100">
        <v>0.21</v>
      </c>
      <c r="K23" s="100">
        <v>44.13</v>
      </c>
      <c r="L23" s="100">
        <v>21.91</v>
      </c>
      <c r="M23" s="100">
        <v>47.06</v>
      </c>
      <c r="N23" s="100">
        <v>1</v>
      </c>
      <c r="O23" s="100">
        <v>0</v>
      </c>
      <c r="P23" s="100">
        <v>0.77</v>
      </c>
      <c r="Q23" s="100">
        <v>28.06</v>
      </c>
      <c r="R23" s="6"/>
      <c r="S23" s="6"/>
      <c r="T23" s="156"/>
      <c r="U23" s="6"/>
    </row>
    <row r="24" spans="1:21" customFormat="1">
      <c r="A24" s="163" t="s">
        <v>1118</v>
      </c>
      <c r="B24" s="100">
        <v>5.34</v>
      </c>
      <c r="C24" s="100">
        <v>23.36</v>
      </c>
      <c r="D24" s="100">
        <v>17.829999999999998</v>
      </c>
      <c r="E24" s="100">
        <v>10.06</v>
      </c>
      <c r="F24" s="152" t="s">
        <v>15</v>
      </c>
      <c r="G24" s="100">
        <v>92.79</v>
      </c>
      <c r="H24" s="100">
        <v>35.200000000000003</v>
      </c>
      <c r="I24" s="100">
        <v>8.35</v>
      </c>
      <c r="J24" s="100">
        <v>0.1</v>
      </c>
      <c r="K24" s="100">
        <v>171.71</v>
      </c>
      <c r="L24" s="100">
        <v>21.96</v>
      </c>
      <c r="M24" s="100">
        <v>48.09</v>
      </c>
      <c r="N24" s="100">
        <v>1.1000000000000001</v>
      </c>
      <c r="O24" s="100">
        <v>0</v>
      </c>
      <c r="P24" s="100">
        <v>0.76</v>
      </c>
      <c r="Q24" s="100">
        <v>28.09</v>
      </c>
      <c r="R24" s="6"/>
      <c r="S24" s="6"/>
      <c r="T24" s="156"/>
      <c r="U24" s="6"/>
    </row>
    <row r="25" spans="1:21" customFormat="1">
      <c r="A25" s="163" t="s">
        <v>1119</v>
      </c>
      <c r="B25" s="100">
        <v>5.91</v>
      </c>
      <c r="C25" s="100">
        <v>23.62</v>
      </c>
      <c r="D25" s="100">
        <v>18.43</v>
      </c>
      <c r="E25" s="100">
        <v>9.7799999999999994</v>
      </c>
      <c r="F25" s="152" t="s">
        <v>15</v>
      </c>
      <c r="G25" s="100">
        <v>94</v>
      </c>
      <c r="H25" s="100">
        <v>34.130000000000003</v>
      </c>
      <c r="I25" s="100">
        <v>8.36</v>
      </c>
      <c r="J25" s="100">
        <v>0.47</v>
      </c>
      <c r="K25" s="100">
        <v>25.71</v>
      </c>
      <c r="L25" s="100">
        <v>21.81</v>
      </c>
      <c r="M25" s="100">
        <v>47.24</v>
      </c>
      <c r="N25" s="100">
        <v>0.4</v>
      </c>
      <c r="O25" s="100">
        <v>0</v>
      </c>
      <c r="P25" s="100">
        <v>0.77</v>
      </c>
      <c r="Q25" s="100">
        <v>28.1</v>
      </c>
      <c r="R25" s="6"/>
      <c r="S25" s="6"/>
      <c r="T25" s="156"/>
      <c r="U25" s="6"/>
    </row>
    <row r="26" spans="1:21" customFormat="1">
      <c r="A26" s="163" t="s">
        <v>1120</v>
      </c>
      <c r="B26" s="100">
        <v>6.86</v>
      </c>
      <c r="C26" s="100">
        <v>22.98</v>
      </c>
      <c r="D26" s="100">
        <v>18.850000000000001</v>
      </c>
      <c r="E26" s="100">
        <v>9.51</v>
      </c>
      <c r="F26" s="152" t="s">
        <v>15</v>
      </c>
      <c r="G26" s="100">
        <v>94.12</v>
      </c>
      <c r="H26" s="100">
        <v>34.130000000000003</v>
      </c>
      <c r="I26" s="100">
        <v>8.3800000000000008</v>
      </c>
      <c r="J26" s="100">
        <v>7.0000000000000007E-2</v>
      </c>
      <c r="K26" s="100">
        <v>3.3</v>
      </c>
      <c r="L26" s="100">
        <v>21.54</v>
      </c>
      <c r="M26" s="100">
        <v>50.84</v>
      </c>
      <c r="N26" s="100">
        <v>1.1000000000000001</v>
      </c>
      <c r="O26" s="100">
        <v>0</v>
      </c>
      <c r="P26" s="100">
        <v>0.75</v>
      </c>
      <c r="Q26" s="100">
        <v>28.11</v>
      </c>
      <c r="R26" s="6"/>
      <c r="S26" s="6"/>
      <c r="T26" s="156"/>
      <c r="U26" s="6"/>
    </row>
    <row r="27" spans="1:21" customFormat="1">
      <c r="A27" s="163" t="s">
        <v>1121</v>
      </c>
      <c r="B27" s="100">
        <v>7.57</v>
      </c>
      <c r="C27" s="100">
        <v>22.56</v>
      </c>
      <c r="D27" s="100">
        <v>19.21</v>
      </c>
      <c r="E27" s="100">
        <v>9.68</v>
      </c>
      <c r="F27" s="152" t="s">
        <v>15</v>
      </c>
      <c r="G27" s="100">
        <v>94.12</v>
      </c>
      <c r="H27" s="100">
        <v>34.130000000000003</v>
      </c>
      <c r="I27" s="100">
        <v>8.43</v>
      </c>
      <c r="J27" s="100">
        <v>0.14000000000000001</v>
      </c>
      <c r="K27" s="100">
        <v>171.49</v>
      </c>
      <c r="L27" s="100">
        <v>21.54</v>
      </c>
      <c r="M27" s="100">
        <v>51.11</v>
      </c>
      <c r="N27" s="100">
        <v>1.1000000000000001</v>
      </c>
      <c r="O27" s="100">
        <v>0</v>
      </c>
      <c r="P27" s="100">
        <v>0.75</v>
      </c>
      <c r="Q27" s="100">
        <v>28.08</v>
      </c>
      <c r="R27" s="6"/>
      <c r="S27" s="6"/>
      <c r="T27" s="156"/>
      <c r="U27" s="6"/>
    </row>
    <row r="28" spans="1:21" customFormat="1">
      <c r="A28" s="163" t="s">
        <v>1122</v>
      </c>
      <c r="B28" s="100">
        <v>9.8000000000000007</v>
      </c>
      <c r="C28" s="100">
        <v>20.83</v>
      </c>
      <c r="D28" s="100">
        <v>20.09</v>
      </c>
      <c r="E28" s="100">
        <v>9.48</v>
      </c>
      <c r="F28" s="152" t="s">
        <v>15</v>
      </c>
      <c r="G28" s="100">
        <v>94.12</v>
      </c>
      <c r="H28" s="100">
        <v>34.130000000000003</v>
      </c>
      <c r="I28" s="100">
        <v>8.43</v>
      </c>
      <c r="J28" s="100">
        <v>0.09</v>
      </c>
      <c r="K28" s="100">
        <v>184.73</v>
      </c>
      <c r="L28" s="100">
        <v>21.04</v>
      </c>
      <c r="M28" s="100">
        <v>50.81</v>
      </c>
      <c r="N28" s="100">
        <v>1</v>
      </c>
      <c r="O28" s="100">
        <v>0</v>
      </c>
      <c r="P28" s="100">
        <v>0.75</v>
      </c>
      <c r="Q28" s="100">
        <v>28.13</v>
      </c>
      <c r="R28" s="6"/>
      <c r="S28" s="6"/>
      <c r="T28" s="156"/>
      <c r="U28" s="6"/>
    </row>
    <row r="29" spans="1:21" customFormat="1">
      <c r="A29" s="163" t="s">
        <v>1123</v>
      </c>
      <c r="B29" s="100">
        <v>10.11</v>
      </c>
      <c r="C29" s="100">
        <v>21.06</v>
      </c>
      <c r="D29" s="100">
        <v>20.46</v>
      </c>
      <c r="E29" s="100">
        <v>9.61</v>
      </c>
      <c r="F29" s="152" t="s">
        <v>15</v>
      </c>
      <c r="G29" s="100">
        <v>95.6</v>
      </c>
      <c r="H29" s="100">
        <v>31.97</v>
      </c>
      <c r="I29" s="100">
        <v>8.42</v>
      </c>
      <c r="J29" s="100">
        <v>0.21</v>
      </c>
      <c r="K29" s="100">
        <v>124.58</v>
      </c>
      <c r="L29" s="100">
        <v>21.02</v>
      </c>
      <c r="M29" s="100">
        <v>51.29</v>
      </c>
      <c r="N29" s="100">
        <v>0.7</v>
      </c>
      <c r="O29" s="100">
        <v>0</v>
      </c>
      <c r="P29" s="100">
        <v>0.74</v>
      </c>
      <c r="Q29" s="100">
        <v>28.14</v>
      </c>
      <c r="R29" s="6"/>
      <c r="S29" s="6"/>
      <c r="T29" s="156"/>
      <c r="U29" s="6"/>
    </row>
    <row r="30" spans="1:21" customFormat="1">
      <c r="A30" s="163" t="s">
        <v>1124</v>
      </c>
      <c r="B30" s="100">
        <v>9.7200000000000006</v>
      </c>
      <c r="C30" s="100">
        <v>22.4</v>
      </c>
      <c r="D30" s="100">
        <v>20.85</v>
      </c>
      <c r="E30" s="100">
        <v>9.07</v>
      </c>
      <c r="F30" s="152" t="s">
        <v>15</v>
      </c>
      <c r="G30" s="100">
        <v>95.74</v>
      </c>
      <c r="H30" s="100">
        <v>31.97</v>
      </c>
      <c r="I30" s="100">
        <v>8.43</v>
      </c>
      <c r="J30" s="100">
        <v>0.26</v>
      </c>
      <c r="K30" s="100">
        <v>207.38</v>
      </c>
      <c r="L30" s="100">
        <v>20.13</v>
      </c>
      <c r="M30" s="100">
        <v>57.58</v>
      </c>
      <c r="N30" s="100">
        <v>1.6</v>
      </c>
      <c r="O30" s="100">
        <v>0</v>
      </c>
      <c r="P30" s="100">
        <v>0.74</v>
      </c>
      <c r="Q30" s="100">
        <v>28.17</v>
      </c>
      <c r="R30" s="6"/>
      <c r="S30" s="6"/>
      <c r="T30" s="156"/>
      <c r="U30" s="6"/>
    </row>
    <row r="31" spans="1:21" customFormat="1">
      <c r="A31" s="163" t="s">
        <v>1125</v>
      </c>
      <c r="B31" s="100">
        <v>9.4600000000000009</v>
      </c>
      <c r="C31" s="100">
        <v>22.81</v>
      </c>
      <c r="D31" s="100">
        <v>20.86</v>
      </c>
      <c r="E31" s="100">
        <v>9.3800000000000008</v>
      </c>
      <c r="F31" s="152" t="s">
        <v>15</v>
      </c>
      <c r="G31" s="100">
        <v>95.74</v>
      </c>
      <c r="H31" s="100">
        <v>31.97</v>
      </c>
      <c r="I31" s="100">
        <v>8.43</v>
      </c>
      <c r="J31" s="100">
        <v>0.16</v>
      </c>
      <c r="K31" s="100">
        <v>175.64</v>
      </c>
      <c r="L31" s="100">
        <v>19.809999999999999</v>
      </c>
      <c r="M31" s="100">
        <v>56.83</v>
      </c>
      <c r="N31" s="100">
        <v>1</v>
      </c>
      <c r="O31" s="100">
        <v>0</v>
      </c>
      <c r="P31" s="100">
        <v>0.74</v>
      </c>
      <c r="Q31" s="100">
        <v>28.19</v>
      </c>
      <c r="R31" s="6"/>
      <c r="S31" s="6"/>
      <c r="T31" s="156"/>
      <c r="U31" s="6"/>
    </row>
    <row r="32" spans="1:21" customFormat="1">
      <c r="A32" s="163" t="s">
        <v>1126</v>
      </c>
      <c r="B32" s="100">
        <v>9.59</v>
      </c>
      <c r="C32" s="100">
        <v>23.27</v>
      </c>
      <c r="D32" s="100">
        <v>21.2</v>
      </c>
      <c r="E32" s="100">
        <v>9.24</v>
      </c>
      <c r="F32" s="152" t="s">
        <v>15</v>
      </c>
      <c r="G32" s="100">
        <v>95.74</v>
      </c>
      <c r="H32" s="100">
        <v>31.97</v>
      </c>
      <c r="I32" s="100">
        <v>8.4700000000000006</v>
      </c>
      <c r="J32" s="100">
        <v>0.25</v>
      </c>
      <c r="K32" s="100">
        <v>52.92</v>
      </c>
      <c r="L32" s="100">
        <v>20.37</v>
      </c>
      <c r="M32" s="100">
        <v>52.03</v>
      </c>
      <c r="N32" s="100">
        <v>0.4</v>
      </c>
      <c r="O32" s="100">
        <v>0</v>
      </c>
      <c r="P32" s="100">
        <v>0.76</v>
      </c>
      <c r="Q32" s="100">
        <v>28.21</v>
      </c>
      <c r="R32" s="6"/>
      <c r="S32" s="6"/>
      <c r="T32" s="156"/>
      <c r="U32" s="6"/>
    </row>
    <row r="33" spans="1:21" customFormat="1">
      <c r="A33" s="163" t="s">
        <v>1127</v>
      </c>
      <c r="B33" s="100">
        <v>10.64</v>
      </c>
      <c r="C33" s="100">
        <v>24</v>
      </c>
      <c r="D33" s="100">
        <v>22.42</v>
      </c>
      <c r="E33" s="100">
        <v>9.4600000000000009</v>
      </c>
      <c r="F33" s="152" t="s">
        <v>15</v>
      </c>
      <c r="G33" s="100">
        <v>96.02</v>
      </c>
      <c r="H33" s="100">
        <v>32.770000000000003</v>
      </c>
      <c r="I33" s="100">
        <v>8.5</v>
      </c>
      <c r="J33" s="100">
        <v>0.55000000000000004</v>
      </c>
      <c r="K33" s="100">
        <v>31.9</v>
      </c>
      <c r="L33" s="100">
        <v>20.97</v>
      </c>
      <c r="M33" s="100">
        <v>48.13</v>
      </c>
      <c r="N33" s="100">
        <v>1</v>
      </c>
      <c r="O33" s="100">
        <v>0</v>
      </c>
      <c r="P33" s="100">
        <v>0.76</v>
      </c>
      <c r="Q33" s="100">
        <v>28.25</v>
      </c>
      <c r="R33" s="6"/>
      <c r="S33" s="6"/>
      <c r="T33" s="156"/>
      <c r="U33" s="6"/>
    </row>
    <row r="34" spans="1:21" customFormat="1">
      <c r="A34" s="163" t="s">
        <v>1128</v>
      </c>
      <c r="B34" s="100">
        <v>10.86</v>
      </c>
      <c r="C34" s="100">
        <v>24.52</v>
      </c>
      <c r="D34" s="100">
        <v>22.87</v>
      </c>
      <c r="E34" s="100">
        <v>9.35</v>
      </c>
      <c r="F34" s="152" t="s">
        <v>15</v>
      </c>
      <c r="G34" s="100">
        <v>96.05</v>
      </c>
      <c r="H34" s="100">
        <v>32.770000000000003</v>
      </c>
      <c r="I34" s="100">
        <v>8.5500000000000007</v>
      </c>
      <c r="J34" s="100">
        <v>0.5</v>
      </c>
      <c r="K34" s="100">
        <v>57.77</v>
      </c>
      <c r="L34" s="100">
        <v>21.25</v>
      </c>
      <c r="M34" s="100">
        <v>46.37</v>
      </c>
      <c r="N34" s="100">
        <v>4.5</v>
      </c>
      <c r="O34" s="100">
        <v>0</v>
      </c>
      <c r="P34" s="100">
        <v>0.76</v>
      </c>
      <c r="Q34" s="100">
        <v>28.29</v>
      </c>
      <c r="R34" s="6"/>
      <c r="S34" s="6"/>
      <c r="T34" s="156"/>
      <c r="U34" s="6"/>
    </row>
    <row r="35" spans="1:21" customFormat="1">
      <c r="A35" s="163" t="s">
        <v>1129</v>
      </c>
      <c r="B35" s="100">
        <v>11.26</v>
      </c>
      <c r="C35" s="100">
        <v>24.61</v>
      </c>
      <c r="D35" s="100">
        <v>23.24</v>
      </c>
      <c r="E35" s="100">
        <v>9.48</v>
      </c>
      <c r="F35" s="152" t="s">
        <v>15</v>
      </c>
      <c r="G35" s="100">
        <v>96.05</v>
      </c>
      <c r="H35" s="100">
        <v>32.770000000000003</v>
      </c>
      <c r="I35" s="100">
        <v>8.65</v>
      </c>
      <c r="J35" s="100">
        <v>0.52</v>
      </c>
      <c r="K35" s="100">
        <v>40.6</v>
      </c>
      <c r="L35" s="100">
        <v>21.44</v>
      </c>
      <c r="M35" s="100">
        <v>45.48</v>
      </c>
      <c r="N35" s="100">
        <v>10.1</v>
      </c>
      <c r="O35" s="100">
        <v>0</v>
      </c>
      <c r="P35" s="100">
        <v>0.78</v>
      </c>
      <c r="Q35" s="100">
        <v>28.32</v>
      </c>
      <c r="R35" s="6"/>
      <c r="S35" s="6"/>
      <c r="T35" s="156"/>
      <c r="U35" s="6"/>
    </row>
    <row r="36" spans="1:21" customFormat="1">
      <c r="A36" s="163" t="s">
        <v>1130</v>
      </c>
      <c r="B36" s="100">
        <v>11.68</v>
      </c>
      <c r="C36" s="100">
        <v>24.59</v>
      </c>
      <c r="D36" s="100">
        <v>23.56</v>
      </c>
      <c r="E36" s="100">
        <v>9.67</v>
      </c>
      <c r="F36" s="152" t="s">
        <v>15</v>
      </c>
      <c r="G36" s="100">
        <v>96.05</v>
      </c>
      <c r="H36" s="100">
        <v>32.770000000000003</v>
      </c>
      <c r="I36" s="100">
        <v>8.7899999999999991</v>
      </c>
      <c r="J36" s="100">
        <v>0.37</v>
      </c>
      <c r="K36" s="100">
        <v>55.22</v>
      </c>
      <c r="L36" s="100">
        <v>21.34</v>
      </c>
      <c r="M36" s="100">
        <v>48.56</v>
      </c>
      <c r="N36" s="100">
        <v>17.2</v>
      </c>
      <c r="O36" s="100">
        <v>0</v>
      </c>
      <c r="P36" s="100">
        <v>0.78</v>
      </c>
      <c r="Q36" s="100">
        <v>28.33</v>
      </c>
      <c r="R36" s="6"/>
      <c r="S36" s="6"/>
      <c r="T36" s="156"/>
      <c r="U36" s="6"/>
    </row>
    <row r="37" spans="1:21" customFormat="1">
      <c r="A37" s="163" t="s">
        <v>1131</v>
      </c>
      <c r="B37" s="100">
        <v>12.11</v>
      </c>
      <c r="C37" s="100">
        <v>24.24</v>
      </c>
      <c r="D37" s="100">
        <v>23.73</v>
      </c>
      <c r="E37" s="100">
        <v>9.83</v>
      </c>
      <c r="F37" s="152" t="s">
        <v>15</v>
      </c>
      <c r="G37" s="100">
        <v>100.5</v>
      </c>
      <c r="H37" s="100">
        <v>35.25</v>
      </c>
      <c r="I37" s="100">
        <v>8.92</v>
      </c>
      <c r="J37" s="100">
        <v>0.71</v>
      </c>
      <c r="K37" s="100">
        <v>45.27</v>
      </c>
      <c r="L37" s="100">
        <v>21.79</v>
      </c>
      <c r="M37" s="100">
        <v>44.94</v>
      </c>
      <c r="N37" s="100">
        <v>24</v>
      </c>
      <c r="O37" s="100">
        <v>0</v>
      </c>
      <c r="P37" s="100">
        <v>0.78</v>
      </c>
      <c r="Q37" s="100">
        <v>28.35</v>
      </c>
      <c r="R37" s="6"/>
      <c r="S37" s="6"/>
      <c r="T37" s="156"/>
      <c r="U37" s="6"/>
    </row>
    <row r="38" spans="1:21" customFormat="1">
      <c r="A38" s="163" t="s">
        <v>1132</v>
      </c>
      <c r="B38" s="100">
        <v>12.53</v>
      </c>
      <c r="C38" s="100">
        <v>23.76</v>
      </c>
      <c r="D38" s="100">
        <v>23.82</v>
      </c>
      <c r="E38" s="100">
        <v>9.77</v>
      </c>
      <c r="F38" s="152" t="s">
        <v>15</v>
      </c>
      <c r="G38" s="100">
        <v>100.93</v>
      </c>
      <c r="H38" s="100">
        <v>35.25</v>
      </c>
      <c r="I38" s="100">
        <v>9.0500000000000007</v>
      </c>
      <c r="J38" s="100">
        <v>0.97</v>
      </c>
      <c r="K38" s="100">
        <v>47.97</v>
      </c>
      <c r="L38" s="100">
        <v>22.19</v>
      </c>
      <c r="M38" s="100">
        <v>43.44</v>
      </c>
      <c r="N38" s="100">
        <v>31.6</v>
      </c>
      <c r="O38" s="100">
        <v>0</v>
      </c>
      <c r="P38" s="100">
        <v>0.8</v>
      </c>
      <c r="Q38" s="100">
        <v>28.35</v>
      </c>
      <c r="R38" s="6"/>
      <c r="S38" s="6"/>
      <c r="T38" s="156"/>
      <c r="U38" s="6"/>
    </row>
    <row r="39" spans="1:21" customFormat="1">
      <c r="A39" s="163" t="s">
        <v>1133</v>
      </c>
      <c r="B39" s="100">
        <v>12.8</v>
      </c>
      <c r="C39" s="100">
        <v>23.45</v>
      </c>
      <c r="D39" s="100">
        <v>23.87</v>
      </c>
      <c r="E39" s="100">
        <v>9.51</v>
      </c>
      <c r="F39" s="152" t="s">
        <v>15</v>
      </c>
      <c r="G39" s="100">
        <v>100.93</v>
      </c>
      <c r="H39" s="100">
        <v>35.25</v>
      </c>
      <c r="I39" s="100">
        <v>9.17</v>
      </c>
      <c r="J39" s="100">
        <v>0.9</v>
      </c>
      <c r="K39" s="100">
        <v>56.24</v>
      </c>
      <c r="L39" s="100">
        <v>22.71</v>
      </c>
      <c r="M39" s="100">
        <v>41.96</v>
      </c>
      <c r="N39" s="100">
        <v>41.1</v>
      </c>
      <c r="O39" s="100">
        <v>0</v>
      </c>
      <c r="P39" s="100">
        <v>0.81</v>
      </c>
      <c r="Q39" s="100">
        <v>28.38</v>
      </c>
      <c r="R39" s="6"/>
      <c r="S39" s="6"/>
      <c r="T39" s="156"/>
      <c r="U39" s="6"/>
    </row>
    <row r="40" spans="1:21" customFormat="1">
      <c r="A40" s="163" t="s">
        <v>1134</v>
      </c>
      <c r="B40" s="100">
        <v>13.31</v>
      </c>
      <c r="C40" s="100">
        <v>23.44</v>
      </c>
      <c r="D40" s="100">
        <v>24.27</v>
      </c>
      <c r="E40" s="100">
        <v>9.64</v>
      </c>
      <c r="F40" s="152" t="s">
        <v>15</v>
      </c>
      <c r="G40" s="100">
        <v>100.93</v>
      </c>
      <c r="H40" s="100">
        <v>35.25</v>
      </c>
      <c r="I40" s="100">
        <v>9.34</v>
      </c>
      <c r="J40" s="100">
        <v>0.95</v>
      </c>
      <c r="K40" s="100">
        <v>57.19</v>
      </c>
      <c r="L40" s="100">
        <v>23.31</v>
      </c>
      <c r="M40" s="100">
        <v>39.99</v>
      </c>
      <c r="N40" s="100">
        <v>51.7</v>
      </c>
      <c r="O40" s="100">
        <v>0</v>
      </c>
      <c r="P40" s="100">
        <v>0.82</v>
      </c>
      <c r="Q40" s="100">
        <v>28.4</v>
      </c>
      <c r="R40" s="6"/>
      <c r="S40" s="6"/>
      <c r="T40" s="156"/>
      <c r="U40" s="6"/>
    </row>
    <row r="41" spans="1:21" customFormat="1">
      <c r="A41" s="163" t="s">
        <v>1135</v>
      </c>
      <c r="B41" s="100">
        <v>13.93</v>
      </c>
      <c r="C41" s="100">
        <v>23.71</v>
      </c>
      <c r="D41" s="100">
        <v>24.91</v>
      </c>
      <c r="E41" s="100">
        <v>10.25</v>
      </c>
      <c r="F41" s="152" t="s">
        <v>15</v>
      </c>
      <c r="G41" s="100">
        <v>105.39</v>
      </c>
      <c r="H41" s="100">
        <v>40.369999999999997</v>
      </c>
      <c r="I41" s="100">
        <v>9.49</v>
      </c>
      <c r="J41" s="100">
        <v>1.45</v>
      </c>
      <c r="K41" s="100">
        <v>46.48</v>
      </c>
      <c r="L41" s="100">
        <v>23.85</v>
      </c>
      <c r="M41" s="100">
        <v>37.049999999999997</v>
      </c>
      <c r="N41" s="100">
        <v>78.8</v>
      </c>
      <c r="O41" s="100">
        <v>0</v>
      </c>
      <c r="P41" s="100">
        <v>0.82</v>
      </c>
      <c r="Q41" s="100">
        <v>28.41</v>
      </c>
      <c r="R41" s="6"/>
      <c r="S41" s="6"/>
      <c r="T41" s="156"/>
      <c r="U41" s="6"/>
    </row>
    <row r="42" spans="1:21" customFormat="1">
      <c r="A42" s="163" t="s">
        <v>1136</v>
      </c>
      <c r="B42" s="100">
        <v>14.57</v>
      </c>
      <c r="C42" s="100">
        <v>23.19</v>
      </c>
      <c r="D42" s="100">
        <v>25.15</v>
      </c>
      <c r="E42" s="100">
        <v>10.41</v>
      </c>
      <c r="F42" s="152" t="s">
        <v>15</v>
      </c>
      <c r="G42" s="100">
        <v>105.82</v>
      </c>
      <c r="H42" s="100">
        <v>40.369999999999997</v>
      </c>
      <c r="I42" s="100">
        <v>9.61</v>
      </c>
      <c r="J42" s="100">
        <v>1.66</v>
      </c>
      <c r="K42" s="100">
        <v>51.43</v>
      </c>
      <c r="L42" s="100">
        <v>24.22</v>
      </c>
      <c r="M42" s="100">
        <v>36.93</v>
      </c>
      <c r="N42" s="100">
        <v>138.80000000000001</v>
      </c>
      <c r="O42" s="100">
        <v>0</v>
      </c>
      <c r="P42" s="100">
        <v>0.82</v>
      </c>
      <c r="Q42" s="100">
        <v>28.41</v>
      </c>
      <c r="R42" s="6"/>
      <c r="S42" s="6"/>
      <c r="T42" s="156"/>
      <c r="U42" s="6"/>
    </row>
    <row r="43" spans="1:21" customFormat="1">
      <c r="A43" s="163" t="s">
        <v>1137</v>
      </c>
      <c r="B43" s="100">
        <v>14.37</v>
      </c>
      <c r="C43" s="100">
        <v>23.28</v>
      </c>
      <c r="D43" s="100">
        <v>25.04</v>
      </c>
      <c r="E43" s="100">
        <v>10.58</v>
      </c>
      <c r="F43" s="152" t="s">
        <v>15</v>
      </c>
      <c r="G43" s="100">
        <v>105.82</v>
      </c>
      <c r="H43" s="100">
        <v>40.369999999999997</v>
      </c>
      <c r="I43" s="100">
        <v>9.75</v>
      </c>
      <c r="J43" s="100">
        <v>0.93</v>
      </c>
      <c r="K43" s="100">
        <v>54.24</v>
      </c>
      <c r="L43" s="100">
        <v>25.31</v>
      </c>
      <c r="M43" s="100">
        <v>36.19</v>
      </c>
      <c r="N43" s="100">
        <v>177.2</v>
      </c>
      <c r="O43" s="100">
        <v>0</v>
      </c>
      <c r="P43" s="100">
        <v>0.82</v>
      </c>
      <c r="Q43" s="100">
        <v>28.41</v>
      </c>
      <c r="R43" s="6"/>
      <c r="S43" s="6"/>
      <c r="T43" s="156"/>
      <c r="U43" s="6"/>
    </row>
    <row r="44" spans="1:21" customFormat="1">
      <c r="A44" s="163" t="s">
        <v>1138</v>
      </c>
      <c r="B44" s="100">
        <v>14.08</v>
      </c>
      <c r="C44" s="100">
        <v>23.04</v>
      </c>
      <c r="D44" s="100">
        <v>24.68</v>
      </c>
      <c r="E44" s="100">
        <v>10.050000000000001</v>
      </c>
      <c r="F44" s="152" t="s">
        <v>15</v>
      </c>
      <c r="G44" s="100">
        <v>105.82</v>
      </c>
      <c r="H44" s="100">
        <v>40.369999999999997</v>
      </c>
      <c r="I44" s="100">
        <v>9.85</v>
      </c>
      <c r="J44" s="100">
        <v>0.88</v>
      </c>
      <c r="K44" s="100">
        <v>56.07</v>
      </c>
      <c r="L44" s="100">
        <v>26.3</v>
      </c>
      <c r="M44" s="100">
        <v>35.020000000000003</v>
      </c>
      <c r="N44" s="100">
        <v>193.9</v>
      </c>
      <c r="O44" s="100">
        <v>0</v>
      </c>
      <c r="P44" s="100">
        <v>0.81</v>
      </c>
      <c r="Q44" s="100">
        <v>28.41</v>
      </c>
      <c r="R44" s="6"/>
      <c r="S44" s="6"/>
      <c r="T44" s="156"/>
      <c r="U44" s="6"/>
    </row>
    <row r="45" spans="1:21" customFormat="1">
      <c r="A45" s="163" t="s">
        <v>1139</v>
      </c>
      <c r="B45" s="100">
        <v>13.55</v>
      </c>
      <c r="C45" s="100">
        <v>22.76</v>
      </c>
      <c r="D45" s="100">
        <v>24.11</v>
      </c>
      <c r="E45" s="100">
        <v>10.46</v>
      </c>
      <c r="F45" s="152" t="s">
        <v>15</v>
      </c>
      <c r="G45" s="100">
        <v>110.63</v>
      </c>
      <c r="H45" s="100">
        <v>35.74</v>
      </c>
      <c r="I45" s="100">
        <v>9.9</v>
      </c>
      <c r="J45" s="100">
        <v>0.62</v>
      </c>
      <c r="K45" s="100">
        <v>68.05</v>
      </c>
      <c r="L45" s="100">
        <v>27.58</v>
      </c>
      <c r="M45" s="100">
        <v>34.49</v>
      </c>
      <c r="N45" s="100">
        <v>169.4</v>
      </c>
      <c r="O45" s="100">
        <v>0</v>
      </c>
      <c r="P45" s="100">
        <v>0.82</v>
      </c>
      <c r="Q45" s="100">
        <v>28.42</v>
      </c>
      <c r="R45" s="6"/>
      <c r="S45" s="6"/>
      <c r="T45" s="156"/>
      <c r="U45" s="6"/>
    </row>
    <row r="46" spans="1:21" customFormat="1">
      <c r="A46" s="163" t="s">
        <v>1140</v>
      </c>
      <c r="B46" s="100">
        <v>12.95</v>
      </c>
      <c r="C46" s="100">
        <v>22.67</v>
      </c>
      <c r="D46" s="100">
        <v>23.58</v>
      </c>
      <c r="E46" s="100">
        <v>10.95</v>
      </c>
      <c r="F46" s="152" t="s">
        <v>15</v>
      </c>
      <c r="G46" s="100">
        <v>111.1</v>
      </c>
      <c r="H46" s="100">
        <v>35.74</v>
      </c>
      <c r="I46" s="100">
        <v>10.02</v>
      </c>
      <c r="J46" s="100">
        <v>1.02</v>
      </c>
      <c r="K46" s="100">
        <v>57.25</v>
      </c>
      <c r="L46" s="100">
        <v>28.13</v>
      </c>
      <c r="M46" s="100">
        <v>36.270000000000003</v>
      </c>
      <c r="N46" s="100">
        <v>229.1</v>
      </c>
      <c r="O46" s="100">
        <v>0</v>
      </c>
      <c r="P46" s="100">
        <v>0.82</v>
      </c>
      <c r="Q46" s="100">
        <v>28.39</v>
      </c>
      <c r="R46" s="6"/>
      <c r="S46" s="6"/>
      <c r="T46" s="156"/>
      <c r="U46" s="6"/>
    </row>
    <row r="47" spans="1:21" customFormat="1">
      <c r="A47" s="163" t="s">
        <v>1141</v>
      </c>
      <c r="B47" s="100">
        <v>12.55</v>
      </c>
      <c r="C47" s="100">
        <v>23.34</v>
      </c>
      <c r="D47" s="100">
        <v>23.61</v>
      </c>
      <c r="E47" s="100">
        <v>15.14</v>
      </c>
      <c r="F47" s="152" t="s">
        <v>15</v>
      </c>
      <c r="G47" s="100">
        <v>111.1</v>
      </c>
      <c r="H47" s="100">
        <v>35.74</v>
      </c>
      <c r="I47" s="100">
        <v>10.09</v>
      </c>
      <c r="J47" s="100">
        <v>0.9</v>
      </c>
      <c r="K47" s="100">
        <v>56.09</v>
      </c>
      <c r="L47" s="100">
        <v>28.64</v>
      </c>
      <c r="M47" s="100">
        <v>35.72</v>
      </c>
      <c r="N47" s="100">
        <v>239.9</v>
      </c>
      <c r="O47" s="100">
        <v>0</v>
      </c>
      <c r="P47" s="100">
        <v>0.83</v>
      </c>
      <c r="Q47" s="100">
        <v>28.36</v>
      </c>
      <c r="R47" s="6"/>
      <c r="S47" s="6"/>
      <c r="T47" s="156"/>
      <c r="U47" s="6"/>
    </row>
    <row r="48" spans="1:21" customFormat="1">
      <c r="A48" s="163" t="s">
        <v>1142</v>
      </c>
      <c r="B48" s="100">
        <v>12.1</v>
      </c>
      <c r="C48" s="100">
        <v>23.84</v>
      </c>
      <c r="D48" s="100">
        <v>23.51</v>
      </c>
      <c r="E48" s="100">
        <v>17.14</v>
      </c>
      <c r="F48" s="152" t="s">
        <v>15</v>
      </c>
      <c r="G48" s="100">
        <v>111.1</v>
      </c>
      <c r="H48" s="100">
        <v>35.74</v>
      </c>
      <c r="I48" s="100">
        <v>10.07</v>
      </c>
      <c r="J48" s="100">
        <v>0.97</v>
      </c>
      <c r="K48" s="100">
        <v>41.54</v>
      </c>
      <c r="L48" s="100">
        <v>29.38</v>
      </c>
      <c r="M48" s="100">
        <v>34.75</v>
      </c>
      <c r="N48" s="100">
        <v>252.1</v>
      </c>
      <c r="O48" s="100">
        <v>0</v>
      </c>
      <c r="P48" s="100">
        <v>0.83</v>
      </c>
      <c r="Q48" s="100">
        <v>28.35</v>
      </c>
      <c r="R48" s="6"/>
      <c r="S48" s="6"/>
      <c r="T48" s="156"/>
      <c r="U48" s="6"/>
    </row>
    <row r="49" spans="1:21" customFormat="1">
      <c r="A49" s="163" t="s">
        <v>1143</v>
      </c>
      <c r="B49" s="100">
        <v>11.57</v>
      </c>
      <c r="C49" s="100">
        <v>25.12</v>
      </c>
      <c r="D49" s="100">
        <v>23.75</v>
      </c>
      <c r="E49" s="100">
        <v>19.43</v>
      </c>
      <c r="F49" s="152" t="s">
        <v>15</v>
      </c>
      <c r="G49" s="100">
        <v>106.59</v>
      </c>
      <c r="H49" s="100">
        <v>36.61</v>
      </c>
      <c r="I49" s="100">
        <v>10.08</v>
      </c>
      <c r="J49" s="100">
        <v>0.83</v>
      </c>
      <c r="K49" s="100">
        <v>44.99</v>
      </c>
      <c r="L49" s="100">
        <v>30.34</v>
      </c>
      <c r="M49" s="100">
        <v>33.659999999999997</v>
      </c>
      <c r="N49" s="100">
        <v>228.6</v>
      </c>
      <c r="O49" s="100">
        <v>0</v>
      </c>
      <c r="P49" s="100">
        <v>0.85</v>
      </c>
      <c r="Q49" s="100">
        <v>28.32</v>
      </c>
      <c r="R49" s="6"/>
      <c r="S49" s="6"/>
      <c r="T49" s="156"/>
      <c r="U49" s="6"/>
    </row>
    <row r="50" spans="1:21" customFormat="1">
      <c r="A50" s="163" t="s">
        <v>1144</v>
      </c>
      <c r="B50" s="100">
        <v>8.2100000000000009</v>
      </c>
      <c r="C50" s="100">
        <v>26.43</v>
      </c>
      <c r="D50" s="100">
        <v>21.75</v>
      </c>
      <c r="E50" s="100">
        <v>19.11</v>
      </c>
      <c r="F50" s="152" t="s">
        <v>15</v>
      </c>
      <c r="G50" s="100">
        <v>106.15</v>
      </c>
      <c r="H50" s="100">
        <v>36.61</v>
      </c>
      <c r="I50" s="100">
        <v>10.07</v>
      </c>
      <c r="J50" s="100">
        <v>0.75</v>
      </c>
      <c r="K50" s="100">
        <v>13.69</v>
      </c>
      <c r="L50" s="100">
        <v>30.6</v>
      </c>
      <c r="M50" s="100">
        <v>33.83</v>
      </c>
      <c r="N50" s="100">
        <v>214.7</v>
      </c>
      <c r="O50" s="100">
        <v>0</v>
      </c>
      <c r="P50" s="100">
        <v>0.84</v>
      </c>
      <c r="Q50" s="100">
        <v>28.21</v>
      </c>
      <c r="R50" s="6"/>
      <c r="S50" s="6"/>
      <c r="T50" s="156"/>
      <c r="U50" s="6"/>
    </row>
    <row r="51" spans="1:21" customFormat="1">
      <c r="A51" s="163" t="s">
        <v>1145</v>
      </c>
      <c r="B51" s="100">
        <v>5.28</v>
      </c>
      <c r="C51" s="100">
        <v>26.97</v>
      </c>
      <c r="D51" s="100">
        <v>19.68</v>
      </c>
      <c r="E51" s="100">
        <v>15.94</v>
      </c>
      <c r="F51" s="152" t="s">
        <v>15</v>
      </c>
      <c r="G51" s="100">
        <v>106.15</v>
      </c>
      <c r="H51" s="100">
        <v>36.61</v>
      </c>
      <c r="I51" s="100">
        <v>10.050000000000001</v>
      </c>
      <c r="J51" s="100">
        <v>0.41</v>
      </c>
      <c r="K51" s="100">
        <v>35.89</v>
      </c>
      <c r="L51" s="100">
        <v>31.38</v>
      </c>
      <c r="M51" s="100">
        <v>33.07</v>
      </c>
      <c r="N51" s="100">
        <v>282</v>
      </c>
      <c r="O51" s="100">
        <v>0</v>
      </c>
      <c r="P51" s="100">
        <v>0.83</v>
      </c>
      <c r="Q51" s="100">
        <v>28.09</v>
      </c>
      <c r="R51" s="6"/>
      <c r="S51" s="6"/>
      <c r="T51" s="156"/>
      <c r="U51" s="6"/>
    </row>
    <row r="52" spans="1:21" customFormat="1">
      <c r="A52" s="163" t="s">
        <v>1146</v>
      </c>
      <c r="B52" s="100">
        <v>3.97</v>
      </c>
      <c r="C52" s="100">
        <v>24.02</v>
      </c>
      <c r="D52" s="100">
        <v>17.079999999999998</v>
      </c>
      <c r="E52" s="100">
        <v>16.5</v>
      </c>
      <c r="F52" s="152" t="s">
        <v>15</v>
      </c>
      <c r="G52" s="100">
        <v>106.15</v>
      </c>
      <c r="H52" s="100">
        <v>36.61</v>
      </c>
      <c r="I52" s="100">
        <v>9.91</v>
      </c>
      <c r="J52" s="100">
        <v>0.15</v>
      </c>
      <c r="K52" s="100">
        <v>63.5</v>
      </c>
      <c r="L52" s="100">
        <v>32.409999999999997</v>
      </c>
      <c r="M52" s="100">
        <v>32.01</v>
      </c>
      <c r="N52" s="100">
        <v>287</v>
      </c>
      <c r="O52" s="100">
        <v>0</v>
      </c>
      <c r="P52" s="100">
        <v>0.74</v>
      </c>
      <c r="Q52" s="100">
        <v>28.06</v>
      </c>
      <c r="R52" s="6"/>
      <c r="S52" s="6"/>
      <c r="T52" s="156"/>
      <c r="U52" s="6"/>
    </row>
    <row r="53" spans="1:21" customFormat="1">
      <c r="A53" s="163" t="s">
        <v>1147</v>
      </c>
      <c r="B53" s="100">
        <v>3.59</v>
      </c>
      <c r="C53" s="100">
        <v>22.12</v>
      </c>
      <c r="D53" s="100">
        <v>15.78</v>
      </c>
      <c r="E53" s="100">
        <v>14.15</v>
      </c>
      <c r="F53" s="152" t="s">
        <v>15</v>
      </c>
      <c r="G53" s="100">
        <v>101.36</v>
      </c>
      <c r="H53" s="100">
        <v>36.29</v>
      </c>
      <c r="I53" s="100">
        <v>9.36</v>
      </c>
      <c r="J53" s="100">
        <v>0.37</v>
      </c>
      <c r="K53" s="100">
        <v>139.88</v>
      </c>
      <c r="L53" s="100">
        <v>33.15</v>
      </c>
      <c r="M53" s="100">
        <v>31.31</v>
      </c>
      <c r="N53" s="100">
        <v>291.8</v>
      </c>
      <c r="O53" s="100">
        <v>0</v>
      </c>
      <c r="P53" s="100">
        <v>0.68</v>
      </c>
      <c r="Q53" s="100">
        <v>28.05</v>
      </c>
      <c r="R53" s="6"/>
      <c r="S53" s="6"/>
      <c r="T53" s="156"/>
      <c r="U53" s="6"/>
    </row>
    <row r="54" spans="1:21" customFormat="1">
      <c r="A54" s="163" t="s">
        <v>1148</v>
      </c>
      <c r="B54" s="100">
        <v>3.83</v>
      </c>
      <c r="C54" s="100">
        <v>19.68</v>
      </c>
      <c r="D54" s="100">
        <v>14.71</v>
      </c>
      <c r="E54" s="100">
        <v>16.48</v>
      </c>
      <c r="F54" s="152" t="s">
        <v>15</v>
      </c>
      <c r="G54" s="100">
        <v>100.9</v>
      </c>
      <c r="H54" s="100">
        <v>36.29</v>
      </c>
      <c r="I54" s="100">
        <v>8.85</v>
      </c>
      <c r="J54" s="100">
        <v>0.25</v>
      </c>
      <c r="K54" s="100">
        <v>90.18</v>
      </c>
      <c r="L54" s="100">
        <v>33.61</v>
      </c>
      <c r="M54" s="100">
        <v>31.64</v>
      </c>
      <c r="N54" s="100">
        <v>280.60000000000002</v>
      </c>
      <c r="O54" s="100">
        <v>0</v>
      </c>
      <c r="P54" s="100">
        <v>0.65</v>
      </c>
      <c r="Q54" s="100">
        <v>28.03</v>
      </c>
      <c r="R54" s="6"/>
      <c r="S54" s="6"/>
      <c r="T54" s="156"/>
      <c r="U54" s="6"/>
    </row>
    <row r="55" spans="1:21" customFormat="1">
      <c r="A55" s="163" t="s">
        <v>1149</v>
      </c>
      <c r="B55" s="100">
        <v>3.94</v>
      </c>
      <c r="C55" s="100">
        <v>18.989999999999998</v>
      </c>
      <c r="D55" s="100">
        <v>14.43</v>
      </c>
      <c r="E55" s="100">
        <v>15.34</v>
      </c>
      <c r="F55" s="152" t="s">
        <v>15</v>
      </c>
      <c r="G55" s="100">
        <v>100.9</v>
      </c>
      <c r="H55" s="100">
        <v>36.29</v>
      </c>
      <c r="I55" s="100">
        <v>8.3800000000000008</v>
      </c>
      <c r="J55" s="100">
        <v>0.85</v>
      </c>
      <c r="K55" s="100">
        <v>29.35</v>
      </c>
      <c r="L55" s="100">
        <v>33.56</v>
      </c>
      <c r="M55" s="100">
        <v>31.48</v>
      </c>
      <c r="N55" s="100">
        <v>285.5</v>
      </c>
      <c r="O55" s="100">
        <v>0</v>
      </c>
      <c r="P55" s="100">
        <v>0.64</v>
      </c>
      <c r="Q55" s="100">
        <v>28.03</v>
      </c>
      <c r="R55" s="6"/>
      <c r="S55" s="6"/>
      <c r="T55" s="156"/>
      <c r="U55" s="6"/>
    </row>
    <row r="56" spans="1:21" customFormat="1">
      <c r="A56" s="163" t="s">
        <v>1150</v>
      </c>
      <c r="B56" s="100">
        <v>3.88</v>
      </c>
      <c r="C56" s="100">
        <v>18.059999999999999</v>
      </c>
      <c r="D56" s="100">
        <v>13.9</v>
      </c>
      <c r="E56" s="100">
        <v>15.63</v>
      </c>
      <c r="F56" s="152" t="s">
        <v>15</v>
      </c>
      <c r="G56" s="100">
        <v>100.9</v>
      </c>
      <c r="H56" s="100">
        <v>36.29</v>
      </c>
      <c r="I56" s="100">
        <v>7.84</v>
      </c>
      <c r="J56" s="100">
        <v>0.28999999999999998</v>
      </c>
      <c r="K56" s="100">
        <v>129.71</v>
      </c>
      <c r="L56" s="100">
        <v>33.659999999999997</v>
      </c>
      <c r="M56" s="100">
        <v>31.42</v>
      </c>
      <c r="N56" s="100">
        <v>291</v>
      </c>
      <c r="O56" s="100">
        <v>0</v>
      </c>
      <c r="P56" s="100">
        <v>0.62</v>
      </c>
      <c r="Q56" s="100">
        <v>28.01</v>
      </c>
      <c r="R56" s="6"/>
      <c r="S56" s="6"/>
      <c r="T56" s="156"/>
      <c r="U56" s="6"/>
    </row>
    <row r="57" spans="1:21" customFormat="1">
      <c r="A57" s="163" t="s">
        <v>1151</v>
      </c>
      <c r="B57" s="100">
        <v>3.67</v>
      </c>
      <c r="C57" s="100">
        <v>15.22</v>
      </c>
      <c r="D57" s="100">
        <v>12.25</v>
      </c>
      <c r="E57" s="100">
        <v>16.02</v>
      </c>
      <c r="F57" s="152" t="s">
        <v>15</v>
      </c>
      <c r="G57" s="100">
        <v>95.17</v>
      </c>
      <c r="H57" s="100">
        <v>35.340000000000003</v>
      </c>
      <c r="I57" s="100">
        <v>7.77</v>
      </c>
      <c r="J57" s="100">
        <v>0.44</v>
      </c>
      <c r="K57" s="100">
        <v>329.91</v>
      </c>
      <c r="L57" s="100">
        <v>33.9</v>
      </c>
      <c r="M57" s="100">
        <v>30.52</v>
      </c>
      <c r="N57" s="100">
        <v>306.60000000000002</v>
      </c>
      <c r="O57" s="100">
        <v>0</v>
      </c>
      <c r="P57" s="100">
        <v>0.56000000000000005</v>
      </c>
      <c r="Q57" s="100">
        <v>27.99</v>
      </c>
      <c r="R57" s="6"/>
      <c r="S57" s="6"/>
      <c r="T57" s="156"/>
      <c r="U57" s="6"/>
    </row>
    <row r="58" spans="1:21" customFormat="1">
      <c r="A58" s="163" t="s">
        <v>1152</v>
      </c>
      <c r="B58" s="100">
        <v>3.59</v>
      </c>
      <c r="C58" s="100">
        <v>16.63</v>
      </c>
      <c r="D58" s="100">
        <v>12.92</v>
      </c>
      <c r="E58" s="100">
        <v>13.05</v>
      </c>
      <c r="F58" s="152" t="s">
        <v>15</v>
      </c>
      <c r="G58" s="100">
        <v>94.61</v>
      </c>
      <c r="H58" s="100">
        <v>35.340000000000003</v>
      </c>
      <c r="I58" s="100">
        <v>6.96</v>
      </c>
      <c r="J58" s="100">
        <v>0.46</v>
      </c>
      <c r="K58" s="100">
        <v>16.579999999999998</v>
      </c>
      <c r="L58" s="100">
        <v>33.85</v>
      </c>
      <c r="M58" s="100">
        <v>29.92</v>
      </c>
      <c r="N58" s="100">
        <v>309.89999999999998</v>
      </c>
      <c r="O58" s="100">
        <v>0</v>
      </c>
      <c r="P58" s="100">
        <v>0.59</v>
      </c>
      <c r="Q58" s="100">
        <v>28</v>
      </c>
      <c r="R58" s="6"/>
      <c r="S58" s="6"/>
      <c r="T58" s="156"/>
      <c r="U58" s="6"/>
    </row>
    <row r="59" spans="1:21" customFormat="1">
      <c r="A59" s="163" t="s">
        <v>1153</v>
      </c>
      <c r="B59" s="100">
        <v>3.57</v>
      </c>
      <c r="C59" s="100">
        <v>18.07</v>
      </c>
      <c r="D59" s="100">
        <v>13.65</v>
      </c>
      <c r="E59" s="100">
        <v>10.98</v>
      </c>
      <c r="F59" s="152" t="s">
        <v>15</v>
      </c>
      <c r="G59" s="100">
        <v>94.61</v>
      </c>
      <c r="H59" s="100">
        <v>35.340000000000003</v>
      </c>
      <c r="I59" s="100">
        <v>5.88</v>
      </c>
      <c r="J59" s="100">
        <v>0.26</v>
      </c>
      <c r="K59" s="100">
        <v>321.94</v>
      </c>
      <c r="L59" s="100">
        <v>34.549999999999997</v>
      </c>
      <c r="M59" s="100">
        <v>28.27</v>
      </c>
      <c r="N59" s="100">
        <v>314.2</v>
      </c>
      <c r="O59" s="100">
        <v>0</v>
      </c>
      <c r="P59" s="100">
        <v>0.6</v>
      </c>
      <c r="Q59" s="100">
        <v>28.01</v>
      </c>
      <c r="R59" s="6"/>
      <c r="S59" s="6"/>
      <c r="T59" s="156"/>
      <c r="U59" s="6"/>
    </row>
    <row r="60" spans="1:21" customFormat="1">
      <c r="A60" s="163" t="s">
        <v>1154</v>
      </c>
      <c r="B60" s="100">
        <v>3.61</v>
      </c>
      <c r="C60" s="100">
        <v>18.48</v>
      </c>
      <c r="D60" s="100">
        <v>13.91</v>
      </c>
      <c r="E60" s="100">
        <v>11.27</v>
      </c>
      <c r="F60" s="152" t="s">
        <v>15</v>
      </c>
      <c r="G60" s="100">
        <v>94.61</v>
      </c>
      <c r="H60" s="100">
        <v>35.340000000000003</v>
      </c>
      <c r="I60" s="100">
        <v>6.38</v>
      </c>
      <c r="J60" s="100">
        <v>0.89</v>
      </c>
      <c r="K60" s="100">
        <v>319.77999999999997</v>
      </c>
      <c r="L60" s="100">
        <v>34.799999999999997</v>
      </c>
      <c r="M60" s="100">
        <v>26.62</v>
      </c>
      <c r="N60" s="100">
        <v>312.60000000000002</v>
      </c>
      <c r="O60" s="100">
        <v>0</v>
      </c>
      <c r="P60" s="100">
        <v>0.59</v>
      </c>
      <c r="Q60" s="100">
        <v>28.02</v>
      </c>
      <c r="R60" s="6"/>
      <c r="S60" s="6"/>
      <c r="T60" s="156"/>
      <c r="U60" s="6"/>
    </row>
    <row r="61" spans="1:21" customFormat="1">
      <c r="A61" s="163" t="s">
        <v>1155</v>
      </c>
      <c r="B61" s="100">
        <v>3.63</v>
      </c>
      <c r="C61" s="100">
        <v>18.41</v>
      </c>
      <c r="D61" s="100">
        <v>13.88</v>
      </c>
      <c r="E61" s="100">
        <v>11.28</v>
      </c>
      <c r="F61" s="152" t="s">
        <v>15</v>
      </c>
      <c r="G61" s="100">
        <v>83.85</v>
      </c>
      <c r="H61" s="100">
        <v>33.880000000000003</v>
      </c>
      <c r="I61" s="100">
        <v>7.2</v>
      </c>
      <c r="J61" s="100">
        <v>0.14000000000000001</v>
      </c>
      <c r="K61" s="100">
        <v>171.93</v>
      </c>
      <c r="L61" s="100">
        <v>35.79</v>
      </c>
      <c r="M61" s="100">
        <v>24.48</v>
      </c>
      <c r="N61" s="100">
        <v>308.7</v>
      </c>
      <c r="O61" s="100">
        <v>0</v>
      </c>
      <c r="P61" s="100">
        <v>0.56999999999999995</v>
      </c>
      <c r="Q61" s="100">
        <v>28</v>
      </c>
      <c r="R61" s="6"/>
      <c r="S61" s="6"/>
      <c r="T61" s="156"/>
      <c r="U61" s="6"/>
    </row>
    <row r="62" spans="1:21" customFormat="1">
      <c r="A62" s="163" t="s">
        <v>1156</v>
      </c>
      <c r="B62" s="100">
        <v>3.7</v>
      </c>
      <c r="C62" s="100">
        <v>16.72</v>
      </c>
      <c r="D62" s="100">
        <v>13.05</v>
      </c>
      <c r="E62" s="100">
        <v>13.69</v>
      </c>
      <c r="F62" s="152" t="s">
        <v>15</v>
      </c>
      <c r="G62" s="100">
        <v>82.8</v>
      </c>
      <c r="H62" s="100">
        <v>33.880000000000003</v>
      </c>
      <c r="I62" s="100">
        <v>7.16</v>
      </c>
      <c r="J62" s="100">
        <v>0.9</v>
      </c>
      <c r="K62" s="100">
        <v>33.479999999999997</v>
      </c>
      <c r="L62" s="100">
        <v>35.24</v>
      </c>
      <c r="M62" s="100">
        <v>23.69</v>
      </c>
      <c r="N62" s="100">
        <v>296.5</v>
      </c>
      <c r="O62" s="100">
        <v>0</v>
      </c>
      <c r="P62" s="100">
        <v>0.55000000000000004</v>
      </c>
      <c r="Q62" s="100">
        <v>28</v>
      </c>
      <c r="R62" s="6"/>
      <c r="S62" s="6"/>
      <c r="T62" s="156"/>
      <c r="U62" s="6"/>
    </row>
    <row r="63" spans="1:21" customFormat="1">
      <c r="A63" s="163" t="s">
        <v>1157</v>
      </c>
      <c r="B63" s="100">
        <v>3.63</v>
      </c>
      <c r="C63" s="100">
        <v>16.399999999999999</v>
      </c>
      <c r="D63" s="100">
        <v>12.83</v>
      </c>
      <c r="E63" s="100">
        <v>15.53</v>
      </c>
      <c r="F63" s="152" t="s">
        <v>15</v>
      </c>
      <c r="G63" s="100">
        <v>82.8</v>
      </c>
      <c r="H63" s="100">
        <v>33.880000000000003</v>
      </c>
      <c r="I63" s="100">
        <v>6.89</v>
      </c>
      <c r="J63" s="100">
        <v>0.76</v>
      </c>
      <c r="K63" s="100">
        <v>61.02</v>
      </c>
      <c r="L63" s="100">
        <v>35.5</v>
      </c>
      <c r="M63" s="100">
        <v>22.78</v>
      </c>
      <c r="N63" s="100">
        <v>287.89999999999998</v>
      </c>
      <c r="O63" s="100">
        <v>0</v>
      </c>
      <c r="P63" s="100">
        <v>0.57999999999999996</v>
      </c>
      <c r="Q63" s="100">
        <v>27.99</v>
      </c>
      <c r="R63" s="6"/>
      <c r="S63" s="6"/>
      <c r="T63" s="156"/>
      <c r="U63" s="6"/>
    </row>
    <row r="64" spans="1:21" customFormat="1">
      <c r="A64" s="163" t="s">
        <v>1158</v>
      </c>
      <c r="B64" s="100">
        <v>6.47</v>
      </c>
      <c r="C64" s="100">
        <v>17.39</v>
      </c>
      <c r="D64" s="100">
        <v>15.62</v>
      </c>
      <c r="E64" s="100">
        <v>14.46</v>
      </c>
      <c r="F64" s="152" t="s">
        <v>15</v>
      </c>
      <c r="G64" s="100">
        <v>82.8</v>
      </c>
      <c r="H64" s="100">
        <v>33.880000000000003</v>
      </c>
      <c r="I64" s="100">
        <v>6.11</v>
      </c>
      <c r="J64" s="100">
        <v>0.65</v>
      </c>
      <c r="K64" s="100">
        <v>69.69</v>
      </c>
      <c r="L64" s="100">
        <v>36.19</v>
      </c>
      <c r="M64" s="100">
        <v>21.67</v>
      </c>
      <c r="N64" s="100">
        <v>297.39999999999998</v>
      </c>
      <c r="O64" s="100">
        <v>0</v>
      </c>
      <c r="P64" s="100">
        <v>0.69</v>
      </c>
      <c r="Q64" s="100">
        <v>27.99</v>
      </c>
      <c r="R64" s="6"/>
      <c r="S64" s="6"/>
      <c r="T64" s="156"/>
      <c r="U64" s="6"/>
    </row>
    <row r="65" spans="1:21" customFormat="1">
      <c r="A65" s="163" t="s">
        <v>1159</v>
      </c>
      <c r="B65" s="100">
        <v>18.53</v>
      </c>
      <c r="C65" s="100">
        <v>34.32</v>
      </c>
      <c r="D65" s="100">
        <v>34.950000000000003</v>
      </c>
      <c r="E65" s="100">
        <v>38.950000000000003</v>
      </c>
      <c r="F65" s="152" t="s">
        <v>15</v>
      </c>
      <c r="G65" s="100">
        <v>76.599999999999994</v>
      </c>
      <c r="H65" s="100">
        <v>28.7</v>
      </c>
      <c r="I65" s="100">
        <v>5.41</v>
      </c>
      <c r="J65" s="100">
        <v>0.03</v>
      </c>
      <c r="K65" s="100">
        <v>350.07</v>
      </c>
      <c r="L65" s="100">
        <v>36.799999999999997</v>
      </c>
      <c r="M65" s="100">
        <v>21.07</v>
      </c>
      <c r="N65" s="100">
        <v>283.39999999999998</v>
      </c>
      <c r="O65" s="100">
        <v>0</v>
      </c>
      <c r="P65" s="100">
        <v>1.79</v>
      </c>
      <c r="Q65" s="100">
        <v>28.05</v>
      </c>
      <c r="R65" s="6"/>
      <c r="S65" s="6"/>
      <c r="T65" s="156"/>
      <c r="U65" s="6"/>
    </row>
    <row r="66" spans="1:21" customFormat="1">
      <c r="A66" s="163" t="s">
        <v>1160</v>
      </c>
      <c r="B66" s="100">
        <v>5.66</v>
      </c>
      <c r="C66" s="100">
        <v>35.6</v>
      </c>
      <c r="D66" s="100">
        <v>24.49</v>
      </c>
      <c r="E66" s="100">
        <v>20.6</v>
      </c>
      <c r="F66" s="152" t="s">
        <v>15</v>
      </c>
      <c r="G66" s="100">
        <v>76</v>
      </c>
      <c r="H66" s="100">
        <v>28.7</v>
      </c>
      <c r="I66" s="100">
        <v>10.86</v>
      </c>
      <c r="J66" s="100">
        <v>0.28000000000000003</v>
      </c>
      <c r="K66" s="100">
        <v>64.209999999999994</v>
      </c>
      <c r="L66" s="100">
        <v>36.61</v>
      </c>
      <c r="M66" s="100">
        <v>20.350000000000001</v>
      </c>
      <c r="N66" s="100">
        <v>273</v>
      </c>
      <c r="O66" s="100">
        <v>0</v>
      </c>
      <c r="P66" s="100">
        <v>1.75</v>
      </c>
      <c r="Q66" s="100">
        <v>28.13</v>
      </c>
      <c r="R66" s="6"/>
      <c r="S66" s="6"/>
      <c r="T66" s="156"/>
      <c r="U66" s="6"/>
    </row>
    <row r="67" spans="1:21" customFormat="1">
      <c r="A67" s="163" t="s">
        <v>1161</v>
      </c>
      <c r="B67" s="100">
        <v>4.1399999999999997</v>
      </c>
      <c r="C67" s="100">
        <v>35.950000000000003</v>
      </c>
      <c r="D67" s="100">
        <v>23.45</v>
      </c>
      <c r="E67" s="100">
        <v>16.649999999999999</v>
      </c>
      <c r="F67" s="152" t="s">
        <v>15</v>
      </c>
      <c r="G67" s="100">
        <v>76</v>
      </c>
      <c r="H67" s="100">
        <v>28.7</v>
      </c>
      <c r="I67" s="100">
        <v>20.55</v>
      </c>
      <c r="J67" s="100">
        <v>0.39</v>
      </c>
      <c r="K67" s="100">
        <v>18.489999999999998</v>
      </c>
      <c r="L67" s="100">
        <v>36.43</v>
      </c>
      <c r="M67" s="100">
        <v>20.45</v>
      </c>
      <c r="N67" s="100">
        <v>230.1</v>
      </c>
      <c r="O67" s="100">
        <v>0</v>
      </c>
      <c r="P67" s="100">
        <v>1.69</v>
      </c>
      <c r="Q67" s="100">
        <v>28.08</v>
      </c>
      <c r="R67" s="6"/>
      <c r="S67" s="6"/>
      <c r="T67" s="156"/>
      <c r="U67" s="6"/>
    </row>
    <row r="68" spans="1:21" customFormat="1">
      <c r="A68" s="163" t="s">
        <v>1162</v>
      </c>
      <c r="B68" s="100">
        <v>3.86</v>
      </c>
      <c r="C68" s="100">
        <v>34.659999999999997</v>
      </c>
      <c r="D68" s="100">
        <v>22.56</v>
      </c>
      <c r="E68" s="100">
        <v>16.39</v>
      </c>
      <c r="F68" s="152" t="s">
        <v>15</v>
      </c>
      <c r="G68" s="100">
        <v>76</v>
      </c>
      <c r="H68" s="100">
        <v>28.7</v>
      </c>
      <c r="I68" s="100">
        <v>21.97</v>
      </c>
      <c r="J68" s="100">
        <v>0.25</v>
      </c>
      <c r="K68" s="100">
        <v>16.18</v>
      </c>
      <c r="L68" s="100">
        <v>35.880000000000003</v>
      </c>
      <c r="M68" s="100">
        <v>22.11</v>
      </c>
      <c r="N68" s="100">
        <v>121.6</v>
      </c>
      <c r="O68" s="100">
        <v>0</v>
      </c>
      <c r="P68" s="100">
        <v>1.67</v>
      </c>
      <c r="Q68" s="100">
        <v>28.09</v>
      </c>
      <c r="R68" s="6"/>
      <c r="S68" s="6"/>
      <c r="T68" s="156"/>
      <c r="U68" s="6"/>
    </row>
    <row r="69" spans="1:21" customFormat="1">
      <c r="A69" s="163" t="s">
        <v>1163</v>
      </c>
      <c r="B69" s="100">
        <v>3.93</v>
      </c>
      <c r="C69" s="100">
        <v>32.520000000000003</v>
      </c>
      <c r="D69" s="100">
        <v>21.49</v>
      </c>
      <c r="E69" s="100">
        <v>18.22</v>
      </c>
      <c r="F69" s="152" t="s">
        <v>15</v>
      </c>
      <c r="G69" s="100">
        <v>161.69999999999999</v>
      </c>
      <c r="H69" s="100">
        <v>51.79</v>
      </c>
      <c r="I69" s="100">
        <v>21.1</v>
      </c>
      <c r="J69" s="100">
        <v>0.66</v>
      </c>
      <c r="K69" s="100">
        <v>17.43</v>
      </c>
      <c r="L69" s="100">
        <v>35.65</v>
      </c>
      <c r="M69" s="100">
        <v>20.67</v>
      </c>
      <c r="N69" s="100">
        <v>105.7</v>
      </c>
      <c r="O69" s="100">
        <v>0</v>
      </c>
      <c r="P69" s="100">
        <v>1.54</v>
      </c>
      <c r="Q69" s="100">
        <v>28.07</v>
      </c>
      <c r="R69" s="6"/>
      <c r="S69" s="6"/>
      <c r="T69" s="156"/>
      <c r="U69" s="6"/>
    </row>
    <row r="70" spans="1:21" customFormat="1">
      <c r="A70" s="163" t="s">
        <v>1164</v>
      </c>
      <c r="B70" s="100">
        <v>3.94</v>
      </c>
      <c r="C70" s="100">
        <v>30.82</v>
      </c>
      <c r="D70" s="100">
        <v>20.61</v>
      </c>
      <c r="E70" s="100">
        <v>19.28</v>
      </c>
      <c r="F70" s="152" t="s">
        <v>15</v>
      </c>
      <c r="G70" s="100">
        <v>170.06</v>
      </c>
      <c r="H70" s="100">
        <v>51.79</v>
      </c>
      <c r="I70" s="100">
        <v>20.49</v>
      </c>
      <c r="J70" s="100">
        <v>0.95</v>
      </c>
      <c r="K70" s="100">
        <v>30.49</v>
      </c>
      <c r="L70" s="100">
        <v>35.049999999999997</v>
      </c>
      <c r="M70" s="100">
        <v>21.4</v>
      </c>
      <c r="N70" s="100">
        <v>91.5</v>
      </c>
      <c r="O70" s="100">
        <v>0</v>
      </c>
      <c r="P70" s="100">
        <v>1.42</v>
      </c>
      <c r="Q70" s="100">
        <v>28.06</v>
      </c>
      <c r="R70" s="6"/>
      <c r="S70" s="6"/>
      <c r="T70" s="156"/>
      <c r="U70" s="6"/>
    </row>
    <row r="71" spans="1:21" customFormat="1">
      <c r="A71" s="163" t="s">
        <v>1165</v>
      </c>
      <c r="B71" s="100">
        <v>3.93</v>
      </c>
      <c r="C71" s="100">
        <v>28.95</v>
      </c>
      <c r="D71" s="100">
        <v>19.63</v>
      </c>
      <c r="E71" s="100">
        <v>21.37</v>
      </c>
      <c r="F71" s="152" t="s">
        <v>15</v>
      </c>
      <c r="G71" s="100">
        <v>170.06</v>
      </c>
      <c r="H71" s="100">
        <v>51.79</v>
      </c>
      <c r="I71" s="100">
        <v>19.239999999999998</v>
      </c>
      <c r="J71" s="100">
        <v>1.03</v>
      </c>
      <c r="K71" s="100">
        <v>45.35</v>
      </c>
      <c r="L71" s="100">
        <v>35.04</v>
      </c>
      <c r="M71" s="100">
        <v>20.71</v>
      </c>
      <c r="N71" s="100">
        <v>83.2</v>
      </c>
      <c r="O71" s="100">
        <v>0</v>
      </c>
      <c r="P71" s="100">
        <v>1.33</v>
      </c>
      <c r="Q71" s="100">
        <v>28.05</v>
      </c>
      <c r="R71" s="6"/>
      <c r="S71" s="6"/>
      <c r="T71" s="156"/>
      <c r="U71" s="6"/>
    </row>
    <row r="72" spans="1:21" customFormat="1">
      <c r="A72" s="163" t="s">
        <v>1166</v>
      </c>
      <c r="B72" s="100">
        <v>4.0999999999999996</v>
      </c>
      <c r="C72" s="100">
        <v>28.16</v>
      </c>
      <c r="D72" s="100">
        <v>19.350000000000001</v>
      </c>
      <c r="E72" s="100">
        <v>20.65</v>
      </c>
      <c r="F72" s="152" t="s">
        <v>15</v>
      </c>
      <c r="G72" s="100">
        <v>170.06</v>
      </c>
      <c r="H72" s="100">
        <v>51.79</v>
      </c>
      <c r="I72" s="100">
        <v>18.329999999999998</v>
      </c>
      <c r="J72" s="100">
        <v>1.22</v>
      </c>
      <c r="K72" s="100">
        <v>39.65</v>
      </c>
      <c r="L72" s="100">
        <v>34.78</v>
      </c>
      <c r="M72" s="100">
        <v>19.09</v>
      </c>
      <c r="N72" s="100">
        <v>80.7</v>
      </c>
      <c r="O72" s="100">
        <v>0</v>
      </c>
      <c r="P72" s="100">
        <v>1.33</v>
      </c>
      <c r="Q72" s="100">
        <v>28.05</v>
      </c>
      <c r="R72" s="6"/>
      <c r="S72" s="6"/>
      <c r="T72" s="156"/>
      <c r="U72" s="6"/>
    </row>
    <row r="73" spans="1:21" customFormat="1">
      <c r="A73" s="163" t="s">
        <v>1167</v>
      </c>
      <c r="B73" s="100">
        <v>4.51</v>
      </c>
      <c r="C73" s="100">
        <v>28.54</v>
      </c>
      <c r="D73" s="100">
        <v>19.88</v>
      </c>
      <c r="E73" s="100">
        <v>25.71</v>
      </c>
      <c r="F73" s="152" t="s">
        <v>15</v>
      </c>
      <c r="G73" s="100">
        <v>68.319999999999993</v>
      </c>
      <c r="H73" s="100">
        <v>39.6</v>
      </c>
      <c r="I73" s="100">
        <v>17.3</v>
      </c>
      <c r="J73" s="100">
        <v>1.27</v>
      </c>
      <c r="K73" s="100">
        <v>43.64</v>
      </c>
      <c r="L73" s="100">
        <v>34.68</v>
      </c>
      <c r="M73" s="100">
        <v>21.5</v>
      </c>
      <c r="N73" s="100">
        <v>62.5</v>
      </c>
      <c r="O73" s="100">
        <v>0</v>
      </c>
      <c r="P73" s="100">
        <v>1.29</v>
      </c>
      <c r="Q73" s="100">
        <v>28.04</v>
      </c>
      <c r="R73" s="6"/>
      <c r="S73" s="6"/>
      <c r="T73" s="156"/>
      <c r="U73" s="6"/>
    </row>
    <row r="74" spans="1:21" customFormat="1">
      <c r="A74" s="163" t="s">
        <v>1168</v>
      </c>
      <c r="B74" s="100">
        <v>5.49</v>
      </c>
      <c r="C74" s="100">
        <v>26.75</v>
      </c>
      <c r="D74" s="100">
        <v>19.73</v>
      </c>
      <c r="E74" s="100">
        <v>19.2</v>
      </c>
      <c r="F74" s="152" t="s">
        <v>15</v>
      </c>
      <c r="G74" s="100">
        <v>58.4</v>
      </c>
      <c r="H74" s="100">
        <v>39.6</v>
      </c>
      <c r="I74" s="100">
        <v>16.27</v>
      </c>
      <c r="J74" s="100">
        <v>1.37</v>
      </c>
      <c r="K74" s="100">
        <v>29.51</v>
      </c>
      <c r="L74" s="100">
        <v>34.21</v>
      </c>
      <c r="M74" s="100">
        <v>22.13</v>
      </c>
      <c r="N74" s="100">
        <v>48.9</v>
      </c>
      <c r="O74" s="100">
        <v>0</v>
      </c>
      <c r="P74" s="100">
        <v>1.31</v>
      </c>
      <c r="Q74" s="100">
        <v>28.04</v>
      </c>
      <c r="R74" s="6"/>
      <c r="S74" s="6"/>
      <c r="T74" s="156"/>
      <c r="U74" s="6"/>
    </row>
    <row r="75" spans="1:21" customFormat="1">
      <c r="A75" s="163" t="s">
        <v>1169</v>
      </c>
      <c r="B75" s="100">
        <v>5.31</v>
      </c>
      <c r="C75" s="100">
        <v>29.45</v>
      </c>
      <c r="D75" s="100">
        <v>21</v>
      </c>
      <c r="E75" s="100">
        <v>24.53</v>
      </c>
      <c r="F75" s="152" t="s">
        <v>15</v>
      </c>
      <c r="G75" s="100">
        <v>58.4</v>
      </c>
      <c r="H75" s="100">
        <v>39.6</v>
      </c>
      <c r="I75" s="100">
        <v>15.64</v>
      </c>
      <c r="J75" s="100">
        <v>1.02</v>
      </c>
      <c r="K75" s="100">
        <v>40.9</v>
      </c>
      <c r="L75" s="100">
        <v>34.06</v>
      </c>
      <c r="M75" s="100">
        <v>20.43</v>
      </c>
      <c r="N75" s="100">
        <v>41.1</v>
      </c>
      <c r="O75" s="100">
        <v>0</v>
      </c>
      <c r="P75" s="100">
        <v>1.23</v>
      </c>
      <c r="Q75" s="100">
        <v>28.05</v>
      </c>
      <c r="R75" s="6"/>
      <c r="S75" s="6"/>
      <c r="T75" s="156"/>
      <c r="U75" s="6"/>
    </row>
    <row r="76" spans="1:21" customFormat="1">
      <c r="A76" s="163" t="s">
        <v>1170</v>
      </c>
      <c r="B76" s="100">
        <v>4.91</v>
      </c>
      <c r="C76" s="100">
        <v>28.28</v>
      </c>
      <c r="D76" s="100">
        <v>20.07</v>
      </c>
      <c r="E76" s="100">
        <v>23.47</v>
      </c>
      <c r="F76" s="152" t="s">
        <v>15</v>
      </c>
      <c r="G76" s="100">
        <v>58.4</v>
      </c>
      <c r="H76" s="100">
        <v>39.6</v>
      </c>
      <c r="I76" s="100">
        <v>14.47</v>
      </c>
      <c r="J76" s="100">
        <v>1.1000000000000001</v>
      </c>
      <c r="K76" s="100">
        <v>49.33</v>
      </c>
      <c r="L76" s="100">
        <v>33.979999999999997</v>
      </c>
      <c r="M76" s="100">
        <v>19.850000000000001</v>
      </c>
      <c r="N76" s="100">
        <v>35.6</v>
      </c>
      <c r="O76" s="100">
        <v>0</v>
      </c>
      <c r="P76" s="100">
        <v>1.22</v>
      </c>
      <c r="Q76" s="100">
        <v>28.04</v>
      </c>
      <c r="R76" s="6"/>
      <c r="S76" s="6"/>
      <c r="T76" s="156"/>
      <c r="U76" s="6"/>
    </row>
    <row r="77" spans="1:21" customFormat="1">
      <c r="A77" s="163" t="s">
        <v>1171</v>
      </c>
      <c r="B77" s="100">
        <v>5.52</v>
      </c>
      <c r="C77" s="100">
        <v>28.98</v>
      </c>
      <c r="D77" s="100">
        <v>20.92</v>
      </c>
      <c r="E77" s="100">
        <v>23.86</v>
      </c>
      <c r="F77" s="152" t="s">
        <v>15</v>
      </c>
      <c r="G77" s="100">
        <v>85.7</v>
      </c>
      <c r="H77" s="100">
        <v>36.61</v>
      </c>
      <c r="I77" s="100">
        <v>11.9</v>
      </c>
      <c r="J77" s="100">
        <v>0.77</v>
      </c>
      <c r="K77" s="100">
        <v>43.05</v>
      </c>
      <c r="L77" s="100">
        <v>33.67</v>
      </c>
      <c r="M77" s="100">
        <v>20.28</v>
      </c>
      <c r="N77" s="100">
        <v>27.3</v>
      </c>
      <c r="O77" s="100">
        <v>0</v>
      </c>
      <c r="P77" s="100">
        <v>1.17</v>
      </c>
      <c r="Q77" s="100">
        <v>28.05</v>
      </c>
      <c r="R77" s="6"/>
      <c r="S77" s="6"/>
      <c r="T77" s="156"/>
      <c r="U77" s="6"/>
    </row>
    <row r="78" spans="1:21" customFormat="1">
      <c r="A78" s="163" t="s">
        <v>1172</v>
      </c>
      <c r="B78" s="100">
        <v>5.64</v>
      </c>
      <c r="C78" s="100">
        <v>30.83</v>
      </c>
      <c r="D78" s="100">
        <v>21.98</v>
      </c>
      <c r="E78" s="100">
        <v>24.35</v>
      </c>
      <c r="F78" s="152" t="s">
        <v>15</v>
      </c>
      <c r="G78" s="100">
        <v>88.37</v>
      </c>
      <c r="H78" s="100">
        <v>36.61</v>
      </c>
      <c r="I78" s="100">
        <v>11.46</v>
      </c>
      <c r="J78" s="100">
        <v>0.6</v>
      </c>
      <c r="K78" s="100">
        <v>40.89</v>
      </c>
      <c r="L78" s="100">
        <v>33.380000000000003</v>
      </c>
      <c r="M78" s="100">
        <v>20.309999999999999</v>
      </c>
      <c r="N78" s="100">
        <v>19.399999999999999</v>
      </c>
      <c r="O78" s="100">
        <v>0</v>
      </c>
      <c r="P78" s="100">
        <v>1.1499999999999999</v>
      </c>
      <c r="Q78" s="100">
        <v>28.06</v>
      </c>
      <c r="R78" s="6"/>
      <c r="S78" s="6"/>
      <c r="T78" s="156"/>
      <c r="U78" s="6"/>
    </row>
    <row r="79" spans="1:21" customFormat="1">
      <c r="A79" s="163" t="s">
        <v>1173</v>
      </c>
      <c r="B79" s="100">
        <v>6.31</v>
      </c>
      <c r="C79" s="100">
        <v>33.94</v>
      </c>
      <c r="D79" s="100">
        <v>24.15</v>
      </c>
      <c r="E79" s="100">
        <v>21.99</v>
      </c>
      <c r="F79" s="152" t="s">
        <v>15</v>
      </c>
      <c r="G79" s="100">
        <v>88.37</v>
      </c>
      <c r="H79" s="100">
        <v>36.61</v>
      </c>
      <c r="I79" s="100">
        <v>11.11</v>
      </c>
      <c r="J79" s="100">
        <v>0.66</v>
      </c>
      <c r="K79" s="100">
        <v>53.62</v>
      </c>
      <c r="L79" s="100">
        <v>32.92</v>
      </c>
      <c r="M79" s="100">
        <v>20.88</v>
      </c>
      <c r="N79" s="100">
        <v>12.3</v>
      </c>
      <c r="O79" s="100">
        <v>0</v>
      </c>
      <c r="P79" s="100">
        <v>1.18</v>
      </c>
      <c r="Q79" s="100">
        <v>28.07</v>
      </c>
      <c r="R79" s="6"/>
      <c r="S79" s="6"/>
      <c r="T79" s="156"/>
      <c r="U79" s="6"/>
    </row>
    <row r="80" spans="1:21" customFormat="1">
      <c r="A80" s="163" t="s">
        <v>1174</v>
      </c>
      <c r="B80" s="100">
        <v>7.21</v>
      </c>
      <c r="C80" s="100">
        <v>35.36</v>
      </c>
      <c r="D80" s="100">
        <v>25.61</v>
      </c>
      <c r="E80" s="100">
        <v>17.71</v>
      </c>
      <c r="F80" s="152" t="s">
        <v>15</v>
      </c>
      <c r="G80" s="100">
        <v>88.37</v>
      </c>
      <c r="H80" s="100">
        <v>36.61</v>
      </c>
      <c r="I80" s="100">
        <v>10.9</v>
      </c>
      <c r="J80" s="100">
        <v>0.5</v>
      </c>
      <c r="K80" s="100">
        <v>61.19</v>
      </c>
      <c r="L80" s="100">
        <v>32.380000000000003</v>
      </c>
      <c r="M80" s="100">
        <v>21.89</v>
      </c>
      <c r="N80" s="100">
        <v>6.2</v>
      </c>
      <c r="O80" s="100">
        <v>0</v>
      </c>
      <c r="P80" s="100">
        <v>1.22</v>
      </c>
      <c r="Q80" s="100">
        <v>28.08</v>
      </c>
      <c r="R80" s="6"/>
      <c r="S80" s="6"/>
      <c r="T80" s="156"/>
      <c r="U80" s="6"/>
    </row>
    <row r="81" spans="1:21" customFormat="1">
      <c r="A81" s="163" t="s">
        <v>1175</v>
      </c>
      <c r="B81" s="100">
        <v>5.8</v>
      </c>
      <c r="C81" s="100">
        <v>32.65</v>
      </c>
      <c r="D81" s="100">
        <v>23.06</v>
      </c>
      <c r="E81" s="100">
        <v>9.23</v>
      </c>
      <c r="F81" s="152" t="s">
        <v>15</v>
      </c>
      <c r="G81" s="100">
        <v>88.92</v>
      </c>
      <c r="H81" s="100">
        <v>33.299999999999997</v>
      </c>
      <c r="I81" s="100">
        <v>11.07</v>
      </c>
      <c r="J81" s="100">
        <v>0.27</v>
      </c>
      <c r="K81" s="100">
        <v>156.44</v>
      </c>
      <c r="L81" s="100">
        <v>30.67</v>
      </c>
      <c r="M81" s="100">
        <v>28.43</v>
      </c>
      <c r="N81" s="100">
        <v>3.1</v>
      </c>
      <c r="O81" s="100">
        <v>0</v>
      </c>
      <c r="P81" s="100">
        <v>1.1499999999999999</v>
      </c>
      <c r="Q81" s="100">
        <v>28.09</v>
      </c>
      <c r="R81" s="6"/>
      <c r="S81" s="6"/>
      <c r="T81" s="156"/>
      <c r="U81" s="6"/>
    </row>
    <row r="82" spans="1:21" customFormat="1">
      <c r="A82" s="163" t="s">
        <v>1176</v>
      </c>
      <c r="B82" s="100">
        <v>4.95</v>
      </c>
      <c r="C82" s="100">
        <v>30.53</v>
      </c>
      <c r="D82" s="100">
        <v>21.27</v>
      </c>
      <c r="E82" s="100">
        <v>11.69</v>
      </c>
      <c r="F82" s="152" t="s">
        <v>15</v>
      </c>
      <c r="G82" s="100">
        <v>88.97</v>
      </c>
      <c r="H82" s="100">
        <v>33.299999999999997</v>
      </c>
      <c r="I82" s="100">
        <v>12.15</v>
      </c>
      <c r="J82" s="100">
        <v>0.23</v>
      </c>
      <c r="K82" s="100">
        <v>171.67</v>
      </c>
      <c r="L82" s="100">
        <v>29.36</v>
      </c>
      <c r="M82" s="100">
        <v>30.24</v>
      </c>
      <c r="N82" s="100">
        <v>1.7</v>
      </c>
      <c r="O82" s="100">
        <v>0</v>
      </c>
      <c r="P82" s="100">
        <v>1.19</v>
      </c>
      <c r="Q82" s="100">
        <v>28.11</v>
      </c>
      <c r="R82" s="6"/>
      <c r="S82" s="6"/>
      <c r="T82" s="156"/>
      <c r="U82" s="6"/>
    </row>
    <row r="83" spans="1:21" customFormat="1">
      <c r="A83" s="163" t="s">
        <v>1177</v>
      </c>
      <c r="B83" s="100">
        <v>5.17</v>
      </c>
      <c r="C83" s="100">
        <v>30.27</v>
      </c>
      <c r="D83" s="100">
        <v>21.32</v>
      </c>
      <c r="E83" s="100">
        <v>11.16</v>
      </c>
      <c r="F83" s="152" t="s">
        <v>15</v>
      </c>
      <c r="G83" s="100">
        <v>88.97</v>
      </c>
      <c r="H83" s="100">
        <v>33.299999999999997</v>
      </c>
      <c r="I83" s="100">
        <v>13.77</v>
      </c>
      <c r="J83" s="100">
        <v>0.2</v>
      </c>
      <c r="K83" s="100">
        <v>167.89</v>
      </c>
      <c r="L83" s="100">
        <v>28.61</v>
      </c>
      <c r="M83" s="100">
        <v>31.54</v>
      </c>
      <c r="N83" s="100">
        <v>1.3</v>
      </c>
      <c r="O83" s="100">
        <v>0</v>
      </c>
      <c r="P83" s="100">
        <v>1.19</v>
      </c>
      <c r="Q83" s="100">
        <v>28.1</v>
      </c>
      <c r="R83" s="6"/>
      <c r="S83" s="6"/>
      <c r="T83" s="156"/>
      <c r="U83" s="6"/>
    </row>
    <row r="84" spans="1:21" customFormat="1">
      <c r="A84" s="163" t="s">
        <v>1178</v>
      </c>
      <c r="B84" s="100">
        <v>5.94</v>
      </c>
      <c r="C84" s="100">
        <v>30.58</v>
      </c>
      <c r="D84" s="100">
        <v>22.1</v>
      </c>
      <c r="E84" s="100">
        <v>10.220000000000001</v>
      </c>
      <c r="F84" s="152" t="s">
        <v>15</v>
      </c>
      <c r="G84" s="100">
        <v>88.97</v>
      </c>
      <c r="H84" s="100">
        <v>33.299999999999997</v>
      </c>
      <c r="I84" s="100">
        <v>14.01</v>
      </c>
      <c r="J84" s="100">
        <v>0.25</v>
      </c>
      <c r="K84" s="100">
        <v>151.24</v>
      </c>
      <c r="L84" s="100">
        <v>28.04</v>
      </c>
      <c r="M84" s="100">
        <v>34.68</v>
      </c>
      <c r="N84" s="100">
        <v>0.9</v>
      </c>
      <c r="O84" s="100">
        <v>0</v>
      </c>
      <c r="P84" s="100">
        <v>1.21</v>
      </c>
      <c r="Q84" s="100">
        <v>28.1</v>
      </c>
      <c r="R84" s="6"/>
      <c r="S84" s="6"/>
      <c r="T84" s="156"/>
      <c r="U84" s="6"/>
    </row>
    <row r="85" spans="1:21" customFormat="1">
      <c r="A85" s="163" t="s">
        <v>1179</v>
      </c>
      <c r="B85" s="100">
        <v>8.64</v>
      </c>
      <c r="C85" s="100">
        <v>32.33</v>
      </c>
      <c r="D85" s="100">
        <v>25.17</v>
      </c>
      <c r="E85" s="100">
        <v>10.16</v>
      </c>
      <c r="F85" s="152" t="s">
        <v>15</v>
      </c>
      <c r="G85" s="100">
        <v>154.53</v>
      </c>
      <c r="H85" s="100">
        <v>37.840000000000003</v>
      </c>
      <c r="I85" s="100">
        <v>14.13</v>
      </c>
      <c r="J85" s="100">
        <v>0.16</v>
      </c>
      <c r="K85" s="100">
        <v>190.47</v>
      </c>
      <c r="L85" s="100">
        <v>27.54</v>
      </c>
      <c r="M85" s="100">
        <v>35.78</v>
      </c>
      <c r="N85" s="100">
        <v>0.9</v>
      </c>
      <c r="O85" s="100">
        <v>0</v>
      </c>
      <c r="P85" s="100">
        <v>1.24</v>
      </c>
      <c r="Q85" s="100">
        <v>28.12</v>
      </c>
      <c r="R85" s="6"/>
      <c r="S85" s="6"/>
      <c r="T85" s="156"/>
      <c r="U85" s="6"/>
    </row>
    <row r="86" spans="1:21" customFormat="1">
      <c r="A86" s="163" t="s">
        <v>1180</v>
      </c>
      <c r="B86" s="100">
        <v>8.16</v>
      </c>
      <c r="C86" s="100">
        <v>29.25</v>
      </c>
      <c r="D86" s="100">
        <v>23.18</v>
      </c>
      <c r="E86" s="100">
        <v>9.85</v>
      </c>
      <c r="F86" s="152" t="s">
        <v>15</v>
      </c>
      <c r="G86" s="100">
        <v>160.93</v>
      </c>
      <c r="H86" s="100">
        <v>37.840000000000003</v>
      </c>
      <c r="I86" s="100">
        <v>14.23</v>
      </c>
      <c r="J86" s="100">
        <v>0.24</v>
      </c>
      <c r="K86" s="100">
        <v>162.22999999999999</v>
      </c>
      <c r="L86" s="100">
        <v>26.98</v>
      </c>
      <c r="M86" s="100">
        <v>38.64</v>
      </c>
      <c r="N86" s="100">
        <v>1</v>
      </c>
      <c r="O86" s="100">
        <v>0</v>
      </c>
      <c r="P86" s="100">
        <v>1.23</v>
      </c>
      <c r="Q86" s="100">
        <v>28.16</v>
      </c>
      <c r="R86" s="6"/>
      <c r="S86" s="6"/>
      <c r="T86" s="156"/>
      <c r="U86" s="6"/>
    </row>
    <row r="87" spans="1:21" customFormat="1">
      <c r="A87" s="163" t="s">
        <v>1181</v>
      </c>
      <c r="B87" s="100">
        <v>9.64</v>
      </c>
      <c r="C87" s="100">
        <v>29.66</v>
      </c>
      <c r="D87" s="100">
        <v>24.58</v>
      </c>
      <c r="E87" s="100">
        <v>9.3800000000000008</v>
      </c>
      <c r="F87" s="152" t="s">
        <v>15</v>
      </c>
      <c r="G87" s="100">
        <v>160.93</v>
      </c>
      <c r="H87" s="100">
        <v>37.840000000000003</v>
      </c>
      <c r="I87" s="100">
        <v>14.36</v>
      </c>
      <c r="J87" s="100">
        <v>0.24</v>
      </c>
      <c r="K87" s="100">
        <v>162.08000000000001</v>
      </c>
      <c r="L87" s="100">
        <v>26.58</v>
      </c>
      <c r="M87" s="100">
        <v>41.22</v>
      </c>
      <c r="N87" s="100">
        <v>0.9</v>
      </c>
      <c r="O87" s="100">
        <v>0</v>
      </c>
      <c r="P87" s="100">
        <v>1.25</v>
      </c>
      <c r="Q87" s="100">
        <v>28.18</v>
      </c>
      <c r="R87" s="6"/>
      <c r="S87" s="6"/>
      <c r="T87" s="156"/>
      <c r="U87" s="6"/>
    </row>
    <row r="88" spans="1:21" customFormat="1">
      <c r="A88" s="163" t="s">
        <v>1182</v>
      </c>
      <c r="B88" s="100">
        <v>9.81</v>
      </c>
      <c r="C88" s="100">
        <v>29.27</v>
      </c>
      <c r="D88" s="100">
        <v>24.51</v>
      </c>
      <c r="E88" s="100">
        <v>8.84</v>
      </c>
      <c r="F88" s="152" t="s">
        <v>15</v>
      </c>
      <c r="G88" s="100">
        <v>160.93</v>
      </c>
      <c r="H88" s="100">
        <v>37.840000000000003</v>
      </c>
      <c r="I88" s="100">
        <v>14.49</v>
      </c>
      <c r="J88" s="100">
        <v>0.23</v>
      </c>
      <c r="K88" s="100">
        <v>168.52</v>
      </c>
      <c r="L88" s="100">
        <v>25.96</v>
      </c>
      <c r="M88" s="100">
        <v>41.23</v>
      </c>
      <c r="N88" s="100">
        <v>1</v>
      </c>
      <c r="O88" s="100">
        <v>0</v>
      </c>
      <c r="P88" s="100">
        <v>1.27</v>
      </c>
      <c r="Q88" s="100">
        <v>28.22</v>
      </c>
      <c r="R88" s="6"/>
      <c r="S88" s="6"/>
      <c r="T88" s="156"/>
      <c r="U88" s="6"/>
    </row>
    <row r="89" spans="1:21" customFormat="1">
      <c r="A89" s="163" t="s">
        <v>1183</v>
      </c>
      <c r="B89" s="100">
        <v>10.4</v>
      </c>
      <c r="C89" s="100">
        <v>29.04</v>
      </c>
      <c r="D89" s="100">
        <v>24.86</v>
      </c>
      <c r="E89" s="100">
        <v>9.4</v>
      </c>
      <c r="F89" s="152" t="s">
        <v>15</v>
      </c>
      <c r="G89" s="100">
        <v>138.44</v>
      </c>
      <c r="H89" s="100">
        <v>43.15</v>
      </c>
      <c r="I89" s="100">
        <v>14.56</v>
      </c>
      <c r="J89" s="100">
        <v>0.27</v>
      </c>
      <c r="K89" s="100">
        <v>148.75</v>
      </c>
      <c r="L89" s="100">
        <v>25.72</v>
      </c>
      <c r="M89" s="100">
        <v>42.56</v>
      </c>
      <c r="N89" s="100">
        <v>0.8</v>
      </c>
      <c r="O89" s="100">
        <v>0</v>
      </c>
      <c r="P89" s="100">
        <v>1.28</v>
      </c>
      <c r="Q89" s="100">
        <v>28.24</v>
      </c>
      <c r="R89" s="6"/>
      <c r="S89" s="6"/>
      <c r="T89" s="156"/>
      <c r="U89" s="6"/>
    </row>
    <row r="90" spans="1:21" customFormat="1">
      <c r="A90" s="163" t="s">
        <v>1184</v>
      </c>
      <c r="B90" s="100">
        <v>12.05</v>
      </c>
      <c r="C90" s="100">
        <v>27.7</v>
      </c>
      <c r="D90" s="100">
        <v>25.49</v>
      </c>
      <c r="E90" s="100">
        <v>8.7200000000000006</v>
      </c>
      <c r="F90" s="152" t="s">
        <v>15</v>
      </c>
      <c r="G90" s="100">
        <v>136.25</v>
      </c>
      <c r="H90" s="100">
        <v>43.15</v>
      </c>
      <c r="I90" s="100">
        <v>14.66</v>
      </c>
      <c r="J90" s="100">
        <v>0.28999999999999998</v>
      </c>
      <c r="K90" s="100">
        <v>153.86000000000001</v>
      </c>
      <c r="L90" s="100">
        <v>25.72</v>
      </c>
      <c r="M90" s="100">
        <v>44.6</v>
      </c>
      <c r="N90" s="100">
        <v>0.6</v>
      </c>
      <c r="O90" s="100">
        <v>0</v>
      </c>
      <c r="P90" s="100">
        <v>1.29</v>
      </c>
      <c r="Q90" s="100">
        <v>28.28</v>
      </c>
      <c r="R90" s="6"/>
      <c r="S90" s="6"/>
      <c r="T90" s="156"/>
      <c r="U90" s="6"/>
    </row>
    <row r="91" spans="1:21" customFormat="1">
      <c r="A91" s="163" t="s">
        <v>1185</v>
      </c>
      <c r="B91" s="100">
        <v>13.58</v>
      </c>
      <c r="C91" s="100">
        <v>27.56</v>
      </c>
      <c r="D91" s="100">
        <v>26.64</v>
      </c>
      <c r="E91" s="100">
        <v>9.01</v>
      </c>
      <c r="F91" s="152" t="s">
        <v>15</v>
      </c>
      <c r="G91" s="100">
        <v>136.25</v>
      </c>
      <c r="H91" s="100">
        <v>43.15</v>
      </c>
      <c r="I91" s="100">
        <v>14.83</v>
      </c>
      <c r="J91" s="100">
        <v>0.24</v>
      </c>
      <c r="K91" s="100">
        <v>175.82</v>
      </c>
      <c r="L91" s="100">
        <v>25.63</v>
      </c>
      <c r="M91" s="100">
        <v>45.01</v>
      </c>
      <c r="N91" s="100">
        <v>0.7</v>
      </c>
      <c r="O91" s="100">
        <v>0</v>
      </c>
      <c r="P91" s="100">
        <v>1.31</v>
      </c>
      <c r="Q91" s="100">
        <v>28.35</v>
      </c>
      <c r="R91" s="6"/>
      <c r="S91" s="6"/>
      <c r="T91" s="156"/>
      <c r="U91" s="6"/>
    </row>
    <row r="92" spans="1:21" customFormat="1">
      <c r="A92" s="163" t="s">
        <v>1186</v>
      </c>
      <c r="B92" s="100">
        <v>15.59</v>
      </c>
      <c r="C92" s="100">
        <v>28.06</v>
      </c>
      <c r="D92" s="100">
        <v>28.51</v>
      </c>
      <c r="E92" s="100">
        <v>9.0399999999999991</v>
      </c>
      <c r="F92" s="152" t="s">
        <v>15</v>
      </c>
      <c r="G92" s="100">
        <v>136.25</v>
      </c>
      <c r="H92" s="100">
        <v>43.15</v>
      </c>
      <c r="I92" s="100">
        <v>15.01</v>
      </c>
      <c r="J92" s="100">
        <v>0.16</v>
      </c>
      <c r="K92" s="100">
        <v>206.02</v>
      </c>
      <c r="L92" s="100">
        <v>25.13</v>
      </c>
      <c r="M92" s="100">
        <v>45.37</v>
      </c>
      <c r="N92" s="100">
        <v>1</v>
      </c>
      <c r="O92" s="100">
        <v>0</v>
      </c>
      <c r="P92" s="100">
        <v>1.33</v>
      </c>
      <c r="Q92" s="100">
        <v>28.43</v>
      </c>
      <c r="R92" s="6"/>
      <c r="S92" s="6"/>
      <c r="T92" s="156"/>
      <c r="U92" s="6"/>
    </row>
    <row r="93" spans="1:21" customFormat="1">
      <c r="A93" s="163" t="s">
        <v>1187</v>
      </c>
      <c r="B93" s="100">
        <v>17.59</v>
      </c>
      <c r="C93" s="100">
        <v>29.05</v>
      </c>
      <c r="D93" s="100">
        <v>30.63</v>
      </c>
      <c r="E93" s="100">
        <v>9.15</v>
      </c>
      <c r="F93" s="152" t="s">
        <v>15</v>
      </c>
      <c r="G93" s="100">
        <v>150.47999999999999</v>
      </c>
      <c r="H93" s="100">
        <v>45.94</v>
      </c>
      <c r="I93" s="100">
        <v>15.22</v>
      </c>
      <c r="J93" s="100">
        <v>0.18</v>
      </c>
      <c r="K93" s="100">
        <v>212.69</v>
      </c>
      <c r="L93" s="100">
        <v>24.85</v>
      </c>
      <c r="M93" s="100">
        <v>47.74</v>
      </c>
      <c r="N93" s="100">
        <v>0.7</v>
      </c>
      <c r="O93" s="100">
        <v>0</v>
      </c>
      <c r="P93" s="100">
        <v>1.34</v>
      </c>
      <c r="Q93" s="100">
        <v>28.51</v>
      </c>
      <c r="R93" s="6"/>
      <c r="S93" s="6"/>
      <c r="T93" s="156"/>
      <c r="U93" s="6"/>
    </row>
    <row r="94" spans="1:21" customFormat="1">
      <c r="A94" s="163" t="s">
        <v>1188</v>
      </c>
      <c r="B94" s="100">
        <v>18.170000000000002</v>
      </c>
      <c r="C94" s="100">
        <v>28.88</v>
      </c>
      <c r="D94" s="100">
        <v>31.01</v>
      </c>
      <c r="E94" s="100">
        <v>9.06</v>
      </c>
      <c r="F94" s="152" t="s">
        <v>15</v>
      </c>
      <c r="G94" s="100">
        <v>151.87</v>
      </c>
      <c r="H94" s="100">
        <v>45.94</v>
      </c>
      <c r="I94" s="100">
        <v>15.48</v>
      </c>
      <c r="J94" s="100">
        <v>0.31</v>
      </c>
      <c r="K94" s="100">
        <v>159.52000000000001</v>
      </c>
      <c r="L94" s="100">
        <v>24.78</v>
      </c>
      <c r="M94" s="100">
        <v>49.71</v>
      </c>
      <c r="N94" s="100">
        <v>0.6</v>
      </c>
      <c r="O94" s="100">
        <v>0</v>
      </c>
      <c r="P94" s="100">
        <v>1.35</v>
      </c>
      <c r="Q94" s="100">
        <v>28.56</v>
      </c>
      <c r="R94" s="6"/>
      <c r="S94" s="6"/>
      <c r="T94" s="156"/>
      <c r="U94" s="6"/>
    </row>
    <row r="95" spans="1:21" customFormat="1">
      <c r="A95" s="163" t="s">
        <v>1189</v>
      </c>
      <c r="B95" s="100">
        <v>21.86</v>
      </c>
      <c r="C95" s="100">
        <v>30</v>
      </c>
      <c r="D95" s="100">
        <v>34.56</v>
      </c>
      <c r="E95" s="100">
        <v>9.35</v>
      </c>
      <c r="F95" s="152" t="s">
        <v>15</v>
      </c>
      <c r="G95" s="100">
        <v>151.87</v>
      </c>
      <c r="H95" s="100">
        <v>45.94</v>
      </c>
      <c r="I95" s="100">
        <v>15.72</v>
      </c>
      <c r="J95" s="100">
        <v>0.17</v>
      </c>
      <c r="K95" s="100">
        <v>159.25</v>
      </c>
      <c r="L95" s="100">
        <v>24.78</v>
      </c>
      <c r="M95" s="100">
        <v>48.74</v>
      </c>
      <c r="N95" s="100">
        <v>0.6</v>
      </c>
      <c r="O95" s="100">
        <v>0</v>
      </c>
      <c r="P95" s="100">
        <v>1.39</v>
      </c>
      <c r="Q95" s="100">
        <v>28.65</v>
      </c>
      <c r="R95" s="6"/>
      <c r="S95" s="6"/>
      <c r="T95" s="156"/>
      <c r="U95" s="6"/>
    </row>
    <row r="96" spans="1:21" customFormat="1">
      <c r="A96" s="163" t="s">
        <v>1190</v>
      </c>
      <c r="B96" s="100">
        <v>24.43</v>
      </c>
      <c r="C96" s="100">
        <v>30.49</v>
      </c>
      <c r="D96" s="100">
        <v>36.869999999999997</v>
      </c>
      <c r="E96" s="100">
        <v>9.4</v>
      </c>
      <c r="F96" s="152" t="s">
        <v>15</v>
      </c>
      <c r="G96" s="100">
        <v>151.87</v>
      </c>
      <c r="H96" s="100">
        <v>45.94</v>
      </c>
      <c r="I96" s="100">
        <v>15.8</v>
      </c>
      <c r="J96" s="100">
        <v>0.2</v>
      </c>
      <c r="K96" s="100">
        <v>156.85</v>
      </c>
      <c r="L96" s="100">
        <v>24.92</v>
      </c>
      <c r="M96" s="100">
        <v>47.7</v>
      </c>
      <c r="N96" s="100">
        <v>0.7</v>
      </c>
      <c r="O96" s="100">
        <v>0</v>
      </c>
      <c r="P96" s="100">
        <v>1.41</v>
      </c>
      <c r="Q96" s="100">
        <v>28.76</v>
      </c>
      <c r="R96" s="6"/>
      <c r="S96" s="6"/>
      <c r="T96" s="156"/>
      <c r="U96" s="6"/>
    </row>
    <row r="97" spans="1:28" customFormat="1">
      <c r="A97" s="163" t="s">
        <v>1191</v>
      </c>
      <c r="B97" s="100">
        <v>25.01</v>
      </c>
      <c r="C97" s="100">
        <v>29.99</v>
      </c>
      <c r="D97" s="100">
        <v>37.07</v>
      </c>
      <c r="E97" s="100">
        <v>9.1199999999999992</v>
      </c>
      <c r="F97" s="152" t="s">
        <v>15</v>
      </c>
      <c r="G97" s="100">
        <v>144.65</v>
      </c>
      <c r="H97" s="100">
        <v>44.55</v>
      </c>
      <c r="I97" s="100">
        <v>15.97</v>
      </c>
      <c r="J97" s="100">
        <v>0.27</v>
      </c>
      <c r="K97" s="100">
        <v>174.1</v>
      </c>
      <c r="L97" s="100">
        <v>24.3</v>
      </c>
      <c r="M97" s="100">
        <v>51.28</v>
      </c>
      <c r="N97" s="100">
        <v>1.1000000000000001</v>
      </c>
      <c r="O97" s="100">
        <v>0</v>
      </c>
      <c r="P97" s="100">
        <v>1.43</v>
      </c>
      <c r="Q97" s="100">
        <v>28.82</v>
      </c>
      <c r="R97" s="6"/>
      <c r="S97" s="6"/>
      <c r="T97" s="156"/>
      <c r="U97" s="6"/>
    </row>
    <row r="98" spans="1:28" customFormat="1">
      <c r="A98" s="163" t="s">
        <v>1192</v>
      </c>
      <c r="B98" s="100">
        <v>25.41</v>
      </c>
      <c r="C98" s="100">
        <v>30.1</v>
      </c>
      <c r="D98" s="100">
        <v>37.46</v>
      </c>
      <c r="E98" s="100">
        <v>9.0299999999999994</v>
      </c>
      <c r="F98" s="152" t="s">
        <v>15</v>
      </c>
      <c r="G98" s="100">
        <v>143.94999999999999</v>
      </c>
      <c r="H98" s="100">
        <v>44.55</v>
      </c>
      <c r="I98" s="100">
        <v>16.18</v>
      </c>
      <c r="J98" s="100">
        <v>0.26</v>
      </c>
      <c r="K98" s="100">
        <v>150.52000000000001</v>
      </c>
      <c r="L98" s="100">
        <v>24.09</v>
      </c>
      <c r="M98" s="100">
        <v>52.61</v>
      </c>
      <c r="N98" s="100">
        <v>0.9</v>
      </c>
      <c r="O98" s="100">
        <v>0</v>
      </c>
      <c r="P98" s="100">
        <v>1.43</v>
      </c>
      <c r="Q98" s="100">
        <v>28.85</v>
      </c>
      <c r="R98" s="6"/>
      <c r="S98" s="6"/>
      <c r="T98" s="156"/>
      <c r="U98" s="6"/>
    </row>
    <row r="99" spans="1:28" customFormat="1">
      <c r="A99" s="163" t="s">
        <v>1193</v>
      </c>
      <c r="B99" s="100">
        <v>26.09</v>
      </c>
      <c r="C99" s="100">
        <v>30.48</v>
      </c>
      <c r="D99" s="100">
        <v>38.200000000000003</v>
      </c>
      <c r="E99" s="100">
        <v>9.27</v>
      </c>
      <c r="F99" s="152" t="s">
        <v>15</v>
      </c>
      <c r="G99" s="100">
        <v>143.94999999999999</v>
      </c>
      <c r="H99" s="100">
        <v>44.55</v>
      </c>
      <c r="I99" s="100">
        <v>16.329999999999998</v>
      </c>
      <c r="J99" s="100">
        <v>0.8</v>
      </c>
      <c r="K99" s="100">
        <v>54.77</v>
      </c>
      <c r="L99" s="100">
        <v>25.21</v>
      </c>
      <c r="M99" s="100">
        <v>40.76</v>
      </c>
      <c r="N99" s="100">
        <v>0.1</v>
      </c>
      <c r="O99" s="100">
        <v>0</v>
      </c>
      <c r="P99" s="100">
        <v>1.45</v>
      </c>
      <c r="Q99" s="100">
        <v>28.85</v>
      </c>
      <c r="R99" s="6"/>
      <c r="S99" s="6"/>
      <c r="T99" s="156"/>
      <c r="U99" s="6"/>
    </row>
    <row r="100" spans="1:28" customFormat="1">
      <c r="A100" s="163" t="s">
        <v>1194</v>
      </c>
      <c r="B100" s="100">
        <v>25.84</v>
      </c>
      <c r="C100" s="100">
        <v>30.81</v>
      </c>
      <c r="D100" s="100">
        <v>38.17</v>
      </c>
      <c r="E100" s="100">
        <v>8.99</v>
      </c>
      <c r="F100" s="152" t="s">
        <v>15</v>
      </c>
      <c r="G100" s="100">
        <v>143.94999999999999</v>
      </c>
      <c r="H100" s="100">
        <v>44.55</v>
      </c>
      <c r="I100" s="100">
        <v>16.670000000000002</v>
      </c>
      <c r="J100" s="100">
        <v>0.51</v>
      </c>
      <c r="K100" s="100">
        <v>59.26</v>
      </c>
      <c r="L100" s="100">
        <v>25.79</v>
      </c>
      <c r="M100" s="100">
        <v>37.65</v>
      </c>
      <c r="N100" s="100">
        <v>0.4</v>
      </c>
      <c r="O100" s="100">
        <v>0</v>
      </c>
      <c r="P100" s="100">
        <v>1.43</v>
      </c>
      <c r="Q100" s="100">
        <v>28.87</v>
      </c>
      <c r="R100" s="6"/>
      <c r="S100" s="6"/>
      <c r="T100" s="156"/>
      <c r="U100" s="6"/>
      <c r="AB100" s="161"/>
    </row>
    <row r="101" spans="1:28" customFormat="1">
      <c r="A101" s="163" t="s">
        <v>1195</v>
      </c>
      <c r="B101" s="100">
        <v>24.98</v>
      </c>
      <c r="C101" s="100">
        <v>31.37</v>
      </c>
      <c r="D101" s="100">
        <v>37.78</v>
      </c>
      <c r="E101" s="100">
        <v>9.7200000000000006</v>
      </c>
      <c r="F101" s="152" t="s">
        <v>15</v>
      </c>
      <c r="G101" s="100">
        <v>146.59</v>
      </c>
      <c r="H101" s="100">
        <v>46.09</v>
      </c>
      <c r="I101" s="100">
        <v>17.190000000000001</v>
      </c>
      <c r="J101" s="100">
        <v>0.17</v>
      </c>
      <c r="K101" s="100">
        <v>92.68</v>
      </c>
      <c r="L101" s="100">
        <v>25.41</v>
      </c>
      <c r="M101" s="100">
        <v>40.21</v>
      </c>
      <c r="N101" s="100">
        <v>1.1000000000000001</v>
      </c>
      <c r="O101" s="100">
        <v>0</v>
      </c>
      <c r="P101" s="100">
        <v>1.42</v>
      </c>
      <c r="Q101" s="100">
        <v>28.85</v>
      </c>
      <c r="R101" s="6"/>
      <c r="S101" s="6"/>
      <c r="T101" s="156"/>
      <c r="U101" s="6"/>
    </row>
    <row r="102" spans="1:28" customFormat="1">
      <c r="A102" s="163" t="s">
        <v>1196</v>
      </c>
      <c r="B102" s="100">
        <v>24.25</v>
      </c>
      <c r="C102" s="100">
        <v>31.24</v>
      </c>
      <c r="D102" s="100">
        <v>37.119999999999997</v>
      </c>
      <c r="E102" s="100">
        <v>9.25</v>
      </c>
      <c r="F102" s="152" t="s">
        <v>15</v>
      </c>
      <c r="G102" s="100">
        <v>146.85</v>
      </c>
      <c r="H102" s="100">
        <v>46.09</v>
      </c>
      <c r="I102" s="100">
        <v>17.559999999999999</v>
      </c>
      <c r="J102" s="100">
        <v>0.17</v>
      </c>
      <c r="K102" s="100">
        <v>174.87</v>
      </c>
      <c r="L102" s="100">
        <v>24.54</v>
      </c>
      <c r="M102" s="100">
        <v>43.47</v>
      </c>
      <c r="N102" s="100">
        <v>1.3</v>
      </c>
      <c r="O102" s="100">
        <v>0</v>
      </c>
      <c r="P102" s="100">
        <v>1.4</v>
      </c>
      <c r="Q102" s="100">
        <v>28.81</v>
      </c>
      <c r="R102" s="6"/>
      <c r="S102" s="6"/>
      <c r="T102" s="156"/>
      <c r="U102" s="6"/>
    </row>
    <row r="103" spans="1:28" customFormat="1">
      <c r="A103" s="163" t="s">
        <v>1197</v>
      </c>
      <c r="B103" s="100">
        <v>23.37</v>
      </c>
      <c r="C103" s="100">
        <v>31.21</v>
      </c>
      <c r="D103" s="100">
        <v>36.4</v>
      </c>
      <c r="E103" s="100">
        <v>8.93</v>
      </c>
      <c r="F103" s="152" t="s">
        <v>15</v>
      </c>
      <c r="G103" s="100">
        <v>146.85</v>
      </c>
      <c r="H103" s="100">
        <v>46.09</v>
      </c>
      <c r="I103" s="100">
        <v>17.78</v>
      </c>
      <c r="J103" s="100">
        <v>0.26</v>
      </c>
      <c r="K103" s="100">
        <v>215.85</v>
      </c>
      <c r="L103" s="100">
        <v>23.58</v>
      </c>
      <c r="M103" s="100">
        <v>49.08</v>
      </c>
      <c r="N103" s="100">
        <v>1.6</v>
      </c>
      <c r="O103" s="100">
        <v>0</v>
      </c>
      <c r="P103" s="100">
        <v>1.39</v>
      </c>
      <c r="Q103" s="100">
        <v>28.8</v>
      </c>
      <c r="R103" s="6"/>
      <c r="S103" s="6"/>
      <c r="T103" s="156"/>
      <c r="U103" s="6"/>
    </row>
    <row r="104" spans="1:28" customFormat="1">
      <c r="A104" s="163" t="s">
        <v>1198</v>
      </c>
      <c r="B104" s="100">
        <v>22.16</v>
      </c>
      <c r="C104" s="100">
        <v>30.85</v>
      </c>
      <c r="D104" s="100">
        <v>35.24</v>
      </c>
      <c r="E104" s="100">
        <v>9.16</v>
      </c>
      <c r="F104" s="152" t="s">
        <v>15</v>
      </c>
      <c r="G104" s="100">
        <v>146.85</v>
      </c>
      <c r="H104" s="100">
        <v>46.09</v>
      </c>
      <c r="I104" s="100">
        <v>17.87</v>
      </c>
      <c r="J104" s="100">
        <v>0.18</v>
      </c>
      <c r="K104" s="100">
        <v>225.23</v>
      </c>
      <c r="L104" s="100">
        <v>22.85</v>
      </c>
      <c r="M104" s="100">
        <v>50.73</v>
      </c>
      <c r="N104" s="100">
        <v>1.2</v>
      </c>
      <c r="O104" s="100">
        <v>0</v>
      </c>
      <c r="P104" s="100">
        <v>1.37</v>
      </c>
      <c r="Q104" s="100">
        <v>28.74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3.57</v>
      </c>
      <c r="C106" s="158">
        <f>MIN(C9:C104)</f>
        <v>15.22</v>
      </c>
      <c r="D106" s="158">
        <f t="shared" ref="D106:Q106" si="0">MIN(D9:D104)</f>
        <v>12.25</v>
      </c>
      <c r="E106" s="158">
        <f t="shared" si="0"/>
        <v>7.88</v>
      </c>
      <c r="F106" s="158">
        <f t="shared" si="0"/>
        <v>0</v>
      </c>
      <c r="G106" s="158">
        <f t="shared" si="0"/>
        <v>58.4</v>
      </c>
      <c r="H106" s="158">
        <f t="shared" si="0"/>
        <v>28.7</v>
      </c>
      <c r="I106" s="158">
        <f t="shared" si="0"/>
        <v>5.41</v>
      </c>
      <c r="J106" s="158">
        <f t="shared" si="0"/>
        <v>0.03</v>
      </c>
      <c r="K106" s="158">
        <f t="shared" si="0"/>
        <v>3.3</v>
      </c>
      <c r="L106" s="158">
        <f t="shared" si="0"/>
        <v>19.809999999999999</v>
      </c>
      <c r="M106" s="158">
        <f t="shared" si="0"/>
        <v>19.09</v>
      </c>
      <c r="N106" s="158">
        <f t="shared" si="0"/>
        <v>0.1</v>
      </c>
      <c r="O106" s="158">
        <f t="shared" si="0"/>
        <v>0</v>
      </c>
      <c r="P106" s="158">
        <f t="shared" si="0"/>
        <v>0.55000000000000004</v>
      </c>
      <c r="Q106" s="158">
        <f t="shared" si="0"/>
        <v>27.99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26.09</v>
      </c>
      <c r="C107" s="157">
        <f t="shared" ref="C107:Q107" si="1">MAX(C9:C104)</f>
        <v>35.950000000000003</v>
      </c>
      <c r="D107" s="157">
        <f t="shared" si="1"/>
        <v>38.200000000000003</v>
      </c>
      <c r="E107" s="157">
        <f t="shared" si="1"/>
        <v>38.950000000000003</v>
      </c>
      <c r="F107" s="157">
        <f t="shared" si="1"/>
        <v>0</v>
      </c>
      <c r="G107" s="157">
        <f t="shared" si="1"/>
        <v>170.06</v>
      </c>
      <c r="H107" s="157">
        <f t="shared" si="1"/>
        <v>51.79</v>
      </c>
      <c r="I107" s="157">
        <f t="shared" si="1"/>
        <v>21.97</v>
      </c>
      <c r="J107" s="157">
        <f t="shared" si="1"/>
        <v>1.66</v>
      </c>
      <c r="K107" s="157">
        <f t="shared" si="1"/>
        <v>350.07</v>
      </c>
      <c r="L107" s="157">
        <f t="shared" si="1"/>
        <v>36.799999999999997</v>
      </c>
      <c r="M107" s="157">
        <f t="shared" si="1"/>
        <v>57.58</v>
      </c>
      <c r="N107" s="157">
        <f t="shared" si="1"/>
        <v>314.2</v>
      </c>
      <c r="O107" s="157">
        <f t="shared" si="1"/>
        <v>0</v>
      </c>
      <c r="P107" s="157">
        <f t="shared" si="1"/>
        <v>1.79</v>
      </c>
      <c r="Q107" s="157">
        <f t="shared" si="1"/>
        <v>28.87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9.5533333333333328</v>
      </c>
      <c r="C108" s="158">
        <f t="shared" ref="C108:Q108" si="2">AVERAGE(C9:C104)</f>
        <v>25.761979166666663</v>
      </c>
      <c r="D108" s="158">
        <f t="shared" si="2"/>
        <v>22.480624999999993</v>
      </c>
      <c r="E108" s="158">
        <f t="shared" si="2"/>
        <v>12.613333333333335</v>
      </c>
      <c r="F108" s="158" t="e">
        <f t="shared" si="2"/>
        <v>#DIV/0!</v>
      </c>
      <c r="G108" s="158">
        <f t="shared" si="2"/>
        <v>107.66187500000002</v>
      </c>
      <c r="H108" s="158">
        <f t="shared" si="2"/>
        <v>37.654583333333356</v>
      </c>
      <c r="I108" s="158">
        <f t="shared" si="2"/>
        <v>11.364687499999997</v>
      </c>
      <c r="J108" s="158">
        <f t="shared" si="2"/>
        <v>0.51635416666666678</v>
      </c>
      <c r="K108" s="158">
        <f t="shared" si="2"/>
        <v>99.378125000000011</v>
      </c>
      <c r="L108" s="158">
        <f t="shared" si="2"/>
        <v>27.635208333333342</v>
      </c>
      <c r="M108" s="158">
        <f t="shared" si="2"/>
        <v>36.850416666666668</v>
      </c>
      <c r="N108" s="158">
        <f t="shared" si="2"/>
        <v>81.510416666666671</v>
      </c>
      <c r="O108" s="158">
        <f t="shared" si="2"/>
        <v>0</v>
      </c>
      <c r="P108" s="158">
        <f t="shared" si="2"/>
        <v>0.99812500000000026</v>
      </c>
      <c r="Q108" s="158">
        <f t="shared" si="2"/>
        <v>28.223229166666645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6.3321381882495062</v>
      </c>
      <c r="C109" s="158">
        <f t="shared" ref="C109:Q109" si="3">STDEV(C9:C104)</f>
        <v>4.8016807627048594</v>
      </c>
      <c r="D109" s="158">
        <f t="shared" si="3"/>
        <v>6.4183291500940935</v>
      </c>
      <c r="E109" s="158">
        <f t="shared" si="3"/>
        <v>5.344146954067293</v>
      </c>
      <c r="F109" s="158" t="e">
        <f t="shared" si="3"/>
        <v>#DIV/0!</v>
      </c>
      <c r="G109" s="158">
        <f t="shared" si="3"/>
        <v>27.630419823181587</v>
      </c>
      <c r="H109" s="158">
        <f t="shared" si="3"/>
        <v>5.2096436723620094</v>
      </c>
      <c r="I109" s="158">
        <f t="shared" si="3"/>
        <v>4.0045484542415659</v>
      </c>
      <c r="J109" s="158">
        <f t="shared" si="3"/>
        <v>0.35619663342972024</v>
      </c>
      <c r="K109" s="158">
        <f t="shared" si="3"/>
        <v>78.361125718150475</v>
      </c>
      <c r="L109" s="158">
        <f t="shared" si="3"/>
        <v>5.1623503376631676</v>
      </c>
      <c r="M109" s="158">
        <f t="shared" si="3"/>
        <v>10.366550146014067</v>
      </c>
      <c r="N109" s="158">
        <f t="shared" si="3"/>
        <v>115.29467188051271</v>
      </c>
      <c r="O109" s="158">
        <f t="shared" si="3"/>
        <v>0</v>
      </c>
      <c r="P109" s="158">
        <f t="shared" si="3"/>
        <v>0.32218436206292544</v>
      </c>
      <c r="Q109" s="158">
        <f t="shared" si="3"/>
        <v>0.24059354146149181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100" activePane="bottomRight" state="frozen"/>
      <selection pane="topRight"/>
      <selection pane="bottomLeft"/>
      <selection pane="bottomRight" activeCell="G96" sqref="G9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11/03/2025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1199</v>
      </c>
      <c r="B9" s="100">
        <v>20.43</v>
      </c>
      <c r="C9" s="100">
        <v>30.48</v>
      </c>
      <c r="D9" s="100">
        <v>33.659999999999997</v>
      </c>
      <c r="E9" s="100">
        <v>9.0399999999999991</v>
      </c>
      <c r="F9" s="152" t="s">
        <v>15</v>
      </c>
      <c r="G9" s="100">
        <v>127.06</v>
      </c>
      <c r="H9" s="100">
        <v>47.79</v>
      </c>
      <c r="I9" s="100">
        <v>17.71</v>
      </c>
      <c r="J9" s="100">
        <v>0.2</v>
      </c>
      <c r="K9" s="100">
        <v>153.22</v>
      </c>
      <c r="L9" s="100">
        <v>22.58</v>
      </c>
      <c r="M9" s="100">
        <v>53.06</v>
      </c>
      <c r="N9" s="100">
        <v>1</v>
      </c>
      <c r="O9" s="100">
        <v>0</v>
      </c>
      <c r="P9" s="100">
        <v>1.35</v>
      </c>
      <c r="Q9" s="100">
        <v>28.69</v>
      </c>
      <c r="R9" s="6"/>
      <c r="S9" s="6"/>
      <c r="T9" s="156"/>
      <c r="U9" s="6"/>
    </row>
    <row r="10" spans="1:21" customFormat="1">
      <c r="A10" s="163" t="s">
        <v>1200</v>
      </c>
      <c r="B10" s="100">
        <v>19.62</v>
      </c>
      <c r="C10" s="100">
        <v>29.66</v>
      </c>
      <c r="D10" s="100">
        <v>32.590000000000003</v>
      </c>
      <c r="E10" s="100">
        <v>8.89</v>
      </c>
      <c r="F10" s="152" t="s">
        <v>15</v>
      </c>
      <c r="G10" s="100">
        <v>125.39</v>
      </c>
      <c r="H10" s="100">
        <v>47.79</v>
      </c>
      <c r="I10" s="100">
        <v>17.579999999999998</v>
      </c>
      <c r="J10" s="100">
        <v>0.24</v>
      </c>
      <c r="K10" s="100">
        <v>168.76</v>
      </c>
      <c r="L10" s="100">
        <v>22.61</v>
      </c>
      <c r="M10" s="100">
        <v>52.78</v>
      </c>
      <c r="N10" s="100">
        <v>0.7</v>
      </c>
      <c r="O10" s="100">
        <v>0</v>
      </c>
      <c r="P10" s="100">
        <v>1.32</v>
      </c>
      <c r="Q10" s="100">
        <v>28.64</v>
      </c>
      <c r="R10" s="6"/>
      <c r="S10" s="6"/>
      <c r="T10" s="156"/>
      <c r="U10" s="6"/>
    </row>
    <row r="11" spans="1:21" customFormat="1">
      <c r="A11" s="163" t="s">
        <v>1201</v>
      </c>
      <c r="B11" s="100">
        <v>18.690000000000001</v>
      </c>
      <c r="C11" s="100">
        <v>29.09</v>
      </c>
      <c r="D11" s="100">
        <v>31.53</v>
      </c>
      <c r="E11" s="100">
        <v>8.67</v>
      </c>
      <c r="F11" s="152" t="s">
        <v>15</v>
      </c>
      <c r="G11" s="100">
        <v>125.39</v>
      </c>
      <c r="H11" s="100">
        <v>47.79</v>
      </c>
      <c r="I11" s="100">
        <v>17.440000000000001</v>
      </c>
      <c r="J11" s="100">
        <v>0.19</v>
      </c>
      <c r="K11" s="100">
        <v>170.18</v>
      </c>
      <c r="L11" s="100">
        <v>22.5</v>
      </c>
      <c r="M11" s="100">
        <v>51.28</v>
      </c>
      <c r="N11" s="100">
        <v>0.6</v>
      </c>
      <c r="O11" s="100">
        <v>0</v>
      </c>
      <c r="P11" s="100">
        <v>1.3</v>
      </c>
      <c r="Q11" s="100">
        <v>28.61</v>
      </c>
      <c r="R11" s="6"/>
      <c r="S11" s="6"/>
      <c r="T11" s="156"/>
      <c r="U11" s="6"/>
    </row>
    <row r="12" spans="1:21" customFormat="1">
      <c r="A12" s="163" t="s">
        <v>1202</v>
      </c>
      <c r="B12" s="100">
        <v>17.7</v>
      </c>
      <c r="C12" s="100">
        <v>28.82</v>
      </c>
      <c r="D12" s="100">
        <v>30.6</v>
      </c>
      <c r="E12" s="100">
        <v>8.98</v>
      </c>
      <c r="F12" s="152" t="s">
        <v>15</v>
      </c>
      <c r="G12" s="100">
        <v>125.39</v>
      </c>
      <c r="H12" s="100">
        <v>47.79</v>
      </c>
      <c r="I12" s="100">
        <v>17.260000000000002</v>
      </c>
      <c r="J12" s="100">
        <v>0.23</v>
      </c>
      <c r="K12" s="100">
        <v>163.74</v>
      </c>
      <c r="L12" s="100">
        <v>22.34</v>
      </c>
      <c r="M12" s="100">
        <v>54.03</v>
      </c>
      <c r="N12" s="100">
        <v>0.8</v>
      </c>
      <c r="O12" s="100">
        <v>0</v>
      </c>
      <c r="P12" s="100">
        <v>1.29</v>
      </c>
      <c r="Q12" s="100">
        <v>28.58</v>
      </c>
      <c r="R12" s="6"/>
      <c r="S12" s="6"/>
      <c r="T12" s="156"/>
      <c r="U12" s="6"/>
    </row>
    <row r="13" spans="1:21" customFormat="1">
      <c r="A13" s="163" t="s">
        <v>1203</v>
      </c>
      <c r="B13" s="100">
        <v>17.079999999999998</v>
      </c>
      <c r="C13" s="100">
        <v>28.42</v>
      </c>
      <c r="D13" s="100">
        <v>29.9</v>
      </c>
      <c r="E13" s="100">
        <v>8.75</v>
      </c>
      <c r="F13" s="152" t="s">
        <v>15</v>
      </c>
      <c r="G13" s="100">
        <v>127.21</v>
      </c>
      <c r="H13" s="100">
        <v>48.18</v>
      </c>
      <c r="I13" s="100">
        <v>17.04</v>
      </c>
      <c r="J13" s="100">
        <v>0.21</v>
      </c>
      <c r="K13" s="100">
        <v>104.71</v>
      </c>
      <c r="L13" s="100">
        <v>22.37</v>
      </c>
      <c r="M13" s="100">
        <v>51.45</v>
      </c>
      <c r="N13" s="100">
        <v>0.5</v>
      </c>
      <c r="O13" s="100">
        <v>0</v>
      </c>
      <c r="P13" s="100">
        <v>1.26</v>
      </c>
      <c r="Q13" s="100">
        <v>28.55</v>
      </c>
      <c r="R13" s="6"/>
      <c r="S13" s="6"/>
      <c r="T13" s="156"/>
      <c r="U13" s="6"/>
    </row>
    <row r="14" spans="1:21" customFormat="1">
      <c r="A14" s="163" t="s">
        <v>1204</v>
      </c>
      <c r="B14" s="100">
        <v>16.72</v>
      </c>
      <c r="C14" s="100">
        <v>28.26</v>
      </c>
      <c r="D14" s="100">
        <v>29.53</v>
      </c>
      <c r="E14" s="100">
        <v>8.83</v>
      </c>
      <c r="F14" s="152" t="s">
        <v>15</v>
      </c>
      <c r="G14" s="100">
        <v>127.36</v>
      </c>
      <c r="H14" s="100">
        <v>48.18</v>
      </c>
      <c r="I14" s="100">
        <v>16.829999999999998</v>
      </c>
      <c r="J14" s="100">
        <v>0.25</v>
      </c>
      <c r="K14" s="100">
        <v>133.41</v>
      </c>
      <c r="L14" s="100">
        <v>22.78</v>
      </c>
      <c r="M14" s="100">
        <v>49.67</v>
      </c>
      <c r="N14" s="100">
        <v>0.7</v>
      </c>
      <c r="O14" s="100">
        <v>0</v>
      </c>
      <c r="P14" s="100">
        <v>1.24</v>
      </c>
      <c r="Q14" s="100">
        <v>28.56</v>
      </c>
      <c r="R14" s="6"/>
      <c r="S14" s="6"/>
      <c r="T14" s="156"/>
      <c r="U14" s="6"/>
    </row>
    <row r="15" spans="1:21" customFormat="1">
      <c r="A15" s="163" t="s">
        <v>1205</v>
      </c>
      <c r="B15" s="100">
        <v>16.489999999999998</v>
      </c>
      <c r="C15" s="100">
        <v>27.97</v>
      </c>
      <c r="D15" s="100">
        <v>29.18</v>
      </c>
      <c r="E15" s="100">
        <v>8.6</v>
      </c>
      <c r="F15" s="152" t="s">
        <v>15</v>
      </c>
      <c r="G15" s="100">
        <v>127.36</v>
      </c>
      <c r="H15" s="100">
        <v>48.18</v>
      </c>
      <c r="I15" s="100">
        <v>16.690000000000001</v>
      </c>
      <c r="J15" s="100">
        <v>0.26</v>
      </c>
      <c r="K15" s="100">
        <v>168.79</v>
      </c>
      <c r="L15" s="100">
        <v>21.96</v>
      </c>
      <c r="M15" s="100">
        <v>52.11</v>
      </c>
      <c r="N15" s="100">
        <v>1</v>
      </c>
      <c r="O15" s="100">
        <v>0</v>
      </c>
      <c r="P15" s="100">
        <v>1.24</v>
      </c>
      <c r="Q15" s="100">
        <v>28.54</v>
      </c>
      <c r="R15" s="6"/>
      <c r="S15" s="6"/>
      <c r="T15" s="156"/>
      <c r="U15" s="6"/>
    </row>
    <row r="16" spans="1:21" customFormat="1">
      <c r="A16" s="163" t="s">
        <v>1206</v>
      </c>
      <c r="B16" s="100">
        <v>16.399999999999999</v>
      </c>
      <c r="C16" s="100">
        <v>27.53</v>
      </c>
      <c r="D16" s="100">
        <v>28.89</v>
      </c>
      <c r="E16" s="100">
        <v>8.3000000000000007</v>
      </c>
      <c r="F16" s="152" t="s">
        <v>15</v>
      </c>
      <c r="G16" s="100">
        <v>127.36</v>
      </c>
      <c r="H16" s="100">
        <v>48.18</v>
      </c>
      <c r="I16" s="100">
        <v>16.579999999999998</v>
      </c>
      <c r="J16" s="100">
        <v>0.2</v>
      </c>
      <c r="K16" s="100">
        <v>173.39</v>
      </c>
      <c r="L16" s="100">
        <v>21.67</v>
      </c>
      <c r="M16" s="100">
        <v>51.45</v>
      </c>
      <c r="N16" s="100">
        <v>0.9</v>
      </c>
      <c r="O16" s="100">
        <v>0</v>
      </c>
      <c r="P16" s="100">
        <v>1.22</v>
      </c>
      <c r="Q16" s="100">
        <v>28.52</v>
      </c>
      <c r="R16" s="6"/>
      <c r="S16" s="6"/>
      <c r="T16" s="156"/>
      <c r="U16" s="6"/>
    </row>
    <row r="17" spans="1:21" customFormat="1">
      <c r="A17" s="163" t="s">
        <v>1207</v>
      </c>
      <c r="B17" s="100">
        <v>16.18</v>
      </c>
      <c r="C17" s="100">
        <v>27.08</v>
      </c>
      <c r="D17" s="100">
        <v>28.48</v>
      </c>
      <c r="E17" s="100">
        <v>6.94</v>
      </c>
      <c r="F17" s="152" t="s">
        <v>15</v>
      </c>
      <c r="G17" s="100">
        <v>105.52</v>
      </c>
      <c r="H17" s="100">
        <v>44.42</v>
      </c>
      <c r="I17" s="100">
        <v>16.46</v>
      </c>
      <c r="J17" s="100">
        <v>0.23</v>
      </c>
      <c r="K17" s="100">
        <v>72.61</v>
      </c>
      <c r="L17" s="100">
        <v>22</v>
      </c>
      <c r="M17" s="100">
        <v>44.69</v>
      </c>
      <c r="N17" s="100">
        <v>0.4</v>
      </c>
      <c r="O17" s="100">
        <v>0</v>
      </c>
      <c r="P17" s="100">
        <v>1.2</v>
      </c>
      <c r="Q17" s="100">
        <v>28.53</v>
      </c>
      <c r="R17" s="6"/>
      <c r="S17" s="6"/>
      <c r="T17" s="156"/>
      <c r="U17" s="6"/>
    </row>
    <row r="18" spans="1:21" customFormat="1">
      <c r="A18" s="163" t="s">
        <v>1208</v>
      </c>
      <c r="B18" s="100">
        <v>16.329999999999998</v>
      </c>
      <c r="C18" s="100">
        <v>26.77</v>
      </c>
      <c r="D18" s="100">
        <v>28.43</v>
      </c>
      <c r="E18" s="100">
        <v>7.91</v>
      </c>
      <c r="F18" s="152" t="s">
        <v>15</v>
      </c>
      <c r="G18" s="100">
        <v>103.39</v>
      </c>
      <c r="H18" s="100">
        <v>44.42</v>
      </c>
      <c r="I18" s="100">
        <v>16.329999999999998</v>
      </c>
      <c r="J18" s="100">
        <v>0.54</v>
      </c>
      <c r="K18" s="100">
        <v>65.790000000000006</v>
      </c>
      <c r="L18" s="100">
        <v>23.29</v>
      </c>
      <c r="M18" s="100">
        <v>36.729999999999997</v>
      </c>
      <c r="N18" s="100">
        <v>0.2</v>
      </c>
      <c r="O18" s="100">
        <v>0</v>
      </c>
      <c r="P18" s="100">
        <v>1.19</v>
      </c>
      <c r="Q18" s="100">
        <v>28.51</v>
      </c>
      <c r="R18" s="6"/>
      <c r="S18" s="6"/>
      <c r="T18" s="156"/>
      <c r="U18" s="6"/>
    </row>
    <row r="19" spans="1:21" customFormat="1">
      <c r="A19" s="163" t="s">
        <v>1209</v>
      </c>
      <c r="B19" s="100">
        <v>16.3</v>
      </c>
      <c r="C19" s="100">
        <v>26.38</v>
      </c>
      <c r="D19" s="100">
        <v>28.2</v>
      </c>
      <c r="E19" s="100">
        <v>8.16</v>
      </c>
      <c r="F19" s="152" t="s">
        <v>15</v>
      </c>
      <c r="G19" s="100">
        <v>103.39</v>
      </c>
      <c r="H19" s="100">
        <v>44.42</v>
      </c>
      <c r="I19" s="100">
        <v>16.27</v>
      </c>
      <c r="J19" s="100">
        <v>0.28000000000000003</v>
      </c>
      <c r="K19" s="100">
        <v>19.28</v>
      </c>
      <c r="L19" s="100">
        <v>23.13</v>
      </c>
      <c r="M19" s="100">
        <v>37.68</v>
      </c>
      <c r="N19" s="100">
        <v>0.5</v>
      </c>
      <c r="O19" s="100">
        <v>0</v>
      </c>
      <c r="P19" s="100">
        <v>1.18</v>
      </c>
      <c r="Q19" s="100">
        <v>28.49</v>
      </c>
      <c r="R19" s="6"/>
      <c r="S19" s="6"/>
      <c r="T19" s="156"/>
      <c r="U19" s="6"/>
    </row>
    <row r="20" spans="1:21" customFormat="1">
      <c r="A20" s="163" t="s">
        <v>1210</v>
      </c>
      <c r="B20" s="100">
        <v>16.260000000000002</v>
      </c>
      <c r="C20" s="100">
        <v>25.92</v>
      </c>
      <c r="D20" s="100">
        <v>27.94</v>
      </c>
      <c r="E20" s="100">
        <v>8.3000000000000007</v>
      </c>
      <c r="F20" s="152" t="s">
        <v>15</v>
      </c>
      <c r="G20" s="100">
        <v>103.39</v>
      </c>
      <c r="H20" s="100">
        <v>44.42</v>
      </c>
      <c r="I20" s="100">
        <v>16.3</v>
      </c>
      <c r="J20" s="100">
        <v>0.4</v>
      </c>
      <c r="K20" s="100">
        <v>30.31</v>
      </c>
      <c r="L20" s="100">
        <v>22.92</v>
      </c>
      <c r="M20" s="100">
        <v>38.020000000000003</v>
      </c>
      <c r="N20" s="100">
        <v>0.6</v>
      </c>
      <c r="O20" s="100">
        <v>0</v>
      </c>
      <c r="P20" s="100">
        <v>1.1499999999999999</v>
      </c>
      <c r="Q20" s="100">
        <v>28.49</v>
      </c>
      <c r="R20" s="6"/>
      <c r="S20" s="6"/>
      <c r="T20" s="156"/>
      <c r="U20" s="6"/>
    </row>
    <row r="21" spans="1:21" customFormat="1">
      <c r="A21" s="163" t="s">
        <v>1211</v>
      </c>
      <c r="B21" s="100">
        <v>16.22</v>
      </c>
      <c r="C21" s="100">
        <v>25.33</v>
      </c>
      <c r="D21" s="100">
        <v>27.59</v>
      </c>
      <c r="E21" s="100">
        <v>7.58</v>
      </c>
      <c r="F21" s="152" t="s">
        <v>15</v>
      </c>
      <c r="G21" s="100">
        <v>78.489999999999995</v>
      </c>
      <c r="H21" s="100">
        <v>33.369999999999997</v>
      </c>
      <c r="I21" s="100">
        <v>16.37</v>
      </c>
      <c r="J21" s="100">
        <v>0.2</v>
      </c>
      <c r="K21" s="100">
        <v>185.53</v>
      </c>
      <c r="L21" s="100">
        <v>21.7</v>
      </c>
      <c r="M21" s="100">
        <v>47.77</v>
      </c>
      <c r="N21" s="100">
        <v>1.9</v>
      </c>
      <c r="O21" s="100">
        <v>0</v>
      </c>
      <c r="P21" s="100">
        <v>1.1399999999999999</v>
      </c>
      <c r="Q21" s="100">
        <v>28.49</v>
      </c>
      <c r="R21" s="6"/>
      <c r="S21" s="6"/>
      <c r="T21" s="156"/>
      <c r="U21" s="6"/>
    </row>
    <row r="22" spans="1:21" customFormat="1">
      <c r="A22" s="163" t="s">
        <v>1212</v>
      </c>
      <c r="B22" s="100">
        <v>16.059999999999999</v>
      </c>
      <c r="C22" s="100">
        <v>24.85</v>
      </c>
      <c r="D22" s="100">
        <v>27.21</v>
      </c>
      <c r="E22" s="100">
        <v>7.65</v>
      </c>
      <c r="F22" s="152" t="s">
        <v>15</v>
      </c>
      <c r="G22" s="100">
        <v>76.06</v>
      </c>
      <c r="H22" s="100">
        <v>33.369999999999997</v>
      </c>
      <c r="I22" s="100">
        <v>16.45</v>
      </c>
      <c r="J22" s="100">
        <v>0.19</v>
      </c>
      <c r="K22" s="100">
        <v>180.92</v>
      </c>
      <c r="L22" s="100">
        <v>20.64</v>
      </c>
      <c r="M22" s="100">
        <v>52.13</v>
      </c>
      <c r="N22" s="100">
        <v>1.6</v>
      </c>
      <c r="O22" s="100">
        <v>0</v>
      </c>
      <c r="P22" s="100">
        <v>1.1200000000000001</v>
      </c>
      <c r="Q22" s="100">
        <v>28.49</v>
      </c>
      <c r="R22" s="6"/>
      <c r="S22" s="6"/>
      <c r="T22" s="156"/>
      <c r="U22" s="6"/>
    </row>
    <row r="23" spans="1:21" customFormat="1">
      <c r="A23" s="163" t="s">
        <v>1213</v>
      </c>
      <c r="B23" s="100">
        <v>15.59</v>
      </c>
      <c r="C23" s="100">
        <v>24.13</v>
      </c>
      <c r="D23" s="100">
        <v>26.46</v>
      </c>
      <c r="E23" s="100">
        <v>7.74</v>
      </c>
      <c r="F23" s="152" t="s">
        <v>15</v>
      </c>
      <c r="G23" s="100">
        <v>76.06</v>
      </c>
      <c r="H23" s="100">
        <v>33.369999999999997</v>
      </c>
      <c r="I23" s="100">
        <v>16.39</v>
      </c>
      <c r="J23" s="100">
        <v>0.16</v>
      </c>
      <c r="K23" s="100">
        <v>192.78</v>
      </c>
      <c r="L23" s="100">
        <v>20.34</v>
      </c>
      <c r="M23" s="100">
        <v>52.4</v>
      </c>
      <c r="N23" s="100">
        <v>1</v>
      </c>
      <c r="O23" s="100">
        <v>0</v>
      </c>
      <c r="P23" s="100">
        <v>1.0900000000000001</v>
      </c>
      <c r="Q23" s="100">
        <v>28.48</v>
      </c>
      <c r="R23" s="6"/>
      <c r="S23" s="6"/>
      <c r="T23" s="156"/>
      <c r="U23" s="6"/>
    </row>
    <row r="24" spans="1:21" customFormat="1">
      <c r="A24" s="163" t="s">
        <v>1214</v>
      </c>
      <c r="B24" s="100">
        <v>15.38</v>
      </c>
      <c r="C24" s="100">
        <v>23.62</v>
      </c>
      <c r="D24" s="100">
        <v>26.03</v>
      </c>
      <c r="E24" s="100">
        <v>7.62</v>
      </c>
      <c r="F24" s="152" t="s">
        <v>15</v>
      </c>
      <c r="G24" s="100">
        <v>76.06</v>
      </c>
      <c r="H24" s="100">
        <v>33.369999999999997</v>
      </c>
      <c r="I24" s="100">
        <v>16.2</v>
      </c>
      <c r="J24" s="100">
        <v>0.14000000000000001</v>
      </c>
      <c r="K24" s="100">
        <v>201.94</v>
      </c>
      <c r="L24" s="100">
        <v>20.010000000000002</v>
      </c>
      <c r="M24" s="100">
        <v>53.98</v>
      </c>
      <c r="N24" s="100">
        <v>1</v>
      </c>
      <c r="O24" s="100">
        <v>0</v>
      </c>
      <c r="P24" s="100">
        <v>1.07</v>
      </c>
      <c r="Q24" s="100">
        <v>28.47</v>
      </c>
      <c r="R24" s="6"/>
      <c r="S24" s="6"/>
      <c r="T24" s="156"/>
      <c r="U24" s="6"/>
    </row>
    <row r="25" spans="1:21" customFormat="1">
      <c r="A25" s="163" t="s">
        <v>1215</v>
      </c>
      <c r="B25" s="100">
        <v>15.15</v>
      </c>
      <c r="C25" s="100">
        <v>23.39</v>
      </c>
      <c r="D25" s="100">
        <v>25.72</v>
      </c>
      <c r="E25" s="100">
        <v>7.84</v>
      </c>
      <c r="F25" s="152" t="s">
        <v>15</v>
      </c>
      <c r="G25" s="100">
        <v>66.709999999999994</v>
      </c>
      <c r="H25" s="100">
        <v>25.29</v>
      </c>
      <c r="I25" s="100">
        <v>15.99</v>
      </c>
      <c r="J25" s="100">
        <v>0.17</v>
      </c>
      <c r="K25" s="100">
        <v>171.67</v>
      </c>
      <c r="L25" s="100">
        <v>19.82</v>
      </c>
      <c r="M25" s="100">
        <v>55.07</v>
      </c>
      <c r="N25" s="100">
        <v>0.9</v>
      </c>
      <c r="O25" s="100">
        <v>0</v>
      </c>
      <c r="P25" s="100">
        <v>1.05</v>
      </c>
      <c r="Q25" s="100">
        <v>28.42</v>
      </c>
      <c r="R25" s="6"/>
      <c r="S25" s="6"/>
      <c r="T25" s="156"/>
      <c r="U25" s="6"/>
    </row>
    <row r="26" spans="1:21" customFormat="1">
      <c r="A26" s="163" t="s">
        <v>1216</v>
      </c>
      <c r="B26" s="100">
        <v>15.02</v>
      </c>
      <c r="C26" s="100">
        <v>22.87</v>
      </c>
      <c r="D26" s="100">
        <v>25.34</v>
      </c>
      <c r="E26" s="100">
        <v>7.52</v>
      </c>
      <c r="F26" s="152" t="s">
        <v>15</v>
      </c>
      <c r="G26" s="100">
        <v>65.8</v>
      </c>
      <c r="H26" s="100">
        <v>25.29</v>
      </c>
      <c r="I26" s="100">
        <v>15.8</v>
      </c>
      <c r="J26" s="100">
        <v>0.15</v>
      </c>
      <c r="K26" s="100">
        <v>154.11000000000001</v>
      </c>
      <c r="L26" s="100">
        <v>19.600000000000001</v>
      </c>
      <c r="M26" s="100">
        <v>55.99</v>
      </c>
      <c r="N26" s="100">
        <v>0.7</v>
      </c>
      <c r="O26" s="100">
        <v>0</v>
      </c>
      <c r="P26" s="100">
        <v>1.04</v>
      </c>
      <c r="Q26" s="100">
        <v>28.39</v>
      </c>
      <c r="R26" s="6"/>
      <c r="S26" s="6"/>
      <c r="T26" s="156"/>
      <c r="U26" s="6"/>
    </row>
    <row r="27" spans="1:21" customFormat="1">
      <c r="A27" s="163" t="s">
        <v>1217</v>
      </c>
      <c r="B27" s="100">
        <v>14.83</v>
      </c>
      <c r="C27" s="100">
        <v>22.5</v>
      </c>
      <c r="D27" s="100">
        <v>25</v>
      </c>
      <c r="E27" s="100">
        <v>7.54</v>
      </c>
      <c r="F27" s="152" t="s">
        <v>15</v>
      </c>
      <c r="G27" s="100">
        <v>65.8</v>
      </c>
      <c r="H27" s="100">
        <v>25.29</v>
      </c>
      <c r="I27" s="100">
        <v>15.6</v>
      </c>
      <c r="J27" s="100">
        <v>0.19</v>
      </c>
      <c r="K27" s="100">
        <v>175.4</v>
      </c>
      <c r="L27" s="100">
        <v>19.38</v>
      </c>
      <c r="M27" s="100">
        <v>57.77</v>
      </c>
      <c r="N27" s="100">
        <v>0.9</v>
      </c>
      <c r="O27" s="100">
        <v>0</v>
      </c>
      <c r="P27" s="100">
        <v>1.01</v>
      </c>
      <c r="Q27" s="100">
        <v>28.41</v>
      </c>
      <c r="R27" s="6"/>
      <c r="S27" s="6"/>
      <c r="T27" s="156"/>
      <c r="U27" s="6"/>
    </row>
    <row r="28" spans="1:21" customFormat="1">
      <c r="A28" s="163" t="s">
        <v>1218</v>
      </c>
      <c r="B28" s="100">
        <v>14.5</v>
      </c>
      <c r="C28" s="100">
        <v>22.4</v>
      </c>
      <c r="D28" s="100">
        <v>24.68</v>
      </c>
      <c r="E28" s="100">
        <v>7.49</v>
      </c>
      <c r="F28" s="152" t="s">
        <v>15</v>
      </c>
      <c r="G28" s="100">
        <v>65.8</v>
      </c>
      <c r="H28" s="100">
        <v>25.29</v>
      </c>
      <c r="I28" s="100">
        <v>15.42</v>
      </c>
      <c r="J28" s="100">
        <v>0.17</v>
      </c>
      <c r="K28" s="100">
        <v>183.55</v>
      </c>
      <c r="L28" s="100">
        <v>19.010000000000002</v>
      </c>
      <c r="M28" s="100">
        <v>59.04</v>
      </c>
      <c r="N28" s="100">
        <v>1</v>
      </c>
      <c r="O28" s="100">
        <v>0</v>
      </c>
      <c r="P28" s="100">
        <v>1</v>
      </c>
      <c r="Q28" s="100">
        <v>28.41</v>
      </c>
      <c r="R28" s="6"/>
      <c r="S28" s="6"/>
      <c r="T28" s="156"/>
      <c r="U28" s="6"/>
    </row>
    <row r="29" spans="1:21" customFormat="1">
      <c r="A29" s="163" t="s">
        <v>1219</v>
      </c>
      <c r="B29" s="100">
        <v>14.32</v>
      </c>
      <c r="C29" s="100">
        <v>21.86</v>
      </c>
      <c r="D29" s="100">
        <v>24.25</v>
      </c>
      <c r="E29" s="100">
        <v>7.27</v>
      </c>
      <c r="F29" s="152" t="s">
        <v>15</v>
      </c>
      <c r="G29" s="100">
        <v>66.83</v>
      </c>
      <c r="H29" s="100">
        <v>24.63</v>
      </c>
      <c r="I29" s="100">
        <v>15.26</v>
      </c>
      <c r="J29" s="100">
        <v>0.15</v>
      </c>
      <c r="K29" s="100">
        <v>203</v>
      </c>
      <c r="L29" s="100">
        <v>18.7</v>
      </c>
      <c r="M29" s="100">
        <v>59.2</v>
      </c>
      <c r="N29" s="100">
        <v>0.8</v>
      </c>
      <c r="O29" s="100">
        <v>0</v>
      </c>
      <c r="P29" s="100">
        <v>0.98</v>
      </c>
      <c r="Q29" s="100">
        <v>28.39</v>
      </c>
      <c r="R29" s="6"/>
      <c r="S29" s="6"/>
      <c r="T29" s="156"/>
      <c r="U29" s="6"/>
    </row>
    <row r="30" spans="1:21" customFormat="1">
      <c r="A30" s="163" t="s">
        <v>1220</v>
      </c>
      <c r="B30" s="100">
        <v>13.94</v>
      </c>
      <c r="C30" s="100">
        <v>21.69</v>
      </c>
      <c r="D30" s="100">
        <v>23.86</v>
      </c>
      <c r="E30" s="100">
        <v>7.28</v>
      </c>
      <c r="F30" s="152" t="s">
        <v>15</v>
      </c>
      <c r="G30" s="100">
        <v>66.930000000000007</v>
      </c>
      <c r="H30" s="100">
        <v>24.63</v>
      </c>
      <c r="I30" s="100">
        <v>15.03</v>
      </c>
      <c r="J30" s="100">
        <v>0.12</v>
      </c>
      <c r="K30" s="100">
        <v>197.19</v>
      </c>
      <c r="L30" s="100">
        <v>18.579999999999998</v>
      </c>
      <c r="M30" s="100">
        <v>59.09</v>
      </c>
      <c r="N30" s="100">
        <v>0.8</v>
      </c>
      <c r="O30" s="100">
        <v>0</v>
      </c>
      <c r="P30" s="100">
        <v>0.96</v>
      </c>
      <c r="Q30" s="100">
        <v>28.36</v>
      </c>
      <c r="R30" s="6"/>
      <c r="S30" s="6"/>
      <c r="T30" s="156"/>
      <c r="U30" s="6"/>
    </row>
    <row r="31" spans="1:21" customFormat="1">
      <c r="A31" s="163" t="s">
        <v>1221</v>
      </c>
      <c r="B31" s="100">
        <v>13.71</v>
      </c>
      <c r="C31" s="100">
        <v>21.87</v>
      </c>
      <c r="D31" s="100">
        <v>23.77</v>
      </c>
      <c r="E31" s="100">
        <v>7.25</v>
      </c>
      <c r="F31" s="152" t="s">
        <v>15</v>
      </c>
      <c r="G31" s="100">
        <v>66.930000000000007</v>
      </c>
      <c r="H31" s="100">
        <v>24.63</v>
      </c>
      <c r="I31" s="100">
        <v>14.79</v>
      </c>
      <c r="J31" s="100">
        <v>0.18</v>
      </c>
      <c r="K31" s="100">
        <v>193.77</v>
      </c>
      <c r="L31" s="100">
        <v>18.78</v>
      </c>
      <c r="M31" s="100">
        <v>59.8</v>
      </c>
      <c r="N31" s="100">
        <v>0.6</v>
      </c>
      <c r="O31" s="100">
        <v>0</v>
      </c>
      <c r="P31" s="100">
        <v>0.96</v>
      </c>
      <c r="Q31" s="100">
        <v>28.37</v>
      </c>
      <c r="R31" s="6"/>
      <c r="S31" s="6"/>
      <c r="T31" s="156"/>
      <c r="U31" s="6"/>
    </row>
    <row r="32" spans="1:21" customFormat="1">
      <c r="A32" s="163" t="s">
        <v>1222</v>
      </c>
      <c r="B32" s="100">
        <v>14.14</v>
      </c>
      <c r="C32" s="100">
        <v>21.96</v>
      </c>
      <c r="D32" s="100">
        <v>24.16</v>
      </c>
      <c r="E32" s="100">
        <v>7.25</v>
      </c>
      <c r="F32" s="152" t="s">
        <v>15</v>
      </c>
      <c r="G32" s="100">
        <v>66.930000000000007</v>
      </c>
      <c r="H32" s="100">
        <v>24.63</v>
      </c>
      <c r="I32" s="100">
        <v>14.56</v>
      </c>
      <c r="J32" s="100">
        <v>0.17</v>
      </c>
      <c r="K32" s="100">
        <v>173.42</v>
      </c>
      <c r="L32" s="100">
        <v>18.079999999999998</v>
      </c>
      <c r="M32" s="100">
        <v>67.13</v>
      </c>
      <c r="N32" s="100">
        <v>1.3</v>
      </c>
      <c r="O32" s="100">
        <v>0</v>
      </c>
      <c r="P32" s="100">
        <v>0.94</v>
      </c>
      <c r="Q32" s="100">
        <v>28.4</v>
      </c>
      <c r="R32" s="6"/>
      <c r="S32" s="6"/>
      <c r="T32" s="156"/>
      <c r="U32" s="6"/>
    </row>
    <row r="33" spans="1:21" customFormat="1">
      <c r="A33" s="163" t="s">
        <v>1223</v>
      </c>
      <c r="B33" s="100">
        <v>14.22</v>
      </c>
      <c r="C33" s="100">
        <v>21.66</v>
      </c>
      <c r="D33" s="100">
        <v>24.07</v>
      </c>
      <c r="E33" s="100">
        <v>7.49</v>
      </c>
      <c r="F33" s="152" t="s">
        <v>15</v>
      </c>
      <c r="G33" s="100">
        <v>70.11</v>
      </c>
      <c r="H33" s="100">
        <v>22.26</v>
      </c>
      <c r="I33" s="100">
        <v>14.35</v>
      </c>
      <c r="J33" s="100">
        <v>0.17</v>
      </c>
      <c r="K33" s="100">
        <v>159.94</v>
      </c>
      <c r="L33" s="100">
        <v>18.2</v>
      </c>
      <c r="M33" s="100">
        <v>63.59</v>
      </c>
      <c r="N33" s="100">
        <v>1.9</v>
      </c>
      <c r="O33" s="100">
        <v>0</v>
      </c>
      <c r="P33" s="100">
        <v>0.91</v>
      </c>
      <c r="Q33" s="100">
        <v>28.4</v>
      </c>
      <c r="R33" s="6"/>
      <c r="S33" s="6"/>
      <c r="T33" s="156"/>
      <c r="U33" s="6"/>
    </row>
    <row r="34" spans="1:21" customFormat="1">
      <c r="A34" s="163" t="s">
        <v>1224</v>
      </c>
      <c r="B34" s="100">
        <v>14.32</v>
      </c>
      <c r="C34" s="100">
        <v>21.48</v>
      </c>
      <c r="D34" s="100">
        <v>24.06</v>
      </c>
      <c r="E34" s="100">
        <v>7.44</v>
      </c>
      <c r="F34" s="152" t="s">
        <v>15</v>
      </c>
      <c r="G34" s="100">
        <v>70.42</v>
      </c>
      <c r="H34" s="100">
        <v>22.26</v>
      </c>
      <c r="I34" s="100">
        <v>14.21</v>
      </c>
      <c r="J34" s="100">
        <v>0.13</v>
      </c>
      <c r="K34" s="100">
        <v>164.78</v>
      </c>
      <c r="L34" s="100">
        <v>18.510000000000002</v>
      </c>
      <c r="M34" s="100">
        <v>62.87</v>
      </c>
      <c r="N34" s="100">
        <v>5.6</v>
      </c>
      <c r="O34" s="100">
        <v>0</v>
      </c>
      <c r="P34" s="100">
        <v>0.9</v>
      </c>
      <c r="Q34" s="100">
        <v>28.41</v>
      </c>
      <c r="R34" s="6"/>
      <c r="S34" s="6"/>
      <c r="T34" s="156"/>
      <c r="U34" s="6"/>
    </row>
    <row r="35" spans="1:21" customFormat="1">
      <c r="A35" s="163" t="s">
        <v>1225</v>
      </c>
      <c r="B35" s="100">
        <v>15.99</v>
      </c>
      <c r="C35" s="100">
        <v>21.78</v>
      </c>
      <c r="D35" s="100">
        <v>25.55</v>
      </c>
      <c r="E35" s="100">
        <v>7.45</v>
      </c>
      <c r="F35" s="152" t="s">
        <v>15</v>
      </c>
      <c r="G35" s="100">
        <v>70.42</v>
      </c>
      <c r="H35" s="100">
        <v>22.26</v>
      </c>
      <c r="I35" s="100">
        <v>14.12</v>
      </c>
      <c r="J35" s="100">
        <v>0.16</v>
      </c>
      <c r="K35" s="100">
        <v>166.24</v>
      </c>
      <c r="L35" s="100">
        <v>19</v>
      </c>
      <c r="M35" s="100">
        <v>62.79</v>
      </c>
      <c r="N35" s="100">
        <v>11.6</v>
      </c>
      <c r="O35" s="100">
        <v>0</v>
      </c>
      <c r="P35" s="100">
        <v>0.9</v>
      </c>
      <c r="Q35" s="100">
        <v>28.49</v>
      </c>
      <c r="R35" s="6"/>
      <c r="S35" s="6"/>
      <c r="T35" s="156"/>
      <c r="U35" s="6"/>
    </row>
    <row r="36" spans="1:21" customFormat="1">
      <c r="A36" s="163" t="s">
        <v>1226</v>
      </c>
      <c r="B36" s="100">
        <v>18.71</v>
      </c>
      <c r="C36" s="100">
        <v>22.19</v>
      </c>
      <c r="D36" s="100">
        <v>27.95</v>
      </c>
      <c r="E36" s="100">
        <v>7.46</v>
      </c>
      <c r="F36" s="152" t="s">
        <v>15</v>
      </c>
      <c r="G36" s="100">
        <v>70.42</v>
      </c>
      <c r="H36" s="100">
        <v>22.26</v>
      </c>
      <c r="I36" s="100">
        <v>14.03</v>
      </c>
      <c r="J36" s="100">
        <v>0.17</v>
      </c>
      <c r="K36" s="100">
        <v>187.28</v>
      </c>
      <c r="L36" s="100">
        <v>19.09</v>
      </c>
      <c r="M36" s="100">
        <v>65.58</v>
      </c>
      <c r="N36" s="100">
        <v>18.100000000000001</v>
      </c>
      <c r="O36" s="100">
        <v>0</v>
      </c>
      <c r="P36" s="100">
        <v>0.9</v>
      </c>
      <c r="Q36" s="100">
        <v>28.56</v>
      </c>
      <c r="R36" s="6"/>
      <c r="S36" s="6"/>
      <c r="T36" s="156"/>
      <c r="U36" s="6"/>
    </row>
    <row r="37" spans="1:21" customFormat="1">
      <c r="A37" s="163" t="s">
        <v>1227</v>
      </c>
      <c r="B37" s="100">
        <v>20.38</v>
      </c>
      <c r="C37" s="100">
        <v>22.46</v>
      </c>
      <c r="D37" s="100">
        <v>29.43</v>
      </c>
      <c r="E37" s="100">
        <v>7.41</v>
      </c>
      <c r="F37" s="152" t="s">
        <v>15</v>
      </c>
      <c r="G37" s="100">
        <v>85.49</v>
      </c>
      <c r="H37" s="100">
        <v>29.87</v>
      </c>
      <c r="I37" s="100">
        <v>13.91</v>
      </c>
      <c r="J37" s="100">
        <v>0.21</v>
      </c>
      <c r="K37" s="100">
        <v>177.68</v>
      </c>
      <c r="L37" s="100">
        <v>19.73</v>
      </c>
      <c r="M37" s="100">
        <v>64.709999999999994</v>
      </c>
      <c r="N37" s="100">
        <v>23.4</v>
      </c>
      <c r="O37" s="100">
        <v>0</v>
      </c>
      <c r="P37" s="100">
        <v>0.9</v>
      </c>
      <c r="Q37" s="100">
        <v>28.62</v>
      </c>
      <c r="R37" s="6"/>
      <c r="S37" s="6"/>
      <c r="T37" s="156"/>
      <c r="U37" s="6"/>
    </row>
    <row r="38" spans="1:21" customFormat="1">
      <c r="A38" s="163" t="s">
        <v>1228</v>
      </c>
      <c r="B38" s="100">
        <v>20.95</v>
      </c>
      <c r="C38" s="100">
        <v>22.57</v>
      </c>
      <c r="D38" s="100">
        <v>29.94</v>
      </c>
      <c r="E38" s="100">
        <v>7.42</v>
      </c>
      <c r="F38" s="152" t="s">
        <v>15</v>
      </c>
      <c r="G38" s="100">
        <v>86.95</v>
      </c>
      <c r="H38" s="100">
        <v>29.87</v>
      </c>
      <c r="I38" s="100">
        <v>13.83</v>
      </c>
      <c r="J38" s="100">
        <v>0.28000000000000003</v>
      </c>
      <c r="K38" s="100">
        <v>170.07</v>
      </c>
      <c r="L38" s="100">
        <v>20.66</v>
      </c>
      <c r="M38" s="100">
        <v>62.23</v>
      </c>
      <c r="N38" s="100">
        <v>29.1</v>
      </c>
      <c r="O38" s="100">
        <v>0</v>
      </c>
      <c r="P38" s="100">
        <v>0.89</v>
      </c>
      <c r="Q38" s="100">
        <v>28.64</v>
      </c>
      <c r="R38" s="6"/>
      <c r="S38" s="6"/>
      <c r="T38" s="156"/>
      <c r="U38" s="6"/>
    </row>
    <row r="39" spans="1:21" customFormat="1">
      <c r="A39" s="163" t="s">
        <v>1229</v>
      </c>
      <c r="B39" s="100">
        <v>20.78</v>
      </c>
      <c r="C39" s="100">
        <v>22.54</v>
      </c>
      <c r="D39" s="100">
        <v>29.79</v>
      </c>
      <c r="E39" s="100">
        <v>7.67</v>
      </c>
      <c r="F39" s="152" t="s">
        <v>15</v>
      </c>
      <c r="G39" s="100">
        <v>86.95</v>
      </c>
      <c r="H39" s="100">
        <v>29.87</v>
      </c>
      <c r="I39" s="100">
        <v>13.68</v>
      </c>
      <c r="J39" s="100">
        <v>0.37</v>
      </c>
      <c r="K39" s="100">
        <v>166.64</v>
      </c>
      <c r="L39" s="100">
        <v>22.17</v>
      </c>
      <c r="M39" s="100">
        <v>52.11</v>
      </c>
      <c r="N39" s="100">
        <v>36.299999999999997</v>
      </c>
      <c r="O39" s="100">
        <v>0</v>
      </c>
      <c r="P39" s="100">
        <v>0.89</v>
      </c>
      <c r="Q39" s="100">
        <v>28.63</v>
      </c>
      <c r="R39" s="6"/>
      <c r="S39" s="6"/>
      <c r="T39" s="156"/>
      <c r="U39" s="6"/>
    </row>
    <row r="40" spans="1:21" customFormat="1">
      <c r="A40" s="163" t="s">
        <v>1230</v>
      </c>
      <c r="B40" s="100">
        <v>19.97</v>
      </c>
      <c r="C40" s="100">
        <v>22.79</v>
      </c>
      <c r="D40" s="100">
        <v>29.27</v>
      </c>
      <c r="E40" s="100">
        <v>7.75</v>
      </c>
      <c r="F40" s="152" t="s">
        <v>15</v>
      </c>
      <c r="G40" s="100">
        <v>86.95</v>
      </c>
      <c r="H40" s="100">
        <v>29.87</v>
      </c>
      <c r="I40" s="100">
        <v>13.56</v>
      </c>
      <c r="J40" s="100">
        <v>0.35</v>
      </c>
      <c r="K40" s="100">
        <v>165.3</v>
      </c>
      <c r="L40" s="100">
        <v>23.63</v>
      </c>
      <c r="M40" s="100">
        <v>45.96</v>
      </c>
      <c r="N40" s="100">
        <v>43.1</v>
      </c>
      <c r="O40" s="100">
        <v>0</v>
      </c>
      <c r="P40" s="100">
        <v>0.89</v>
      </c>
      <c r="Q40" s="100">
        <v>28.6</v>
      </c>
      <c r="R40" s="6"/>
      <c r="S40" s="6"/>
      <c r="T40" s="156"/>
      <c r="U40" s="6"/>
    </row>
    <row r="41" spans="1:21" customFormat="1">
      <c r="A41" s="163" t="s">
        <v>1231</v>
      </c>
      <c r="B41" s="100">
        <v>18.73</v>
      </c>
      <c r="C41" s="100">
        <v>23.13</v>
      </c>
      <c r="D41" s="100">
        <v>28.45</v>
      </c>
      <c r="E41" s="100">
        <v>7.77</v>
      </c>
      <c r="F41" s="152" t="s">
        <v>15</v>
      </c>
      <c r="G41" s="100">
        <v>79.61</v>
      </c>
      <c r="H41" s="100">
        <v>26.6</v>
      </c>
      <c r="I41" s="100">
        <v>13.48</v>
      </c>
      <c r="J41" s="100">
        <v>0.41</v>
      </c>
      <c r="K41" s="100">
        <v>63.37</v>
      </c>
      <c r="L41" s="100">
        <v>25.15</v>
      </c>
      <c r="M41" s="100">
        <v>37.86</v>
      </c>
      <c r="N41" s="100">
        <v>86.6</v>
      </c>
      <c r="O41" s="100">
        <v>0</v>
      </c>
      <c r="P41" s="100">
        <v>0.87</v>
      </c>
      <c r="Q41" s="100">
        <v>28.55</v>
      </c>
      <c r="R41" s="6"/>
      <c r="S41" s="6"/>
      <c r="T41" s="156"/>
      <c r="U41" s="6"/>
    </row>
    <row r="42" spans="1:21" customFormat="1">
      <c r="A42" s="163" t="s">
        <v>1232</v>
      </c>
      <c r="B42" s="100">
        <v>17.239999999999998</v>
      </c>
      <c r="C42" s="100">
        <v>23.73</v>
      </c>
      <c r="D42" s="100">
        <v>27.57</v>
      </c>
      <c r="E42" s="100">
        <v>8.14</v>
      </c>
      <c r="F42" s="152" t="s">
        <v>15</v>
      </c>
      <c r="G42" s="100">
        <v>78.89</v>
      </c>
      <c r="H42" s="100">
        <v>26.6</v>
      </c>
      <c r="I42" s="100">
        <v>13.52</v>
      </c>
      <c r="J42" s="100">
        <v>0.56000000000000005</v>
      </c>
      <c r="K42" s="100">
        <v>69.89</v>
      </c>
      <c r="L42" s="100">
        <v>26.63</v>
      </c>
      <c r="M42" s="100">
        <v>32.65</v>
      </c>
      <c r="N42" s="100">
        <v>174.3</v>
      </c>
      <c r="O42" s="100">
        <v>0</v>
      </c>
      <c r="P42" s="100">
        <v>0.87</v>
      </c>
      <c r="Q42" s="100">
        <v>28.51</v>
      </c>
      <c r="R42" s="6"/>
      <c r="S42" s="6"/>
      <c r="T42" s="156"/>
      <c r="U42" s="6"/>
    </row>
    <row r="43" spans="1:21" customFormat="1">
      <c r="A43" s="163" t="s">
        <v>1233</v>
      </c>
      <c r="B43" s="100">
        <v>15.5</v>
      </c>
      <c r="C43" s="100">
        <v>24.54</v>
      </c>
      <c r="D43" s="100">
        <v>26.6</v>
      </c>
      <c r="E43" s="100">
        <v>8.39</v>
      </c>
      <c r="F43" s="152" t="s">
        <v>15</v>
      </c>
      <c r="G43" s="100">
        <v>78.89</v>
      </c>
      <c r="H43" s="100">
        <v>26.6</v>
      </c>
      <c r="I43" s="100">
        <v>13.52</v>
      </c>
      <c r="J43" s="100">
        <v>0.92</v>
      </c>
      <c r="K43" s="100">
        <v>59.54</v>
      </c>
      <c r="L43" s="100">
        <v>27.84</v>
      </c>
      <c r="M43" s="100">
        <v>28.16</v>
      </c>
      <c r="N43" s="100">
        <v>235</v>
      </c>
      <c r="O43" s="100">
        <v>0</v>
      </c>
      <c r="P43" s="100">
        <v>0.86</v>
      </c>
      <c r="Q43" s="100">
        <v>28.45</v>
      </c>
      <c r="R43" s="6"/>
      <c r="S43" s="6"/>
      <c r="T43" s="156"/>
      <c r="U43" s="6"/>
    </row>
    <row r="44" spans="1:21" customFormat="1">
      <c r="A44" s="163" t="s">
        <v>1234</v>
      </c>
      <c r="B44" s="100">
        <v>13.59</v>
      </c>
      <c r="C44" s="100">
        <v>25.25</v>
      </c>
      <c r="D44" s="100">
        <v>25.44</v>
      </c>
      <c r="E44" s="100">
        <v>8.89</v>
      </c>
      <c r="F44" s="152" t="s">
        <v>15</v>
      </c>
      <c r="G44" s="100">
        <v>78.89</v>
      </c>
      <c r="H44" s="100">
        <v>26.6</v>
      </c>
      <c r="I44" s="100">
        <v>13.44</v>
      </c>
      <c r="J44" s="100">
        <v>1</v>
      </c>
      <c r="K44" s="100">
        <v>56.37</v>
      </c>
      <c r="L44" s="100">
        <v>28.41</v>
      </c>
      <c r="M44" s="100">
        <v>26.79</v>
      </c>
      <c r="N44" s="100">
        <v>247.6</v>
      </c>
      <c r="O44" s="100">
        <v>0</v>
      </c>
      <c r="P44" s="100">
        <v>0.84</v>
      </c>
      <c r="Q44" s="100">
        <v>28.38</v>
      </c>
      <c r="R44" s="6"/>
      <c r="S44" s="6"/>
      <c r="T44" s="156"/>
      <c r="U44" s="6"/>
    </row>
    <row r="45" spans="1:21" customFormat="1">
      <c r="A45" s="163" t="s">
        <v>1235</v>
      </c>
      <c r="B45" s="100">
        <v>11.98</v>
      </c>
      <c r="C45" s="100">
        <v>25.9</v>
      </c>
      <c r="D45" s="100">
        <v>24.49</v>
      </c>
      <c r="E45" s="100">
        <v>9.5</v>
      </c>
      <c r="F45" s="152" t="s">
        <v>15</v>
      </c>
      <c r="G45" s="100">
        <v>83.53</v>
      </c>
      <c r="H45" s="100">
        <v>31.14</v>
      </c>
      <c r="I45" s="100">
        <v>13.24</v>
      </c>
      <c r="J45" s="100">
        <v>0.75</v>
      </c>
      <c r="K45" s="100">
        <v>69.75</v>
      </c>
      <c r="L45" s="100">
        <v>29.47</v>
      </c>
      <c r="M45" s="100">
        <v>25.52</v>
      </c>
      <c r="N45" s="100">
        <v>201.8</v>
      </c>
      <c r="O45" s="100">
        <v>0</v>
      </c>
      <c r="P45" s="100">
        <v>0.81</v>
      </c>
      <c r="Q45" s="100">
        <v>28.32</v>
      </c>
      <c r="R45" s="6"/>
      <c r="S45" s="6"/>
      <c r="T45" s="156"/>
      <c r="U45" s="6"/>
    </row>
    <row r="46" spans="1:21" customFormat="1">
      <c r="A46" s="163" t="s">
        <v>1236</v>
      </c>
      <c r="B46" s="100">
        <v>10.42</v>
      </c>
      <c r="C46" s="100">
        <v>26.6</v>
      </c>
      <c r="D46" s="100">
        <v>23.61</v>
      </c>
      <c r="E46" s="100">
        <v>9.83</v>
      </c>
      <c r="F46" s="152" t="s">
        <v>15</v>
      </c>
      <c r="G46" s="100">
        <v>83.99</v>
      </c>
      <c r="H46" s="100">
        <v>31.14</v>
      </c>
      <c r="I46" s="100">
        <v>12.99</v>
      </c>
      <c r="J46" s="100">
        <v>1.06</v>
      </c>
      <c r="K46" s="100">
        <v>58.07</v>
      </c>
      <c r="L46" s="100">
        <v>29.96</v>
      </c>
      <c r="M46" s="100">
        <v>24.76</v>
      </c>
      <c r="N46" s="100">
        <v>280.8</v>
      </c>
      <c r="O46" s="100">
        <v>0</v>
      </c>
      <c r="P46" s="100">
        <v>0.8</v>
      </c>
      <c r="Q46" s="100">
        <v>28.26</v>
      </c>
      <c r="R46" s="6"/>
      <c r="S46" s="6"/>
      <c r="T46" s="156"/>
      <c r="U46" s="6"/>
    </row>
    <row r="47" spans="1:21" customFormat="1">
      <c r="A47" s="163" t="s">
        <v>1237</v>
      </c>
      <c r="B47" s="100">
        <v>9.1300000000000008</v>
      </c>
      <c r="C47" s="100">
        <v>27.2</v>
      </c>
      <c r="D47" s="100">
        <v>22.88</v>
      </c>
      <c r="E47" s="100">
        <v>10.84</v>
      </c>
      <c r="F47" s="152" t="s">
        <v>15</v>
      </c>
      <c r="G47" s="100">
        <v>83.99</v>
      </c>
      <c r="H47" s="100">
        <v>31.14</v>
      </c>
      <c r="I47" s="100">
        <v>12.73</v>
      </c>
      <c r="J47" s="100">
        <v>1.28</v>
      </c>
      <c r="K47" s="100">
        <v>53.32</v>
      </c>
      <c r="L47" s="100">
        <v>30.63</v>
      </c>
      <c r="M47" s="100">
        <v>23.05</v>
      </c>
      <c r="N47" s="100">
        <v>289.39999999999998</v>
      </c>
      <c r="O47" s="100">
        <v>0</v>
      </c>
      <c r="P47" s="100">
        <v>0.8</v>
      </c>
      <c r="Q47" s="100">
        <v>28.22</v>
      </c>
      <c r="R47" s="6"/>
      <c r="S47" s="6"/>
      <c r="T47" s="156"/>
      <c r="U47" s="6"/>
    </row>
    <row r="48" spans="1:21" customFormat="1">
      <c r="A48" s="163" t="s">
        <v>1238</v>
      </c>
      <c r="B48" s="100">
        <v>8.1300000000000008</v>
      </c>
      <c r="C48" s="100">
        <v>28.97</v>
      </c>
      <c r="D48" s="100">
        <v>23</v>
      </c>
      <c r="E48" s="100">
        <v>15.77</v>
      </c>
      <c r="F48" s="152" t="s">
        <v>15</v>
      </c>
      <c r="G48" s="100">
        <v>83.99</v>
      </c>
      <c r="H48" s="100">
        <v>31.14</v>
      </c>
      <c r="I48" s="100">
        <v>12.5</v>
      </c>
      <c r="J48" s="100">
        <v>1.54</v>
      </c>
      <c r="K48" s="100">
        <v>35.46</v>
      </c>
      <c r="L48" s="100">
        <v>30.49</v>
      </c>
      <c r="M48" s="100">
        <v>22.69</v>
      </c>
      <c r="N48" s="100">
        <v>296.3</v>
      </c>
      <c r="O48" s="100">
        <v>0</v>
      </c>
      <c r="P48" s="100">
        <v>0.76</v>
      </c>
      <c r="Q48" s="100">
        <v>28.2</v>
      </c>
      <c r="R48" s="6"/>
      <c r="S48" s="6"/>
      <c r="T48" s="156"/>
      <c r="U48" s="6"/>
    </row>
    <row r="49" spans="1:21" customFormat="1">
      <c r="A49" s="163" t="s">
        <v>1239</v>
      </c>
      <c r="B49" s="100">
        <v>7.24</v>
      </c>
      <c r="C49" s="100">
        <v>28.41</v>
      </c>
      <c r="D49" s="100">
        <v>22</v>
      </c>
      <c r="E49" s="100">
        <v>10.52</v>
      </c>
      <c r="F49" s="152" t="s">
        <v>15</v>
      </c>
      <c r="G49" s="100">
        <v>80.150000000000006</v>
      </c>
      <c r="H49" s="100">
        <v>28.84</v>
      </c>
      <c r="I49" s="100">
        <v>12.24</v>
      </c>
      <c r="J49" s="100">
        <v>1.66</v>
      </c>
      <c r="K49" s="100">
        <v>51.12</v>
      </c>
      <c r="L49" s="100">
        <v>31.29</v>
      </c>
      <c r="M49" s="100">
        <v>21.22</v>
      </c>
      <c r="N49" s="100">
        <v>268</v>
      </c>
      <c r="O49" s="100">
        <v>0</v>
      </c>
      <c r="P49" s="100">
        <v>0.76</v>
      </c>
      <c r="Q49" s="100">
        <v>28.18</v>
      </c>
      <c r="R49" s="6"/>
      <c r="S49" s="6"/>
      <c r="T49" s="156"/>
      <c r="U49" s="6"/>
    </row>
    <row r="50" spans="1:21" customFormat="1">
      <c r="A50" s="163" t="s">
        <v>1240</v>
      </c>
      <c r="B50" s="100">
        <v>6.31</v>
      </c>
      <c r="C50" s="100">
        <v>28.2</v>
      </c>
      <c r="D50" s="100">
        <v>21.15</v>
      </c>
      <c r="E50" s="100">
        <v>14.46</v>
      </c>
      <c r="F50" s="152" t="s">
        <v>15</v>
      </c>
      <c r="G50" s="100">
        <v>79.78</v>
      </c>
      <c r="H50" s="100">
        <v>28.84</v>
      </c>
      <c r="I50" s="100">
        <v>11.88</v>
      </c>
      <c r="J50" s="100">
        <v>1.45</v>
      </c>
      <c r="K50" s="100">
        <v>50.75</v>
      </c>
      <c r="L50" s="100">
        <v>31.66</v>
      </c>
      <c r="M50" s="100">
        <v>19.53</v>
      </c>
      <c r="N50" s="100">
        <v>238.1</v>
      </c>
      <c r="O50" s="100">
        <v>0</v>
      </c>
      <c r="P50" s="100">
        <v>0.74</v>
      </c>
      <c r="Q50" s="100">
        <v>28.13</v>
      </c>
      <c r="R50" s="6"/>
      <c r="S50" s="6"/>
      <c r="T50" s="156"/>
      <c r="U50" s="6"/>
    </row>
    <row r="51" spans="1:21" customFormat="1">
      <c r="A51" s="163" t="s">
        <v>1241</v>
      </c>
      <c r="B51" s="100">
        <v>6.01</v>
      </c>
      <c r="C51" s="100">
        <v>29.07</v>
      </c>
      <c r="D51" s="100">
        <v>21.36</v>
      </c>
      <c r="E51" s="100">
        <v>20.309999999999999</v>
      </c>
      <c r="F51" s="152" t="s">
        <v>15</v>
      </c>
      <c r="G51" s="100">
        <v>79.78</v>
      </c>
      <c r="H51" s="100">
        <v>28.84</v>
      </c>
      <c r="I51" s="100">
        <v>11.58</v>
      </c>
      <c r="J51" s="100">
        <v>1.36</v>
      </c>
      <c r="K51" s="100">
        <v>58.01</v>
      </c>
      <c r="L51" s="100">
        <v>32.72</v>
      </c>
      <c r="M51" s="100">
        <v>17.63</v>
      </c>
      <c r="N51" s="100">
        <v>328.2</v>
      </c>
      <c r="O51" s="100">
        <v>0</v>
      </c>
      <c r="P51" s="100">
        <v>0.71</v>
      </c>
      <c r="Q51" s="100">
        <v>28.12</v>
      </c>
      <c r="R51" s="6"/>
      <c r="S51" s="6"/>
      <c r="T51" s="156"/>
      <c r="U51" s="6"/>
    </row>
    <row r="52" spans="1:21" customFormat="1">
      <c r="A52" s="163" t="s">
        <v>1242</v>
      </c>
      <c r="B52" s="100">
        <v>5.64</v>
      </c>
      <c r="C52" s="100">
        <v>28.96</v>
      </c>
      <c r="D52" s="100">
        <v>21.01</v>
      </c>
      <c r="E52" s="100">
        <v>20.71</v>
      </c>
      <c r="F52" s="152" t="s">
        <v>15</v>
      </c>
      <c r="G52" s="100">
        <v>79.78</v>
      </c>
      <c r="H52" s="100">
        <v>28.84</v>
      </c>
      <c r="I52" s="100">
        <v>11.39</v>
      </c>
      <c r="J52" s="100">
        <v>1.19</v>
      </c>
      <c r="K52" s="100">
        <v>60.23</v>
      </c>
      <c r="L52" s="100">
        <v>33.270000000000003</v>
      </c>
      <c r="M52" s="100">
        <v>16.68</v>
      </c>
      <c r="N52" s="100">
        <v>336.1</v>
      </c>
      <c r="O52" s="100">
        <v>0</v>
      </c>
      <c r="P52" s="100">
        <v>0.7</v>
      </c>
      <c r="Q52" s="100">
        <v>28.12</v>
      </c>
      <c r="R52" s="6"/>
      <c r="S52" s="6"/>
      <c r="T52" s="156"/>
      <c r="U52" s="6"/>
    </row>
    <row r="53" spans="1:21" customFormat="1">
      <c r="A53" s="163" t="s">
        <v>1243</v>
      </c>
      <c r="B53" s="100">
        <v>5.3</v>
      </c>
      <c r="C53" s="100">
        <v>28.48</v>
      </c>
      <c r="D53" s="100">
        <v>20.48</v>
      </c>
      <c r="E53" s="100">
        <v>19.04</v>
      </c>
      <c r="F53" s="152" t="s">
        <v>15</v>
      </c>
      <c r="G53" s="100">
        <v>78.94</v>
      </c>
      <c r="H53" s="100">
        <v>29.69</v>
      </c>
      <c r="I53" s="100">
        <v>11.07</v>
      </c>
      <c r="J53" s="100">
        <v>1.53</v>
      </c>
      <c r="K53" s="100">
        <v>48.29</v>
      </c>
      <c r="L53" s="100">
        <v>33.42</v>
      </c>
      <c r="M53" s="100">
        <v>15.64</v>
      </c>
      <c r="N53" s="100">
        <v>338.2</v>
      </c>
      <c r="O53" s="100">
        <v>0</v>
      </c>
      <c r="P53" s="100">
        <v>0.67</v>
      </c>
      <c r="Q53" s="100">
        <v>28.09</v>
      </c>
      <c r="R53" s="6"/>
      <c r="S53" s="6"/>
      <c r="T53" s="156"/>
      <c r="U53" s="6"/>
    </row>
    <row r="54" spans="1:21" customFormat="1">
      <c r="A54" s="163" t="s">
        <v>1244</v>
      </c>
      <c r="B54" s="100">
        <v>5.43</v>
      </c>
      <c r="C54" s="100">
        <v>27.38</v>
      </c>
      <c r="D54" s="100">
        <v>20.010000000000002</v>
      </c>
      <c r="E54" s="100">
        <v>18.55</v>
      </c>
      <c r="F54" s="152" t="s">
        <v>15</v>
      </c>
      <c r="G54" s="100">
        <v>78.86</v>
      </c>
      <c r="H54" s="100">
        <v>29.69</v>
      </c>
      <c r="I54" s="100">
        <v>10.72</v>
      </c>
      <c r="J54" s="100">
        <v>1.73</v>
      </c>
      <c r="K54" s="100">
        <v>47.34</v>
      </c>
      <c r="L54" s="100">
        <v>33.44</v>
      </c>
      <c r="M54" s="100">
        <v>15.1</v>
      </c>
      <c r="N54" s="100">
        <v>324.39999999999998</v>
      </c>
      <c r="O54" s="100">
        <v>0</v>
      </c>
      <c r="P54" s="100">
        <v>0.64</v>
      </c>
      <c r="Q54" s="100">
        <v>28.08</v>
      </c>
      <c r="R54" s="6"/>
      <c r="S54" s="6"/>
      <c r="T54" s="156"/>
      <c r="U54" s="6"/>
    </row>
    <row r="55" spans="1:21" customFormat="1">
      <c r="A55" s="163" t="s">
        <v>1245</v>
      </c>
      <c r="B55" s="100">
        <v>5.67</v>
      </c>
      <c r="C55" s="100">
        <v>26.39</v>
      </c>
      <c r="D55" s="100">
        <v>19.68</v>
      </c>
      <c r="E55" s="100">
        <v>17.809999999999999</v>
      </c>
      <c r="F55" s="152" t="s">
        <v>15</v>
      </c>
      <c r="G55" s="100">
        <v>78.86</v>
      </c>
      <c r="H55" s="100">
        <v>29.69</v>
      </c>
      <c r="I55" s="100">
        <v>10.38</v>
      </c>
      <c r="J55" s="100">
        <v>1.21</v>
      </c>
      <c r="K55" s="100">
        <v>56.84</v>
      </c>
      <c r="L55" s="100">
        <v>34.31</v>
      </c>
      <c r="M55" s="100">
        <v>13.59</v>
      </c>
      <c r="N55" s="100">
        <v>333.8</v>
      </c>
      <c r="O55" s="100">
        <v>0</v>
      </c>
      <c r="P55" s="100">
        <v>0.67</v>
      </c>
      <c r="Q55" s="100">
        <v>28.08</v>
      </c>
      <c r="R55" s="6"/>
      <c r="S55" s="6"/>
      <c r="T55" s="156"/>
      <c r="U55" s="6"/>
    </row>
    <row r="56" spans="1:21" customFormat="1">
      <c r="A56" s="163" t="s">
        <v>1246</v>
      </c>
      <c r="B56" s="100">
        <v>4.93</v>
      </c>
      <c r="C56" s="100">
        <v>25.58</v>
      </c>
      <c r="D56" s="100">
        <v>18.670000000000002</v>
      </c>
      <c r="E56" s="100">
        <v>13.28</v>
      </c>
      <c r="F56" s="152" t="s">
        <v>15</v>
      </c>
      <c r="G56" s="100">
        <v>78.86</v>
      </c>
      <c r="H56" s="100">
        <v>29.69</v>
      </c>
      <c r="I56" s="100">
        <v>10</v>
      </c>
      <c r="J56" s="100">
        <v>0.65</v>
      </c>
      <c r="K56" s="100">
        <v>79.02</v>
      </c>
      <c r="L56" s="100">
        <v>35.01</v>
      </c>
      <c r="M56" s="100">
        <v>13.36</v>
      </c>
      <c r="N56" s="100">
        <v>319.39999999999998</v>
      </c>
      <c r="O56" s="100">
        <v>0</v>
      </c>
      <c r="P56" s="100">
        <v>0.66</v>
      </c>
      <c r="Q56" s="100">
        <v>28.07</v>
      </c>
      <c r="R56" s="6"/>
      <c r="S56" s="6"/>
      <c r="T56" s="156"/>
      <c r="U56" s="6"/>
    </row>
    <row r="57" spans="1:21" customFormat="1">
      <c r="A57" s="163" t="s">
        <v>1247</v>
      </c>
      <c r="B57" s="100">
        <v>4.83</v>
      </c>
      <c r="C57" s="100">
        <v>24.67</v>
      </c>
      <c r="D57" s="100">
        <v>18.11</v>
      </c>
      <c r="E57" s="100">
        <v>11.87</v>
      </c>
      <c r="F57" s="152" t="s">
        <v>15</v>
      </c>
      <c r="G57" s="100">
        <v>66.930000000000007</v>
      </c>
      <c r="H57" s="100">
        <v>28.3</v>
      </c>
      <c r="I57" s="100">
        <v>9.6999999999999993</v>
      </c>
      <c r="J57" s="100">
        <v>1</v>
      </c>
      <c r="K57" s="100">
        <v>29.44</v>
      </c>
      <c r="L57" s="100">
        <v>35.090000000000003</v>
      </c>
      <c r="M57" s="100">
        <v>11.49</v>
      </c>
      <c r="N57" s="100">
        <v>354.6</v>
      </c>
      <c r="O57" s="100">
        <v>0</v>
      </c>
      <c r="P57" s="100">
        <v>0.65</v>
      </c>
      <c r="Q57" s="100">
        <v>28.07</v>
      </c>
      <c r="R57" s="6"/>
      <c r="S57" s="6"/>
      <c r="T57" s="156"/>
      <c r="U57" s="6"/>
    </row>
    <row r="58" spans="1:21" customFormat="1">
      <c r="A58" s="163" t="s">
        <v>1248</v>
      </c>
      <c r="B58" s="100">
        <v>5.2</v>
      </c>
      <c r="C58" s="100">
        <v>23.38</v>
      </c>
      <c r="D58" s="100">
        <v>17.739999999999998</v>
      </c>
      <c r="E58" s="100">
        <v>10.71</v>
      </c>
      <c r="F58" s="152" t="s">
        <v>15</v>
      </c>
      <c r="G58" s="100">
        <v>65.77</v>
      </c>
      <c r="H58" s="100">
        <v>28.3</v>
      </c>
      <c r="I58" s="100">
        <v>9.7100000000000009</v>
      </c>
      <c r="J58" s="100">
        <v>1.1100000000000001</v>
      </c>
      <c r="K58" s="100">
        <v>63.24</v>
      </c>
      <c r="L58" s="100">
        <v>35.35</v>
      </c>
      <c r="M58" s="100">
        <v>10.83</v>
      </c>
      <c r="N58" s="100">
        <v>360</v>
      </c>
      <c r="O58" s="100">
        <v>0</v>
      </c>
      <c r="P58" s="100">
        <v>0.67</v>
      </c>
      <c r="Q58" s="100">
        <v>28.06</v>
      </c>
      <c r="R58" s="6"/>
      <c r="S58" s="6"/>
      <c r="T58" s="156"/>
      <c r="U58" s="6"/>
    </row>
    <row r="59" spans="1:21" customFormat="1">
      <c r="A59" s="163" t="s">
        <v>1249</v>
      </c>
      <c r="B59" s="100">
        <v>5.62</v>
      </c>
      <c r="C59" s="100">
        <v>21.88</v>
      </c>
      <c r="D59" s="100">
        <v>17.29</v>
      </c>
      <c r="E59" s="100">
        <v>13.47</v>
      </c>
      <c r="F59" s="152" t="s">
        <v>15</v>
      </c>
      <c r="G59" s="100">
        <v>65.77</v>
      </c>
      <c r="H59" s="100">
        <v>28.3</v>
      </c>
      <c r="I59" s="100">
        <v>9.61</v>
      </c>
      <c r="J59" s="100">
        <v>1.29</v>
      </c>
      <c r="K59" s="100">
        <v>30.8</v>
      </c>
      <c r="L59" s="100">
        <v>35.200000000000003</v>
      </c>
      <c r="M59" s="100">
        <v>11.48</v>
      </c>
      <c r="N59" s="100">
        <v>368.4</v>
      </c>
      <c r="O59" s="100">
        <v>0</v>
      </c>
      <c r="P59" s="100">
        <v>0.63</v>
      </c>
      <c r="Q59" s="100">
        <v>28.04</v>
      </c>
      <c r="R59" s="6"/>
      <c r="S59" s="6"/>
      <c r="T59" s="156"/>
      <c r="U59" s="6"/>
    </row>
    <row r="60" spans="1:21" customFormat="1">
      <c r="A60" s="163" t="s">
        <v>1250</v>
      </c>
      <c r="B60" s="100">
        <v>6.56</v>
      </c>
      <c r="C60" s="100">
        <v>20.92</v>
      </c>
      <c r="D60" s="100">
        <v>17.54</v>
      </c>
      <c r="E60" s="100">
        <v>14.53</v>
      </c>
      <c r="F60" s="152" t="s">
        <v>15</v>
      </c>
      <c r="G60" s="100">
        <v>65.77</v>
      </c>
      <c r="H60" s="100">
        <v>28.3</v>
      </c>
      <c r="I60" s="100">
        <v>9.39</v>
      </c>
      <c r="J60" s="100">
        <v>1.23</v>
      </c>
      <c r="K60" s="100">
        <v>48.89</v>
      </c>
      <c r="L60" s="100">
        <v>35.67</v>
      </c>
      <c r="M60" s="100">
        <v>11.56</v>
      </c>
      <c r="N60" s="100">
        <v>366.8</v>
      </c>
      <c r="O60" s="100">
        <v>0</v>
      </c>
      <c r="P60" s="100">
        <v>0.62</v>
      </c>
      <c r="Q60" s="100">
        <v>28.04</v>
      </c>
      <c r="R60" s="6"/>
      <c r="S60" s="6"/>
      <c r="T60" s="156"/>
      <c r="U60" s="6"/>
    </row>
    <row r="61" spans="1:21" customFormat="1">
      <c r="A61" s="163" t="s">
        <v>1251</v>
      </c>
      <c r="B61" s="100">
        <v>9.33</v>
      </c>
      <c r="C61" s="100">
        <v>18.64</v>
      </c>
      <c r="D61" s="100">
        <v>18.57</v>
      </c>
      <c r="E61" s="100">
        <v>14.18</v>
      </c>
      <c r="F61" s="152" t="s">
        <v>15</v>
      </c>
      <c r="G61" s="100">
        <v>55.73</v>
      </c>
      <c r="H61" s="100">
        <v>25.58</v>
      </c>
      <c r="I61" s="100">
        <v>8.9700000000000006</v>
      </c>
      <c r="J61" s="100">
        <v>1.07</v>
      </c>
      <c r="K61" s="100">
        <v>19.89</v>
      </c>
      <c r="L61" s="100">
        <v>35.61</v>
      </c>
      <c r="M61" s="100">
        <v>12.23</v>
      </c>
      <c r="N61" s="100">
        <v>366.4</v>
      </c>
      <c r="O61" s="100">
        <v>0</v>
      </c>
      <c r="P61" s="100">
        <v>0.62</v>
      </c>
      <c r="Q61" s="100">
        <v>28.05</v>
      </c>
      <c r="R61" s="6"/>
      <c r="S61" s="6"/>
      <c r="T61" s="156"/>
      <c r="U61" s="6"/>
    </row>
    <row r="62" spans="1:21" customFormat="1">
      <c r="A62" s="163" t="s">
        <v>1252</v>
      </c>
      <c r="B62" s="100">
        <v>8.9700000000000006</v>
      </c>
      <c r="C62" s="100">
        <v>18.760000000000002</v>
      </c>
      <c r="D62" s="100">
        <v>18.34</v>
      </c>
      <c r="E62" s="100">
        <v>13.02</v>
      </c>
      <c r="F62" s="152" t="s">
        <v>15</v>
      </c>
      <c r="G62" s="100">
        <v>54.75</v>
      </c>
      <c r="H62" s="100">
        <v>25.58</v>
      </c>
      <c r="I62" s="100">
        <v>8.7899999999999991</v>
      </c>
      <c r="J62" s="100">
        <v>1.1100000000000001</v>
      </c>
      <c r="K62" s="100">
        <v>52.51</v>
      </c>
      <c r="L62" s="100">
        <v>36.07</v>
      </c>
      <c r="M62" s="100">
        <v>11.85</v>
      </c>
      <c r="N62" s="100">
        <v>343.2</v>
      </c>
      <c r="O62" s="100">
        <v>0</v>
      </c>
      <c r="P62" s="100">
        <v>0.61</v>
      </c>
      <c r="Q62" s="100">
        <v>28.05</v>
      </c>
      <c r="R62" s="6"/>
      <c r="S62" s="6"/>
      <c r="T62" s="156"/>
      <c r="U62" s="6"/>
    </row>
    <row r="63" spans="1:21" customFormat="1">
      <c r="A63" s="163" t="s">
        <v>1253</v>
      </c>
      <c r="B63" s="100">
        <v>6.84</v>
      </c>
      <c r="C63" s="100">
        <v>21.68</v>
      </c>
      <c r="D63" s="100">
        <v>18.16</v>
      </c>
      <c r="E63" s="100">
        <v>12.48</v>
      </c>
      <c r="F63" s="152" t="s">
        <v>15</v>
      </c>
      <c r="G63" s="100">
        <v>54.75</v>
      </c>
      <c r="H63" s="100">
        <v>25.58</v>
      </c>
      <c r="I63" s="100">
        <v>8.76</v>
      </c>
      <c r="J63" s="100">
        <v>1.07</v>
      </c>
      <c r="K63" s="100">
        <v>45.72</v>
      </c>
      <c r="L63" s="100">
        <v>36.75</v>
      </c>
      <c r="M63" s="100">
        <v>12</v>
      </c>
      <c r="N63" s="100">
        <v>337.5</v>
      </c>
      <c r="O63" s="100">
        <v>0</v>
      </c>
      <c r="P63" s="100">
        <v>0.6</v>
      </c>
      <c r="Q63" s="100">
        <v>28.04</v>
      </c>
      <c r="R63" s="6"/>
      <c r="S63" s="6"/>
      <c r="T63" s="156"/>
      <c r="U63" s="6"/>
    </row>
    <row r="64" spans="1:21" customFormat="1">
      <c r="A64" s="163" t="s">
        <v>1254</v>
      </c>
      <c r="B64" s="100">
        <v>6.35</v>
      </c>
      <c r="C64" s="100">
        <v>21.48</v>
      </c>
      <c r="D64" s="100">
        <v>17.66</v>
      </c>
      <c r="E64" s="100">
        <v>12.67</v>
      </c>
      <c r="F64" s="152" t="s">
        <v>15</v>
      </c>
      <c r="G64" s="100">
        <v>54.75</v>
      </c>
      <c r="H64" s="100">
        <v>25.58</v>
      </c>
      <c r="I64" s="100">
        <v>8.7200000000000006</v>
      </c>
      <c r="J64" s="100">
        <v>1.08</v>
      </c>
      <c r="K64" s="100">
        <v>41.43</v>
      </c>
      <c r="L64" s="100">
        <v>36.590000000000003</v>
      </c>
      <c r="M64" s="100">
        <v>11.91</v>
      </c>
      <c r="N64" s="100">
        <v>349.3</v>
      </c>
      <c r="O64" s="100">
        <v>0</v>
      </c>
      <c r="P64" s="100">
        <v>0.57999999999999996</v>
      </c>
      <c r="Q64" s="100">
        <v>28.04</v>
      </c>
      <c r="R64" s="6"/>
      <c r="S64" s="6"/>
      <c r="T64" s="156"/>
      <c r="U64" s="6"/>
    </row>
    <row r="65" spans="1:21" customFormat="1">
      <c r="A65" s="163" t="s">
        <v>1255</v>
      </c>
      <c r="B65" s="100">
        <v>6.49</v>
      </c>
      <c r="C65" s="100">
        <v>19.61</v>
      </c>
      <c r="D65" s="100">
        <v>16.8</v>
      </c>
      <c r="E65" s="100">
        <v>14.9</v>
      </c>
      <c r="F65" s="152" t="s">
        <v>15</v>
      </c>
      <c r="G65" s="100">
        <v>52.01</v>
      </c>
      <c r="H65" s="100">
        <v>24.21</v>
      </c>
      <c r="I65" s="100">
        <v>8.6</v>
      </c>
      <c r="J65" s="100">
        <v>0.59</v>
      </c>
      <c r="K65" s="100">
        <v>6.89</v>
      </c>
      <c r="L65" s="100">
        <v>36.869999999999997</v>
      </c>
      <c r="M65" s="100">
        <v>11.57</v>
      </c>
      <c r="N65" s="100">
        <v>354.8</v>
      </c>
      <c r="O65" s="100">
        <v>0</v>
      </c>
      <c r="P65" s="100">
        <v>0.56000000000000005</v>
      </c>
      <c r="Q65" s="100">
        <v>28.04</v>
      </c>
      <c r="R65" s="6"/>
      <c r="S65" s="6"/>
      <c r="T65" s="156"/>
      <c r="U65" s="6"/>
    </row>
    <row r="66" spans="1:21" customFormat="1">
      <c r="A66" s="163" t="s">
        <v>1256</v>
      </c>
      <c r="B66" s="100">
        <v>5.58</v>
      </c>
      <c r="C66" s="100">
        <v>20.55</v>
      </c>
      <c r="D66" s="100">
        <v>16.559999999999999</v>
      </c>
      <c r="E66" s="100">
        <v>12.8</v>
      </c>
      <c r="F66" s="152" t="s">
        <v>15</v>
      </c>
      <c r="G66" s="100">
        <v>51.74</v>
      </c>
      <c r="H66" s="100">
        <v>24.21</v>
      </c>
      <c r="I66" s="100">
        <v>8.2100000000000009</v>
      </c>
      <c r="J66" s="100">
        <v>1.0900000000000001</v>
      </c>
      <c r="K66" s="100">
        <v>20.68</v>
      </c>
      <c r="L66" s="100">
        <v>36.729999999999997</v>
      </c>
      <c r="M66" s="100">
        <v>12.04</v>
      </c>
      <c r="N66" s="100">
        <v>350.9</v>
      </c>
      <c r="O66" s="100">
        <v>0</v>
      </c>
      <c r="P66" s="100">
        <v>0.56999999999999995</v>
      </c>
      <c r="Q66" s="100">
        <v>28.05</v>
      </c>
      <c r="R66" s="6"/>
      <c r="S66" s="6"/>
      <c r="T66" s="156"/>
      <c r="U66" s="6"/>
    </row>
    <row r="67" spans="1:21" customFormat="1">
      <c r="A67" s="163" t="s">
        <v>1257</v>
      </c>
      <c r="B67" s="100">
        <v>4.7699999999999996</v>
      </c>
      <c r="C67" s="100">
        <v>21.07</v>
      </c>
      <c r="D67" s="100">
        <v>16.190000000000001</v>
      </c>
      <c r="E67" s="100">
        <v>10.26</v>
      </c>
      <c r="F67" s="152" t="s">
        <v>15</v>
      </c>
      <c r="G67" s="100">
        <v>51.74</v>
      </c>
      <c r="H67" s="100">
        <v>24.21</v>
      </c>
      <c r="I67" s="100">
        <v>7.92</v>
      </c>
      <c r="J67" s="100">
        <v>1.41</v>
      </c>
      <c r="K67" s="100">
        <v>50.13</v>
      </c>
      <c r="L67" s="100">
        <v>36.369999999999997</v>
      </c>
      <c r="M67" s="100">
        <v>11.54</v>
      </c>
      <c r="N67" s="100">
        <v>306.10000000000002</v>
      </c>
      <c r="O67" s="100">
        <v>0</v>
      </c>
      <c r="P67" s="100">
        <v>0.56999999999999995</v>
      </c>
      <c r="Q67" s="100">
        <v>28.04</v>
      </c>
      <c r="R67" s="6"/>
      <c r="S67" s="6"/>
      <c r="T67" s="156"/>
      <c r="U67" s="6"/>
    </row>
    <row r="68" spans="1:21" customFormat="1">
      <c r="A68" s="163" t="s">
        <v>1258</v>
      </c>
      <c r="B68" s="100">
        <v>4.6399999999999997</v>
      </c>
      <c r="C68" s="100">
        <v>20.75</v>
      </c>
      <c r="D68" s="100">
        <v>15.92</v>
      </c>
      <c r="E68" s="100">
        <v>10.54</v>
      </c>
      <c r="F68" s="152" t="s">
        <v>15</v>
      </c>
      <c r="G68" s="100">
        <v>51.74</v>
      </c>
      <c r="H68" s="100">
        <v>24.21</v>
      </c>
      <c r="I68" s="100">
        <v>8.0399999999999991</v>
      </c>
      <c r="J68" s="100">
        <v>1.41</v>
      </c>
      <c r="K68" s="100">
        <v>44.66</v>
      </c>
      <c r="L68" s="100">
        <v>36.21</v>
      </c>
      <c r="M68" s="100">
        <v>12.16</v>
      </c>
      <c r="N68" s="100">
        <v>119.7</v>
      </c>
      <c r="O68" s="100">
        <v>0</v>
      </c>
      <c r="P68" s="100">
        <v>0.55000000000000004</v>
      </c>
      <c r="Q68" s="100">
        <v>28.05</v>
      </c>
      <c r="R68" s="6"/>
      <c r="S68" s="6"/>
      <c r="T68" s="156"/>
      <c r="U68" s="6"/>
    </row>
    <row r="69" spans="1:21" customFormat="1">
      <c r="A69" s="163" t="s">
        <v>1259</v>
      </c>
      <c r="B69" s="100">
        <v>4.57</v>
      </c>
      <c r="C69" s="100">
        <v>20.010000000000002</v>
      </c>
      <c r="D69" s="100">
        <v>15.47</v>
      </c>
      <c r="E69" s="100">
        <v>14.56</v>
      </c>
      <c r="F69" s="152" t="s">
        <v>15</v>
      </c>
      <c r="G69" s="100">
        <v>47.02</v>
      </c>
      <c r="H69" s="100">
        <v>22.17</v>
      </c>
      <c r="I69" s="100">
        <v>7.96</v>
      </c>
      <c r="J69" s="100">
        <v>0.8</v>
      </c>
      <c r="K69" s="100">
        <v>5.57</v>
      </c>
      <c r="L69" s="100">
        <v>35.909999999999997</v>
      </c>
      <c r="M69" s="100">
        <v>12.44</v>
      </c>
      <c r="N69" s="100">
        <v>137.5</v>
      </c>
      <c r="O69" s="100">
        <v>0</v>
      </c>
      <c r="P69" s="100">
        <v>0.53</v>
      </c>
      <c r="Q69" s="100">
        <v>28.05</v>
      </c>
      <c r="R69" s="6"/>
      <c r="S69" s="6"/>
      <c r="T69" s="156"/>
      <c r="U69" s="6"/>
    </row>
    <row r="70" spans="1:21" customFormat="1">
      <c r="A70" s="163" t="s">
        <v>1260</v>
      </c>
      <c r="B70" s="100">
        <v>4.83</v>
      </c>
      <c r="C70" s="100">
        <v>20.6</v>
      </c>
      <c r="D70" s="100">
        <v>15.99</v>
      </c>
      <c r="E70" s="100">
        <v>12.08</v>
      </c>
      <c r="F70" s="152" t="s">
        <v>15</v>
      </c>
      <c r="G70" s="100">
        <v>46.56</v>
      </c>
      <c r="H70" s="100">
        <v>22.17</v>
      </c>
      <c r="I70" s="100">
        <v>7.61</v>
      </c>
      <c r="J70" s="100">
        <v>1.24</v>
      </c>
      <c r="K70" s="100">
        <v>45.51</v>
      </c>
      <c r="L70" s="100">
        <v>35.65</v>
      </c>
      <c r="M70" s="100">
        <v>12.99</v>
      </c>
      <c r="N70" s="100">
        <v>80.900000000000006</v>
      </c>
      <c r="O70" s="100">
        <v>0</v>
      </c>
      <c r="P70" s="100">
        <v>0.53</v>
      </c>
      <c r="Q70" s="100">
        <v>28.04</v>
      </c>
      <c r="R70" s="6"/>
      <c r="S70" s="6"/>
      <c r="T70" s="156"/>
      <c r="U70" s="6"/>
    </row>
    <row r="71" spans="1:21" customFormat="1">
      <c r="A71" s="163" t="s">
        <v>1261</v>
      </c>
      <c r="B71" s="100">
        <v>4.92</v>
      </c>
      <c r="C71" s="100">
        <v>21.59</v>
      </c>
      <c r="D71" s="100">
        <v>16.579999999999998</v>
      </c>
      <c r="E71" s="100">
        <v>13.5</v>
      </c>
      <c r="F71" s="152" t="s">
        <v>15</v>
      </c>
      <c r="G71" s="100">
        <v>46.56</v>
      </c>
      <c r="H71" s="100">
        <v>22.17</v>
      </c>
      <c r="I71" s="100">
        <v>7.33</v>
      </c>
      <c r="J71" s="100">
        <v>0.94</v>
      </c>
      <c r="K71" s="100">
        <v>49.15</v>
      </c>
      <c r="L71" s="100">
        <v>35.630000000000003</v>
      </c>
      <c r="M71" s="100">
        <v>13.02</v>
      </c>
      <c r="N71" s="100">
        <v>84.4</v>
      </c>
      <c r="O71" s="100">
        <v>0</v>
      </c>
      <c r="P71" s="100">
        <v>0.53</v>
      </c>
      <c r="Q71" s="100">
        <v>28.04</v>
      </c>
      <c r="R71" s="6"/>
      <c r="S71" s="6"/>
      <c r="T71" s="156"/>
      <c r="U71" s="6"/>
    </row>
    <row r="72" spans="1:21" customFormat="1">
      <c r="A72" s="163" t="s">
        <v>1262</v>
      </c>
      <c r="B72" s="100">
        <v>4.47</v>
      </c>
      <c r="C72" s="100">
        <v>19.829999999999998</v>
      </c>
      <c r="D72" s="100">
        <v>15.3</v>
      </c>
      <c r="E72" s="100">
        <v>12.51</v>
      </c>
      <c r="F72" s="152" t="s">
        <v>15</v>
      </c>
      <c r="G72" s="100">
        <v>46.56</v>
      </c>
      <c r="H72" s="100">
        <v>22.17</v>
      </c>
      <c r="I72" s="100">
        <v>7.32</v>
      </c>
      <c r="J72" s="100">
        <v>1.39</v>
      </c>
      <c r="K72" s="100">
        <v>48.22</v>
      </c>
      <c r="L72" s="100">
        <v>35.61</v>
      </c>
      <c r="M72" s="100">
        <v>12.54</v>
      </c>
      <c r="N72" s="100">
        <v>79.099999999999994</v>
      </c>
      <c r="O72" s="100">
        <v>0</v>
      </c>
      <c r="P72" s="100">
        <v>0.52</v>
      </c>
      <c r="Q72" s="100">
        <v>28.04</v>
      </c>
      <c r="R72" s="6"/>
      <c r="S72" s="6"/>
      <c r="T72" s="156"/>
      <c r="U72" s="6"/>
    </row>
    <row r="73" spans="1:21" customFormat="1">
      <c r="A73" s="163" t="s">
        <v>1263</v>
      </c>
      <c r="B73" s="100">
        <v>5.0599999999999996</v>
      </c>
      <c r="C73" s="100">
        <v>19.62</v>
      </c>
      <c r="D73" s="100">
        <v>15.66</v>
      </c>
      <c r="E73" s="100">
        <v>12.38</v>
      </c>
      <c r="F73" s="152" t="s">
        <v>15</v>
      </c>
      <c r="G73" s="100">
        <v>39.81</v>
      </c>
      <c r="H73" s="100">
        <v>17.600000000000001</v>
      </c>
      <c r="I73" s="100">
        <v>7.19</v>
      </c>
      <c r="J73" s="100">
        <v>1.02</v>
      </c>
      <c r="K73" s="100">
        <v>50.47</v>
      </c>
      <c r="L73" s="100">
        <v>35.65</v>
      </c>
      <c r="M73" s="100">
        <v>12.43</v>
      </c>
      <c r="N73" s="100">
        <v>47.5</v>
      </c>
      <c r="O73" s="100">
        <v>0</v>
      </c>
      <c r="P73" s="100">
        <v>0.5</v>
      </c>
      <c r="Q73" s="100">
        <v>28.04</v>
      </c>
      <c r="R73" s="6"/>
      <c r="S73" s="6"/>
      <c r="T73" s="156"/>
      <c r="U73" s="6"/>
    </row>
    <row r="74" spans="1:21" customFormat="1">
      <c r="A74" s="163" t="s">
        <v>1264</v>
      </c>
      <c r="B74" s="100">
        <v>6.96</v>
      </c>
      <c r="C74" s="100">
        <v>20.58</v>
      </c>
      <c r="D74" s="100">
        <v>17.690000000000001</v>
      </c>
      <c r="E74" s="100">
        <v>11.72</v>
      </c>
      <c r="F74" s="152" t="s">
        <v>15</v>
      </c>
      <c r="G74" s="100">
        <v>39.15</v>
      </c>
      <c r="H74" s="100">
        <v>17.600000000000001</v>
      </c>
      <c r="I74" s="100">
        <v>6.92</v>
      </c>
      <c r="J74" s="100">
        <v>0.82</v>
      </c>
      <c r="K74" s="100">
        <v>24.26</v>
      </c>
      <c r="L74" s="100">
        <v>35.33</v>
      </c>
      <c r="M74" s="100">
        <v>12.51</v>
      </c>
      <c r="N74" s="100">
        <v>37.1</v>
      </c>
      <c r="O74" s="100">
        <v>0</v>
      </c>
      <c r="P74" s="100">
        <v>0.45</v>
      </c>
      <c r="Q74" s="100">
        <v>28.05</v>
      </c>
      <c r="R74" s="6"/>
      <c r="S74" s="6"/>
      <c r="T74" s="156"/>
      <c r="U74" s="6"/>
    </row>
    <row r="75" spans="1:21" customFormat="1">
      <c r="A75" s="163" t="s">
        <v>1265</v>
      </c>
      <c r="B75" s="100">
        <v>5.56</v>
      </c>
      <c r="C75" s="100">
        <v>20.309999999999999</v>
      </c>
      <c r="D75" s="100">
        <v>16.420000000000002</v>
      </c>
      <c r="E75" s="100">
        <v>12.44</v>
      </c>
      <c r="F75" s="152" t="s">
        <v>15</v>
      </c>
      <c r="G75" s="100">
        <v>39.15</v>
      </c>
      <c r="H75" s="100">
        <v>17.600000000000001</v>
      </c>
      <c r="I75" s="100">
        <v>6.65</v>
      </c>
      <c r="J75" s="100">
        <v>0.94</v>
      </c>
      <c r="K75" s="100">
        <v>37.630000000000003</v>
      </c>
      <c r="L75" s="100">
        <v>35.15</v>
      </c>
      <c r="M75" s="100">
        <v>11.93</v>
      </c>
      <c r="N75" s="100">
        <v>33.6</v>
      </c>
      <c r="O75" s="100">
        <v>0</v>
      </c>
      <c r="P75" s="100">
        <v>0.44</v>
      </c>
      <c r="Q75" s="100">
        <v>28.06</v>
      </c>
      <c r="R75" s="6"/>
      <c r="S75" s="6"/>
      <c r="T75" s="156"/>
      <c r="U75" s="6"/>
    </row>
    <row r="76" spans="1:21" customFormat="1">
      <c r="A76" s="163" t="s">
        <v>1266</v>
      </c>
      <c r="B76" s="100">
        <v>5.58</v>
      </c>
      <c r="C76" s="100">
        <v>21.43</v>
      </c>
      <c r="D76" s="100">
        <v>17.02</v>
      </c>
      <c r="E76" s="100">
        <v>13.57</v>
      </c>
      <c r="F76" s="152" t="s">
        <v>15</v>
      </c>
      <c r="G76" s="100">
        <v>39.15</v>
      </c>
      <c r="H76" s="100">
        <v>17.600000000000001</v>
      </c>
      <c r="I76" s="100">
        <v>6.54</v>
      </c>
      <c r="J76" s="100">
        <v>0.56999999999999995</v>
      </c>
      <c r="K76" s="100">
        <v>13.32</v>
      </c>
      <c r="L76" s="100">
        <v>35</v>
      </c>
      <c r="M76" s="100">
        <v>12.09</v>
      </c>
      <c r="N76" s="100">
        <v>32.700000000000003</v>
      </c>
      <c r="O76" s="100">
        <v>0</v>
      </c>
      <c r="P76" s="100">
        <v>0.44</v>
      </c>
      <c r="Q76" s="100">
        <v>28.06</v>
      </c>
      <c r="R76" s="6"/>
      <c r="S76" s="6"/>
      <c r="T76" s="156"/>
      <c r="U76" s="6"/>
    </row>
    <row r="77" spans="1:21" customFormat="1">
      <c r="A77" s="163" t="s">
        <v>1267</v>
      </c>
      <c r="B77" s="100">
        <v>7.4</v>
      </c>
      <c r="C77" s="100">
        <v>23.94</v>
      </c>
      <c r="D77" s="100">
        <v>19.79</v>
      </c>
      <c r="E77" s="100">
        <v>13.55</v>
      </c>
      <c r="F77" s="152" t="s">
        <v>15</v>
      </c>
      <c r="G77" s="100">
        <v>37.28</v>
      </c>
      <c r="H77" s="100">
        <v>13.96</v>
      </c>
      <c r="I77" s="100">
        <v>6.33</v>
      </c>
      <c r="J77" s="100">
        <v>0.66</v>
      </c>
      <c r="K77" s="100">
        <v>38.31</v>
      </c>
      <c r="L77" s="100">
        <v>34.799999999999997</v>
      </c>
      <c r="M77" s="100">
        <v>12.55</v>
      </c>
      <c r="N77" s="100">
        <v>28.5</v>
      </c>
      <c r="O77" s="100">
        <v>0</v>
      </c>
      <c r="P77" s="100">
        <v>0.47</v>
      </c>
      <c r="Q77" s="100">
        <v>28.05</v>
      </c>
      <c r="R77" s="6"/>
      <c r="S77" s="6"/>
      <c r="T77" s="156"/>
      <c r="U77" s="6"/>
    </row>
    <row r="78" spans="1:21" customFormat="1">
      <c r="A78" s="163" t="s">
        <v>1268</v>
      </c>
      <c r="B78" s="100">
        <v>9.0500000000000007</v>
      </c>
      <c r="C78" s="100">
        <v>25.6</v>
      </c>
      <c r="D78" s="100">
        <v>21.99</v>
      </c>
      <c r="E78" s="100">
        <v>9.7899999999999991</v>
      </c>
      <c r="F78" s="152" t="s">
        <v>15</v>
      </c>
      <c r="G78" s="100">
        <v>37.1</v>
      </c>
      <c r="H78" s="100">
        <v>13.96</v>
      </c>
      <c r="I78" s="100">
        <v>6.12</v>
      </c>
      <c r="J78" s="100">
        <v>0.93</v>
      </c>
      <c r="K78" s="100">
        <v>51.44</v>
      </c>
      <c r="L78" s="100">
        <v>34.42</v>
      </c>
      <c r="M78" s="100">
        <v>12.75</v>
      </c>
      <c r="N78" s="100">
        <v>19.100000000000001</v>
      </c>
      <c r="O78" s="100">
        <v>0</v>
      </c>
      <c r="P78" s="100">
        <v>0.49</v>
      </c>
      <c r="Q78" s="100">
        <v>28.07</v>
      </c>
      <c r="R78" s="6"/>
      <c r="S78" s="6"/>
      <c r="T78" s="156"/>
      <c r="U78" s="6"/>
    </row>
    <row r="79" spans="1:21" customFormat="1">
      <c r="A79" s="163" t="s">
        <v>1269</v>
      </c>
      <c r="B79" s="100">
        <v>11.08</v>
      </c>
      <c r="C79" s="100">
        <v>27.99</v>
      </c>
      <c r="D79" s="100">
        <v>24.86</v>
      </c>
      <c r="E79" s="100">
        <v>9.48</v>
      </c>
      <c r="F79" s="152" t="s">
        <v>15</v>
      </c>
      <c r="G79" s="100">
        <v>37.1</v>
      </c>
      <c r="H79" s="100">
        <v>13.96</v>
      </c>
      <c r="I79" s="100">
        <v>7.49</v>
      </c>
      <c r="J79" s="100">
        <v>0.53</v>
      </c>
      <c r="K79" s="100">
        <v>46.79</v>
      </c>
      <c r="L79" s="100">
        <v>33.979999999999997</v>
      </c>
      <c r="M79" s="100">
        <v>13.64</v>
      </c>
      <c r="N79" s="100">
        <v>13</v>
      </c>
      <c r="O79" s="100">
        <v>0</v>
      </c>
      <c r="P79" s="100">
        <v>0.53</v>
      </c>
      <c r="Q79" s="100">
        <v>28.09</v>
      </c>
      <c r="R79" s="6"/>
      <c r="S79" s="6"/>
      <c r="T79" s="156"/>
      <c r="U79" s="6"/>
    </row>
    <row r="80" spans="1:21" customFormat="1">
      <c r="A80" s="163" t="s">
        <v>1270</v>
      </c>
      <c r="B80" s="100">
        <v>10.97</v>
      </c>
      <c r="C80" s="100">
        <v>30.42</v>
      </c>
      <c r="D80" s="100">
        <v>26.04</v>
      </c>
      <c r="E80" s="100">
        <v>8.91</v>
      </c>
      <c r="F80" s="152" t="s">
        <v>15</v>
      </c>
      <c r="G80" s="100">
        <v>37.1</v>
      </c>
      <c r="H80" s="100">
        <v>13.96</v>
      </c>
      <c r="I80" s="100">
        <v>9.3000000000000007</v>
      </c>
      <c r="J80" s="100">
        <v>0.34</v>
      </c>
      <c r="K80" s="100">
        <v>64.150000000000006</v>
      </c>
      <c r="L80" s="100">
        <v>33.229999999999997</v>
      </c>
      <c r="M80" s="100">
        <v>15.69</v>
      </c>
      <c r="N80" s="100">
        <v>7.1</v>
      </c>
      <c r="O80" s="100">
        <v>0</v>
      </c>
      <c r="P80" s="100">
        <v>0.56000000000000005</v>
      </c>
      <c r="Q80" s="100">
        <v>28.13</v>
      </c>
      <c r="R80" s="6"/>
      <c r="S80" s="6"/>
      <c r="T80" s="156"/>
      <c r="U80" s="6"/>
    </row>
    <row r="81" spans="1:21" customFormat="1">
      <c r="A81" s="163" t="s">
        <v>1271</v>
      </c>
      <c r="B81" s="100">
        <v>7.95</v>
      </c>
      <c r="C81" s="100">
        <v>28.38</v>
      </c>
      <c r="D81" s="100">
        <v>22.55</v>
      </c>
      <c r="E81" s="100">
        <v>8.27</v>
      </c>
      <c r="F81" s="152" t="s">
        <v>15</v>
      </c>
      <c r="G81" s="100">
        <v>41.84</v>
      </c>
      <c r="H81" s="100">
        <v>16.45</v>
      </c>
      <c r="I81" s="100">
        <v>8.27</v>
      </c>
      <c r="J81" s="100">
        <v>0.31</v>
      </c>
      <c r="K81" s="100">
        <v>165.12</v>
      </c>
      <c r="L81" s="100">
        <v>31.6</v>
      </c>
      <c r="M81" s="100">
        <v>19.87</v>
      </c>
      <c r="N81" s="100">
        <v>3.3</v>
      </c>
      <c r="O81" s="100">
        <v>0</v>
      </c>
      <c r="P81" s="100">
        <v>0.52</v>
      </c>
      <c r="Q81" s="100">
        <v>28.13</v>
      </c>
      <c r="R81" s="6"/>
      <c r="S81" s="6"/>
      <c r="T81" s="156"/>
      <c r="U81" s="6"/>
    </row>
    <row r="82" spans="1:21" customFormat="1">
      <c r="A82" s="163" t="s">
        <v>1272</v>
      </c>
      <c r="B82" s="100">
        <v>7.19</v>
      </c>
      <c r="C82" s="100">
        <v>27.5</v>
      </c>
      <c r="D82" s="100">
        <v>21.48</v>
      </c>
      <c r="E82" s="100">
        <v>9.23</v>
      </c>
      <c r="F82" s="152" t="s">
        <v>15</v>
      </c>
      <c r="G82" s="100">
        <v>42.3</v>
      </c>
      <c r="H82" s="100">
        <v>16.45</v>
      </c>
      <c r="I82" s="100">
        <v>7.47</v>
      </c>
      <c r="J82" s="100">
        <v>0.32</v>
      </c>
      <c r="K82" s="100">
        <v>168.53</v>
      </c>
      <c r="L82" s="100">
        <v>30.3</v>
      </c>
      <c r="M82" s="100">
        <v>25.46</v>
      </c>
      <c r="N82" s="100">
        <v>1.8</v>
      </c>
      <c r="O82" s="100">
        <v>0</v>
      </c>
      <c r="P82" s="100">
        <v>0.53</v>
      </c>
      <c r="Q82" s="100">
        <v>28.14</v>
      </c>
      <c r="R82" s="6"/>
      <c r="S82" s="6"/>
      <c r="T82" s="156"/>
      <c r="U82" s="6"/>
    </row>
    <row r="83" spans="1:21" customFormat="1">
      <c r="A83" s="163" t="s">
        <v>1273</v>
      </c>
      <c r="B83" s="100">
        <v>7.14</v>
      </c>
      <c r="C83" s="100">
        <v>26.16</v>
      </c>
      <c r="D83" s="100">
        <v>20.75</v>
      </c>
      <c r="E83" s="100">
        <v>9.32</v>
      </c>
      <c r="F83" s="152" t="s">
        <v>15</v>
      </c>
      <c r="G83" s="100">
        <v>42.3</v>
      </c>
      <c r="H83" s="100">
        <v>16.45</v>
      </c>
      <c r="I83" s="100">
        <v>7.47</v>
      </c>
      <c r="J83" s="100">
        <v>0.3</v>
      </c>
      <c r="K83" s="100">
        <v>168.66</v>
      </c>
      <c r="L83" s="100">
        <v>29.19</v>
      </c>
      <c r="M83" s="100">
        <v>29.05</v>
      </c>
      <c r="N83" s="100">
        <v>1.2</v>
      </c>
      <c r="O83" s="100">
        <v>0</v>
      </c>
      <c r="P83" s="100">
        <v>0.54</v>
      </c>
      <c r="Q83" s="100">
        <v>28.15</v>
      </c>
      <c r="R83" s="6"/>
      <c r="S83" s="6"/>
      <c r="T83" s="156"/>
      <c r="U83" s="6"/>
    </row>
    <row r="84" spans="1:21" customFormat="1">
      <c r="A84" s="163" t="s">
        <v>1274</v>
      </c>
      <c r="B84" s="100">
        <v>8.1300000000000008</v>
      </c>
      <c r="C84" s="100">
        <v>26.8</v>
      </c>
      <c r="D84" s="100">
        <v>21.87</v>
      </c>
      <c r="E84" s="100">
        <v>8.89</v>
      </c>
      <c r="F84" s="152" t="s">
        <v>15</v>
      </c>
      <c r="G84" s="100">
        <v>42.3</v>
      </c>
      <c r="H84" s="100">
        <v>16.45</v>
      </c>
      <c r="I84" s="100">
        <v>7.72</v>
      </c>
      <c r="J84" s="100">
        <v>0.24</v>
      </c>
      <c r="K84" s="100">
        <v>176.02</v>
      </c>
      <c r="L84" s="100">
        <v>28.53</v>
      </c>
      <c r="M84" s="100">
        <v>29.03</v>
      </c>
      <c r="N84" s="100">
        <v>0.9</v>
      </c>
      <c r="O84" s="100">
        <v>0</v>
      </c>
      <c r="P84" s="100">
        <v>0.56999999999999995</v>
      </c>
      <c r="Q84" s="100">
        <v>28.17</v>
      </c>
      <c r="R84" s="6"/>
      <c r="S84" s="6"/>
      <c r="T84" s="156"/>
      <c r="U84" s="6"/>
    </row>
    <row r="85" spans="1:21" customFormat="1">
      <c r="A85" s="163" t="s">
        <v>1275</v>
      </c>
      <c r="B85" s="100">
        <v>10.45</v>
      </c>
      <c r="C85" s="100">
        <v>28.59</v>
      </c>
      <c r="D85" s="100">
        <v>24.66</v>
      </c>
      <c r="E85" s="100">
        <v>9.0399999999999991</v>
      </c>
      <c r="F85" s="152" t="s">
        <v>15</v>
      </c>
      <c r="G85" s="100">
        <v>48.83</v>
      </c>
      <c r="H85" s="100">
        <v>16.97</v>
      </c>
      <c r="I85" s="100">
        <v>8.25</v>
      </c>
      <c r="J85" s="100">
        <v>0.27</v>
      </c>
      <c r="K85" s="100">
        <v>168.77</v>
      </c>
      <c r="L85" s="100">
        <v>27.98</v>
      </c>
      <c r="M85" s="100">
        <v>29.96</v>
      </c>
      <c r="N85" s="100">
        <v>0.8</v>
      </c>
      <c r="O85" s="100">
        <v>0</v>
      </c>
      <c r="P85" s="100">
        <v>0.59</v>
      </c>
      <c r="Q85" s="100">
        <v>28.2</v>
      </c>
      <c r="R85" s="6"/>
      <c r="S85" s="6"/>
      <c r="T85" s="156"/>
      <c r="U85" s="6"/>
    </row>
    <row r="86" spans="1:21" customFormat="1">
      <c r="A86" s="163" t="s">
        <v>1276</v>
      </c>
      <c r="B86" s="100">
        <v>10.33</v>
      </c>
      <c r="C86" s="100">
        <v>26.73</v>
      </c>
      <c r="D86" s="100">
        <v>23.6</v>
      </c>
      <c r="E86" s="100">
        <v>9.2899999999999991</v>
      </c>
      <c r="F86" s="152" t="s">
        <v>15</v>
      </c>
      <c r="G86" s="100">
        <v>49.47</v>
      </c>
      <c r="H86" s="100">
        <v>16.97</v>
      </c>
      <c r="I86" s="100">
        <v>8.58</v>
      </c>
      <c r="J86" s="100">
        <v>0.28999999999999998</v>
      </c>
      <c r="K86" s="100">
        <v>173.73</v>
      </c>
      <c r="L86" s="100">
        <v>27.47</v>
      </c>
      <c r="M86" s="100">
        <v>32.85</v>
      </c>
      <c r="N86" s="100">
        <v>0.8</v>
      </c>
      <c r="O86" s="100">
        <v>0</v>
      </c>
      <c r="P86" s="100">
        <v>0.6</v>
      </c>
      <c r="Q86" s="100">
        <v>28.24</v>
      </c>
      <c r="R86" s="6"/>
      <c r="S86" s="6"/>
      <c r="T86" s="156"/>
      <c r="U86" s="6"/>
    </row>
    <row r="87" spans="1:21" customFormat="1">
      <c r="A87" s="163" t="s">
        <v>1277</v>
      </c>
      <c r="B87" s="100">
        <v>10.76</v>
      </c>
      <c r="C87" s="100">
        <v>25.98</v>
      </c>
      <c r="D87" s="100">
        <v>23.55</v>
      </c>
      <c r="E87" s="100">
        <v>8.9700000000000006</v>
      </c>
      <c r="F87" s="152" t="s">
        <v>15</v>
      </c>
      <c r="G87" s="100">
        <v>49.47</v>
      </c>
      <c r="H87" s="100">
        <v>16.97</v>
      </c>
      <c r="I87" s="100">
        <v>8.6199999999999992</v>
      </c>
      <c r="J87" s="100">
        <v>0.28000000000000003</v>
      </c>
      <c r="K87" s="100">
        <v>220.15</v>
      </c>
      <c r="L87" s="100">
        <v>26.44</v>
      </c>
      <c r="M87" s="100">
        <v>36.869999999999997</v>
      </c>
      <c r="N87" s="100">
        <v>1.1000000000000001</v>
      </c>
      <c r="O87" s="100">
        <v>0</v>
      </c>
      <c r="P87" s="100">
        <v>0.62</v>
      </c>
      <c r="Q87" s="100">
        <v>28.29</v>
      </c>
      <c r="R87" s="6"/>
      <c r="S87" s="6"/>
      <c r="T87" s="156"/>
      <c r="U87" s="6"/>
    </row>
    <row r="88" spans="1:21" customFormat="1">
      <c r="A88" s="163" t="s">
        <v>1278</v>
      </c>
      <c r="B88" s="100">
        <v>11.14</v>
      </c>
      <c r="C88" s="100">
        <v>25.75</v>
      </c>
      <c r="D88" s="100">
        <v>23.74</v>
      </c>
      <c r="E88" s="100">
        <v>8.9700000000000006</v>
      </c>
      <c r="F88" s="152" t="s">
        <v>15</v>
      </c>
      <c r="G88" s="100">
        <v>49.47</v>
      </c>
      <c r="H88" s="100">
        <v>16.97</v>
      </c>
      <c r="I88" s="100">
        <v>8.84</v>
      </c>
      <c r="J88" s="100">
        <v>0.18</v>
      </c>
      <c r="K88" s="100">
        <v>203.72</v>
      </c>
      <c r="L88" s="100">
        <v>26.13</v>
      </c>
      <c r="M88" s="100">
        <v>33.44</v>
      </c>
      <c r="N88" s="100">
        <v>0.7</v>
      </c>
      <c r="O88" s="100">
        <v>0</v>
      </c>
      <c r="P88" s="100">
        <v>0.65</v>
      </c>
      <c r="Q88" s="100">
        <v>28.34</v>
      </c>
      <c r="R88" s="6"/>
      <c r="S88" s="6"/>
      <c r="T88" s="156"/>
      <c r="U88" s="6"/>
    </row>
    <row r="89" spans="1:21" customFormat="1">
      <c r="A89" s="163" t="s">
        <v>1279</v>
      </c>
      <c r="B89" s="100">
        <v>11</v>
      </c>
      <c r="C89" s="100">
        <v>25.39</v>
      </c>
      <c r="D89" s="100">
        <v>23.44</v>
      </c>
      <c r="E89" s="100">
        <v>8.99</v>
      </c>
      <c r="F89" s="152" t="s">
        <v>15</v>
      </c>
      <c r="G89" s="100">
        <v>70.13</v>
      </c>
      <c r="H89" s="100">
        <v>19.97</v>
      </c>
      <c r="I89" s="100">
        <v>9.18</v>
      </c>
      <c r="J89" s="100">
        <v>0.2</v>
      </c>
      <c r="K89" s="100">
        <v>214</v>
      </c>
      <c r="L89" s="100">
        <v>25.85</v>
      </c>
      <c r="M89" s="100">
        <v>35.54</v>
      </c>
      <c r="N89" s="100">
        <v>0.6</v>
      </c>
      <c r="O89" s="100">
        <v>0</v>
      </c>
      <c r="P89" s="100">
        <v>0.65</v>
      </c>
      <c r="Q89" s="100">
        <v>28.33</v>
      </c>
      <c r="R89" s="6"/>
      <c r="S89" s="6"/>
      <c r="T89" s="156"/>
      <c r="U89" s="6"/>
    </row>
    <row r="90" spans="1:21" customFormat="1">
      <c r="A90" s="163" t="s">
        <v>1280</v>
      </c>
      <c r="B90" s="100">
        <v>11.1</v>
      </c>
      <c r="C90" s="100">
        <v>25.07</v>
      </c>
      <c r="D90" s="100">
        <v>23.35</v>
      </c>
      <c r="E90" s="100">
        <v>9.0500000000000007</v>
      </c>
      <c r="F90" s="152" t="s">
        <v>15</v>
      </c>
      <c r="G90" s="100">
        <v>72.14</v>
      </c>
      <c r="H90" s="100">
        <v>19.97</v>
      </c>
      <c r="I90" s="100">
        <v>9.4600000000000009</v>
      </c>
      <c r="J90" s="100">
        <v>0.22</v>
      </c>
      <c r="K90" s="100">
        <v>171.32</v>
      </c>
      <c r="L90" s="100">
        <v>25.55</v>
      </c>
      <c r="M90" s="100">
        <v>40.61</v>
      </c>
      <c r="N90" s="100">
        <v>0.7</v>
      </c>
      <c r="O90" s="100">
        <v>0</v>
      </c>
      <c r="P90" s="100">
        <v>0.66</v>
      </c>
      <c r="Q90" s="100">
        <v>28.3</v>
      </c>
      <c r="R90" s="6"/>
      <c r="S90" s="6"/>
      <c r="T90" s="156"/>
      <c r="U90" s="6"/>
    </row>
    <row r="91" spans="1:21" customFormat="1">
      <c r="A91" s="163" t="s">
        <v>1281</v>
      </c>
      <c r="B91" s="100">
        <v>10.96</v>
      </c>
      <c r="C91" s="100">
        <v>24.64</v>
      </c>
      <c r="D91" s="100">
        <v>23.01</v>
      </c>
      <c r="E91" s="100">
        <v>9.0299999999999994</v>
      </c>
      <c r="F91" s="152" t="s">
        <v>15</v>
      </c>
      <c r="G91" s="100">
        <v>72.14</v>
      </c>
      <c r="H91" s="100">
        <v>19.97</v>
      </c>
      <c r="I91" s="100">
        <v>9.6300000000000008</v>
      </c>
      <c r="J91" s="100">
        <v>0.22</v>
      </c>
      <c r="K91" s="100">
        <v>193.06</v>
      </c>
      <c r="L91" s="100">
        <v>24.95</v>
      </c>
      <c r="M91" s="100">
        <v>39.74</v>
      </c>
      <c r="N91" s="100">
        <v>0.8</v>
      </c>
      <c r="O91" s="100">
        <v>0</v>
      </c>
      <c r="P91" s="100">
        <v>0.67</v>
      </c>
      <c r="Q91" s="100">
        <v>28.33</v>
      </c>
      <c r="R91" s="6"/>
      <c r="S91" s="6"/>
      <c r="T91" s="156"/>
      <c r="U91" s="6"/>
    </row>
    <row r="92" spans="1:21" customFormat="1">
      <c r="A92" s="163" t="s">
        <v>1282</v>
      </c>
      <c r="B92" s="100">
        <v>10.78</v>
      </c>
      <c r="C92" s="100">
        <v>23.96</v>
      </c>
      <c r="D92" s="100">
        <v>22.51</v>
      </c>
      <c r="E92" s="100">
        <v>9.0500000000000007</v>
      </c>
      <c r="F92" s="152" t="s">
        <v>15</v>
      </c>
      <c r="G92" s="100">
        <v>72.14</v>
      </c>
      <c r="H92" s="100">
        <v>19.97</v>
      </c>
      <c r="I92" s="100">
        <v>9.7899999999999991</v>
      </c>
      <c r="J92" s="100">
        <v>0.19</v>
      </c>
      <c r="K92" s="100">
        <v>190.34</v>
      </c>
      <c r="L92" s="100">
        <v>24.79</v>
      </c>
      <c r="M92" s="100">
        <v>40.33</v>
      </c>
      <c r="N92" s="100">
        <v>0.6</v>
      </c>
      <c r="O92" s="100">
        <v>0</v>
      </c>
      <c r="P92" s="100">
        <v>0.68</v>
      </c>
      <c r="Q92" s="100">
        <v>28.28</v>
      </c>
      <c r="R92" s="6"/>
      <c r="S92" s="6"/>
      <c r="T92" s="156"/>
      <c r="U92" s="6"/>
    </row>
    <row r="93" spans="1:21" customFormat="1">
      <c r="A93" s="163" t="s">
        <v>1283</v>
      </c>
      <c r="B93" s="100">
        <v>10.57</v>
      </c>
      <c r="C93" s="100">
        <v>23.44</v>
      </c>
      <c r="D93" s="100">
        <v>22.08</v>
      </c>
      <c r="E93" s="100">
        <v>8.4</v>
      </c>
      <c r="F93" s="152" t="s">
        <v>15</v>
      </c>
      <c r="G93" s="100">
        <v>75.510000000000005</v>
      </c>
      <c r="H93" s="100">
        <v>22.57</v>
      </c>
      <c r="I93" s="100">
        <v>9.8699999999999992</v>
      </c>
      <c r="J93" s="100">
        <v>0.2</v>
      </c>
      <c r="K93" s="100">
        <v>204.77</v>
      </c>
      <c r="L93" s="100">
        <v>24.5</v>
      </c>
      <c r="M93" s="100">
        <v>43.12</v>
      </c>
      <c r="N93" s="100">
        <v>0.7</v>
      </c>
      <c r="O93" s="100">
        <v>0</v>
      </c>
      <c r="P93" s="100">
        <v>0.69</v>
      </c>
      <c r="Q93" s="100">
        <v>28.27</v>
      </c>
      <c r="R93" s="6"/>
      <c r="S93" s="6"/>
      <c r="T93" s="156"/>
      <c r="U93" s="6"/>
    </row>
    <row r="94" spans="1:21" customFormat="1">
      <c r="A94" s="163" t="s">
        <v>1284</v>
      </c>
      <c r="B94" s="100">
        <v>10.74</v>
      </c>
      <c r="C94" s="100">
        <v>22.83</v>
      </c>
      <c r="D94" s="100">
        <v>21.89</v>
      </c>
      <c r="E94" s="100">
        <v>8.51</v>
      </c>
      <c r="F94" s="152" t="s">
        <v>15</v>
      </c>
      <c r="G94" s="100">
        <v>75.84</v>
      </c>
      <c r="H94" s="100">
        <v>22.57</v>
      </c>
      <c r="I94" s="100">
        <v>9.9</v>
      </c>
      <c r="J94" s="100">
        <v>0.17</v>
      </c>
      <c r="K94" s="100">
        <v>197.56</v>
      </c>
      <c r="L94" s="100">
        <v>24.01</v>
      </c>
      <c r="M94" s="100">
        <v>41.08</v>
      </c>
      <c r="N94" s="100">
        <v>0.7</v>
      </c>
      <c r="O94" s="100">
        <v>0</v>
      </c>
      <c r="P94" s="100">
        <v>0.7</v>
      </c>
      <c r="Q94" s="100">
        <v>28.28</v>
      </c>
      <c r="R94" s="6"/>
      <c r="S94" s="6"/>
      <c r="T94" s="156"/>
      <c r="U94" s="6"/>
    </row>
    <row r="95" spans="1:21" customFormat="1">
      <c r="A95" s="163" t="s">
        <v>1285</v>
      </c>
      <c r="B95" s="100">
        <v>11.01</v>
      </c>
      <c r="C95" s="100">
        <v>22.24</v>
      </c>
      <c r="D95" s="100">
        <v>21.8</v>
      </c>
      <c r="E95" s="100">
        <v>8.67</v>
      </c>
      <c r="F95" s="152" t="s">
        <v>15</v>
      </c>
      <c r="G95" s="100">
        <v>75.84</v>
      </c>
      <c r="H95" s="100">
        <v>22.57</v>
      </c>
      <c r="I95" s="100">
        <v>9.9700000000000006</v>
      </c>
      <c r="J95" s="100">
        <v>0.16</v>
      </c>
      <c r="K95" s="100">
        <v>163.30000000000001</v>
      </c>
      <c r="L95" s="100">
        <v>23.98</v>
      </c>
      <c r="M95" s="100">
        <v>41.5</v>
      </c>
      <c r="N95" s="100">
        <v>0.6</v>
      </c>
      <c r="O95" s="100">
        <v>0</v>
      </c>
      <c r="P95" s="100">
        <v>0.72</v>
      </c>
      <c r="Q95" s="100">
        <v>28.29</v>
      </c>
      <c r="R95" s="6"/>
      <c r="S95" s="6"/>
      <c r="T95" s="156"/>
      <c r="U95" s="6"/>
    </row>
    <row r="96" spans="1:21" customFormat="1">
      <c r="A96" s="163" t="s">
        <v>1286</v>
      </c>
      <c r="B96" s="100">
        <v>11.23</v>
      </c>
      <c r="C96" s="100">
        <v>21.64</v>
      </c>
      <c r="D96" s="100">
        <v>21.66</v>
      </c>
      <c r="E96" s="100">
        <v>8.57</v>
      </c>
      <c r="F96" s="152" t="s">
        <v>15</v>
      </c>
      <c r="G96" s="100">
        <v>75.84</v>
      </c>
      <c r="H96" s="100">
        <v>22.57</v>
      </c>
      <c r="I96" s="100">
        <v>10.07</v>
      </c>
      <c r="J96" s="100">
        <v>0.17</v>
      </c>
      <c r="K96" s="100">
        <v>179.18</v>
      </c>
      <c r="L96" s="100">
        <v>23.92</v>
      </c>
      <c r="M96" s="100">
        <v>42</v>
      </c>
      <c r="N96" s="100">
        <v>0.6</v>
      </c>
      <c r="O96" s="100">
        <v>0</v>
      </c>
      <c r="P96" s="100">
        <v>0.74</v>
      </c>
      <c r="Q96" s="100">
        <v>28.31</v>
      </c>
      <c r="R96" s="6"/>
      <c r="S96" s="6"/>
      <c r="T96" s="156"/>
      <c r="U96" s="6"/>
    </row>
    <row r="97" spans="1:28" customFormat="1">
      <c r="A97" s="163" t="s">
        <v>1287</v>
      </c>
      <c r="B97" s="100">
        <v>11.4</v>
      </c>
      <c r="C97" s="100">
        <v>21.01</v>
      </c>
      <c r="D97" s="100">
        <v>21.47</v>
      </c>
      <c r="E97" s="100">
        <v>8.64</v>
      </c>
      <c r="F97" s="152" t="s">
        <v>15</v>
      </c>
      <c r="G97" s="100">
        <v>78.36</v>
      </c>
      <c r="H97" s="100">
        <v>22.13</v>
      </c>
      <c r="I97" s="100">
        <v>10.17</v>
      </c>
      <c r="J97" s="100">
        <v>0.21</v>
      </c>
      <c r="K97" s="100">
        <v>187.05</v>
      </c>
      <c r="L97" s="100">
        <v>23.41</v>
      </c>
      <c r="M97" s="100">
        <v>48.16</v>
      </c>
      <c r="N97" s="100">
        <v>1.1000000000000001</v>
      </c>
      <c r="O97" s="100">
        <v>0</v>
      </c>
      <c r="P97" s="100">
        <v>0.74</v>
      </c>
      <c r="Q97" s="100">
        <v>28.31</v>
      </c>
      <c r="R97" s="6"/>
      <c r="S97" s="6"/>
      <c r="T97" s="156"/>
      <c r="U97" s="6"/>
    </row>
    <row r="98" spans="1:28" customFormat="1">
      <c r="A98" s="163" t="s">
        <v>1288</v>
      </c>
      <c r="B98" s="100">
        <v>11.64</v>
      </c>
      <c r="C98" s="100">
        <v>20.47</v>
      </c>
      <c r="D98" s="100">
        <v>21.38</v>
      </c>
      <c r="E98" s="100">
        <v>8.6300000000000008</v>
      </c>
      <c r="F98" s="152" t="s">
        <v>15</v>
      </c>
      <c r="G98" s="100">
        <v>78.61</v>
      </c>
      <c r="H98" s="100">
        <v>22.13</v>
      </c>
      <c r="I98" s="100">
        <v>10.25</v>
      </c>
      <c r="J98" s="100">
        <v>0.19</v>
      </c>
      <c r="K98" s="100">
        <v>163.55000000000001</v>
      </c>
      <c r="L98" s="100">
        <v>22.93</v>
      </c>
      <c r="M98" s="100">
        <v>46.63</v>
      </c>
      <c r="N98" s="100">
        <v>0.8</v>
      </c>
      <c r="O98" s="100">
        <v>0</v>
      </c>
      <c r="P98" s="100">
        <v>0.76</v>
      </c>
      <c r="Q98" s="100">
        <v>28.31</v>
      </c>
      <c r="R98" s="6"/>
      <c r="S98" s="6"/>
      <c r="T98" s="156"/>
      <c r="U98" s="6"/>
    </row>
    <row r="99" spans="1:28" customFormat="1">
      <c r="A99" s="163" t="s">
        <v>1289</v>
      </c>
      <c r="B99" s="100">
        <v>11.88</v>
      </c>
      <c r="C99" s="100">
        <v>19.98</v>
      </c>
      <c r="D99" s="100">
        <v>21.31</v>
      </c>
      <c r="E99" s="100">
        <v>8.74</v>
      </c>
      <c r="F99" s="152" t="s">
        <v>15</v>
      </c>
      <c r="G99" s="100">
        <v>78.61</v>
      </c>
      <c r="H99" s="100">
        <v>22.13</v>
      </c>
      <c r="I99" s="100">
        <v>10.34</v>
      </c>
      <c r="J99" s="100">
        <v>0.18</v>
      </c>
      <c r="K99" s="100">
        <v>170.46</v>
      </c>
      <c r="L99" s="100">
        <v>23.1</v>
      </c>
      <c r="M99" s="100">
        <v>44.39</v>
      </c>
      <c r="N99" s="100">
        <v>0.6</v>
      </c>
      <c r="O99" s="100">
        <v>0</v>
      </c>
      <c r="P99" s="100">
        <v>0.77</v>
      </c>
      <c r="Q99" s="100">
        <v>28.32</v>
      </c>
      <c r="R99" s="6"/>
      <c r="S99" s="6"/>
      <c r="T99" s="156"/>
      <c r="U99" s="6"/>
    </row>
    <row r="100" spans="1:28" customFormat="1">
      <c r="A100" s="163" t="s">
        <v>1290</v>
      </c>
      <c r="B100" s="100">
        <v>12.03</v>
      </c>
      <c r="C100" s="100">
        <v>19.62</v>
      </c>
      <c r="D100" s="100">
        <v>21.25</v>
      </c>
      <c r="E100" s="100">
        <v>8.75</v>
      </c>
      <c r="F100" s="152" t="s">
        <v>15</v>
      </c>
      <c r="G100" s="100">
        <v>78.61</v>
      </c>
      <c r="H100" s="100">
        <v>22.13</v>
      </c>
      <c r="I100" s="100">
        <v>10.43</v>
      </c>
      <c r="J100" s="100">
        <v>0.23</v>
      </c>
      <c r="K100" s="100">
        <v>181.35</v>
      </c>
      <c r="L100" s="100">
        <v>22.99</v>
      </c>
      <c r="M100" s="100">
        <v>46.2</v>
      </c>
      <c r="N100" s="100">
        <v>0.8</v>
      </c>
      <c r="O100" s="100">
        <v>0</v>
      </c>
      <c r="P100" s="100">
        <v>0.78</v>
      </c>
      <c r="Q100" s="100">
        <v>28.32</v>
      </c>
      <c r="R100" s="6"/>
      <c r="S100" s="6"/>
      <c r="T100" s="156"/>
      <c r="U100" s="6"/>
      <c r="AB100" s="161"/>
    </row>
    <row r="101" spans="1:28" customFormat="1">
      <c r="A101" s="163" t="s">
        <v>1291</v>
      </c>
      <c r="B101" s="100">
        <v>12.22</v>
      </c>
      <c r="C101" s="100">
        <v>19.38</v>
      </c>
      <c r="D101" s="100">
        <v>21.27</v>
      </c>
      <c r="E101" s="100">
        <v>9.0500000000000007</v>
      </c>
      <c r="F101" s="152" t="s">
        <v>15</v>
      </c>
      <c r="G101" s="100">
        <v>79.45</v>
      </c>
      <c r="H101" s="100">
        <v>24.8</v>
      </c>
      <c r="I101" s="100">
        <v>10.49</v>
      </c>
      <c r="J101" s="100">
        <v>0.15</v>
      </c>
      <c r="K101" s="100">
        <v>193.45</v>
      </c>
      <c r="L101" s="100">
        <v>22.47</v>
      </c>
      <c r="M101" s="100">
        <v>48.13</v>
      </c>
      <c r="N101" s="100">
        <v>0.9</v>
      </c>
      <c r="O101" s="100">
        <v>0</v>
      </c>
      <c r="P101" s="100">
        <v>0.79</v>
      </c>
      <c r="Q101" s="100">
        <v>28.33</v>
      </c>
      <c r="R101" s="6"/>
      <c r="S101" s="6"/>
      <c r="T101" s="156"/>
      <c r="U101" s="6"/>
    </row>
    <row r="102" spans="1:28" customFormat="1">
      <c r="A102" s="163" t="s">
        <v>1292</v>
      </c>
      <c r="B102" s="100">
        <v>12.38</v>
      </c>
      <c r="C102" s="100">
        <v>19.100000000000001</v>
      </c>
      <c r="D102" s="100">
        <v>21.26</v>
      </c>
      <c r="E102" s="100">
        <v>8.92</v>
      </c>
      <c r="F102" s="152" t="s">
        <v>15</v>
      </c>
      <c r="G102" s="100">
        <v>79.53</v>
      </c>
      <c r="H102" s="100">
        <v>24.8</v>
      </c>
      <c r="I102" s="100">
        <v>10.57</v>
      </c>
      <c r="J102" s="100">
        <v>0.22</v>
      </c>
      <c r="K102" s="100">
        <v>174.47</v>
      </c>
      <c r="L102" s="100">
        <v>22.49</v>
      </c>
      <c r="M102" s="100">
        <v>49.2</v>
      </c>
      <c r="N102" s="100">
        <v>0.7</v>
      </c>
      <c r="O102" s="100">
        <v>0</v>
      </c>
      <c r="P102" s="100">
        <v>0.79</v>
      </c>
      <c r="Q102" s="100">
        <v>28.34</v>
      </c>
      <c r="R102" s="6"/>
      <c r="S102" s="6"/>
      <c r="T102" s="156"/>
      <c r="U102" s="6"/>
    </row>
    <row r="103" spans="1:28" customFormat="1">
      <c r="A103" s="163" t="s">
        <v>1293</v>
      </c>
      <c r="B103" s="100">
        <v>12.57</v>
      </c>
      <c r="C103" s="100">
        <v>18.87</v>
      </c>
      <c r="D103" s="100">
        <v>21.29</v>
      </c>
      <c r="E103" s="100">
        <v>8.76</v>
      </c>
      <c r="F103" s="152" t="s">
        <v>15</v>
      </c>
      <c r="G103" s="100">
        <v>79.53</v>
      </c>
      <c r="H103" s="100">
        <v>24.8</v>
      </c>
      <c r="I103" s="100">
        <v>10.67</v>
      </c>
      <c r="J103" s="100">
        <v>0.2</v>
      </c>
      <c r="K103" s="100">
        <v>195.13</v>
      </c>
      <c r="L103" s="100">
        <v>22.13</v>
      </c>
      <c r="M103" s="100">
        <v>51.46</v>
      </c>
      <c r="N103" s="100">
        <v>0.8</v>
      </c>
      <c r="O103" s="100">
        <v>0</v>
      </c>
      <c r="P103" s="100">
        <v>0.79</v>
      </c>
      <c r="Q103" s="100">
        <v>28.34</v>
      </c>
      <c r="R103" s="6"/>
      <c r="S103" s="6"/>
      <c r="T103" s="156"/>
      <c r="U103" s="6"/>
    </row>
    <row r="104" spans="1:28" customFormat="1">
      <c r="A104" s="163" t="s">
        <v>1294</v>
      </c>
      <c r="B104" s="100">
        <v>12.89</v>
      </c>
      <c r="C104" s="100">
        <v>18.760000000000002</v>
      </c>
      <c r="D104" s="100">
        <v>21.49</v>
      </c>
      <c r="E104" s="100">
        <v>8.89</v>
      </c>
      <c r="F104" s="152" t="s">
        <v>15</v>
      </c>
      <c r="G104" s="100">
        <v>79.53</v>
      </c>
      <c r="H104" s="100">
        <v>24.8</v>
      </c>
      <c r="I104" s="100">
        <v>10.75</v>
      </c>
      <c r="J104" s="100">
        <v>0.22</v>
      </c>
      <c r="K104" s="100">
        <v>166.42</v>
      </c>
      <c r="L104" s="100">
        <v>21.9</v>
      </c>
      <c r="M104" s="100">
        <v>53.48</v>
      </c>
      <c r="N104" s="100">
        <v>0.9</v>
      </c>
      <c r="O104" s="100">
        <v>0</v>
      </c>
      <c r="P104" s="100">
        <v>0.8</v>
      </c>
      <c r="Q104" s="100">
        <v>28.36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4.47</v>
      </c>
      <c r="C106" s="158">
        <f>MIN(C9:C104)</f>
        <v>18.64</v>
      </c>
      <c r="D106" s="158">
        <f t="shared" ref="D106:Q106" si="0">MIN(D9:D104)</f>
        <v>15.3</v>
      </c>
      <c r="E106" s="158">
        <f t="shared" si="0"/>
        <v>6.94</v>
      </c>
      <c r="F106" s="158">
        <f t="shared" si="0"/>
        <v>0</v>
      </c>
      <c r="G106" s="158">
        <f t="shared" si="0"/>
        <v>37.1</v>
      </c>
      <c r="H106" s="158">
        <f t="shared" si="0"/>
        <v>13.96</v>
      </c>
      <c r="I106" s="158">
        <f t="shared" si="0"/>
        <v>6.12</v>
      </c>
      <c r="J106" s="158">
        <f t="shared" si="0"/>
        <v>0.12</v>
      </c>
      <c r="K106" s="158">
        <f t="shared" si="0"/>
        <v>5.57</v>
      </c>
      <c r="L106" s="158">
        <f t="shared" si="0"/>
        <v>18.079999999999998</v>
      </c>
      <c r="M106" s="158">
        <f t="shared" si="0"/>
        <v>10.83</v>
      </c>
      <c r="N106" s="158">
        <f t="shared" si="0"/>
        <v>0.2</v>
      </c>
      <c r="O106" s="158">
        <f t="shared" si="0"/>
        <v>0</v>
      </c>
      <c r="P106" s="158">
        <f t="shared" si="0"/>
        <v>0.44</v>
      </c>
      <c r="Q106" s="158">
        <f t="shared" si="0"/>
        <v>28.04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20.95</v>
      </c>
      <c r="C107" s="157">
        <f t="shared" ref="C107:Q107" si="1">MAX(C9:C104)</f>
        <v>30.48</v>
      </c>
      <c r="D107" s="157">
        <f t="shared" si="1"/>
        <v>33.659999999999997</v>
      </c>
      <c r="E107" s="157">
        <f t="shared" si="1"/>
        <v>20.71</v>
      </c>
      <c r="F107" s="157">
        <f t="shared" si="1"/>
        <v>0</v>
      </c>
      <c r="G107" s="157">
        <f t="shared" si="1"/>
        <v>127.36</v>
      </c>
      <c r="H107" s="157">
        <f t="shared" si="1"/>
        <v>48.18</v>
      </c>
      <c r="I107" s="157">
        <f t="shared" si="1"/>
        <v>17.71</v>
      </c>
      <c r="J107" s="157">
        <f t="shared" si="1"/>
        <v>1.73</v>
      </c>
      <c r="K107" s="157">
        <f t="shared" si="1"/>
        <v>220.15</v>
      </c>
      <c r="L107" s="157">
        <f t="shared" si="1"/>
        <v>36.869999999999997</v>
      </c>
      <c r="M107" s="157">
        <f t="shared" si="1"/>
        <v>67.13</v>
      </c>
      <c r="N107" s="157">
        <f t="shared" si="1"/>
        <v>368.4</v>
      </c>
      <c r="O107" s="157">
        <f t="shared" si="1"/>
        <v>0</v>
      </c>
      <c r="P107" s="157">
        <f t="shared" si="1"/>
        <v>1.35</v>
      </c>
      <c r="Q107" s="157">
        <f t="shared" si="1"/>
        <v>28.69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11.42447916666667</v>
      </c>
      <c r="C108" s="158">
        <f t="shared" ref="C108:Q108" si="2">AVERAGE(C9:C104)</f>
        <v>24.017812500000002</v>
      </c>
      <c r="D108" s="158">
        <f t="shared" si="2"/>
        <v>23.060520833333332</v>
      </c>
      <c r="E108" s="158">
        <f t="shared" si="2"/>
        <v>10.144270833333328</v>
      </c>
      <c r="F108" s="158" t="e">
        <f t="shared" si="2"/>
        <v>#DIV/0!</v>
      </c>
      <c r="G108" s="158">
        <f t="shared" si="2"/>
        <v>72.425937500000018</v>
      </c>
      <c r="H108" s="158">
        <f t="shared" si="2"/>
        <v>26.949583333333319</v>
      </c>
      <c r="I108" s="158">
        <f t="shared" si="2"/>
        <v>11.631875000000006</v>
      </c>
      <c r="J108" s="158">
        <f t="shared" si="2"/>
        <v>0.5658333333333333</v>
      </c>
      <c r="K108" s="158">
        <f t="shared" si="2"/>
        <v>116.99979166666664</v>
      </c>
      <c r="L108" s="158">
        <f t="shared" si="2"/>
        <v>27.280833333333323</v>
      </c>
      <c r="M108" s="158">
        <f t="shared" si="2"/>
        <v>34.684687499999988</v>
      </c>
      <c r="N108" s="158">
        <f t="shared" si="2"/>
        <v>94.668750000000003</v>
      </c>
      <c r="O108" s="158">
        <f t="shared" si="2"/>
        <v>0</v>
      </c>
      <c r="P108" s="158">
        <f t="shared" si="2"/>
        <v>0.79385416666666686</v>
      </c>
      <c r="Q108" s="158">
        <f t="shared" si="2"/>
        <v>28.290312499999995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4.7548246677047858</v>
      </c>
      <c r="C109" s="158">
        <f t="shared" ref="C109:Q109" si="3">STDEV(C9:C104)</f>
        <v>3.2283364473216172</v>
      </c>
      <c r="D109" s="158">
        <f t="shared" si="3"/>
        <v>4.4083426578516729</v>
      </c>
      <c r="E109" s="158">
        <f t="shared" si="3"/>
        <v>3.0721680137688923</v>
      </c>
      <c r="F109" s="158" t="e">
        <f t="shared" si="3"/>
        <v>#DIV/0!</v>
      </c>
      <c r="G109" s="158">
        <f t="shared" si="3"/>
        <v>23.168431588472551</v>
      </c>
      <c r="H109" s="158">
        <f t="shared" si="3"/>
        <v>8.9317475058787519</v>
      </c>
      <c r="I109" s="158">
        <f t="shared" si="3"/>
        <v>3.3682037419622177</v>
      </c>
      <c r="J109" s="158">
        <f t="shared" si="3"/>
        <v>0.46893533762896678</v>
      </c>
      <c r="K109" s="158">
        <f t="shared" si="3"/>
        <v>67.983536149015976</v>
      </c>
      <c r="L109" s="158">
        <f t="shared" si="3"/>
        <v>6.2255425748184816</v>
      </c>
      <c r="M109" s="158">
        <f t="shared" si="3"/>
        <v>18.241781246885179</v>
      </c>
      <c r="N109" s="158">
        <f t="shared" si="3"/>
        <v>137.23491600555835</v>
      </c>
      <c r="O109" s="158">
        <f t="shared" si="3"/>
        <v>0</v>
      </c>
      <c r="P109" s="158">
        <f t="shared" si="3"/>
        <v>0.23846601784461199</v>
      </c>
      <c r="Q109" s="158">
        <f t="shared" si="3"/>
        <v>0.19548833926726611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90" activePane="bottomRight" state="frozen"/>
      <selection pane="topRight"/>
      <selection pane="bottomLeft"/>
      <selection pane="bottomRight" activeCell="F9" sqref="F9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12/03/2025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1295</v>
      </c>
      <c r="B9" s="100">
        <v>13.17</v>
      </c>
      <c r="C9" s="100">
        <v>18.62</v>
      </c>
      <c r="D9" s="100">
        <v>21.64</v>
      </c>
      <c r="E9" s="100">
        <v>9.27</v>
      </c>
      <c r="F9" s="152" t="s">
        <v>15</v>
      </c>
      <c r="G9" s="100">
        <v>77.63</v>
      </c>
      <c r="H9" s="100">
        <v>26.41</v>
      </c>
      <c r="I9" s="100">
        <v>10.8</v>
      </c>
      <c r="J9" s="100">
        <v>0.25</v>
      </c>
      <c r="K9" s="100">
        <v>213.21</v>
      </c>
      <c r="L9" s="100">
        <v>21.59</v>
      </c>
      <c r="M9" s="100">
        <v>55.77</v>
      </c>
      <c r="N9" s="100">
        <v>0.9</v>
      </c>
      <c r="O9" s="100">
        <v>0</v>
      </c>
      <c r="P9" s="100">
        <v>0.81</v>
      </c>
      <c r="Q9" s="100">
        <v>28.36</v>
      </c>
      <c r="R9" s="6"/>
      <c r="S9" s="6"/>
      <c r="T9" s="156"/>
      <c r="U9" s="6"/>
    </row>
    <row r="10" spans="1:21" customFormat="1">
      <c r="A10" s="163" t="s">
        <v>1296</v>
      </c>
      <c r="B10" s="100">
        <v>13.53</v>
      </c>
      <c r="C10" s="100">
        <v>18.68</v>
      </c>
      <c r="D10" s="100">
        <v>21.96</v>
      </c>
      <c r="E10" s="100">
        <v>8.98</v>
      </c>
      <c r="F10" s="152" t="s">
        <v>15</v>
      </c>
      <c r="G10" s="100">
        <v>77.47</v>
      </c>
      <c r="H10" s="100">
        <v>26.41</v>
      </c>
      <c r="I10" s="100">
        <v>10.84</v>
      </c>
      <c r="J10" s="100">
        <v>0.23</v>
      </c>
      <c r="K10" s="100">
        <v>201.34</v>
      </c>
      <c r="L10" s="100">
        <v>21.48</v>
      </c>
      <c r="M10" s="100">
        <v>53.27</v>
      </c>
      <c r="N10" s="100">
        <v>0.8</v>
      </c>
      <c r="O10" s="100">
        <v>0</v>
      </c>
      <c r="P10" s="100">
        <v>0.82</v>
      </c>
      <c r="Q10" s="100">
        <v>28.39</v>
      </c>
      <c r="R10" s="6"/>
      <c r="S10" s="6"/>
      <c r="T10" s="156"/>
      <c r="U10" s="6"/>
    </row>
    <row r="11" spans="1:21" customFormat="1">
      <c r="A11" s="163" t="s">
        <v>1297</v>
      </c>
      <c r="B11" s="100">
        <v>13.75</v>
      </c>
      <c r="C11" s="100">
        <v>18.649999999999999</v>
      </c>
      <c r="D11" s="100">
        <v>22.12</v>
      </c>
      <c r="E11" s="100">
        <v>9.4</v>
      </c>
      <c r="F11" s="152" t="s">
        <v>15</v>
      </c>
      <c r="G11" s="100">
        <v>77.47</v>
      </c>
      <c r="H11" s="100">
        <v>26.41</v>
      </c>
      <c r="I11" s="100">
        <v>10.91</v>
      </c>
      <c r="J11" s="100">
        <v>0.1</v>
      </c>
      <c r="K11" s="100">
        <v>185.49</v>
      </c>
      <c r="L11" s="100">
        <v>21.54</v>
      </c>
      <c r="M11" s="100">
        <v>51.62</v>
      </c>
      <c r="N11" s="100">
        <v>0.6</v>
      </c>
      <c r="O11" s="100">
        <v>0</v>
      </c>
      <c r="P11" s="100">
        <v>0.83</v>
      </c>
      <c r="Q11" s="100">
        <v>28.38</v>
      </c>
      <c r="R11" s="6"/>
      <c r="S11" s="6"/>
      <c r="T11" s="156"/>
      <c r="U11" s="6"/>
    </row>
    <row r="12" spans="1:21" customFormat="1">
      <c r="A12" s="163" t="s">
        <v>1298</v>
      </c>
      <c r="B12" s="100">
        <v>13.81</v>
      </c>
      <c r="C12" s="100">
        <v>18.59</v>
      </c>
      <c r="D12" s="100">
        <v>22.14</v>
      </c>
      <c r="E12" s="100">
        <v>8.93</v>
      </c>
      <c r="F12" s="152" t="s">
        <v>15</v>
      </c>
      <c r="G12" s="100">
        <v>77.47</v>
      </c>
      <c r="H12" s="100">
        <v>26.41</v>
      </c>
      <c r="I12" s="100">
        <v>10.98</v>
      </c>
      <c r="J12" s="100">
        <v>0.13</v>
      </c>
      <c r="K12" s="100">
        <v>201.26</v>
      </c>
      <c r="L12" s="100">
        <v>21.78</v>
      </c>
      <c r="M12" s="100">
        <v>52.93</v>
      </c>
      <c r="N12" s="100">
        <v>0.4</v>
      </c>
      <c r="O12" s="100">
        <v>0</v>
      </c>
      <c r="P12" s="100">
        <v>0.84</v>
      </c>
      <c r="Q12" s="100">
        <v>28.37</v>
      </c>
      <c r="R12" s="6"/>
      <c r="S12" s="6"/>
      <c r="T12" s="156"/>
      <c r="U12" s="6"/>
    </row>
    <row r="13" spans="1:21" customFormat="1">
      <c r="A13" s="163" t="s">
        <v>1299</v>
      </c>
      <c r="B13" s="100">
        <v>13.99</v>
      </c>
      <c r="C13" s="100">
        <v>18.43</v>
      </c>
      <c r="D13" s="100">
        <v>22.2</v>
      </c>
      <c r="E13" s="100">
        <v>9</v>
      </c>
      <c r="F13" s="152" t="s">
        <v>15</v>
      </c>
      <c r="G13" s="100">
        <v>79.58</v>
      </c>
      <c r="H13" s="100">
        <v>26.77</v>
      </c>
      <c r="I13" s="100">
        <v>11.07</v>
      </c>
      <c r="J13" s="100">
        <v>0.23</v>
      </c>
      <c r="K13" s="100">
        <v>191.02</v>
      </c>
      <c r="L13" s="100">
        <v>21.51</v>
      </c>
      <c r="M13" s="100">
        <v>54.19</v>
      </c>
      <c r="N13" s="100">
        <v>0.7</v>
      </c>
      <c r="O13" s="100">
        <v>0</v>
      </c>
      <c r="P13" s="100">
        <v>0.85</v>
      </c>
      <c r="Q13" s="100">
        <v>28.38</v>
      </c>
      <c r="R13" s="6"/>
      <c r="S13" s="6"/>
      <c r="T13" s="156"/>
      <c r="U13" s="6"/>
    </row>
    <row r="14" spans="1:21" customFormat="1">
      <c r="A14" s="163" t="s">
        <v>1300</v>
      </c>
      <c r="B14" s="100">
        <v>14.03</v>
      </c>
      <c r="C14" s="100">
        <v>18.53</v>
      </c>
      <c r="D14" s="100">
        <v>22.28</v>
      </c>
      <c r="E14" s="100">
        <v>9.1199999999999992</v>
      </c>
      <c r="F14" s="152" t="s">
        <v>15</v>
      </c>
      <c r="G14" s="100">
        <v>79.790000000000006</v>
      </c>
      <c r="H14" s="100">
        <v>26.77</v>
      </c>
      <c r="I14" s="100">
        <v>11.16</v>
      </c>
      <c r="J14" s="100">
        <v>0.13</v>
      </c>
      <c r="K14" s="100">
        <v>148.41999999999999</v>
      </c>
      <c r="L14" s="100">
        <v>21.4</v>
      </c>
      <c r="M14" s="100">
        <v>52.2</v>
      </c>
      <c r="N14" s="100">
        <v>0.9</v>
      </c>
      <c r="O14" s="100">
        <v>0</v>
      </c>
      <c r="P14" s="100">
        <v>0.85</v>
      </c>
      <c r="Q14" s="100">
        <v>28.38</v>
      </c>
      <c r="R14" s="6"/>
      <c r="S14" s="6"/>
      <c r="T14" s="156"/>
      <c r="U14" s="6"/>
    </row>
    <row r="15" spans="1:21" customFormat="1">
      <c r="A15" s="163" t="s">
        <v>1301</v>
      </c>
      <c r="B15" s="100">
        <v>13.94</v>
      </c>
      <c r="C15" s="100">
        <v>18.41</v>
      </c>
      <c r="D15" s="100">
        <v>22.15</v>
      </c>
      <c r="E15" s="100">
        <v>8.81</v>
      </c>
      <c r="F15" s="152" t="s">
        <v>15</v>
      </c>
      <c r="G15" s="100">
        <v>79.790000000000006</v>
      </c>
      <c r="H15" s="100">
        <v>26.77</v>
      </c>
      <c r="I15" s="100">
        <v>11.23</v>
      </c>
      <c r="J15" s="100">
        <v>0.06</v>
      </c>
      <c r="K15" s="100">
        <v>83.5</v>
      </c>
      <c r="L15" s="100">
        <v>21.25</v>
      </c>
      <c r="M15" s="100">
        <v>52.2</v>
      </c>
      <c r="N15" s="100">
        <v>0.6</v>
      </c>
      <c r="O15" s="100">
        <v>0</v>
      </c>
      <c r="P15" s="100">
        <v>0.86</v>
      </c>
      <c r="Q15" s="100">
        <v>28.39</v>
      </c>
      <c r="R15" s="6"/>
      <c r="S15" s="6"/>
      <c r="T15" s="156"/>
      <c r="U15" s="6"/>
    </row>
    <row r="16" spans="1:21" customFormat="1">
      <c r="A16" s="163" t="s">
        <v>1302</v>
      </c>
      <c r="B16" s="100">
        <v>13.85</v>
      </c>
      <c r="C16" s="100">
        <v>18.28</v>
      </c>
      <c r="D16" s="100">
        <v>22.01</v>
      </c>
      <c r="E16" s="100">
        <v>9.1999999999999993</v>
      </c>
      <c r="F16" s="152" t="s">
        <v>15</v>
      </c>
      <c r="G16" s="100">
        <v>79.790000000000006</v>
      </c>
      <c r="H16" s="100">
        <v>26.77</v>
      </c>
      <c r="I16" s="100">
        <v>11.26</v>
      </c>
      <c r="J16" s="100">
        <v>0.13</v>
      </c>
      <c r="K16" s="100">
        <v>185.47</v>
      </c>
      <c r="L16" s="100">
        <v>21.47</v>
      </c>
      <c r="M16" s="100">
        <v>50.42</v>
      </c>
      <c r="N16" s="100">
        <v>0.6</v>
      </c>
      <c r="O16" s="100">
        <v>0</v>
      </c>
      <c r="P16" s="100">
        <v>0.87</v>
      </c>
      <c r="Q16" s="100">
        <v>28.37</v>
      </c>
      <c r="R16" s="6"/>
      <c r="S16" s="6"/>
      <c r="T16" s="156"/>
      <c r="U16" s="6"/>
    </row>
    <row r="17" spans="1:21" customFormat="1">
      <c r="A17" s="163" t="s">
        <v>1303</v>
      </c>
      <c r="B17" s="100">
        <v>13.42</v>
      </c>
      <c r="C17" s="100">
        <v>18.25</v>
      </c>
      <c r="D17" s="100">
        <v>21.64</v>
      </c>
      <c r="E17" s="100">
        <v>7.53</v>
      </c>
      <c r="F17" s="152" t="s">
        <v>15</v>
      </c>
      <c r="G17" s="100">
        <v>74.150000000000006</v>
      </c>
      <c r="H17" s="100">
        <v>28.43</v>
      </c>
      <c r="I17" s="100">
        <v>11.3</v>
      </c>
      <c r="J17" s="100">
        <v>0.16</v>
      </c>
      <c r="K17" s="100">
        <v>175.75</v>
      </c>
      <c r="L17" s="100">
        <v>21.34</v>
      </c>
      <c r="M17" s="100">
        <v>53.53</v>
      </c>
      <c r="N17" s="100">
        <v>0.7</v>
      </c>
      <c r="O17" s="100">
        <v>0</v>
      </c>
      <c r="P17" s="100">
        <v>0.85</v>
      </c>
      <c r="Q17" s="100">
        <v>28.36</v>
      </c>
      <c r="R17" s="6"/>
      <c r="S17" s="6"/>
      <c r="T17" s="156"/>
      <c r="U17" s="6"/>
    </row>
    <row r="18" spans="1:21" customFormat="1">
      <c r="A18" s="163" t="s">
        <v>1304</v>
      </c>
      <c r="B18" s="100">
        <v>12.81</v>
      </c>
      <c r="C18" s="100">
        <v>18.440000000000001</v>
      </c>
      <c r="D18" s="100">
        <v>21.26</v>
      </c>
      <c r="E18" s="100">
        <v>8.7899999999999991</v>
      </c>
      <c r="F18" s="152" t="s">
        <v>15</v>
      </c>
      <c r="G18" s="100">
        <v>73.599999999999994</v>
      </c>
      <c r="H18" s="100">
        <v>28.43</v>
      </c>
      <c r="I18" s="100">
        <v>11.35</v>
      </c>
      <c r="J18" s="100">
        <v>0.09</v>
      </c>
      <c r="K18" s="100">
        <v>168.15</v>
      </c>
      <c r="L18" s="100">
        <v>21.16</v>
      </c>
      <c r="M18" s="100">
        <v>50.93</v>
      </c>
      <c r="N18" s="100">
        <v>0.6</v>
      </c>
      <c r="O18" s="100">
        <v>0</v>
      </c>
      <c r="P18" s="100">
        <v>0.85</v>
      </c>
      <c r="Q18" s="100">
        <v>28.35</v>
      </c>
      <c r="R18" s="6"/>
      <c r="S18" s="6"/>
      <c r="T18" s="156"/>
      <c r="U18" s="6"/>
    </row>
    <row r="19" spans="1:21" customFormat="1">
      <c r="A19" s="163" t="s">
        <v>1305</v>
      </c>
      <c r="B19" s="100">
        <v>12.13</v>
      </c>
      <c r="C19" s="100">
        <v>18.45</v>
      </c>
      <c r="D19" s="100">
        <v>20.72</v>
      </c>
      <c r="E19" s="100">
        <v>8.91</v>
      </c>
      <c r="F19" s="152" t="s">
        <v>15</v>
      </c>
      <c r="G19" s="100">
        <v>73.599999999999994</v>
      </c>
      <c r="H19" s="100">
        <v>28.43</v>
      </c>
      <c r="I19" s="100">
        <v>11.39</v>
      </c>
      <c r="J19" s="100">
        <v>0.15</v>
      </c>
      <c r="K19" s="100">
        <v>172.02</v>
      </c>
      <c r="L19" s="100">
        <v>21.28</v>
      </c>
      <c r="M19" s="100">
        <v>50.88</v>
      </c>
      <c r="N19" s="100">
        <v>0.6</v>
      </c>
      <c r="O19" s="100">
        <v>0</v>
      </c>
      <c r="P19" s="100">
        <v>0.86</v>
      </c>
      <c r="Q19" s="100">
        <v>28.33</v>
      </c>
      <c r="R19" s="6"/>
      <c r="S19" s="6"/>
      <c r="T19" s="156"/>
      <c r="U19" s="6"/>
    </row>
    <row r="20" spans="1:21" customFormat="1">
      <c r="A20" s="163" t="s">
        <v>1306</v>
      </c>
      <c r="B20" s="100">
        <v>11.41</v>
      </c>
      <c r="C20" s="100">
        <v>18.46</v>
      </c>
      <c r="D20" s="100">
        <v>20.149999999999999</v>
      </c>
      <c r="E20" s="100">
        <v>8.4700000000000006</v>
      </c>
      <c r="F20" s="152" t="s">
        <v>15</v>
      </c>
      <c r="G20" s="100">
        <v>73.599999999999994</v>
      </c>
      <c r="H20" s="100">
        <v>28.43</v>
      </c>
      <c r="I20" s="100">
        <v>11.43</v>
      </c>
      <c r="J20" s="100">
        <v>0.24</v>
      </c>
      <c r="K20" s="100">
        <v>190.28</v>
      </c>
      <c r="L20" s="100">
        <v>21.12</v>
      </c>
      <c r="M20" s="100">
        <v>54.09</v>
      </c>
      <c r="N20" s="100">
        <v>0.7</v>
      </c>
      <c r="O20" s="100">
        <v>0</v>
      </c>
      <c r="P20" s="100">
        <v>0.86</v>
      </c>
      <c r="Q20" s="100">
        <v>28.32</v>
      </c>
      <c r="R20" s="6"/>
      <c r="S20" s="6"/>
      <c r="T20" s="156"/>
      <c r="U20" s="6"/>
    </row>
    <row r="21" spans="1:21" customFormat="1">
      <c r="A21" s="163" t="s">
        <v>1307</v>
      </c>
      <c r="B21" s="100">
        <v>10.89</v>
      </c>
      <c r="C21" s="100">
        <v>18.46</v>
      </c>
      <c r="D21" s="100">
        <v>19.73</v>
      </c>
      <c r="E21" s="100">
        <v>8.9</v>
      </c>
      <c r="F21" s="152" t="s">
        <v>15</v>
      </c>
      <c r="G21" s="100">
        <v>69.84</v>
      </c>
      <c r="H21" s="100">
        <v>27.43</v>
      </c>
      <c r="I21" s="100">
        <v>11.46</v>
      </c>
      <c r="J21" s="100">
        <v>0.23</v>
      </c>
      <c r="K21" s="100">
        <v>159.56</v>
      </c>
      <c r="L21" s="100">
        <v>20.62</v>
      </c>
      <c r="M21" s="100">
        <v>55.25</v>
      </c>
      <c r="N21" s="100">
        <v>0.9</v>
      </c>
      <c r="O21" s="100">
        <v>0</v>
      </c>
      <c r="P21" s="100">
        <v>0.85</v>
      </c>
      <c r="Q21" s="100">
        <v>28.29</v>
      </c>
      <c r="R21" s="6"/>
      <c r="S21" s="6"/>
      <c r="T21" s="156"/>
      <c r="U21" s="6"/>
    </row>
    <row r="22" spans="1:21" customFormat="1">
      <c r="A22" s="163" t="s">
        <v>1308</v>
      </c>
      <c r="B22" s="100">
        <v>10.41</v>
      </c>
      <c r="C22" s="100">
        <v>18.440000000000001</v>
      </c>
      <c r="D22" s="100">
        <v>19.329999999999998</v>
      </c>
      <c r="E22" s="100">
        <v>8.81</v>
      </c>
      <c r="F22" s="152" t="s">
        <v>15</v>
      </c>
      <c r="G22" s="100">
        <v>69.47</v>
      </c>
      <c r="H22" s="100">
        <v>27.43</v>
      </c>
      <c r="I22" s="100">
        <v>11.43</v>
      </c>
      <c r="J22" s="100">
        <v>0.2</v>
      </c>
      <c r="K22" s="100">
        <v>155.29</v>
      </c>
      <c r="L22" s="100">
        <v>20.6</v>
      </c>
      <c r="M22" s="100">
        <v>55.22</v>
      </c>
      <c r="N22" s="100">
        <v>0.7</v>
      </c>
      <c r="O22" s="100">
        <v>0</v>
      </c>
      <c r="P22" s="100">
        <v>0.84</v>
      </c>
      <c r="Q22" s="100">
        <v>28.25</v>
      </c>
      <c r="R22" s="6"/>
      <c r="S22" s="6"/>
      <c r="T22" s="156"/>
      <c r="U22" s="6"/>
    </row>
    <row r="23" spans="1:21" customFormat="1">
      <c r="A23" s="163" t="s">
        <v>1309</v>
      </c>
      <c r="B23" s="100">
        <v>10</v>
      </c>
      <c r="C23" s="100">
        <v>18.46</v>
      </c>
      <c r="D23" s="100">
        <v>19.02</v>
      </c>
      <c r="E23" s="100">
        <v>8.7100000000000009</v>
      </c>
      <c r="F23" s="152" t="s">
        <v>15</v>
      </c>
      <c r="G23" s="100">
        <v>69.47</v>
      </c>
      <c r="H23" s="100">
        <v>27.43</v>
      </c>
      <c r="I23" s="100">
        <v>11.43</v>
      </c>
      <c r="J23" s="100">
        <v>0.24</v>
      </c>
      <c r="K23" s="100">
        <v>163.05000000000001</v>
      </c>
      <c r="L23" s="100">
        <v>20.63</v>
      </c>
      <c r="M23" s="100">
        <v>55.91</v>
      </c>
      <c r="N23" s="100">
        <v>0.7</v>
      </c>
      <c r="O23" s="100">
        <v>0</v>
      </c>
      <c r="P23" s="100">
        <v>0.85</v>
      </c>
      <c r="Q23" s="100">
        <v>28.25</v>
      </c>
      <c r="R23" s="6"/>
      <c r="S23" s="6"/>
      <c r="T23" s="156"/>
      <c r="U23" s="6"/>
    </row>
    <row r="24" spans="1:21" customFormat="1">
      <c r="A24" s="163" t="s">
        <v>1310</v>
      </c>
      <c r="B24" s="100">
        <v>9.6</v>
      </c>
      <c r="C24" s="100">
        <v>18.399999999999999</v>
      </c>
      <c r="D24" s="100">
        <v>18.66</v>
      </c>
      <c r="E24" s="100">
        <v>8.8800000000000008</v>
      </c>
      <c r="F24" s="152" t="s">
        <v>15</v>
      </c>
      <c r="G24" s="100">
        <v>69.47</v>
      </c>
      <c r="H24" s="100">
        <v>27.43</v>
      </c>
      <c r="I24" s="100">
        <v>11.4</v>
      </c>
      <c r="J24" s="100">
        <v>0.24</v>
      </c>
      <c r="K24" s="100">
        <v>180.84</v>
      </c>
      <c r="L24" s="100">
        <v>20.34</v>
      </c>
      <c r="M24" s="100">
        <v>56.71</v>
      </c>
      <c r="N24" s="100">
        <v>0.7</v>
      </c>
      <c r="O24" s="100">
        <v>0</v>
      </c>
      <c r="P24" s="100">
        <v>0.85</v>
      </c>
      <c r="Q24" s="100">
        <v>28.24</v>
      </c>
      <c r="R24" s="6"/>
      <c r="S24" s="6"/>
      <c r="T24" s="156"/>
      <c r="U24" s="6"/>
    </row>
    <row r="25" spans="1:21" customFormat="1">
      <c r="A25" s="163" t="s">
        <v>1311</v>
      </c>
      <c r="B25" s="100">
        <v>9.2200000000000006</v>
      </c>
      <c r="C25" s="100">
        <v>18.329999999999998</v>
      </c>
      <c r="D25" s="100">
        <v>18.32</v>
      </c>
      <c r="E25" s="100">
        <v>9.15</v>
      </c>
      <c r="F25" s="152" t="s">
        <v>15</v>
      </c>
      <c r="G25" s="100">
        <v>58.55</v>
      </c>
      <c r="H25" s="100">
        <v>22.8</v>
      </c>
      <c r="I25" s="100">
        <v>11.37</v>
      </c>
      <c r="J25" s="100">
        <v>0.25</v>
      </c>
      <c r="K25" s="100">
        <v>207.03</v>
      </c>
      <c r="L25" s="100">
        <v>19.72</v>
      </c>
      <c r="M25" s="100">
        <v>61.04</v>
      </c>
      <c r="N25" s="100">
        <v>1.2</v>
      </c>
      <c r="O25" s="100">
        <v>0</v>
      </c>
      <c r="P25" s="100">
        <v>0.85</v>
      </c>
      <c r="Q25" s="100">
        <v>28.23</v>
      </c>
      <c r="R25" s="6"/>
      <c r="S25" s="6"/>
      <c r="T25" s="156"/>
      <c r="U25" s="6"/>
    </row>
    <row r="26" spans="1:21" customFormat="1">
      <c r="A26" s="163" t="s">
        <v>1312</v>
      </c>
      <c r="B26" s="100">
        <v>8.89</v>
      </c>
      <c r="C26" s="100">
        <v>18.2</v>
      </c>
      <c r="D26" s="100">
        <v>17.989999999999998</v>
      </c>
      <c r="E26" s="100">
        <v>8.65</v>
      </c>
      <c r="F26" s="152" t="s">
        <v>15</v>
      </c>
      <c r="G26" s="100">
        <v>57.48</v>
      </c>
      <c r="H26" s="100">
        <v>22.8</v>
      </c>
      <c r="I26" s="100">
        <v>11.36</v>
      </c>
      <c r="J26" s="100">
        <v>0.23</v>
      </c>
      <c r="K26" s="100">
        <v>182.75</v>
      </c>
      <c r="L26" s="100">
        <v>19.59</v>
      </c>
      <c r="M26" s="100">
        <v>60.78</v>
      </c>
      <c r="N26" s="100">
        <v>0.9</v>
      </c>
      <c r="O26" s="100">
        <v>0</v>
      </c>
      <c r="P26" s="100">
        <v>0.85</v>
      </c>
      <c r="Q26" s="100">
        <v>28.22</v>
      </c>
      <c r="R26" s="6"/>
      <c r="S26" s="6"/>
      <c r="T26" s="156"/>
      <c r="U26" s="6"/>
    </row>
    <row r="27" spans="1:21" customFormat="1">
      <c r="A27" s="163" t="s">
        <v>1313</v>
      </c>
      <c r="B27" s="100">
        <v>8.64</v>
      </c>
      <c r="C27" s="100">
        <v>18.13</v>
      </c>
      <c r="D27" s="100">
        <v>17.75</v>
      </c>
      <c r="E27" s="100">
        <v>8.89</v>
      </c>
      <c r="F27" s="152" t="s">
        <v>15</v>
      </c>
      <c r="G27" s="100">
        <v>57.48</v>
      </c>
      <c r="H27" s="100">
        <v>22.8</v>
      </c>
      <c r="I27" s="100">
        <v>11.36</v>
      </c>
      <c r="J27" s="100">
        <v>0.18</v>
      </c>
      <c r="K27" s="100">
        <v>182.22</v>
      </c>
      <c r="L27" s="100">
        <v>19.37</v>
      </c>
      <c r="M27" s="100">
        <v>60.69</v>
      </c>
      <c r="N27" s="100">
        <v>0.9</v>
      </c>
      <c r="O27" s="100">
        <v>0</v>
      </c>
      <c r="P27" s="100">
        <v>0.84</v>
      </c>
      <c r="Q27" s="100">
        <v>28.21</v>
      </c>
      <c r="R27" s="6"/>
      <c r="S27" s="6"/>
      <c r="T27" s="156"/>
      <c r="U27" s="6"/>
    </row>
    <row r="28" spans="1:21" customFormat="1">
      <c r="A28" s="163" t="s">
        <v>1314</v>
      </c>
      <c r="B28" s="100">
        <v>8.41</v>
      </c>
      <c r="C28" s="100">
        <v>18.010000000000002</v>
      </c>
      <c r="D28" s="100">
        <v>17.5</v>
      </c>
      <c r="E28" s="100">
        <v>8.76</v>
      </c>
      <c r="F28" s="152" t="s">
        <v>15</v>
      </c>
      <c r="G28" s="100">
        <v>57.48</v>
      </c>
      <c r="H28" s="100">
        <v>22.8</v>
      </c>
      <c r="I28" s="100">
        <v>11.3</v>
      </c>
      <c r="J28" s="100">
        <v>0.16</v>
      </c>
      <c r="K28" s="100">
        <v>148.44999999999999</v>
      </c>
      <c r="L28" s="100">
        <v>19.48</v>
      </c>
      <c r="M28" s="100">
        <v>60.03</v>
      </c>
      <c r="N28" s="100">
        <v>0.6</v>
      </c>
      <c r="O28" s="100">
        <v>0</v>
      </c>
      <c r="P28" s="100">
        <v>0.86</v>
      </c>
      <c r="Q28" s="100">
        <v>28.19</v>
      </c>
      <c r="R28" s="6"/>
      <c r="S28" s="6"/>
      <c r="T28" s="156"/>
      <c r="U28" s="6"/>
    </row>
    <row r="29" spans="1:21" customFormat="1">
      <c r="A29" s="163" t="s">
        <v>1315</v>
      </c>
      <c r="B29" s="100">
        <v>8.23</v>
      </c>
      <c r="C29" s="100">
        <v>17.96</v>
      </c>
      <c r="D29" s="100">
        <v>17.329999999999998</v>
      </c>
      <c r="E29" s="100">
        <v>8.82</v>
      </c>
      <c r="F29" s="152" t="s">
        <v>15</v>
      </c>
      <c r="G29" s="100">
        <v>56.06</v>
      </c>
      <c r="H29" s="100">
        <v>23.08</v>
      </c>
      <c r="I29" s="100">
        <v>11.27</v>
      </c>
      <c r="J29" s="100">
        <v>0.2</v>
      </c>
      <c r="K29" s="100">
        <v>184.19</v>
      </c>
      <c r="L29" s="100">
        <v>19.440000000000001</v>
      </c>
      <c r="M29" s="100">
        <v>62.3</v>
      </c>
      <c r="N29" s="100">
        <v>0.7</v>
      </c>
      <c r="O29" s="100">
        <v>0</v>
      </c>
      <c r="P29" s="100">
        <v>0.86</v>
      </c>
      <c r="Q29" s="100">
        <v>28.19</v>
      </c>
      <c r="R29" s="6"/>
      <c r="S29" s="6"/>
      <c r="T29" s="156"/>
      <c r="U29" s="6"/>
    </row>
    <row r="30" spans="1:21" customFormat="1">
      <c r="A30" s="163" t="s">
        <v>1316</v>
      </c>
      <c r="B30" s="100">
        <v>8.09</v>
      </c>
      <c r="C30" s="100">
        <v>18.010000000000002</v>
      </c>
      <c r="D30" s="100">
        <v>17.25</v>
      </c>
      <c r="E30" s="100">
        <v>8.61</v>
      </c>
      <c r="F30" s="152" t="s">
        <v>15</v>
      </c>
      <c r="G30" s="100">
        <v>55.92</v>
      </c>
      <c r="H30" s="100">
        <v>23.08</v>
      </c>
      <c r="I30" s="100">
        <v>11.37</v>
      </c>
      <c r="J30" s="100">
        <v>0.15</v>
      </c>
      <c r="K30" s="100">
        <v>161.03</v>
      </c>
      <c r="L30" s="100">
        <v>19.32</v>
      </c>
      <c r="M30" s="100">
        <v>58.58</v>
      </c>
      <c r="N30" s="100">
        <v>0.7</v>
      </c>
      <c r="O30" s="100">
        <v>0</v>
      </c>
      <c r="P30" s="100">
        <v>0.88</v>
      </c>
      <c r="Q30" s="100">
        <v>28.15</v>
      </c>
      <c r="R30" s="6"/>
      <c r="S30" s="6"/>
      <c r="T30" s="156"/>
      <c r="U30" s="6"/>
    </row>
    <row r="31" spans="1:21" customFormat="1">
      <c r="A31" s="163" t="s">
        <v>1317</v>
      </c>
      <c r="B31" s="100">
        <v>7.85</v>
      </c>
      <c r="C31" s="100">
        <v>17.809999999999999</v>
      </c>
      <c r="D31" s="100">
        <v>16.95</v>
      </c>
      <c r="E31" s="100">
        <v>8.59</v>
      </c>
      <c r="F31" s="152" t="s">
        <v>15</v>
      </c>
      <c r="G31" s="100">
        <v>55.92</v>
      </c>
      <c r="H31" s="100">
        <v>23.08</v>
      </c>
      <c r="I31" s="100">
        <v>11.53</v>
      </c>
      <c r="J31" s="100">
        <v>0.25</v>
      </c>
      <c r="K31" s="100">
        <v>168.01</v>
      </c>
      <c r="L31" s="100">
        <v>19.440000000000001</v>
      </c>
      <c r="M31" s="100">
        <v>60.21</v>
      </c>
      <c r="N31" s="100">
        <v>0.7</v>
      </c>
      <c r="O31" s="100">
        <v>0</v>
      </c>
      <c r="P31" s="100">
        <v>0.89</v>
      </c>
      <c r="Q31" s="100">
        <v>28.17</v>
      </c>
      <c r="R31" s="6"/>
      <c r="S31" s="6"/>
      <c r="T31" s="156"/>
      <c r="U31" s="6"/>
    </row>
    <row r="32" spans="1:21" customFormat="1">
      <c r="A32" s="163" t="s">
        <v>1318</v>
      </c>
      <c r="B32" s="100">
        <v>7.68</v>
      </c>
      <c r="C32" s="100">
        <v>17.88</v>
      </c>
      <c r="D32" s="100">
        <v>16.850000000000001</v>
      </c>
      <c r="E32" s="100">
        <v>8.6300000000000008</v>
      </c>
      <c r="F32" s="152" t="s">
        <v>15</v>
      </c>
      <c r="G32" s="100">
        <v>55.92</v>
      </c>
      <c r="H32" s="100">
        <v>23.08</v>
      </c>
      <c r="I32" s="100">
        <v>11.64</v>
      </c>
      <c r="J32" s="100">
        <v>0.24</v>
      </c>
      <c r="K32" s="100">
        <v>166.29</v>
      </c>
      <c r="L32" s="100">
        <v>19.23</v>
      </c>
      <c r="M32" s="100">
        <v>61.03</v>
      </c>
      <c r="N32" s="100">
        <v>0.9</v>
      </c>
      <c r="O32" s="100">
        <v>0</v>
      </c>
      <c r="P32" s="100">
        <v>0.91</v>
      </c>
      <c r="Q32" s="100">
        <v>28.17</v>
      </c>
      <c r="R32" s="6"/>
      <c r="S32" s="6"/>
      <c r="T32" s="156"/>
      <c r="U32" s="6"/>
    </row>
    <row r="33" spans="1:21" customFormat="1">
      <c r="A33" s="163" t="s">
        <v>1319</v>
      </c>
      <c r="B33" s="100">
        <v>7.58</v>
      </c>
      <c r="C33" s="100">
        <v>17.98</v>
      </c>
      <c r="D33" s="100">
        <v>16.829999999999998</v>
      </c>
      <c r="E33" s="100">
        <v>8.34</v>
      </c>
      <c r="F33" s="152" t="s">
        <v>15</v>
      </c>
      <c r="G33" s="100">
        <v>60.74</v>
      </c>
      <c r="H33" s="100">
        <v>26.43</v>
      </c>
      <c r="I33" s="100">
        <v>11.75</v>
      </c>
      <c r="J33" s="100">
        <v>0.26</v>
      </c>
      <c r="K33" s="100">
        <v>164.99</v>
      </c>
      <c r="L33" s="100">
        <v>18.97</v>
      </c>
      <c r="M33" s="100">
        <v>62.24</v>
      </c>
      <c r="N33" s="100">
        <v>2.2999999999999998</v>
      </c>
      <c r="O33" s="100">
        <v>0</v>
      </c>
      <c r="P33" s="100">
        <v>0.93</v>
      </c>
      <c r="Q33" s="100">
        <v>28.18</v>
      </c>
      <c r="R33" s="6"/>
      <c r="S33" s="6"/>
      <c r="T33" s="156"/>
      <c r="U33" s="6"/>
    </row>
    <row r="34" spans="1:21" customFormat="1">
      <c r="A34" s="163" t="s">
        <v>1320</v>
      </c>
      <c r="B34" s="100">
        <v>7.54</v>
      </c>
      <c r="C34" s="100">
        <v>17.899999999999999</v>
      </c>
      <c r="D34" s="100">
        <v>16.75</v>
      </c>
      <c r="E34" s="100">
        <v>8.2799999999999994</v>
      </c>
      <c r="F34" s="152" t="s">
        <v>15</v>
      </c>
      <c r="G34" s="100">
        <v>61.21</v>
      </c>
      <c r="H34" s="100">
        <v>26.43</v>
      </c>
      <c r="I34" s="100">
        <v>11.91</v>
      </c>
      <c r="J34" s="100">
        <v>0.23</v>
      </c>
      <c r="K34" s="100">
        <v>181.86</v>
      </c>
      <c r="L34" s="100">
        <v>18.760000000000002</v>
      </c>
      <c r="M34" s="100">
        <v>64.27</v>
      </c>
      <c r="N34" s="100">
        <v>6.5</v>
      </c>
      <c r="O34" s="100">
        <v>0</v>
      </c>
      <c r="P34" s="100">
        <v>0.93</v>
      </c>
      <c r="Q34" s="100">
        <v>28.16</v>
      </c>
      <c r="R34" s="6"/>
      <c r="S34" s="6"/>
      <c r="T34" s="156"/>
      <c r="U34" s="6"/>
    </row>
    <row r="35" spans="1:21" customFormat="1">
      <c r="A35" s="163" t="s">
        <v>1321</v>
      </c>
      <c r="B35" s="100">
        <v>7.5</v>
      </c>
      <c r="C35" s="100">
        <v>17.77</v>
      </c>
      <c r="D35" s="100">
        <v>16.649999999999999</v>
      </c>
      <c r="E35" s="100">
        <v>8.48</v>
      </c>
      <c r="F35" s="152" t="s">
        <v>15</v>
      </c>
      <c r="G35" s="100">
        <v>61.21</v>
      </c>
      <c r="H35" s="100">
        <v>26.43</v>
      </c>
      <c r="I35" s="100">
        <v>12.05</v>
      </c>
      <c r="J35" s="100">
        <v>0.13</v>
      </c>
      <c r="K35" s="100">
        <v>174.25</v>
      </c>
      <c r="L35" s="100">
        <v>18.670000000000002</v>
      </c>
      <c r="M35" s="100">
        <v>63.69</v>
      </c>
      <c r="N35" s="100">
        <v>12.3</v>
      </c>
      <c r="O35" s="100">
        <v>0</v>
      </c>
      <c r="P35" s="100">
        <v>0.96</v>
      </c>
      <c r="Q35" s="100">
        <v>28.16</v>
      </c>
      <c r="R35" s="6"/>
      <c r="S35" s="6"/>
      <c r="T35" s="156"/>
      <c r="U35" s="6"/>
    </row>
    <row r="36" spans="1:21" customFormat="1">
      <c r="A36" s="163" t="s">
        <v>1322</v>
      </c>
      <c r="B36" s="100">
        <v>7.45</v>
      </c>
      <c r="C36" s="100">
        <v>17.760000000000002</v>
      </c>
      <c r="D36" s="100">
        <v>16.600000000000001</v>
      </c>
      <c r="E36" s="100">
        <v>8.3000000000000007</v>
      </c>
      <c r="F36" s="152" t="s">
        <v>15</v>
      </c>
      <c r="G36" s="100">
        <v>61.21</v>
      </c>
      <c r="H36" s="100">
        <v>26.43</v>
      </c>
      <c r="I36" s="100">
        <v>12.15</v>
      </c>
      <c r="J36" s="100">
        <v>0.21</v>
      </c>
      <c r="K36" s="100">
        <v>165.55</v>
      </c>
      <c r="L36" s="100">
        <v>19.45</v>
      </c>
      <c r="M36" s="100">
        <v>61.75</v>
      </c>
      <c r="N36" s="100">
        <v>18.2</v>
      </c>
      <c r="O36" s="100">
        <v>0</v>
      </c>
      <c r="P36" s="100">
        <v>0.96</v>
      </c>
      <c r="Q36" s="100">
        <v>28.14</v>
      </c>
      <c r="R36" s="6"/>
      <c r="S36" s="6"/>
      <c r="T36" s="156"/>
      <c r="U36" s="6"/>
    </row>
    <row r="37" spans="1:21" customFormat="1">
      <c r="A37" s="163" t="s">
        <v>1323</v>
      </c>
      <c r="B37" s="100">
        <v>7.51</v>
      </c>
      <c r="C37" s="100">
        <v>18.09</v>
      </c>
      <c r="D37" s="100">
        <v>16.829999999999998</v>
      </c>
      <c r="E37" s="100">
        <v>8.4499999999999993</v>
      </c>
      <c r="F37" s="152" t="s">
        <v>15</v>
      </c>
      <c r="G37" s="100">
        <v>65.12</v>
      </c>
      <c r="H37" s="100">
        <v>27.48</v>
      </c>
      <c r="I37" s="100">
        <v>12.2</v>
      </c>
      <c r="J37" s="100">
        <v>0.2</v>
      </c>
      <c r="K37" s="100">
        <v>160.07</v>
      </c>
      <c r="L37" s="100">
        <v>20.22</v>
      </c>
      <c r="M37" s="100">
        <v>60.07</v>
      </c>
      <c r="N37" s="100">
        <v>23.8</v>
      </c>
      <c r="O37" s="100">
        <v>0</v>
      </c>
      <c r="P37" s="100">
        <v>0.98</v>
      </c>
      <c r="Q37" s="100">
        <v>28.14</v>
      </c>
      <c r="R37" s="6"/>
      <c r="S37" s="6"/>
      <c r="T37" s="156"/>
      <c r="U37" s="6"/>
    </row>
    <row r="38" spans="1:21" customFormat="1">
      <c r="A38" s="163" t="s">
        <v>1324</v>
      </c>
      <c r="B38" s="100">
        <v>7.66</v>
      </c>
      <c r="C38" s="100">
        <v>18.54</v>
      </c>
      <c r="D38" s="100">
        <v>17.18</v>
      </c>
      <c r="E38" s="100">
        <v>8.0500000000000007</v>
      </c>
      <c r="F38" s="152" t="s">
        <v>15</v>
      </c>
      <c r="G38" s="100">
        <v>65.5</v>
      </c>
      <c r="H38" s="100">
        <v>27.48</v>
      </c>
      <c r="I38" s="100">
        <v>12.23</v>
      </c>
      <c r="J38" s="100">
        <v>0.21</v>
      </c>
      <c r="K38" s="100">
        <v>166.72</v>
      </c>
      <c r="L38" s="100">
        <v>21.15</v>
      </c>
      <c r="M38" s="100">
        <v>56.34</v>
      </c>
      <c r="N38" s="100">
        <v>28.9</v>
      </c>
      <c r="O38" s="100">
        <v>0</v>
      </c>
      <c r="P38" s="100">
        <v>0.98</v>
      </c>
      <c r="Q38" s="100">
        <v>28.17</v>
      </c>
      <c r="R38" s="6"/>
      <c r="S38" s="6"/>
      <c r="T38" s="156"/>
      <c r="U38" s="6"/>
    </row>
    <row r="39" spans="1:21" customFormat="1">
      <c r="A39" s="163" t="s">
        <v>1325</v>
      </c>
      <c r="B39" s="100">
        <v>7.71</v>
      </c>
      <c r="C39" s="100">
        <v>18.98</v>
      </c>
      <c r="D39" s="100">
        <v>17.45</v>
      </c>
      <c r="E39" s="100">
        <v>7.95</v>
      </c>
      <c r="F39" s="152" t="s">
        <v>15</v>
      </c>
      <c r="G39" s="100">
        <v>65.5</v>
      </c>
      <c r="H39" s="100">
        <v>27.48</v>
      </c>
      <c r="I39" s="100">
        <v>12.31</v>
      </c>
      <c r="J39" s="100">
        <v>0.3</v>
      </c>
      <c r="K39" s="100">
        <v>166.83</v>
      </c>
      <c r="L39" s="100">
        <v>22.44</v>
      </c>
      <c r="M39" s="100">
        <v>54.87</v>
      </c>
      <c r="N39" s="100">
        <v>34.5</v>
      </c>
      <c r="O39" s="100">
        <v>0</v>
      </c>
      <c r="P39" s="100">
        <v>1</v>
      </c>
      <c r="Q39" s="100">
        <v>28.17</v>
      </c>
      <c r="R39" s="6"/>
      <c r="S39" s="6"/>
      <c r="T39" s="156"/>
      <c r="U39" s="6"/>
    </row>
    <row r="40" spans="1:21" customFormat="1">
      <c r="A40" s="163" t="s">
        <v>1326</v>
      </c>
      <c r="B40" s="100">
        <v>7.78</v>
      </c>
      <c r="C40" s="100">
        <v>19.36</v>
      </c>
      <c r="D40" s="100">
        <v>17.71</v>
      </c>
      <c r="E40" s="100">
        <v>8.35</v>
      </c>
      <c r="F40" s="152" t="s">
        <v>15</v>
      </c>
      <c r="G40" s="100">
        <v>65.5</v>
      </c>
      <c r="H40" s="100">
        <v>27.48</v>
      </c>
      <c r="I40" s="100">
        <v>12.42</v>
      </c>
      <c r="J40" s="100">
        <v>0.39</v>
      </c>
      <c r="K40" s="100">
        <v>163.06</v>
      </c>
      <c r="L40" s="100">
        <v>23.91</v>
      </c>
      <c r="M40" s="100">
        <v>50.25</v>
      </c>
      <c r="N40" s="100">
        <v>44.2</v>
      </c>
      <c r="O40" s="100">
        <v>0</v>
      </c>
      <c r="P40" s="100">
        <v>1.02</v>
      </c>
      <c r="Q40" s="100">
        <v>28.18</v>
      </c>
      <c r="R40" s="6"/>
      <c r="S40" s="6"/>
      <c r="T40" s="156"/>
      <c r="U40" s="6"/>
    </row>
    <row r="41" spans="1:21" customFormat="1">
      <c r="A41" s="163" t="s">
        <v>1327</v>
      </c>
      <c r="B41" s="100">
        <v>7.85</v>
      </c>
      <c r="C41" s="100">
        <v>19.829999999999998</v>
      </c>
      <c r="D41" s="100">
        <v>18</v>
      </c>
      <c r="E41" s="100">
        <v>8.51</v>
      </c>
      <c r="F41" s="152" t="s">
        <v>15</v>
      </c>
      <c r="G41" s="100">
        <v>70.92</v>
      </c>
      <c r="H41" s="100">
        <v>38.380000000000003</v>
      </c>
      <c r="I41" s="100">
        <v>12.55</v>
      </c>
      <c r="J41" s="100">
        <v>0.26</v>
      </c>
      <c r="K41" s="100">
        <v>155.01</v>
      </c>
      <c r="L41" s="100">
        <v>26.09</v>
      </c>
      <c r="M41" s="100">
        <v>43.28</v>
      </c>
      <c r="N41" s="100">
        <v>97.4</v>
      </c>
      <c r="O41" s="100">
        <v>0</v>
      </c>
      <c r="P41" s="100">
        <v>1.03</v>
      </c>
      <c r="Q41" s="100">
        <v>28.18</v>
      </c>
      <c r="R41" s="6"/>
      <c r="S41" s="6"/>
      <c r="T41" s="156"/>
      <c r="U41" s="6"/>
    </row>
    <row r="42" spans="1:21" customFormat="1">
      <c r="A42" s="163" t="s">
        <v>1328</v>
      </c>
      <c r="B42" s="100">
        <v>7.86</v>
      </c>
      <c r="C42" s="100">
        <v>20.05</v>
      </c>
      <c r="D42" s="100">
        <v>18.13</v>
      </c>
      <c r="E42" s="100">
        <v>8.6999999999999993</v>
      </c>
      <c r="F42" s="152" t="s">
        <v>15</v>
      </c>
      <c r="G42" s="100">
        <v>71.45</v>
      </c>
      <c r="H42" s="100">
        <v>38.380000000000003</v>
      </c>
      <c r="I42" s="100">
        <v>12.68</v>
      </c>
      <c r="J42" s="100">
        <v>0.19</v>
      </c>
      <c r="K42" s="100">
        <v>169.12</v>
      </c>
      <c r="L42" s="100">
        <v>28.08</v>
      </c>
      <c r="M42" s="100">
        <v>37.25</v>
      </c>
      <c r="N42" s="100">
        <v>168.9</v>
      </c>
      <c r="O42" s="100">
        <v>0</v>
      </c>
      <c r="P42" s="100">
        <v>1.04</v>
      </c>
      <c r="Q42" s="100">
        <v>28.19</v>
      </c>
      <c r="R42" s="6"/>
      <c r="S42" s="6"/>
      <c r="T42" s="156"/>
      <c r="U42" s="6"/>
    </row>
    <row r="43" spans="1:21" customFormat="1">
      <c r="A43" s="163" t="s">
        <v>1329</v>
      </c>
      <c r="B43" s="100">
        <v>7.64</v>
      </c>
      <c r="C43" s="100">
        <v>20.38</v>
      </c>
      <c r="D43" s="100">
        <v>18.13</v>
      </c>
      <c r="E43" s="100">
        <v>8.7200000000000006</v>
      </c>
      <c r="F43" s="152" t="s">
        <v>15</v>
      </c>
      <c r="G43" s="100">
        <v>71.45</v>
      </c>
      <c r="H43" s="100">
        <v>38.380000000000003</v>
      </c>
      <c r="I43" s="100">
        <v>12.84</v>
      </c>
      <c r="J43" s="100">
        <v>0.22</v>
      </c>
      <c r="K43" s="100">
        <v>225.41</v>
      </c>
      <c r="L43" s="100">
        <v>29.39</v>
      </c>
      <c r="M43" s="100">
        <v>32.57</v>
      </c>
      <c r="N43" s="100">
        <v>235.8</v>
      </c>
      <c r="O43" s="100">
        <v>0</v>
      </c>
      <c r="P43" s="100">
        <v>1.04</v>
      </c>
      <c r="Q43" s="100">
        <v>28.19</v>
      </c>
      <c r="R43" s="6"/>
      <c r="S43" s="6"/>
      <c r="T43" s="156"/>
      <c r="U43" s="6"/>
    </row>
    <row r="44" spans="1:21" customFormat="1">
      <c r="A44" s="163" t="s">
        <v>1330</v>
      </c>
      <c r="B44" s="100">
        <v>7.21</v>
      </c>
      <c r="C44" s="100">
        <v>20.64</v>
      </c>
      <c r="D44" s="100">
        <v>17.920000000000002</v>
      </c>
      <c r="E44" s="100">
        <v>9.75</v>
      </c>
      <c r="F44" s="152" t="s">
        <v>15</v>
      </c>
      <c r="G44" s="100">
        <v>71.45</v>
      </c>
      <c r="H44" s="100">
        <v>38.380000000000003</v>
      </c>
      <c r="I44" s="100">
        <v>13</v>
      </c>
      <c r="J44" s="100">
        <v>0.56000000000000005</v>
      </c>
      <c r="K44" s="100">
        <v>253.68</v>
      </c>
      <c r="L44" s="100">
        <v>29.76</v>
      </c>
      <c r="M44" s="100">
        <v>31.25</v>
      </c>
      <c r="N44" s="100">
        <v>241.4</v>
      </c>
      <c r="O44" s="100">
        <v>0</v>
      </c>
      <c r="P44" s="100">
        <v>1.04</v>
      </c>
      <c r="Q44" s="100">
        <v>28.14</v>
      </c>
      <c r="R44" s="6"/>
      <c r="S44" s="6"/>
      <c r="T44" s="156"/>
      <c r="U44" s="6"/>
    </row>
    <row r="45" spans="1:21" customFormat="1">
      <c r="A45" s="163" t="s">
        <v>1331</v>
      </c>
      <c r="B45" s="100">
        <v>6.49</v>
      </c>
      <c r="C45" s="100">
        <v>20.78</v>
      </c>
      <c r="D45" s="100">
        <v>17.41</v>
      </c>
      <c r="E45" s="100">
        <v>11.05</v>
      </c>
      <c r="F45" s="152" t="s">
        <v>15</v>
      </c>
      <c r="G45" s="100">
        <v>85.22</v>
      </c>
      <c r="H45" s="100">
        <v>40.69</v>
      </c>
      <c r="I45" s="100">
        <v>13.12</v>
      </c>
      <c r="J45" s="100">
        <v>1.0900000000000001</v>
      </c>
      <c r="K45" s="100">
        <v>259.79000000000002</v>
      </c>
      <c r="L45" s="100">
        <v>29.86</v>
      </c>
      <c r="M45" s="100">
        <v>30.96</v>
      </c>
      <c r="N45" s="100">
        <v>202</v>
      </c>
      <c r="O45" s="100">
        <v>0</v>
      </c>
      <c r="P45" s="100">
        <v>1.05</v>
      </c>
      <c r="Q45" s="100">
        <v>28.14</v>
      </c>
      <c r="R45" s="6"/>
      <c r="S45" s="6"/>
      <c r="T45" s="156"/>
      <c r="U45" s="6"/>
    </row>
    <row r="46" spans="1:21" customFormat="1">
      <c r="A46" s="163" t="s">
        <v>1332</v>
      </c>
      <c r="B46" s="100">
        <v>5.85</v>
      </c>
      <c r="C46" s="100">
        <v>20.8</v>
      </c>
      <c r="D46" s="100">
        <v>16.91</v>
      </c>
      <c r="E46" s="100">
        <v>9.57</v>
      </c>
      <c r="F46" s="152" t="s">
        <v>15</v>
      </c>
      <c r="G46" s="100">
        <v>86.56</v>
      </c>
      <c r="H46" s="100">
        <v>40.69</v>
      </c>
      <c r="I46" s="100">
        <v>13.19</v>
      </c>
      <c r="J46" s="100">
        <v>1.08</v>
      </c>
      <c r="K46" s="100">
        <v>261.93</v>
      </c>
      <c r="L46" s="100">
        <v>29.6</v>
      </c>
      <c r="M46" s="100">
        <v>32.630000000000003</v>
      </c>
      <c r="N46" s="100">
        <v>277.3</v>
      </c>
      <c r="O46" s="100">
        <v>0</v>
      </c>
      <c r="P46" s="100">
        <v>1.04</v>
      </c>
      <c r="Q46" s="100">
        <v>28.11</v>
      </c>
      <c r="R46" s="6"/>
      <c r="S46" s="6"/>
      <c r="T46" s="156"/>
      <c r="U46" s="6"/>
    </row>
    <row r="47" spans="1:21" customFormat="1">
      <c r="A47" s="163" t="s">
        <v>1333</v>
      </c>
      <c r="B47" s="100">
        <v>5.1100000000000003</v>
      </c>
      <c r="C47" s="100">
        <v>20.81</v>
      </c>
      <c r="D47" s="100">
        <v>16.32</v>
      </c>
      <c r="E47" s="100">
        <v>11.01</v>
      </c>
      <c r="F47" s="152" t="s">
        <v>15</v>
      </c>
      <c r="G47" s="100">
        <v>86.56</v>
      </c>
      <c r="H47" s="100">
        <v>40.69</v>
      </c>
      <c r="I47" s="100">
        <v>13.3</v>
      </c>
      <c r="J47" s="100">
        <v>0.88</v>
      </c>
      <c r="K47" s="100">
        <v>257.73</v>
      </c>
      <c r="L47" s="100">
        <v>30</v>
      </c>
      <c r="M47" s="100">
        <v>27.65</v>
      </c>
      <c r="N47" s="100">
        <v>286.3</v>
      </c>
      <c r="O47" s="100">
        <v>0</v>
      </c>
      <c r="P47" s="100">
        <v>1.05</v>
      </c>
      <c r="Q47" s="100">
        <v>28.08</v>
      </c>
      <c r="R47" s="6"/>
      <c r="S47" s="6"/>
      <c r="T47" s="156"/>
      <c r="U47" s="6"/>
    </row>
    <row r="48" spans="1:21" customFormat="1">
      <c r="A48" s="163" t="s">
        <v>1334</v>
      </c>
      <c r="B48" s="100">
        <v>4.58</v>
      </c>
      <c r="C48" s="100">
        <v>20.59</v>
      </c>
      <c r="D48" s="100">
        <v>15.78</v>
      </c>
      <c r="E48" s="100">
        <v>9.9600000000000009</v>
      </c>
      <c r="F48" s="152" t="s">
        <v>15</v>
      </c>
      <c r="G48" s="100">
        <v>86.56</v>
      </c>
      <c r="H48" s="100">
        <v>40.69</v>
      </c>
      <c r="I48" s="100">
        <v>14.09</v>
      </c>
      <c r="J48" s="100">
        <v>0.85</v>
      </c>
      <c r="K48" s="100">
        <v>250.64</v>
      </c>
      <c r="L48" s="100">
        <v>31.05</v>
      </c>
      <c r="M48" s="100">
        <v>25.64</v>
      </c>
      <c r="N48" s="100">
        <v>296.60000000000002</v>
      </c>
      <c r="O48" s="100">
        <v>0</v>
      </c>
      <c r="P48" s="100">
        <v>1.04</v>
      </c>
      <c r="Q48" s="100">
        <v>28.07</v>
      </c>
      <c r="R48" s="6"/>
      <c r="S48" s="6"/>
      <c r="T48" s="156"/>
      <c r="U48" s="6"/>
    </row>
    <row r="49" spans="1:21" customFormat="1">
      <c r="A49" s="163" t="s">
        <v>1335</v>
      </c>
      <c r="B49" s="100">
        <v>4.1900000000000004</v>
      </c>
      <c r="C49" s="100">
        <v>20.16</v>
      </c>
      <c r="D49" s="100">
        <v>15.25</v>
      </c>
      <c r="E49" s="100">
        <v>7.68</v>
      </c>
      <c r="F49" s="152" t="s">
        <v>15</v>
      </c>
      <c r="G49" s="100">
        <v>90.53</v>
      </c>
      <c r="H49" s="100">
        <v>36.68</v>
      </c>
      <c r="I49" s="100">
        <v>14.99</v>
      </c>
      <c r="J49" s="100">
        <v>0.91</v>
      </c>
      <c r="K49" s="100">
        <v>262</v>
      </c>
      <c r="L49" s="100">
        <v>31.74</v>
      </c>
      <c r="M49" s="100">
        <v>25.45</v>
      </c>
      <c r="N49" s="100">
        <v>260.39999999999998</v>
      </c>
      <c r="O49" s="100">
        <v>0</v>
      </c>
      <c r="P49" s="100">
        <v>1.03</v>
      </c>
      <c r="Q49" s="100">
        <v>28.05</v>
      </c>
      <c r="R49" s="6"/>
      <c r="S49" s="6"/>
      <c r="T49" s="156"/>
      <c r="U49" s="6"/>
    </row>
    <row r="50" spans="1:21" customFormat="1">
      <c r="A50" s="163" t="s">
        <v>1336</v>
      </c>
      <c r="B50" s="100">
        <v>3.97</v>
      </c>
      <c r="C50" s="100">
        <v>19.79</v>
      </c>
      <c r="D50" s="100">
        <v>14.88</v>
      </c>
      <c r="E50" s="100">
        <v>8.67</v>
      </c>
      <c r="F50" s="152" t="s">
        <v>15</v>
      </c>
      <c r="G50" s="100">
        <v>90.92</v>
      </c>
      <c r="H50" s="100">
        <v>36.68</v>
      </c>
      <c r="I50" s="100">
        <v>14.48</v>
      </c>
      <c r="J50" s="100">
        <v>0.68</v>
      </c>
      <c r="K50" s="100">
        <v>259.81</v>
      </c>
      <c r="L50" s="100">
        <v>32.78</v>
      </c>
      <c r="M50" s="100">
        <v>23.87</v>
      </c>
      <c r="N50" s="100">
        <v>231.6</v>
      </c>
      <c r="O50" s="100">
        <v>0</v>
      </c>
      <c r="P50" s="100">
        <v>1.02</v>
      </c>
      <c r="Q50" s="100">
        <v>28.03</v>
      </c>
      <c r="R50" s="6"/>
      <c r="S50" s="6"/>
      <c r="T50" s="156"/>
      <c r="U50" s="6"/>
    </row>
    <row r="51" spans="1:21" customFormat="1">
      <c r="A51" s="163" t="s">
        <v>1337</v>
      </c>
      <c r="B51" s="100">
        <v>3.83</v>
      </c>
      <c r="C51" s="100">
        <v>19.43</v>
      </c>
      <c r="D51" s="100">
        <v>14.57</v>
      </c>
      <c r="E51" s="100">
        <v>8.76</v>
      </c>
      <c r="F51" s="152" t="s">
        <v>15</v>
      </c>
      <c r="G51" s="100">
        <v>90.92</v>
      </c>
      <c r="H51" s="100">
        <v>36.68</v>
      </c>
      <c r="I51" s="100">
        <v>14.23</v>
      </c>
      <c r="J51" s="100">
        <v>0.92</v>
      </c>
      <c r="K51" s="100">
        <v>259.06</v>
      </c>
      <c r="L51" s="100">
        <v>33.49</v>
      </c>
      <c r="M51" s="100">
        <v>22.79</v>
      </c>
      <c r="N51" s="100">
        <v>316.39999999999998</v>
      </c>
      <c r="O51" s="100">
        <v>0</v>
      </c>
      <c r="P51" s="100">
        <v>1.02</v>
      </c>
      <c r="Q51" s="100">
        <v>28.02</v>
      </c>
      <c r="R51" s="6"/>
      <c r="S51" s="6"/>
      <c r="T51" s="156"/>
      <c r="U51" s="6"/>
    </row>
    <row r="52" spans="1:21" customFormat="1">
      <c r="A52" s="163" t="s">
        <v>1338</v>
      </c>
      <c r="B52" s="100">
        <v>3.71</v>
      </c>
      <c r="C52" s="100">
        <v>18.989999999999998</v>
      </c>
      <c r="D52" s="100">
        <v>14.24</v>
      </c>
      <c r="E52" s="100">
        <v>9</v>
      </c>
      <c r="F52" s="152" t="s">
        <v>15</v>
      </c>
      <c r="G52" s="100">
        <v>90.92</v>
      </c>
      <c r="H52" s="100">
        <v>36.68</v>
      </c>
      <c r="I52" s="100">
        <v>14.08</v>
      </c>
      <c r="J52" s="100">
        <v>0.64</v>
      </c>
      <c r="K52" s="100">
        <v>257.33999999999997</v>
      </c>
      <c r="L52" s="100">
        <v>34.47</v>
      </c>
      <c r="M52" s="100">
        <v>21.83</v>
      </c>
      <c r="N52" s="100">
        <v>325.3</v>
      </c>
      <c r="O52" s="100">
        <v>0</v>
      </c>
      <c r="P52" s="100">
        <v>1.01</v>
      </c>
      <c r="Q52" s="100">
        <v>28</v>
      </c>
      <c r="R52" s="6"/>
      <c r="S52" s="6"/>
      <c r="T52" s="156"/>
      <c r="U52" s="6"/>
    </row>
    <row r="53" spans="1:21" customFormat="1">
      <c r="A53" s="163" t="s">
        <v>1339</v>
      </c>
      <c r="B53" s="100">
        <v>3.63</v>
      </c>
      <c r="C53" s="100">
        <v>18.09</v>
      </c>
      <c r="D53" s="100">
        <v>13.71</v>
      </c>
      <c r="E53" s="100">
        <v>9.5</v>
      </c>
      <c r="F53" s="152" t="s">
        <v>15</v>
      </c>
      <c r="G53" s="100">
        <v>86.86</v>
      </c>
      <c r="H53" s="100">
        <v>35.950000000000003</v>
      </c>
      <c r="I53" s="100">
        <v>13.91</v>
      </c>
      <c r="J53" s="100">
        <v>0.61</v>
      </c>
      <c r="K53" s="100">
        <v>256.37</v>
      </c>
      <c r="L53" s="100">
        <v>35.020000000000003</v>
      </c>
      <c r="M53" s="100">
        <v>20.72</v>
      </c>
      <c r="N53" s="100">
        <v>326.3</v>
      </c>
      <c r="O53" s="100">
        <v>0</v>
      </c>
      <c r="P53" s="100">
        <v>0.99</v>
      </c>
      <c r="Q53" s="100">
        <v>28.02</v>
      </c>
      <c r="R53" s="6"/>
      <c r="S53" s="6"/>
      <c r="T53" s="156"/>
      <c r="U53" s="6"/>
    </row>
    <row r="54" spans="1:21" customFormat="1">
      <c r="A54" s="163" t="s">
        <v>1340</v>
      </c>
      <c r="B54" s="100">
        <v>3.61</v>
      </c>
      <c r="C54" s="100">
        <v>18.03</v>
      </c>
      <c r="D54" s="100">
        <v>13.66</v>
      </c>
      <c r="E54" s="100">
        <v>9.17</v>
      </c>
      <c r="F54" s="152" t="s">
        <v>15</v>
      </c>
      <c r="G54" s="100">
        <v>86.46</v>
      </c>
      <c r="H54" s="100">
        <v>35.950000000000003</v>
      </c>
      <c r="I54" s="100">
        <v>13.56</v>
      </c>
      <c r="J54" s="100">
        <v>0.61</v>
      </c>
      <c r="K54" s="100">
        <v>268.69</v>
      </c>
      <c r="L54" s="100">
        <v>35.72</v>
      </c>
      <c r="M54" s="100">
        <v>19.2</v>
      </c>
      <c r="N54" s="100">
        <v>313.3</v>
      </c>
      <c r="O54" s="100">
        <v>0</v>
      </c>
      <c r="P54" s="100">
        <v>0.98</v>
      </c>
      <c r="Q54" s="100">
        <v>28.01</v>
      </c>
      <c r="R54" s="6"/>
      <c r="S54" s="6"/>
      <c r="T54" s="156"/>
      <c r="U54" s="6"/>
    </row>
    <row r="55" spans="1:21" customFormat="1">
      <c r="A55" s="163" t="s">
        <v>1341</v>
      </c>
      <c r="B55" s="100">
        <v>3.65</v>
      </c>
      <c r="C55" s="100">
        <v>18.05</v>
      </c>
      <c r="D55" s="100">
        <v>13.71</v>
      </c>
      <c r="E55" s="100">
        <v>9.61</v>
      </c>
      <c r="F55" s="152" t="s">
        <v>15</v>
      </c>
      <c r="G55" s="100">
        <v>86.46</v>
      </c>
      <c r="H55" s="100">
        <v>35.950000000000003</v>
      </c>
      <c r="I55" s="100">
        <v>13.2</v>
      </c>
      <c r="J55" s="100">
        <v>1.01</v>
      </c>
      <c r="K55" s="100">
        <v>293.08999999999997</v>
      </c>
      <c r="L55" s="100">
        <v>36.04</v>
      </c>
      <c r="M55" s="100">
        <v>16.48</v>
      </c>
      <c r="N55" s="100">
        <v>310.39999999999998</v>
      </c>
      <c r="O55" s="100">
        <v>0</v>
      </c>
      <c r="P55" s="100">
        <v>0.97</v>
      </c>
      <c r="Q55" s="100">
        <v>28.02</v>
      </c>
      <c r="R55" s="6"/>
      <c r="S55" s="6"/>
      <c r="T55" s="156"/>
      <c r="U55" s="6"/>
    </row>
    <row r="56" spans="1:21" customFormat="1">
      <c r="A56" s="163" t="s">
        <v>1342</v>
      </c>
      <c r="B56" s="100">
        <v>3.56</v>
      </c>
      <c r="C56" s="100">
        <v>17.899999999999999</v>
      </c>
      <c r="D56" s="100">
        <v>13.56</v>
      </c>
      <c r="E56" s="100">
        <v>9.24</v>
      </c>
      <c r="F56" s="152" t="s">
        <v>15</v>
      </c>
      <c r="G56" s="100">
        <v>86.46</v>
      </c>
      <c r="H56" s="100">
        <v>35.950000000000003</v>
      </c>
      <c r="I56" s="100">
        <v>13.09</v>
      </c>
      <c r="J56" s="100">
        <v>1.22</v>
      </c>
      <c r="K56" s="100">
        <v>279.49</v>
      </c>
      <c r="L56" s="100">
        <v>36.54</v>
      </c>
      <c r="M56" s="100">
        <v>15.69</v>
      </c>
      <c r="N56" s="100">
        <v>320.60000000000002</v>
      </c>
      <c r="O56" s="100">
        <v>0</v>
      </c>
      <c r="P56" s="100">
        <v>0.96</v>
      </c>
      <c r="Q56" s="100">
        <v>28</v>
      </c>
      <c r="R56" s="6"/>
      <c r="S56" s="6"/>
      <c r="T56" s="156"/>
      <c r="U56" s="6"/>
    </row>
    <row r="57" spans="1:21" customFormat="1">
      <c r="A57" s="163" t="s">
        <v>1343</v>
      </c>
      <c r="B57" s="100">
        <v>3.68</v>
      </c>
      <c r="C57" s="100">
        <v>19.03</v>
      </c>
      <c r="D57" s="100">
        <v>14.24</v>
      </c>
      <c r="E57" s="100">
        <v>9.9499999999999993</v>
      </c>
      <c r="F57" s="152" t="s">
        <v>15</v>
      </c>
      <c r="G57" s="100">
        <v>81.03</v>
      </c>
      <c r="H57" s="100">
        <v>35.64</v>
      </c>
      <c r="I57" s="100">
        <v>12.77</v>
      </c>
      <c r="J57" s="100">
        <v>1.1499999999999999</v>
      </c>
      <c r="K57" s="100">
        <v>283.66000000000003</v>
      </c>
      <c r="L57" s="100">
        <v>36.880000000000003</v>
      </c>
      <c r="M57" s="100">
        <v>13.69</v>
      </c>
      <c r="N57" s="100">
        <v>332.3</v>
      </c>
      <c r="O57" s="100">
        <v>0</v>
      </c>
      <c r="P57" s="100">
        <v>0.91</v>
      </c>
      <c r="Q57" s="100">
        <v>28.03</v>
      </c>
      <c r="R57" s="6"/>
      <c r="S57" s="6"/>
      <c r="T57" s="156"/>
      <c r="U57" s="6"/>
    </row>
    <row r="58" spans="1:21" customFormat="1">
      <c r="A58" s="163" t="s">
        <v>1344</v>
      </c>
      <c r="B58" s="100">
        <v>3.45</v>
      </c>
      <c r="C58" s="100">
        <v>18.010000000000002</v>
      </c>
      <c r="D58" s="100">
        <v>13.53</v>
      </c>
      <c r="E58" s="100">
        <v>11.06</v>
      </c>
      <c r="F58" s="152" t="s">
        <v>15</v>
      </c>
      <c r="G58" s="100">
        <v>80.5</v>
      </c>
      <c r="H58" s="100">
        <v>35.64</v>
      </c>
      <c r="I58" s="100">
        <v>12.58</v>
      </c>
      <c r="J58" s="100">
        <v>0.8</v>
      </c>
      <c r="K58" s="100">
        <v>264.2</v>
      </c>
      <c r="L58" s="100">
        <v>37.42</v>
      </c>
      <c r="M58" s="100">
        <v>13.77</v>
      </c>
      <c r="N58" s="100">
        <v>317.8</v>
      </c>
      <c r="O58" s="100">
        <v>0</v>
      </c>
      <c r="P58" s="100">
        <v>0.89</v>
      </c>
      <c r="Q58" s="100">
        <v>28.03</v>
      </c>
      <c r="R58" s="6"/>
      <c r="S58" s="6"/>
      <c r="T58" s="156"/>
      <c r="U58" s="6"/>
    </row>
    <row r="59" spans="1:21" customFormat="1">
      <c r="A59" s="163" t="s">
        <v>1345</v>
      </c>
      <c r="B59" s="100">
        <v>3.34</v>
      </c>
      <c r="C59" s="100">
        <v>17.760000000000002</v>
      </c>
      <c r="D59" s="100">
        <v>13.31</v>
      </c>
      <c r="E59" s="100">
        <v>11.48</v>
      </c>
      <c r="F59" s="152" t="s">
        <v>15</v>
      </c>
      <c r="G59" s="100">
        <v>80.5</v>
      </c>
      <c r="H59" s="100">
        <v>35.64</v>
      </c>
      <c r="I59" s="100">
        <v>12.48</v>
      </c>
      <c r="J59" s="100">
        <v>1.02</v>
      </c>
      <c r="K59" s="100">
        <v>285.10000000000002</v>
      </c>
      <c r="L59" s="100">
        <v>37.520000000000003</v>
      </c>
      <c r="M59" s="100">
        <v>13.75</v>
      </c>
      <c r="N59" s="100">
        <v>316.60000000000002</v>
      </c>
      <c r="O59" s="100">
        <v>0</v>
      </c>
      <c r="P59" s="100">
        <v>0.9</v>
      </c>
      <c r="Q59" s="100">
        <v>28.01</v>
      </c>
      <c r="R59" s="6"/>
      <c r="S59" s="6"/>
      <c r="T59" s="156"/>
      <c r="U59" s="6"/>
    </row>
    <row r="60" spans="1:21" customFormat="1">
      <c r="A60" s="163" t="s">
        <v>1346</v>
      </c>
      <c r="B60" s="100">
        <v>3.4</v>
      </c>
      <c r="C60" s="100">
        <v>17.82</v>
      </c>
      <c r="D60" s="100">
        <v>13.39</v>
      </c>
      <c r="E60" s="100">
        <v>10.77</v>
      </c>
      <c r="F60" s="152" t="s">
        <v>15</v>
      </c>
      <c r="G60" s="100">
        <v>80.5</v>
      </c>
      <c r="H60" s="100">
        <v>35.64</v>
      </c>
      <c r="I60" s="100">
        <v>12.54</v>
      </c>
      <c r="J60" s="100">
        <v>1.08</v>
      </c>
      <c r="K60" s="100">
        <v>308.94</v>
      </c>
      <c r="L60" s="100">
        <v>37.4</v>
      </c>
      <c r="M60" s="100">
        <v>12.39</v>
      </c>
      <c r="N60" s="100">
        <v>338.4</v>
      </c>
      <c r="O60" s="100">
        <v>0</v>
      </c>
      <c r="P60" s="100">
        <v>0.85</v>
      </c>
      <c r="Q60" s="100">
        <v>28.02</v>
      </c>
      <c r="R60" s="6"/>
      <c r="S60" s="6"/>
      <c r="T60" s="156"/>
      <c r="U60" s="6"/>
    </row>
    <row r="61" spans="1:21" customFormat="1">
      <c r="A61" s="163" t="s">
        <v>1347</v>
      </c>
      <c r="B61" s="100">
        <v>3.77</v>
      </c>
      <c r="C61" s="100">
        <v>18.37</v>
      </c>
      <c r="D61" s="100">
        <v>13.97</v>
      </c>
      <c r="E61" s="100">
        <v>9.86</v>
      </c>
      <c r="F61" s="152" t="s">
        <v>15</v>
      </c>
      <c r="G61" s="100">
        <v>76.27</v>
      </c>
      <c r="H61" s="100">
        <v>34.33</v>
      </c>
      <c r="I61" s="100">
        <v>12.57</v>
      </c>
      <c r="J61" s="100">
        <v>0.87</v>
      </c>
      <c r="K61" s="100">
        <v>279.98</v>
      </c>
      <c r="L61" s="100">
        <v>37.72</v>
      </c>
      <c r="M61" s="100">
        <v>12.55</v>
      </c>
      <c r="N61" s="100">
        <v>333.5</v>
      </c>
      <c r="O61" s="100">
        <v>0</v>
      </c>
      <c r="P61" s="100">
        <v>0.82</v>
      </c>
      <c r="Q61" s="100">
        <v>28</v>
      </c>
      <c r="R61" s="6"/>
      <c r="S61" s="6"/>
      <c r="T61" s="156"/>
      <c r="U61" s="6"/>
    </row>
    <row r="62" spans="1:21" customFormat="1">
      <c r="A62" s="163" t="s">
        <v>1348</v>
      </c>
      <c r="B62" s="100">
        <v>3.52</v>
      </c>
      <c r="C62" s="100">
        <v>17.87</v>
      </c>
      <c r="D62" s="100">
        <v>13.5</v>
      </c>
      <c r="E62" s="100">
        <v>9.56</v>
      </c>
      <c r="F62" s="152" t="s">
        <v>15</v>
      </c>
      <c r="G62" s="100">
        <v>75.86</v>
      </c>
      <c r="H62" s="100">
        <v>34.33</v>
      </c>
      <c r="I62" s="100">
        <v>12.06</v>
      </c>
      <c r="J62" s="100">
        <v>1.33</v>
      </c>
      <c r="K62" s="100">
        <v>304.5</v>
      </c>
      <c r="L62" s="100">
        <v>37.76</v>
      </c>
      <c r="M62" s="100">
        <v>12.04</v>
      </c>
      <c r="N62" s="100">
        <v>315.2</v>
      </c>
      <c r="O62" s="100">
        <v>0</v>
      </c>
      <c r="P62" s="100">
        <v>0.8</v>
      </c>
      <c r="Q62" s="100">
        <v>28.02</v>
      </c>
      <c r="R62" s="6"/>
      <c r="S62" s="6"/>
      <c r="T62" s="156"/>
      <c r="U62" s="6"/>
    </row>
    <row r="63" spans="1:21" customFormat="1">
      <c r="A63" s="163" t="s">
        <v>1349</v>
      </c>
      <c r="B63" s="100">
        <v>3.48</v>
      </c>
      <c r="C63" s="100">
        <v>17.63</v>
      </c>
      <c r="D63" s="100">
        <v>13.35</v>
      </c>
      <c r="E63" s="100">
        <v>9.94</v>
      </c>
      <c r="F63" s="152" t="s">
        <v>15</v>
      </c>
      <c r="G63" s="100">
        <v>75.86</v>
      </c>
      <c r="H63" s="100">
        <v>34.33</v>
      </c>
      <c r="I63" s="100">
        <v>11.42</v>
      </c>
      <c r="J63" s="100">
        <v>1.18</v>
      </c>
      <c r="K63" s="100">
        <v>322.07</v>
      </c>
      <c r="L63" s="100">
        <v>37.549999999999997</v>
      </c>
      <c r="M63" s="100">
        <v>11.47</v>
      </c>
      <c r="N63" s="100">
        <v>317.39999999999998</v>
      </c>
      <c r="O63" s="100">
        <v>0</v>
      </c>
      <c r="P63" s="100">
        <v>0.77</v>
      </c>
      <c r="Q63" s="100">
        <v>28.02</v>
      </c>
      <c r="R63" s="6"/>
      <c r="S63" s="6"/>
      <c r="T63" s="156"/>
      <c r="U63" s="6"/>
    </row>
    <row r="64" spans="1:21" customFormat="1">
      <c r="A64" s="163" t="s">
        <v>1350</v>
      </c>
      <c r="B64" s="100">
        <v>3.56</v>
      </c>
      <c r="C64" s="100">
        <v>17.559999999999999</v>
      </c>
      <c r="D64" s="100">
        <v>13.38</v>
      </c>
      <c r="E64" s="100">
        <v>10.039999999999999</v>
      </c>
      <c r="F64" s="152" t="s">
        <v>15</v>
      </c>
      <c r="G64" s="100">
        <v>75.86</v>
      </c>
      <c r="H64" s="100">
        <v>34.33</v>
      </c>
      <c r="I64" s="100">
        <v>11.16</v>
      </c>
      <c r="J64" s="100">
        <v>1.01</v>
      </c>
      <c r="K64" s="100">
        <v>323.79000000000002</v>
      </c>
      <c r="L64" s="100">
        <v>37.770000000000003</v>
      </c>
      <c r="M64" s="100">
        <v>11.08</v>
      </c>
      <c r="N64" s="100">
        <v>342.6</v>
      </c>
      <c r="O64" s="100">
        <v>0</v>
      </c>
      <c r="P64" s="100">
        <v>0.74</v>
      </c>
      <c r="Q64" s="100">
        <v>28.01</v>
      </c>
      <c r="R64" s="6"/>
      <c r="S64" s="6"/>
      <c r="T64" s="156"/>
      <c r="U64" s="6"/>
    </row>
    <row r="65" spans="1:21" customFormat="1">
      <c r="A65" s="163" t="s">
        <v>1351</v>
      </c>
      <c r="B65" s="100">
        <v>3.67</v>
      </c>
      <c r="C65" s="100">
        <v>17.66</v>
      </c>
      <c r="D65" s="100">
        <v>13.52</v>
      </c>
      <c r="E65" s="100">
        <v>9.7799999999999994</v>
      </c>
      <c r="F65" s="152" t="s">
        <v>15</v>
      </c>
      <c r="G65" s="100">
        <v>70.11</v>
      </c>
      <c r="H65" s="100">
        <v>27.46</v>
      </c>
      <c r="I65" s="100">
        <v>10.48</v>
      </c>
      <c r="J65" s="100">
        <v>1.1499999999999999</v>
      </c>
      <c r="K65" s="100">
        <v>315.88</v>
      </c>
      <c r="L65" s="100">
        <v>38.020000000000003</v>
      </c>
      <c r="M65" s="100">
        <v>11.59</v>
      </c>
      <c r="N65" s="100">
        <v>327.7</v>
      </c>
      <c r="O65" s="100">
        <v>0</v>
      </c>
      <c r="P65" s="100">
        <v>0.69</v>
      </c>
      <c r="Q65" s="100">
        <v>27.99</v>
      </c>
      <c r="R65" s="6"/>
      <c r="S65" s="6"/>
      <c r="T65" s="156"/>
      <c r="U65" s="6"/>
    </row>
    <row r="66" spans="1:21" customFormat="1">
      <c r="A66" s="163" t="s">
        <v>1352</v>
      </c>
      <c r="B66" s="100">
        <v>3.81</v>
      </c>
      <c r="C66" s="100">
        <v>18.829999999999998</v>
      </c>
      <c r="D66" s="100">
        <v>14.24</v>
      </c>
      <c r="E66" s="100">
        <v>10.42</v>
      </c>
      <c r="F66" s="152" t="s">
        <v>15</v>
      </c>
      <c r="G66" s="100">
        <v>69.540000000000006</v>
      </c>
      <c r="H66" s="100">
        <v>27.46</v>
      </c>
      <c r="I66" s="100">
        <v>9.8800000000000008</v>
      </c>
      <c r="J66" s="100">
        <v>0.76</v>
      </c>
      <c r="K66" s="100">
        <v>336.69</v>
      </c>
      <c r="L66" s="100">
        <v>37.869999999999997</v>
      </c>
      <c r="M66" s="100">
        <v>11.71</v>
      </c>
      <c r="N66" s="100">
        <v>333.1</v>
      </c>
      <c r="O66" s="100">
        <v>0</v>
      </c>
      <c r="P66" s="100">
        <v>0.69</v>
      </c>
      <c r="Q66" s="100">
        <v>28</v>
      </c>
      <c r="R66" s="6"/>
      <c r="S66" s="6"/>
      <c r="T66" s="156"/>
      <c r="U66" s="6"/>
    </row>
    <row r="67" spans="1:21" customFormat="1">
      <c r="A67" s="163" t="s">
        <v>1353</v>
      </c>
      <c r="B67" s="100">
        <v>3.64</v>
      </c>
      <c r="C67" s="100">
        <v>18.59</v>
      </c>
      <c r="D67" s="100">
        <v>13.99</v>
      </c>
      <c r="E67" s="100">
        <v>10.56</v>
      </c>
      <c r="F67" s="152" t="s">
        <v>15</v>
      </c>
      <c r="G67" s="100">
        <v>69.540000000000006</v>
      </c>
      <c r="H67" s="100">
        <v>27.46</v>
      </c>
      <c r="I67" s="100">
        <v>9.6300000000000008</v>
      </c>
      <c r="J67" s="100">
        <v>0.86</v>
      </c>
      <c r="K67" s="100">
        <v>283.52999999999997</v>
      </c>
      <c r="L67" s="100">
        <v>38.090000000000003</v>
      </c>
      <c r="M67" s="100">
        <v>12.72</v>
      </c>
      <c r="N67" s="100">
        <v>287.5</v>
      </c>
      <c r="O67" s="100">
        <v>0</v>
      </c>
      <c r="P67" s="100">
        <v>0.68</v>
      </c>
      <c r="Q67" s="100">
        <v>28.01</v>
      </c>
      <c r="R67" s="6"/>
      <c r="S67" s="6"/>
      <c r="T67" s="156"/>
      <c r="U67" s="6"/>
    </row>
    <row r="68" spans="1:21" customFormat="1">
      <c r="A68" s="163" t="s">
        <v>1354</v>
      </c>
      <c r="B68" s="100">
        <v>3.53</v>
      </c>
      <c r="C68" s="100">
        <v>17.809999999999999</v>
      </c>
      <c r="D68" s="100">
        <v>13.49</v>
      </c>
      <c r="E68" s="100">
        <v>12.58</v>
      </c>
      <c r="F68" s="152" t="s">
        <v>15</v>
      </c>
      <c r="G68" s="100">
        <v>69.540000000000006</v>
      </c>
      <c r="H68" s="100">
        <v>27.46</v>
      </c>
      <c r="I68" s="100">
        <v>9.4700000000000006</v>
      </c>
      <c r="J68" s="100">
        <v>0.93</v>
      </c>
      <c r="K68" s="100">
        <v>305.33</v>
      </c>
      <c r="L68" s="100">
        <v>37.909999999999997</v>
      </c>
      <c r="M68" s="100">
        <v>13.06</v>
      </c>
      <c r="N68" s="100">
        <v>142.30000000000001</v>
      </c>
      <c r="O68" s="100">
        <v>0</v>
      </c>
      <c r="P68" s="100">
        <v>0.66</v>
      </c>
      <c r="Q68" s="100">
        <v>28.01</v>
      </c>
      <c r="R68" s="6"/>
      <c r="S68" s="6"/>
      <c r="T68" s="156"/>
      <c r="U68" s="6"/>
    </row>
    <row r="69" spans="1:21" customFormat="1">
      <c r="A69" s="163" t="s">
        <v>1355</v>
      </c>
      <c r="B69" s="100">
        <v>4.17</v>
      </c>
      <c r="C69" s="100">
        <v>20.72</v>
      </c>
      <c r="D69" s="100">
        <v>15.52</v>
      </c>
      <c r="E69" s="100">
        <v>14.43</v>
      </c>
      <c r="F69" s="152" t="s">
        <v>15</v>
      </c>
      <c r="G69" s="100">
        <v>65.430000000000007</v>
      </c>
      <c r="H69" s="100">
        <v>27.89</v>
      </c>
      <c r="I69" s="100">
        <v>8.9700000000000006</v>
      </c>
      <c r="J69" s="100">
        <v>0.78</v>
      </c>
      <c r="K69" s="100">
        <v>323.68</v>
      </c>
      <c r="L69" s="100">
        <v>37.72</v>
      </c>
      <c r="M69" s="100">
        <v>13.36</v>
      </c>
      <c r="N69" s="100">
        <v>137</v>
      </c>
      <c r="O69" s="100">
        <v>0</v>
      </c>
      <c r="P69" s="100">
        <v>0.62</v>
      </c>
      <c r="Q69" s="100">
        <v>28</v>
      </c>
      <c r="R69" s="6"/>
      <c r="S69" s="6"/>
      <c r="T69" s="156"/>
      <c r="U69" s="6"/>
    </row>
    <row r="70" spans="1:21" customFormat="1">
      <c r="A70" s="163" t="s">
        <v>1356</v>
      </c>
      <c r="B70" s="100">
        <v>3.73</v>
      </c>
      <c r="C70" s="100">
        <v>18.84</v>
      </c>
      <c r="D70" s="100">
        <v>14.19</v>
      </c>
      <c r="E70" s="100">
        <v>14.48</v>
      </c>
      <c r="F70" s="152" t="s">
        <v>15</v>
      </c>
      <c r="G70" s="100">
        <v>65.03</v>
      </c>
      <c r="H70" s="100">
        <v>27.89</v>
      </c>
      <c r="I70" s="100">
        <v>8.42</v>
      </c>
      <c r="J70" s="100">
        <v>1.1599999999999999</v>
      </c>
      <c r="K70" s="100">
        <v>300.87</v>
      </c>
      <c r="L70" s="100">
        <v>37.64</v>
      </c>
      <c r="M70" s="100">
        <v>13.38</v>
      </c>
      <c r="N70" s="100">
        <v>99.5</v>
      </c>
      <c r="O70" s="100">
        <v>0</v>
      </c>
      <c r="P70" s="100">
        <v>0.62</v>
      </c>
      <c r="Q70" s="100">
        <v>28.01</v>
      </c>
      <c r="R70" s="6"/>
      <c r="S70" s="6"/>
      <c r="T70" s="156"/>
      <c r="U70" s="6"/>
    </row>
    <row r="71" spans="1:21" customFormat="1">
      <c r="A71" s="163" t="s">
        <v>1357</v>
      </c>
      <c r="B71" s="100">
        <v>3.5</v>
      </c>
      <c r="C71" s="100">
        <v>18.03</v>
      </c>
      <c r="D71" s="100">
        <v>13.58</v>
      </c>
      <c r="E71" s="100">
        <v>14.73</v>
      </c>
      <c r="F71" s="152" t="s">
        <v>15</v>
      </c>
      <c r="G71" s="100">
        <v>65.03</v>
      </c>
      <c r="H71" s="100">
        <v>27.89</v>
      </c>
      <c r="I71" s="100">
        <v>8.16</v>
      </c>
      <c r="J71" s="100">
        <v>1.42</v>
      </c>
      <c r="K71" s="100">
        <v>304.3</v>
      </c>
      <c r="L71" s="100">
        <v>37.29</v>
      </c>
      <c r="M71" s="100">
        <v>12.89</v>
      </c>
      <c r="N71" s="100">
        <v>84.1</v>
      </c>
      <c r="O71" s="100">
        <v>0</v>
      </c>
      <c r="P71" s="100">
        <v>0.61</v>
      </c>
      <c r="Q71" s="100">
        <v>28.01</v>
      </c>
      <c r="R71" s="6"/>
      <c r="S71" s="6"/>
      <c r="T71" s="156"/>
      <c r="U71" s="6"/>
    </row>
    <row r="72" spans="1:21" customFormat="1">
      <c r="A72" s="163" t="s">
        <v>1358</v>
      </c>
      <c r="B72" s="100">
        <v>3.39</v>
      </c>
      <c r="C72" s="100">
        <v>16.989999999999998</v>
      </c>
      <c r="D72" s="100">
        <v>12.95</v>
      </c>
      <c r="E72" s="100">
        <v>20.11</v>
      </c>
      <c r="F72" s="152" t="s">
        <v>15</v>
      </c>
      <c r="G72" s="100">
        <v>65.03</v>
      </c>
      <c r="H72" s="100">
        <v>27.89</v>
      </c>
      <c r="I72" s="100">
        <v>8.1199999999999992</v>
      </c>
      <c r="J72" s="100">
        <v>0.6</v>
      </c>
      <c r="K72" s="100">
        <v>270.04000000000002</v>
      </c>
      <c r="L72" s="100">
        <v>37.549999999999997</v>
      </c>
      <c r="M72" s="100">
        <v>13.26</v>
      </c>
      <c r="N72" s="100">
        <v>136.1</v>
      </c>
      <c r="O72" s="100">
        <v>0</v>
      </c>
      <c r="P72" s="100">
        <v>0.56000000000000005</v>
      </c>
      <c r="Q72" s="100">
        <v>28.02</v>
      </c>
      <c r="R72" s="6"/>
      <c r="S72" s="6"/>
      <c r="T72" s="156"/>
      <c r="U72" s="6"/>
    </row>
    <row r="73" spans="1:21" customFormat="1">
      <c r="A73" s="163" t="s">
        <v>1359</v>
      </c>
      <c r="B73" s="100">
        <v>3.28</v>
      </c>
      <c r="C73" s="100">
        <v>14.77</v>
      </c>
      <c r="D73" s="100">
        <v>11.7</v>
      </c>
      <c r="E73" s="100">
        <v>23.9</v>
      </c>
      <c r="F73" s="152" t="s">
        <v>15</v>
      </c>
      <c r="G73" s="100">
        <v>53.98</v>
      </c>
      <c r="H73" s="100">
        <v>22.94</v>
      </c>
      <c r="I73" s="100">
        <v>7.85</v>
      </c>
      <c r="J73" s="100">
        <v>0.5</v>
      </c>
      <c r="K73" s="100">
        <v>269.60000000000002</v>
      </c>
      <c r="L73" s="100">
        <v>37.479999999999997</v>
      </c>
      <c r="M73" s="100">
        <v>12.91</v>
      </c>
      <c r="N73" s="100">
        <v>68.5</v>
      </c>
      <c r="O73" s="100">
        <v>0</v>
      </c>
      <c r="P73" s="100">
        <v>0.52</v>
      </c>
      <c r="Q73" s="100">
        <v>28.01</v>
      </c>
      <c r="R73" s="6"/>
      <c r="S73" s="6"/>
      <c r="T73" s="156"/>
      <c r="U73" s="6"/>
    </row>
    <row r="74" spans="1:21" customFormat="1">
      <c r="A74" s="163" t="s">
        <v>1360</v>
      </c>
      <c r="B74" s="100">
        <v>3.29</v>
      </c>
      <c r="C74" s="100">
        <v>14.79</v>
      </c>
      <c r="D74" s="100">
        <v>11.71</v>
      </c>
      <c r="E74" s="100">
        <v>21.98</v>
      </c>
      <c r="F74" s="152" t="s">
        <v>15</v>
      </c>
      <c r="G74" s="100">
        <v>52.9</v>
      </c>
      <c r="H74" s="100">
        <v>22.94</v>
      </c>
      <c r="I74" s="100">
        <v>7.13</v>
      </c>
      <c r="J74" s="100">
        <v>0.4</v>
      </c>
      <c r="K74" s="100">
        <v>280.26</v>
      </c>
      <c r="L74" s="100">
        <v>37.35</v>
      </c>
      <c r="M74" s="100">
        <v>12.71</v>
      </c>
      <c r="N74" s="100">
        <v>48.8</v>
      </c>
      <c r="O74" s="100">
        <v>0</v>
      </c>
      <c r="P74" s="100">
        <v>0.52</v>
      </c>
      <c r="Q74" s="100">
        <v>28.03</v>
      </c>
      <c r="R74" s="6"/>
      <c r="S74" s="6"/>
      <c r="T74" s="156"/>
      <c r="U74" s="6"/>
    </row>
    <row r="75" spans="1:21" customFormat="1">
      <c r="A75" s="163" t="s">
        <v>1361</v>
      </c>
      <c r="B75" s="100">
        <v>3.25</v>
      </c>
      <c r="C75" s="100">
        <v>14.67</v>
      </c>
      <c r="D75" s="100">
        <v>11.62</v>
      </c>
      <c r="E75" s="100">
        <v>20.92</v>
      </c>
      <c r="F75" s="152" t="s">
        <v>15</v>
      </c>
      <c r="G75" s="100">
        <v>52.9</v>
      </c>
      <c r="H75" s="100">
        <v>22.94</v>
      </c>
      <c r="I75" s="100">
        <v>6.69</v>
      </c>
      <c r="J75" s="100">
        <v>0.59</v>
      </c>
      <c r="K75" s="100">
        <v>245.42</v>
      </c>
      <c r="L75" s="100">
        <v>36.83</v>
      </c>
      <c r="M75" s="100">
        <v>14.46</v>
      </c>
      <c r="N75" s="100">
        <v>44.4</v>
      </c>
      <c r="O75" s="100">
        <v>0</v>
      </c>
      <c r="P75" s="100">
        <v>0.52</v>
      </c>
      <c r="Q75" s="100">
        <v>28.01</v>
      </c>
      <c r="R75" s="6"/>
      <c r="S75" s="6"/>
      <c r="T75" s="156"/>
      <c r="U75" s="6"/>
    </row>
    <row r="76" spans="1:21" customFormat="1">
      <c r="A76" s="163" t="s">
        <v>1362</v>
      </c>
      <c r="B76" s="100">
        <v>3.21</v>
      </c>
      <c r="C76" s="100">
        <v>13.36</v>
      </c>
      <c r="D76" s="100">
        <v>10.9</v>
      </c>
      <c r="E76" s="100">
        <v>20.76</v>
      </c>
      <c r="F76" s="152" t="s">
        <v>15</v>
      </c>
      <c r="G76" s="100">
        <v>52.9</v>
      </c>
      <c r="H76" s="100">
        <v>22.94</v>
      </c>
      <c r="I76" s="100">
        <v>6.59</v>
      </c>
      <c r="J76" s="100">
        <v>0.24</v>
      </c>
      <c r="K76" s="100">
        <v>219.37</v>
      </c>
      <c r="L76" s="100">
        <v>36.46</v>
      </c>
      <c r="M76" s="100">
        <v>13.59</v>
      </c>
      <c r="N76" s="100">
        <v>38.299999999999997</v>
      </c>
      <c r="O76" s="100">
        <v>0</v>
      </c>
      <c r="P76" s="100">
        <v>0.47</v>
      </c>
      <c r="Q76" s="100">
        <v>28</v>
      </c>
      <c r="R76" s="6"/>
      <c r="S76" s="6"/>
      <c r="T76" s="156"/>
      <c r="U76" s="6"/>
    </row>
    <row r="77" spans="1:21" customFormat="1">
      <c r="A77" s="163" t="s">
        <v>1363</v>
      </c>
      <c r="B77" s="100">
        <v>3.2</v>
      </c>
      <c r="C77" s="100">
        <v>11.67</v>
      </c>
      <c r="D77" s="100">
        <v>10.02</v>
      </c>
      <c r="E77" s="100">
        <v>23.72</v>
      </c>
      <c r="F77" s="152" t="s">
        <v>15</v>
      </c>
      <c r="G77" s="100">
        <v>53.49</v>
      </c>
      <c r="H77" s="100">
        <v>20.91</v>
      </c>
      <c r="I77" s="100">
        <v>6.44</v>
      </c>
      <c r="J77" s="100">
        <v>0.23</v>
      </c>
      <c r="K77" s="100">
        <v>204.05</v>
      </c>
      <c r="L77" s="100">
        <v>35.450000000000003</v>
      </c>
      <c r="M77" s="100">
        <v>16.239999999999998</v>
      </c>
      <c r="N77" s="100">
        <v>32.5</v>
      </c>
      <c r="O77" s="100">
        <v>0</v>
      </c>
      <c r="P77" s="100">
        <v>0.49</v>
      </c>
      <c r="Q77" s="100">
        <v>28.01</v>
      </c>
      <c r="R77" s="6"/>
      <c r="S77" s="6"/>
      <c r="T77" s="156"/>
      <c r="U77" s="6"/>
    </row>
    <row r="78" spans="1:21" customFormat="1">
      <c r="A78" s="163" t="s">
        <v>1364</v>
      </c>
      <c r="B78" s="100">
        <v>3.32</v>
      </c>
      <c r="C78" s="100">
        <v>12.87</v>
      </c>
      <c r="D78" s="100">
        <v>10.74</v>
      </c>
      <c r="E78" s="100">
        <v>21.34</v>
      </c>
      <c r="F78" s="152" t="s">
        <v>15</v>
      </c>
      <c r="G78" s="100">
        <v>53.54</v>
      </c>
      <c r="H78" s="100">
        <v>20.91</v>
      </c>
      <c r="I78" s="100">
        <v>5.86</v>
      </c>
      <c r="J78" s="100">
        <v>0.31</v>
      </c>
      <c r="K78" s="100">
        <v>216.53</v>
      </c>
      <c r="L78" s="100">
        <v>34.979999999999997</v>
      </c>
      <c r="M78" s="100">
        <v>16.09</v>
      </c>
      <c r="N78" s="100">
        <v>21.4</v>
      </c>
      <c r="O78" s="100">
        <v>0</v>
      </c>
      <c r="P78" s="100">
        <v>0.53</v>
      </c>
      <c r="Q78" s="100">
        <v>27.99</v>
      </c>
      <c r="R78" s="6"/>
      <c r="S78" s="6"/>
      <c r="T78" s="156"/>
      <c r="U78" s="6"/>
    </row>
    <row r="79" spans="1:21" customFormat="1">
      <c r="A79" s="163" t="s">
        <v>1365</v>
      </c>
      <c r="B79" s="100">
        <v>3.41</v>
      </c>
      <c r="C79" s="100">
        <v>14.16</v>
      </c>
      <c r="D79" s="100">
        <v>11.49</v>
      </c>
      <c r="E79" s="100">
        <v>21.13</v>
      </c>
      <c r="F79" s="152" t="s">
        <v>15</v>
      </c>
      <c r="G79" s="100">
        <v>53.54</v>
      </c>
      <c r="H79" s="100">
        <v>20.91</v>
      </c>
      <c r="I79" s="100">
        <v>5.37</v>
      </c>
      <c r="J79" s="100">
        <v>0.19</v>
      </c>
      <c r="K79" s="100">
        <v>199.23</v>
      </c>
      <c r="L79" s="100">
        <v>34.229999999999997</v>
      </c>
      <c r="M79" s="100">
        <v>17.75</v>
      </c>
      <c r="N79" s="100">
        <v>14</v>
      </c>
      <c r="O79" s="100">
        <v>0</v>
      </c>
      <c r="P79" s="100">
        <v>0.53</v>
      </c>
      <c r="Q79" s="100">
        <v>28</v>
      </c>
      <c r="R79" s="6"/>
      <c r="S79" s="6"/>
      <c r="T79" s="156"/>
      <c r="U79" s="6"/>
    </row>
    <row r="80" spans="1:21" customFormat="1">
      <c r="A80" s="163" t="s">
        <v>1366</v>
      </c>
      <c r="B80" s="100">
        <v>3.48</v>
      </c>
      <c r="C80" s="100">
        <v>13.52</v>
      </c>
      <c r="D80" s="100">
        <v>11.21</v>
      </c>
      <c r="E80" s="100">
        <v>21.2</v>
      </c>
      <c r="F80" s="152" t="s">
        <v>15</v>
      </c>
      <c r="G80" s="100">
        <v>53.54</v>
      </c>
      <c r="H80" s="100">
        <v>20.91</v>
      </c>
      <c r="I80" s="100">
        <v>5.61</v>
      </c>
      <c r="J80" s="100">
        <v>0.23</v>
      </c>
      <c r="K80" s="100">
        <v>172.16</v>
      </c>
      <c r="L80" s="100">
        <v>33.1</v>
      </c>
      <c r="M80" s="100">
        <v>20.34</v>
      </c>
      <c r="N80" s="100">
        <v>7.2</v>
      </c>
      <c r="O80" s="100">
        <v>0</v>
      </c>
      <c r="P80" s="100">
        <v>0.54</v>
      </c>
      <c r="Q80" s="100">
        <v>28.01</v>
      </c>
      <c r="R80" s="6"/>
      <c r="S80" s="6"/>
      <c r="T80" s="156"/>
      <c r="U80" s="6"/>
    </row>
    <row r="81" spans="1:21" customFormat="1">
      <c r="A81" s="163" t="s">
        <v>1367</v>
      </c>
      <c r="B81" s="100">
        <v>3.55</v>
      </c>
      <c r="C81" s="100">
        <v>13.41</v>
      </c>
      <c r="D81" s="100">
        <v>11.21</v>
      </c>
      <c r="E81" s="100">
        <v>10.36</v>
      </c>
      <c r="F81" s="152" t="s">
        <v>15</v>
      </c>
      <c r="G81" s="100">
        <v>49.64</v>
      </c>
      <c r="H81" s="100">
        <v>20.23</v>
      </c>
      <c r="I81" s="100">
        <v>5.79</v>
      </c>
      <c r="J81" s="100">
        <v>0.21</v>
      </c>
      <c r="K81" s="100">
        <v>184.57</v>
      </c>
      <c r="L81" s="100">
        <v>31.73</v>
      </c>
      <c r="M81" s="100">
        <v>26.38</v>
      </c>
      <c r="N81" s="100">
        <v>3</v>
      </c>
      <c r="O81" s="100">
        <v>0</v>
      </c>
      <c r="P81" s="100">
        <v>0.55000000000000004</v>
      </c>
      <c r="Q81" s="100">
        <v>28.01</v>
      </c>
      <c r="R81" s="6"/>
      <c r="S81" s="6"/>
      <c r="T81" s="156"/>
      <c r="U81" s="6"/>
    </row>
    <row r="82" spans="1:21" customFormat="1">
      <c r="A82" s="163" t="s">
        <v>1368</v>
      </c>
      <c r="B82" s="100">
        <v>3.59</v>
      </c>
      <c r="C82" s="100">
        <v>14.17</v>
      </c>
      <c r="D82" s="100">
        <v>11.64</v>
      </c>
      <c r="E82" s="100">
        <v>15.43</v>
      </c>
      <c r="F82" s="152" t="s">
        <v>15</v>
      </c>
      <c r="G82" s="100">
        <v>49.26</v>
      </c>
      <c r="H82" s="100">
        <v>20.23</v>
      </c>
      <c r="I82" s="100">
        <v>5.91</v>
      </c>
      <c r="J82" s="100">
        <v>0.23</v>
      </c>
      <c r="K82" s="100">
        <v>169.34</v>
      </c>
      <c r="L82" s="100">
        <v>30.86</v>
      </c>
      <c r="M82" s="100">
        <v>27.47</v>
      </c>
      <c r="N82" s="100">
        <v>1.4</v>
      </c>
      <c r="O82" s="100">
        <v>0</v>
      </c>
      <c r="P82" s="100">
        <v>0.59</v>
      </c>
      <c r="Q82" s="100">
        <v>28</v>
      </c>
      <c r="R82" s="6"/>
      <c r="S82" s="6"/>
      <c r="T82" s="156"/>
      <c r="U82" s="6"/>
    </row>
    <row r="83" spans="1:21" customFormat="1">
      <c r="A83" s="163" t="s">
        <v>1369</v>
      </c>
      <c r="B83" s="100">
        <v>3.65</v>
      </c>
      <c r="C83" s="100">
        <v>14.33</v>
      </c>
      <c r="D83" s="100">
        <v>11.76</v>
      </c>
      <c r="E83" s="100">
        <v>14.82</v>
      </c>
      <c r="F83" s="152" t="s">
        <v>15</v>
      </c>
      <c r="G83" s="100">
        <v>49.26</v>
      </c>
      <c r="H83" s="100">
        <v>20.23</v>
      </c>
      <c r="I83" s="100">
        <v>6.12</v>
      </c>
      <c r="J83" s="100">
        <v>0.24</v>
      </c>
      <c r="K83" s="100">
        <v>168.72</v>
      </c>
      <c r="L83" s="100">
        <v>30.07</v>
      </c>
      <c r="M83" s="100">
        <v>29.38</v>
      </c>
      <c r="N83" s="100">
        <v>1.1000000000000001</v>
      </c>
      <c r="O83" s="100">
        <v>0</v>
      </c>
      <c r="P83" s="100">
        <v>0.56000000000000005</v>
      </c>
      <c r="Q83" s="100">
        <v>28.02</v>
      </c>
      <c r="R83" s="6"/>
      <c r="S83" s="6"/>
      <c r="T83" s="156"/>
      <c r="U83" s="6"/>
    </row>
    <row r="84" spans="1:21" customFormat="1">
      <c r="A84" s="163" t="s">
        <v>1370</v>
      </c>
      <c r="B84" s="100">
        <v>3.74</v>
      </c>
      <c r="C84" s="100">
        <v>14.56</v>
      </c>
      <c r="D84" s="100">
        <v>11.96</v>
      </c>
      <c r="E84" s="100">
        <v>12.95</v>
      </c>
      <c r="F84" s="152" t="s">
        <v>15</v>
      </c>
      <c r="G84" s="100">
        <v>49.26</v>
      </c>
      <c r="H84" s="100">
        <v>20.23</v>
      </c>
      <c r="I84" s="100">
        <v>6.44</v>
      </c>
      <c r="J84" s="100">
        <v>0.17</v>
      </c>
      <c r="K84" s="100">
        <v>177.11</v>
      </c>
      <c r="L84" s="100">
        <v>29.34</v>
      </c>
      <c r="M84" s="100">
        <v>34.67</v>
      </c>
      <c r="N84" s="100">
        <v>1.1000000000000001</v>
      </c>
      <c r="O84" s="100">
        <v>0</v>
      </c>
      <c r="P84" s="100">
        <v>0.56999999999999995</v>
      </c>
      <c r="Q84" s="100">
        <v>28.01</v>
      </c>
      <c r="R84" s="6"/>
      <c r="S84" s="6"/>
      <c r="T84" s="156"/>
      <c r="U84" s="6"/>
    </row>
    <row r="85" spans="1:21" customFormat="1">
      <c r="A85" s="163" t="s">
        <v>1371</v>
      </c>
      <c r="B85" s="100">
        <v>3.81</v>
      </c>
      <c r="C85" s="100">
        <v>15.21</v>
      </c>
      <c r="D85" s="100">
        <v>12.36</v>
      </c>
      <c r="E85" s="100">
        <v>12.19</v>
      </c>
      <c r="F85" s="152" t="s">
        <v>15</v>
      </c>
      <c r="G85" s="100">
        <v>63.72</v>
      </c>
      <c r="H85" s="100">
        <v>26.84</v>
      </c>
      <c r="I85" s="100">
        <v>6.56</v>
      </c>
      <c r="J85" s="100">
        <v>0.15</v>
      </c>
      <c r="K85" s="100">
        <v>186.35</v>
      </c>
      <c r="L85" s="100">
        <v>28.68</v>
      </c>
      <c r="M85" s="100">
        <v>36.020000000000003</v>
      </c>
      <c r="N85" s="100">
        <v>0.9</v>
      </c>
      <c r="O85" s="100">
        <v>0</v>
      </c>
      <c r="P85" s="100">
        <v>0.61</v>
      </c>
      <c r="Q85" s="100">
        <v>27.99</v>
      </c>
      <c r="R85" s="6"/>
      <c r="S85" s="6"/>
      <c r="T85" s="156"/>
      <c r="U85" s="6"/>
    </row>
    <row r="86" spans="1:21" customFormat="1">
      <c r="A86" s="163" t="s">
        <v>1372</v>
      </c>
      <c r="B86" s="100">
        <v>3.95</v>
      </c>
      <c r="C86" s="100">
        <v>16.149999999999999</v>
      </c>
      <c r="D86" s="100">
        <v>12.96</v>
      </c>
      <c r="E86" s="100">
        <v>11.24</v>
      </c>
      <c r="F86" s="152" t="s">
        <v>15</v>
      </c>
      <c r="G86" s="100">
        <v>65.13</v>
      </c>
      <c r="H86" s="100">
        <v>26.84</v>
      </c>
      <c r="I86" s="100">
        <v>6.85</v>
      </c>
      <c r="J86" s="100">
        <v>0.21</v>
      </c>
      <c r="K86" s="100">
        <v>172.25</v>
      </c>
      <c r="L86" s="100">
        <v>28.39</v>
      </c>
      <c r="M86" s="100">
        <v>35.630000000000003</v>
      </c>
      <c r="N86" s="100">
        <v>0.7</v>
      </c>
      <c r="O86" s="100">
        <v>0</v>
      </c>
      <c r="P86" s="100">
        <v>0.62</v>
      </c>
      <c r="Q86" s="100">
        <v>28.01</v>
      </c>
      <c r="R86" s="6"/>
      <c r="S86" s="6"/>
      <c r="T86" s="156"/>
      <c r="U86" s="6"/>
    </row>
    <row r="87" spans="1:21" customFormat="1">
      <c r="A87" s="163" t="s">
        <v>1373</v>
      </c>
      <c r="B87" s="100">
        <v>4.12</v>
      </c>
      <c r="C87" s="100">
        <v>16.07</v>
      </c>
      <c r="D87" s="100">
        <v>13.06</v>
      </c>
      <c r="E87" s="100">
        <v>9.83</v>
      </c>
      <c r="F87" s="152" t="s">
        <v>15</v>
      </c>
      <c r="G87" s="100">
        <v>65.13</v>
      </c>
      <c r="H87" s="100">
        <v>26.84</v>
      </c>
      <c r="I87" s="100">
        <v>7.06</v>
      </c>
      <c r="J87" s="100">
        <v>0.2</v>
      </c>
      <c r="K87" s="100">
        <v>186.82</v>
      </c>
      <c r="L87" s="100">
        <v>27.72</v>
      </c>
      <c r="M87" s="100">
        <v>37.1</v>
      </c>
      <c r="N87" s="100">
        <v>1</v>
      </c>
      <c r="O87" s="100">
        <v>0</v>
      </c>
      <c r="P87" s="100">
        <v>0.62</v>
      </c>
      <c r="Q87" s="100">
        <v>28.02</v>
      </c>
      <c r="R87" s="6"/>
      <c r="S87" s="6"/>
      <c r="T87" s="156"/>
      <c r="U87" s="6"/>
    </row>
    <row r="88" spans="1:21" customFormat="1">
      <c r="A88" s="163" t="s">
        <v>1374</v>
      </c>
      <c r="B88" s="100">
        <v>4.21</v>
      </c>
      <c r="C88" s="100">
        <v>16.170000000000002</v>
      </c>
      <c r="D88" s="100">
        <v>13.18</v>
      </c>
      <c r="E88" s="100">
        <v>10.32</v>
      </c>
      <c r="F88" s="152" t="s">
        <v>15</v>
      </c>
      <c r="G88" s="100">
        <v>65.13</v>
      </c>
      <c r="H88" s="100">
        <v>26.84</v>
      </c>
      <c r="I88" s="100">
        <v>7.27</v>
      </c>
      <c r="J88" s="100">
        <v>0.15</v>
      </c>
      <c r="K88" s="100">
        <v>175.15</v>
      </c>
      <c r="L88" s="100">
        <v>27.36</v>
      </c>
      <c r="M88" s="100">
        <v>37.72</v>
      </c>
      <c r="N88" s="100">
        <v>0.7</v>
      </c>
      <c r="O88" s="100">
        <v>0</v>
      </c>
      <c r="P88" s="100">
        <v>0.64</v>
      </c>
      <c r="Q88" s="100">
        <v>28.03</v>
      </c>
      <c r="R88" s="6"/>
      <c r="S88" s="6"/>
      <c r="T88" s="156"/>
      <c r="U88" s="6"/>
    </row>
    <row r="89" spans="1:21" customFormat="1">
      <c r="A89" s="163" t="s">
        <v>1375</v>
      </c>
      <c r="B89" s="100">
        <v>4.33</v>
      </c>
      <c r="C89" s="100">
        <v>16.2</v>
      </c>
      <c r="D89" s="100">
        <v>13.29</v>
      </c>
      <c r="E89" s="100">
        <v>10.23</v>
      </c>
      <c r="F89" s="152" t="s">
        <v>15</v>
      </c>
      <c r="G89" s="100">
        <v>69.19</v>
      </c>
      <c r="H89" s="100">
        <v>25.83</v>
      </c>
      <c r="I89" s="100">
        <v>7.41</v>
      </c>
      <c r="J89" s="100">
        <v>0.13</v>
      </c>
      <c r="K89" s="100">
        <v>182.14</v>
      </c>
      <c r="L89" s="100">
        <v>27.14</v>
      </c>
      <c r="M89" s="100">
        <v>37.76</v>
      </c>
      <c r="N89" s="100">
        <v>0.6</v>
      </c>
      <c r="O89" s="100">
        <v>0</v>
      </c>
      <c r="P89" s="100">
        <v>0.65</v>
      </c>
      <c r="Q89" s="100">
        <v>28.02</v>
      </c>
      <c r="R89" s="6"/>
      <c r="S89" s="6"/>
      <c r="T89" s="156"/>
      <c r="U89" s="6"/>
    </row>
    <row r="90" spans="1:21" customFormat="1">
      <c r="A90" s="163" t="s">
        <v>1376</v>
      </c>
      <c r="B90" s="100">
        <v>4.4800000000000004</v>
      </c>
      <c r="C90" s="100">
        <v>16.18</v>
      </c>
      <c r="D90" s="100">
        <v>13.4</v>
      </c>
      <c r="E90" s="100">
        <v>10.130000000000001</v>
      </c>
      <c r="F90" s="152" t="s">
        <v>15</v>
      </c>
      <c r="G90" s="100">
        <v>69.59</v>
      </c>
      <c r="H90" s="100">
        <v>25.83</v>
      </c>
      <c r="I90" s="100">
        <v>7.61</v>
      </c>
      <c r="J90" s="100">
        <v>0.13</v>
      </c>
      <c r="K90" s="100">
        <v>156.5</v>
      </c>
      <c r="L90" s="100">
        <v>26.89</v>
      </c>
      <c r="M90" s="100">
        <v>40.42</v>
      </c>
      <c r="N90" s="100">
        <v>0.7</v>
      </c>
      <c r="O90" s="100">
        <v>0</v>
      </c>
      <c r="P90" s="100">
        <v>0.65</v>
      </c>
      <c r="Q90" s="100">
        <v>28.02</v>
      </c>
      <c r="R90" s="6"/>
      <c r="S90" s="6"/>
      <c r="T90" s="156"/>
      <c r="U90" s="6"/>
    </row>
    <row r="91" spans="1:21" customFormat="1">
      <c r="A91" s="163" t="s">
        <v>1377</v>
      </c>
      <c r="B91" s="100">
        <v>4.6399999999999997</v>
      </c>
      <c r="C91" s="100">
        <v>16.170000000000002</v>
      </c>
      <c r="D91" s="100">
        <v>13.52</v>
      </c>
      <c r="E91" s="100">
        <v>9.2100000000000009</v>
      </c>
      <c r="F91" s="152" t="s">
        <v>15</v>
      </c>
      <c r="G91" s="100">
        <v>69.59</v>
      </c>
      <c r="H91" s="100">
        <v>25.83</v>
      </c>
      <c r="I91" s="100">
        <v>7.83</v>
      </c>
      <c r="J91" s="100">
        <v>0.14000000000000001</v>
      </c>
      <c r="K91" s="100">
        <v>171.09</v>
      </c>
      <c r="L91" s="100">
        <v>26.6</v>
      </c>
      <c r="M91" s="100">
        <v>41.54</v>
      </c>
      <c r="N91" s="100">
        <v>0.6</v>
      </c>
      <c r="O91" s="100">
        <v>0</v>
      </c>
      <c r="P91" s="100">
        <v>0.66</v>
      </c>
      <c r="Q91" s="100">
        <v>28.03</v>
      </c>
      <c r="R91" s="6"/>
      <c r="S91" s="6"/>
      <c r="T91" s="156"/>
      <c r="U91" s="6"/>
    </row>
    <row r="92" spans="1:21" customFormat="1">
      <c r="A92" s="163" t="s">
        <v>1378</v>
      </c>
      <c r="B92" s="100">
        <v>4.75</v>
      </c>
      <c r="C92" s="100">
        <v>16.239999999999998</v>
      </c>
      <c r="D92" s="100">
        <v>13.65</v>
      </c>
      <c r="E92" s="100">
        <v>9.51</v>
      </c>
      <c r="F92" s="152" t="s">
        <v>15</v>
      </c>
      <c r="G92" s="100">
        <v>69.59</v>
      </c>
      <c r="H92" s="100">
        <v>25.83</v>
      </c>
      <c r="I92" s="100">
        <v>7.88</v>
      </c>
      <c r="J92" s="100">
        <v>0.12</v>
      </c>
      <c r="K92" s="100">
        <v>161.06</v>
      </c>
      <c r="L92" s="100">
        <v>26.45</v>
      </c>
      <c r="M92" s="100">
        <v>40.619999999999997</v>
      </c>
      <c r="N92" s="100">
        <v>0.6</v>
      </c>
      <c r="O92" s="100">
        <v>0</v>
      </c>
      <c r="P92" s="100">
        <v>0.66</v>
      </c>
      <c r="Q92" s="100">
        <v>28.04</v>
      </c>
      <c r="R92" s="6"/>
      <c r="S92" s="6"/>
      <c r="T92" s="156"/>
      <c r="U92" s="6"/>
    </row>
    <row r="93" spans="1:21" customFormat="1">
      <c r="A93" s="163" t="s">
        <v>1379</v>
      </c>
      <c r="B93" s="100">
        <v>4.8600000000000003</v>
      </c>
      <c r="C93" s="100">
        <v>16.239999999999998</v>
      </c>
      <c r="D93" s="100">
        <v>13.74</v>
      </c>
      <c r="E93" s="100">
        <v>10.02</v>
      </c>
      <c r="F93" s="152" t="s">
        <v>15</v>
      </c>
      <c r="G93" s="100">
        <v>74.98</v>
      </c>
      <c r="H93" s="100">
        <v>27.91</v>
      </c>
      <c r="I93" s="100">
        <v>7.98</v>
      </c>
      <c r="J93" s="100">
        <v>0.11</v>
      </c>
      <c r="K93" s="100">
        <v>191.62</v>
      </c>
      <c r="L93" s="100">
        <v>26.32</v>
      </c>
      <c r="M93" s="100">
        <v>40.479999999999997</v>
      </c>
      <c r="N93" s="100">
        <v>0.6</v>
      </c>
      <c r="O93" s="100">
        <v>0</v>
      </c>
      <c r="P93" s="100">
        <v>0.67</v>
      </c>
      <c r="Q93" s="100">
        <v>28.06</v>
      </c>
      <c r="R93" s="6"/>
      <c r="S93" s="6"/>
      <c r="T93" s="156"/>
      <c r="U93" s="6"/>
    </row>
    <row r="94" spans="1:21" customFormat="1">
      <c r="A94" s="163" t="s">
        <v>1380</v>
      </c>
      <c r="B94" s="100">
        <v>5.03</v>
      </c>
      <c r="C94" s="100">
        <v>16.21</v>
      </c>
      <c r="D94" s="100">
        <v>13.86</v>
      </c>
      <c r="E94" s="100">
        <v>9.7899999999999991</v>
      </c>
      <c r="F94" s="152" t="s">
        <v>15</v>
      </c>
      <c r="G94" s="100">
        <v>75.44</v>
      </c>
      <c r="H94" s="100">
        <v>27.91</v>
      </c>
      <c r="I94" s="100">
        <v>8.09</v>
      </c>
      <c r="J94" s="100">
        <v>0.13</v>
      </c>
      <c r="K94" s="100">
        <v>169.94</v>
      </c>
      <c r="L94" s="100">
        <v>26.14</v>
      </c>
      <c r="M94" s="100">
        <v>41.59</v>
      </c>
      <c r="N94" s="100">
        <v>0.6</v>
      </c>
      <c r="O94" s="100">
        <v>0</v>
      </c>
      <c r="P94" s="100">
        <v>0.68</v>
      </c>
      <c r="Q94" s="100">
        <v>28.06</v>
      </c>
      <c r="R94" s="6"/>
      <c r="S94" s="6"/>
      <c r="T94" s="156"/>
      <c r="U94" s="6"/>
    </row>
    <row r="95" spans="1:21" customFormat="1">
      <c r="A95" s="163" t="s">
        <v>1381</v>
      </c>
      <c r="B95" s="100">
        <v>5.23</v>
      </c>
      <c r="C95" s="100">
        <v>16.11</v>
      </c>
      <c r="D95" s="100">
        <v>13.96</v>
      </c>
      <c r="E95" s="100">
        <v>9.0399999999999991</v>
      </c>
      <c r="F95" s="152" t="s">
        <v>15</v>
      </c>
      <c r="G95" s="100">
        <v>75.44</v>
      </c>
      <c r="H95" s="100">
        <v>27.91</v>
      </c>
      <c r="I95" s="100">
        <v>8.19</v>
      </c>
      <c r="J95" s="100">
        <v>0.14000000000000001</v>
      </c>
      <c r="K95" s="100">
        <v>180.86</v>
      </c>
      <c r="L95" s="100">
        <v>25.94</v>
      </c>
      <c r="M95" s="100">
        <v>41.92</v>
      </c>
      <c r="N95" s="100">
        <v>0.6</v>
      </c>
      <c r="O95" s="100">
        <v>0</v>
      </c>
      <c r="P95" s="100">
        <v>0.69</v>
      </c>
      <c r="Q95" s="100">
        <v>28.05</v>
      </c>
      <c r="R95" s="6"/>
      <c r="S95" s="6"/>
      <c r="T95" s="156"/>
      <c r="U95" s="6"/>
    </row>
    <row r="96" spans="1:21" customFormat="1">
      <c r="A96" s="163" t="s">
        <v>1382</v>
      </c>
      <c r="B96" s="100">
        <v>5.15</v>
      </c>
      <c r="C96" s="100">
        <v>16.11</v>
      </c>
      <c r="D96" s="100">
        <v>13.9</v>
      </c>
      <c r="E96" s="100">
        <v>8.91</v>
      </c>
      <c r="F96" s="152" t="s">
        <v>15</v>
      </c>
      <c r="G96" s="100">
        <v>75.44</v>
      </c>
      <c r="H96" s="100">
        <v>27.91</v>
      </c>
      <c r="I96" s="100">
        <v>8.24</v>
      </c>
      <c r="J96" s="100">
        <v>0.18</v>
      </c>
      <c r="K96" s="100">
        <v>172.5</v>
      </c>
      <c r="L96" s="100">
        <v>25.79</v>
      </c>
      <c r="M96" s="100">
        <v>43.37</v>
      </c>
      <c r="N96" s="100">
        <v>0.6</v>
      </c>
      <c r="O96" s="100">
        <v>0</v>
      </c>
      <c r="P96" s="100">
        <v>0.7</v>
      </c>
      <c r="Q96" s="100">
        <v>28.04</v>
      </c>
      <c r="R96" s="6"/>
      <c r="S96" s="6"/>
      <c r="T96" s="156"/>
      <c r="U96" s="6"/>
    </row>
    <row r="97" spans="1:28" customFormat="1">
      <c r="A97" s="163" t="s">
        <v>1383</v>
      </c>
      <c r="B97" s="100">
        <v>4.92</v>
      </c>
      <c r="C97" s="100">
        <v>16.25</v>
      </c>
      <c r="D97" s="100">
        <v>13.79</v>
      </c>
      <c r="E97" s="100">
        <v>9.11</v>
      </c>
      <c r="F97" s="152" t="s">
        <v>15</v>
      </c>
      <c r="G97" s="100">
        <v>74.61</v>
      </c>
      <c r="H97" s="100">
        <v>27.2</v>
      </c>
      <c r="I97" s="100">
        <v>8.34</v>
      </c>
      <c r="J97" s="100">
        <v>0.18</v>
      </c>
      <c r="K97" s="100">
        <v>175.33</v>
      </c>
      <c r="L97" s="100">
        <v>25.63</v>
      </c>
      <c r="M97" s="100">
        <v>43.85</v>
      </c>
      <c r="N97" s="100">
        <v>0.7</v>
      </c>
      <c r="O97" s="100">
        <v>0</v>
      </c>
      <c r="P97" s="100">
        <v>0.71</v>
      </c>
      <c r="Q97" s="100">
        <v>28.05</v>
      </c>
      <c r="R97" s="6"/>
      <c r="S97" s="6"/>
      <c r="T97" s="156"/>
      <c r="U97" s="6"/>
    </row>
    <row r="98" spans="1:28" customFormat="1">
      <c r="A98" s="163" t="s">
        <v>1384</v>
      </c>
      <c r="B98" s="100">
        <v>4.7699999999999996</v>
      </c>
      <c r="C98" s="100">
        <v>16.46</v>
      </c>
      <c r="D98" s="100">
        <v>13.77</v>
      </c>
      <c r="E98" s="100">
        <v>9.06</v>
      </c>
      <c r="F98" s="152" t="s">
        <v>15</v>
      </c>
      <c r="G98" s="100">
        <v>74.53</v>
      </c>
      <c r="H98" s="100">
        <v>27.2</v>
      </c>
      <c r="I98" s="100">
        <v>8.4499999999999993</v>
      </c>
      <c r="J98" s="100">
        <v>0.16</v>
      </c>
      <c r="K98" s="100">
        <v>174.46</v>
      </c>
      <c r="L98" s="100">
        <v>25.51</v>
      </c>
      <c r="M98" s="100">
        <v>41.71</v>
      </c>
      <c r="N98" s="100">
        <v>0.6</v>
      </c>
      <c r="O98" s="100">
        <v>0</v>
      </c>
      <c r="P98" s="100">
        <v>0.71</v>
      </c>
      <c r="Q98" s="100">
        <v>28.05</v>
      </c>
      <c r="R98" s="6"/>
      <c r="S98" s="6"/>
      <c r="T98" s="156"/>
      <c r="U98" s="6"/>
    </row>
    <row r="99" spans="1:28" customFormat="1">
      <c r="A99" s="163" t="s">
        <v>1385</v>
      </c>
      <c r="B99" s="100">
        <v>4.6100000000000003</v>
      </c>
      <c r="C99" s="100">
        <v>16.579999999999998</v>
      </c>
      <c r="D99" s="100">
        <v>13.71</v>
      </c>
      <c r="E99" s="100">
        <v>9.17</v>
      </c>
      <c r="F99" s="152" t="s">
        <v>15</v>
      </c>
      <c r="G99" s="100">
        <v>74.53</v>
      </c>
      <c r="H99" s="100">
        <v>27.2</v>
      </c>
      <c r="I99" s="100">
        <v>8.57</v>
      </c>
      <c r="J99" s="100">
        <v>0.19</v>
      </c>
      <c r="K99" s="100">
        <v>212.89</v>
      </c>
      <c r="L99" s="100">
        <v>25.27</v>
      </c>
      <c r="M99" s="100">
        <v>44.56</v>
      </c>
      <c r="N99" s="100">
        <v>0.7</v>
      </c>
      <c r="O99" s="100">
        <v>0</v>
      </c>
      <c r="P99" s="100">
        <v>0.72</v>
      </c>
      <c r="Q99" s="100">
        <v>28.05</v>
      </c>
      <c r="R99" s="6"/>
      <c r="S99" s="6"/>
      <c r="T99" s="156"/>
      <c r="U99" s="6"/>
    </row>
    <row r="100" spans="1:28" customFormat="1">
      <c r="A100" s="163" t="s">
        <v>1386</v>
      </c>
      <c r="B100" s="100">
        <v>4.49</v>
      </c>
      <c r="C100" s="100">
        <v>16.739999999999998</v>
      </c>
      <c r="D100" s="100">
        <v>13.7</v>
      </c>
      <c r="E100" s="100">
        <v>9.3000000000000007</v>
      </c>
      <c r="F100" s="152" t="s">
        <v>15</v>
      </c>
      <c r="G100" s="100">
        <v>74.53</v>
      </c>
      <c r="H100" s="100">
        <v>27.2</v>
      </c>
      <c r="I100" s="100">
        <v>8.64</v>
      </c>
      <c r="J100" s="100">
        <v>0.16</v>
      </c>
      <c r="K100" s="100">
        <v>205.31</v>
      </c>
      <c r="L100" s="100">
        <v>25.01</v>
      </c>
      <c r="M100" s="100">
        <v>44.02</v>
      </c>
      <c r="N100" s="100">
        <v>0.7</v>
      </c>
      <c r="O100" s="100">
        <v>0</v>
      </c>
      <c r="P100" s="100">
        <v>0.73</v>
      </c>
      <c r="Q100" s="100">
        <v>28.03</v>
      </c>
      <c r="R100" s="6"/>
      <c r="S100" s="6"/>
      <c r="T100" s="156"/>
      <c r="U100" s="6"/>
      <c r="AB100" s="161"/>
    </row>
    <row r="101" spans="1:28" customFormat="1">
      <c r="A101" s="163" t="s">
        <v>1387</v>
      </c>
      <c r="B101" s="100">
        <v>4.41</v>
      </c>
      <c r="C101" s="100">
        <v>16.899999999999999</v>
      </c>
      <c r="D101" s="100">
        <v>13.72</v>
      </c>
      <c r="E101" s="100">
        <v>9.2899999999999991</v>
      </c>
      <c r="F101" s="152" t="s">
        <v>15</v>
      </c>
      <c r="G101" s="100">
        <v>73.87</v>
      </c>
      <c r="H101" s="100">
        <v>28.42</v>
      </c>
      <c r="I101" s="100">
        <v>8.73</v>
      </c>
      <c r="J101" s="100">
        <v>0.16</v>
      </c>
      <c r="K101" s="100">
        <v>186.12</v>
      </c>
      <c r="L101" s="100">
        <v>24.84</v>
      </c>
      <c r="M101" s="100">
        <v>44.76</v>
      </c>
      <c r="N101" s="100">
        <v>0.7</v>
      </c>
      <c r="O101" s="100">
        <v>0</v>
      </c>
      <c r="P101" s="100">
        <v>0.73</v>
      </c>
      <c r="Q101" s="100">
        <v>28.03</v>
      </c>
      <c r="R101" s="6"/>
      <c r="S101" s="6"/>
      <c r="T101" s="156"/>
      <c r="U101" s="6"/>
    </row>
    <row r="102" spans="1:28" customFormat="1">
      <c r="A102" s="163" t="s">
        <v>1388</v>
      </c>
      <c r="B102" s="100">
        <v>4.37</v>
      </c>
      <c r="C102" s="100">
        <v>17.010000000000002</v>
      </c>
      <c r="D102" s="100">
        <v>13.74</v>
      </c>
      <c r="E102" s="100">
        <v>9.16</v>
      </c>
      <c r="F102" s="152" t="s">
        <v>15</v>
      </c>
      <c r="G102" s="100">
        <v>73.819999999999993</v>
      </c>
      <c r="H102" s="100">
        <v>28.42</v>
      </c>
      <c r="I102" s="100">
        <v>8.8000000000000007</v>
      </c>
      <c r="J102" s="100">
        <v>0.2</v>
      </c>
      <c r="K102" s="100">
        <v>143.36000000000001</v>
      </c>
      <c r="L102" s="100">
        <v>24.77</v>
      </c>
      <c r="M102" s="100">
        <v>45.97</v>
      </c>
      <c r="N102" s="100">
        <v>0.7</v>
      </c>
      <c r="O102" s="100">
        <v>0</v>
      </c>
      <c r="P102" s="100">
        <v>0.74</v>
      </c>
      <c r="Q102" s="100">
        <v>28.04</v>
      </c>
      <c r="R102" s="6"/>
      <c r="S102" s="6"/>
      <c r="T102" s="156"/>
      <c r="U102" s="6"/>
    </row>
    <row r="103" spans="1:28" customFormat="1">
      <c r="A103" s="163" t="s">
        <v>1389</v>
      </c>
      <c r="B103" s="100">
        <v>5.65</v>
      </c>
      <c r="C103" s="100">
        <v>19.21</v>
      </c>
      <c r="D103" s="100">
        <v>15.92</v>
      </c>
      <c r="E103" s="100">
        <v>8.91</v>
      </c>
      <c r="F103" s="152" t="s">
        <v>15</v>
      </c>
      <c r="G103" s="100">
        <v>73.819999999999993</v>
      </c>
      <c r="H103" s="100">
        <v>28.42</v>
      </c>
      <c r="I103" s="100">
        <v>8.8699999999999992</v>
      </c>
      <c r="J103" s="100">
        <v>0.27</v>
      </c>
      <c r="K103" s="100">
        <v>148.61000000000001</v>
      </c>
      <c r="L103" s="100">
        <v>25.32</v>
      </c>
      <c r="M103" s="100">
        <v>42.54</v>
      </c>
      <c r="N103" s="100">
        <v>0.5</v>
      </c>
      <c r="O103" s="100">
        <v>0</v>
      </c>
      <c r="P103" s="100">
        <v>0.76</v>
      </c>
      <c r="Q103" s="100">
        <v>28.05</v>
      </c>
      <c r="R103" s="6"/>
      <c r="S103" s="6"/>
      <c r="T103" s="156"/>
      <c r="U103" s="6"/>
    </row>
    <row r="104" spans="1:28" customFormat="1">
      <c r="A104" s="163" t="s">
        <v>1390</v>
      </c>
      <c r="B104" s="100">
        <v>5.32</v>
      </c>
      <c r="C104" s="100">
        <v>18.89</v>
      </c>
      <c r="D104" s="100">
        <v>15.49</v>
      </c>
      <c r="E104" s="100">
        <v>8.58</v>
      </c>
      <c r="F104" s="152" t="s">
        <v>15</v>
      </c>
      <c r="G104" s="100">
        <v>73.819999999999993</v>
      </c>
      <c r="H104" s="100">
        <v>28.42</v>
      </c>
      <c r="I104" s="100">
        <v>8.9600000000000009</v>
      </c>
      <c r="J104" s="100">
        <v>0.28000000000000003</v>
      </c>
      <c r="K104" s="100">
        <v>197.16</v>
      </c>
      <c r="L104" s="100">
        <v>24.54</v>
      </c>
      <c r="M104" s="100">
        <v>47.66</v>
      </c>
      <c r="N104" s="100">
        <v>1.1000000000000001</v>
      </c>
      <c r="O104" s="100">
        <v>0</v>
      </c>
      <c r="P104" s="100">
        <v>0.77</v>
      </c>
      <c r="Q104" s="100">
        <v>28.05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3.2</v>
      </c>
      <c r="C106" s="158">
        <f>MIN(C9:C104)</f>
        <v>11.67</v>
      </c>
      <c r="D106" s="158">
        <f t="shared" ref="D106:Q106" si="0">MIN(D9:D104)</f>
        <v>10.02</v>
      </c>
      <c r="E106" s="158">
        <f t="shared" si="0"/>
        <v>7.53</v>
      </c>
      <c r="F106" s="158">
        <f t="shared" si="0"/>
        <v>0</v>
      </c>
      <c r="G106" s="158">
        <f t="shared" si="0"/>
        <v>49.26</v>
      </c>
      <c r="H106" s="158">
        <f t="shared" si="0"/>
        <v>20.23</v>
      </c>
      <c r="I106" s="158">
        <f t="shared" si="0"/>
        <v>5.37</v>
      </c>
      <c r="J106" s="158">
        <f t="shared" si="0"/>
        <v>0.06</v>
      </c>
      <c r="K106" s="158">
        <f t="shared" si="0"/>
        <v>83.5</v>
      </c>
      <c r="L106" s="158">
        <f t="shared" si="0"/>
        <v>18.670000000000002</v>
      </c>
      <c r="M106" s="158">
        <f t="shared" si="0"/>
        <v>11.08</v>
      </c>
      <c r="N106" s="158">
        <f t="shared" si="0"/>
        <v>0.4</v>
      </c>
      <c r="O106" s="158">
        <f t="shared" si="0"/>
        <v>0</v>
      </c>
      <c r="P106" s="158">
        <f t="shared" si="0"/>
        <v>0.47</v>
      </c>
      <c r="Q106" s="158">
        <f t="shared" si="0"/>
        <v>27.99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14.03</v>
      </c>
      <c r="C107" s="157">
        <f t="shared" ref="C107:Q107" si="1">MAX(C9:C104)</f>
        <v>20.81</v>
      </c>
      <c r="D107" s="157">
        <f t="shared" si="1"/>
        <v>22.28</v>
      </c>
      <c r="E107" s="157">
        <f t="shared" si="1"/>
        <v>23.9</v>
      </c>
      <c r="F107" s="157">
        <f t="shared" si="1"/>
        <v>0</v>
      </c>
      <c r="G107" s="157">
        <f t="shared" si="1"/>
        <v>90.92</v>
      </c>
      <c r="H107" s="157">
        <f t="shared" si="1"/>
        <v>40.69</v>
      </c>
      <c r="I107" s="157">
        <f t="shared" si="1"/>
        <v>14.99</v>
      </c>
      <c r="J107" s="157">
        <f t="shared" si="1"/>
        <v>1.42</v>
      </c>
      <c r="K107" s="157">
        <f t="shared" si="1"/>
        <v>336.69</v>
      </c>
      <c r="L107" s="157">
        <f t="shared" si="1"/>
        <v>38.090000000000003</v>
      </c>
      <c r="M107" s="157">
        <f t="shared" si="1"/>
        <v>64.27</v>
      </c>
      <c r="N107" s="157">
        <f t="shared" si="1"/>
        <v>342.6</v>
      </c>
      <c r="O107" s="157">
        <f t="shared" si="1"/>
        <v>0</v>
      </c>
      <c r="P107" s="157">
        <f t="shared" si="1"/>
        <v>1.05</v>
      </c>
      <c r="Q107" s="157">
        <f t="shared" si="1"/>
        <v>28.39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6.2805208333333313</v>
      </c>
      <c r="C108" s="158">
        <f t="shared" ref="C108:Q108" si="2">AVERAGE(C9:C104)</f>
        <v>17.598749999999999</v>
      </c>
      <c r="D108" s="158">
        <f t="shared" si="2"/>
        <v>15.582916666666671</v>
      </c>
      <c r="E108" s="158">
        <f t="shared" si="2"/>
        <v>10.814270833333333</v>
      </c>
      <c r="F108" s="158" t="e">
        <f t="shared" si="2"/>
        <v>#DIV/0!</v>
      </c>
      <c r="G108" s="158">
        <f t="shared" si="2"/>
        <v>70.046145833333284</v>
      </c>
      <c r="H108" s="158">
        <f t="shared" si="2"/>
        <v>28.588750000000005</v>
      </c>
      <c r="I108" s="158">
        <f t="shared" si="2"/>
        <v>10.320937500000005</v>
      </c>
      <c r="J108" s="158">
        <f t="shared" si="2"/>
        <v>0.42875000000000002</v>
      </c>
      <c r="K108" s="158">
        <f t="shared" si="2"/>
        <v>212.03697916666673</v>
      </c>
      <c r="L108" s="158">
        <f t="shared" si="2"/>
        <v>28.147916666666674</v>
      </c>
      <c r="M108" s="158">
        <f t="shared" si="2"/>
        <v>36.60895833333332</v>
      </c>
      <c r="N108" s="158">
        <f t="shared" si="2"/>
        <v>92.240625000000094</v>
      </c>
      <c r="O108" s="158">
        <f t="shared" si="2"/>
        <v>0</v>
      </c>
      <c r="P108" s="158">
        <f t="shared" si="2"/>
        <v>0.79656249999999995</v>
      </c>
      <c r="Q108" s="158">
        <f t="shared" si="2"/>
        <v>28.109375000000014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3.3254635987978918</v>
      </c>
      <c r="C109" s="158">
        <f t="shared" ref="C109:Q109" si="3">STDEV(C9:C104)</f>
        <v>1.888465960564476</v>
      </c>
      <c r="D109" s="158">
        <f t="shared" si="3"/>
        <v>3.1789398817734447</v>
      </c>
      <c r="E109" s="158">
        <f t="shared" si="3"/>
        <v>3.8492672562564056</v>
      </c>
      <c r="F109" s="158" t="e">
        <f t="shared" si="3"/>
        <v>#DIV/0!</v>
      </c>
      <c r="G109" s="158">
        <f t="shared" si="3"/>
        <v>10.920134698397577</v>
      </c>
      <c r="H109" s="158">
        <f t="shared" si="3"/>
        <v>5.4266580294339981</v>
      </c>
      <c r="I109" s="158">
        <f t="shared" si="3"/>
        <v>2.4726802326412245</v>
      </c>
      <c r="J109" s="158">
        <f t="shared" si="3"/>
        <v>0.36536139282691193</v>
      </c>
      <c r="K109" s="158">
        <f t="shared" si="3"/>
        <v>54.883095396052184</v>
      </c>
      <c r="L109" s="158">
        <f t="shared" si="3"/>
        <v>6.7220519919482831</v>
      </c>
      <c r="M109" s="158">
        <f t="shared" si="3"/>
        <v>17.649924376111546</v>
      </c>
      <c r="N109" s="158">
        <f t="shared" si="3"/>
        <v>129.84308390322522</v>
      </c>
      <c r="O109" s="158">
        <f t="shared" si="3"/>
        <v>0</v>
      </c>
      <c r="P109" s="158">
        <f t="shared" si="3"/>
        <v>0.1630487697463244</v>
      </c>
      <c r="Q109" s="158">
        <f t="shared" si="3"/>
        <v>0.12326106227712044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L14" sqref="L1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13/03/2025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1391</v>
      </c>
      <c r="B9" s="100">
        <v>5.21</v>
      </c>
      <c r="C9" s="100">
        <v>18.77</v>
      </c>
      <c r="D9" s="100">
        <v>15.33</v>
      </c>
      <c r="E9" s="100">
        <v>8.82</v>
      </c>
      <c r="F9" s="152" t="s">
        <v>15</v>
      </c>
      <c r="G9" s="100">
        <v>77.930000000000007</v>
      </c>
      <c r="H9" s="100">
        <v>32.159999999999997</v>
      </c>
      <c r="I9" s="100">
        <v>9.0500000000000007</v>
      </c>
      <c r="J9" s="100">
        <v>0.22</v>
      </c>
      <c r="K9" s="100">
        <v>194.31</v>
      </c>
      <c r="L9" s="100">
        <v>24.02</v>
      </c>
      <c r="M9" s="100">
        <v>47.05</v>
      </c>
      <c r="N9" s="100">
        <v>1.1000000000000001</v>
      </c>
      <c r="O9" s="100">
        <v>0</v>
      </c>
      <c r="P9" s="100">
        <v>0.77</v>
      </c>
      <c r="Q9" s="100">
        <v>28.07</v>
      </c>
      <c r="R9" s="6"/>
      <c r="S9" s="6"/>
      <c r="T9" s="156"/>
      <c r="U9" s="6"/>
    </row>
    <row r="10" spans="1:21" customFormat="1">
      <c r="A10" s="163" t="s">
        <v>1392</v>
      </c>
      <c r="B10" s="100">
        <v>5.0199999999999996</v>
      </c>
      <c r="C10" s="100">
        <v>18.62</v>
      </c>
      <c r="D10" s="100">
        <v>15.1</v>
      </c>
      <c r="E10" s="100">
        <v>8.74</v>
      </c>
      <c r="F10" s="152" t="s">
        <v>15</v>
      </c>
      <c r="G10" s="100">
        <v>78.28</v>
      </c>
      <c r="H10" s="100">
        <v>32.159999999999997</v>
      </c>
      <c r="I10" s="100">
        <v>9.1199999999999992</v>
      </c>
      <c r="J10" s="100">
        <v>0.2</v>
      </c>
      <c r="K10" s="100">
        <v>158.6</v>
      </c>
      <c r="L10" s="100">
        <v>24.11</v>
      </c>
      <c r="M10" s="100">
        <v>47.29</v>
      </c>
      <c r="N10" s="100">
        <v>0.7</v>
      </c>
      <c r="O10" s="100">
        <v>0</v>
      </c>
      <c r="P10" s="100">
        <v>0.76</v>
      </c>
      <c r="Q10" s="100">
        <v>28.05</v>
      </c>
      <c r="R10" s="6"/>
      <c r="S10" s="6"/>
      <c r="T10" s="156"/>
      <c r="U10" s="6"/>
    </row>
    <row r="11" spans="1:21" customFormat="1">
      <c r="A11" s="163" t="s">
        <v>1393</v>
      </c>
      <c r="B11" s="100">
        <v>4.8600000000000003</v>
      </c>
      <c r="C11" s="100">
        <v>18.43</v>
      </c>
      <c r="D11" s="100">
        <v>14.87</v>
      </c>
      <c r="E11" s="100">
        <v>8.6199999999999992</v>
      </c>
      <c r="F11" s="152" t="s">
        <v>15</v>
      </c>
      <c r="G11" s="100">
        <v>78.28</v>
      </c>
      <c r="H11" s="100">
        <v>32.159999999999997</v>
      </c>
      <c r="I11" s="100">
        <v>9.15</v>
      </c>
      <c r="J11" s="100">
        <v>0.22</v>
      </c>
      <c r="K11" s="100">
        <v>168.84</v>
      </c>
      <c r="L11" s="100">
        <v>24.26</v>
      </c>
      <c r="M11" s="100">
        <v>47.05</v>
      </c>
      <c r="N11" s="100">
        <v>0.7</v>
      </c>
      <c r="O11" s="100">
        <v>0</v>
      </c>
      <c r="P11" s="100">
        <v>0.77</v>
      </c>
      <c r="Q11" s="100">
        <v>28.06</v>
      </c>
      <c r="R11" s="6"/>
      <c r="S11" s="6"/>
      <c r="T11" s="156"/>
      <c r="U11" s="6"/>
    </row>
    <row r="12" spans="1:21" customFormat="1">
      <c r="A12" s="163" t="s">
        <v>1394</v>
      </c>
      <c r="B12" s="100">
        <v>4.76</v>
      </c>
      <c r="C12" s="100">
        <v>18.28</v>
      </c>
      <c r="D12" s="100">
        <v>14.72</v>
      </c>
      <c r="E12" s="100">
        <v>8.6999999999999993</v>
      </c>
      <c r="F12" s="152" t="s">
        <v>15</v>
      </c>
      <c r="G12" s="100">
        <v>78.28</v>
      </c>
      <c r="H12" s="100">
        <v>32.159999999999997</v>
      </c>
      <c r="I12" s="100">
        <v>9.16</v>
      </c>
      <c r="J12" s="100">
        <v>0.28999999999999998</v>
      </c>
      <c r="K12" s="100">
        <v>184.01</v>
      </c>
      <c r="L12" s="100">
        <v>23.63</v>
      </c>
      <c r="M12" s="100">
        <v>50.79</v>
      </c>
      <c r="N12" s="100">
        <v>1.3</v>
      </c>
      <c r="O12" s="100">
        <v>0</v>
      </c>
      <c r="P12" s="100">
        <v>0.78</v>
      </c>
      <c r="Q12" s="100">
        <v>28.06</v>
      </c>
      <c r="R12" s="6"/>
      <c r="S12" s="6"/>
      <c r="T12" s="156"/>
      <c r="U12" s="6"/>
    </row>
    <row r="13" spans="1:21" customFormat="1">
      <c r="A13" s="163" t="s">
        <v>1395</v>
      </c>
      <c r="B13" s="100">
        <v>4.72</v>
      </c>
      <c r="C13" s="100">
        <v>18.079999999999998</v>
      </c>
      <c r="D13" s="100">
        <v>14.58</v>
      </c>
      <c r="E13" s="100">
        <v>8.57</v>
      </c>
      <c r="F13" s="152" t="s">
        <v>15</v>
      </c>
      <c r="G13" s="100">
        <v>70.430000000000007</v>
      </c>
      <c r="H13" s="100">
        <v>33.47</v>
      </c>
      <c r="I13" s="100">
        <v>9.16</v>
      </c>
      <c r="J13" s="100">
        <v>0.23</v>
      </c>
      <c r="K13" s="100">
        <v>165.62</v>
      </c>
      <c r="L13" s="100">
        <v>23.29</v>
      </c>
      <c r="M13" s="100">
        <v>50.79</v>
      </c>
      <c r="N13" s="100">
        <v>0.9</v>
      </c>
      <c r="O13" s="100">
        <v>0</v>
      </c>
      <c r="P13" s="100">
        <v>0.77</v>
      </c>
      <c r="Q13" s="100">
        <v>28.05</v>
      </c>
      <c r="R13" s="6"/>
      <c r="S13" s="6"/>
      <c r="T13" s="156"/>
      <c r="U13" s="6"/>
    </row>
    <row r="14" spans="1:21" customFormat="1">
      <c r="A14" s="163" t="s">
        <v>1396</v>
      </c>
      <c r="B14" s="100">
        <v>4.7</v>
      </c>
      <c r="C14" s="100">
        <v>17.920000000000002</v>
      </c>
      <c r="D14" s="100">
        <v>14.48</v>
      </c>
      <c r="E14" s="100">
        <v>8.7200000000000006</v>
      </c>
      <c r="F14" s="152" t="s">
        <v>15</v>
      </c>
      <c r="G14" s="100">
        <v>69.67</v>
      </c>
      <c r="H14" s="100">
        <v>33.47</v>
      </c>
      <c r="I14" s="100">
        <v>9.18</v>
      </c>
      <c r="J14" s="100">
        <v>0.22</v>
      </c>
      <c r="K14" s="100">
        <v>181.54</v>
      </c>
      <c r="L14" s="100">
        <v>23.43</v>
      </c>
      <c r="M14" s="100">
        <v>50.23</v>
      </c>
      <c r="N14" s="100">
        <v>0.7</v>
      </c>
      <c r="O14" s="100">
        <v>0</v>
      </c>
      <c r="P14" s="100">
        <v>0.77</v>
      </c>
      <c r="Q14" s="100">
        <v>28.05</v>
      </c>
      <c r="R14" s="6"/>
      <c r="S14" s="6"/>
      <c r="T14" s="156"/>
      <c r="U14" s="6"/>
    </row>
    <row r="15" spans="1:21" customFormat="1">
      <c r="A15" s="163" t="s">
        <v>1397</v>
      </c>
      <c r="B15" s="100">
        <v>4.6399999999999997</v>
      </c>
      <c r="C15" s="100">
        <v>17.75</v>
      </c>
      <c r="D15" s="100">
        <v>14.35</v>
      </c>
      <c r="E15" s="100">
        <v>8.75</v>
      </c>
      <c r="F15" s="152" t="s">
        <v>15</v>
      </c>
      <c r="G15" s="100">
        <v>69.67</v>
      </c>
      <c r="H15" s="100">
        <v>33.47</v>
      </c>
      <c r="I15" s="100">
        <v>9.2100000000000009</v>
      </c>
      <c r="J15" s="100">
        <v>0.22</v>
      </c>
      <c r="K15" s="100">
        <v>166.49</v>
      </c>
      <c r="L15" s="100">
        <v>23.24</v>
      </c>
      <c r="M15" s="100">
        <v>50.07</v>
      </c>
      <c r="N15" s="100">
        <v>0.9</v>
      </c>
      <c r="O15" s="100">
        <v>0</v>
      </c>
      <c r="P15" s="100">
        <v>0.79</v>
      </c>
      <c r="Q15" s="100">
        <v>28.04</v>
      </c>
      <c r="R15" s="6"/>
      <c r="S15" s="6"/>
      <c r="T15" s="156"/>
      <c r="U15" s="6"/>
    </row>
    <row r="16" spans="1:21" customFormat="1">
      <c r="A16" s="163" t="s">
        <v>1398</v>
      </c>
      <c r="B16" s="100">
        <v>4.5599999999999996</v>
      </c>
      <c r="C16" s="100">
        <v>17.600000000000001</v>
      </c>
      <c r="D16" s="100">
        <v>14.21</v>
      </c>
      <c r="E16" s="100">
        <v>8.86</v>
      </c>
      <c r="F16" s="152" t="s">
        <v>15</v>
      </c>
      <c r="G16" s="100">
        <v>69.67</v>
      </c>
      <c r="H16" s="100">
        <v>33.47</v>
      </c>
      <c r="I16" s="100">
        <v>9.17</v>
      </c>
      <c r="J16" s="100">
        <v>0.11</v>
      </c>
      <c r="K16" s="100">
        <v>170.13</v>
      </c>
      <c r="L16" s="100">
        <v>23.13</v>
      </c>
      <c r="M16" s="100">
        <v>48.64</v>
      </c>
      <c r="N16" s="100">
        <v>0.6</v>
      </c>
      <c r="O16" s="100">
        <v>0</v>
      </c>
      <c r="P16" s="100">
        <v>0.8</v>
      </c>
      <c r="Q16" s="100">
        <v>28.04</v>
      </c>
      <c r="R16" s="6"/>
      <c r="S16" s="6"/>
      <c r="T16" s="156"/>
      <c r="U16" s="6"/>
    </row>
    <row r="17" spans="1:21" customFormat="1">
      <c r="A17" s="163" t="s">
        <v>1399</v>
      </c>
      <c r="B17" s="100">
        <v>4.5199999999999996</v>
      </c>
      <c r="C17" s="100">
        <v>17.57</v>
      </c>
      <c r="D17" s="100">
        <v>14.15</v>
      </c>
      <c r="E17" s="100">
        <v>6.45</v>
      </c>
      <c r="F17" s="152" t="s">
        <v>15</v>
      </c>
      <c r="G17" s="100">
        <v>69.05</v>
      </c>
      <c r="H17" s="100">
        <v>29.22</v>
      </c>
      <c r="I17" s="100">
        <v>9.17</v>
      </c>
      <c r="J17" s="100">
        <v>0.18</v>
      </c>
      <c r="K17" s="100">
        <v>185.5</v>
      </c>
      <c r="L17" s="100">
        <v>23.24</v>
      </c>
      <c r="M17" s="100">
        <v>49.06</v>
      </c>
      <c r="N17" s="100">
        <v>0.7</v>
      </c>
      <c r="O17" s="100">
        <v>0</v>
      </c>
      <c r="P17" s="100">
        <v>0.78</v>
      </c>
      <c r="Q17" s="100">
        <v>28.04</v>
      </c>
      <c r="R17" s="6"/>
      <c r="S17" s="6"/>
      <c r="T17" s="156"/>
      <c r="U17" s="6"/>
    </row>
    <row r="18" spans="1:21" customFormat="1">
      <c r="A18" s="163" t="s">
        <v>1400</v>
      </c>
      <c r="B18" s="100">
        <v>4.46</v>
      </c>
      <c r="C18" s="100">
        <v>17.41</v>
      </c>
      <c r="D18" s="100">
        <v>14.02</v>
      </c>
      <c r="E18" s="100">
        <v>7.65</v>
      </c>
      <c r="F18" s="152" t="s">
        <v>15</v>
      </c>
      <c r="G18" s="100">
        <v>68.989999999999995</v>
      </c>
      <c r="H18" s="100">
        <v>29.22</v>
      </c>
      <c r="I18" s="100">
        <v>9.14</v>
      </c>
      <c r="J18" s="100">
        <v>0.21</v>
      </c>
      <c r="K18" s="100">
        <v>180.31</v>
      </c>
      <c r="L18" s="100">
        <v>22.85</v>
      </c>
      <c r="M18" s="100">
        <v>53.04</v>
      </c>
      <c r="N18" s="100">
        <v>1</v>
      </c>
      <c r="O18" s="100">
        <v>0</v>
      </c>
      <c r="P18" s="100">
        <v>0.78</v>
      </c>
      <c r="Q18" s="100">
        <v>28.04</v>
      </c>
      <c r="R18" s="6"/>
      <c r="S18" s="6"/>
      <c r="T18" s="156"/>
      <c r="U18" s="6"/>
    </row>
    <row r="19" spans="1:21" customFormat="1">
      <c r="A19" s="163" t="s">
        <v>1401</v>
      </c>
      <c r="B19" s="100">
        <v>4.4400000000000004</v>
      </c>
      <c r="C19" s="100">
        <v>17.329999999999998</v>
      </c>
      <c r="D19" s="100">
        <v>13.97</v>
      </c>
      <c r="E19" s="100">
        <v>7.83</v>
      </c>
      <c r="F19" s="152" t="s">
        <v>15</v>
      </c>
      <c r="G19" s="100">
        <v>68.989999999999995</v>
      </c>
      <c r="H19" s="100">
        <v>29.22</v>
      </c>
      <c r="I19" s="100">
        <v>9.1199999999999992</v>
      </c>
      <c r="J19" s="100">
        <v>0.18</v>
      </c>
      <c r="K19" s="100">
        <v>180.29</v>
      </c>
      <c r="L19" s="100">
        <v>22.69</v>
      </c>
      <c r="M19" s="100">
        <v>51.59</v>
      </c>
      <c r="N19" s="100">
        <v>0.8</v>
      </c>
      <c r="O19" s="100">
        <v>0</v>
      </c>
      <c r="P19" s="100">
        <v>0.79</v>
      </c>
      <c r="Q19" s="100">
        <v>28.03</v>
      </c>
      <c r="R19" s="6"/>
      <c r="S19" s="6"/>
      <c r="T19" s="156"/>
      <c r="U19" s="6"/>
    </row>
    <row r="20" spans="1:21" customFormat="1">
      <c r="A20" s="163" t="s">
        <v>1402</v>
      </c>
      <c r="B20" s="100">
        <v>4.5</v>
      </c>
      <c r="C20" s="100">
        <v>17.329999999999998</v>
      </c>
      <c r="D20" s="100">
        <v>14.01</v>
      </c>
      <c r="E20" s="100">
        <v>7.46</v>
      </c>
      <c r="F20" s="152" t="s">
        <v>15</v>
      </c>
      <c r="G20" s="100">
        <v>68.989999999999995</v>
      </c>
      <c r="H20" s="100">
        <v>29.22</v>
      </c>
      <c r="I20" s="100">
        <v>9.09</v>
      </c>
      <c r="J20" s="100">
        <v>0.15</v>
      </c>
      <c r="K20" s="100">
        <v>156.44999999999999</v>
      </c>
      <c r="L20" s="100">
        <v>22.56</v>
      </c>
      <c r="M20" s="100">
        <v>51.27</v>
      </c>
      <c r="N20" s="100">
        <v>0.9</v>
      </c>
      <c r="O20" s="100">
        <v>0</v>
      </c>
      <c r="P20" s="100">
        <v>0.8</v>
      </c>
      <c r="Q20" s="100">
        <v>28.04</v>
      </c>
      <c r="R20" s="6"/>
      <c r="S20" s="6"/>
      <c r="T20" s="156"/>
      <c r="U20" s="6"/>
    </row>
    <row r="21" spans="1:21" customFormat="1">
      <c r="A21" s="163" t="s">
        <v>1403</v>
      </c>
      <c r="B21" s="100">
        <v>4.6900000000000004</v>
      </c>
      <c r="C21" s="100">
        <v>17.3</v>
      </c>
      <c r="D21" s="100">
        <v>14.15</v>
      </c>
      <c r="E21" s="100">
        <v>7.68</v>
      </c>
      <c r="F21" s="152" t="s">
        <v>15</v>
      </c>
      <c r="G21" s="100">
        <v>66.3</v>
      </c>
      <c r="H21" s="100">
        <v>29.3</v>
      </c>
      <c r="I21" s="100">
        <v>9.07</v>
      </c>
      <c r="J21" s="100">
        <v>0.19</v>
      </c>
      <c r="K21" s="100">
        <v>157.78</v>
      </c>
      <c r="L21" s="100">
        <v>22.4</v>
      </c>
      <c r="M21" s="100">
        <v>52.77</v>
      </c>
      <c r="N21" s="100">
        <v>0.8</v>
      </c>
      <c r="O21" s="100">
        <v>0</v>
      </c>
      <c r="P21" s="100">
        <v>0.8</v>
      </c>
      <c r="Q21" s="100">
        <v>28.05</v>
      </c>
      <c r="R21" s="6"/>
      <c r="S21" s="6"/>
      <c r="T21" s="156"/>
      <c r="U21" s="6"/>
    </row>
    <row r="22" spans="1:21" customFormat="1">
      <c r="A22" s="163" t="s">
        <v>1404</v>
      </c>
      <c r="B22" s="100">
        <v>4.91</v>
      </c>
      <c r="C22" s="100">
        <v>17.23</v>
      </c>
      <c r="D22" s="100">
        <v>14.29</v>
      </c>
      <c r="E22" s="100">
        <v>7.46</v>
      </c>
      <c r="F22" s="152" t="s">
        <v>15</v>
      </c>
      <c r="G22" s="100">
        <v>66.040000000000006</v>
      </c>
      <c r="H22" s="100">
        <v>29.3</v>
      </c>
      <c r="I22" s="100">
        <v>9.06</v>
      </c>
      <c r="J22" s="100">
        <v>0.11</v>
      </c>
      <c r="K22" s="100">
        <v>166.71</v>
      </c>
      <c r="L22" s="100">
        <v>22.26</v>
      </c>
      <c r="M22" s="100">
        <v>51.82</v>
      </c>
      <c r="N22" s="100">
        <v>0.8</v>
      </c>
      <c r="O22" s="100">
        <v>0</v>
      </c>
      <c r="P22" s="100">
        <v>0.79</v>
      </c>
      <c r="Q22" s="100">
        <v>28.05</v>
      </c>
      <c r="R22" s="6"/>
      <c r="S22" s="6"/>
      <c r="T22" s="156"/>
      <c r="U22" s="6"/>
    </row>
    <row r="23" spans="1:21" customFormat="1">
      <c r="A23" s="163" t="s">
        <v>1405</v>
      </c>
      <c r="B23" s="100">
        <v>5.1100000000000003</v>
      </c>
      <c r="C23" s="100">
        <v>17.149999999999999</v>
      </c>
      <c r="D23" s="100">
        <v>14.41</v>
      </c>
      <c r="E23" s="100">
        <v>7.75</v>
      </c>
      <c r="F23" s="152" t="s">
        <v>15</v>
      </c>
      <c r="G23" s="100">
        <v>66.040000000000006</v>
      </c>
      <c r="H23" s="100">
        <v>29.3</v>
      </c>
      <c r="I23" s="100">
        <v>9.08</v>
      </c>
      <c r="J23" s="100">
        <v>0.12</v>
      </c>
      <c r="K23" s="100">
        <v>197.6</v>
      </c>
      <c r="L23" s="100">
        <v>22.32</v>
      </c>
      <c r="M23" s="100">
        <v>49.89</v>
      </c>
      <c r="N23" s="100">
        <v>0.6</v>
      </c>
      <c r="O23" s="100">
        <v>0</v>
      </c>
      <c r="P23" s="100">
        <v>0.79</v>
      </c>
      <c r="Q23" s="100">
        <v>28.07</v>
      </c>
      <c r="R23" s="6"/>
      <c r="S23" s="6"/>
      <c r="T23" s="156"/>
      <c r="U23" s="6"/>
    </row>
    <row r="24" spans="1:21" customFormat="1">
      <c r="A24" s="163" t="s">
        <v>1406</v>
      </c>
      <c r="B24" s="100">
        <v>5.21</v>
      </c>
      <c r="C24" s="100">
        <v>17.03</v>
      </c>
      <c r="D24" s="100">
        <v>14.43</v>
      </c>
      <c r="E24" s="100">
        <v>7.98</v>
      </c>
      <c r="F24" s="152" t="s">
        <v>15</v>
      </c>
      <c r="G24" s="100">
        <v>66.040000000000006</v>
      </c>
      <c r="H24" s="100">
        <v>29.3</v>
      </c>
      <c r="I24" s="100">
        <v>9.11</v>
      </c>
      <c r="J24" s="100">
        <v>0.13</v>
      </c>
      <c r="K24" s="100">
        <v>218.13</v>
      </c>
      <c r="L24" s="100">
        <v>22.82</v>
      </c>
      <c r="M24" s="100">
        <v>47.46</v>
      </c>
      <c r="N24" s="100">
        <v>0.4</v>
      </c>
      <c r="O24" s="100">
        <v>0</v>
      </c>
      <c r="P24" s="100">
        <v>0.8</v>
      </c>
      <c r="Q24" s="100">
        <v>28.08</v>
      </c>
      <c r="R24" s="6"/>
      <c r="S24" s="6"/>
      <c r="T24" s="156"/>
      <c r="U24" s="6"/>
    </row>
    <row r="25" spans="1:21" customFormat="1">
      <c r="A25" s="163" t="s">
        <v>1407</v>
      </c>
      <c r="B25" s="100">
        <v>5.29</v>
      </c>
      <c r="C25" s="100">
        <v>16.95</v>
      </c>
      <c r="D25" s="100">
        <v>14.45</v>
      </c>
      <c r="E25" s="100">
        <v>7.74</v>
      </c>
      <c r="F25" s="152" t="s">
        <v>15</v>
      </c>
      <c r="G25" s="100">
        <v>62.65</v>
      </c>
      <c r="H25" s="100">
        <v>25.82</v>
      </c>
      <c r="I25" s="100">
        <v>9.11</v>
      </c>
      <c r="J25" s="100">
        <v>0.18</v>
      </c>
      <c r="K25" s="100">
        <v>214.55</v>
      </c>
      <c r="L25" s="100">
        <v>23.42</v>
      </c>
      <c r="M25" s="100">
        <v>45.08</v>
      </c>
      <c r="N25" s="100">
        <v>0.4</v>
      </c>
      <c r="O25" s="100">
        <v>0</v>
      </c>
      <c r="P25" s="100">
        <v>0.8</v>
      </c>
      <c r="Q25" s="100">
        <v>28.05</v>
      </c>
      <c r="R25" s="6"/>
      <c r="S25" s="6"/>
      <c r="T25" s="156"/>
      <c r="U25" s="6"/>
    </row>
    <row r="26" spans="1:21" customFormat="1">
      <c r="A26" s="163" t="s">
        <v>1408</v>
      </c>
      <c r="B26" s="100">
        <v>5.42</v>
      </c>
      <c r="C26" s="100">
        <v>16.77</v>
      </c>
      <c r="D26" s="100">
        <v>14.46</v>
      </c>
      <c r="E26" s="100">
        <v>7.75</v>
      </c>
      <c r="F26" s="152" t="s">
        <v>15</v>
      </c>
      <c r="G26" s="100">
        <v>62.32</v>
      </c>
      <c r="H26" s="100">
        <v>25.82</v>
      </c>
      <c r="I26" s="100">
        <v>9.16</v>
      </c>
      <c r="J26" s="100">
        <v>0.15</v>
      </c>
      <c r="K26" s="100">
        <v>206.51</v>
      </c>
      <c r="L26" s="100">
        <v>23.41</v>
      </c>
      <c r="M26" s="100">
        <v>45.16</v>
      </c>
      <c r="N26" s="100">
        <v>0.7</v>
      </c>
      <c r="O26" s="100">
        <v>0</v>
      </c>
      <c r="P26" s="100">
        <v>0.8</v>
      </c>
      <c r="Q26" s="100">
        <v>28.06</v>
      </c>
      <c r="R26" s="6"/>
      <c r="S26" s="6"/>
      <c r="T26" s="156"/>
      <c r="U26" s="6"/>
    </row>
    <row r="27" spans="1:21" customFormat="1">
      <c r="A27" s="163" t="s">
        <v>1409</v>
      </c>
      <c r="B27" s="100">
        <v>5.44</v>
      </c>
      <c r="C27" s="100">
        <v>16.760000000000002</v>
      </c>
      <c r="D27" s="100">
        <v>14.47</v>
      </c>
      <c r="E27" s="100">
        <v>7.84</v>
      </c>
      <c r="F27" s="152" t="s">
        <v>15</v>
      </c>
      <c r="G27" s="100">
        <v>62.32</v>
      </c>
      <c r="H27" s="100">
        <v>25.82</v>
      </c>
      <c r="I27" s="100">
        <v>9.2200000000000006</v>
      </c>
      <c r="J27" s="100">
        <v>0.16</v>
      </c>
      <c r="K27" s="100">
        <v>195.33</v>
      </c>
      <c r="L27" s="100">
        <v>23.47</v>
      </c>
      <c r="M27" s="100">
        <v>45.37</v>
      </c>
      <c r="N27" s="100">
        <v>0.7</v>
      </c>
      <c r="O27" s="100">
        <v>0</v>
      </c>
      <c r="P27" s="100">
        <v>0.81</v>
      </c>
      <c r="Q27" s="100">
        <v>28.06</v>
      </c>
      <c r="R27" s="6"/>
      <c r="S27" s="6"/>
      <c r="T27" s="156"/>
      <c r="U27" s="6"/>
    </row>
    <row r="28" spans="1:21" customFormat="1">
      <c r="A28" s="163" t="s">
        <v>1410</v>
      </c>
      <c r="B28" s="100">
        <v>5.48</v>
      </c>
      <c r="C28" s="100">
        <v>16.68</v>
      </c>
      <c r="D28" s="100">
        <v>14.46</v>
      </c>
      <c r="E28" s="100">
        <v>7.82</v>
      </c>
      <c r="F28" s="152" t="s">
        <v>15</v>
      </c>
      <c r="G28" s="100">
        <v>62.32</v>
      </c>
      <c r="H28" s="100">
        <v>25.82</v>
      </c>
      <c r="I28" s="100">
        <v>9.25</v>
      </c>
      <c r="J28" s="100">
        <v>0.2</v>
      </c>
      <c r="K28" s="100">
        <v>171.61</v>
      </c>
      <c r="L28" s="100">
        <v>23.03</v>
      </c>
      <c r="M28" s="100">
        <v>47.77</v>
      </c>
      <c r="N28" s="100">
        <v>1.2</v>
      </c>
      <c r="O28" s="100">
        <v>0</v>
      </c>
      <c r="P28" s="100">
        <v>0.81</v>
      </c>
      <c r="Q28" s="100">
        <v>28.06</v>
      </c>
      <c r="R28" s="6"/>
      <c r="S28" s="6"/>
      <c r="T28" s="156"/>
      <c r="U28" s="6"/>
    </row>
    <row r="29" spans="1:21" customFormat="1">
      <c r="A29" s="163" t="s">
        <v>1411</v>
      </c>
      <c r="B29" s="100">
        <v>5.52</v>
      </c>
      <c r="C29" s="100">
        <v>16.62</v>
      </c>
      <c r="D29" s="100">
        <v>14.46</v>
      </c>
      <c r="E29" s="100">
        <v>7.62</v>
      </c>
      <c r="F29" s="152" t="s">
        <v>15</v>
      </c>
      <c r="G29" s="100">
        <v>64.23</v>
      </c>
      <c r="H29" s="100">
        <v>25.73</v>
      </c>
      <c r="I29" s="100">
        <v>9.3000000000000007</v>
      </c>
      <c r="J29" s="100">
        <v>0.16</v>
      </c>
      <c r="K29" s="100">
        <v>143.69</v>
      </c>
      <c r="L29" s="100">
        <v>22.77</v>
      </c>
      <c r="M29" s="100">
        <v>49.55</v>
      </c>
      <c r="N29" s="100">
        <v>1.2</v>
      </c>
      <c r="O29" s="100">
        <v>0</v>
      </c>
      <c r="P29" s="100">
        <v>0.81</v>
      </c>
      <c r="Q29" s="100">
        <v>28.07</v>
      </c>
      <c r="R29" s="6"/>
      <c r="S29" s="6"/>
      <c r="T29" s="156"/>
      <c r="U29" s="6"/>
    </row>
    <row r="30" spans="1:21" customFormat="1">
      <c r="A30" s="163" t="s">
        <v>1412</v>
      </c>
      <c r="B30" s="100">
        <v>5.62</v>
      </c>
      <c r="C30" s="100">
        <v>16.420000000000002</v>
      </c>
      <c r="D30" s="100">
        <v>14.44</v>
      </c>
      <c r="E30" s="100">
        <v>7.4</v>
      </c>
      <c r="F30" s="152" t="s">
        <v>15</v>
      </c>
      <c r="G30" s="100">
        <v>64.42</v>
      </c>
      <c r="H30" s="100">
        <v>25.73</v>
      </c>
      <c r="I30" s="100">
        <v>9.35</v>
      </c>
      <c r="J30" s="100">
        <v>0.24</v>
      </c>
      <c r="K30" s="100">
        <v>168.55</v>
      </c>
      <c r="L30" s="100">
        <v>22.37</v>
      </c>
      <c r="M30" s="100">
        <v>52.39</v>
      </c>
      <c r="N30" s="100">
        <v>1.2</v>
      </c>
      <c r="O30" s="100">
        <v>0</v>
      </c>
      <c r="P30" s="100">
        <v>0.82</v>
      </c>
      <c r="Q30" s="100">
        <v>28.08</v>
      </c>
      <c r="R30" s="6"/>
      <c r="S30" s="6"/>
      <c r="T30" s="156"/>
      <c r="U30" s="6"/>
    </row>
    <row r="31" spans="1:21" customFormat="1">
      <c r="A31" s="163" t="s">
        <v>1413</v>
      </c>
      <c r="B31" s="100">
        <v>5.68</v>
      </c>
      <c r="C31" s="100">
        <v>16.39</v>
      </c>
      <c r="D31" s="100">
        <v>14.47</v>
      </c>
      <c r="E31" s="100">
        <v>7.6</v>
      </c>
      <c r="F31" s="152" t="s">
        <v>15</v>
      </c>
      <c r="G31" s="100">
        <v>64.42</v>
      </c>
      <c r="H31" s="100">
        <v>25.73</v>
      </c>
      <c r="I31" s="100">
        <v>9.4</v>
      </c>
      <c r="J31" s="100">
        <v>0.16</v>
      </c>
      <c r="K31" s="100">
        <v>164.2</v>
      </c>
      <c r="L31" s="100">
        <v>21.94</v>
      </c>
      <c r="M31" s="100">
        <v>53.98</v>
      </c>
      <c r="N31" s="100">
        <v>1.3</v>
      </c>
      <c r="O31" s="100">
        <v>0</v>
      </c>
      <c r="P31" s="100">
        <v>0.82</v>
      </c>
      <c r="Q31" s="100">
        <v>28.08</v>
      </c>
      <c r="R31" s="6"/>
      <c r="S31" s="6"/>
      <c r="T31" s="156"/>
      <c r="U31" s="6"/>
    </row>
    <row r="32" spans="1:21" customFormat="1">
      <c r="A32" s="163" t="s">
        <v>1414</v>
      </c>
      <c r="B32" s="100">
        <v>5.75</v>
      </c>
      <c r="C32" s="100">
        <v>16.239999999999998</v>
      </c>
      <c r="D32" s="100">
        <v>14.44</v>
      </c>
      <c r="E32" s="100">
        <v>7.63</v>
      </c>
      <c r="F32" s="152" t="s">
        <v>15</v>
      </c>
      <c r="G32" s="100">
        <v>64.42</v>
      </c>
      <c r="H32" s="100">
        <v>25.73</v>
      </c>
      <c r="I32" s="100">
        <v>9.4600000000000009</v>
      </c>
      <c r="J32" s="100">
        <v>0.15</v>
      </c>
      <c r="K32" s="100">
        <v>157.13</v>
      </c>
      <c r="L32" s="100">
        <v>21.68</v>
      </c>
      <c r="M32" s="100">
        <v>56</v>
      </c>
      <c r="N32" s="100">
        <v>1.3</v>
      </c>
      <c r="O32" s="100">
        <v>0</v>
      </c>
      <c r="P32" s="100">
        <v>0.83</v>
      </c>
      <c r="Q32" s="100">
        <v>28.08</v>
      </c>
      <c r="R32" s="6"/>
      <c r="S32" s="6"/>
      <c r="T32" s="156"/>
      <c r="U32" s="6"/>
    </row>
    <row r="33" spans="1:21" customFormat="1">
      <c r="A33" s="163" t="s">
        <v>1415</v>
      </c>
      <c r="B33" s="100">
        <v>5.81</v>
      </c>
      <c r="C33" s="100">
        <v>16.21</v>
      </c>
      <c r="D33" s="100">
        <v>14.48</v>
      </c>
      <c r="E33" s="100">
        <v>7.77</v>
      </c>
      <c r="F33" s="152" t="s">
        <v>15</v>
      </c>
      <c r="G33" s="100">
        <v>60.6</v>
      </c>
      <c r="H33" s="100">
        <v>30.33</v>
      </c>
      <c r="I33" s="100">
        <v>9.5399999999999991</v>
      </c>
      <c r="J33" s="100">
        <v>0.15</v>
      </c>
      <c r="K33" s="100">
        <v>147.77000000000001</v>
      </c>
      <c r="L33" s="100">
        <v>21.43</v>
      </c>
      <c r="M33" s="100">
        <v>57.49</v>
      </c>
      <c r="N33" s="100">
        <v>2.4</v>
      </c>
      <c r="O33" s="100">
        <v>0</v>
      </c>
      <c r="P33" s="100">
        <v>0.83</v>
      </c>
      <c r="Q33" s="100">
        <v>28.08</v>
      </c>
      <c r="R33" s="6"/>
      <c r="S33" s="6"/>
      <c r="T33" s="156"/>
      <c r="U33" s="6"/>
    </row>
    <row r="34" spans="1:21" customFormat="1">
      <c r="A34" s="163" t="s">
        <v>1416</v>
      </c>
      <c r="B34" s="100">
        <v>5.89</v>
      </c>
      <c r="C34" s="100">
        <v>16.12</v>
      </c>
      <c r="D34" s="100">
        <v>14.49</v>
      </c>
      <c r="E34" s="100">
        <v>7.81</v>
      </c>
      <c r="F34" s="152" t="s">
        <v>15</v>
      </c>
      <c r="G34" s="100">
        <v>60.23</v>
      </c>
      <c r="H34" s="100">
        <v>30.33</v>
      </c>
      <c r="I34" s="100">
        <v>9.6199999999999992</v>
      </c>
      <c r="J34" s="100">
        <v>0.17</v>
      </c>
      <c r="K34" s="100">
        <v>166.55</v>
      </c>
      <c r="L34" s="100">
        <v>21.43</v>
      </c>
      <c r="M34" s="100">
        <v>56.9</v>
      </c>
      <c r="N34" s="100">
        <v>6.3</v>
      </c>
      <c r="O34" s="100">
        <v>0</v>
      </c>
      <c r="P34" s="100">
        <v>0.84</v>
      </c>
      <c r="Q34" s="100">
        <v>28.1</v>
      </c>
      <c r="R34" s="6"/>
      <c r="S34" s="6"/>
      <c r="T34" s="156"/>
      <c r="U34" s="6"/>
    </row>
    <row r="35" spans="1:21" customFormat="1">
      <c r="A35" s="163" t="s">
        <v>1417</v>
      </c>
      <c r="B35" s="100">
        <v>6.01</v>
      </c>
      <c r="C35" s="100">
        <v>16.05</v>
      </c>
      <c r="D35" s="100">
        <v>14.56</v>
      </c>
      <c r="E35" s="100">
        <v>7.37</v>
      </c>
      <c r="F35" s="152" t="s">
        <v>15</v>
      </c>
      <c r="G35" s="100">
        <v>60.23</v>
      </c>
      <c r="H35" s="100">
        <v>30.33</v>
      </c>
      <c r="I35" s="100">
        <v>9.67</v>
      </c>
      <c r="J35" s="100">
        <v>0.14000000000000001</v>
      </c>
      <c r="K35" s="100">
        <v>142.59</v>
      </c>
      <c r="L35" s="100">
        <v>21.26</v>
      </c>
      <c r="M35" s="100">
        <v>60.6</v>
      </c>
      <c r="N35" s="100">
        <v>12.8</v>
      </c>
      <c r="O35" s="100">
        <v>0</v>
      </c>
      <c r="P35" s="100">
        <v>0.86</v>
      </c>
      <c r="Q35" s="100">
        <v>28.11</v>
      </c>
      <c r="R35" s="6"/>
      <c r="S35" s="6"/>
      <c r="T35" s="156"/>
      <c r="U35" s="6"/>
    </row>
    <row r="36" spans="1:21" customFormat="1">
      <c r="A36" s="163" t="s">
        <v>1418</v>
      </c>
      <c r="B36" s="100">
        <v>6.15</v>
      </c>
      <c r="C36" s="100">
        <v>16.14</v>
      </c>
      <c r="D36" s="100">
        <v>14.71</v>
      </c>
      <c r="E36" s="100">
        <v>7.43</v>
      </c>
      <c r="F36" s="152" t="s">
        <v>15</v>
      </c>
      <c r="G36" s="100">
        <v>60.23</v>
      </c>
      <c r="H36" s="100">
        <v>30.33</v>
      </c>
      <c r="I36" s="100">
        <v>9.73</v>
      </c>
      <c r="J36" s="100">
        <v>0.2</v>
      </c>
      <c r="K36" s="100">
        <v>142.07</v>
      </c>
      <c r="L36" s="100">
        <v>21.76</v>
      </c>
      <c r="M36" s="100">
        <v>57.12</v>
      </c>
      <c r="N36" s="100">
        <v>19.2</v>
      </c>
      <c r="O36" s="100">
        <v>0</v>
      </c>
      <c r="P36" s="100">
        <v>0.86</v>
      </c>
      <c r="Q36" s="100">
        <v>28.1</v>
      </c>
      <c r="R36" s="6"/>
      <c r="S36" s="6"/>
      <c r="T36" s="156"/>
      <c r="U36" s="6"/>
    </row>
    <row r="37" spans="1:21" customFormat="1">
      <c r="A37" s="163" t="s">
        <v>1419</v>
      </c>
      <c r="B37" s="100">
        <v>6.47</v>
      </c>
      <c r="C37" s="100">
        <v>16.420000000000002</v>
      </c>
      <c r="D37" s="100">
        <v>15.12</v>
      </c>
      <c r="E37" s="100">
        <v>7.51</v>
      </c>
      <c r="F37" s="152" t="s">
        <v>15</v>
      </c>
      <c r="G37" s="100">
        <v>60.6</v>
      </c>
      <c r="H37" s="100">
        <v>29.77</v>
      </c>
      <c r="I37" s="100">
        <v>9.7899999999999991</v>
      </c>
      <c r="J37" s="100">
        <v>0.23</v>
      </c>
      <c r="K37" s="100">
        <v>170.9</v>
      </c>
      <c r="L37" s="100">
        <v>22.32</v>
      </c>
      <c r="M37" s="100">
        <v>59.31</v>
      </c>
      <c r="N37" s="100">
        <v>26</v>
      </c>
      <c r="O37" s="100">
        <v>0</v>
      </c>
      <c r="P37" s="100">
        <v>0.87</v>
      </c>
      <c r="Q37" s="100">
        <v>28.12</v>
      </c>
      <c r="R37" s="6"/>
      <c r="S37" s="6"/>
      <c r="T37" s="156"/>
      <c r="U37" s="6"/>
    </row>
    <row r="38" spans="1:21" customFormat="1">
      <c r="A38" s="163" t="s">
        <v>1420</v>
      </c>
      <c r="B38" s="100">
        <v>6.74</v>
      </c>
      <c r="C38" s="100">
        <v>16.690000000000001</v>
      </c>
      <c r="D38" s="100">
        <v>15.48</v>
      </c>
      <c r="E38" s="100">
        <v>7.75</v>
      </c>
      <c r="F38" s="152" t="s">
        <v>15</v>
      </c>
      <c r="G38" s="100">
        <v>60.63</v>
      </c>
      <c r="H38" s="100">
        <v>29.76</v>
      </c>
      <c r="I38" s="100">
        <v>9.9</v>
      </c>
      <c r="J38" s="100">
        <v>0.19</v>
      </c>
      <c r="K38" s="100">
        <v>175.15</v>
      </c>
      <c r="L38" s="100">
        <v>23.13</v>
      </c>
      <c r="M38" s="100">
        <v>57.36</v>
      </c>
      <c r="N38" s="100">
        <v>33</v>
      </c>
      <c r="O38" s="100">
        <v>0</v>
      </c>
      <c r="P38" s="100">
        <v>0.87</v>
      </c>
      <c r="Q38" s="100">
        <v>28.13</v>
      </c>
      <c r="R38" s="6"/>
      <c r="S38" s="6"/>
      <c r="T38" s="156"/>
      <c r="U38" s="6"/>
    </row>
    <row r="39" spans="1:21" customFormat="1">
      <c r="A39" s="163" t="s">
        <v>1421</v>
      </c>
      <c r="B39" s="100">
        <v>6.88</v>
      </c>
      <c r="C39" s="100">
        <v>17.04</v>
      </c>
      <c r="D39" s="100">
        <v>15.77</v>
      </c>
      <c r="E39" s="100">
        <v>7.7</v>
      </c>
      <c r="F39" s="152" t="s">
        <v>15</v>
      </c>
      <c r="G39" s="100">
        <v>60.63</v>
      </c>
      <c r="H39" s="100">
        <v>29.76</v>
      </c>
      <c r="I39" s="100">
        <v>10.039999999999999</v>
      </c>
      <c r="J39" s="100">
        <v>0.28000000000000003</v>
      </c>
      <c r="K39" s="100">
        <v>160</v>
      </c>
      <c r="L39" s="100">
        <v>24.25</v>
      </c>
      <c r="M39" s="100">
        <v>52.61</v>
      </c>
      <c r="N39" s="100">
        <v>40</v>
      </c>
      <c r="O39" s="100">
        <v>0</v>
      </c>
      <c r="P39" s="100">
        <v>0.89</v>
      </c>
      <c r="Q39" s="100">
        <v>28.11</v>
      </c>
      <c r="R39" s="6"/>
      <c r="S39" s="6"/>
      <c r="T39" s="156"/>
      <c r="U39" s="6"/>
    </row>
    <row r="40" spans="1:21" customFormat="1">
      <c r="A40" s="163" t="s">
        <v>1422</v>
      </c>
      <c r="B40" s="100">
        <v>6.81</v>
      </c>
      <c r="C40" s="100">
        <v>17.63</v>
      </c>
      <c r="D40" s="100">
        <v>16.03</v>
      </c>
      <c r="E40" s="100">
        <v>7.63</v>
      </c>
      <c r="F40" s="152" t="s">
        <v>15</v>
      </c>
      <c r="G40" s="100">
        <v>60.63</v>
      </c>
      <c r="H40" s="100">
        <v>29.77</v>
      </c>
      <c r="I40" s="100">
        <v>10.16</v>
      </c>
      <c r="J40" s="100">
        <v>0.47</v>
      </c>
      <c r="K40" s="100">
        <v>160.03</v>
      </c>
      <c r="L40" s="100">
        <v>25.46</v>
      </c>
      <c r="M40" s="100">
        <v>46.72</v>
      </c>
      <c r="N40" s="100">
        <v>52.3</v>
      </c>
      <c r="O40" s="100">
        <v>0</v>
      </c>
      <c r="P40" s="100">
        <v>0.91</v>
      </c>
      <c r="Q40" s="100">
        <v>28.11</v>
      </c>
      <c r="R40" s="6"/>
      <c r="S40" s="6"/>
      <c r="T40" s="156"/>
      <c r="U40" s="6"/>
    </row>
    <row r="41" spans="1:21" customFormat="1">
      <c r="A41" s="163" t="s">
        <v>1423</v>
      </c>
      <c r="B41" s="100">
        <v>6.46</v>
      </c>
      <c r="C41" s="100">
        <v>18.18</v>
      </c>
      <c r="D41" s="100">
        <v>16.03</v>
      </c>
      <c r="E41" s="100">
        <v>8.0399999999999991</v>
      </c>
      <c r="F41" s="152" t="s">
        <v>15</v>
      </c>
      <c r="G41" s="100">
        <v>71.56</v>
      </c>
      <c r="H41" s="100">
        <v>34.19</v>
      </c>
      <c r="I41" s="100">
        <v>10.32</v>
      </c>
      <c r="J41" s="100">
        <v>0.27</v>
      </c>
      <c r="K41" s="100">
        <v>182.28</v>
      </c>
      <c r="L41" s="100">
        <v>26.68</v>
      </c>
      <c r="M41" s="100">
        <v>43.75</v>
      </c>
      <c r="N41" s="100">
        <v>90.8</v>
      </c>
      <c r="O41" s="100">
        <v>0</v>
      </c>
      <c r="P41" s="100">
        <v>0.9</v>
      </c>
      <c r="Q41" s="100">
        <v>28.13</v>
      </c>
      <c r="R41" s="6"/>
      <c r="S41" s="6"/>
      <c r="T41" s="156"/>
      <c r="U41" s="6"/>
    </row>
    <row r="42" spans="1:21" customFormat="1">
      <c r="A42" s="163" t="s">
        <v>1424</v>
      </c>
      <c r="B42" s="100">
        <v>5.87</v>
      </c>
      <c r="C42" s="100">
        <v>18.47</v>
      </c>
      <c r="D42" s="100">
        <v>15.71</v>
      </c>
      <c r="E42" s="100">
        <v>8.02</v>
      </c>
      <c r="F42" s="152" t="s">
        <v>15</v>
      </c>
      <c r="G42" s="100">
        <v>72.62</v>
      </c>
      <c r="H42" s="100">
        <v>34.19</v>
      </c>
      <c r="I42" s="100">
        <v>10.48</v>
      </c>
      <c r="J42" s="100">
        <v>0.28000000000000003</v>
      </c>
      <c r="K42" s="100">
        <v>227.81</v>
      </c>
      <c r="L42" s="100">
        <v>27.93</v>
      </c>
      <c r="M42" s="100">
        <v>39.9</v>
      </c>
      <c r="N42" s="100">
        <v>133.19999999999999</v>
      </c>
      <c r="O42" s="100">
        <v>0</v>
      </c>
      <c r="P42" s="100">
        <v>0.92</v>
      </c>
      <c r="Q42" s="100">
        <v>28.09</v>
      </c>
      <c r="R42" s="6"/>
      <c r="S42" s="6"/>
      <c r="T42" s="156"/>
      <c r="U42" s="6"/>
    </row>
    <row r="43" spans="1:21" customFormat="1">
      <c r="A43" s="163" t="s">
        <v>1425</v>
      </c>
      <c r="B43" s="100">
        <v>5.18</v>
      </c>
      <c r="C43" s="100">
        <v>18.690000000000001</v>
      </c>
      <c r="D43" s="100">
        <v>15.27</v>
      </c>
      <c r="E43" s="100">
        <v>8.24</v>
      </c>
      <c r="F43" s="152" t="s">
        <v>15</v>
      </c>
      <c r="G43" s="100">
        <v>72.62</v>
      </c>
      <c r="H43" s="100">
        <v>34.19</v>
      </c>
      <c r="I43" s="100">
        <v>10.58</v>
      </c>
      <c r="J43" s="100">
        <v>0.35</v>
      </c>
      <c r="K43" s="100">
        <v>228.81</v>
      </c>
      <c r="L43" s="100">
        <v>28.84</v>
      </c>
      <c r="M43" s="100">
        <v>38.47</v>
      </c>
      <c r="N43" s="100">
        <v>185.4</v>
      </c>
      <c r="O43" s="100">
        <v>0</v>
      </c>
      <c r="P43" s="100">
        <v>0.93</v>
      </c>
      <c r="Q43" s="100">
        <v>28.04</v>
      </c>
      <c r="R43" s="6"/>
      <c r="S43" s="6"/>
      <c r="T43" s="156"/>
      <c r="U43" s="6"/>
    </row>
    <row r="44" spans="1:21" customFormat="1">
      <c r="A44" s="163" t="s">
        <v>1426</v>
      </c>
      <c r="B44" s="100">
        <v>4.58</v>
      </c>
      <c r="C44" s="100">
        <v>18.78</v>
      </c>
      <c r="D44" s="100">
        <v>14.83</v>
      </c>
      <c r="E44" s="100">
        <v>8.58</v>
      </c>
      <c r="F44" s="152" t="s">
        <v>15</v>
      </c>
      <c r="G44" s="100">
        <v>72.62</v>
      </c>
      <c r="H44" s="100">
        <v>34.19</v>
      </c>
      <c r="I44" s="100">
        <v>10.66</v>
      </c>
      <c r="J44" s="100">
        <v>0.37</v>
      </c>
      <c r="K44" s="100">
        <v>234.85</v>
      </c>
      <c r="L44" s="100">
        <v>29.79</v>
      </c>
      <c r="M44" s="100">
        <v>36.340000000000003</v>
      </c>
      <c r="N44" s="100">
        <v>201.2</v>
      </c>
      <c r="O44" s="100">
        <v>0</v>
      </c>
      <c r="P44" s="100">
        <v>0.93</v>
      </c>
      <c r="Q44" s="100">
        <v>28.04</v>
      </c>
      <c r="R44" s="6"/>
      <c r="S44" s="6"/>
      <c r="T44" s="156"/>
      <c r="U44" s="6"/>
    </row>
    <row r="45" spans="1:21" customFormat="1">
      <c r="A45" s="163" t="s">
        <v>1427</v>
      </c>
      <c r="B45" s="100">
        <v>4.0999999999999996</v>
      </c>
      <c r="C45" s="100">
        <v>18.68</v>
      </c>
      <c r="D45" s="100">
        <v>14.4</v>
      </c>
      <c r="E45" s="100">
        <v>9.06</v>
      </c>
      <c r="F45" s="152" t="s">
        <v>15</v>
      </c>
      <c r="G45" s="100">
        <v>78.349999999999994</v>
      </c>
      <c r="H45" s="100">
        <v>38.99</v>
      </c>
      <c r="I45" s="100">
        <v>10.77</v>
      </c>
      <c r="J45" s="100">
        <v>0.47</v>
      </c>
      <c r="K45" s="100">
        <v>260.41000000000003</v>
      </c>
      <c r="L45" s="100">
        <v>30.75</v>
      </c>
      <c r="M45" s="100">
        <v>33.54</v>
      </c>
      <c r="N45" s="100">
        <v>177.2</v>
      </c>
      <c r="O45" s="100">
        <v>0</v>
      </c>
      <c r="P45" s="100">
        <v>0.92</v>
      </c>
      <c r="Q45" s="100">
        <v>28.02</v>
      </c>
      <c r="R45" s="6"/>
      <c r="S45" s="6"/>
      <c r="T45" s="156"/>
      <c r="U45" s="6"/>
    </row>
    <row r="46" spans="1:21" customFormat="1">
      <c r="A46" s="163" t="s">
        <v>1428</v>
      </c>
      <c r="B46" s="100">
        <v>3.8</v>
      </c>
      <c r="C46" s="100">
        <v>18.54</v>
      </c>
      <c r="D46" s="100">
        <v>14.08</v>
      </c>
      <c r="E46" s="100">
        <v>8.9600000000000009</v>
      </c>
      <c r="F46" s="152" t="s">
        <v>15</v>
      </c>
      <c r="G46" s="100">
        <v>78.91</v>
      </c>
      <c r="H46" s="100">
        <v>38.99</v>
      </c>
      <c r="I46" s="100">
        <v>10.81</v>
      </c>
      <c r="J46" s="100">
        <v>0.62</v>
      </c>
      <c r="K46" s="100">
        <v>249.87</v>
      </c>
      <c r="L46" s="100">
        <v>31.46</v>
      </c>
      <c r="M46" s="100">
        <v>33.020000000000003</v>
      </c>
      <c r="N46" s="100">
        <v>241.6</v>
      </c>
      <c r="O46" s="100">
        <v>0</v>
      </c>
      <c r="P46" s="100">
        <v>0.93</v>
      </c>
      <c r="Q46" s="100">
        <v>28.02</v>
      </c>
      <c r="R46" s="6"/>
      <c r="S46" s="6"/>
      <c r="T46" s="156"/>
      <c r="U46" s="6"/>
    </row>
    <row r="47" spans="1:21" customFormat="1">
      <c r="A47" s="163" t="s">
        <v>1429</v>
      </c>
      <c r="B47" s="100">
        <v>3.63</v>
      </c>
      <c r="C47" s="100">
        <v>18.29</v>
      </c>
      <c r="D47" s="100">
        <v>13.82</v>
      </c>
      <c r="E47" s="100">
        <v>8.76</v>
      </c>
      <c r="F47" s="152" t="s">
        <v>15</v>
      </c>
      <c r="G47" s="100">
        <v>78.91</v>
      </c>
      <c r="H47" s="100">
        <v>38.99</v>
      </c>
      <c r="I47" s="100">
        <v>10.78</v>
      </c>
      <c r="J47" s="100">
        <v>0.6</v>
      </c>
      <c r="K47" s="100">
        <v>249.54</v>
      </c>
      <c r="L47" s="100">
        <v>31.98</v>
      </c>
      <c r="M47" s="100">
        <v>32.869999999999997</v>
      </c>
      <c r="N47" s="100">
        <v>254.5</v>
      </c>
      <c r="O47" s="100">
        <v>0</v>
      </c>
      <c r="P47" s="100">
        <v>0.92</v>
      </c>
      <c r="Q47" s="100">
        <v>28.01</v>
      </c>
      <c r="R47" s="6"/>
      <c r="S47" s="6"/>
      <c r="T47" s="156"/>
      <c r="U47" s="6"/>
    </row>
    <row r="48" spans="1:21" customFormat="1">
      <c r="A48" s="163" t="s">
        <v>1430</v>
      </c>
      <c r="B48" s="100">
        <v>3.54</v>
      </c>
      <c r="C48" s="100">
        <v>18.010000000000002</v>
      </c>
      <c r="D48" s="100">
        <v>13.6</v>
      </c>
      <c r="E48" s="100">
        <v>9.35</v>
      </c>
      <c r="F48" s="152" t="s">
        <v>15</v>
      </c>
      <c r="G48" s="100">
        <v>78.91</v>
      </c>
      <c r="H48" s="100">
        <v>38.99</v>
      </c>
      <c r="I48" s="100">
        <v>10.74</v>
      </c>
      <c r="J48" s="100">
        <v>0.77</v>
      </c>
      <c r="K48" s="100">
        <v>259.42</v>
      </c>
      <c r="L48" s="100">
        <v>32.840000000000003</v>
      </c>
      <c r="M48" s="100">
        <v>31.92</v>
      </c>
      <c r="N48" s="100">
        <v>265.7</v>
      </c>
      <c r="O48" s="100">
        <v>0</v>
      </c>
      <c r="P48" s="100">
        <v>0.91</v>
      </c>
      <c r="Q48" s="100">
        <v>28.02</v>
      </c>
      <c r="R48" s="6"/>
      <c r="S48" s="6"/>
      <c r="T48" s="156"/>
      <c r="U48" s="6"/>
    </row>
    <row r="49" spans="1:21" customFormat="1">
      <c r="A49" s="163" t="s">
        <v>1431</v>
      </c>
      <c r="B49" s="100">
        <v>3.52</v>
      </c>
      <c r="C49" s="100">
        <v>17.489999999999998</v>
      </c>
      <c r="D49" s="100">
        <v>13.31</v>
      </c>
      <c r="E49" s="100">
        <v>7.88</v>
      </c>
      <c r="F49" s="152" t="s">
        <v>15</v>
      </c>
      <c r="G49" s="100">
        <v>82.29</v>
      </c>
      <c r="H49" s="100">
        <v>38.46</v>
      </c>
      <c r="I49" s="100">
        <v>10.65</v>
      </c>
      <c r="J49" s="100">
        <v>0.73</v>
      </c>
      <c r="K49" s="100">
        <v>274.81</v>
      </c>
      <c r="L49" s="100">
        <v>33.5</v>
      </c>
      <c r="M49" s="100">
        <v>31.03</v>
      </c>
      <c r="N49" s="100">
        <v>241.9</v>
      </c>
      <c r="O49" s="100">
        <v>0</v>
      </c>
      <c r="P49" s="100">
        <v>0.89</v>
      </c>
      <c r="Q49" s="100">
        <v>28.01</v>
      </c>
      <c r="R49" s="6"/>
      <c r="S49" s="6"/>
      <c r="T49" s="156"/>
      <c r="U49" s="6"/>
    </row>
    <row r="50" spans="1:21" customFormat="1">
      <c r="A50" s="163" t="s">
        <v>1432</v>
      </c>
      <c r="B50" s="100">
        <v>3.49</v>
      </c>
      <c r="C50" s="100">
        <v>17.43</v>
      </c>
      <c r="D50" s="100">
        <v>13.26</v>
      </c>
      <c r="E50" s="100">
        <v>9.6300000000000008</v>
      </c>
      <c r="F50" s="152" t="s">
        <v>15</v>
      </c>
      <c r="G50" s="100">
        <v>82.62</v>
      </c>
      <c r="H50" s="100">
        <v>38.46</v>
      </c>
      <c r="I50" s="100">
        <v>10.52</v>
      </c>
      <c r="J50" s="100">
        <v>0.97</v>
      </c>
      <c r="K50" s="100">
        <v>269.94</v>
      </c>
      <c r="L50" s="100">
        <v>34.590000000000003</v>
      </c>
      <c r="M50" s="100">
        <v>28.79</v>
      </c>
      <c r="N50" s="100">
        <v>222.5</v>
      </c>
      <c r="O50" s="100">
        <v>0</v>
      </c>
      <c r="P50" s="100">
        <v>0.88</v>
      </c>
      <c r="Q50" s="100">
        <v>28</v>
      </c>
      <c r="R50" s="6"/>
      <c r="S50" s="6"/>
      <c r="T50" s="156"/>
      <c r="U50" s="6"/>
    </row>
    <row r="51" spans="1:21" customFormat="1">
      <c r="A51" s="163" t="s">
        <v>1433</v>
      </c>
      <c r="B51" s="100">
        <v>3.46</v>
      </c>
      <c r="C51" s="100">
        <v>17.34</v>
      </c>
      <c r="D51" s="100">
        <v>13.19</v>
      </c>
      <c r="E51" s="100">
        <v>9.82</v>
      </c>
      <c r="F51" s="152" t="s">
        <v>15</v>
      </c>
      <c r="G51" s="100">
        <v>82.62</v>
      </c>
      <c r="H51" s="100">
        <v>38.46</v>
      </c>
      <c r="I51" s="100">
        <v>10.39</v>
      </c>
      <c r="J51" s="100">
        <v>1.34</v>
      </c>
      <c r="K51" s="100">
        <v>263.94</v>
      </c>
      <c r="L51" s="100">
        <v>34.659999999999997</v>
      </c>
      <c r="M51" s="100">
        <v>28.28</v>
      </c>
      <c r="N51" s="100">
        <v>298.2</v>
      </c>
      <c r="O51" s="100">
        <v>0</v>
      </c>
      <c r="P51" s="100">
        <v>0.87</v>
      </c>
      <c r="Q51" s="100">
        <v>28.02</v>
      </c>
      <c r="R51" s="6"/>
      <c r="S51" s="6"/>
      <c r="T51" s="156"/>
      <c r="U51" s="6"/>
    </row>
    <row r="52" spans="1:21" customFormat="1">
      <c r="A52" s="163" t="s">
        <v>1434</v>
      </c>
      <c r="B52" s="100">
        <v>3.42</v>
      </c>
      <c r="C52" s="100">
        <v>16.989999999999998</v>
      </c>
      <c r="D52" s="100">
        <v>12.98</v>
      </c>
      <c r="E52" s="100">
        <v>9.83</v>
      </c>
      <c r="F52" s="152" t="s">
        <v>15</v>
      </c>
      <c r="G52" s="100">
        <v>82.62</v>
      </c>
      <c r="H52" s="100">
        <v>38.46</v>
      </c>
      <c r="I52" s="100">
        <v>10.25</v>
      </c>
      <c r="J52" s="100">
        <v>1.02</v>
      </c>
      <c r="K52" s="100">
        <v>264.01</v>
      </c>
      <c r="L52" s="100">
        <v>35.380000000000003</v>
      </c>
      <c r="M52" s="100">
        <v>27.59</v>
      </c>
      <c r="N52" s="100">
        <v>304.5</v>
      </c>
      <c r="O52" s="100">
        <v>0</v>
      </c>
      <c r="P52" s="100">
        <v>0.85</v>
      </c>
      <c r="Q52" s="100">
        <v>28.02</v>
      </c>
      <c r="R52" s="6"/>
      <c r="S52" s="6"/>
      <c r="T52" s="156"/>
      <c r="U52" s="6"/>
    </row>
    <row r="53" spans="1:21" customFormat="1">
      <c r="A53" s="163" t="s">
        <v>1435</v>
      </c>
      <c r="B53" s="100">
        <v>3.43</v>
      </c>
      <c r="C53" s="100">
        <v>16.57</v>
      </c>
      <c r="D53" s="100">
        <v>12.76</v>
      </c>
      <c r="E53" s="100">
        <v>10.23</v>
      </c>
      <c r="F53" s="152" t="s">
        <v>15</v>
      </c>
      <c r="G53" s="100">
        <v>85.51</v>
      </c>
      <c r="H53" s="100">
        <v>39.200000000000003</v>
      </c>
      <c r="I53" s="100">
        <v>10.039999999999999</v>
      </c>
      <c r="J53" s="100">
        <v>1.3</v>
      </c>
      <c r="K53" s="100">
        <v>267.47000000000003</v>
      </c>
      <c r="L53" s="100">
        <v>35.880000000000003</v>
      </c>
      <c r="M53" s="100">
        <v>25.9</v>
      </c>
      <c r="N53" s="100">
        <v>307.2</v>
      </c>
      <c r="O53" s="100">
        <v>0</v>
      </c>
      <c r="P53" s="100">
        <v>0.82</v>
      </c>
      <c r="Q53" s="100">
        <v>28</v>
      </c>
      <c r="R53" s="6"/>
      <c r="S53" s="6"/>
      <c r="T53" s="156"/>
      <c r="U53" s="6"/>
    </row>
    <row r="54" spans="1:21" customFormat="1">
      <c r="A54" s="163" t="s">
        <v>1436</v>
      </c>
      <c r="B54" s="100">
        <v>3.46</v>
      </c>
      <c r="C54" s="100">
        <v>16.579999999999998</v>
      </c>
      <c r="D54" s="100">
        <v>12.79</v>
      </c>
      <c r="E54" s="100">
        <v>9.57</v>
      </c>
      <c r="F54" s="152" t="s">
        <v>15</v>
      </c>
      <c r="G54" s="100">
        <v>85.79</v>
      </c>
      <c r="H54" s="100">
        <v>39.200000000000003</v>
      </c>
      <c r="I54" s="100">
        <v>9.7799999999999994</v>
      </c>
      <c r="J54" s="100">
        <v>1.41</v>
      </c>
      <c r="K54" s="100">
        <v>282.08999999999997</v>
      </c>
      <c r="L54" s="100">
        <v>36.43</v>
      </c>
      <c r="M54" s="100">
        <v>24.2</v>
      </c>
      <c r="N54" s="100">
        <v>295.60000000000002</v>
      </c>
      <c r="O54" s="100">
        <v>0</v>
      </c>
      <c r="P54" s="100">
        <v>0.8</v>
      </c>
      <c r="Q54" s="100">
        <v>28</v>
      </c>
      <c r="R54" s="6"/>
      <c r="S54" s="6"/>
      <c r="T54" s="156"/>
      <c r="U54" s="6"/>
    </row>
    <row r="55" spans="1:21" customFormat="1">
      <c r="A55" s="163" t="s">
        <v>1437</v>
      </c>
      <c r="B55" s="100">
        <v>3.55</v>
      </c>
      <c r="C55" s="100">
        <v>16.829999999999998</v>
      </c>
      <c r="D55" s="100">
        <v>12.99</v>
      </c>
      <c r="E55" s="100">
        <v>9.84</v>
      </c>
      <c r="F55" s="152" t="s">
        <v>15</v>
      </c>
      <c r="G55" s="100">
        <v>85.79</v>
      </c>
      <c r="H55" s="100">
        <v>39.200000000000003</v>
      </c>
      <c r="I55" s="100">
        <v>9.51</v>
      </c>
      <c r="J55" s="100">
        <v>1.57</v>
      </c>
      <c r="K55" s="100">
        <v>283.06</v>
      </c>
      <c r="L55" s="100">
        <v>36.44</v>
      </c>
      <c r="M55" s="100">
        <v>23.13</v>
      </c>
      <c r="N55" s="100">
        <v>284.89999999999998</v>
      </c>
      <c r="O55" s="100">
        <v>0</v>
      </c>
      <c r="P55" s="100">
        <v>0.79</v>
      </c>
      <c r="Q55" s="100">
        <v>28</v>
      </c>
      <c r="R55" s="6"/>
      <c r="S55" s="6"/>
      <c r="T55" s="156"/>
      <c r="U55" s="6"/>
    </row>
    <row r="56" spans="1:21" customFormat="1">
      <c r="A56" s="163" t="s">
        <v>1438</v>
      </c>
      <c r="B56" s="100">
        <v>3.57</v>
      </c>
      <c r="C56" s="100">
        <v>16.64</v>
      </c>
      <c r="D56" s="100">
        <v>12.91</v>
      </c>
      <c r="E56" s="100">
        <v>10.85</v>
      </c>
      <c r="F56" s="152" t="s">
        <v>15</v>
      </c>
      <c r="G56" s="100">
        <v>85.79</v>
      </c>
      <c r="H56" s="100">
        <v>39.200000000000003</v>
      </c>
      <c r="I56" s="100">
        <v>9.2899999999999991</v>
      </c>
      <c r="J56" s="100">
        <v>1.34</v>
      </c>
      <c r="K56" s="100">
        <v>274.16000000000003</v>
      </c>
      <c r="L56" s="100">
        <v>36.97</v>
      </c>
      <c r="M56" s="100">
        <v>22.84</v>
      </c>
      <c r="N56" s="100">
        <v>315</v>
      </c>
      <c r="O56" s="100">
        <v>0</v>
      </c>
      <c r="P56" s="100">
        <v>0.76</v>
      </c>
      <c r="Q56" s="100">
        <v>28</v>
      </c>
      <c r="R56" s="6"/>
      <c r="S56" s="6"/>
      <c r="T56" s="156"/>
      <c r="U56" s="6"/>
    </row>
    <row r="57" spans="1:21" customFormat="1">
      <c r="A57" s="163" t="s">
        <v>1439</v>
      </c>
      <c r="B57" s="100">
        <v>3.6</v>
      </c>
      <c r="C57" s="100">
        <v>16.510000000000002</v>
      </c>
      <c r="D57" s="100">
        <v>12.86</v>
      </c>
      <c r="E57" s="100">
        <v>11.23</v>
      </c>
      <c r="F57" s="152" t="s">
        <v>15</v>
      </c>
      <c r="G57" s="100">
        <v>97.47</v>
      </c>
      <c r="H57" s="100">
        <v>36.299999999999997</v>
      </c>
      <c r="I57" s="100">
        <v>9</v>
      </c>
      <c r="J57" s="100">
        <v>1.32</v>
      </c>
      <c r="K57" s="100">
        <v>276.64999999999998</v>
      </c>
      <c r="L57" s="100">
        <v>37.18</v>
      </c>
      <c r="M57" s="100">
        <v>21.1</v>
      </c>
      <c r="N57" s="100">
        <v>326.60000000000002</v>
      </c>
      <c r="O57" s="100">
        <v>0</v>
      </c>
      <c r="P57" s="100">
        <v>0.75</v>
      </c>
      <c r="Q57" s="100">
        <v>28</v>
      </c>
      <c r="R57" s="6"/>
      <c r="S57" s="6"/>
      <c r="T57" s="156"/>
      <c r="U57" s="6"/>
    </row>
    <row r="58" spans="1:21" customFormat="1">
      <c r="A58" s="163" t="s">
        <v>1440</v>
      </c>
      <c r="B58" s="100">
        <v>3.58</v>
      </c>
      <c r="C58" s="100">
        <v>16.670000000000002</v>
      </c>
      <c r="D58" s="100">
        <v>12.94</v>
      </c>
      <c r="E58" s="100">
        <v>12.11</v>
      </c>
      <c r="F58" s="152" t="s">
        <v>15</v>
      </c>
      <c r="G58" s="100">
        <v>98.62</v>
      </c>
      <c r="H58" s="100">
        <v>36.299999999999997</v>
      </c>
      <c r="I58" s="100">
        <v>8.7100000000000009</v>
      </c>
      <c r="J58" s="100">
        <v>1.07</v>
      </c>
      <c r="K58" s="100">
        <v>265.97000000000003</v>
      </c>
      <c r="L58" s="100">
        <v>37.61</v>
      </c>
      <c r="M58" s="100">
        <v>20.63</v>
      </c>
      <c r="N58" s="100">
        <v>324.39999999999998</v>
      </c>
      <c r="O58" s="100">
        <v>0</v>
      </c>
      <c r="P58" s="100">
        <v>0.77</v>
      </c>
      <c r="Q58" s="100">
        <v>28</v>
      </c>
      <c r="R58" s="6"/>
      <c r="S58" s="6"/>
      <c r="T58" s="156"/>
      <c r="U58" s="6"/>
    </row>
    <row r="59" spans="1:21" customFormat="1">
      <c r="A59" s="163" t="s">
        <v>1441</v>
      </c>
      <c r="B59" s="100">
        <v>3.52</v>
      </c>
      <c r="C59" s="100">
        <v>16.899999999999999</v>
      </c>
      <c r="D59" s="100">
        <v>13.01</v>
      </c>
      <c r="E59" s="100">
        <v>13.76</v>
      </c>
      <c r="F59" s="152" t="s">
        <v>15</v>
      </c>
      <c r="G59" s="100">
        <v>98.62</v>
      </c>
      <c r="H59" s="100">
        <v>36.299999999999997</v>
      </c>
      <c r="I59" s="100">
        <v>8.65</v>
      </c>
      <c r="J59" s="100">
        <v>1.06</v>
      </c>
      <c r="K59" s="100">
        <v>266.42</v>
      </c>
      <c r="L59" s="100">
        <v>37.840000000000003</v>
      </c>
      <c r="M59" s="100">
        <v>21.37</v>
      </c>
      <c r="N59" s="100">
        <v>332.3</v>
      </c>
      <c r="O59" s="100">
        <v>0</v>
      </c>
      <c r="P59" s="100">
        <v>0.8</v>
      </c>
      <c r="Q59" s="100">
        <v>28</v>
      </c>
      <c r="R59" s="6"/>
      <c r="S59" s="6"/>
      <c r="T59" s="156"/>
      <c r="U59" s="6"/>
    </row>
    <row r="60" spans="1:21" customFormat="1">
      <c r="A60" s="163" t="s">
        <v>1442</v>
      </c>
      <c r="B60" s="100">
        <v>3.53</v>
      </c>
      <c r="C60" s="100">
        <v>17.23</v>
      </c>
      <c r="D60" s="100">
        <v>13.18</v>
      </c>
      <c r="E60" s="100">
        <v>16.09</v>
      </c>
      <c r="F60" s="152" t="s">
        <v>15</v>
      </c>
      <c r="G60" s="100">
        <v>98.62</v>
      </c>
      <c r="H60" s="100">
        <v>36.299999999999997</v>
      </c>
      <c r="I60" s="100">
        <v>8.81</v>
      </c>
      <c r="J60" s="100">
        <v>0.91</v>
      </c>
      <c r="K60" s="100">
        <v>261.87</v>
      </c>
      <c r="L60" s="100">
        <v>38.19</v>
      </c>
      <c r="M60" s="100">
        <v>21.2</v>
      </c>
      <c r="N60" s="100">
        <v>326.5</v>
      </c>
      <c r="O60" s="100">
        <v>0</v>
      </c>
      <c r="P60" s="100">
        <v>0.84</v>
      </c>
      <c r="Q60" s="100">
        <v>28</v>
      </c>
      <c r="R60" s="6"/>
      <c r="S60" s="6"/>
      <c r="T60" s="156"/>
      <c r="U60" s="6"/>
    </row>
    <row r="61" spans="1:21" customFormat="1">
      <c r="A61" s="163" t="s">
        <v>1443</v>
      </c>
      <c r="B61" s="100">
        <v>3.64</v>
      </c>
      <c r="C61" s="100">
        <v>17.36</v>
      </c>
      <c r="D61" s="100">
        <v>13.34</v>
      </c>
      <c r="E61" s="100">
        <v>19.41</v>
      </c>
      <c r="F61" s="152" t="s">
        <v>15</v>
      </c>
      <c r="G61" s="100">
        <v>96.17</v>
      </c>
      <c r="H61" s="100">
        <v>36.340000000000003</v>
      </c>
      <c r="I61" s="100">
        <v>8.94</v>
      </c>
      <c r="J61" s="100">
        <v>1.07</v>
      </c>
      <c r="K61" s="100">
        <v>301.61</v>
      </c>
      <c r="L61" s="100">
        <v>38.56</v>
      </c>
      <c r="M61" s="100">
        <v>18.04</v>
      </c>
      <c r="N61" s="100">
        <v>329.3</v>
      </c>
      <c r="O61" s="100">
        <v>0</v>
      </c>
      <c r="P61" s="100">
        <v>0.84</v>
      </c>
      <c r="Q61" s="100">
        <v>27.99</v>
      </c>
      <c r="R61" s="6"/>
      <c r="S61" s="6"/>
      <c r="T61" s="156"/>
      <c r="U61" s="6"/>
    </row>
    <row r="62" spans="1:21" customFormat="1">
      <c r="A62" s="163" t="s">
        <v>1444</v>
      </c>
      <c r="B62" s="100">
        <v>3.78</v>
      </c>
      <c r="C62" s="100">
        <v>17.850000000000001</v>
      </c>
      <c r="D62" s="100">
        <v>13.71</v>
      </c>
      <c r="E62" s="100">
        <v>13.53</v>
      </c>
      <c r="F62" s="152" t="s">
        <v>15</v>
      </c>
      <c r="G62" s="100">
        <v>95.93</v>
      </c>
      <c r="H62" s="100">
        <v>36.340000000000003</v>
      </c>
      <c r="I62" s="100">
        <v>8.99</v>
      </c>
      <c r="J62" s="100">
        <v>1.07</v>
      </c>
      <c r="K62" s="100">
        <v>279.98</v>
      </c>
      <c r="L62" s="100">
        <v>38.69</v>
      </c>
      <c r="M62" s="100">
        <v>15.3</v>
      </c>
      <c r="N62" s="100">
        <v>313.8</v>
      </c>
      <c r="O62" s="100">
        <v>0</v>
      </c>
      <c r="P62" s="100">
        <v>0.84</v>
      </c>
      <c r="Q62" s="100">
        <v>27.99</v>
      </c>
      <c r="R62" s="6"/>
      <c r="S62" s="6"/>
      <c r="T62" s="156"/>
      <c r="U62" s="6"/>
    </row>
    <row r="63" spans="1:21" customFormat="1">
      <c r="A63" s="163" t="s">
        <v>1445</v>
      </c>
      <c r="B63" s="100">
        <v>3.73</v>
      </c>
      <c r="C63" s="100">
        <v>17.43</v>
      </c>
      <c r="D63" s="100">
        <v>13.45</v>
      </c>
      <c r="E63" s="100">
        <v>11.63</v>
      </c>
      <c r="F63" s="152" t="s">
        <v>15</v>
      </c>
      <c r="G63" s="100">
        <v>95.93</v>
      </c>
      <c r="H63" s="100">
        <v>36.340000000000003</v>
      </c>
      <c r="I63" s="100">
        <v>9.0299999999999994</v>
      </c>
      <c r="J63" s="100">
        <v>0.77</v>
      </c>
      <c r="K63" s="100">
        <v>266.51</v>
      </c>
      <c r="L63" s="100">
        <v>39.06</v>
      </c>
      <c r="M63" s="100">
        <v>14.99</v>
      </c>
      <c r="N63" s="100">
        <v>292.10000000000002</v>
      </c>
      <c r="O63" s="100">
        <v>0</v>
      </c>
      <c r="P63" s="100">
        <v>0.82</v>
      </c>
      <c r="Q63" s="100">
        <v>28</v>
      </c>
      <c r="R63" s="6"/>
      <c r="S63" s="6"/>
      <c r="T63" s="156"/>
      <c r="U63" s="6"/>
    </row>
    <row r="64" spans="1:21" customFormat="1">
      <c r="A64" s="163" t="s">
        <v>1446</v>
      </c>
      <c r="B64" s="100">
        <v>3.79</v>
      </c>
      <c r="C64" s="100">
        <v>17.62</v>
      </c>
      <c r="D64" s="100">
        <v>13.6</v>
      </c>
      <c r="E64" s="100">
        <v>11.88</v>
      </c>
      <c r="F64" s="152" t="s">
        <v>15</v>
      </c>
      <c r="G64" s="100">
        <v>95.93</v>
      </c>
      <c r="H64" s="100">
        <v>36.340000000000003</v>
      </c>
      <c r="I64" s="100">
        <v>8.84</v>
      </c>
      <c r="J64" s="100">
        <v>0.93</v>
      </c>
      <c r="K64" s="100">
        <v>290.27</v>
      </c>
      <c r="L64" s="100">
        <v>39.04</v>
      </c>
      <c r="M64" s="100">
        <v>13.37</v>
      </c>
      <c r="N64" s="100">
        <v>306.7</v>
      </c>
      <c r="O64" s="100">
        <v>0</v>
      </c>
      <c r="P64" s="100">
        <v>0.81</v>
      </c>
      <c r="Q64" s="100">
        <v>27.99</v>
      </c>
      <c r="R64" s="6"/>
      <c r="S64" s="6"/>
      <c r="T64" s="156"/>
      <c r="U64" s="6"/>
    </row>
    <row r="65" spans="1:21" customFormat="1">
      <c r="A65" s="163" t="s">
        <v>1447</v>
      </c>
      <c r="B65" s="100">
        <v>3.62</v>
      </c>
      <c r="C65" s="100">
        <v>16.79</v>
      </c>
      <c r="D65" s="100">
        <v>13.02</v>
      </c>
      <c r="E65" s="100">
        <v>11.75</v>
      </c>
      <c r="F65" s="152" t="s">
        <v>15</v>
      </c>
      <c r="G65" s="100">
        <v>85.48</v>
      </c>
      <c r="H65" s="100">
        <v>32.25</v>
      </c>
      <c r="I65" s="100">
        <v>8.69</v>
      </c>
      <c r="J65" s="100">
        <v>0.83</v>
      </c>
      <c r="K65" s="100">
        <v>250.11</v>
      </c>
      <c r="L65" s="100">
        <v>39.04</v>
      </c>
      <c r="M65" s="100">
        <v>13.55</v>
      </c>
      <c r="N65" s="100">
        <v>301.10000000000002</v>
      </c>
      <c r="O65" s="100">
        <v>0</v>
      </c>
      <c r="P65" s="100">
        <v>0.72</v>
      </c>
      <c r="Q65" s="100">
        <v>28.01</v>
      </c>
      <c r="R65" s="6"/>
      <c r="S65" s="6"/>
      <c r="T65" s="156"/>
      <c r="U65" s="6"/>
    </row>
    <row r="66" spans="1:21" customFormat="1">
      <c r="A66" s="163" t="s">
        <v>1448</v>
      </c>
      <c r="B66" s="100">
        <v>3.67</v>
      </c>
      <c r="C66" s="100">
        <v>17.010000000000002</v>
      </c>
      <c r="D66" s="100">
        <v>13.18</v>
      </c>
      <c r="E66" s="100">
        <v>11.54</v>
      </c>
      <c r="F66" s="152" t="s">
        <v>15</v>
      </c>
      <c r="G66" s="100">
        <v>84.46</v>
      </c>
      <c r="H66" s="100">
        <v>32.25</v>
      </c>
      <c r="I66" s="100">
        <v>8.57</v>
      </c>
      <c r="J66" s="100">
        <v>0.99</v>
      </c>
      <c r="K66" s="100">
        <v>302.73</v>
      </c>
      <c r="L66" s="100">
        <v>39.1</v>
      </c>
      <c r="M66" s="100">
        <v>13.27</v>
      </c>
      <c r="N66" s="100">
        <v>295.89999999999998</v>
      </c>
      <c r="O66" s="100">
        <v>0</v>
      </c>
      <c r="P66" s="100">
        <v>0.72</v>
      </c>
      <c r="Q66" s="100">
        <v>28</v>
      </c>
      <c r="R66" s="6"/>
      <c r="S66" s="6"/>
      <c r="T66" s="156"/>
      <c r="U66" s="6"/>
    </row>
    <row r="67" spans="1:21" customFormat="1">
      <c r="A67" s="163" t="s">
        <v>1449</v>
      </c>
      <c r="B67" s="100">
        <v>3.68</v>
      </c>
      <c r="C67" s="100">
        <v>17.149999999999999</v>
      </c>
      <c r="D67" s="100">
        <v>13.26</v>
      </c>
      <c r="E67" s="100">
        <v>11.09</v>
      </c>
      <c r="F67" s="152" t="s">
        <v>15</v>
      </c>
      <c r="G67" s="100">
        <v>84.46</v>
      </c>
      <c r="H67" s="100">
        <v>32.25</v>
      </c>
      <c r="I67" s="100">
        <v>8.39</v>
      </c>
      <c r="J67" s="100">
        <v>0.99</v>
      </c>
      <c r="K67" s="100">
        <v>260.3</v>
      </c>
      <c r="L67" s="100">
        <v>38.83</v>
      </c>
      <c r="M67" s="100">
        <v>14.26</v>
      </c>
      <c r="N67" s="100">
        <v>269</v>
      </c>
      <c r="O67" s="100">
        <v>0</v>
      </c>
      <c r="P67" s="100">
        <v>0.73</v>
      </c>
      <c r="Q67" s="100">
        <v>28</v>
      </c>
      <c r="R67" s="6"/>
      <c r="S67" s="6"/>
      <c r="T67" s="156"/>
      <c r="U67" s="6"/>
    </row>
    <row r="68" spans="1:21" customFormat="1">
      <c r="A68" s="163" t="s">
        <v>1450</v>
      </c>
      <c r="B68" s="100">
        <v>3.54</v>
      </c>
      <c r="C68" s="100">
        <v>16.489999999999998</v>
      </c>
      <c r="D68" s="100">
        <v>12.81</v>
      </c>
      <c r="E68" s="100">
        <v>11.99</v>
      </c>
      <c r="F68" s="152" t="s">
        <v>15</v>
      </c>
      <c r="G68" s="100">
        <v>84.46</v>
      </c>
      <c r="H68" s="100">
        <v>32.25</v>
      </c>
      <c r="I68" s="100">
        <v>8.18</v>
      </c>
      <c r="J68" s="100">
        <v>0.99</v>
      </c>
      <c r="K68" s="100">
        <v>255.57</v>
      </c>
      <c r="L68" s="100">
        <v>38.65</v>
      </c>
      <c r="M68" s="100">
        <v>14.54</v>
      </c>
      <c r="N68" s="100">
        <v>139.30000000000001</v>
      </c>
      <c r="O68" s="100">
        <v>0</v>
      </c>
      <c r="P68" s="100">
        <v>0.72</v>
      </c>
      <c r="Q68" s="100">
        <v>27.99</v>
      </c>
      <c r="R68" s="6"/>
      <c r="S68" s="6"/>
      <c r="T68" s="156"/>
      <c r="U68" s="6"/>
    </row>
    <row r="69" spans="1:21" customFormat="1">
      <c r="A69" s="163" t="s">
        <v>1451</v>
      </c>
      <c r="B69" s="100">
        <v>3.55</v>
      </c>
      <c r="C69" s="100">
        <v>16.559999999999999</v>
      </c>
      <c r="D69" s="100">
        <v>12.85</v>
      </c>
      <c r="E69" s="100">
        <v>10.5</v>
      </c>
      <c r="F69" s="152" t="s">
        <v>15</v>
      </c>
      <c r="G69" s="100">
        <v>69.099999999999994</v>
      </c>
      <c r="H69" s="100">
        <v>30</v>
      </c>
      <c r="I69" s="100">
        <v>8.25</v>
      </c>
      <c r="J69" s="100">
        <v>1.45</v>
      </c>
      <c r="K69" s="100">
        <v>284.97000000000003</v>
      </c>
      <c r="L69" s="100">
        <v>38.619999999999997</v>
      </c>
      <c r="M69" s="100">
        <v>12.4</v>
      </c>
      <c r="N69" s="100">
        <v>155</v>
      </c>
      <c r="O69" s="100">
        <v>0</v>
      </c>
      <c r="P69" s="100">
        <v>0.7</v>
      </c>
      <c r="Q69" s="100">
        <v>27.99</v>
      </c>
      <c r="R69" s="6"/>
      <c r="S69" s="6"/>
      <c r="T69" s="156"/>
      <c r="U69" s="6"/>
    </row>
    <row r="70" spans="1:21" customFormat="1">
      <c r="A70" s="163" t="s">
        <v>1452</v>
      </c>
      <c r="B70" s="100">
        <v>3.64</v>
      </c>
      <c r="C70" s="100">
        <v>16.95</v>
      </c>
      <c r="D70" s="100">
        <v>13.13</v>
      </c>
      <c r="E70" s="100">
        <v>10.98</v>
      </c>
      <c r="F70" s="152" t="s">
        <v>15</v>
      </c>
      <c r="G70" s="100">
        <v>67.599999999999994</v>
      </c>
      <c r="H70" s="100">
        <v>30</v>
      </c>
      <c r="I70" s="100">
        <v>8.07</v>
      </c>
      <c r="J70" s="100">
        <v>1.17</v>
      </c>
      <c r="K70" s="100">
        <v>272.22000000000003</v>
      </c>
      <c r="L70" s="100">
        <v>38.450000000000003</v>
      </c>
      <c r="M70" s="100">
        <v>13.02</v>
      </c>
      <c r="N70" s="100">
        <v>107.3</v>
      </c>
      <c r="O70" s="100">
        <v>0</v>
      </c>
      <c r="P70" s="100">
        <v>0.69</v>
      </c>
      <c r="Q70" s="100">
        <v>28.01</v>
      </c>
      <c r="R70" s="6"/>
      <c r="S70" s="6"/>
      <c r="T70" s="156"/>
      <c r="U70" s="6"/>
    </row>
    <row r="71" spans="1:21" customFormat="1">
      <c r="A71" s="163" t="s">
        <v>1453</v>
      </c>
      <c r="B71" s="100">
        <v>3.6</v>
      </c>
      <c r="C71" s="100">
        <v>16.079999999999998</v>
      </c>
      <c r="D71" s="100">
        <v>12.64</v>
      </c>
      <c r="E71" s="100">
        <v>10.88</v>
      </c>
      <c r="F71" s="152" t="s">
        <v>15</v>
      </c>
      <c r="G71" s="100">
        <v>67.599999999999994</v>
      </c>
      <c r="H71" s="100">
        <v>30</v>
      </c>
      <c r="I71" s="100">
        <v>7.92</v>
      </c>
      <c r="J71" s="100">
        <v>1.43</v>
      </c>
      <c r="K71" s="100">
        <v>291.66000000000003</v>
      </c>
      <c r="L71" s="100">
        <v>38.47</v>
      </c>
      <c r="M71" s="100">
        <v>9.48</v>
      </c>
      <c r="N71" s="100">
        <v>133.80000000000001</v>
      </c>
      <c r="O71" s="100">
        <v>0</v>
      </c>
      <c r="P71" s="100">
        <v>0.68</v>
      </c>
      <c r="Q71" s="100">
        <v>28.01</v>
      </c>
      <c r="R71" s="6"/>
      <c r="S71" s="6"/>
      <c r="T71" s="156"/>
      <c r="U71" s="6"/>
    </row>
    <row r="72" spans="1:21" customFormat="1">
      <c r="A72" s="163" t="s">
        <v>1454</v>
      </c>
      <c r="B72" s="100">
        <v>3.77</v>
      </c>
      <c r="C72" s="100">
        <v>16.579999999999998</v>
      </c>
      <c r="D72" s="100">
        <v>13.03</v>
      </c>
      <c r="E72" s="100">
        <v>8.43</v>
      </c>
      <c r="F72" s="152" t="s">
        <v>15</v>
      </c>
      <c r="G72" s="100">
        <v>67.599999999999994</v>
      </c>
      <c r="H72" s="100">
        <v>30</v>
      </c>
      <c r="I72" s="100">
        <v>7.73</v>
      </c>
      <c r="J72" s="100">
        <v>1.1000000000000001</v>
      </c>
      <c r="K72" s="100">
        <v>272.45999999999998</v>
      </c>
      <c r="L72" s="100">
        <v>38.520000000000003</v>
      </c>
      <c r="M72" s="100">
        <v>8.24</v>
      </c>
      <c r="N72" s="100">
        <v>189</v>
      </c>
      <c r="O72" s="100">
        <v>0</v>
      </c>
      <c r="P72" s="100">
        <v>0.65</v>
      </c>
      <c r="Q72" s="100">
        <v>28</v>
      </c>
      <c r="R72" s="6"/>
      <c r="S72" s="6"/>
      <c r="T72" s="156"/>
      <c r="U72" s="6"/>
    </row>
    <row r="73" spans="1:21" customFormat="1">
      <c r="A73" s="163" t="s">
        <v>1455</v>
      </c>
      <c r="B73" s="100">
        <v>3.98</v>
      </c>
      <c r="C73" s="100">
        <v>15.89</v>
      </c>
      <c r="D73" s="100">
        <v>12.85</v>
      </c>
      <c r="E73" s="100">
        <v>8.67</v>
      </c>
      <c r="F73" s="152" t="s">
        <v>15</v>
      </c>
      <c r="G73" s="100">
        <v>51.83</v>
      </c>
      <c r="H73" s="100">
        <v>25.41</v>
      </c>
      <c r="I73" s="100">
        <v>7.48</v>
      </c>
      <c r="J73" s="100">
        <v>0.91</v>
      </c>
      <c r="K73" s="100">
        <v>290.14</v>
      </c>
      <c r="L73" s="100">
        <v>38.520000000000003</v>
      </c>
      <c r="M73" s="100">
        <v>8.66</v>
      </c>
      <c r="N73" s="100">
        <v>72.900000000000006</v>
      </c>
      <c r="O73" s="100">
        <v>0</v>
      </c>
      <c r="P73" s="100">
        <v>0.61</v>
      </c>
      <c r="Q73" s="100">
        <v>28</v>
      </c>
      <c r="R73" s="6"/>
      <c r="S73" s="6"/>
      <c r="T73" s="156"/>
      <c r="U73" s="6"/>
    </row>
    <row r="74" spans="1:21" customFormat="1">
      <c r="A74" s="163" t="s">
        <v>1456</v>
      </c>
      <c r="B74" s="100">
        <v>3.82</v>
      </c>
      <c r="C74" s="100">
        <v>15.27</v>
      </c>
      <c r="D74" s="100">
        <v>12.39</v>
      </c>
      <c r="E74" s="100">
        <v>8.4</v>
      </c>
      <c r="F74" s="152" t="s">
        <v>15</v>
      </c>
      <c r="G74" s="100">
        <v>50.29</v>
      </c>
      <c r="H74" s="100">
        <v>25.41</v>
      </c>
      <c r="I74" s="100">
        <v>7.11</v>
      </c>
      <c r="J74" s="100">
        <v>0.76</v>
      </c>
      <c r="K74" s="100">
        <v>266.13</v>
      </c>
      <c r="L74" s="100">
        <v>38.15</v>
      </c>
      <c r="M74" s="100">
        <v>9.0500000000000007</v>
      </c>
      <c r="N74" s="100">
        <v>50.2</v>
      </c>
      <c r="O74" s="100">
        <v>0</v>
      </c>
      <c r="P74" s="100">
        <v>0.57999999999999996</v>
      </c>
      <c r="Q74" s="100">
        <v>28.01</v>
      </c>
      <c r="R74" s="6"/>
      <c r="S74" s="6"/>
      <c r="T74" s="156"/>
      <c r="U74" s="6"/>
    </row>
    <row r="75" spans="1:21" customFormat="1">
      <c r="A75" s="163" t="s">
        <v>1457</v>
      </c>
      <c r="B75" s="100">
        <v>3.66</v>
      </c>
      <c r="C75" s="100">
        <v>14.07</v>
      </c>
      <c r="D75" s="100">
        <v>11.63</v>
      </c>
      <c r="E75" s="100">
        <v>8.81</v>
      </c>
      <c r="F75" s="152" t="s">
        <v>15</v>
      </c>
      <c r="G75" s="100">
        <v>50.29</v>
      </c>
      <c r="H75" s="100">
        <v>25.41</v>
      </c>
      <c r="I75" s="100">
        <v>6.59</v>
      </c>
      <c r="J75" s="100">
        <v>0.81</v>
      </c>
      <c r="K75" s="100">
        <v>259.52</v>
      </c>
      <c r="L75" s="100">
        <v>37.770000000000003</v>
      </c>
      <c r="M75" s="100">
        <v>9.32</v>
      </c>
      <c r="N75" s="100">
        <v>49.5</v>
      </c>
      <c r="O75" s="100">
        <v>0</v>
      </c>
      <c r="P75" s="100">
        <v>0.56000000000000005</v>
      </c>
      <c r="Q75" s="100">
        <v>28</v>
      </c>
      <c r="R75" s="6"/>
      <c r="S75" s="6"/>
      <c r="T75" s="156"/>
      <c r="U75" s="6"/>
    </row>
    <row r="76" spans="1:21" customFormat="1">
      <c r="A76" s="163" t="s">
        <v>1458</v>
      </c>
      <c r="B76" s="100">
        <v>3.62</v>
      </c>
      <c r="C76" s="100">
        <v>14.61</v>
      </c>
      <c r="D76" s="100">
        <v>11.89</v>
      </c>
      <c r="E76" s="100">
        <v>9.0299999999999994</v>
      </c>
      <c r="F76" s="152" t="s">
        <v>15</v>
      </c>
      <c r="G76" s="100">
        <v>50.29</v>
      </c>
      <c r="H76" s="100">
        <v>25.41</v>
      </c>
      <c r="I76" s="100">
        <v>6.39</v>
      </c>
      <c r="J76" s="100">
        <v>0.78</v>
      </c>
      <c r="K76" s="100">
        <v>267.56</v>
      </c>
      <c r="L76" s="100">
        <v>37.46</v>
      </c>
      <c r="M76" s="100">
        <v>9.8800000000000008</v>
      </c>
      <c r="N76" s="100">
        <v>60.9</v>
      </c>
      <c r="O76" s="100">
        <v>0</v>
      </c>
      <c r="P76" s="100">
        <v>0.56000000000000005</v>
      </c>
      <c r="Q76" s="100">
        <v>28.01</v>
      </c>
      <c r="R76" s="6"/>
      <c r="S76" s="6"/>
      <c r="T76" s="156"/>
      <c r="U76" s="6"/>
    </row>
    <row r="77" spans="1:21" customFormat="1">
      <c r="A77" s="163" t="s">
        <v>1459</v>
      </c>
      <c r="B77" s="100">
        <v>3.64</v>
      </c>
      <c r="C77" s="100">
        <v>14.39</v>
      </c>
      <c r="D77" s="100">
        <v>11.79</v>
      </c>
      <c r="E77" s="100">
        <v>8.69</v>
      </c>
      <c r="F77" s="152" t="s">
        <v>15</v>
      </c>
      <c r="G77" s="100">
        <v>43.59</v>
      </c>
      <c r="H77" s="100">
        <v>23.31</v>
      </c>
      <c r="I77" s="100">
        <v>6.28</v>
      </c>
      <c r="J77" s="100">
        <v>0.93</v>
      </c>
      <c r="K77" s="100">
        <v>254.77</v>
      </c>
      <c r="L77" s="100">
        <v>36.86</v>
      </c>
      <c r="M77" s="100">
        <v>10.19</v>
      </c>
      <c r="N77" s="100">
        <v>33.299999999999997</v>
      </c>
      <c r="O77" s="100">
        <v>0</v>
      </c>
      <c r="P77" s="100">
        <v>0.55000000000000004</v>
      </c>
      <c r="Q77" s="100">
        <v>28.01</v>
      </c>
      <c r="R77" s="6"/>
      <c r="S77" s="6"/>
      <c r="T77" s="156"/>
      <c r="U77" s="6"/>
    </row>
    <row r="78" spans="1:21" customFormat="1">
      <c r="A78" s="163" t="s">
        <v>1460</v>
      </c>
      <c r="B78" s="100">
        <v>3.58</v>
      </c>
      <c r="C78" s="100">
        <v>13.98</v>
      </c>
      <c r="D78" s="100">
        <v>11.53</v>
      </c>
      <c r="E78" s="100">
        <v>8.3699999999999992</v>
      </c>
      <c r="F78" s="152" t="s">
        <v>15</v>
      </c>
      <c r="G78" s="100">
        <v>42.93</v>
      </c>
      <c r="H78" s="100">
        <v>23.31</v>
      </c>
      <c r="I78" s="100">
        <v>6.17</v>
      </c>
      <c r="J78" s="100">
        <v>0.45</v>
      </c>
      <c r="K78" s="100">
        <v>242.44</v>
      </c>
      <c r="L78" s="100">
        <v>36.15</v>
      </c>
      <c r="M78" s="100">
        <v>11.68</v>
      </c>
      <c r="N78" s="100">
        <v>23</v>
      </c>
      <c r="O78" s="100">
        <v>0</v>
      </c>
      <c r="P78" s="100">
        <v>0.55000000000000004</v>
      </c>
      <c r="Q78" s="100">
        <v>28</v>
      </c>
      <c r="R78" s="6"/>
      <c r="S78" s="6"/>
      <c r="T78" s="156"/>
      <c r="U78" s="6"/>
    </row>
    <row r="79" spans="1:21" customFormat="1">
      <c r="A79" s="163" t="s">
        <v>1461</v>
      </c>
      <c r="B79" s="100">
        <v>3.52</v>
      </c>
      <c r="C79" s="100">
        <v>13.47</v>
      </c>
      <c r="D79" s="100">
        <v>11.21</v>
      </c>
      <c r="E79" s="100">
        <v>8.64</v>
      </c>
      <c r="F79" s="152" t="s">
        <v>15</v>
      </c>
      <c r="G79" s="100">
        <v>42.93</v>
      </c>
      <c r="H79" s="100">
        <v>23.31</v>
      </c>
      <c r="I79" s="100">
        <v>6.25</v>
      </c>
      <c r="J79" s="100">
        <v>0.22</v>
      </c>
      <c r="K79" s="100">
        <v>191.84</v>
      </c>
      <c r="L79" s="100">
        <v>35.200000000000003</v>
      </c>
      <c r="M79" s="100">
        <v>13.89</v>
      </c>
      <c r="N79" s="100">
        <v>15</v>
      </c>
      <c r="O79" s="100">
        <v>0</v>
      </c>
      <c r="P79" s="100">
        <v>0.53</v>
      </c>
      <c r="Q79" s="100">
        <v>27.99</v>
      </c>
      <c r="R79" s="6"/>
      <c r="S79" s="6"/>
      <c r="T79" s="156"/>
      <c r="U79" s="6"/>
    </row>
    <row r="80" spans="1:21" customFormat="1">
      <c r="A80" s="163" t="s">
        <v>1462</v>
      </c>
      <c r="B80" s="100">
        <v>3.44</v>
      </c>
      <c r="C80" s="100">
        <v>13.44</v>
      </c>
      <c r="D80" s="100">
        <v>11.14</v>
      </c>
      <c r="E80" s="100">
        <v>8.5500000000000007</v>
      </c>
      <c r="F80" s="152" t="s">
        <v>15</v>
      </c>
      <c r="G80" s="100">
        <v>42.93</v>
      </c>
      <c r="H80" s="100">
        <v>23.31</v>
      </c>
      <c r="I80" s="100">
        <v>6.21</v>
      </c>
      <c r="J80" s="100">
        <v>0.16</v>
      </c>
      <c r="K80" s="100">
        <v>183.35</v>
      </c>
      <c r="L80" s="100">
        <v>34.049999999999997</v>
      </c>
      <c r="M80" s="100">
        <v>15.98</v>
      </c>
      <c r="N80" s="100">
        <v>7.5</v>
      </c>
      <c r="O80" s="100">
        <v>0</v>
      </c>
      <c r="P80" s="100">
        <v>0.52</v>
      </c>
      <c r="Q80" s="100">
        <v>28</v>
      </c>
      <c r="R80" s="6"/>
      <c r="S80" s="6"/>
      <c r="T80" s="156"/>
      <c r="U80" s="6"/>
    </row>
    <row r="81" spans="1:21" customFormat="1">
      <c r="A81" s="163" t="s">
        <v>1463</v>
      </c>
      <c r="B81" s="100">
        <v>3.34</v>
      </c>
      <c r="C81" s="100">
        <v>13.49</v>
      </c>
      <c r="D81" s="100">
        <v>11.07</v>
      </c>
      <c r="E81" s="100">
        <v>8.94</v>
      </c>
      <c r="F81" s="152" t="s">
        <v>15</v>
      </c>
      <c r="G81" s="100">
        <v>38.15</v>
      </c>
      <c r="H81" s="100">
        <v>19.98</v>
      </c>
      <c r="I81" s="100">
        <v>6.06</v>
      </c>
      <c r="J81" s="100">
        <v>0.17</v>
      </c>
      <c r="K81" s="100">
        <v>183.03</v>
      </c>
      <c r="L81" s="100">
        <v>32.69</v>
      </c>
      <c r="M81" s="100">
        <v>20.03</v>
      </c>
      <c r="N81" s="100">
        <v>2.8</v>
      </c>
      <c r="O81" s="100">
        <v>0</v>
      </c>
      <c r="P81" s="100">
        <v>0.51</v>
      </c>
      <c r="Q81" s="100">
        <v>28.01</v>
      </c>
      <c r="R81" s="6"/>
      <c r="S81" s="6"/>
      <c r="T81" s="156"/>
      <c r="U81" s="6"/>
    </row>
    <row r="82" spans="1:21" customFormat="1">
      <c r="A82" s="163" t="s">
        <v>1464</v>
      </c>
      <c r="B82" s="100">
        <v>3.39</v>
      </c>
      <c r="C82" s="100">
        <v>13.81</v>
      </c>
      <c r="D82" s="100">
        <v>11.29</v>
      </c>
      <c r="E82" s="100">
        <v>10.039999999999999</v>
      </c>
      <c r="F82" s="152" t="s">
        <v>15</v>
      </c>
      <c r="G82" s="100">
        <v>37.69</v>
      </c>
      <c r="H82" s="100">
        <v>19.98</v>
      </c>
      <c r="I82" s="100">
        <v>6.09</v>
      </c>
      <c r="J82" s="100">
        <v>0.22</v>
      </c>
      <c r="K82" s="100">
        <v>192.57</v>
      </c>
      <c r="L82" s="100">
        <v>31.25</v>
      </c>
      <c r="M82" s="100">
        <v>25</v>
      </c>
      <c r="N82" s="100">
        <v>1.6</v>
      </c>
      <c r="O82" s="100">
        <v>0</v>
      </c>
      <c r="P82" s="100">
        <v>0.54</v>
      </c>
      <c r="Q82" s="100">
        <v>28.01</v>
      </c>
      <c r="R82" s="6"/>
      <c r="S82" s="6"/>
      <c r="T82" s="156"/>
      <c r="U82" s="6"/>
    </row>
    <row r="83" spans="1:21" customFormat="1">
      <c r="A83" s="163" t="s">
        <v>1465</v>
      </c>
      <c r="B83" s="100">
        <v>3.42</v>
      </c>
      <c r="C83" s="100">
        <v>14.16</v>
      </c>
      <c r="D83" s="100">
        <v>11.49</v>
      </c>
      <c r="E83" s="100">
        <v>10.45</v>
      </c>
      <c r="F83" s="152" t="s">
        <v>15</v>
      </c>
      <c r="G83" s="100">
        <v>37.69</v>
      </c>
      <c r="H83" s="100">
        <v>19.98</v>
      </c>
      <c r="I83" s="100">
        <v>6.15</v>
      </c>
      <c r="J83" s="100">
        <v>0.2</v>
      </c>
      <c r="K83" s="100">
        <v>173.19</v>
      </c>
      <c r="L83" s="100">
        <v>30.38</v>
      </c>
      <c r="M83" s="100">
        <v>26.46</v>
      </c>
      <c r="N83" s="100">
        <v>1</v>
      </c>
      <c r="O83" s="100">
        <v>0</v>
      </c>
      <c r="P83" s="100">
        <v>0.56000000000000005</v>
      </c>
      <c r="Q83" s="100">
        <v>28.03</v>
      </c>
      <c r="R83" s="6"/>
      <c r="S83" s="6"/>
      <c r="T83" s="156"/>
      <c r="U83" s="6"/>
    </row>
    <row r="84" spans="1:21" customFormat="1">
      <c r="A84" s="163" t="s">
        <v>1466</v>
      </c>
      <c r="B84" s="100">
        <v>3.48</v>
      </c>
      <c r="C84" s="100">
        <v>14.47</v>
      </c>
      <c r="D84" s="100">
        <v>11.7</v>
      </c>
      <c r="E84" s="100">
        <v>10.6</v>
      </c>
      <c r="F84" s="152" t="s">
        <v>15</v>
      </c>
      <c r="G84" s="100">
        <v>37.69</v>
      </c>
      <c r="H84" s="100">
        <v>19.98</v>
      </c>
      <c r="I84" s="100">
        <v>6.36</v>
      </c>
      <c r="J84" s="100">
        <v>0.21</v>
      </c>
      <c r="K84" s="100">
        <v>176.55</v>
      </c>
      <c r="L84" s="100">
        <v>29.78</v>
      </c>
      <c r="M84" s="100">
        <v>28.57</v>
      </c>
      <c r="N84" s="100">
        <v>0.8</v>
      </c>
      <c r="O84" s="100">
        <v>0</v>
      </c>
      <c r="P84" s="100">
        <v>0.56999999999999995</v>
      </c>
      <c r="Q84" s="100">
        <v>28.01</v>
      </c>
      <c r="R84" s="6"/>
      <c r="S84" s="6"/>
      <c r="T84" s="156"/>
      <c r="U84" s="6"/>
    </row>
    <row r="85" spans="1:21" customFormat="1">
      <c r="A85" s="163" t="s">
        <v>1467</v>
      </c>
      <c r="B85" s="100">
        <v>3.53</v>
      </c>
      <c r="C85" s="100">
        <v>14.76</v>
      </c>
      <c r="D85" s="100">
        <v>11.89</v>
      </c>
      <c r="E85" s="100">
        <v>10.38</v>
      </c>
      <c r="F85" s="152" t="s">
        <v>15</v>
      </c>
      <c r="G85" s="100">
        <v>43.08</v>
      </c>
      <c r="H85" s="100">
        <v>19.670000000000002</v>
      </c>
      <c r="I85" s="100">
        <v>6.6</v>
      </c>
      <c r="J85" s="100">
        <v>0.22</v>
      </c>
      <c r="K85" s="100">
        <v>177.29</v>
      </c>
      <c r="L85" s="100">
        <v>29.32</v>
      </c>
      <c r="M85" s="100">
        <v>27.84</v>
      </c>
      <c r="N85" s="100">
        <v>0.6</v>
      </c>
      <c r="O85" s="100">
        <v>0</v>
      </c>
      <c r="P85" s="100">
        <v>0.56999999999999995</v>
      </c>
      <c r="Q85" s="100">
        <v>28.01</v>
      </c>
      <c r="R85" s="6"/>
      <c r="S85" s="6"/>
      <c r="T85" s="156"/>
      <c r="U85" s="6"/>
    </row>
    <row r="86" spans="1:21" customFormat="1">
      <c r="A86" s="163" t="s">
        <v>1468</v>
      </c>
      <c r="B86" s="100">
        <v>3.6</v>
      </c>
      <c r="C86" s="100">
        <v>14.99</v>
      </c>
      <c r="D86" s="100">
        <v>12.07</v>
      </c>
      <c r="E86" s="100">
        <v>9.98</v>
      </c>
      <c r="F86" s="152" t="s">
        <v>15</v>
      </c>
      <c r="G86" s="100">
        <v>43.61</v>
      </c>
      <c r="H86" s="100">
        <v>19.670000000000002</v>
      </c>
      <c r="I86" s="100">
        <v>6.76</v>
      </c>
      <c r="J86" s="100">
        <v>0.21</v>
      </c>
      <c r="K86" s="100">
        <v>175.12</v>
      </c>
      <c r="L86" s="100">
        <v>28.86</v>
      </c>
      <c r="M86" s="100">
        <v>29.95</v>
      </c>
      <c r="N86" s="100">
        <v>0.7</v>
      </c>
      <c r="O86" s="100">
        <v>0</v>
      </c>
      <c r="P86" s="100">
        <v>0.57999999999999996</v>
      </c>
      <c r="Q86" s="100">
        <v>28.02</v>
      </c>
      <c r="R86" s="6"/>
      <c r="S86" s="6"/>
      <c r="T86" s="156"/>
      <c r="U86" s="6"/>
    </row>
    <row r="87" spans="1:21" customFormat="1">
      <c r="A87" s="163" t="s">
        <v>1469</v>
      </c>
      <c r="B87" s="100">
        <v>3.65</v>
      </c>
      <c r="C87" s="100">
        <v>15.14</v>
      </c>
      <c r="D87" s="100">
        <v>12.19</v>
      </c>
      <c r="E87" s="100">
        <v>9.7799999999999994</v>
      </c>
      <c r="F87" s="152" t="s">
        <v>15</v>
      </c>
      <c r="G87" s="100">
        <v>43.61</v>
      </c>
      <c r="H87" s="100">
        <v>19.670000000000002</v>
      </c>
      <c r="I87" s="100">
        <v>6.86</v>
      </c>
      <c r="J87" s="100">
        <v>0.16</v>
      </c>
      <c r="K87" s="100">
        <v>158.85</v>
      </c>
      <c r="L87" s="100">
        <v>28.44</v>
      </c>
      <c r="M87" s="100">
        <v>30.22</v>
      </c>
      <c r="N87" s="100">
        <v>0.6</v>
      </c>
      <c r="O87" s="100">
        <v>0</v>
      </c>
      <c r="P87" s="100">
        <v>0.59</v>
      </c>
      <c r="Q87" s="100">
        <v>28.02</v>
      </c>
      <c r="R87" s="6"/>
      <c r="S87" s="6"/>
      <c r="T87" s="156"/>
      <c r="U87" s="6"/>
    </row>
    <row r="88" spans="1:21" customFormat="1">
      <c r="A88" s="163" t="s">
        <v>1470</v>
      </c>
      <c r="B88" s="100">
        <v>3.69</v>
      </c>
      <c r="C88" s="100">
        <v>15.19</v>
      </c>
      <c r="D88" s="100">
        <v>12.25</v>
      </c>
      <c r="E88" s="100">
        <v>9.9600000000000009</v>
      </c>
      <c r="F88" s="152" t="s">
        <v>15</v>
      </c>
      <c r="G88" s="100">
        <v>43.61</v>
      </c>
      <c r="H88" s="100">
        <v>19.670000000000002</v>
      </c>
      <c r="I88" s="100">
        <v>6.97</v>
      </c>
      <c r="J88" s="100">
        <v>0.21</v>
      </c>
      <c r="K88" s="100">
        <v>162.63999999999999</v>
      </c>
      <c r="L88" s="100">
        <v>28.36</v>
      </c>
      <c r="M88" s="100">
        <v>29.09</v>
      </c>
      <c r="N88" s="100">
        <v>0.4</v>
      </c>
      <c r="O88" s="100">
        <v>0</v>
      </c>
      <c r="P88" s="100">
        <v>0.6</v>
      </c>
      <c r="Q88" s="100">
        <v>28.01</v>
      </c>
      <c r="R88" s="6"/>
      <c r="S88" s="6"/>
      <c r="T88" s="156"/>
      <c r="U88" s="6"/>
    </row>
    <row r="89" spans="1:21" customFormat="1">
      <c r="A89" s="163" t="s">
        <v>1471</v>
      </c>
      <c r="B89" s="100">
        <v>3.69</v>
      </c>
      <c r="C89" s="100">
        <v>15.17</v>
      </c>
      <c r="D89" s="100">
        <v>12.24</v>
      </c>
      <c r="E89" s="100">
        <v>10.01</v>
      </c>
      <c r="F89" s="152" t="s">
        <v>15</v>
      </c>
      <c r="G89" s="100">
        <v>45.34</v>
      </c>
      <c r="H89" s="100">
        <v>19.05</v>
      </c>
      <c r="I89" s="100">
        <v>7.24</v>
      </c>
      <c r="J89" s="100">
        <v>0.25</v>
      </c>
      <c r="K89" s="100">
        <v>171</v>
      </c>
      <c r="L89" s="100">
        <v>28.16</v>
      </c>
      <c r="M89" s="100">
        <v>30.19</v>
      </c>
      <c r="N89" s="100">
        <v>0.6</v>
      </c>
      <c r="O89" s="100">
        <v>0</v>
      </c>
      <c r="P89" s="100">
        <v>0.61</v>
      </c>
      <c r="Q89" s="100">
        <v>28.01</v>
      </c>
      <c r="R89" s="6"/>
      <c r="S89" s="6"/>
      <c r="T89" s="156"/>
      <c r="U89" s="6"/>
    </row>
    <row r="90" spans="1:21" customFormat="1">
      <c r="A90" s="163" t="s">
        <v>1472</v>
      </c>
      <c r="B90" s="100">
        <v>3.74</v>
      </c>
      <c r="C90" s="100">
        <v>15.29</v>
      </c>
      <c r="D90" s="100">
        <v>12.34</v>
      </c>
      <c r="E90" s="100">
        <v>9.69</v>
      </c>
      <c r="F90" s="152" t="s">
        <v>15</v>
      </c>
      <c r="G90" s="100">
        <v>45.51</v>
      </c>
      <c r="H90" s="100">
        <v>19.05</v>
      </c>
      <c r="I90" s="100">
        <v>7.48</v>
      </c>
      <c r="J90" s="100">
        <v>0.19</v>
      </c>
      <c r="K90" s="100">
        <v>193.08</v>
      </c>
      <c r="L90" s="100">
        <v>27.56</v>
      </c>
      <c r="M90" s="100">
        <v>35.31</v>
      </c>
      <c r="N90" s="100">
        <v>0.9</v>
      </c>
      <c r="O90" s="100">
        <v>0</v>
      </c>
      <c r="P90" s="100">
        <v>0.61</v>
      </c>
      <c r="Q90" s="100">
        <v>28.01</v>
      </c>
      <c r="R90" s="6"/>
      <c r="S90" s="6"/>
      <c r="T90" s="156"/>
      <c r="U90" s="6"/>
    </row>
    <row r="91" spans="1:21" customFormat="1">
      <c r="A91" s="163" t="s">
        <v>1473</v>
      </c>
      <c r="B91" s="100">
        <v>3.8</v>
      </c>
      <c r="C91" s="100">
        <v>15.33</v>
      </c>
      <c r="D91" s="100">
        <v>12.41</v>
      </c>
      <c r="E91" s="100">
        <v>9.84</v>
      </c>
      <c r="F91" s="152" t="s">
        <v>15</v>
      </c>
      <c r="G91" s="100">
        <v>45.51</v>
      </c>
      <c r="H91" s="100">
        <v>19.05</v>
      </c>
      <c r="I91" s="100">
        <v>7.57</v>
      </c>
      <c r="J91" s="100">
        <v>0.24</v>
      </c>
      <c r="K91" s="100">
        <v>170.96</v>
      </c>
      <c r="L91" s="100">
        <v>27.38</v>
      </c>
      <c r="M91" s="100">
        <v>33.049999999999997</v>
      </c>
      <c r="N91" s="100">
        <v>0.6</v>
      </c>
      <c r="O91" s="100">
        <v>0</v>
      </c>
      <c r="P91" s="100">
        <v>0.63</v>
      </c>
      <c r="Q91" s="100">
        <v>28.02</v>
      </c>
      <c r="R91" s="6"/>
      <c r="S91" s="6"/>
      <c r="T91" s="156"/>
      <c r="U91" s="6"/>
    </row>
    <row r="92" spans="1:21" customFormat="1">
      <c r="A92" s="163" t="s">
        <v>1474</v>
      </c>
      <c r="B92" s="100">
        <v>3.8</v>
      </c>
      <c r="C92" s="100">
        <v>15.39</v>
      </c>
      <c r="D92" s="100">
        <v>12.44</v>
      </c>
      <c r="E92" s="100">
        <v>9.9</v>
      </c>
      <c r="F92" s="152" t="s">
        <v>15</v>
      </c>
      <c r="G92" s="100">
        <v>45.51</v>
      </c>
      <c r="H92" s="100">
        <v>19.05</v>
      </c>
      <c r="I92" s="100">
        <v>7.68</v>
      </c>
      <c r="J92" s="100">
        <v>0.24</v>
      </c>
      <c r="K92" s="100">
        <v>150.66</v>
      </c>
      <c r="L92" s="100">
        <v>27.1</v>
      </c>
      <c r="M92" s="100">
        <v>33.19</v>
      </c>
      <c r="N92" s="100">
        <v>0.6</v>
      </c>
      <c r="O92" s="100">
        <v>0</v>
      </c>
      <c r="P92" s="100">
        <v>0.64</v>
      </c>
      <c r="Q92" s="100">
        <v>28.02</v>
      </c>
      <c r="R92" s="6"/>
      <c r="S92" s="6"/>
      <c r="T92" s="156"/>
      <c r="U92" s="6"/>
    </row>
    <row r="93" spans="1:21" customFormat="1">
      <c r="A93" s="163" t="s">
        <v>1475</v>
      </c>
      <c r="B93" s="100">
        <v>3.81</v>
      </c>
      <c r="C93" s="100">
        <v>15.51</v>
      </c>
      <c r="D93" s="100">
        <v>12.51</v>
      </c>
      <c r="E93" s="100">
        <v>9.8699999999999992</v>
      </c>
      <c r="F93" s="152" t="s">
        <v>15</v>
      </c>
      <c r="G93" s="100">
        <v>48.39</v>
      </c>
      <c r="H93" s="100">
        <v>18.95</v>
      </c>
      <c r="I93" s="100">
        <v>7.85</v>
      </c>
      <c r="J93" s="100">
        <v>0.23</v>
      </c>
      <c r="K93" s="100">
        <v>145.71</v>
      </c>
      <c r="L93" s="100">
        <v>27.17</v>
      </c>
      <c r="M93" s="100">
        <v>32.71</v>
      </c>
      <c r="N93" s="100">
        <v>0.6</v>
      </c>
      <c r="O93" s="100">
        <v>0</v>
      </c>
      <c r="P93" s="100">
        <v>0.64</v>
      </c>
      <c r="Q93" s="100">
        <v>28</v>
      </c>
      <c r="R93" s="6"/>
      <c r="S93" s="6"/>
      <c r="T93" s="156"/>
      <c r="U93" s="6"/>
    </row>
    <row r="94" spans="1:21" customFormat="1">
      <c r="A94" s="163" t="s">
        <v>1476</v>
      </c>
      <c r="B94" s="100">
        <v>3.9</v>
      </c>
      <c r="C94" s="100">
        <v>15.57</v>
      </c>
      <c r="D94" s="100">
        <v>12.61</v>
      </c>
      <c r="E94" s="100">
        <v>9.4700000000000006</v>
      </c>
      <c r="F94" s="152" t="s">
        <v>15</v>
      </c>
      <c r="G94" s="100">
        <v>48.64</v>
      </c>
      <c r="H94" s="100">
        <v>18.95</v>
      </c>
      <c r="I94" s="100">
        <v>8</v>
      </c>
      <c r="J94" s="100">
        <v>0.23</v>
      </c>
      <c r="K94" s="100">
        <v>171.33</v>
      </c>
      <c r="L94" s="100">
        <v>26.9</v>
      </c>
      <c r="M94" s="100">
        <v>35.020000000000003</v>
      </c>
      <c r="N94" s="100">
        <v>0.8</v>
      </c>
      <c r="O94" s="100">
        <v>0</v>
      </c>
      <c r="P94" s="100">
        <v>0.65</v>
      </c>
      <c r="Q94" s="100">
        <v>28.02</v>
      </c>
      <c r="R94" s="6"/>
      <c r="S94" s="6"/>
      <c r="T94" s="156"/>
      <c r="U94" s="6"/>
    </row>
    <row r="95" spans="1:21" customFormat="1">
      <c r="A95" s="163" t="s">
        <v>1477</v>
      </c>
      <c r="B95" s="100">
        <v>7.37</v>
      </c>
      <c r="C95" s="100">
        <v>17.79</v>
      </c>
      <c r="D95" s="100">
        <v>16.559999999999999</v>
      </c>
      <c r="E95" s="100">
        <v>9.93</v>
      </c>
      <c r="F95" s="152" t="s">
        <v>15</v>
      </c>
      <c r="G95" s="100">
        <v>48.64</v>
      </c>
      <c r="H95" s="100">
        <v>18.95</v>
      </c>
      <c r="I95" s="100">
        <v>8.1300000000000008</v>
      </c>
      <c r="J95" s="100">
        <v>0.17</v>
      </c>
      <c r="K95" s="100">
        <v>101.76</v>
      </c>
      <c r="L95" s="100">
        <v>26.91</v>
      </c>
      <c r="M95" s="100">
        <v>33</v>
      </c>
      <c r="N95" s="100">
        <v>0.5</v>
      </c>
      <c r="O95" s="100">
        <v>0</v>
      </c>
      <c r="P95" s="100">
        <v>0.71</v>
      </c>
      <c r="Q95" s="100">
        <v>28.04</v>
      </c>
      <c r="R95" s="6"/>
      <c r="S95" s="6"/>
      <c r="T95" s="156"/>
      <c r="U95" s="6"/>
    </row>
    <row r="96" spans="1:21" customFormat="1">
      <c r="A96" s="163" t="s">
        <v>1478</v>
      </c>
      <c r="B96" s="100">
        <v>8.58</v>
      </c>
      <c r="C96" s="100">
        <v>19.64</v>
      </c>
      <c r="D96" s="100">
        <v>18.489999999999998</v>
      </c>
      <c r="E96" s="100">
        <v>9.9600000000000009</v>
      </c>
      <c r="F96" s="152" t="s">
        <v>15</v>
      </c>
      <c r="G96" s="100">
        <v>48.64</v>
      </c>
      <c r="H96" s="100">
        <v>18.95</v>
      </c>
      <c r="I96" s="100">
        <v>8.26</v>
      </c>
      <c r="J96" s="100">
        <v>0.24</v>
      </c>
      <c r="K96" s="100">
        <v>186.66</v>
      </c>
      <c r="L96" s="100">
        <v>26.55</v>
      </c>
      <c r="M96" s="100">
        <v>36.01</v>
      </c>
      <c r="N96" s="100">
        <v>1</v>
      </c>
      <c r="O96" s="100">
        <v>0</v>
      </c>
      <c r="P96" s="100">
        <v>0.72</v>
      </c>
      <c r="Q96" s="100">
        <v>28.08</v>
      </c>
      <c r="R96" s="6"/>
      <c r="S96" s="6"/>
      <c r="T96" s="156"/>
      <c r="U96" s="6"/>
    </row>
    <row r="97" spans="1:28" customFormat="1">
      <c r="A97" s="163" t="s">
        <v>1479</v>
      </c>
      <c r="B97" s="100">
        <v>7.63</v>
      </c>
      <c r="C97" s="100">
        <v>19.190000000000001</v>
      </c>
      <c r="D97" s="100">
        <v>17.489999999999998</v>
      </c>
      <c r="E97" s="100">
        <v>9.7799999999999994</v>
      </c>
      <c r="F97" s="152" t="s">
        <v>15</v>
      </c>
      <c r="G97" s="100">
        <v>60.94</v>
      </c>
      <c r="H97" s="100">
        <v>20.22</v>
      </c>
      <c r="I97" s="100">
        <v>8.58</v>
      </c>
      <c r="J97" s="100">
        <v>0.22</v>
      </c>
      <c r="K97" s="100">
        <v>176.01</v>
      </c>
      <c r="L97" s="100">
        <v>26.02</v>
      </c>
      <c r="M97" s="100">
        <v>37.07</v>
      </c>
      <c r="N97" s="100">
        <v>0.9</v>
      </c>
      <c r="O97" s="100">
        <v>0</v>
      </c>
      <c r="P97" s="100">
        <v>0.75</v>
      </c>
      <c r="Q97" s="100">
        <v>28.14</v>
      </c>
      <c r="R97" s="6"/>
      <c r="S97" s="6"/>
      <c r="T97" s="156"/>
      <c r="U97" s="6"/>
    </row>
    <row r="98" spans="1:28" customFormat="1">
      <c r="A98" s="163" t="s">
        <v>1480</v>
      </c>
      <c r="B98" s="100">
        <v>7.69</v>
      </c>
      <c r="C98" s="100">
        <v>19.43</v>
      </c>
      <c r="D98" s="100">
        <v>17.670000000000002</v>
      </c>
      <c r="E98" s="100">
        <v>9.61</v>
      </c>
      <c r="F98" s="152" t="s">
        <v>15</v>
      </c>
      <c r="G98" s="100">
        <v>61.97</v>
      </c>
      <c r="H98" s="100">
        <v>20.22</v>
      </c>
      <c r="I98" s="100">
        <v>8.8699999999999992</v>
      </c>
      <c r="J98" s="100">
        <v>0.21</v>
      </c>
      <c r="K98" s="100">
        <v>165.94</v>
      </c>
      <c r="L98" s="100">
        <v>25.48</v>
      </c>
      <c r="M98" s="100">
        <v>39.020000000000003</v>
      </c>
      <c r="N98" s="100">
        <v>1</v>
      </c>
      <c r="O98" s="100">
        <v>0</v>
      </c>
      <c r="P98" s="100">
        <v>0.77</v>
      </c>
      <c r="Q98" s="100">
        <v>28.17</v>
      </c>
      <c r="R98" s="6"/>
      <c r="S98" s="6"/>
      <c r="T98" s="156"/>
      <c r="U98" s="6"/>
    </row>
    <row r="99" spans="1:28" customFormat="1">
      <c r="A99" s="163" t="s">
        <v>1481</v>
      </c>
      <c r="B99" s="100">
        <v>7.87</v>
      </c>
      <c r="C99" s="100">
        <v>19.5</v>
      </c>
      <c r="D99" s="100">
        <v>17.850000000000001</v>
      </c>
      <c r="E99" s="100">
        <v>9.3800000000000008</v>
      </c>
      <c r="F99" s="152" t="s">
        <v>15</v>
      </c>
      <c r="G99" s="100">
        <v>61.97</v>
      </c>
      <c r="H99" s="100">
        <v>20.22</v>
      </c>
      <c r="I99" s="100">
        <v>9.08</v>
      </c>
      <c r="J99" s="100">
        <v>0.23</v>
      </c>
      <c r="K99" s="100">
        <v>186.55</v>
      </c>
      <c r="L99" s="100">
        <v>24.87</v>
      </c>
      <c r="M99" s="100">
        <v>40.950000000000003</v>
      </c>
      <c r="N99" s="100">
        <v>1.2</v>
      </c>
      <c r="O99" s="100">
        <v>0</v>
      </c>
      <c r="P99" s="100">
        <v>0.79</v>
      </c>
      <c r="Q99" s="100">
        <v>28.18</v>
      </c>
      <c r="R99" s="6"/>
      <c r="S99" s="6"/>
      <c r="T99" s="156"/>
      <c r="U99" s="6"/>
    </row>
    <row r="100" spans="1:28" customFormat="1">
      <c r="A100" s="163" t="s">
        <v>1482</v>
      </c>
      <c r="B100" s="100">
        <v>8.06</v>
      </c>
      <c r="C100" s="100">
        <v>19.100000000000001</v>
      </c>
      <c r="D100" s="100">
        <v>17.79</v>
      </c>
      <c r="E100" s="100">
        <v>9.31</v>
      </c>
      <c r="F100" s="152" t="s">
        <v>15</v>
      </c>
      <c r="G100" s="100">
        <v>61.97</v>
      </c>
      <c r="H100" s="100">
        <v>20.22</v>
      </c>
      <c r="I100" s="100">
        <v>9.2799999999999994</v>
      </c>
      <c r="J100" s="100">
        <v>0.19</v>
      </c>
      <c r="K100" s="100">
        <v>182.23</v>
      </c>
      <c r="L100" s="100">
        <v>24.47</v>
      </c>
      <c r="M100" s="100">
        <v>43.37</v>
      </c>
      <c r="N100" s="100">
        <v>1</v>
      </c>
      <c r="O100" s="100">
        <v>0</v>
      </c>
      <c r="P100" s="100">
        <v>0.8</v>
      </c>
      <c r="Q100" s="100">
        <v>28.19</v>
      </c>
      <c r="R100" s="6"/>
      <c r="S100" s="6"/>
      <c r="T100" s="156"/>
      <c r="U100" s="6"/>
      <c r="AB100" s="161"/>
    </row>
    <row r="101" spans="1:28" customFormat="1">
      <c r="A101" s="163" t="s">
        <v>1483</v>
      </c>
      <c r="B101" s="100">
        <v>8.2100000000000009</v>
      </c>
      <c r="C101" s="100">
        <v>18.66</v>
      </c>
      <c r="D101" s="100">
        <v>17.68</v>
      </c>
      <c r="E101" s="100">
        <v>9.61</v>
      </c>
      <c r="F101" s="152" t="s">
        <v>15</v>
      </c>
      <c r="G101" s="100">
        <v>64.63</v>
      </c>
      <c r="H101" s="100">
        <v>24.82</v>
      </c>
      <c r="I101" s="100">
        <v>9.44</v>
      </c>
      <c r="J101" s="100">
        <v>0.2</v>
      </c>
      <c r="K101" s="100">
        <v>207.16</v>
      </c>
      <c r="L101" s="100">
        <v>24.05</v>
      </c>
      <c r="M101" s="100">
        <v>43.58</v>
      </c>
      <c r="N101" s="100">
        <v>0.9</v>
      </c>
      <c r="O101" s="100">
        <v>0</v>
      </c>
      <c r="P101" s="100">
        <v>0.8</v>
      </c>
      <c r="Q101" s="100">
        <v>28.19</v>
      </c>
      <c r="R101" s="6"/>
      <c r="S101" s="6"/>
      <c r="T101" s="156"/>
      <c r="U101" s="6"/>
    </row>
    <row r="102" spans="1:28" customFormat="1">
      <c r="A102" s="163" t="s">
        <v>1484</v>
      </c>
      <c r="B102" s="100">
        <v>8.33</v>
      </c>
      <c r="C102" s="100">
        <v>18.190000000000001</v>
      </c>
      <c r="D102" s="100">
        <v>17.53</v>
      </c>
      <c r="E102" s="100">
        <v>9.41</v>
      </c>
      <c r="F102" s="152" t="s">
        <v>15</v>
      </c>
      <c r="G102" s="100">
        <v>64.89</v>
      </c>
      <c r="H102" s="100">
        <v>24.82</v>
      </c>
      <c r="I102" s="100">
        <v>9.51</v>
      </c>
      <c r="J102" s="100">
        <v>0.12</v>
      </c>
      <c r="K102" s="100">
        <v>169.22</v>
      </c>
      <c r="L102" s="100">
        <v>23.87</v>
      </c>
      <c r="M102" s="100">
        <v>44.98</v>
      </c>
      <c r="N102" s="100">
        <v>0.7</v>
      </c>
      <c r="O102" s="100">
        <v>0</v>
      </c>
      <c r="P102" s="100">
        <v>0.81</v>
      </c>
      <c r="Q102" s="100">
        <v>28.2</v>
      </c>
      <c r="R102" s="6"/>
      <c r="S102" s="6"/>
      <c r="T102" s="156"/>
      <c r="U102" s="6"/>
    </row>
    <row r="103" spans="1:28" customFormat="1">
      <c r="A103" s="163" t="s">
        <v>1485</v>
      </c>
      <c r="B103" s="100">
        <v>8.48</v>
      </c>
      <c r="C103" s="100">
        <v>17.8</v>
      </c>
      <c r="D103" s="100">
        <v>17.45</v>
      </c>
      <c r="E103" s="100">
        <v>9.33</v>
      </c>
      <c r="F103" s="152" t="s">
        <v>15</v>
      </c>
      <c r="G103" s="100">
        <v>64.89</v>
      </c>
      <c r="H103" s="100">
        <v>24.82</v>
      </c>
      <c r="I103" s="100">
        <v>9.61</v>
      </c>
      <c r="J103" s="100">
        <v>0.2</v>
      </c>
      <c r="K103" s="100">
        <v>179.42</v>
      </c>
      <c r="L103" s="100">
        <v>23.52</v>
      </c>
      <c r="M103" s="100">
        <v>47.42</v>
      </c>
      <c r="N103" s="100">
        <v>0.8</v>
      </c>
      <c r="O103" s="100">
        <v>0</v>
      </c>
      <c r="P103" s="100">
        <v>0.81</v>
      </c>
      <c r="Q103" s="100">
        <v>28.18</v>
      </c>
      <c r="R103" s="6"/>
      <c r="S103" s="6"/>
      <c r="T103" s="156"/>
      <c r="U103" s="6"/>
    </row>
    <row r="104" spans="1:28" customFormat="1">
      <c r="A104" s="163" t="s">
        <v>1486</v>
      </c>
      <c r="B104" s="100">
        <v>8.57</v>
      </c>
      <c r="C104" s="100">
        <v>17.420000000000002</v>
      </c>
      <c r="D104" s="100">
        <v>17.329999999999998</v>
      </c>
      <c r="E104" s="100">
        <v>9.66</v>
      </c>
      <c r="F104" s="152" t="s">
        <v>15</v>
      </c>
      <c r="G104" s="100">
        <v>64.89</v>
      </c>
      <c r="H104" s="100">
        <v>24.82</v>
      </c>
      <c r="I104" s="100">
        <v>9.7200000000000006</v>
      </c>
      <c r="J104" s="100">
        <v>0.1</v>
      </c>
      <c r="K104" s="100">
        <v>213.02</v>
      </c>
      <c r="L104" s="100">
        <v>23.94</v>
      </c>
      <c r="M104" s="100">
        <v>44.04</v>
      </c>
      <c r="N104" s="100">
        <v>0.4</v>
      </c>
      <c r="O104" s="100">
        <v>0</v>
      </c>
      <c r="P104" s="100">
        <v>0.83</v>
      </c>
      <c r="Q104" s="100">
        <v>28.19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3.34</v>
      </c>
      <c r="C106" s="158">
        <f>MIN(C9:C104)</f>
        <v>13.44</v>
      </c>
      <c r="D106" s="158">
        <f t="shared" ref="D106:Q106" si="0">MIN(D9:D104)</f>
        <v>11.07</v>
      </c>
      <c r="E106" s="158">
        <f t="shared" si="0"/>
        <v>6.45</v>
      </c>
      <c r="F106" s="158">
        <f t="shared" si="0"/>
        <v>0</v>
      </c>
      <c r="G106" s="158">
        <f t="shared" si="0"/>
        <v>37.69</v>
      </c>
      <c r="H106" s="158">
        <f t="shared" si="0"/>
        <v>18.95</v>
      </c>
      <c r="I106" s="158">
        <f t="shared" si="0"/>
        <v>6.06</v>
      </c>
      <c r="J106" s="158">
        <f t="shared" si="0"/>
        <v>0.1</v>
      </c>
      <c r="K106" s="158">
        <f t="shared" si="0"/>
        <v>101.76</v>
      </c>
      <c r="L106" s="158">
        <f t="shared" si="0"/>
        <v>21.26</v>
      </c>
      <c r="M106" s="158">
        <f t="shared" si="0"/>
        <v>8.24</v>
      </c>
      <c r="N106" s="158">
        <f t="shared" si="0"/>
        <v>0.4</v>
      </c>
      <c r="O106" s="158">
        <f t="shared" si="0"/>
        <v>0</v>
      </c>
      <c r="P106" s="158">
        <f t="shared" si="0"/>
        <v>0.51</v>
      </c>
      <c r="Q106" s="158">
        <f t="shared" si="0"/>
        <v>27.99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8.58</v>
      </c>
      <c r="C107" s="157">
        <f t="shared" ref="C107:Q107" si="1">MAX(C9:C104)</f>
        <v>19.64</v>
      </c>
      <c r="D107" s="157">
        <f t="shared" si="1"/>
        <v>18.489999999999998</v>
      </c>
      <c r="E107" s="157">
        <f t="shared" si="1"/>
        <v>19.41</v>
      </c>
      <c r="F107" s="157">
        <f t="shared" si="1"/>
        <v>0</v>
      </c>
      <c r="G107" s="157">
        <f t="shared" si="1"/>
        <v>98.62</v>
      </c>
      <c r="H107" s="157">
        <f t="shared" si="1"/>
        <v>39.200000000000003</v>
      </c>
      <c r="I107" s="157">
        <f t="shared" si="1"/>
        <v>10.81</v>
      </c>
      <c r="J107" s="157">
        <f t="shared" si="1"/>
        <v>1.57</v>
      </c>
      <c r="K107" s="157">
        <f t="shared" si="1"/>
        <v>302.73</v>
      </c>
      <c r="L107" s="157">
        <f t="shared" si="1"/>
        <v>39.1</v>
      </c>
      <c r="M107" s="157">
        <f t="shared" si="1"/>
        <v>60.6</v>
      </c>
      <c r="N107" s="157">
        <f t="shared" si="1"/>
        <v>332.3</v>
      </c>
      <c r="O107" s="157">
        <f t="shared" si="1"/>
        <v>0</v>
      </c>
      <c r="P107" s="157">
        <f t="shared" si="1"/>
        <v>0.93</v>
      </c>
      <c r="Q107" s="157">
        <f t="shared" si="1"/>
        <v>28.2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4.7443750000000007</v>
      </c>
      <c r="C108" s="158">
        <f t="shared" ref="C108:Q108" si="2">AVERAGE(C9:C104)</f>
        <v>16.809687500000003</v>
      </c>
      <c r="D108" s="158">
        <f t="shared" si="2"/>
        <v>13.938229166666666</v>
      </c>
      <c r="E108" s="158">
        <f t="shared" si="2"/>
        <v>9.3741666666666656</v>
      </c>
      <c r="F108" s="158" t="e">
        <f t="shared" si="2"/>
        <v>#DIV/0!</v>
      </c>
      <c r="G108" s="158">
        <f t="shared" si="2"/>
        <v>66.371354166666677</v>
      </c>
      <c r="H108" s="158">
        <f t="shared" si="2"/>
        <v>28.872291666666666</v>
      </c>
      <c r="I108" s="158">
        <f t="shared" si="2"/>
        <v>8.7678125000000033</v>
      </c>
      <c r="J108" s="158">
        <f t="shared" si="2"/>
        <v>0.48593749999999991</v>
      </c>
      <c r="K108" s="158">
        <f t="shared" si="2"/>
        <v>209.54593749999989</v>
      </c>
      <c r="L108" s="158">
        <f t="shared" si="2"/>
        <v>29.380625000000009</v>
      </c>
      <c r="M108" s="158">
        <f t="shared" si="2"/>
        <v>34.409062499999997</v>
      </c>
      <c r="N108" s="158">
        <f t="shared" si="2"/>
        <v>88.621875000000003</v>
      </c>
      <c r="O108" s="158">
        <f t="shared" si="2"/>
        <v>0</v>
      </c>
      <c r="P108" s="158">
        <f t="shared" si="2"/>
        <v>0.75645833333333334</v>
      </c>
      <c r="Q108" s="158">
        <f t="shared" si="2"/>
        <v>28.045833333333345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1.4825836711987821</v>
      </c>
      <c r="C109" s="158">
        <f t="shared" ref="C109:Q109" si="3">STDEV(C9:C104)</f>
        <v>1.4487595079384659</v>
      </c>
      <c r="D109" s="158">
        <f t="shared" si="3"/>
        <v>1.7118657072216201</v>
      </c>
      <c r="E109" s="158">
        <f t="shared" si="3"/>
        <v>1.8806212112892127</v>
      </c>
      <c r="F109" s="158" t="e">
        <f t="shared" si="3"/>
        <v>#DIV/0!</v>
      </c>
      <c r="G109" s="158">
        <f t="shared" si="3"/>
        <v>16.182681361309232</v>
      </c>
      <c r="H109" s="158">
        <f t="shared" si="3"/>
        <v>6.4892076361920639</v>
      </c>
      <c r="I109" s="158">
        <f t="shared" si="3"/>
        <v>1.2769620223714169</v>
      </c>
      <c r="J109" s="158">
        <f t="shared" si="3"/>
        <v>0.41879923119871132</v>
      </c>
      <c r="K109" s="158">
        <f t="shared" si="3"/>
        <v>49.398610817418891</v>
      </c>
      <c r="L109" s="158">
        <f t="shared" si="3"/>
        <v>6.2767492110083563</v>
      </c>
      <c r="M109" s="158">
        <f t="shared" si="3"/>
        <v>15.239146272407856</v>
      </c>
      <c r="N109" s="158">
        <f t="shared" si="3"/>
        <v>122.2949189486542</v>
      </c>
      <c r="O109" s="158">
        <f t="shared" si="3"/>
        <v>0</v>
      </c>
      <c r="P109" s="158">
        <f t="shared" si="3"/>
        <v>0.11312758672045044</v>
      </c>
      <c r="Q109" s="158">
        <f t="shared" si="3"/>
        <v>5.4225002325430864E-2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S12" sqref="S12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14/03/2025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1487</v>
      </c>
      <c r="B9" s="100">
        <v>8.89</v>
      </c>
      <c r="C9" s="100">
        <v>17.13</v>
      </c>
      <c r="D9" s="100">
        <v>17.43</v>
      </c>
      <c r="E9" s="100">
        <v>9.57</v>
      </c>
      <c r="F9" s="100">
        <v>0</v>
      </c>
      <c r="G9" s="100">
        <v>62.64</v>
      </c>
      <c r="H9" s="100">
        <v>25.17</v>
      </c>
      <c r="I9" s="100">
        <v>9.84</v>
      </c>
      <c r="J9" s="100">
        <v>0.17</v>
      </c>
      <c r="K9" s="100">
        <v>191.63</v>
      </c>
      <c r="L9" s="100">
        <v>24.11</v>
      </c>
      <c r="M9" s="100">
        <v>43.51</v>
      </c>
      <c r="N9" s="100">
        <v>0.5</v>
      </c>
      <c r="O9" s="100">
        <v>0</v>
      </c>
      <c r="P9" s="100">
        <v>0.85</v>
      </c>
      <c r="Q9" s="100">
        <v>28.18</v>
      </c>
      <c r="R9" s="6"/>
      <c r="S9" s="6"/>
      <c r="T9" s="156"/>
      <c r="U9" s="6"/>
    </row>
    <row r="10" spans="1:21" customFormat="1">
      <c r="A10" s="163" t="s">
        <v>1488</v>
      </c>
      <c r="B10" s="100">
        <v>8.92</v>
      </c>
      <c r="C10" s="100">
        <v>16.940000000000001</v>
      </c>
      <c r="D10" s="100">
        <v>17.350000000000001</v>
      </c>
      <c r="E10" s="100">
        <v>9.52</v>
      </c>
      <c r="F10" s="100">
        <v>0</v>
      </c>
      <c r="G10" s="100">
        <v>62.42</v>
      </c>
      <c r="H10" s="100">
        <v>25.17</v>
      </c>
      <c r="I10" s="100">
        <v>10</v>
      </c>
      <c r="J10" s="100">
        <v>0.16</v>
      </c>
      <c r="K10" s="100">
        <v>147.81</v>
      </c>
      <c r="L10" s="100">
        <v>23.88</v>
      </c>
      <c r="M10" s="100">
        <v>45.3</v>
      </c>
      <c r="N10" s="100">
        <v>0.8</v>
      </c>
      <c r="O10" s="100">
        <v>0</v>
      </c>
      <c r="P10" s="100">
        <v>0.87</v>
      </c>
      <c r="Q10" s="100">
        <v>28.19</v>
      </c>
      <c r="R10" s="6"/>
      <c r="S10" s="6"/>
      <c r="T10" s="156"/>
      <c r="U10" s="6"/>
    </row>
    <row r="11" spans="1:21" customFormat="1">
      <c r="A11" s="163" t="s">
        <v>1489</v>
      </c>
      <c r="B11" s="100">
        <v>9.07</v>
      </c>
      <c r="C11" s="100">
        <v>16.82</v>
      </c>
      <c r="D11" s="100">
        <v>17.41</v>
      </c>
      <c r="E11" s="100">
        <v>9.5500000000000007</v>
      </c>
      <c r="F11" s="100">
        <v>0</v>
      </c>
      <c r="G11" s="100">
        <v>62.42</v>
      </c>
      <c r="H11" s="100">
        <v>25.17</v>
      </c>
      <c r="I11" s="100">
        <v>10.17</v>
      </c>
      <c r="J11" s="100">
        <v>0.19</v>
      </c>
      <c r="K11" s="100">
        <v>178.62</v>
      </c>
      <c r="L11" s="100">
        <v>23.91</v>
      </c>
      <c r="M11" s="100">
        <v>44.55</v>
      </c>
      <c r="N11" s="100">
        <v>0.8</v>
      </c>
      <c r="O11" s="100">
        <v>0</v>
      </c>
      <c r="P11" s="100">
        <v>0.87</v>
      </c>
      <c r="Q11" s="100">
        <v>28.19</v>
      </c>
      <c r="R11" s="6"/>
      <c r="S11" s="6"/>
      <c r="T11" s="156"/>
      <c r="U11" s="6"/>
    </row>
    <row r="12" spans="1:21" customFormat="1">
      <c r="A12" s="163" t="s">
        <v>1490</v>
      </c>
      <c r="B12" s="100">
        <v>9.1199999999999992</v>
      </c>
      <c r="C12" s="100">
        <v>16.690000000000001</v>
      </c>
      <c r="D12" s="100">
        <v>17.38</v>
      </c>
      <c r="E12" s="100">
        <v>9.57</v>
      </c>
      <c r="F12" s="100">
        <v>0</v>
      </c>
      <c r="G12" s="100">
        <v>62.42</v>
      </c>
      <c r="H12" s="100">
        <v>25.17</v>
      </c>
      <c r="I12" s="100">
        <v>10.34</v>
      </c>
      <c r="J12" s="100">
        <v>0.27</v>
      </c>
      <c r="K12" s="100">
        <v>185.14</v>
      </c>
      <c r="L12" s="100">
        <v>23.71</v>
      </c>
      <c r="M12" s="100">
        <v>44.66</v>
      </c>
      <c r="N12" s="100">
        <v>0.8</v>
      </c>
      <c r="O12" s="100">
        <v>0</v>
      </c>
      <c r="P12" s="100">
        <v>0.89</v>
      </c>
      <c r="Q12" s="100">
        <v>28.18</v>
      </c>
      <c r="R12" s="6"/>
      <c r="S12" s="6"/>
      <c r="T12" s="156"/>
      <c r="U12" s="6"/>
    </row>
    <row r="13" spans="1:21" customFormat="1">
      <c r="A13" s="163" t="s">
        <v>1491</v>
      </c>
      <c r="B13" s="100">
        <v>9.1300000000000008</v>
      </c>
      <c r="C13" s="100">
        <v>16.61</v>
      </c>
      <c r="D13" s="100">
        <v>17.350000000000001</v>
      </c>
      <c r="E13" s="100">
        <v>9.31</v>
      </c>
      <c r="F13" s="100">
        <v>0</v>
      </c>
      <c r="G13" s="100">
        <v>66.760000000000005</v>
      </c>
      <c r="H13" s="100">
        <v>27.69</v>
      </c>
      <c r="I13" s="100">
        <v>10.54</v>
      </c>
      <c r="J13" s="100">
        <v>0.14000000000000001</v>
      </c>
      <c r="K13" s="100">
        <v>176.54</v>
      </c>
      <c r="L13" s="100">
        <v>23.6</v>
      </c>
      <c r="M13" s="100">
        <v>42.32</v>
      </c>
      <c r="N13" s="100">
        <v>0.8</v>
      </c>
      <c r="O13" s="100">
        <v>0</v>
      </c>
      <c r="P13" s="100">
        <v>0.91</v>
      </c>
      <c r="Q13" s="100">
        <v>28.2</v>
      </c>
      <c r="R13" s="6"/>
      <c r="S13" s="6"/>
      <c r="T13" s="156"/>
      <c r="U13" s="6"/>
    </row>
    <row r="14" spans="1:21" customFormat="1">
      <c r="A14" s="163" t="s">
        <v>1492</v>
      </c>
      <c r="B14" s="100">
        <v>9.19</v>
      </c>
      <c r="C14" s="100">
        <v>16.579999999999998</v>
      </c>
      <c r="D14" s="100">
        <v>17.38</v>
      </c>
      <c r="E14" s="100">
        <v>9.43</v>
      </c>
      <c r="F14" s="100">
        <v>0</v>
      </c>
      <c r="G14" s="100">
        <v>67.19</v>
      </c>
      <c r="H14" s="100">
        <v>27.69</v>
      </c>
      <c r="I14" s="100">
        <v>10.76</v>
      </c>
      <c r="J14" s="100">
        <v>0.21</v>
      </c>
      <c r="K14" s="100">
        <v>185.14</v>
      </c>
      <c r="L14" s="100">
        <v>23.62</v>
      </c>
      <c r="M14" s="100">
        <v>43.86</v>
      </c>
      <c r="N14" s="100">
        <v>0.7</v>
      </c>
      <c r="O14" s="100">
        <v>0</v>
      </c>
      <c r="P14" s="100">
        <v>0.92</v>
      </c>
      <c r="Q14" s="100">
        <v>28.21</v>
      </c>
      <c r="R14" s="6"/>
      <c r="S14" s="6"/>
      <c r="T14" s="156"/>
      <c r="U14" s="6"/>
    </row>
    <row r="15" spans="1:21" customFormat="1">
      <c r="A15" s="163" t="s">
        <v>1493</v>
      </c>
      <c r="B15" s="100">
        <v>9.18</v>
      </c>
      <c r="C15" s="100">
        <v>16.57</v>
      </c>
      <c r="D15" s="100">
        <v>17.37</v>
      </c>
      <c r="E15" s="100">
        <v>9.61</v>
      </c>
      <c r="F15" s="100">
        <v>0</v>
      </c>
      <c r="G15" s="100">
        <v>67.19</v>
      </c>
      <c r="H15" s="100">
        <v>27.69</v>
      </c>
      <c r="I15" s="100">
        <v>10.99</v>
      </c>
      <c r="J15" s="100">
        <v>0.2</v>
      </c>
      <c r="K15" s="100">
        <v>174.14</v>
      </c>
      <c r="L15" s="100">
        <v>23.79</v>
      </c>
      <c r="M15" s="100">
        <v>42.17</v>
      </c>
      <c r="N15" s="100">
        <v>0.6</v>
      </c>
      <c r="O15" s="100">
        <v>0</v>
      </c>
      <c r="P15" s="100">
        <v>0.93</v>
      </c>
      <c r="Q15" s="100">
        <v>28.19</v>
      </c>
      <c r="R15" s="6"/>
      <c r="S15" s="6"/>
      <c r="T15" s="156"/>
      <c r="U15" s="6"/>
    </row>
    <row r="16" spans="1:21" customFormat="1">
      <c r="A16" s="163" t="s">
        <v>1494</v>
      </c>
      <c r="B16" s="100">
        <v>9.16</v>
      </c>
      <c r="C16" s="100">
        <v>16.43</v>
      </c>
      <c r="D16" s="100">
        <v>17.28</v>
      </c>
      <c r="E16" s="100">
        <v>9.65</v>
      </c>
      <c r="F16" s="100">
        <v>0</v>
      </c>
      <c r="G16" s="100">
        <v>67.19</v>
      </c>
      <c r="H16" s="100">
        <v>27.69</v>
      </c>
      <c r="I16" s="100">
        <v>11.2</v>
      </c>
      <c r="J16" s="100">
        <v>0.17</v>
      </c>
      <c r="K16" s="100">
        <v>183.14</v>
      </c>
      <c r="L16" s="100">
        <v>23.9</v>
      </c>
      <c r="M16" s="100">
        <v>42.28</v>
      </c>
      <c r="N16" s="100">
        <v>0.8</v>
      </c>
      <c r="O16" s="100">
        <v>0</v>
      </c>
      <c r="P16" s="100">
        <v>0.96</v>
      </c>
      <c r="Q16" s="100">
        <v>28.18</v>
      </c>
      <c r="R16" s="6"/>
      <c r="S16" s="6"/>
      <c r="T16" s="156"/>
      <c r="U16" s="6"/>
    </row>
    <row r="17" spans="1:21" customFormat="1">
      <c r="A17" s="163" t="s">
        <v>1495</v>
      </c>
      <c r="B17" s="100">
        <v>9.19</v>
      </c>
      <c r="C17" s="100">
        <v>16.25</v>
      </c>
      <c r="D17" s="100">
        <v>17.21</v>
      </c>
      <c r="E17" s="100">
        <v>7.57</v>
      </c>
      <c r="F17" s="100">
        <v>0</v>
      </c>
      <c r="G17" s="100">
        <v>69.41</v>
      </c>
      <c r="H17" s="100">
        <v>32.76</v>
      </c>
      <c r="I17" s="100">
        <v>11.49</v>
      </c>
      <c r="J17" s="100">
        <v>0.12</v>
      </c>
      <c r="K17" s="100">
        <v>186.27</v>
      </c>
      <c r="L17" s="100">
        <v>23.87</v>
      </c>
      <c r="M17" s="100">
        <v>41.63</v>
      </c>
      <c r="N17" s="100">
        <v>0.9</v>
      </c>
      <c r="O17" s="100">
        <v>0</v>
      </c>
      <c r="P17" s="100">
        <v>0.97</v>
      </c>
      <c r="Q17" s="100">
        <v>28.19</v>
      </c>
      <c r="R17" s="6"/>
      <c r="S17" s="6"/>
      <c r="T17" s="156"/>
      <c r="U17" s="6"/>
    </row>
    <row r="18" spans="1:21" customFormat="1">
      <c r="A18" s="163" t="s">
        <v>1496</v>
      </c>
      <c r="B18" s="100">
        <v>9.2200000000000006</v>
      </c>
      <c r="C18" s="100">
        <v>16.13</v>
      </c>
      <c r="D18" s="100">
        <v>17.170000000000002</v>
      </c>
      <c r="E18" s="100">
        <v>8.82</v>
      </c>
      <c r="F18" s="100">
        <v>0</v>
      </c>
      <c r="G18" s="100">
        <v>69.62</v>
      </c>
      <c r="H18" s="100">
        <v>32.76</v>
      </c>
      <c r="I18" s="100">
        <v>11.73</v>
      </c>
      <c r="J18" s="100">
        <v>0.23</v>
      </c>
      <c r="K18" s="100">
        <v>156.97999999999999</v>
      </c>
      <c r="L18" s="100">
        <v>23.88</v>
      </c>
      <c r="M18" s="100">
        <v>43.54</v>
      </c>
      <c r="N18" s="100">
        <v>1</v>
      </c>
      <c r="O18" s="100">
        <v>0</v>
      </c>
      <c r="P18" s="100">
        <v>0.99</v>
      </c>
      <c r="Q18" s="100">
        <v>28.2</v>
      </c>
      <c r="R18" s="6"/>
      <c r="S18" s="6"/>
      <c r="T18" s="156"/>
      <c r="U18" s="6"/>
    </row>
    <row r="19" spans="1:21" customFormat="1">
      <c r="A19" s="163" t="s">
        <v>1497</v>
      </c>
      <c r="B19" s="100">
        <v>9.1300000000000008</v>
      </c>
      <c r="C19" s="100">
        <v>16.09</v>
      </c>
      <c r="D19" s="100">
        <v>17.079999999999998</v>
      </c>
      <c r="E19" s="100">
        <v>9.0399999999999991</v>
      </c>
      <c r="F19" s="100">
        <v>0</v>
      </c>
      <c r="G19" s="100">
        <v>69.62</v>
      </c>
      <c r="H19" s="100">
        <v>32.76</v>
      </c>
      <c r="I19" s="100">
        <v>11.89</v>
      </c>
      <c r="J19" s="100">
        <v>0.39</v>
      </c>
      <c r="K19" s="100">
        <v>172.94</v>
      </c>
      <c r="L19" s="100">
        <v>23.92</v>
      </c>
      <c r="M19" s="100">
        <v>45.96</v>
      </c>
      <c r="N19" s="100">
        <v>0.9</v>
      </c>
      <c r="O19" s="100">
        <v>0</v>
      </c>
      <c r="P19" s="100">
        <v>1</v>
      </c>
      <c r="Q19" s="100">
        <v>28.19</v>
      </c>
      <c r="R19" s="6"/>
      <c r="S19" s="6"/>
      <c r="T19" s="156"/>
      <c r="U19" s="6"/>
    </row>
    <row r="20" spans="1:21" customFormat="1">
      <c r="A20" s="163" t="s">
        <v>1498</v>
      </c>
      <c r="B20" s="100">
        <v>9.07</v>
      </c>
      <c r="C20" s="100">
        <v>16.13</v>
      </c>
      <c r="D20" s="100">
        <v>17.05</v>
      </c>
      <c r="E20" s="100">
        <v>8.75</v>
      </c>
      <c r="F20" s="100">
        <v>0</v>
      </c>
      <c r="G20" s="100">
        <v>69.62</v>
      </c>
      <c r="H20" s="100">
        <v>32.76</v>
      </c>
      <c r="I20" s="100">
        <v>12.02</v>
      </c>
      <c r="J20" s="100">
        <v>0.21</v>
      </c>
      <c r="K20" s="100">
        <v>179.6</v>
      </c>
      <c r="L20" s="100">
        <v>23.61</v>
      </c>
      <c r="M20" s="100">
        <v>47.27</v>
      </c>
      <c r="N20" s="100">
        <v>1.3</v>
      </c>
      <c r="O20" s="100">
        <v>0</v>
      </c>
      <c r="P20" s="100">
        <v>1.04</v>
      </c>
      <c r="Q20" s="100">
        <v>28.19</v>
      </c>
      <c r="R20" s="6"/>
      <c r="S20" s="6"/>
      <c r="T20" s="156"/>
      <c r="U20" s="6"/>
    </row>
    <row r="21" spans="1:21" customFormat="1">
      <c r="A21" s="163" t="s">
        <v>1499</v>
      </c>
      <c r="B21" s="100">
        <v>9.0399999999999991</v>
      </c>
      <c r="C21" s="100">
        <v>16.079999999999998</v>
      </c>
      <c r="D21" s="100">
        <v>17</v>
      </c>
      <c r="E21" s="100">
        <v>9.08</v>
      </c>
      <c r="F21" s="100">
        <v>0</v>
      </c>
      <c r="G21" s="100">
        <v>72.81</v>
      </c>
      <c r="H21" s="100">
        <v>33.64</v>
      </c>
      <c r="I21" s="100">
        <v>12.23</v>
      </c>
      <c r="J21" s="100">
        <v>0.21</v>
      </c>
      <c r="K21" s="100">
        <v>176.44</v>
      </c>
      <c r="L21" s="100">
        <v>23.61</v>
      </c>
      <c r="M21" s="100">
        <v>48.9</v>
      </c>
      <c r="N21" s="100">
        <v>1.1000000000000001</v>
      </c>
      <c r="O21" s="100">
        <v>0</v>
      </c>
      <c r="P21" s="100">
        <v>1.06</v>
      </c>
      <c r="Q21" s="100">
        <v>28.2</v>
      </c>
      <c r="R21" s="6"/>
      <c r="S21" s="6"/>
      <c r="T21" s="156"/>
      <c r="U21" s="6"/>
    </row>
    <row r="22" spans="1:21" customFormat="1">
      <c r="A22" s="163" t="s">
        <v>1500</v>
      </c>
      <c r="B22" s="100">
        <v>8.83</v>
      </c>
      <c r="C22" s="100">
        <v>16.04</v>
      </c>
      <c r="D22" s="100">
        <v>16.82</v>
      </c>
      <c r="E22" s="100">
        <v>8.86</v>
      </c>
      <c r="F22" s="100">
        <v>0</v>
      </c>
      <c r="G22" s="100">
        <v>73.09</v>
      </c>
      <c r="H22" s="100">
        <v>33.64</v>
      </c>
      <c r="I22" s="100">
        <v>12.5</v>
      </c>
      <c r="J22" s="100">
        <v>0.26</v>
      </c>
      <c r="K22" s="100">
        <v>184.89</v>
      </c>
      <c r="L22" s="100">
        <v>23.58</v>
      </c>
      <c r="M22" s="100">
        <v>48.48</v>
      </c>
      <c r="N22" s="100">
        <v>1.1000000000000001</v>
      </c>
      <c r="O22" s="100">
        <v>0</v>
      </c>
      <c r="P22" s="100">
        <v>1.08</v>
      </c>
      <c r="Q22" s="100">
        <v>28.19</v>
      </c>
      <c r="R22" s="6"/>
      <c r="S22" s="6"/>
      <c r="T22" s="156"/>
      <c r="U22" s="6"/>
    </row>
    <row r="23" spans="1:21" customFormat="1">
      <c r="A23" s="163" t="s">
        <v>1501</v>
      </c>
      <c r="B23" s="100">
        <v>8.3800000000000008</v>
      </c>
      <c r="C23" s="100">
        <v>16.2</v>
      </c>
      <c r="D23" s="100">
        <v>16.53</v>
      </c>
      <c r="E23" s="100">
        <v>9.1199999999999992</v>
      </c>
      <c r="F23" s="100">
        <v>0</v>
      </c>
      <c r="G23" s="100">
        <v>73.09</v>
      </c>
      <c r="H23" s="100">
        <v>33.64</v>
      </c>
      <c r="I23" s="100">
        <v>12.76</v>
      </c>
      <c r="J23" s="100">
        <v>0.26</v>
      </c>
      <c r="K23" s="100">
        <v>163.77000000000001</v>
      </c>
      <c r="L23" s="100">
        <v>23.47</v>
      </c>
      <c r="M23" s="100">
        <v>47.83</v>
      </c>
      <c r="N23" s="100">
        <v>1.1000000000000001</v>
      </c>
      <c r="O23" s="100">
        <v>0</v>
      </c>
      <c r="P23" s="100">
        <v>1.1200000000000001</v>
      </c>
      <c r="Q23" s="100">
        <v>28.18</v>
      </c>
      <c r="R23" s="6"/>
      <c r="S23" s="6"/>
      <c r="T23" s="156"/>
      <c r="U23" s="6"/>
    </row>
    <row r="24" spans="1:21" customFormat="1">
      <c r="A24" s="163" t="s">
        <v>1502</v>
      </c>
      <c r="B24" s="100">
        <v>7.84</v>
      </c>
      <c r="C24" s="100">
        <v>16.440000000000001</v>
      </c>
      <c r="D24" s="100">
        <v>16.23</v>
      </c>
      <c r="E24" s="100">
        <v>9.08</v>
      </c>
      <c r="F24" s="100">
        <v>0</v>
      </c>
      <c r="G24" s="100">
        <v>73.09</v>
      </c>
      <c r="H24" s="100">
        <v>33.64</v>
      </c>
      <c r="I24" s="100">
        <v>13.09</v>
      </c>
      <c r="J24" s="100">
        <v>0.26</v>
      </c>
      <c r="K24" s="100">
        <v>165.03</v>
      </c>
      <c r="L24" s="100">
        <v>23.47</v>
      </c>
      <c r="M24" s="100">
        <v>49.12</v>
      </c>
      <c r="N24" s="100">
        <v>1</v>
      </c>
      <c r="O24" s="100">
        <v>0</v>
      </c>
      <c r="P24" s="100">
        <v>1.1499999999999999</v>
      </c>
      <c r="Q24" s="100">
        <v>28.15</v>
      </c>
      <c r="R24" s="6"/>
      <c r="S24" s="6"/>
      <c r="T24" s="156"/>
      <c r="U24" s="6"/>
    </row>
    <row r="25" spans="1:21" customFormat="1">
      <c r="A25" s="163" t="s">
        <v>1503</v>
      </c>
      <c r="B25" s="100">
        <v>7.38</v>
      </c>
      <c r="C25" s="100">
        <v>16.600000000000001</v>
      </c>
      <c r="D25" s="100">
        <v>15.95</v>
      </c>
      <c r="E25" s="100">
        <v>9.0299999999999994</v>
      </c>
      <c r="F25" s="100">
        <v>0</v>
      </c>
      <c r="G25" s="100">
        <v>71.02</v>
      </c>
      <c r="H25" s="100">
        <v>37.35</v>
      </c>
      <c r="I25" s="100">
        <v>13.45</v>
      </c>
      <c r="J25" s="100">
        <v>0.21</v>
      </c>
      <c r="K25" s="100">
        <v>167.81</v>
      </c>
      <c r="L25" s="100">
        <v>23.18</v>
      </c>
      <c r="M25" s="100">
        <v>51.7</v>
      </c>
      <c r="N25" s="100">
        <v>1.1000000000000001</v>
      </c>
      <c r="O25" s="100">
        <v>0</v>
      </c>
      <c r="P25" s="100">
        <v>1.17</v>
      </c>
      <c r="Q25" s="100">
        <v>28.13</v>
      </c>
      <c r="R25" s="6"/>
      <c r="S25" s="6"/>
      <c r="T25" s="156"/>
      <c r="U25" s="6"/>
    </row>
    <row r="26" spans="1:21" customFormat="1">
      <c r="A26" s="163" t="s">
        <v>1504</v>
      </c>
      <c r="B26" s="100">
        <v>7.01</v>
      </c>
      <c r="C26" s="100">
        <v>16.489999999999998</v>
      </c>
      <c r="D26" s="100">
        <v>15.59</v>
      </c>
      <c r="E26" s="100">
        <v>8.69</v>
      </c>
      <c r="F26" s="100">
        <v>0</v>
      </c>
      <c r="G26" s="100">
        <v>70.819999999999993</v>
      </c>
      <c r="H26" s="100">
        <v>37.35</v>
      </c>
      <c r="I26" s="100">
        <v>13.8</v>
      </c>
      <c r="J26" s="100">
        <v>0.22</v>
      </c>
      <c r="K26" s="100">
        <v>160.15</v>
      </c>
      <c r="L26" s="100">
        <v>23.13</v>
      </c>
      <c r="M26" s="100">
        <v>51.29</v>
      </c>
      <c r="N26" s="100">
        <v>1</v>
      </c>
      <c r="O26" s="100">
        <v>0</v>
      </c>
      <c r="P26" s="100">
        <v>1.2</v>
      </c>
      <c r="Q26" s="100">
        <v>28.15</v>
      </c>
      <c r="R26" s="6"/>
      <c r="S26" s="6"/>
      <c r="T26" s="156"/>
      <c r="U26" s="6"/>
    </row>
    <row r="27" spans="1:21" customFormat="1">
      <c r="A27" s="163" t="s">
        <v>1505</v>
      </c>
      <c r="B27" s="100">
        <v>6.68</v>
      </c>
      <c r="C27" s="100">
        <v>16.39</v>
      </c>
      <c r="D27" s="100">
        <v>15.27</v>
      </c>
      <c r="E27" s="100">
        <v>8.77</v>
      </c>
      <c r="F27" s="100">
        <v>0</v>
      </c>
      <c r="G27" s="100">
        <v>70.819999999999993</v>
      </c>
      <c r="H27" s="100">
        <v>37.35</v>
      </c>
      <c r="I27" s="100">
        <v>14.12</v>
      </c>
      <c r="J27" s="100">
        <v>0.15</v>
      </c>
      <c r="K27" s="100">
        <v>156.19999999999999</v>
      </c>
      <c r="L27" s="100">
        <v>23.02</v>
      </c>
      <c r="M27" s="100">
        <v>51.05</v>
      </c>
      <c r="N27" s="100">
        <v>1</v>
      </c>
      <c r="O27" s="100">
        <v>0</v>
      </c>
      <c r="P27" s="100">
        <v>1.21</v>
      </c>
      <c r="Q27" s="100">
        <v>28.16</v>
      </c>
      <c r="R27" s="6"/>
      <c r="S27" s="6"/>
      <c r="T27" s="156"/>
      <c r="U27" s="6"/>
    </row>
    <row r="28" spans="1:21" customFormat="1">
      <c r="A28" s="163" t="s">
        <v>1506</v>
      </c>
      <c r="B28" s="100">
        <v>6.33</v>
      </c>
      <c r="C28" s="100">
        <v>16.420000000000002</v>
      </c>
      <c r="D28" s="100">
        <v>15.01</v>
      </c>
      <c r="E28" s="100">
        <v>8.64</v>
      </c>
      <c r="F28" s="100">
        <v>0</v>
      </c>
      <c r="G28" s="100">
        <v>70.819999999999993</v>
      </c>
      <c r="H28" s="100">
        <v>37.35</v>
      </c>
      <c r="I28" s="100">
        <v>14.38</v>
      </c>
      <c r="J28" s="100">
        <v>0.12</v>
      </c>
      <c r="K28" s="100">
        <v>101.29</v>
      </c>
      <c r="L28" s="100">
        <v>22.95</v>
      </c>
      <c r="M28" s="100">
        <v>50.62</v>
      </c>
      <c r="N28" s="100">
        <v>0.8</v>
      </c>
      <c r="O28" s="100">
        <v>0</v>
      </c>
      <c r="P28" s="100">
        <v>1.23</v>
      </c>
      <c r="Q28" s="100">
        <v>28.1</v>
      </c>
      <c r="R28" s="6"/>
      <c r="S28" s="6"/>
      <c r="T28" s="156"/>
      <c r="U28" s="6"/>
    </row>
    <row r="29" spans="1:21" customFormat="1">
      <c r="A29" s="163" t="s">
        <v>1507</v>
      </c>
      <c r="B29" s="100">
        <v>6.17</v>
      </c>
      <c r="C29" s="100">
        <v>16.63</v>
      </c>
      <c r="D29" s="100">
        <v>14.99</v>
      </c>
      <c r="E29" s="100">
        <v>8.9499999999999993</v>
      </c>
      <c r="F29" s="100">
        <v>0</v>
      </c>
      <c r="G29" s="100">
        <v>71.92</v>
      </c>
      <c r="H29" s="100">
        <v>34.57</v>
      </c>
      <c r="I29" s="100">
        <v>14.63</v>
      </c>
      <c r="J29" s="100">
        <v>0.19</v>
      </c>
      <c r="K29" s="100">
        <v>180.53</v>
      </c>
      <c r="L29" s="100">
        <v>23.08</v>
      </c>
      <c r="M29" s="100">
        <v>52.16</v>
      </c>
      <c r="N29" s="100">
        <v>0.8</v>
      </c>
      <c r="O29" s="100">
        <v>0</v>
      </c>
      <c r="P29" s="100">
        <v>1.23</v>
      </c>
      <c r="Q29" s="100">
        <v>28.1</v>
      </c>
      <c r="R29" s="6"/>
      <c r="S29" s="6"/>
      <c r="T29" s="156"/>
      <c r="U29" s="6"/>
    </row>
    <row r="30" spans="1:21" customFormat="1">
      <c r="A30" s="163" t="s">
        <v>1508</v>
      </c>
      <c r="B30" s="100">
        <v>5.98</v>
      </c>
      <c r="C30" s="100">
        <v>16.7</v>
      </c>
      <c r="D30" s="100">
        <v>14.87</v>
      </c>
      <c r="E30" s="100">
        <v>8.6300000000000008</v>
      </c>
      <c r="F30" s="100">
        <v>0</v>
      </c>
      <c r="G30" s="100">
        <v>72.03</v>
      </c>
      <c r="H30" s="100">
        <v>34.57</v>
      </c>
      <c r="I30" s="100">
        <v>14.86</v>
      </c>
      <c r="J30" s="100">
        <v>0.22</v>
      </c>
      <c r="K30" s="100">
        <v>169.81</v>
      </c>
      <c r="L30" s="100">
        <v>22.86</v>
      </c>
      <c r="M30" s="100">
        <v>53.48</v>
      </c>
      <c r="N30" s="100">
        <v>1</v>
      </c>
      <c r="O30" s="100">
        <v>0</v>
      </c>
      <c r="P30" s="100">
        <v>1.23</v>
      </c>
      <c r="Q30" s="100">
        <v>28.09</v>
      </c>
      <c r="R30" s="6"/>
      <c r="S30" s="6"/>
      <c r="T30" s="156"/>
      <c r="U30" s="6"/>
    </row>
    <row r="31" spans="1:21" customFormat="1">
      <c r="A31" s="163" t="s">
        <v>1509</v>
      </c>
      <c r="B31" s="100">
        <v>5.75</v>
      </c>
      <c r="C31" s="100">
        <v>16.760000000000002</v>
      </c>
      <c r="D31" s="100">
        <v>14.72</v>
      </c>
      <c r="E31" s="100">
        <v>8.49</v>
      </c>
      <c r="F31" s="100">
        <v>0</v>
      </c>
      <c r="G31" s="100">
        <v>72.03</v>
      </c>
      <c r="H31" s="100">
        <v>34.57</v>
      </c>
      <c r="I31" s="100">
        <v>15.02</v>
      </c>
      <c r="J31" s="100">
        <v>0.16</v>
      </c>
      <c r="K31" s="100">
        <v>162.58000000000001</v>
      </c>
      <c r="L31" s="100">
        <v>22.86</v>
      </c>
      <c r="M31" s="100">
        <v>53.38</v>
      </c>
      <c r="N31" s="100">
        <v>1</v>
      </c>
      <c r="O31" s="100">
        <v>0</v>
      </c>
      <c r="P31" s="100">
        <v>1.24</v>
      </c>
      <c r="Q31" s="100">
        <v>28.1</v>
      </c>
      <c r="R31" s="6"/>
      <c r="S31" s="6"/>
      <c r="T31" s="156"/>
      <c r="U31" s="6"/>
    </row>
    <row r="32" spans="1:21" customFormat="1">
      <c r="A32" s="163" t="s">
        <v>1510</v>
      </c>
      <c r="B32" s="100">
        <v>5.65</v>
      </c>
      <c r="C32" s="100">
        <v>16.989999999999998</v>
      </c>
      <c r="D32" s="100">
        <v>14.76</v>
      </c>
      <c r="E32" s="100">
        <v>8.4499999999999993</v>
      </c>
      <c r="F32" s="100">
        <v>0</v>
      </c>
      <c r="G32" s="100">
        <v>72.03</v>
      </c>
      <c r="H32" s="100">
        <v>34.57</v>
      </c>
      <c r="I32" s="100">
        <v>15.12</v>
      </c>
      <c r="J32" s="100">
        <v>0.23</v>
      </c>
      <c r="K32" s="100">
        <v>165.07</v>
      </c>
      <c r="L32" s="100">
        <v>22.62</v>
      </c>
      <c r="M32" s="100">
        <v>54.88</v>
      </c>
      <c r="N32" s="100">
        <v>1.3</v>
      </c>
      <c r="O32" s="100">
        <v>0</v>
      </c>
      <c r="P32" s="100">
        <v>1.24</v>
      </c>
      <c r="Q32" s="100">
        <v>28.1</v>
      </c>
      <c r="R32" s="6"/>
      <c r="S32" s="6"/>
      <c r="T32" s="156"/>
      <c r="U32" s="6"/>
    </row>
    <row r="33" spans="1:21" customFormat="1">
      <c r="A33" s="163" t="s">
        <v>1511</v>
      </c>
      <c r="B33" s="100">
        <v>5.52</v>
      </c>
      <c r="C33" s="100">
        <v>16.920000000000002</v>
      </c>
      <c r="D33" s="100">
        <v>14.62</v>
      </c>
      <c r="E33" s="100">
        <v>8.41</v>
      </c>
      <c r="F33" s="100">
        <v>0</v>
      </c>
      <c r="G33" s="100">
        <v>71.89</v>
      </c>
      <c r="H33" s="100">
        <v>34.799999999999997</v>
      </c>
      <c r="I33" s="100">
        <v>15.15</v>
      </c>
      <c r="J33" s="100">
        <v>0.21</v>
      </c>
      <c r="K33" s="100">
        <v>161.41</v>
      </c>
      <c r="L33" s="100">
        <v>22.44</v>
      </c>
      <c r="M33" s="100">
        <v>55.94</v>
      </c>
      <c r="N33" s="100">
        <v>2.5</v>
      </c>
      <c r="O33" s="100">
        <v>0</v>
      </c>
      <c r="P33" s="100">
        <v>1.24</v>
      </c>
      <c r="Q33" s="100">
        <v>28.1</v>
      </c>
      <c r="R33" s="6"/>
      <c r="S33" s="6"/>
      <c r="T33" s="156"/>
      <c r="U33" s="6"/>
    </row>
    <row r="34" spans="1:21" customFormat="1">
      <c r="A34" s="163" t="s">
        <v>1512</v>
      </c>
      <c r="B34" s="100">
        <v>5.34</v>
      </c>
      <c r="C34" s="100">
        <v>16.82</v>
      </c>
      <c r="D34" s="100">
        <v>14.42</v>
      </c>
      <c r="E34" s="100">
        <v>9.15</v>
      </c>
      <c r="F34" s="100">
        <v>0</v>
      </c>
      <c r="G34" s="100">
        <v>71.88</v>
      </c>
      <c r="H34" s="100">
        <v>34.799999999999997</v>
      </c>
      <c r="I34" s="100">
        <v>15.18</v>
      </c>
      <c r="J34" s="100">
        <v>0.19</v>
      </c>
      <c r="K34" s="100">
        <v>168.9</v>
      </c>
      <c r="L34" s="100">
        <v>22.41</v>
      </c>
      <c r="M34" s="100">
        <v>55.58</v>
      </c>
      <c r="N34" s="100">
        <v>6.6</v>
      </c>
      <c r="O34" s="100">
        <v>0</v>
      </c>
      <c r="P34" s="100">
        <v>1.24</v>
      </c>
      <c r="Q34" s="100">
        <v>28.08</v>
      </c>
      <c r="R34" s="6"/>
      <c r="S34" s="6"/>
      <c r="T34" s="156"/>
      <c r="U34" s="6"/>
    </row>
    <row r="35" spans="1:21" customFormat="1">
      <c r="A35" s="163" t="s">
        <v>1513</v>
      </c>
      <c r="B35" s="100">
        <v>5.15</v>
      </c>
      <c r="C35" s="100">
        <v>16.77</v>
      </c>
      <c r="D35" s="100">
        <v>14.24</v>
      </c>
      <c r="E35" s="100">
        <v>8.6199999999999992</v>
      </c>
      <c r="F35" s="100">
        <v>0</v>
      </c>
      <c r="G35" s="100">
        <v>71.88</v>
      </c>
      <c r="H35" s="100">
        <v>34.799999999999997</v>
      </c>
      <c r="I35" s="100">
        <v>15.22</v>
      </c>
      <c r="J35" s="100">
        <v>0.17</v>
      </c>
      <c r="K35" s="100">
        <v>145.72999999999999</v>
      </c>
      <c r="L35" s="100">
        <v>22.5</v>
      </c>
      <c r="M35" s="100">
        <v>52.65</v>
      </c>
      <c r="N35" s="100">
        <v>13.1</v>
      </c>
      <c r="O35" s="100">
        <v>0</v>
      </c>
      <c r="P35" s="100">
        <v>1.25</v>
      </c>
      <c r="Q35" s="100">
        <v>28.06</v>
      </c>
      <c r="R35" s="6"/>
      <c r="S35" s="6"/>
      <c r="T35" s="156"/>
      <c r="U35" s="6"/>
    </row>
    <row r="36" spans="1:21" customFormat="1">
      <c r="A36" s="163" t="s">
        <v>1514</v>
      </c>
      <c r="B36" s="100">
        <v>4.99</v>
      </c>
      <c r="C36" s="100">
        <v>16.670000000000002</v>
      </c>
      <c r="D36" s="100">
        <v>14.06</v>
      </c>
      <c r="E36" s="100">
        <v>8.68</v>
      </c>
      <c r="F36" s="100">
        <v>0</v>
      </c>
      <c r="G36" s="100">
        <v>71.88</v>
      </c>
      <c r="H36" s="100">
        <v>34.799999999999997</v>
      </c>
      <c r="I36" s="100">
        <v>15.24</v>
      </c>
      <c r="J36" s="100">
        <v>0.16</v>
      </c>
      <c r="K36" s="100">
        <v>136.79</v>
      </c>
      <c r="L36" s="100">
        <v>22.93</v>
      </c>
      <c r="M36" s="100">
        <v>51.75</v>
      </c>
      <c r="N36" s="100">
        <v>20.2</v>
      </c>
      <c r="O36" s="100">
        <v>0</v>
      </c>
      <c r="P36" s="100">
        <v>1.24</v>
      </c>
      <c r="Q36" s="100">
        <v>28.06</v>
      </c>
      <c r="R36" s="6"/>
      <c r="S36" s="6"/>
      <c r="T36" s="156"/>
      <c r="U36" s="6"/>
    </row>
    <row r="37" spans="1:21" customFormat="1">
      <c r="A37" s="163" t="s">
        <v>1515</v>
      </c>
      <c r="B37" s="100">
        <v>4.87</v>
      </c>
      <c r="C37" s="100">
        <v>16.59</v>
      </c>
      <c r="D37" s="100">
        <v>13.92</v>
      </c>
      <c r="E37" s="100">
        <v>8.36</v>
      </c>
      <c r="F37" s="100">
        <v>0</v>
      </c>
      <c r="G37" s="100">
        <v>73.66</v>
      </c>
      <c r="H37" s="100">
        <v>36.78</v>
      </c>
      <c r="I37" s="100">
        <v>15.16</v>
      </c>
      <c r="J37" s="100">
        <v>0.18</v>
      </c>
      <c r="K37" s="100">
        <v>163.37</v>
      </c>
      <c r="L37" s="100">
        <v>23.64</v>
      </c>
      <c r="M37" s="100">
        <v>51.16</v>
      </c>
      <c r="N37" s="100">
        <v>27.3</v>
      </c>
      <c r="O37" s="100">
        <v>0</v>
      </c>
      <c r="P37" s="100">
        <v>1.22</v>
      </c>
      <c r="Q37" s="100">
        <v>28.06</v>
      </c>
      <c r="R37" s="6"/>
      <c r="S37" s="6"/>
      <c r="T37" s="156"/>
      <c r="U37" s="6"/>
    </row>
    <row r="38" spans="1:21" customFormat="1">
      <c r="A38" s="163" t="s">
        <v>1516</v>
      </c>
      <c r="B38" s="100">
        <v>4.76</v>
      </c>
      <c r="C38" s="100">
        <v>16.36</v>
      </c>
      <c r="D38" s="100">
        <v>13.71</v>
      </c>
      <c r="E38" s="100">
        <v>8.6</v>
      </c>
      <c r="F38" s="100">
        <v>0</v>
      </c>
      <c r="G38" s="100">
        <v>73.84</v>
      </c>
      <c r="H38" s="100">
        <v>36.78</v>
      </c>
      <c r="I38" s="100">
        <v>15.04</v>
      </c>
      <c r="J38" s="100">
        <v>0.22</v>
      </c>
      <c r="K38" s="100">
        <v>156</v>
      </c>
      <c r="L38" s="100">
        <v>24.41</v>
      </c>
      <c r="M38" s="100">
        <v>49.76</v>
      </c>
      <c r="N38" s="100">
        <v>35.9</v>
      </c>
      <c r="O38" s="100">
        <v>0</v>
      </c>
      <c r="P38" s="100">
        <v>1.22</v>
      </c>
      <c r="Q38" s="100">
        <v>28.04</v>
      </c>
      <c r="R38" s="6"/>
      <c r="S38" s="6"/>
      <c r="T38" s="156"/>
      <c r="U38" s="6"/>
    </row>
    <row r="39" spans="1:21" customFormat="1">
      <c r="A39" s="163" t="s">
        <v>1517</v>
      </c>
      <c r="B39" s="100">
        <v>4.5999999999999996</v>
      </c>
      <c r="C39" s="100">
        <v>16.38</v>
      </c>
      <c r="D39" s="100">
        <v>13.6</v>
      </c>
      <c r="E39" s="100">
        <v>8.4700000000000006</v>
      </c>
      <c r="F39" s="100">
        <v>0</v>
      </c>
      <c r="G39" s="100">
        <v>73.84</v>
      </c>
      <c r="H39" s="100">
        <v>36.78</v>
      </c>
      <c r="I39" s="100">
        <v>14.89</v>
      </c>
      <c r="J39" s="100">
        <v>0.12</v>
      </c>
      <c r="K39" s="100">
        <v>258.79000000000002</v>
      </c>
      <c r="L39" s="100">
        <v>25.32</v>
      </c>
      <c r="M39" s="100">
        <v>45.97</v>
      </c>
      <c r="N39" s="100">
        <v>42.9</v>
      </c>
      <c r="O39" s="100">
        <v>0</v>
      </c>
      <c r="P39" s="100">
        <v>1.2</v>
      </c>
      <c r="Q39" s="100">
        <v>28.03</v>
      </c>
      <c r="R39" s="6"/>
      <c r="S39" s="6"/>
      <c r="T39" s="156"/>
      <c r="U39" s="6"/>
    </row>
    <row r="40" spans="1:21" customFormat="1">
      <c r="A40" s="163" t="s">
        <v>1518</v>
      </c>
      <c r="B40" s="100">
        <v>4.46</v>
      </c>
      <c r="C40" s="100">
        <v>16.36</v>
      </c>
      <c r="D40" s="100">
        <v>13.47</v>
      </c>
      <c r="E40" s="100">
        <v>8.5500000000000007</v>
      </c>
      <c r="F40" s="100">
        <v>0</v>
      </c>
      <c r="G40" s="100">
        <v>73.84</v>
      </c>
      <c r="H40" s="100">
        <v>36.78</v>
      </c>
      <c r="I40" s="100">
        <v>14.73</v>
      </c>
      <c r="J40" s="100">
        <v>0.27</v>
      </c>
      <c r="K40" s="100">
        <v>235.19</v>
      </c>
      <c r="L40" s="100">
        <v>26.27</v>
      </c>
      <c r="M40" s="100">
        <v>43.19</v>
      </c>
      <c r="N40" s="100">
        <v>58.6</v>
      </c>
      <c r="O40" s="100">
        <v>0</v>
      </c>
      <c r="P40" s="100">
        <v>1.19</v>
      </c>
      <c r="Q40" s="100">
        <v>28.02</v>
      </c>
      <c r="R40" s="6"/>
      <c r="S40" s="6"/>
      <c r="T40" s="156"/>
      <c r="U40" s="6"/>
    </row>
    <row r="41" spans="1:21" customFormat="1">
      <c r="A41" s="163" t="s">
        <v>1519</v>
      </c>
      <c r="B41" s="100">
        <v>4.26</v>
      </c>
      <c r="C41" s="100">
        <v>16.399999999999999</v>
      </c>
      <c r="D41" s="100">
        <v>13.33</v>
      </c>
      <c r="E41" s="100">
        <v>8.31</v>
      </c>
      <c r="F41" s="100">
        <v>0</v>
      </c>
      <c r="G41" s="100">
        <v>64.38</v>
      </c>
      <c r="H41" s="100">
        <v>36.68</v>
      </c>
      <c r="I41" s="100">
        <v>14.55</v>
      </c>
      <c r="J41" s="100">
        <v>0.41</v>
      </c>
      <c r="K41" s="100">
        <v>246.83</v>
      </c>
      <c r="L41" s="100">
        <v>27.29</v>
      </c>
      <c r="M41" s="100">
        <v>40.74</v>
      </c>
      <c r="N41" s="100">
        <v>91.3</v>
      </c>
      <c r="O41" s="100">
        <v>0</v>
      </c>
      <c r="P41" s="100">
        <v>1.18</v>
      </c>
      <c r="Q41" s="100">
        <v>28.03</v>
      </c>
      <c r="R41" s="6"/>
      <c r="S41" s="6"/>
      <c r="T41" s="156"/>
      <c r="U41" s="6"/>
    </row>
    <row r="42" spans="1:21" customFormat="1">
      <c r="A42" s="163" t="s">
        <v>1520</v>
      </c>
      <c r="B42" s="100">
        <v>4.12</v>
      </c>
      <c r="C42" s="100">
        <v>16.559999999999999</v>
      </c>
      <c r="D42" s="100">
        <v>13.31</v>
      </c>
      <c r="E42" s="100">
        <v>8.83</v>
      </c>
      <c r="F42" s="100">
        <v>0</v>
      </c>
      <c r="G42" s="100">
        <v>64.38</v>
      </c>
      <c r="H42" s="100">
        <v>36.68</v>
      </c>
      <c r="I42" s="100">
        <v>14.36</v>
      </c>
      <c r="J42" s="100">
        <v>0.52</v>
      </c>
      <c r="K42" s="100">
        <v>250.04</v>
      </c>
      <c r="L42" s="100">
        <v>27.95</v>
      </c>
      <c r="M42" s="100">
        <v>39.020000000000003</v>
      </c>
      <c r="N42" s="100">
        <v>126.1</v>
      </c>
      <c r="O42" s="100">
        <v>0</v>
      </c>
      <c r="P42" s="100">
        <v>1.18</v>
      </c>
      <c r="Q42" s="100">
        <v>28.03</v>
      </c>
      <c r="R42" s="6"/>
      <c r="S42" s="6"/>
      <c r="T42" s="156"/>
      <c r="U42" s="6"/>
    </row>
    <row r="43" spans="1:21" customFormat="1">
      <c r="A43" s="163" t="s">
        <v>1521</v>
      </c>
      <c r="B43" s="100">
        <v>4.13</v>
      </c>
      <c r="C43" s="100">
        <v>16.68</v>
      </c>
      <c r="D43" s="100">
        <v>13.38</v>
      </c>
      <c r="E43" s="100">
        <v>8.83</v>
      </c>
      <c r="F43" s="100">
        <v>0</v>
      </c>
      <c r="G43" s="100">
        <v>64.38</v>
      </c>
      <c r="H43" s="100">
        <v>36.68</v>
      </c>
      <c r="I43" s="100">
        <v>14.13</v>
      </c>
      <c r="J43" s="100">
        <v>0.6</v>
      </c>
      <c r="K43" s="100">
        <v>255.21</v>
      </c>
      <c r="L43" s="100">
        <v>28.79</v>
      </c>
      <c r="M43" s="100">
        <v>38.450000000000003</v>
      </c>
      <c r="N43" s="100">
        <v>181.9</v>
      </c>
      <c r="O43" s="100">
        <v>0</v>
      </c>
      <c r="P43" s="100">
        <v>1.17</v>
      </c>
      <c r="Q43" s="100">
        <v>28.04</v>
      </c>
      <c r="R43" s="6"/>
      <c r="S43" s="6"/>
      <c r="T43" s="156"/>
      <c r="U43" s="6"/>
    </row>
    <row r="44" spans="1:21" customFormat="1">
      <c r="A44" s="163" t="s">
        <v>1522</v>
      </c>
      <c r="B44" s="100">
        <v>4.1100000000000003</v>
      </c>
      <c r="C44" s="100">
        <v>16.45</v>
      </c>
      <c r="D44" s="100">
        <v>13.24</v>
      </c>
      <c r="E44" s="100">
        <v>8.7200000000000006</v>
      </c>
      <c r="F44" s="100">
        <v>0</v>
      </c>
      <c r="G44" s="100">
        <v>64.38</v>
      </c>
      <c r="H44" s="100">
        <v>36.68</v>
      </c>
      <c r="I44" s="100">
        <v>13.95</v>
      </c>
      <c r="J44" s="100">
        <v>0.57999999999999996</v>
      </c>
      <c r="K44" s="100">
        <v>259.75</v>
      </c>
      <c r="L44" s="100">
        <v>29.64</v>
      </c>
      <c r="M44" s="100">
        <v>37.15</v>
      </c>
      <c r="N44" s="100">
        <v>200.3</v>
      </c>
      <c r="O44" s="100">
        <v>0</v>
      </c>
      <c r="P44" s="100">
        <v>1.1599999999999999</v>
      </c>
      <c r="Q44" s="100">
        <v>28.02</v>
      </c>
      <c r="R44" s="6"/>
      <c r="S44" s="6"/>
      <c r="T44" s="156"/>
      <c r="U44" s="6"/>
    </row>
    <row r="45" spans="1:21" customFormat="1">
      <c r="A45" s="163" t="s">
        <v>1523</v>
      </c>
      <c r="B45" s="100">
        <v>4.09</v>
      </c>
      <c r="C45" s="100">
        <v>15.98</v>
      </c>
      <c r="D45" s="100">
        <v>12.98</v>
      </c>
      <c r="E45" s="100">
        <v>9.07</v>
      </c>
      <c r="F45" s="100">
        <v>0</v>
      </c>
      <c r="G45" s="100">
        <v>63.67</v>
      </c>
      <c r="H45" s="100">
        <v>35.67</v>
      </c>
      <c r="I45" s="100">
        <v>13.85</v>
      </c>
      <c r="J45" s="100">
        <v>0.74</v>
      </c>
      <c r="K45" s="100">
        <v>260.02999999999997</v>
      </c>
      <c r="L45" s="100">
        <v>30.49</v>
      </c>
      <c r="M45" s="100">
        <v>35.770000000000003</v>
      </c>
      <c r="N45" s="100">
        <v>179.6</v>
      </c>
      <c r="O45" s="100">
        <v>0</v>
      </c>
      <c r="P45" s="100">
        <v>1.1299999999999999</v>
      </c>
      <c r="Q45" s="100">
        <v>28.02</v>
      </c>
      <c r="R45" s="6"/>
      <c r="S45" s="6"/>
      <c r="T45" s="156"/>
      <c r="U45" s="6"/>
    </row>
    <row r="46" spans="1:21" customFormat="1">
      <c r="A46" s="163" t="s">
        <v>1524</v>
      </c>
      <c r="B46" s="100">
        <v>4.03</v>
      </c>
      <c r="C46" s="100">
        <v>15.97</v>
      </c>
      <c r="D46" s="100">
        <v>12.93</v>
      </c>
      <c r="E46" s="100">
        <v>8.92</v>
      </c>
      <c r="F46" s="100">
        <v>0</v>
      </c>
      <c r="G46" s="100">
        <v>63.6</v>
      </c>
      <c r="H46" s="100">
        <v>35.67</v>
      </c>
      <c r="I46" s="100">
        <v>13.64</v>
      </c>
      <c r="J46" s="100">
        <v>0.82</v>
      </c>
      <c r="K46" s="100">
        <v>265.81</v>
      </c>
      <c r="L46" s="100">
        <v>31.25</v>
      </c>
      <c r="M46" s="100">
        <v>34.520000000000003</v>
      </c>
      <c r="N46" s="100">
        <v>242.2</v>
      </c>
      <c r="O46" s="100">
        <v>0</v>
      </c>
      <c r="P46" s="100">
        <v>1.1299999999999999</v>
      </c>
      <c r="Q46" s="100">
        <v>28.02</v>
      </c>
      <c r="R46" s="6"/>
      <c r="S46" s="6"/>
      <c r="T46" s="156"/>
      <c r="U46" s="6"/>
    </row>
    <row r="47" spans="1:21" customFormat="1">
      <c r="A47" s="163" t="s">
        <v>1525</v>
      </c>
      <c r="B47" s="100">
        <v>3.94</v>
      </c>
      <c r="C47" s="100">
        <v>15.82</v>
      </c>
      <c r="D47" s="100">
        <v>12.78</v>
      </c>
      <c r="E47" s="100">
        <v>9.01</v>
      </c>
      <c r="F47" s="100">
        <v>0</v>
      </c>
      <c r="G47" s="100">
        <v>63.6</v>
      </c>
      <c r="H47" s="100">
        <v>35.67</v>
      </c>
      <c r="I47" s="100">
        <v>13.42</v>
      </c>
      <c r="J47" s="100">
        <v>0.9</v>
      </c>
      <c r="K47" s="100">
        <v>259.97000000000003</v>
      </c>
      <c r="L47" s="100">
        <v>32.08</v>
      </c>
      <c r="M47" s="100">
        <v>33.53</v>
      </c>
      <c r="N47" s="100">
        <v>255.7</v>
      </c>
      <c r="O47" s="100">
        <v>0</v>
      </c>
      <c r="P47" s="100">
        <v>1.1200000000000001</v>
      </c>
      <c r="Q47" s="100">
        <v>28.04</v>
      </c>
      <c r="R47" s="6"/>
      <c r="S47" s="6"/>
      <c r="T47" s="156"/>
      <c r="U47" s="6"/>
    </row>
    <row r="48" spans="1:21" customFormat="1">
      <c r="A48" s="163" t="s">
        <v>1526</v>
      </c>
      <c r="B48" s="100">
        <v>3.85</v>
      </c>
      <c r="C48" s="100">
        <v>15.76</v>
      </c>
      <c r="D48" s="100">
        <v>12.67</v>
      </c>
      <c r="E48" s="100">
        <v>9.4700000000000006</v>
      </c>
      <c r="F48" s="100">
        <v>0</v>
      </c>
      <c r="G48" s="100">
        <v>63.6</v>
      </c>
      <c r="H48" s="100">
        <v>35.67</v>
      </c>
      <c r="I48" s="100">
        <v>13.33</v>
      </c>
      <c r="J48" s="100">
        <v>0.98</v>
      </c>
      <c r="K48" s="100">
        <v>261.58999999999997</v>
      </c>
      <c r="L48" s="100">
        <v>32.96</v>
      </c>
      <c r="M48" s="100">
        <v>32.56</v>
      </c>
      <c r="N48" s="100">
        <v>266.89999999999998</v>
      </c>
      <c r="O48" s="100">
        <v>0</v>
      </c>
      <c r="P48" s="100">
        <v>1.1000000000000001</v>
      </c>
      <c r="Q48" s="100">
        <v>28.04</v>
      </c>
      <c r="R48" s="6"/>
      <c r="S48" s="6"/>
      <c r="T48" s="156"/>
      <c r="U48" s="6"/>
    </row>
    <row r="49" spans="1:21" customFormat="1">
      <c r="A49" s="163" t="s">
        <v>1527</v>
      </c>
      <c r="B49" s="100">
        <v>3.81</v>
      </c>
      <c r="C49" s="100">
        <v>15.64</v>
      </c>
      <c r="D49" s="100">
        <v>12.58</v>
      </c>
      <c r="E49" s="100">
        <v>8.76</v>
      </c>
      <c r="F49" s="100">
        <v>0</v>
      </c>
      <c r="G49" s="100">
        <v>62.66</v>
      </c>
      <c r="H49" s="100">
        <v>34.39</v>
      </c>
      <c r="I49" s="100">
        <v>13.17</v>
      </c>
      <c r="J49" s="100">
        <v>1.25</v>
      </c>
      <c r="K49" s="100">
        <v>258.14</v>
      </c>
      <c r="L49" s="100">
        <v>33.590000000000003</v>
      </c>
      <c r="M49" s="100">
        <v>31.35</v>
      </c>
      <c r="N49" s="100">
        <v>244.2</v>
      </c>
      <c r="O49" s="100">
        <v>0</v>
      </c>
      <c r="P49" s="100">
        <v>1.08</v>
      </c>
      <c r="Q49" s="100">
        <v>28.03</v>
      </c>
      <c r="R49" s="6"/>
      <c r="S49" s="6"/>
      <c r="T49" s="156"/>
      <c r="U49" s="6"/>
    </row>
    <row r="50" spans="1:21" customFormat="1">
      <c r="A50" s="163" t="s">
        <v>1528</v>
      </c>
      <c r="B50" s="100">
        <v>3.72</v>
      </c>
      <c r="C50" s="100">
        <v>15.22</v>
      </c>
      <c r="D50" s="100">
        <v>12.29</v>
      </c>
      <c r="E50" s="100">
        <v>12.63</v>
      </c>
      <c r="F50" s="100">
        <v>0</v>
      </c>
      <c r="G50" s="100">
        <v>62.57</v>
      </c>
      <c r="H50" s="100">
        <v>34.39</v>
      </c>
      <c r="I50" s="100">
        <v>12.96</v>
      </c>
      <c r="J50" s="100">
        <v>1.1599999999999999</v>
      </c>
      <c r="K50" s="100">
        <v>260.01</v>
      </c>
      <c r="L50" s="100">
        <v>34.340000000000003</v>
      </c>
      <c r="M50" s="100">
        <v>29.5</v>
      </c>
      <c r="N50" s="100">
        <v>224.8</v>
      </c>
      <c r="O50" s="100">
        <v>0</v>
      </c>
      <c r="P50" s="100">
        <v>1.05</v>
      </c>
      <c r="Q50" s="100">
        <v>28.01</v>
      </c>
      <c r="R50" s="6"/>
      <c r="S50" s="6"/>
      <c r="T50" s="156"/>
      <c r="U50" s="6"/>
    </row>
    <row r="51" spans="1:21" customFormat="1">
      <c r="A51" s="163" t="s">
        <v>1529</v>
      </c>
      <c r="B51" s="100">
        <v>3.66</v>
      </c>
      <c r="C51" s="100">
        <v>15.26</v>
      </c>
      <c r="D51" s="100">
        <v>12.26</v>
      </c>
      <c r="E51" s="100">
        <v>12.22</v>
      </c>
      <c r="F51" s="100">
        <v>0</v>
      </c>
      <c r="G51" s="100">
        <v>62.57</v>
      </c>
      <c r="H51" s="100">
        <v>34.39</v>
      </c>
      <c r="I51" s="100">
        <v>12.57</v>
      </c>
      <c r="J51" s="100">
        <v>1.06</v>
      </c>
      <c r="K51" s="100">
        <v>261.89</v>
      </c>
      <c r="L51" s="100">
        <v>34.97</v>
      </c>
      <c r="M51" s="100">
        <v>28.27</v>
      </c>
      <c r="N51" s="100">
        <v>297.60000000000002</v>
      </c>
      <c r="O51" s="100">
        <v>0</v>
      </c>
      <c r="P51" s="100">
        <v>1.03</v>
      </c>
      <c r="Q51" s="100">
        <v>28</v>
      </c>
      <c r="R51" s="6"/>
      <c r="S51" s="6"/>
      <c r="T51" s="156"/>
      <c r="U51" s="6"/>
    </row>
    <row r="52" spans="1:21" customFormat="1">
      <c r="A52" s="163" t="s">
        <v>1530</v>
      </c>
      <c r="B52" s="100">
        <v>3.65</v>
      </c>
      <c r="C52" s="100">
        <v>15.13</v>
      </c>
      <c r="D52" s="100">
        <v>12.18</v>
      </c>
      <c r="E52" s="100">
        <v>12.88</v>
      </c>
      <c r="F52" s="100">
        <v>0</v>
      </c>
      <c r="G52" s="100">
        <v>62.57</v>
      </c>
      <c r="H52" s="100">
        <v>34.39</v>
      </c>
      <c r="I52" s="100">
        <v>12.21</v>
      </c>
      <c r="J52" s="100">
        <v>0.94</v>
      </c>
      <c r="K52" s="100">
        <v>259.39999999999998</v>
      </c>
      <c r="L52" s="100">
        <v>35.83</v>
      </c>
      <c r="M52" s="100">
        <v>25.45</v>
      </c>
      <c r="N52" s="100">
        <v>307</v>
      </c>
      <c r="O52" s="100">
        <v>0</v>
      </c>
      <c r="P52" s="100">
        <v>1.01</v>
      </c>
      <c r="Q52" s="100">
        <v>28</v>
      </c>
      <c r="R52" s="6"/>
      <c r="S52" s="6"/>
      <c r="T52" s="156"/>
      <c r="U52" s="6"/>
    </row>
    <row r="53" spans="1:21" customFormat="1">
      <c r="A53" s="163" t="s">
        <v>1531</v>
      </c>
      <c r="B53" s="100">
        <v>3.62</v>
      </c>
      <c r="C53" s="100">
        <v>14.94</v>
      </c>
      <c r="D53" s="100">
        <v>12.06</v>
      </c>
      <c r="E53" s="100">
        <v>14.18</v>
      </c>
      <c r="F53" s="100">
        <v>0</v>
      </c>
      <c r="G53" s="100">
        <v>60.33</v>
      </c>
      <c r="H53" s="100">
        <v>33.090000000000003</v>
      </c>
      <c r="I53" s="100">
        <v>11.98</v>
      </c>
      <c r="J53" s="100">
        <v>0.77</v>
      </c>
      <c r="K53" s="100">
        <v>266.56</v>
      </c>
      <c r="L53" s="100">
        <v>36.54</v>
      </c>
      <c r="M53" s="100">
        <v>22.76</v>
      </c>
      <c r="N53" s="100">
        <v>304</v>
      </c>
      <c r="O53" s="100">
        <v>0</v>
      </c>
      <c r="P53" s="100">
        <v>0.99</v>
      </c>
      <c r="Q53" s="100">
        <v>28</v>
      </c>
      <c r="R53" s="6"/>
      <c r="S53" s="6"/>
      <c r="T53" s="156"/>
      <c r="U53" s="6"/>
    </row>
    <row r="54" spans="1:21" customFormat="1">
      <c r="A54" s="163" t="s">
        <v>1532</v>
      </c>
      <c r="B54" s="100">
        <v>3.63</v>
      </c>
      <c r="C54" s="100">
        <v>15.31</v>
      </c>
      <c r="D54" s="100">
        <v>12.26</v>
      </c>
      <c r="E54" s="100">
        <v>13.24</v>
      </c>
      <c r="F54" s="100">
        <v>0</v>
      </c>
      <c r="G54" s="100">
        <v>60.08</v>
      </c>
      <c r="H54" s="100">
        <v>33.090000000000003</v>
      </c>
      <c r="I54" s="100">
        <v>11.61</v>
      </c>
      <c r="J54" s="100">
        <v>0.97</v>
      </c>
      <c r="K54" s="100">
        <v>283.47000000000003</v>
      </c>
      <c r="L54" s="100">
        <v>36.770000000000003</v>
      </c>
      <c r="M54" s="100">
        <v>19.02</v>
      </c>
      <c r="N54" s="100">
        <v>300</v>
      </c>
      <c r="O54" s="100">
        <v>0</v>
      </c>
      <c r="P54" s="100">
        <v>0.98</v>
      </c>
      <c r="Q54" s="100">
        <v>27.99</v>
      </c>
      <c r="R54" s="6"/>
      <c r="S54" s="6"/>
      <c r="T54" s="156"/>
      <c r="U54" s="6"/>
    </row>
    <row r="55" spans="1:21" customFormat="1">
      <c r="A55" s="163" t="s">
        <v>1533</v>
      </c>
      <c r="B55" s="100">
        <v>3.64</v>
      </c>
      <c r="C55" s="100">
        <v>15.22</v>
      </c>
      <c r="D55" s="100">
        <v>12.22</v>
      </c>
      <c r="E55" s="100">
        <v>15.77</v>
      </c>
      <c r="F55" s="100">
        <v>0</v>
      </c>
      <c r="G55" s="100">
        <v>60.08</v>
      </c>
      <c r="H55" s="100">
        <v>33.090000000000003</v>
      </c>
      <c r="I55" s="100">
        <v>11.36</v>
      </c>
      <c r="J55" s="100">
        <v>0.91</v>
      </c>
      <c r="K55" s="100">
        <v>269.06</v>
      </c>
      <c r="L55" s="100">
        <v>37.200000000000003</v>
      </c>
      <c r="M55" s="100">
        <v>19.510000000000002</v>
      </c>
      <c r="N55" s="100">
        <v>284.60000000000002</v>
      </c>
      <c r="O55" s="100">
        <v>0</v>
      </c>
      <c r="P55" s="100">
        <v>0.98</v>
      </c>
      <c r="Q55" s="100">
        <v>28</v>
      </c>
      <c r="R55" s="6"/>
      <c r="S55" s="6"/>
      <c r="T55" s="156"/>
      <c r="U55" s="6"/>
    </row>
    <row r="56" spans="1:21" customFormat="1">
      <c r="A56" s="163" t="s">
        <v>1534</v>
      </c>
      <c r="B56" s="100">
        <v>3.65</v>
      </c>
      <c r="C56" s="100">
        <v>15.57</v>
      </c>
      <c r="D56" s="100">
        <v>12.41</v>
      </c>
      <c r="E56" s="100">
        <v>16.309999999999999</v>
      </c>
      <c r="F56" s="100">
        <v>0</v>
      </c>
      <c r="G56" s="100">
        <v>60.08</v>
      </c>
      <c r="H56" s="100">
        <v>33.090000000000003</v>
      </c>
      <c r="I56" s="100">
        <v>11.45</v>
      </c>
      <c r="J56" s="100">
        <v>1.05</v>
      </c>
      <c r="K56" s="100">
        <v>299.25</v>
      </c>
      <c r="L56" s="100">
        <v>37.4</v>
      </c>
      <c r="M56" s="100">
        <v>18.73</v>
      </c>
      <c r="N56" s="100">
        <v>307.7</v>
      </c>
      <c r="O56" s="100">
        <v>0</v>
      </c>
      <c r="P56" s="100">
        <v>0.98</v>
      </c>
      <c r="Q56" s="100">
        <v>27.99</v>
      </c>
      <c r="R56" s="6"/>
      <c r="S56" s="6"/>
      <c r="T56" s="156"/>
      <c r="U56" s="6"/>
    </row>
    <row r="57" spans="1:21" customFormat="1">
      <c r="A57" s="163" t="s">
        <v>1535</v>
      </c>
      <c r="B57" s="100">
        <v>3.72</v>
      </c>
      <c r="C57" s="100">
        <v>15.27</v>
      </c>
      <c r="D57" s="100">
        <v>12.32</v>
      </c>
      <c r="E57" s="100">
        <v>14.16</v>
      </c>
      <c r="F57" s="100">
        <v>0</v>
      </c>
      <c r="G57" s="100">
        <v>61.25</v>
      </c>
      <c r="H57" s="100">
        <v>29.79</v>
      </c>
      <c r="I57" s="100">
        <v>11.66</v>
      </c>
      <c r="J57" s="100">
        <v>1.3</v>
      </c>
      <c r="K57" s="100">
        <v>300.23</v>
      </c>
      <c r="L57" s="100">
        <v>37.36</v>
      </c>
      <c r="M57" s="100">
        <v>16.95</v>
      </c>
      <c r="N57" s="100">
        <v>328.4</v>
      </c>
      <c r="O57" s="100">
        <v>0</v>
      </c>
      <c r="P57" s="100">
        <v>0.93</v>
      </c>
      <c r="Q57" s="100">
        <v>5.6</v>
      </c>
      <c r="R57" s="6"/>
      <c r="S57" s="6"/>
      <c r="T57" s="156"/>
      <c r="U57" s="6"/>
    </row>
    <row r="58" spans="1:21" customFormat="1">
      <c r="A58" s="163" t="s">
        <v>1536</v>
      </c>
      <c r="B58" s="100">
        <v>3.79</v>
      </c>
      <c r="C58" s="100">
        <v>15.42</v>
      </c>
      <c r="D58" s="100">
        <v>12.45</v>
      </c>
      <c r="E58" s="100">
        <v>13.81</v>
      </c>
      <c r="F58" s="100">
        <v>0</v>
      </c>
      <c r="G58" s="100">
        <v>61.31</v>
      </c>
      <c r="H58" s="100">
        <v>29.79</v>
      </c>
      <c r="I58" s="100">
        <v>11.61</v>
      </c>
      <c r="J58" s="100">
        <v>1.19</v>
      </c>
      <c r="K58" s="100">
        <v>294.85000000000002</v>
      </c>
      <c r="L58" s="100">
        <v>37.93</v>
      </c>
      <c r="M58" s="100">
        <v>17.260000000000002</v>
      </c>
      <c r="N58" s="100">
        <v>325</v>
      </c>
      <c r="O58" s="100">
        <v>0</v>
      </c>
      <c r="P58" s="100">
        <v>0.92</v>
      </c>
      <c r="Q58" s="100">
        <v>0</v>
      </c>
      <c r="R58" s="6"/>
      <c r="S58" s="6"/>
      <c r="T58" s="156"/>
      <c r="U58" s="6"/>
    </row>
    <row r="59" spans="1:21" customFormat="1">
      <c r="A59" s="163" t="s">
        <v>1537</v>
      </c>
      <c r="B59" s="100">
        <v>3.79</v>
      </c>
      <c r="C59" s="100">
        <v>15.42</v>
      </c>
      <c r="D59" s="100">
        <v>12.45</v>
      </c>
      <c r="E59" s="100">
        <v>13.81</v>
      </c>
      <c r="F59" s="100">
        <v>0</v>
      </c>
      <c r="G59" s="100">
        <v>61.31</v>
      </c>
      <c r="H59" s="100">
        <v>29.79</v>
      </c>
      <c r="I59" s="100">
        <v>11.61</v>
      </c>
      <c r="J59" s="100">
        <v>1.19</v>
      </c>
      <c r="K59" s="100">
        <v>294.85000000000002</v>
      </c>
      <c r="L59" s="100">
        <v>37.93</v>
      </c>
      <c r="M59" s="100">
        <v>17.260000000000002</v>
      </c>
      <c r="N59" s="100">
        <v>325</v>
      </c>
      <c r="O59" s="100">
        <v>0</v>
      </c>
      <c r="P59" s="100">
        <v>0.92</v>
      </c>
      <c r="Q59" s="100">
        <v>0</v>
      </c>
      <c r="R59" s="6"/>
      <c r="S59" s="6"/>
      <c r="T59" s="156"/>
      <c r="U59" s="6"/>
    </row>
    <row r="60" spans="1:21" customFormat="1">
      <c r="A60" s="163" t="s">
        <v>1538</v>
      </c>
      <c r="B60" s="100">
        <v>3.79</v>
      </c>
      <c r="C60" s="100">
        <v>15.42</v>
      </c>
      <c r="D60" s="100">
        <v>12.45</v>
      </c>
      <c r="E60" s="100">
        <v>13.81</v>
      </c>
      <c r="F60" s="100">
        <v>0</v>
      </c>
      <c r="G60" s="100">
        <v>61.31</v>
      </c>
      <c r="H60" s="100">
        <v>29.79</v>
      </c>
      <c r="I60" s="100">
        <v>11.61</v>
      </c>
      <c r="J60" s="100">
        <v>1.19</v>
      </c>
      <c r="K60" s="100">
        <v>294.85000000000002</v>
      </c>
      <c r="L60" s="100">
        <v>37.93</v>
      </c>
      <c r="M60" s="100">
        <v>17.260000000000002</v>
      </c>
      <c r="N60" s="100">
        <v>325</v>
      </c>
      <c r="O60" s="100">
        <v>0</v>
      </c>
      <c r="P60" s="100">
        <v>0.92</v>
      </c>
      <c r="Q60" s="100">
        <v>0</v>
      </c>
      <c r="R60" s="6"/>
      <c r="S60" s="6"/>
      <c r="T60" s="156"/>
      <c r="U60" s="6"/>
    </row>
    <row r="61" spans="1:21" customFormat="1">
      <c r="A61" s="163" t="s">
        <v>1539</v>
      </c>
      <c r="B61" s="100">
        <v>3.79</v>
      </c>
      <c r="C61" s="100">
        <v>15.42</v>
      </c>
      <c r="D61" s="100">
        <v>12.45</v>
      </c>
      <c r="E61" s="100">
        <v>13.81</v>
      </c>
      <c r="F61" s="100">
        <v>0</v>
      </c>
      <c r="G61" s="100">
        <v>61.31</v>
      </c>
      <c r="H61" s="100">
        <v>29.79</v>
      </c>
      <c r="I61" s="100">
        <v>11.61</v>
      </c>
      <c r="J61" s="100">
        <v>1.19</v>
      </c>
      <c r="K61" s="100">
        <v>294.85000000000002</v>
      </c>
      <c r="L61" s="100">
        <v>37.93</v>
      </c>
      <c r="M61" s="100">
        <v>17.260000000000002</v>
      </c>
      <c r="N61" s="100">
        <v>325</v>
      </c>
      <c r="O61" s="100">
        <v>0</v>
      </c>
      <c r="P61" s="100">
        <v>0.92</v>
      </c>
      <c r="Q61" s="100">
        <v>0</v>
      </c>
      <c r="R61" s="6"/>
      <c r="S61" s="6"/>
      <c r="T61" s="156"/>
      <c r="U61" s="6"/>
    </row>
    <row r="62" spans="1:21" customFormat="1">
      <c r="A62" s="163" t="s">
        <v>1540</v>
      </c>
      <c r="B62" s="100">
        <v>3.79</v>
      </c>
      <c r="C62" s="100">
        <v>15.42</v>
      </c>
      <c r="D62" s="100">
        <v>12.45</v>
      </c>
      <c r="E62" s="100">
        <v>13.81</v>
      </c>
      <c r="F62" s="100">
        <v>0</v>
      </c>
      <c r="G62" s="100">
        <v>61.31</v>
      </c>
      <c r="H62" s="100">
        <v>29.79</v>
      </c>
      <c r="I62" s="100">
        <v>11.61</v>
      </c>
      <c r="J62" s="100">
        <v>1.19</v>
      </c>
      <c r="K62" s="100">
        <v>294.85000000000002</v>
      </c>
      <c r="L62" s="100">
        <v>37.93</v>
      </c>
      <c r="M62" s="100">
        <v>17.260000000000002</v>
      </c>
      <c r="N62" s="100">
        <v>325</v>
      </c>
      <c r="O62" s="100">
        <v>0</v>
      </c>
      <c r="P62" s="100">
        <v>0.92</v>
      </c>
      <c r="Q62" s="100">
        <v>0</v>
      </c>
      <c r="R62" s="6"/>
      <c r="S62" s="6"/>
      <c r="T62" s="156"/>
      <c r="U62" s="6"/>
    </row>
    <row r="63" spans="1:21" customFormat="1">
      <c r="A63" s="163" t="s">
        <v>1541</v>
      </c>
      <c r="B63" s="100">
        <v>3.79</v>
      </c>
      <c r="C63" s="100">
        <v>15.42</v>
      </c>
      <c r="D63" s="100">
        <v>12.45</v>
      </c>
      <c r="E63" s="100">
        <v>13.81</v>
      </c>
      <c r="F63" s="100">
        <v>0</v>
      </c>
      <c r="G63" s="100">
        <v>61.31</v>
      </c>
      <c r="H63" s="100">
        <v>29.79</v>
      </c>
      <c r="I63" s="100">
        <v>11.61</v>
      </c>
      <c r="J63" s="100">
        <v>1.19</v>
      </c>
      <c r="K63" s="100">
        <v>294.85000000000002</v>
      </c>
      <c r="L63" s="100">
        <v>37.93</v>
      </c>
      <c r="M63" s="100">
        <v>17.260000000000002</v>
      </c>
      <c r="N63" s="100">
        <v>325</v>
      </c>
      <c r="O63" s="100">
        <v>0</v>
      </c>
      <c r="P63" s="100">
        <v>0.92</v>
      </c>
      <c r="Q63" s="100">
        <v>0</v>
      </c>
      <c r="R63" s="6"/>
      <c r="S63" s="6"/>
      <c r="T63" s="156"/>
      <c r="U63" s="6"/>
    </row>
    <row r="64" spans="1:21" customFormat="1">
      <c r="A64" s="163" t="s">
        <v>1542</v>
      </c>
      <c r="B64" s="100">
        <v>3.79</v>
      </c>
      <c r="C64" s="100">
        <v>15.42</v>
      </c>
      <c r="D64" s="100">
        <v>12.45</v>
      </c>
      <c r="E64" s="100">
        <v>13.81</v>
      </c>
      <c r="F64" s="100">
        <v>0</v>
      </c>
      <c r="G64" s="100">
        <v>61.31</v>
      </c>
      <c r="H64" s="100">
        <v>29.79</v>
      </c>
      <c r="I64" s="100">
        <v>11.61</v>
      </c>
      <c r="J64" s="100">
        <v>1.19</v>
      </c>
      <c r="K64" s="100">
        <v>294.85000000000002</v>
      </c>
      <c r="L64" s="100">
        <v>37.93</v>
      </c>
      <c r="M64" s="100">
        <v>17.260000000000002</v>
      </c>
      <c r="N64" s="100">
        <v>325</v>
      </c>
      <c r="O64" s="100">
        <v>0</v>
      </c>
      <c r="P64" s="100">
        <v>0.92</v>
      </c>
      <c r="Q64" s="100">
        <v>0</v>
      </c>
      <c r="R64" s="6"/>
      <c r="S64" s="6"/>
      <c r="T64" s="156"/>
      <c r="U64" s="6"/>
    </row>
    <row r="65" spans="1:21" customFormat="1">
      <c r="A65" s="163" t="s">
        <v>1543</v>
      </c>
      <c r="B65" s="100">
        <v>3.77</v>
      </c>
      <c r="C65" s="100">
        <v>14.59</v>
      </c>
      <c r="D65" s="100">
        <v>12</v>
      </c>
      <c r="E65" s="100">
        <v>12.53</v>
      </c>
      <c r="F65" s="100">
        <v>0</v>
      </c>
      <c r="G65" s="100">
        <v>57.48</v>
      </c>
      <c r="H65" s="100">
        <v>29.17</v>
      </c>
      <c r="I65" s="100">
        <v>10.09</v>
      </c>
      <c r="J65" s="100">
        <v>1.01</v>
      </c>
      <c r="K65" s="100">
        <v>301.18</v>
      </c>
      <c r="L65" s="100">
        <v>38.770000000000003</v>
      </c>
      <c r="M65" s="100">
        <v>13.91</v>
      </c>
      <c r="N65" s="100">
        <v>322.3</v>
      </c>
      <c r="O65" s="100">
        <v>0</v>
      </c>
      <c r="P65" s="100">
        <v>0.8</v>
      </c>
      <c r="Q65" s="100">
        <v>28</v>
      </c>
      <c r="R65" s="6"/>
      <c r="S65" s="6"/>
      <c r="T65" s="156"/>
      <c r="U65" s="6"/>
    </row>
    <row r="66" spans="1:21" customFormat="1">
      <c r="A66" s="163" t="s">
        <v>1544</v>
      </c>
      <c r="B66" s="100">
        <v>3.77</v>
      </c>
      <c r="C66" s="100">
        <v>14.59</v>
      </c>
      <c r="D66" s="100">
        <v>12</v>
      </c>
      <c r="E66" s="100">
        <v>12.53</v>
      </c>
      <c r="F66" s="100">
        <v>0</v>
      </c>
      <c r="G66" s="100">
        <v>57.48</v>
      </c>
      <c r="H66" s="100">
        <v>29.17</v>
      </c>
      <c r="I66" s="100">
        <v>10.09</v>
      </c>
      <c r="J66" s="100">
        <v>1.01</v>
      </c>
      <c r="K66" s="100">
        <v>301.18</v>
      </c>
      <c r="L66" s="100">
        <v>38.770000000000003</v>
      </c>
      <c r="M66" s="100">
        <v>13.91</v>
      </c>
      <c r="N66" s="100">
        <v>322.3</v>
      </c>
      <c r="O66" s="100">
        <v>0</v>
      </c>
      <c r="P66" s="100">
        <v>0.8</v>
      </c>
      <c r="Q66" s="100">
        <v>28</v>
      </c>
      <c r="R66" s="6"/>
      <c r="S66" s="6"/>
      <c r="T66" s="156"/>
      <c r="U66" s="6"/>
    </row>
    <row r="67" spans="1:21" customFormat="1">
      <c r="A67" s="163" t="s">
        <v>1545</v>
      </c>
      <c r="B67" s="100">
        <v>3.77</v>
      </c>
      <c r="C67" s="100">
        <v>14.59</v>
      </c>
      <c r="D67" s="100">
        <v>12</v>
      </c>
      <c r="E67" s="100">
        <v>12.53</v>
      </c>
      <c r="F67" s="100">
        <v>0</v>
      </c>
      <c r="G67" s="100">
        <v>57.48</v>
      </c>
      <c r="H67" s="100">
        <v>29.17</v>
      </c>
      <c r="I67" s="100">
        <v>10.09</v>
      </c>
      <c r="J67" s="100">
        <v>1.01</v>
      </c>
      <c r="K67" s="100">
        <v>301.18</v>
      </c>
      <c r="L67" s="100">
        <v>38.770000000000003</v>
      </c>
      <c r="M67" s="100">
        <v>13.91</v>
      </c>
      <c r="N67" s="100">
        <v>322.3</v>
      </c>
      <c r="O67" s="100">
        <v>0</v>
      </c>
      <c r="P67" s="100">
        <v>0.8</v>
      </c>
      <c r="Q67" s="100">
        <v>28</v>
      </c>
      <c r="R67" s="6"/>
      <c r="S67" s="6"/>
      <c r="T67" s="156"/>
      <c r="U67" s="6"/>
    </row>
    <row r="68" spans="1:21" customFormat="1">
      <c r="A68" s="163" t="s">
        <v>1546</v>
      </c>
      <c r="B68" s="100">
        <v>3.55</v>
      </c>
      <c r="C68" s="100">
        <v>13.47</v>
      </c>
      <c r="D68" s="100">
        <v>11.24</v>
      </c>
      <c r="E68" s="100">
        <v>15.45</v>
      </c>
      <c r="F68" s="100">
        <v>0</v>
      </c>
      <c r="G68" s="100">
        <v>47.81</v>
      </c>
      <c r="H68" s="100">
        <v>21.3</v>
      </c>
      <c r="I68" s="100">
        <v>8.2799999999999994</v>
      </c>
      <c r="J68" s="100">
        <v>0.73</v>
      </c>
      <c r="K68" s="100">
        <v>272.76</v>
      </c>
      <c r="L68" s="100">
        <v>39.44</v>
      </c>
      <c r="M68" s="100">
        <v>12.9</v>
      </c>
      <c r="N68" s="100">
        <v>217.7</v>
      </c>
      <c r="O68" s="100">
        <v>0</v>
      </c>
      <c r="P68" s="100">
        <v>0.73</v>
      </c>
      <c r="Q68" s="100">
        <v>28.01</v>
      </c>
      <c r="R68" s="6"/>
      <c r="S68" s="6"/>
      <c r="T68" s="156"/>
      <c r="U68" s="6"/>
    </row>
    <row r="69" spans="1:21" customFormat="1">
      <c r="A69" s="163" t="s">
        <v>1547</v>
      </c>
      <c r="B69" s="100">
        <v>3.55</v>
      </c>
      <c r="C69" s="100">
        <v>13.47</v>
      </c>
      <c r="D69" s="100">
        <v>11.24</v>
      </c>
      <c r="E69" s="100">
        <v>15.45</v>
      </c>
      <c r="F69" s="100">
        <v>0</v>
      </c>
      <c r="G69" s="100">
        <v>47.81</v>
      </c>
      <c r="H69" s="100">
        <v>21.3</v>
      </c>
      <c r="I69" s="100">
        <v>8.2799999999999994</v>
      </c>
      <c r="J69" s="100">
        <v>0.73</v>
      </c>
      <c r="K69" s="100">
        <v>272.76</v>
      </c>
      <c r="L69" s="100">
        <v>39.44</v>
      </c>
      <c r="M69" s="100">
        <v>12.9</v>
      </c>
      <c r="N69" s="100">
        <v>217.7</v>
      </c>
      <c r="O69" s="100">
        <v>0</v>
      </c>
      <c r="P69" s="100">
        <v>0.73</v>
      </c>
      <c r="Q69" s="100">
        <v>28.01</v>
      </c>
      <c r="R69" s="6"/>
      <c r="S69" s="6"/>
      <c r="T69" s="156"/>
      <c r="U69" s="6"/>
    </row>
    <row r="70" spans="1:21" customFormat="1">
      <c r="A70" s="163" t="s">
        <v>1548</v>
      </c>
      <c r="B70" s="100">
        <v>3.51</v>
      </c>
      <c r="C70" s="100">
        <v>13.09</v>
      </c>
      <c r="D70" s="100">
        <v>11.01</v>
      </c>
      <c r="E70" s="100">
        <v>19.39</v>
      </c>
      <c r="F70" s="100">
        <v>0</v>
      </c>
      <c r="G70" s="100">
        <v>45.5</v>
      </c>
      <c r="H70" s="100">
        <v>22.97</v>
      </c>
      <c r="I70" s="100">
        <v>7.88</v>
      </c>
      <c r="J70" s="100">
        <v>0.9</v>
      </c>
      <c r="K70" s="100">
        <v>262.08</v>
      </c>
      <c r="L70" s="100">
        <v>38.85</v>
      </c>
      <c r="M70" s="100">
        <v>13.75</v>
      </c>
      <c r="N70" s="100">
        <v>140.80000000000001</v>
      </c>
      <c r="O70" s="100">
        <v>0</v>
      </c>
      <c r="P70" s="100">
        <v>0.71</v>
      </c>
      <c r="Q70" s="100">
        <v>28.01</v>
      </c>
      <c r="R70" s="6"/>
      <c r="S70" s="6"/>
      <c r="T70" s="156"/>
      <c r="U70" s="6"/>
    </row>
    <row r="71" spans="1:21" customFormat="1">
      <c r="A71" s="163" t="s">
        <v>1549</v>
      </c>
      <c r="B71" s="100">
        <v>3.48</v>
      </c>
      <c r="C71" s="100">
        <v>13</v>
      </c>
      <c r="D71" s="100">
        <v>10.94</v>
      </c>
      <c r="E71" s="100">
        <v>19.29</v>
      </c>
      <c r="F71" s="100">
        <v>0</v>
      </c>
      <c r="G71" s="100">
        <v>45.32</v>
      </c>
      <c r="H71" s="100">
        <v>22.97</v>
      </c>
      <c r="I71" s="100">
        <v>7.84</v>
      </c>
      <c r="J71" s="100">
        <v>0.76</v>
      </c>
      <c r="K71" s="100">
        <v>248.02</v>
      </c>
      <c r="L71" s="100">
        <v>38.81</v>
      </c>
      <c r="M71" s="100">
        <v>14.52</v>
      </c>
      <c r="N71" s="100">
        <v>97.6</v>
      </c>
      <c r="O71" s="100">
        <v>0</v>
      </c>
      <c r="P71" s="100">
        <v>0.73</v>
      </c>
      <c r="Q71" s="100">
        <v>28</v>
      </c>
      <c r="R71" s="6"/>
      <c r="S71" s="6"/>
      <c r="T71" s="156"/>
      <c r="U71" s="6"/>
    </row>
    <row r="72" spans="1:21" customFormat="1">
      <c r="A72" s="163" t="s">
        <v>1550</v>
      </c>
      <c r="B72" s="100">
        <v>3.45</v>
      </c>
      <c r="C72" s="100">
        <v>12.54</v>
      </c>
      <c r="D72" s="100">
        <v>10.67</v>
      </c>
      <c r="E72" s="100">
        <v>19.37</v>
      </c>
      <c r="F72" s="100">
        <v>0</v>
      </c>
      <c r="G72" s="100">
        <v>45.32</v>
      </c>
      <c r="H72" s="100">
        <v>22.97</v>
      </c>
      <c r="I72" s="100">
        <v>7.93</v>
      </c>
      <c r="J72" s="100">
        <v>0.6</v>
      </c>
      <c r="K72" s="100">
        <v>261.67</v>
      </c>
      <c r="L72" s="100">
        <v>38.58</v>
      </c>
      <c r="M72" s="100">
        <v>13.75</v>
      </c>
      <c r="N72" s="100">
        <v>176.4</v>
      </c>
      <c r="O72" s="100">
        <v>0</v>
      </c>
      <c r="P72" s="100">
        <v>0.71</v>
      </c>
      <c r="Q72" s="100">
        <v>28</v>
      </c>
      <c r="R72" s="6"/>
      <c r="S72" s="6"/>
      <c r="T72" s="156"/>
      <c r="U72" s="6"/>
    </row>
    <row r="73" spans="1:21" customFormat="1">
      <c r="A73" s="163" t="s">
        <v>1551</v>
      </c>
      <c r="B73" s="100">
        <v>3.43</v>
      </c>
      <c r="C73" s="100">
        <v>11.71</v>
      </c>
      <c r="D73" s="100">
        <v>10.220000000000001</v>
      </c>
      <c r="E73" s="100">
        <v>19.010000000000002</v>
      </c>
      <c r="F73" s="100">
        <v>0</v>
      </c>
      <c r="G73" s="100">
        <v>46.75</v>
      </c>
      <c r="H73" s="100">
        <v>21.3</v>
      </c>
      <c r="I73" s="100">
        <v>7.82</v>
      </c>
      <c r="J73" s="100">
        <v>0.55000000000000004</v>
      </c>
      <c r="K73" s="100">
        <v>246.27</v>
      </c>
      <c r="L73" s="100">
        <v>38.6</v>
      </c>
      <c r="M73" s="100">
        <v>13.99</v>
      </c>
      <c r="N73" s="100">
        <v>68.5</v>
      </c>
      <c r="O73" s="100">
        <v>0</v>
      </c>
      <c r="P73" s="100">
        <v>0.66</v>
      </c>
      <c r="Q73" s="100">
        <v>28</v>
      </c>
      <c r="R73" s="6"/>
      <c r="S73" s="6"/>
      <c r="T73" s="156"/>
      <c r="U73" s="6"/>
    </row>
    <row r="74" spans="1:21" customFormat="1">
      <c r="A74" s="163" t="s">
        <v>1552</v>
      </c>
      <c r="B74" s="100">
        <v>3.44</v>
      </c>
      <c r="C74" s="100">
        <v>11.49</v>
      </c>
      <c r="D74" s="100">
        <v>10.11</v>
      </c>
      <c r="E74" s="100">
        <v>17.13</v>
      </c>
      <c r="F74" s="100">
        <v>0</v>
      </c>
      <c r="G74" s="100">
        <v>46.89</v>
      </c>
      <c r="H74" s="100">
        <v>21.3</v>
      </c>
      <c r="I74" s="100">
        <v>7.48</v>
      </c>
      <c r="J74" s="100">
        <v>0.62</v>
      </c>
      <c r="K74" s="100">
        <v>250.86</v>
      </c>
      <c r="L74" s="100">
        <v>38.11</v>
      </c>
      <c r="M74" s="100">
        <v>14.22</v>
      </c>
      <c r="N74" s="100">
        <v>53.8</v>
      </c>
      <c r="O74" s="100">
        <v>0</v>
      </c>
      <c r="P74" s="100">
        <v>0.66</v>
      </c>
      <c r="Q74" s="100">
        <v>28</v>
      </c>
      <c r="R74" s="6"/>
      <c r="S74" s="6"/>
      <c r="T74" s="156"/>
      <c r="U74" s="6"/>
    </row>
    <row r="75" spans="1:21" customFormat="1">
      <c r="A75" s="163" t="s">
        <v>1553</v>
      </c>
      <c r="B75" s="100">
        <v>3.47</v>
      </c>
      <c r="C75" s="100">
        <v>11.36</v>
      </c>
      <c r="D75" s="100">
        <v>10.07</v>
      </c>
      <c r="E75" s="100">
        <v>17.18</v>
      </c>
      <c r="F75" s="100">
        <v>0</v>
      </c>
      <c r="G75" s="100">
        <v>46.89</v>
      </c>
      <c r="H75" s="100">
        <v>21.3</v>
      </c>
      <c r="I75" s="100">
        <v>7.04</v>
      </c>
      <c r="J75" s="100">
        <v>0.56000000000000005</v>
      </c>
      <c r="K75" s="100">
        <v>258.27</v>
      </c>
      <c r="L75" s="100">
        <v>37.78</v>
      </c>
      <c r="M75" s="100">
        <v>14.2</v>
      </c>
      <c r="N75" s="100">
        <v>60</v>
      </c>
      <c r="O75" s="100">
        <v>0</v>
      </c>
      <c r="P75" s="100">
        <v>0.65</v>
      </c>
      <c r="Q75" s="100">
        <v>27.99</v>
      </c>
      <c r="R75" s="6"/>
      <c r="S75" s="6"/>
      <c r="T75" s="156"/>
      <c r="U75" s="6"/>
    </row>
    <row r="76" spans="1:21" customFormat="1">
      <c r="A76" s="163" t="s">
        <v>1554</v>
      </c>
      <c r="B76" s="100">
        <v>3.49</v>
      </c>
      <c r="C76" s="100">
        <v>11.19</v>
      </c>
      <c r="D76" s="100">
        <v>10</v>
      </c>
      <c r="E76" s="100">
        <v>17.48</v>
      </c>
      <c r="F76" s="100">
        <v>0</v>
      </c>
      <c r="G76" s="100">
        <v>46.89</v>
      </c>
      <c r="H76" s="100">
        <v>21.3</v>
      </c>
      <c r="I76" s="100">
        <v>7.03</v>
      </c>
      <c r="J76" s="100">
        <v>0.52</v>
      </c>
      <c r="K76" s="100">
        <v>245.71</v>
      </c>
      <c r="L76" s="100">
        <v>37.28</v>
      </c>
      <c r="M76" s="100">
        <v>15.63</v>
      </c>
      <c r="N76" s="100">
        <v>57.3</v>
      </c>
      <c r="O76" s="100">
        <v>0</v>
      </c>
      <c r="P76" s="100">
        <v>0.66</v>
      </c>
      <c r="Q76" s="100">
        <v>27.99</v>
      </c>
      <c r="R76" s="6"/>
      <c r="S76" s="6"/>
      <c r="T76" s="156"/>
      <c r="U76" s="6"/>
    </row>
    <row r="77" spans="1:21" customFormat="1">
      <c r="A77" s="163" t="s">
        <v>1555</v>
      </c>
      <c r="B77" s="100">
        <v>3.5</v>
      </c>
      <c r="C77" s="100">
        <v>11.19</v>
      </c>
      <c r="D77" s="100">
        <v>10</v>
      </c>
      <c r="E77" s="100">
        <v>17.940000000000001</v>
      </c>
      <c r="F77" s="100">
        <v>0</v>
      </c>
      <c r="G77" s="100">
        <v>40.799999999999997</v>
      </c>
      <c r="H77" s="100">
        <v>18.149999999999999</v>
      </c>
      <c r="I77" s="100">
        <v>7.02</v>
      </c>
      <c r="J77" s="100">
        <v>0.48</v>
      </c>
      <c r="K77" s="100">
        <v>245.73</v>
      </c>
      <c r="L77" s="100">
        <v>36.76</v>
      </c>
      <c r="M77" s="100">
        <v>15.23</v>
      </c>
      <c r="N77" s="100">
        <v>32.6</v>
      </c>
      <c r="O77" s="100">
        <v>0</v>
      </c>
      <c r="P77" s="100">
        <v>0.68</v>
      </c>
      <c r="Q77" s="100">
        <v>27.99</v>
      </c>
      <c r="R77" s="6"/>
      <c r="S77" s="6"/>
      <c r="T77" s="156"/>
      <c r="U77" s="6"/>
    </row>
    <row r="78" spans="1:21" customFormat="1">
      <c r="A78" s="163" t="s">
        <v>1556</v>
      </c>
      <c r="B78" s="100">
        <v>3.5</v>
      </c>
      <c r="C78" s="100">
        <v>11.3</v>
      </c>
      <c r="D78" s="100">
        <v>10.06</v>
      </c>
      <c r="E78" s="100">
        <v>16.93</v>
      </c>
      <c r="F78" s="100">
        <v>0</v>
      </c>
      <c r="G78" s="100">
        <v>40.21</v>
      </c>
      <c r="H78" s="100">
        <v>18.149999999999999</v>
      </c>
      <c r="I78" s="100">
        <v>7.02</v>
      </c>
      <c r="J78" s="100">
        <v>0.6</v>
      </c>
      <c r="K78" s="100">
        <v>253.6</v>
      </c>
      <c r="L78" s="100">
        <v>36.369999999999997</v>
      </c>
      <c r="M78" s="100">
        <v>14.57</v>
      </c>
      <c r="N78" s="100">
        <v>23.7</v>
      </c>
      <c r="O78" s="100">
        <v>0</v>
      </c>
      <c r="P78" s="100">
        <v>0.66</v>
      </c>
      <c r="Q78" s="100">
        <v>27.98</v>
      </c>
      <c r="R78" s="6"/>
      <c r="S78" s="6"/>
      <c r="T78" s="156"/>
      <c r="U78" s="6"/>
    </row>
    <row r="79" spans="1:21" customFormat="1">
      <c r="A79" s="163" t="s">
        <v>1557</v>
      </c>
      <c r="B79" s="100">
        <v>3.49</v>
      </c>
      <c r="C79" s="100">
        <v>11.36</v>
      </c>
      <c r="D79" s="100">
        <v>10.09</v>
      </c>
      <c r="E79" s="100">
        <v>14.5</v>
      </c>
      <c r="F79" s="100">
        <v>0</v>
      </c>
      <c r="G79" s="100">
        <v>40.21</v>
      </c>
      <c r="H79" s="100">
        <v>18.149999999999999</v>
      </c>
      <c r="I79" s="100">
        <v>7.2</v>
      </c>
      <c r="J79" s="100">
        <v>0.66</v>
      </c>
      <c r="K79" s="100">
        <v>247.02</v>
      </c>
      <c r="L79" s="100">
        <v>35.97</v>
      </c>
      <c r="M79" s="100">
        <v>14.6</v>
      </c>
      <c r="N79" s="100">
        <v>14.9</v>
      </c>
      <c r="O79" s="100">
        <v>0</v>
      </c>
      <c r="P79" s="100">
        <v>0.64</v>
      </c>
      <c r="Q79" s="100">
        <v>27.99</v>
      </c>
      <c r="R79" s="6"/>
      <c r="S79" s="6"/>
      <c r="T79" s="156"/>
      <c r="U79" s="6"/>
    </row>
    <row r="80" spans="1:21" customFormat="1">
      <c r="A80" s="163" t="s">
        <v>1558</v>
      </c>
      <c r="B80" s="100">
        <v>3.5</v>
      </c>
      <c r="C80" s="100">
        <v>12.02</v>
      </c>
      <c r="D80" s="100">
        <v>10.44</v>
      </c>
      <c r="E80" s="100">
        <v>15.27</v>
      </c>
      <c r="F80" s="100">
        <v>0</v>
      </c>
      <c r="G80" s="100">
        <v>40.21</v>
      </c>
      <c r="H80" s="100">
        <v>18.149999999999999</v>
      </c>
      <c r="I80" s="100">
        <v>7.07</v>
      </c>
      <c r="J80" s="100">
        <v>0.38</v>
      </c>
      <c r="K80" s="100">
        <v>227.84</v>
      </c>
      <c r="L80" s="100">
        <v>35.26</v>
      </c>
      <c r="M80" s="100">
        <v>16.079999999999998</v>
      </c>
      <c r="N80" s="100">
        <v>7.7</v>
      </c>
      <c r="O80" s="100">
        <v>0</v>
      </c>
      <c r="P80" s="100">
        <v>0.65</v>
      </c>
      <c r="Q80" s="100">
        <v>28</v>
      </c>
      <c r="R80" s="6"/>
      <c r="S80" s="6"/>
      <c r="T80" s="156"/>
      <c r="U80" s="6"/>
    </row>
    <row r="81" spans="1:21" customFormat="1">
      <c r="A81" s="163" t="s">
        <v>1559</v>
      </c>
      <c r="B81" s="100">
        <v>3.49</v>
      </c>
      <c r="C81" s="100">
        <v>12.25</v>
      </c>
      <c r="D81" s="100">
        <v>10.55</v>
      </c>
      <c r="E81" s="100">
        <v>9.3000000000000007</v>
      </c>
      <c r="F81" s="100">
        <v>0</v>
      </c>
      <c r="G81" s="100">
        <v>38.57</v>
      </c>
      <c r="H81" s="100">
        <v>19.579999999999998</v>
      </c>
      <c r="I81" s="100">
        <v>6.78</v>
      </c>
      <c r="J81" s="100">
        <v>0.41</v>
      </c>
      <c r="K81" s="100">
        <v>234.22</v>
      </c>
      <c r="L81" s="100">
        <v>34.32</v>
      </c>
      <c r="M81" s="100">
        <v>17.38</v>
      </c>
      <c r="N81" s="100">
        <v>2.6</v>
      </c>
      <c r="O81" s="100">
        <v>0</v>
      </c>
      <c r="P81" s="100">
        <v>0.65</v>
      </c>
      <c r="Q81" s="100">
        <v>27.99</v>
      </c>
      <c r="R81" s="6"/>
      <c r="S81" s="6"/>
      <c r="T81" s="156"/>
      <c r="U81" s="6"/>
    </row>
    <row r="82" spans="1:21" customFormat="1">
      <c r="A82" s="163" t="s">
        <v>1560</v>
      </c>
      <c r="B82" s="100">
        <v>3.5</v>
      </c>
      <c r="C82" s="100">
        <v>13.12</v>
      </c>
      <c r="D82" s="100">
        <v>11.01</v>
      </c>
      <c r="E82" s="100">
        <v>11.36</v>
      </c>
      <c r="F82" s="100">
        <v>0</v>
      </c>
      <c r="G82" s="100">
        <v>38.42</v>
      </c>
      <c r="H82" s="100">
        <v>19.579999999999998</v>
      </c>
      <c r="I82" s="100">
        <v>6.76</v>
      </c>
      <c r="J82" s="100">
        <v>0.25</v>
      </c>
      <c r="K82" s="100">
        <v>217.78</v>
      </c>
      <c r="L82" s="100">
        <v>33.64</v>
      </c>
      <c r="M82" s="100">
        <v>17.850000000000001</v>
      </c>
      <c r="N82" s="100">
        <v>1.1000000000000001</v>
      </c>
      <c r="O82" s="100">
        <v>0</v>
      </c>
      <c r="P82" s="100">
        <v>0.67</v>
      </c>
      <c r="Q82" s="100">
        <v>27.99</v>
      </c>
      <c r="R82" s="6"/>
      <c r="S82" s="6"/>
      <c r="T82" s="156"/>
      <c r="U82" s="6"/>
    </row>
    <row r="83" spans="1:21" customFormat="1">
      <c r="A83" s="163" t="s">
        <v>1561</v>
      </c>
      <c r="B83" s="100">
        <v>3.6</v>
      </c>
      <c r="C83" s="100">
        <v>15.22</v>
      </c>
      <c r="D83" s="100">
        <v>12.19</v>
      </c>
      <c r="E83" s="100">
        <v>10.31</v>
      </c>
      <c r="F83" s="100">
        <v>0</v>
      </c>
      <c r="G83" s="100">
        <v>38.42</v>
      </c>
      <c r="H83" s="100">
        <v>19.579999999999998</v>
      </c>
      <c r="I83" s="100">
        <v>6.54</v>
      </c>
      <c r="J83" s="100">
        <v>0.28999999999999998</v>
      </c>
      <c r="K83" s="100">
        <v>217.11</v>
      </c>
      <c r="L83" s="100">
        <v>33.24</v>
      </c>
      <c r="M83" s="100">
        <v>17.63</v>
      </c>
      <c r="N83" s="100">
        <v>0.7</v>
      </c>
      <c r="O83" s="100">
        <v>0</v>
      </c>
      <c r="P83" s="100">
        <v>0.66</v>
      </c>
      <c r="Q83" s="100">
        <v>28.01</v>
      </c>
      <c r="R83" s="6"/>
      <c r="S83" s="6"/>
      <c r="T83" s="156"/>
      <c r="U83" s="6"/>
    </row>
    <row r="84" spans="1:21" customFormat="1">
      <c r="A84" s="163" t="s">
        <v>1562</v>
      </c>
      <c r="B84" s="100">
        <v>3.7</v>
      </c>
      <c r="C84" s="100">
        <v>16.350000000000001</v>
      </c>
      <c r="D84" s="100">
        <v>12.86</v>
      </c>
      <c r="E84" s="100">
        <v>9.57</v>
      </c>
      <c r="F84" s="100">
        <v>0</v>
      </c>
      <c r="G84" s="100">
        <v>38.42</v>
      </c>
      <c r="H84" s="100">
        <v>19.579999999999998</v>
      </c>
      <c r="I84" s="100">
        <v>6.25</v>
      </c>
      <c r="J84" s="100">
        <v>0.26</v>
      </c>
      <c r="K84" s="100">
        <v>195.77</v>
      </c>
      <c r="L84" s="100">
        <v>32.51</v>
      </c>
      <c r="M84" s="100">
        <v>19.149999999999999</v>
      </c>
      <c r="N84" s="100">
        <v>1</v>
      </c>
      <c r="O84" s="100">
        <v>0</v>
      </c>
      <c r="P84" s="100">
        <v>0.68</v>
      </c>
      <c r="Q84" s="100">
        <v>28.01</v>
      </c>
      <c r="R84" s="6"/>
      <c r="S84" s="6"/>
      <c r="T84" s="156"/>
      <c r="U84" s="6"/>
    </row>
    <row r="85" spans="1:21" customFormat="1">
      <c r="A85" s="163" t="s">
        <v>1563</v>
      </c>
      <c r="B85" s="100">
        <v>3.82</v>
      </c>
      <c r="C85" s="100">
        <v>15.66</v>
      </c>
      <c r="D85" s="100">
        <v>12.6</v>
      </c>
      <c r="E85" s="100">
        <v>9.1199999999999992</v>
      </c>
      <c r="F85" s="100">
        <v>0</v>
      </c>
      <c r="G85" s="100">
        <v>39.61</v>
      </c>
      <c r="H85" s="100">
        <v>20.32</v>
      </c>
      <c r="I85" s="100">
        <v>6.24</v>
      </c>
      <c r="J85" s="100">
        <v>0.32</v>
      </c>
      <c r="K85" s="100">
        <v>176.22</v>
      </c>
      <c r="L85" s="100">
        <v>31.26</v>
      </c>
      <c r="M85" s="100">
        <v>24.68</v>
      </c>
      <c r="N85" s="100">
        <v>1.7</v>
      </c>
      <c r="O85" s="100">
        <v>0</v>
      </c>
      <c r="P85" s="100">
        <v>0.68</v>
      </c>
      <c r="Q85" s="100">
        <v>28.04</v>
      </c>
      <c r="R85" s="6"/>
      <c r="S85" s="6"/>
      <c r="T85" s="156"/>
      <c r="U85" s="6"/>
    </row>
    <row r="86" spans="1:21" customFormat="1">
      <c r="A86" s="163" t="s">
        <v>1564</v>
      </c>
      <c r="B86" s="100">
        <v>4.04</v>
      </c>
      <c r="C86" s="100">
        <v>14.17</v>
      </c>
      <c r="D86" s="100">
        <v>11.99</v>
      </c>
      <c r="E86" s="100">
        <v>8.52</v>
      </c>
      <c r="F86" s="100">
        <v>0</v>
      </c>
      <c r="G86" s="100">
        <v>39.729999999999997</v>
      </c>
      <c r="H86" s="100">
        <v>20.32</v>
      </c>
      <c r="I86" s="100">
        <v>6.3</v>
      </c>
      <c r="J86" s="100">
        <v>0.24</v>
      </c>
      <c r="K86" s="100">
        <v>188.71</v>
      </c>
      <c r="L86" s="100">
        <v>29.66</v>
      </c>
      <c r="M86" s="100">
        <v>28.43</v>
      </c>
      <c r="N86" s="100">
        <v>1.7</v>
      </c>
      <c r="O86" s="100">
        <v>0</v>
      </c>
      <c r="P86" s="100">
        <v>0.7</v>
      </c>
      <c r="Q86" s="100">
        <v>28.02</v>
      </c>
      <c r="R86" s="6"/>
      <c r="S86" s="6"/>
      <c r="T86" s="156"/>
      <c r="U86" s="6"/>
    </row>
    <row r="87" spans="1:21" customFormat="1">
      <c r="A87" s="163" t="s">
        <v>1565</v>
      </c>
      <c r="B87" s="100">
        <v>4.0999999999999996</v>
      </c>
      <c r="C87" s="100">
        <v>13.85</v>
      </c>
      <c r="D87" s="100">
        <v>11.88</v>
      </c>
      <c r="E87" s="100">
        <v>8.81</v>
      </c>
      <c r="F87" s="100">
        <v>0</v>
      </c>
      <c r="G87" s="100">
        <v>39.729999999999997</v>
      </c>
      <c r="H87" s="100">
        <v>20.32</v>
      </c>
      <c r="I87" s="100">
        <v>6.65</v>
      </c>
      <c r="J87" s="100">
        <v>0.23</v>
      </c>
      <c r="K87" s="100">
        <v>201.97</v>
      </c>
      <c r="L87" s="100">
        <v>29.11</v>
      </c>
      <c r="M87" s="100">
        <v>28.62</v>
      </c>
      <c r="N87" s="100">
        <v>1.1000000000000001</v>
      </c>
      <c r="O87" s="100">
        <v>0</v>
      </c>
      <c r="P87" s="100">
        <v>0.69</v>
      </c>
      <c r="Q87" s="100">
        <v>28.02</v>
      </c>
      <c r="R87" s="6"/>
      <c r="S87" s="6"/>
      <c r="T87" s="156"/>
      <c r="U87" s="6"/>
    </row>
    <row r="88" spans="1:21" customFormat="1">
      <c r="A88" s="163" t="s">
        <v>1566</v>
      </c>
      <c r="B88" s="100">
        <v>4.2</v>
      </c>
      <c r="C88" s="100">
        <v>13.51</v>
      </c>
      <c r="D88" s="100">
        <v>11.78</v>
      </c>
      <c r="E88" s="100">
        <v>8.56</v>
      </c>
      <c r="F88" s="100">
        <v>0</v>
      </c>
      <c r="G88" s="100">
        <v>39.729999999999997</v>
      </c>
      <c r="H88" s="100">
        <v>20.32</v>
      </c>
      <c r="I88" s="100">
        <v>7.02</v>
      </c>
      <c r="J88" s="100">
        <v>0.24</v>
      </c>
      <c r="K88" s="100">
        <v>202.55</v>
      </c>
      <c r="L88" s="100">
        <v>28.55</v>
      </c>
      <c r="M88" s="100">
        <v>30.68</v>
      </c>
      <c r="N88" s="100">
        <v>1</v>
      </c>
      <c r="O88" s="100">
        <v>0</v>
      </c>
      <c r="P88" s="100">
        <v>0.69</v>
      </c>
      <c r="Q88" s="100">
        <v>28.03</v>
      </c>
      <c r="R88" s="6"/>
      <c r="S88" s="6"/>
      <c r="T88" s="156"/>
      <c r="U88" s="6"/>
    </row>
    <row r="89" spans="1:21" customFormat="1">
      <c r="A89" s="163" t="s">
        <v>1567</v>
      </c>
      <c r="B89" s="100">
        <v>4.21</v>
      </c>
      <c r="C89" s="100">
        <v>13.13</v>
      </c>
      <c r="D89" s="100">
        <v>11.59</v>
      </c>
      <c r="E89" s="100">
        <v>8.98</v>
      </c>
      <c r="F89" s="100">
        <v>0</v>
      </c>
      <c r="G89" s="100">
        <v>41.49</v>
      </c>
      <c r="H89" s="100">
        <v>17.55</v>
      </c>
      <c r="I89" s="100">
        <v>7.13</v>
      </c>
      <c r="J89" s="100">
        <v>0.13</v>
      </c>
      <c r="K89" s="100">
        <v>210.6</v>
      </c>
      <c r="L89" s="100">
        <v>28.45</v>
      </c>
      <c r="M89" s="100">
        <v>30.95</v>
      </c>
      <c r="N89" s="100">
        <v>0.6</v>
      </c>
      <c r="O89" s="100">
        <v>0</v>
      </c>
      <c r="P89" s="100">
        <v>0.69</v>
      </c>
      <c r="Q89" s="100">
        <v>28.03</v>
      </c>
      <c r="R89" s="6"/>
      <c r="S89" s="6"/>
      <c r="T89" s="156"/>
      <c r="U89" s="6"/>
    </row>
    <row r="90" spans="1:21" customFormat="1">
      <c r="A90" s="163" t="s">
        <v>1568</v>
      </c>
      <c r="B90" s="100">
        <v>4.51</v>
      </c>
      <c r="C90" s="100">
        <v>13.97</v>
      </c>
      <c r="D90" s="100">
        <v>12.27</v>
      </c>
      <c r="E90" s="100">
        <v>9.18</v>
      </c>
      <c r="F90" s="100">
        <v>0</v>
      </c>
      <c r="G90" s="100">
        <v>41.64</v>
      </c>
      <c r="H90" s="100">
        <v>17.55</v>
      </c>
      <c r="I90" s="100">
        <v>7.05</v>
      </c>
      <c r="J90" s="100">
        <v>0.05</v>
      </c>
      <c r="K90" s="100">
        <v>156.47999999999999</v>
      </c>
      <c r="L90" s="100">
        <v>28.39</v>
      </c>
      <c r="M90" s="100">
        <v>31.93</v>
      </c>
      <c r="N90" s="100">
        <v>0.3</v>
      </c>
      <c r="O90" s="100">
        <v>0</v>
      </c>
      <c r="P90" s="100">
        <v>0.73</v>
      </c>
      <c r="Q90" s="100">
        <v>28.02</v>
      </c>
      <c r="R90" s="6"/>
      <c r="S90" s="6"/>
      <c r="T90" s="156"/>
      <c r="U90" s="6"/>
    </row>
    <row r="91" spans="1:21" customFormat="1">
      <c r="A91" s="163" t="s">
        <v>1569</v>
      </c>
      <c r="B91" s="100">
        <v>4.55</v>
      </c>
      <c r="C91" s="100">
        <v>14.75</v>
      </c>
      <c r="D91" s="100">
        <v>12.71</v>
      </c>
      <c r="E91" s="100">
        <v>9.5399999999999991</v>
      </c>
      <c r="F91" s="100">
        <v>0</v>
      </c>
      <c r="G91" s="100">
        <v>41.64</v>
      </c>
      <c r="H91" s="100">
        <v>17.55</v>
      </c>
      <c r="I91" s="100">
        <v>7.18</v>
      </c>
      <c r="J91" s="100">
        <v>0.3</v>
      </c>
      <c r="K91" s="100">
        <v>172.29</v>
      </c>
      <c r="L91" s="100">
        <v>28.22</v>
      </c>
      <c r="M91" s="100">
        <v>32.24</v>
      </c>
      <c r="N91" s="100">
        <v>0.8</v>
      </c>
      <c r="O91" s="100">
        <v>0</v>
      </c>
      <c r="P91" s="100">
        <v>0.72</v>
      </c>
      <c r="Q91" s="100">
        <v>28.02</v>
      </c>
      <c r="R91" s="6"/>
      <c r="S91" s="6"/>
      <c r="T91" s="156"/>
      <c r="U91" s="6"/>
    </row>
    <row r="92" spans="1:21" customFormat="1">
      <c r="A92" s="163" t="s">
        <v>1570</v>
      </c>
      <c r="B92" s="100">
        <v>4.71</v>
      </c>
      <c r="C92" s="100">
        <v>14.94</v>
      </c>
      <c r="D92" s="100">
        <v>12.94</v>
      </c>
      <c r="E92" s="100">
        <v>9.35</v>
      </c>
      <c r="F92" s="100">
        <v>0</v>
      </c>
      <c r="G92" s="100">
        <v>41.64</v>
      </c>
      <c r="H92" s="100">
        <v>17.55</v>
      </c>
      <c r="I92" s="100">
        <v>7.46</v>
      </c>
      <c r="J92" s="100">
        <v>0.17</v>
      </c>
      <c r="K92" s="100">
        <v>129.34</v>
      </c>
      <c r="L92" s="100">
        <v>27.68</v>
      </c>
      <c r="M92" s="100">
        <v>33.44</v>
      </c>
      <c r="N92" s="100">
        <v>0.7</v>
      </c>
      <c r="O92" s="100">
        <v>0</v>
      </c>
      <c r="P92" s="100">
        <v>0.74</v>
      </c>
      <c r="Q92" s="100">
        <v>28.03</v>
      </c>
      <c r="R92" s="6"/>
      <c r="S92" s="6"/>
      <c r="T92" s="156"/>
      <c r="U92" s="6"/>
    </row>
    <row r="93" spans="1:21" customFormat="1">
      <c r="A93" s="163" t="s">
        <v>1571</v>
      </c>
      <c r="B93" s="100">
        <v>5.13</v>
      </c>
      <c r="C93" s="100">
        <v>17.649999999999999</v>
      </c>
      <c r="D93" s="100">
        <v>14.69</v>
      </c>
      <c r="E93" s="100">
        <v>10.33</v>
      </c>
      <c r="F93" s="100">
        <v>0</v>
      </c>
      <c r="G93" s="100">
        <v>45.35</v>
      </c>
      <c r="H93" s="100">
        <v>21.39</v>
      </c>
      <c r="I93" s="100">
        <v>7.64</v>
      </c>
      <c r="J93" s="100">
        <v>0.2</v>
      </c>
      <c r="K93" s="100">
        <v>185.78</v>
      </c>
      <c r="L93" s="100">
        <v>27.62</v>
      </c>
      <c r="M93" s="100">
        <v>32.51</v>
      </c>
      <c r="N93" s="100">
        <v>0.6</v>
      </c>
      <c r="O93" s="100">
        <v>0</v>
      </c>
      <c r="P93" s="100">
        <v>0.78</v>
      </c>
      <c r="Q93" s="100">
        <v>28.03</v>
      </c>
      <c r="R93" s="6"/>
      <c r="S93" s="6"/>
      <c r="T93" s="156"/>
      <c r="U93" s="6"/>
    </row>
    <row r="94" spans="1:21" customFormat="1">
      <c r="A94" s="163" t="s">
        <v>1572</v>
      </c>
      <c r="B94" s="100">
        <v>5.22</v>
      </c>
      <c r="C94" s="100">
        <v>16.79</v>
      </c>
      <c r="D94" s="100">
        <v>14.31</v>
      </c>
      <c r="E94" s="100">
        <v>9.76</v>
      </c>
      <c r="F94" s="100">
        <v>0</v>
      </c>
      <c r="G94" s="100">
        <v>45.71</v>
      </c>
      <c r="H94" s="100">
        <v>21.39</v>
      </c>
      <c r="I94" s="100">
        <v>7.93</v>
      </c>
      <c r="J94" s="100">
        <v>0.13</v>
      </c>
      <c r="K94" s="100">
        <v>154.38</v>
      </c>
      <c r="L94" s="100">
        <v>27.26</v>
      </c>
      <c r="M94" s="100">
        <v>33.229999999999997</v>
      </c>
      <c r="N94" s="100">
        <v>0.6</v>
      </c>
      <c r="O94" s="100">
        <v>0</v>
      </c>
      <c r="P94" s="100">
        <v>0.77</v>
      </c>
      <c r="Q94" s="100">
        <v>28.04</v>
      </c>
      <c r="R94" s="6"/>
      <c r="S94" s="6"/>
      <c r="T94" s="156"/>
      <c r="U94" s="6"/>
    </row>
    <row r="95" spans="1:21" customFormat="1">
      <c r="A95" s="163" t="s">
        <v>1573</v>
      </c>
      <c r="B95" s="100">
        <v>11.37</v>
      </c>
      <c r="C95" s="100">
        <v>20.55</v>
      </c>
      <c r="D95" s="100">
        <v>21.21</v>
      </c>
      <c r="E95" s="100">
        <v>9.48</v>
      </c>
      <c r="F95" s="100">
        <v>0</v>
      </c>
      <c r="G95" s="100">
        <v>45.71</v>
      </c>
      <c r="H95" s="100">
        <v>21.39</v>
      </c>
      <c r="I95" s="100">
        <v>8.32</v>
      </c>
      <c r="J95" s="100">
        <v>0.17</v>
      </c>
      <c r="K95" s="100">
        <v>130.5</v>
      </c>
      <c r="L95" s="100">
        <v>27.31</v>
      </c>
      <c r="M95" s="100">
        <v>33.69</v>
      </c>
      <c r="N95" s="100">
        <v>0.5</v>
      </c>
      <c r="O95" s="100">
        <v>0</v>
      </c>
      <c r="P95" s="100">
        <v>0.84</v>
      </c>
      <c r="Q95" s="100">
        <v>28.06</v>
      </c>
      <c r="R95" s="6"/>
      <c r="S95" s="6"/>
      <c r="T95" s="156"/>
      <c r="U95" s="6"/>
    </row>
    <row r="96" spans="1:21" customFormat="1">
      <c r="A96" s="163" t="s">
        <v>1574</v>
      </c>
      <c r="B96" s="100">
        <v>8.76</v>
      </c>
      <c r="C96" s="100">
        <v>18.760000000000002</v>
      </c>
      <c r="D96" s="100">
        <v>18.18</v>
      </c>
      <c r="E96" s="100">
        <v>9</v>
      </c>
      <c r="F96" s="100">
        <v>0</v>
      </c>
      <c r="G96" s="100">
        <v>45.71</v>
      </c>
      <c r="H96" s="100">
        <v>21.39</v>
      </c>
      <c r="I96" s="100">
        <v>8.39</v>
      </c>
      <c r="J96" s="100">
        <v>0.25</v>
      </c>
      <c r="K96" s="100">
        <v>176.08</v>
      </c>
      <c r="L96" s="100">
        <v>26.84</v>
      </c>
      <c r="M96" s="100">
        <v>37.78</v>
      </c>
      <c r="N96" s="100">
        <v>0.9</v>
      </c>
      <c r="O96" s="100">
        <v>0</v>
      </c>
      <c r="P96" s="100">
        <v>0.78</v>
      </c>
      <c r="Q96" s="100">
        <v>28.1</v>
      </c>
      <c r="R96" s="6"/>
      <c r="S96" s="6"/>
      <c r="T96" s="156"/>
      <c r="U96" s="6"/>
    </row>
    <row r="97" spans="1:28" customFormat="1">
      <c r="A97" s="163" t="s">
        <v>1575</v>
      </c>
      <c r="B97" s="100">
        <v>7.37</v>
      </c>
      <c r="C97" s="100">
        <v>16.760000000000002</v>
      </c>
      <c r="D97" s="100">
        <v>16.02</v>
      </c>
      <c r="E97" s="100">
        <v>8.75</v>
      </c>
      <c r="F97" s="100">
        <v>0</v>
      </c>
      <c r="G97" s="100">
        <v>51.86</v>
      </c>
      <c r="H97" s="100">
        <v>21.77</v>
      </c>
      <c r="I97" s="100">
        <v>8.6300000000000008</v>
      </c>
      <c r="J97" s="100">
        <v>0.23</v>
      </c>
      <c r="K97" s="100">
        <v>192.64</v>
      </c>
      <c r="L97" s="100">
        <v>25.86</v>
      </c>
      <c r="M97" s="100">
        <v>39.770000000000003</v>
      </c>
      <c r="N97" s="100">
        <v>1.2</v>
      </c>
      <c r="O97" s="100">
        <v>0</v>
      </c>
      <c r="P97" s="100">
        <v>0.79</v>
      </c>
      <c r="Q97" s="100">
        <v>28.13</v>
      </c>
      <c r="R97" s="6"/>
      <c r="S97" s="6"/>
      <c r="T97" s="156"/>
      <c r="U97" s="6"/>
    </row>
    <row r="98" spans="1:28" customFormat="1">
      <c r="A98" s="163" t="s">
        <v>1576</v>
      </c>
      <c r="B98" s="100">
        <v>7.26</v>
      </c>
      <c r="C98" s="100">
        <v>15.94</v>
      </c>
      <c r="D98" s="100">
        <v>15.51</v>
      </c>
      <c r="E98" s="100">
        <v>8.81</v>
      </c>
      <c r="F98" s="100">
        <v>0</v>
      </c>
      <c r="G98" s="100">
        <v>52.46</v>
      </c>
      <c r="H98" s="100">
        <v>21.77</v>
      </c>
      <c r="I98" s="100">
        <v>8.6</v>
      </c>
      <c r="J98" s="100">
        <v>0.21</v>
      </c>
      <c r="K98" s="100">
        <v>191.42</v>
      </c>
      <c r="L98" s="100">
        <v>25.42</v>
      </c>
      <c r="M98" s="100">
        <v>41.04</v>
      </c>
      <c r="N98" s="100">
        <v>0.9</v>
      </c>
      <c r="O98" s="100">
        <v>0</v>
      </c>
      <c r="P98" s="100">
        <v>0.79</v>
      </c>
      <c r="Q98" s="100">
        <v>28.12</v>
      </c>
      <c r="R98" s="6"/>
      <c r="S98" s="6"/>
      <c r="T98" s="156"/>
      <c r="U98" s="6"/>
    </row>
    <row r="99" spans="1:28" customFormat="1">
      <c r="A99" s="163" t="s">
        <v>1577</v>
      </c>
      <c r="B99" s="100">
        <v>7.33</v>
      </c>
      <c r="C99" s="100">
        <v>15.67</v>
      </c>
      <c r="D99" s="100">
        <v>15.42</v>
      </c>
      <c r="E99" s="100">
        <v>8.42</v>
      </c>
      <c r="F99" s="100">
        <v>0</v>
      </c>
      <c r="G99" s="100">
        <v>52.46</v>
      </c>
      <c r="H99" s="100">
        <v>21.77</v>
      </c>
      <c r="I99" s="100">
        <v>8.57</v>
      </c>
      <c r="J99" s="100">
        <v>0.17</v>
      </c>
      <c r="K99" s="100">
        <v>163.78</v>
      </c>
      <c r="L99" s="100">
        <v>25.34</v>
      </c>
      <c r="M99" s="100">
        <v>40.21</v>
      </c>
      <c r="N99" s="100">
        <v>0.6</v>
      </c>
      <c r="O99" s="100">
        <v>0</v>
      </c>
      <c r="P99" s="100">
        <v>0.81</v>
      </c>
      <c r="Q99" s="100">
        <v>28.12</v>
      </c>
      <c r="R99" s="6"/>
      <c r="S99" s="6"/>
      <c r="T99" s="156"/>
      <c r="U99" s="6"/>
    </row>
    <row r="100" spans="1:28" customFormat="1">
      <c r="A100" s="163" t="s">
        <v>1578</v>
      </c>
      <c r="B100" s="100">
        <v>7.41</v>
      </c>
      <c r="C100" s="100">
        <v>15.52</v>
      </c>
      <c r="D100" s="100">
        <v>15.4</v>
      </c>
      <c r="E100" s="100">
        <v>8.68</v>
      </c>
      <c r="F100" s="100">
        <v>0</v>
      </c>
      <c r="G100" s="100">
        <v>52.46</v>
      </c>
      <c r="H100" s="100">
        <v>21.77</v>
      </c>
      <c r="I100" s="100">
        <v>8.69</v>
      </c>
      <c r="J100" s="100">
        <v>0.21</v>
      </c>
      <c r="K100" s="100">
        <v>189.93</v>
      </c>
      <c r="L100" s="100">
        <v>25.21</v>
      </c>
      <c r="M100" s="100">
        <v>41.77</v>
      </c>
      <c r="N100" s="100">
        <v>0.7</v>
      </c>
      <c r="O100" s="100">
        <v>0</v>
      </c>
      <c r="P100" s="100">
        <v>0.81</v>
      </c>
      <c r="Q100" s="100">
        <v>28.13</v>
      </c>
      <c r="R100" s="6"/>
      <c r="S100" s="6"/>
      <c r="T100" s="156"/>
      <c r="U100" s="6"/>
      <c r="AB100" s="161"/>
    </row>
    <row r="101" spans="1:28" customFormat="1">
      <c r="A101" s="163" t="s">
        <v>1579</v>
      </c>
      <c r="B101" s="100">
        <v>7.37</v>
      </c>
      <c r="C101" s="100">
        <v>15.53</v>
      </c>
      <c r="D101" s="100">
        <v>15.37</v>
      </c>
      <c r="E101" s="100">
        <v>8.66</v>
      </c>
      <c r="F101" s="100">
        <v>0</v>
      </c>
      <c r="G101" s="100">
        <v>53.17</v>
      </c>
      <c r="H101" s="100">
        <v>22.1</v>
      </c>
      <c r="I101" s="100">
        <v>8.8000000000000007</v>
      </c>
      <c r="J101" s="100">
        <v>0.21</v>
      </c>
      <c r="K101" s="100">
        <v>157.96</v>
      </c>
      <c r="L101" s="100">
        <v>25.03</v>
      </c>
      <c r="M101" s="100">
        <v>42.6</v>
      </c>
      <c r="N101" s="100">
        <v>0.7</v>
      </c>
      <c r="O101" s="100">
        <v>0</v>
      </c>
      <c r="P101" s="100">
        <v>0.8</v>
      </c>
      <c r="Q101" s="100">
        <v>28.12</v>
      </c>
      <c r="R101" s="6"/>
      <c r="S101" s="6"/>
      <c r="T101" s="156"/>
      <c r="U101" s="6"/>
    </row>
    <row r="102" spans="1:28" customFormat="1">
      <c r="A102" s="163" t="s">
        <v>1580</v>
      </c>
      <c r="B102" s="100">
        <v>7.22</v>
      </c>
      <c r="C102" s="100">
        <v>15.63</v>
      </c>
      <c r="D102" s="100">
        <v>15.3</v>
      </c>
      <c r="E102" s="100">
        <v>8.6199999999999992</v>
      </c>
      <c r="F102" s="100">
        <v>0</v>
      </c>
      <c r="G102" s="100">
        <v>53.24</v>
      </c>
      <c r="H102" s="100">
        <v>22.1</v>
      </c>
      <c r="I102" s="100">
        <v>8.92</v>
      </c>
      <c r="J102" s="100">
        <v>0.21</v>
      </c>
      <c r="K102" s="100">
        <v>179.17</v>
      </c>
      <c r="L102" s="100">
        <v>24.96</v>
      </c>
      <c r="M102" s="100">
        <v>42.88</v>
      </c>
      <c r="N102" s="100">
        <v>0.6</v>
      </c>
      <c r="O102" s="100">
        <v>0</v>
      </c>
      <c r="P102" s="100">
        <v>0.82</v>
      </c>
      <c r="Q102" s="100">
        <v>28.12</v>
      </c>
      <c r="R102" s="6"/>
      <c r="S102" s="6"/>
      <c r="T102" s="156"/>
      <c r="U102" s="6"/>
    </row>
    <row r="103" spans="1:28" customFormat="1">
      <c r="A103" s="163" t="s">
        <v>1581</v>
      </c>
      <c r="B103" s="100">
        <v>7.02</v>
      </c>
      <c r="C103" s="100">
        <v>15.78</v>
      </c>
      <c r="D103" s="100">
        <v>15.23</v>
      </c>
      <c r="E103" s="100">
        <v>8.6999999999999993</v>
      </c>
      <c r="F103" s="100">
        <v>0</v>
      </c>
      <c r="G103" s="100">
        <v>53.24</v>
      </c>
      <c r="H103" s="100">
        <v>22.1</v>
      </c>
      <c r="I103" s="100">
        <v>9.08</v>
      </c>
      <c r="J103" s="100">
        <v>0.22</v>
      </c>
      <c r="K103" s="100">
        <v>145.4</v>
      </c>
      <c r="L103" s="100">
        <v>24.93</v>
      </c>
      <c r="M103" s="100">
        <v>43.61</v>
      </c>
      <c r="N103" s="100">
        <v>0.6</v>
      </c>
      <c r="O103" s="100">
        <v>0</v>
      </c>
      <c r="P103" s="100">
        <v>0.84</v>
      </c>
      <c r="Q103" s="100">
        <v>28.11</v>
      </c>
      <c r="R103" s="6"/>
      <c r="S103" s="6"/>
      <c r="T103" s="156"/>
      <c r="U103" s="6"/>
    </row>
    <row r="104" spans="1:28" customFormat="1">
      <c r="A104" s="163" t="s">
        <v>1582</v>
      </c>
      <c r="B104" s="100">
        <v>6.91</v>
      </c>
      <c r="C104" s="100">
        <v>16.02</v>
      </c>
      <c r="D104" s="100">
        <v>15.26</v>
      </c>
      <c r="E104" s="100">
        <v>8.4499999999999993</v>
      </c>
      <c r="F104" s="100">
        <v>0</v>
      </c>
      <c r="G104" s="100">
        <v>53.24</v>
      </c>
      <c r="H104" s="100">
        <v>22.1</v>
      </c>
      <c r="I104" s="100">
        <v>9.34</v>
      </c>
      <c r="J104" s="100">
        <v>0.34</v>
      </c>
      <c r="K104" s="100">
        <v>190.92</v>
      </c>
      <c r="L104" s="100">
        <v>24.5</v>
      </c>
      <c r="M104" s="100">
        <v>46.39</v>
      </c>
      <c r="N104" s="100">
        <v>0.9</v>
      </c>
      <c r="O104" s="100">
        <v>0</v>
      </c>
      <c r="P104" s="100">
        <v>0.85</v>
      </c>
      <c r="Q104" s="100">
        <v>28.12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3.43</v>
      </c>
      <c r="C106" s="158">
        <f>MIN(C9:C104)</f>
        <v>11.19</v>
      </c>
      <c r="D106" s="158">
        <f t="shared" ref="D106:Q106" si="0">MIN(D9:D104)</f>
        <v>10</v>
      </c>
      <c r="E106" s="158">
        <f t="shared" si="0"/>
        <v>7.57</v>
      </c>
      <c r="F106" s="158">
        <f t="shared" si="0"/>
        <v>0</v>
      </c>
      <c r="G106" s="158">
        <f t="shared" si="0"/>
        <v>38.42</v>
      </c>
      <c r="H106" s="158">
        <f t="shared" si="0"/>
        <v>17.55</v>
      </c>
      <c r="I106" s="158">
        <f t="shared" si="0"/>
        <v>6.24</v>
      </c>
      <c r="J106" s="158">
        <f t="shared" si="0"/>
        <v>0.05</v>
      </c>
      <c r="K106" s="158">
        <f t="shared" si="0"/>
        <v>101.29</v>
      </c>
      <c r="L106" s="158">
        <f t="shared" si="0"/>
        <v>22.41</v>
      </c>
      <c r="M106" s="158">
        <f t="shared" si="0"/>
        <v>12.9</v>
      </c>
      <c r="N106" s="158">
        <f t="shared" si="0"/>
        <v>0.3</v>
      </c>
      <c r="O106" s="158">
        <f t="shared" si="0"/>
        <v>0</v>
      </c>
      <c r="P106" s="158">
        <f t="shared" si="0"/>
        <v>0.64</v>
      </c>
      <c r="Q106" s="158">
        <f t="shared" si="0"/>
        <v>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11.37</v>
      </c>
      <c r="C107" s="157">
        <f t="shared" ref="C107:Q107" si="1">MAX(C9:C104)</f>
        <v>20.55</v>
      </c>
      <c r="D107" s="157">
        <f t="shared" si="1"/>
        <v>21.21</v>
      </c>
      <c r="E107" s="157">
        <f t="shared" si="1"/>
        <v>19.39</v>
      </c>
      <c r="F107" s="157">
        <f t="shared" si="1"/>
        <v>0</v>
      </c>
      <c r="G107" s="157">
        <f t="shared" si="1"/>
        <v>73.84</v>
      </c>
      <c r="H107" s="157">
        <f t="shared" si="1"/>
        <v>37.35</v>
      </c>
      <c r="I107" s="157">
        <f t="shared" si="1"/>
        <v>15.24</v>
      </c>
      <c r="J107" s="157">
        <f t="shared" si="1"/>
        <v>1.3</v>
      </c>
      <c r="K107" s="157">
        <f t="shared" si="1"/>
        <v>301.18</v>
      </c>
      <c r="L107" s="157">
        <f t="shared" si="1"/>
        <v>39.44</v>
      </c>
      <c r="M107" s="157">
        <f t="shared" si="1"/>
        <v>55.94</v>
      </c>
      <c r="N107" s="157">
        <f t="shared" si="1"/>
        <v>328.4</v>
      </c>
      <c r="O107" s="157">
        <f t="shared" si="1"/>
        <v>0</v>
      </c>
      <c r="P107" s="157">
        <f t="shared" si="1"/>
        <v>1.25</v>
      </c>
      <c r="Q107" s="157">
        <f t="shared" si="1"/>
        <v>28.21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5.412812500000002</v>
      </c>
      <c r="C108" s="158">
        <f t="shared" ref="C108:Q108" si="2">AVERAGE(C9:C104)</f>
        <v>15.381041666666667</v>
      </c>
      <c r="D108" s="158">
        <f t="shared" si="2"/>
        <v>13.728645833333337</v>
      </c>
      <c r="E108" s="158">
        <f t="shared" si="2"/>
        <v>10.992083333333328</v>
      </c>
      <c r="F108" s="158">
        <f t="shared" si="2"/>
        <v>0</v>
      </c>
      <c r="G108" s="158">
        <f t="shared" si="2"/>
        <v>58.050312499999997</v>
      </c>
      <c r="H108" s="158">
        <f t="shared" si="2"/>
        <v>28.086875000000017</v>
      </c>
      <c r="I108" s="158">
        <f t="shared" si="2"/>
        <v>10.74416666666667</v>
      </c>
      <c r="J108" s="158">
        <f t="shared" si="2"/>
        <v>0.4825000000000001</v>
      </c>
      <c r="K108" s="158">
        <f t="shared" si="2"/>
        <v>214.95854166666663</v>
      </c>
      <c r="L108" s="158">
        <f t="shared" si="2"/>
        <v>29.858125000000001</v>
      </c>
      <c r="M108" s="158">
        <f t="shared" si="2"/>
        <v>33.193437500000009</v>
      </c>
      <c r="N108" s="158">
        <f t="shared" si="2"/>
        <v>91.711458333333383</v>
      </c>
      <c r="O108" s="158">
        <f t="shared" si="2"/>
        <v>0</v>
      </c>
      <c r="P108" s="158">
        <f t="shared" si="2"/>
        <v>0.92760416666666667</v>
      </c>
      <c r="Q108" s="158">
        <f t="shared" si="2"/>
        <v>25.787812499999998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2.1287904661295736</v>
      </c>
      <c r="C109" s="158">
        <f t="shared" ref="C109:Q109" si="3">STDEV(C9:C104)</f>
        <v>1.7258337293620032</v>
      </c>
      <c r="D109" s="158">
        <f t="shared" si="3"/>
        <v>2.364942469442314</v>
      </c>
      <c r="E109" s="158">
        <f t="shared" si="3"/>
        <v>3.1956753397667059</v>
      </c>
      <c r="F109" s="158">
        <f t="shared" si="3"/>
        <v>0</v>
      </c>
      <c r="G109" s="158">
        <f t="shared" si="3"/>
        <v>11.583996170136436</v>
      </c>
      <c r="H109" s="158">
        <f t="shared" si="3"/>
        <v>6.6944838742135184</v>
      </c>
      <c r="I109" s="158">
        <f t="shared" si="3"/>
        <v>2.8598408739930541</v>
      </c>
      <c r="J109" s="158">
        <f t="shared" si="3"/>
        <v>0.36758958807773368</v>
      </c>
      <c r="K109" s="158">
        <f t="shared" si="3"/>
        <v>52.314124850784886</v>
      </c>
      <c r="L109" s="158">
        <f t="shared" si="3"/>
        <v>6.0566379960989467</v>
      </c>
      <c r="M109" s="158">
        <f t="shared" si="3"/>
        <v>13.922943716880482</v>
      </c>
      <c r="N109" s="158">
        <f t="shared" si="3"/>
        <v>125.95190299207293</v>
      </c>
      <c r="O109" s="158">
        <f t="shared" si="3"/>
        <v>0</v>
      </c>
      <c r="P109" s="158">
        <f t="shared" si="3"/>
        <v>0.19790345754627761</v>
      </c>
      <c r="Q109" s="158">
        <f t="shared" si="3"/>
        <v>7.6232471604780914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I96" sqref="I9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15/03/2025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1583</v>
      </c>
      <c r="B9" s="100">
        <v>6.66</v>
      </c>
      <c r="C9" s="100">
        <v>16.02</v>
      </c>
      <c r="D9" s="100">
        <v>15.06</v>
      </c>
      <c r="E9" s="100">
        <v>8.59</v>
      </c>
      <c r="F9" s="152" t="s">
        <v>15</v>
      </c>
      <c r="G9" s="100">
        <v>53.17</v>
      </c>
      <c r="H9" s="100">
        <v>21.02</v>
      </c>
      <c r="I9" s="100">
        <v>9.6300000000000008</v>
      </c>
      <c r="J9" s="100">
        <v>0.14000000000000001</v>
      </c>
      <c r="K9" s="100">
        <v>137.97999999999999</v>
      </c>
      <c r="L9" s="100">
        <v>24.07</v>
      </c>
      <c r="M9" s="100">
        <v>46.76</v>
      </c>
      <c r="N9" s="100">
        <v>0.8</v>
      </c>
      <c r="O9" s="100">
        <v>0</v>
      </c>
      <c r="P9" s="100">
        <v>0.86</v>
      </c>
      <c r="Q9" s="100">
        <v>28.13</v>
      </c>
      <c r="R9" s="6"/>
      <c r="S9" s="6"/>
      <c r="T9" s="156"/>
      <c r="U9" s="6"/>
    </row>
    <row r="10" spans="1:21" customFormat="1">
      <c r="A10" s="163" t="s">
        <v>1584</v>
      </c>
      <c r="B10" s="100">
        <v>6.54</v>
      </c>
      <c r="C10" s="100">
        <v>15.93</v>
      </c>
      <c r="D10" s="100">
        <v>14.92</v>
      </c>
      <c r="E10" s="100">
        <v>8.4499999999999993</v>
      </c>
      <c r="F10" s="152" t="s">
        <v>15</v>
      </c>
      <c r="G10" s="100">
        <v>53.16</v>
      </c>
      <c r="H10" s="100">
        <v>21.02</v>
      </c>
      <c r="I10" s="100">
        <v>9.86</v>
      </c>
      <c r="J10" s="100">
        <v>0.24</v>
      </c>
      <c r="K10" s="100">
        <v>188.39</v>
      </c>
      <c r="L10" s="100">
        <v>23.94</v>
      </c>
      <c r="M10" s="100">
        <v>49.75</v>
      </c>
      <c r="N10" s="100">
        <v>0.7</v>
      </c>
      <c r="O10" s="100">
        <v>0</v>
      </c>
      <c r="P10" s="100">
        <v>0.88</v>
      </c>
      <c r="Q10" s="100">
        <v>28.12</v>
      </c>
      <c r="R10" s="6"/>
      <c r="S10" s="6"/>
      <c r="T10" s="156"/>
      <c r="U10" s="6"/>
    </row>
    <row r="11" spans="1:21" customFormat="1">
      <c r="A11" s="163" t="s">
        <v>1585</v>
      </c>
      <c r="B11" s="100">
        <v>6.43</v>
      </c>
      <c r="C11" s="100">
        <v>15.78</v>
      </c>
      <c r="D11" s="100">
        <v>14.75</v>
      </c>
      <c r="E11" s="100">
        <v>8.32</v>
      </c>
      <c r="F11" s="152" t="s">
        <v>15</v>
      </c>
      <c r="G11" s="100">
        <v>53.16</v>
      </c>
      <c r="H11" s="100">
        <v>21.02</v>
      </c>
      <c r="I11" s="100">
        <v>10.09</v>
      </c>
      <c r="J11" s="100">
        <v>0.27</v>
      </c>
      <c r="K11" s="100">
        <v>184.31</v>
      </c>
      <c r="L11" s="100">
        <v>23.78</v>
      </c>
      <c r="M11" s="100">
        <v>48.34</v>
      </c>
      <c r="N11" s="100">
        <v>0.7</v>
      </c>
      <c r="O11" s="100">
        <v>0</v>
      </c>
      <c r="P11" s="100">
        <v>0.88</v>
      </c>
      <c r="Q11" s="100">
        <v>28.1</v>
      </c>
      <c r="R11" s="6"/>
      <c r="S11" s="6"/>
      <c r="T11" s="156"/>
      <c r="U11" s="6"/>
    </row>
    <row r="12" spans="1:21" customFormat="1">
      <c r="A12" s="163" t="s">
        <v>1586</v>
      </c>
      <c r="B12" s="100">
        <v>6.35</v>
      </c>
      <c r="C12" s="100">
        <v>15.72</v>
      </c>
      <c r="D12" s="100">
        <v>14.65</v>
      </c>
      <c r="E12" s="100">
        <v>8.26</v>
      </c>
      <c r="F12" s="152" t="s">
        <v>15</v>
      </c>
      <c r="G12" s="100">
        <v>53.16</v>
      </c>
      <c r="H12" s="100">
        <v>21.02</v>
      </c>
      <c r="I12" s="100">
        <v>10.31</v>
      </c>
      <c r="J12" s="100">
        <v>0.14000000000000001</v>
      </c>
      <c r="K12" s="100">
        <v>159.9</v>
      </c>
      <c r="L12" s="100">
        <v>23.84</v>
      </c>
      <c r="M12" s="100">
        <v>47.14</v>
      </c>
      <c r="N12" s="100">
        <v>0.7</v>
      </c>
      <c r="O12" s="100">
        <v>0</v>
      </c>
      <c r="P12" s="100">
        <v>0.89</v>
      </c>
      <c r="Q12" s="100">
        <v>28.1</v>
      </c>
      <c r="R12" s="6"/>
      <c r="S12" s="6"/>
      <c r="T12" s="156"/>
      <c r="U12" s="6"/>
    </row>
    <row r="13" spans="1:21" customFormat="1">
      <c r="A13" s="163" t="s">
        <v>1587</v>
      </c>
      <c r="B13" s="100">
        <v>6.32</v>
      </c>
      <c r="C13" s="100">
        <v>15.75</v>
      </c>
      <c r="D13" s="100">
        <v>14.65</v>
      </c>
      <c r="E13" s="100">
        <v>8.48</v>
      </c>
      <c r="F13" s="152" t="s">
        <v>15</v>
      </c>
      <c r="G13" s="100">
        <v>56.14</v>
      </c>
      <c r="H13" s="100">
        <v>20.87</v>
      </c>
      <c r="I13" s="100">
        <v>10.51</v>
      </c>
      <c r="J13" s="100">
        <v>0.15</v>
      </c>
      <c r="K13" s="100">
        <v>178.6</v>
      </c>
      <c r="L13" s="100">
        <v>23.85</v>
      </c>
      <c r="M13" s="100">
        <v>46.17</v>
      </c>
      <c r="N13" s="100">
        <v>0.6</v>
      </c>
      <c r="O13" s="100">
        <v>0</v>
      </c>
      <c r="P13" s="100">
        <v>0.89</v>
      </c>
      <c r="Q13" s="100">
        <v>28.09</v>
      </c>
      <c r="R13" s="6"/>
      <c r="S13" s="6"/>
      <c r="T13" s="156"/>
      <c r="U13" s="6"/>
    </row>
    <row r="14" spans="1:21" customFormat="1">
      <c r="A14" s="163" t="s">
        <v>1588</v>
      </c>
      <c r="B14" s="100">
        <v>6.12</v>
      </c>
      <c r="C14" s="100">
        <v>15.78</v>
      </c>
      <c r="D14" s="100">
        <v>14.5</v>
      </c>
      <c r="E14" s="100">
        <v>8.09</v>
      </c>
      <c r="F14" s="152" t="s">
        <v>15</v>
      </c>
      <c r="G14" s="100">
        <v>56.39</v>
      </c>
      <c r="H14" s="100">
        <v>20.87</v>
      </c>
      <c r="I14" s="100">
        <v>10.69</v>
      </c>
      <c r="J14" s="100">
        <v>0.18</v>
      </c>
      <c r="K14" s="100">
        <v>172.13</v>
      </c>
      <c r="L14" s="100">
        <v>23.81</v>
      </c>
      <c r="M14" s="100">
        <v>46.29</v>
      </c>
      <c r="N14" s="100">
        <v>0.6</v>
      </c>
      <c r="O14" s="100">
        <v>0</v>
      </c>
      <c r="P14" s="100">
        <v>0.89</v>
      </c>
      <c r="Q14" s="100">
        <v>28.09</v>
      </c>
      <c r="R14" s="6"/>
      <c r="S14" s="6"/>
      <c r="T14" s="156"/>
      <c r="U14" s="6"/>
    </row>
    <row r="15" spans="1:21" customFormat="1">
      <c r="A15" s="163" t="s">
        <v>1589</v>
      </c>
      <c r="B15" s="100">
        <v>5.89</v>
      </c>
      <c r="C15" s="100">
        <v>15.73</v>
      </c>
      <c r="D15" s="100">
        <v>14.3</v>
      </c>
      <c r="E15" s="100">
        <v>8.26</v>
      </c>
      <c r="F15" s="152" t="s">
        <v>15</v>
      </c>
      <c r="G15" s="100">
        <v>56.39</v>
      </c>
      <c r="H15" s="100">
        <v>20.87</v>
      </c>
      <c r="I15" s="100">
        <v>10.82</v>
      </c>
      <c r="J15" s="100">
        <v>0.16</v>
      </c>
      <c r="K15" s="100">
        <v>173.15</v>
      </c>
      <c r="L15" s="100">
        <v>23.72</v>
      </c>
      <c r="M15" s="100">
        <v>45.95</v>
      </c>
      <c r="N15" s="100">
        <v>0.6</v>
      </c>
      <c r="O15" s="100">
        <v>0</v>
      </c>
      <c r="P15" s="100">
        <v>0.9</v>
      </c>
      <c r="Q15" s="100">
        <v>28.09</v>
      </c>
      <c r="R15" s="6"/>
      <c r="S15" s="6"/>
      <c r="T15" s="156"/>
      <c r="U15" s="6"/>
    </row>
    <row r="16" spans="1:21" customFormat="1">
      <c r="A16" s="163" t="s">
        <v>1590</v>
      </c>
      <c r="B16" s="100">
        <v>5.62</v>
      </c>
      <c r="C16" s="100">
        <v>15.66</v>
      </c>
      <c r="D16" s="100">
        <v>14.03</v>
      </c>
      <c r="E16" s="100">
        <v>8.41</v>
      </c>
      <c r="F16" s="152" t="s">
        <v>15</v>
      </c>
      <c r="G16" s="100">
        <v>56.39</v>
      </c>
      <c r="H16" s="100">
        <v>20.87</v>
      </c>
      <c r="I16" s="100">
        <v>10.89</v>
      </c>
      <c r="J16" s="100">
        <v>0.16</v>
      </c>
      <c r="K16" s="100">
        <v>171.49</v>
      </c>
      <c r="L16" s="100">
        <v>23.51</v>
      </c>
      <c r="M16" s="100">
        <v>46.84</v>
      </c>
      <c r="N16" s="100">
        <v>0.7</v>
      </c>
      <c r="O16" s="100">
        <v>0</v>
      </c>
      <c r="P16" s="100">
        <v>0.9</v>
      </c>
      <c r="Q16" s="100">
        <v>28.08</v>
      </c>
      <c r="R16" s="6"/>
      <c r="S16" s="6"/>
      <c r="T16" s="156"/>
      <c r="U16" s="6"/>
    </row>
    <row r="17" spans="1:21" customFormat="1">
      <c r="A17" s="163" t="s">
        <v>1591</v>
      </c>
      <c r="B17" s="100">
        <v>5.39</v>
      </c>
      <c r="C17" s="100">
        <v>15.66</v>
      </c>
      <c r="D17" s="100">
        <v>13.86</v>
      </c>
      <c r="E17" s="100">
        <v>7.94</v>
      </c>
      <c r="F17" s="152" t="s">
        <v>15</v>
      </c>
      <c r="G17" s="100">
        <v>52.48</v>
      </c>
      <c r="H17" s="100">
        <v>24.12</v>
      </c>
      <c r="I17" s="100">
        <v>10.96</v>
      </c>
      <c r="J17" s="100">
        <v>0.19</v>
      </c>
      <c r="K17" s="100">
        <v>173.54</v>
      </c>
      <c r="L17" s="100">
        <v>23.48</v>
      </c>
      <c r="M17" s="100">
        <v>46.09</v>
      </c>
      <c r="N17" s="100">
        <v>0.6</v>
      </c>
      <c r="O17" s="100">
        <v>0</v>
      </c>
      <c r="P17" s="100">
        <v>0.89</v>
      </c>
      <c r="Q17" s="100">
        <v>28.07</v>
      </c>
      <c r="R17" s="6"/>
      <c r="S17" s="6"/>
      <c r="T17" s="156"/>
      <c r="U17" s="6"/>
    </row>
    <row r="18" spans="1:21" customFormat="1">
      <c r="A18" s="163" t="s">
        <v>1592</v>
      </c>
      <c r="B18" s="100">
        <v>5.18</v>
      </c>
      <c r="C18" s="100">
        <v>15.61</v>
      </c>
      <c r="D18" s="100">
        <v>13.66</v>
      </c>
      <c r="E18" s="100">
        <v>8.81</v>
      </c>
      <c r="F18" s="152" t="s">
        <v>15</v>
      </c>
      <c r="G18" s="100">
        <v>52.1</v>
      </c>
      <c r="H18" s="100">
        <v>24.12</v>
      </c>
      <c r="I18" s="100">
        <v>10.97</v>
      </c>
      <c r="J18" s="100">
        <v>0.15</v>
      </c>
      <c r="K18" s="100">
        <v>218.82</v>
      </c>
      <c r="L18" s="100">
        <v>23.31</v>
      </c>
      <c r="M18" s="100">
        <v>44.68</v>
      </c>
      <c r="N18" s="100">
        <v>0.7</v>
      </c>
      <c r="O18" s="100">
        <v>0</v>
      </c>
      <c r="P18" s="100">
        <v>0.89</v>
      </c>
      <c r="Q18" s="100">
        <v>28.06</v>
      </c>
      <c r="R18" s="6"/>
      <c r="S18" s="6"/>
      <c r="T18" s="156"/>
      <c r="U18" s="6"/>
    </row>
    <row r="19" spans="1:21" customFormat="1">
      <c r="A19" s="163" t="s">
        <v>1593</v>
      </c>
      <c r="B19" s="100">
        <v>4.9400000000000004</v>
      </c>
      <c r="C19" s="100">
        <v>15.58</v>
      </c>
      <c r="D19" s="100">
        <v>13.45</v>
      </c>
      <c r="E19" s="100">
        <v>9.0299999999999994</v>
      </c>
      <c r="F19" s="152" t="s">
        <v>15</v>
      </c>
      <c r="G19" s="100">
        <v>52.1</v>
      </c>
      <c r="H19" s="100">
        <v>24.12</v>
      </c>
      <c r="I19" s="100">
        <v>10.96</v>
      </c>
      <c r="J19" s="100">
        <v>0.19</v>
      </c>
      <c r="K19" s="100">
        <v>162.03</v>
      </c>
      <c r="L19" s="100">
        <v>23.29</v>
      </c>
      <c r="M19" s="100">
        <v>48.18</v>
      </c>
      <c r="N19" s="100">
        <v>0.8</v>
      </c>
      <c r="O19" s="100">
        <v>0</v>
      </c>
      <c r="P19" s="100">
        <v>0.88</v>
      </c>
      <c r="Q19" s="100">
        <v>28.05</v>
      </c>
      <c r="R19" s="6"/>
      <c r="S19" s="6"/>
      <c r="T19" s="156"/>
      <c r="U19" s="6"/>
    </row>
    <row r="20" spans="1:21" customFormat="1">
      <c r="A20" s="163" t="s">
        <v>1594</v>
      </c>
      <c r="B20" s="100">
        <v>4.78</v>
      </c>
      <c r="C20" s="100">
        <v>15.44</v>
      </c>
      <c r="D20" s="100">
        <v>13.25</v>
      </c>
      <c r="E20" s="100">
        <v>8.66</v>
      </c>
      <c r="F20" s="152" t="s">
        <v>15</v>
      </c>
      <c r="G20" s="100">
        <v>52.1</v>
      </c>
      <c r="H20" s="100">
        <v>24.12</v>
      </c>
      <c r="I20" s="100">
        <v>10.9</v>
      </c>
      <c r="J20" s="100">
        <v>0.22</v>
      </c>
      <c r="K20" s="100">
        <v>169.24</v>
      </c>
      <c r="L20" s="100">
        <v>23.22</v>
      </c>
      <c r="M20" s="100">
        <v>47.82</v>
      </c>
      <c r="N20" s="100">
        <v>0.8</v>
      </c>
      <c r="O20" s="100">
        <v>0</v>
      </c>
      <c r="P20" s="100">
        <v>0.88</v>
      </c>
      <c r="Q20" s="100">
        <v>28.05</v>
      </c>
      <c r="R20" s="6"/>
      <c r="S20" s="6"/>
      <c r="T20" s="156"/>
      <c r="U20" s="6"/>
    </row>
    <row r="21" spans="1:21" customFormat="1">
      <c r="A21" s="163" t="s">
        <v>1595</v>
      </c>
      <c r="B21" s="100">
        <v>4.63</v>
      </c>
      <c r="C21" s="100">
        <v>15.27</v>
      </c>
      <c r="D21" s="100">
        <v>13.04</v>
      </c>
      <c r="E21" s="100">
        <v>8.73</v>
      </c>
      <c r="F21" s="152" t="s">
        <v>15</v>
      </c>
      <c r="G21" s="100">
        <v>47.54</v>
      </c>
      <c r="H21" s="100">
        <v>21.11</v>
      </c>
      <c r="I21" s="100">
        <v>10.79</v>
      </c>
      <c r="J21" s="100">
        <v>0.16</v>
      </c>
      <c r="K21" s="100">
        <v>176.99</v>
      </c>
      <c r="L21" s="100">
        <v>23.1</v>
      </c>
      <c r="M21" s="100">
        <v>47.98</v>
      </c>
      <c r="N21" s="100">
        <v>0.7</v>
      </c>
      <c r="O21" s="100">
        <v>0</v>
      </c>
      <c r="P21" s="100">
        <v>0.87</v>
      </c>
      <c r="Q21" s="100">
        <v>28.05</v>
      </c>
      <c r="R21" s="6"/>
      <c r="S21" s="6"/>
      <c r="T21" s="156"/>
      <c r="U21" s="6"/>
    </row>
    <row r="22" spans="1:21" customFormat="1">
      <c r="A22" s="163" t="s">
        <v>1596</v>
      </c>
      <c r="B22" s="100">
        <v>4.55</v>
      </c>
      <c r="C22" s="100">
        <v>15.17</v>
      </c>
      <c r="D22" s="100">
        <v>12.93</v>
      </c>
      <c r="E22" s="100">
        <v>8.99</v>
      </c>
      <c r="F22" s="152" t="s">
        <v>15</v>
      </c>
      <c r="G22" s="100">
        <v>47.1</v>
      </c>
      <c r="H22" s="100">
        <v>21.11</v>
      </c>
      <c r="I22" s="100">
        <v>10.71</v>
      </c>
      <c r="J22" s="100">
        <v>0.24</v>
      </c>
      <c r="K22" s="100">
        <v>193.82</v>
      </c>
      <c r="L22" s="100">
        <v>22.98</v>
      </c>
      <c r="M22" s="100">
        <v>50.39</v>
      </c>
      <c r="N22" s="100">
        <v>1</v>
      </c>
      <c r="O22" s="100">
        <v>0</v>
      </c>
      <c r="P22" s="100">
        <v>0.86</v>
      </c>
      <c r="Q22" s="100">
        <v>28.04</v>
      </c>
      <c r="R22" s="6"/>
      <c r="S22" s="6"/>
      <c r="T22" s="156"/>
      <c r="U22" s="6"/>
    </row>
    <row r="23" spans="1:21" customFormat="1">
      <c r="A23" s="163" t="s">
        <v>1597</v>
      </c>
      <c r="B23" s="100">
        <v>4.46</v>
      </c>
      <c r="C23" s="100">
        <v>15.08</v>
      </c>
      <c r="D23" s="100">
        <v>12.81</v>
      </c>
      <c r="E23" s="100">
        <v>9.02</v>
      </c>
      <c r="F23" s="152" t="s">
        <v>15</v>
      </c>
      <c r="G23" s="100">
        <v>47.1</v>
      </c>
      <c r="H23" s="100">
        <v>21.11</v>
      </c>
      <c r="I23" s="100">
        <v>10.61</v>
      </c>
      <c r="J23" s="100">
        <v>0.18</v>
      </c>
      <c r="K23" s="100">
        <v>186.41</v>
      </c>
      <c r="L23" s="100">
        <v>22.47</v>
      </c>
      <c r="M23" s="100">
        <v>48.8</v>
      </c>
      <c r="N23" s="100">
        <v>0.9</v>
      </c>
      <c r="O23" s="100">
        <v>0</v>
      </c>
      <c r="P23" s="100">
        <v>0.87</v>
      </c>
      <c r="Q23" s="100">
        <v>28.04</v>
      </c>
      <c r="R23" s="6"/>
      <c r="S23" s="6"/>
      <c r="T23" s="156"/>
      <c r="U23" s="6"/>
    </row>
    <row r="24" spans="1:21" customFormat="1">
      <c r="A24" s="163" t="s">
        <v>1598</v>
      </c>
      <c r="B24" s="100">
        <v>4.41</v>
      </c>
      <c r="C24" s="100">
        <v>14.95</v>
      </c>
      <c r="D24" s="100">
        <v>12.7</v>
      </c>
      <c r="E24" s="100">
        <v>8.82</v>
      </c>
      <c r="F24" s="152" t="s">
        <v>15</v>
      </c>
      <c r="G24" s="100">
        <v>47.1</v>
      </c>
      <c r="H24" s="100">
        <v>21.11</v>
      </c>
      <c r="I24" s="100">
        <v>10.48</v>
      </c>
      <c r="J24" s="100">
        <v>0.15</v>
      </c>
      <c r="K24" s="100">
        <v>126.05</v>
      </c>
      <c r="L24" s="100">
        <v>22.46</v>
      </c>
      <c r="M24" s="100">
        <v>49.54</v>
      </c>
      <c r="N24" s="100">
        <v>0.8</v>
      </c>
      <c r="O24" s="100">
        <v>0</v>
      </c>
      <c r="P24" s="100">
        <v>0.86</v>
      </c>
      <c r="Q24" s="100">
        <v>28.03</v>
      </c>
      <c r="R24" s="6"/>
      <c r="S24" s="6"/>
      <c r="T24" s="156"/>
      <c r="U24" s="6"/>
    </row>
    <row r="25" spans="1:21" customFormat="1">
      <c r="A25" s="163" t="s">
        <v>1599</v>
      </c>
      <c r="B25" s="100">
        <v>4.49</v>
      </c>
      <c r="C25" s="100">
        <v>15.14</v>
      </c>
      <c r="D25" s="100">
        <v>12.86</v>
      </c>
      <c r="E25" s="100">
        <v>8.5500000000000007</v>
      </c>
      <c r="F25" s="152" t="s">
        <v>15</v>
      </c>
      <c r="G25" s="100">
        <v>35.46</v>
      </c>
      <c r="H25" s="100">
        <v>14.52</v>
      </c>
      <c r="I25" s="100">
        <v>10.39</v>
      </c>
      <c r="J25" s="100">
        <v>0.13</v>
      </c>
      <c r="K25" s="100">
        <v>74.58</v>
      </c>
      <c r="L25" s="100">
        <v>22.85</v>
      </c>
      <c r="M25" s="100">
        <v>46.06</v>
      </c>
      <c r="N25" s="100">
        <v>0.5</v>
      </c>
      <c r="O25" s="100">
        <v>0</v>
      </c>
      <c r="P25" s="100">
        <v>0.87</v>
      </c>
      <c r="Q25" s="100">
        <v>28.04</v>
      </c>
      <c r="R25" s="6"/>
      <c r="S25" s="6"/>
      <c r="T25" s="156"/>
      <c r="U25" s="6"/>
    </row>
    <row r="26" spans="1:21" customFormat="1">
      <c r="A26" s="163" t="s">
        <v>1600</v>
      </c>
      <c r="B26" s="100">
        <v>4.79</v>
      </c>
      <c r="C26" s="100">
        <v>15.61</v>
      </c>
      <c r="D26" s="100">
        <v>13.35</v>
      </c>
      <c r="E26" s="100">
        <v>8.56</v>
      </c>
      <c r="F26" s="152" t="s">
        <v>15</v>
      </c>
      <c r="G26" s="100">
        <v>34.32</v>
      </c>
      <c r="H26" s="100">
        <v>14.52</v>
      </c>
      <c r="I26" s="100">
        <v>10.29</v>
      </c>
      <c r="J26" s="100">
        <v>0.15</v>
      </c>
      <c r="K26" s="100">
        <v>137.66999999999999</v>
      </c>
      <c r="L26" s="100">
        <v>22.92</v>
      </c>
      <c r="M26" s="100">
        <v>47.68</v>
      </c>
      <c r="N26" s="100">
        <v>0.8</v>
      </c>
      <c r="O26" s="100">
        <v>0</v>
      </c>
      <c r="P26" s="100">
        <v>0.86</v>
      </c>
      <c r="Q26" s="100">
        <v>28.04</v>
      </c>
      <c r="R26" s="6"/>
      <c r="S26" s="6"/>
      <c r="T26" s="156"/>
      <c r="U26" s="6"/>
    </row>
    <row r="27" spans="1:21" customFormat="1">
      <c r="A27" s="163" t="s">
        <v>1601</v>
      </c>
      <c r="B27" s="100">
        <v>5.22</v>
      </c>
      <c r="C27" s="100">
        <v>15.93</v>
      </c>
      <c r="D27" s="100">
        <v>13.86</v>
      </c>
      <c r="E27" s="100">
        <v>8.5500000000000007</v>
      </c>
      <c r="F27" s="152" t="s">
        <v>15</v>
      </c>
      <c r="G27" s="100">
        <v>34.32</v>
      </c>
      <c r="H27" s="100">
        <v>14.52</v>
      </c>
      <c r="I27" s="100">
        <v>10.23</v>
      </c>
      <c r="J27" s="100">
        <v>0.22</v>
      </c>
      <c r="K27" s="100">
        <v>142.96</v>
      </c>
      <c r="L27" s="100">
        <v>22.53</v>
      </c>
      <c r="M27" s="100">
        <v>50.94</v>
      </c>
      <c r="N27" s="100">
        <v>1</v>
      </c>
      <c r="O27" s="100">
        <v>0</v>
      </c>
      <c r="P27" s="100">
        <v>0.86</v>
      </c>
      <c r="Q27" s="100">
        <v>28.07</v>
      </c>
      <c r="R27" s="6"/>
      <c r="S27" s="6"/>
      <c r="T27" s="156"/>
      <c r="U27" s="6"/>
    </row>
    <row r="28" spans="1:21" customFormat="1">
      <c r="A28" s="163" t="s">
        <v>1602</v>
      </c>
      <c r="B28" s="100">
        <v>5.61</v>
      </c>
      <c r="C28" s="100">
        <v>16.12</v>
      </c>
      <c r="D28" s="100">
        <v>14.27</v>
      </c>
      <c r="E28" s="100">
        <v>8.34</v>
      </c>
      <c r="F28" s="152" t="s">
        <v>15</v>
      </c>
      <c r="G28" s="100">
        <v>34.32</v>
      </c>
      <c r="H28" s="100">
        <v>14.52</v>
      </c>
      <c r="I28" s="100">
        <v>10.220000000000001</v>
      </c>
      <c r="J28" s="100">
        <v>0.28000000000000003</v>
      </c>
      <c r="K28" s="100">
        <v>222.3</v>
      </c>
      <c r="L28" s="100">
        <v>21.71</v>
      </c>
      <c r="M28" s="100">
        <v>55.14</v>
      </c>
      <c r="N28" s="100">
        <v>1.5</v>
      </c>
      <c r="O28" s="100">
        <v>0</v>
      </c>
      <c r="P28" s="100">
        <v>0.86</v>
      </c>
      <c r="Q28" s="100">
        <v>28.07</v>
      </c>
      <c r="R28" s="6"/>
      <c r="S28" s="6"/>
      <c r="T28" s="156"/>
      <c r="U28" s="6"/>
    </row>
    <row r="29" spans="1:21" customFormat="1">
      <c r="A29" s="163" t="s">
        <v>1603</v>
      </c>
      <c r="B29" s="100">
        <v>5.88</v>
      </c>
      <c r="C29" s="100">
        <v>15.91</v>
      </c>
      <c r="D29" s="100">
        <v>14.38</v>
      </c>
      <c r="E29" s="100">
        <v>8.67</v>
      </c>
      <c r="F29" s="152" t="s">
        <v>15</v>
      </c>
      <c r="G29" s="100">
        <v>39.29</v>
      </c>
      <c r="H29" s="100">
        <v>18.93</v>
      </c>
      <c r="I29" s="100">
        <v>10.18</v>
      </c>
      <c r="J29" s="100">
        <v>0.16</v>
      </c>
      <c r="K29" s="100">
        <v>137.16999999999999</v>
      </c>
      <c r="L29" s="100">
        <v>21.53</v>
      </c>
      <c r="M29" s="100">
        <v>54.99</v>
      </c>
      <c r="N29" s="100">
        <v>1.1000000000000001</v>
      </c>
      <c r="O29" s="100">
        <v>0</v>
      </c>
      <c r="P29" s="100">
        <v>0.86</v>
      </c>
      <c r="Q29" s="100">
        <v>28.08</v>
      </c>
      <c r="R29" s="6"/>
      <c r="S29" s="6"/>
      <c r="T29" s="156"/>
      <c r="U29" s="6"/>
    </row>
    <row r="30" spans="1:21" customFormat="1">
      <c r="A30" s="163" t="s">
        <v>1604</v>
      </c>
      <c r="B30" s="100">
        <v>6.11</v>
      </c>
      <c r="C30" s="100">
        <v>15.7</v>
      </c>
      <c r="D30" s="100">
        <v>14.45</v>
      </c>
      <c r="E30" s="100">
        <v>8.5299999999999994</v>
      </c>
      <c r="F30" s="152" t="s">
        <v>15</v>
      </c>
      <c r="G30" s="100">
        <v>39.78</v>
      </c>
      <c r="H30" s="100">
        <v>18.93</v>
      </c>
      <c r="I30" s="100">
        <v>10.14</v>
      </c>
      <c r="J30" s="100">
        <v>0.11</v>
      </c>
      <c r="K30" s="100">
        <v>198.88</v>
      </c>
      <c r="L30" s="100">
        <v>21.5</v>
      </c>
      <c r="M30" s="100">
        <v>54.65</v>
      </c>
      <c r="N30" s="100">
        <v>0.8</v>
      </c>
      <c r="O30" s="100">
        <v>0</v>
      </c>
      <c r="P30" s="100">
        <v>0.87</v>
      </c>
      <c r="Q30" s="100">
        <v>28.09</v>
      </c>
      <c r="R30" s="6"/>
      <c r="S30" s="6"/>
      <c r="T30" s="156"/>
      <c r="U30" s="6"/>
    </row>
    <row r="31" spans="1:21" customFormat="1">
      <c r="A31" s="163" t="s">
        <v>1605</v>
      </c>
      <c r="B31" s="100">
        <v>6.32</v>
      </c>
      <c r="C31" s="100">
        <v>15.65</v>
      </c>
      <c r="D31" s="100">
        <v>14.6</v>
      </c>
      <c r="E31" s="100">
        <v>8.32</v>
      </c>
      <c r="F31" s="152" t="s">
        <v>15</v>
      </c>
      <c r="G31" s="100">
        <v>39.78</v>
      </c>
      <c r="H31" s="100">
        <v>18.93</v>
      </c>
      <c r="I31" s="100">
        <v>10.11</v>
      </c>
      <c r="J31" s="100">
        <v>0.24</v>
      </c>
      <c r="K31" s="100">
        <v>164.9</v>
      </c>
      <c r="L31" s="100">
        <v>21.15</v>
      </c>
      <c r="M31" s="100">
        <v>57.46</v>
      </c>
      <c r="N31" s="100">
        <v>1.2</v>
      </c>
      <c r="O31" s="100">
        <v>0</v>
      </c>
      <c r="P31" s="100">
        <v>0.86</v>
      </c>
      <c r="Q31" s="100">
        <v>28.1</v>
      </c>
      <c r="R31" s="6"/>
      <c r="S31" s="6"/>
      <c r="T31" s="156"/>
      <c r="U31" s="6"/>
    </row>
    <row r="32" spans="1:21" customFormat="1">
      <c r="A32" s="163" t="s">
        <v>1606</v>
      </c>
      <c r="B32" s="100">
        <v>6.65</v>
      </c>
      <c r="C32" s="100">
        <v>15.78</v>
      </c>
      <c r="D32" s="100">
        <v>14.93</v>
      </c>
      <c r="E32" s="100">
        <v>8.2799999999999994</v>
      </c>
      <c r="F32" s="152" t="s">
        <v>15</v>
      </c>
      <c r="G32" s="100">
        <v>39.78</v>
      </c>
      <c r="H32" s="100">
        <v>18.93</v>
      </c>
      <c r="I32" s="100">
        <v>10.08</v>
      </c>
      <c r="J32" s="100">
        <v>0.3</v>
      </c>
      <c r="K32" s="100">
        <v>177.44</v>
      </c>
      <c r="L32" s="100">
        <v>21.22</v>
      </c>
      <c r="M32" s="100">
        <v>56.08</v>
      </c>
      <c r="N32" s="100">
        <v>1.1000000000000001</v>
      </c>
      <c r="O32" s="100">
        <v>0</v>
      </c>
      <c r="P32" s="100">
        <v>0.86</v>
      </c>
      <c r="Q32" s="100">
        <v>28.11</v>
      </c>
      <c r="R32" s="6"/>
      <c r="S32" s="6"/>
      <c r="T32" s="156"/>
      <c r="U32" s="6"/>
    </row>
    <row r="33" spans="1:21" customFormat="1">
      <c r="A33" s="163" t="s">
        <v>1607</v>
      </c>
      <c r="B33" s="100">
        <v>6.87</v>
      </c>
      <c r="C33" s="100">
        <v>15.79</v>
      </c>
      <c r="D33" s="100">
        <v>15.11</v>
      </c>
      <c r="E33" s="100">
        <v>8.5500000000000007</v>
      </c>
      <c r="F33" s="152" t="s">
        <v>15</v>
      </c>
      <c r="G33" s="100">
        <v>38.630000000000003</v>
      </c>
      <c r="H33" s="100">
        <v>17.41</v>
      </c>
      <c r="I33" s="100">
        <v>10.07</v>
      </c>
      <c r="J33" s="100">
        <v>0.26</v>
      </c>
      <c r="K33" s="100">
        <v>219.95</v>
      </c>
      <c r="L33" s="100">
        <v>21.46</v>
      </c>
      <c r="M33" s="100">
        <v>53.92</v>
      </c>
      <c r="N33" s="100">
        <v>2.4</v>
      </c>
      <c r="O33" s="100">
        <v>0</v>
      </c>
      <c r="P33" s="100">
        <v>0.86</v>
      </c>
      <c r="Q33" s="100">
        <v>28.12</v>
      </c>
      <c r="R33" s="6"/>
      <c r="S33" s="6"/>
      <c r="T33" s="156"/>
      <c r="U33" s="6"/>
    </row>
    <row r="34" spans="1:21" customFormat="1">
      <c r="A34" s="163" t="s">
        <v>1608</v>
      </c>
      <c r="B34" s="100">
        <v>6.91</v>
      </c>
      <c r="C34" s="100">
        <v>15.67</v>
      </c>
      <c r="D34" s="100">
        <v>15.08</v>
      </c>
      <c r="E34" s="100">
        <v>8.64</v>
      </c>
      <c r="F34" s="152" t="s">
        <v>15</v>
      </c>
      <c r="G34" s="100">
        <v>38.520000000000003</v>
      </c>
      <c r="H34" s="100">
        <v>17.41</v>
      </c>
      <c r="I34" s="100">
        <v>10.06</v>
      </c>
      <c r="J34" s="100">
        <v>0.12</v>
      </c>
      <c r="K34" s="100">
        <v>173.56</v>
      </c>
      <c r="L34" s="100">
        <v>21.21</v>
      </c>
      <c r="M34" s="100">
        <v>56.64</v>
      </c>
      <c r="N34" s="100">
        <v>7.4</v>
      </c>
      <c r="O34" s="100">
        <v>0</v>
      </c>
      <c r="P34" s="100">
        <v>0.87</v>
      </c>
      <c r="Q34" s="100">
        <v>28.12</v>
      </c>
      <c r="R34" s="6"/>
      <c r="S34" s="6"/>
      <c r="T34" s="156"/>
      <c r="U34" s="6"/>
    </row>
    <row r="35" spans="1:21" customFormat="1">
      <c r="A35" s="163" t="s">
        <v>1609</v>
      </c>
      <c r="B35" s="100">
        <v>6.96</v>
      </c>
      <c r="C35" s="100">
        <v>15.5</v>
      </c>
      <c r="D35" s="100">
        <v>15.03</v>
      </c>
      <c r="E35" s="100">
        <v>8.58</v>
      </c>
      <c r="F35" s="152" t="s">
        <v>15</v>
      </c>
      <c r="G35" s="100">
        <v>38.520000000000003</v>
      </c>
      <c r="H35" s="100">
        <v>17.41</v>
      </c>
      <c r="I35" s="100">
        <v>10.050000000000001</v>
      </c>
      <c r="J35" s="100">
        <v>0.22</v>
      </c>
      <c r="K35" s="100">
        <v>178.86</v>
      </c>
      <c r="L35" s="100">
        <v>21.3</v>
      </c>
      <c r="M35" s="100">
        <v>57.27</v>
      </c>
      <c r="N35" s="100">
        <v>13.7</v>
      </c>
      <c r="O35" s="100">
        <v>0</v>
      </c>
      <c r="P35" s="100">
        <v>0.87</v>
      </c>
      <c r="Q35" s="100">
        <v>28.13</v>
      </c>
      <c r="R35" s="6"/>
      <c r="S35" s="6"/>
      <c r="T35" s="156"/>
      <c r="U35" s="6"/>
    </row>
    <row r="36" spans="1:21" customFormat="1">
      <c r="A36" s="163" t="s">
        <v>1610</v>
      </c>
      <c r="B36" s="100">
        <v>7.04</v>
      </c>
      <c r="C36" s="100">
        <v>15.29</v>
      </c>
      <c r="D36" s="100">
        <v>14.98</v>
      </c>
      <c r="E36" s="100">
        <v>8.8000000000000007</v>
      </c>
      <c r="F36" s="152" t="s">
        <v>15</v>
      </c>
      <c r="G36" s="100">
        <v>38.520000000000003</v>
      </c>
      <c r="H36" s="100">
        <v>17.41</v>
      </c>
      <c r="I36" s="100">
        <v>10.07</v>
      </c>
      <c r="J36" s="100">
        <v>0.23</v>
      </c>
      <c r="K36" s="100">
        <v>173.77</v>
      </c>
      <c r="L36" s="100">
        <v>21.78</v>
      </c>
      <c r="M36" s="100">
        <v>56.39</v>
      </c>
      <c r="N36" s="100">
        <v>20.2</v>
      </c>
      <c r="O36" s="100">
        <v>0</v>
      </c>
      <c r="P36" s="100">
        <v>0.88</v>
      </c>
      <c r="Q36" s="100">
        <v>28.13</v>
      </c>
      <c r="R36" s="6"/>
      <c r="S36" s="6"/>
      <c r="T36" s="156"/>
      <c r="U36" s="6"/>
    </row>
    <row r="37" spans="1:21" customFormat="1">
      <c r="A37" s="163" t="s">
        <v>1611</v>
      </c>
      <c r="B37" s="100">
        <v>7.1</v>
      </c>
      <c r="C37" s="100">
        <v>15.23</v>
      </c>
      <c r="D37" s="100">
        <v>15</v>
      </c>
      <c r="E37" s="100">
        <v>8.6999999999999993</v>
      </c>
      <c r="F37" s="152" t="s">
        <v>15</v>
      </c>
      <c r="G37" s="100">
        <v>37.520000000000003</v>
      </c>
      <c r="H37" s="100">
        <v>18.14</v>
      </c>
      <c r="I37" s="100">
        <v>10.08</v>
      </c>
      <c r="J37" s="100">
        <v>0.1</v>
      </c>
      <c r="K37" s="100">
        <v>160.22</v>
      </c>
      <c r="L37" s="100">
        <v>22.51</v>
      </c>
      <c r="M37" s="100">
        <v>54.31</v>
      </c>
      <c r="N37" s="100">
        <v>27.2</v>
      </c>
      <c r="O37" s="100">
        <v>0</v>
      </c>
      <c r="P37" s="100">
        <v>0.89</v>
      </c>
      <c r="Q37" s="100">
        <v>28.13</v>
      </c>
      <c r="R37" s="6"/>
      <c r="S37" s="6"/>
      <c r="T37" s="156"/>
      <c r="U37" s="6"/>
    </row>
    <row r="38" spans="1:21" customFormat="1">
      <c r="A38" s="163" t="s">
        <v>1612</v>
      </c>
      <c r="B38" s="100">
        <v>7.24</v>
      </c>
      <c r="C38" s="100">
        <v>15.23</v>
      </c>
      <c r="D38" s="100">
        <v>15.11</v>
      </c>
      <c r="E38" s="100">
        <v>8.86</v>
      </c>
      <c r="F38" s="152" t="s">
        <v>15</v>
      </c>
      <c r="G38" s="100">
        <v>37.42</v>
      </c>
      <c r="H38" s="100">
        <v>18.14</v>
      </c>
      <c r="I38" s="100">
        <v>10.119999999999999</v>
      </c>
      <c r="J38" s="100">
        <v>0.17</v>
      </c>
      <c r="K38" s="100">
        <v>143.37</v>
      </c>
      <c r="L38" s="100">
        <v>23.68</v>
      </c>
      <c r="M38" s="100">
        <v>50.32</v>
      </c>
      <c r="N38" s="100">
        <v>34.700000000000003</v>
      </c>
      <c r="O38" s="100">
        <v>0</v>
      </c>
      <c r="P38" s="100">
        <v>0.89</v>
      </c>
      <c r="Q38" s="100">
        <v>28.13</v>
      </c>
      <c r="R38" s="6"/>
      <c r="S38" s="6"/>
      <c r="T38" s="156"/>
      <c r="U38" s="6"/>
    </row>
    <row r="39" spans="1:21" customFormat="1">
      <c r="A39" s="163" t="s">
        <v>1613</v>
      </c>
      <c r="B39" s="100">
        <v>7.28</v>
      </c>
      <c r="C39" s="100">
        <v>15.26</v>
      </c>
      <c r="D39" s="100">
        <v>15.17</v>
      </c>
      <c r="E39" s="100">
        <v>8.9600000000000009</v>
      </c>
      <c r="F39" s="152" t="s">
        <v>15</v>
      </c>
      <c r="G39" s="100">
        <v>37.42</v>
      </c>
      <c r="H39" s="100">
        <v>18.14</v>
      </c>
      <c r="I39" s="100">
        <v>10.16</v>
      </c>
      <c r="J39" s="100">
        <v>0.17</v>
      </c>
      <c r="K39" s="100">
        <v>168.21</v>
      </c>
      <c r="L39" s="100">
        <v>24.7</v>
      </c>
      <c r="M39" s="100">
        <v>49.01</v>
      </c>
      <c r="N39" s="100">
        <v>42.1</v>
      </c>
      <c r="O39" s="100">
        <v>0</v>
      </c>
      <c r="P39" s="100">
        <v>0.9</v>
      </c>
      <c r="Q39" s="100">
        <v>28.13</v>
      </c>
      <c r="R39" s="6"/>
      <c r="S39" s="6"/>
      <c r="T39" s="156"/>
      <c r="U39" s="6"/>
    </row>
    <row r="40" spans="1:21" customFormat="1">
      <c r="A40" s="163" t="s">
        <v>1614</v>
      </c>
      <c r="B40" s="100">
        <v>7.27</v>
      </c>
      <c r="C40" s="100">
        <v>15.29</v>
      </c>
      <c r="D40" s="100">
        <v>15.17</v>
      </c>
      <c r="E40" s="100">
        <v>8.98</v>
      </c>
      <c r="F40" s="152" t="s">
        <v>15</v>
      </c>
      <c r="G40" s="100">
        <v>37.42</v>
      </c>
      <c r="H40" s="100">
        <v>18.14</v>
      </c>
      <c r="I40" s="100">
        <v>10.19</v>
      </c>
      <c r="J40" s="100">
        <v>0.24</v>
      </c>
      <c r="K40" s="100">
        <v>169.31</v>
      </c>
      <c r="L40" s="100">
        <v>25.93</v>
      </c>
      <c r="M40" s="100">
        <v>44.68</v>
      </c>
      <c r="N40" s="100">
        <v>65.3</v>
      </c>
      <c r="O40" s="100">
        <v>0</v>
      </c>
      <c r="P40" s="100">
        <v>0.89</v>
      </c>
      <c r="Q40" s="100">
        <v>28.15</v>
      </c>
      <c r="R40" s="6"/>
      <c r="S40" s="6"/>
      <c r="T40" s="156"/>
      <c r="U40" s="6"/>
    </row>
    <row r="41" spans="1:21" customFormat="1">
      <c r="A41" s="163" t="s">
        <v>1615</v>
      </c>
      <c r="B41" s="100">
        <v>7.21</v>
      </c>
      <c r="C41" s="100">
        <v>15.32</v>
      </c>
      <c r="D41" s="100">
        <v>15.13</v>
      </c>
      <c r="E41" s="100">
        <v>8.9700000000000006</v>
      </c>
      <c r="F41" s="152" t="s">
        <v>15</v>
      </c>
      <c r="G41" s="100">
        <v>41.87</v>
      </c>
      <c r="H41" s="100">
        <v>21.46</v>
      </c>
      <c r="I41" s="100">
        <v>10.199999999999999</v>
      </c>
      <c r="J41" s="100">
        <v>0.32</v>
      </c>
      <c r="K41" s="100">
        <v>236.29</v>
      </c>
      <c r="L41" s="100">
        <v>27.3</v>
      </c>
      <c r="M41" s="100">
        <v>40.14</v>
      </c>
      <c r="N41" s="100">
        <v>96</v>
      </c>
      <c r="O41" s="100">
        <v>0</v>
      </c>
      <c r="P41" s="100">
        <v>0.9</v>
      </c>
      <c r="Q41" s="100">
        <v>28.13</v>
      </c>
      <c r="R41" s="6"/>
      <c r="S41" s="6"/>
      <c r="T41" s="156"/>
      <c r="U41" s="6"/>
    </row>
    <row r="42" spans="1:21" customFormat="1">
      <c r="A42" s="163" t="s">
        <v>1616</v>
      </c>
      <c r="B42" s="100">
        <v>6.98</v>
      </c>
      <c r="C42" s="100">
        <v>15.19</v>
      </c>
      <c r="D42" s="100">
        <v>14.89</v>
      </c>
      <c r="E42" s="100">
        <v>8.76</v>
      </c>
      <c r="F42" s="152" t="s">
        <v>15</v>
      </c>
      <c r="G42" s="100">
        <v>42.31</v>
      </c>
      <c r="H42" s="100">
        <v>21.46</v>
      </c>
      <c r="I42" s="100">
        <v>10.23</v>
      </c>
      <c r="J42" s="100">
        <v>0.64</v>
      </c>
      <c r="K42" s="100">
        <v>257.67</v>
      </c>
      <c r="L42" s="100">
        <v>28.21</v>
      </c>
      <c r="M42" s="100">
        <v>37.76</v>
      </c>
      <c r="N42" s="100">
        <v>119.4</v>
      </c>
      <c r="O42" s="100">
        <v>0</v>
      </c>
      <c r="P42" s="100">
        <v>0.91</v>
      </c>
      <c r="Q42" s="100">
        <v>28.15</v>
      </c>
      <c r="R42" s="6"/>
      <c r="S42" s="6"/>
      <c r="T42" s="156"/>
      <c r="U42" s="6"/>
    </row>
    <row r="43" spans="1:21" customFormat="1">
      <c r="A43" s="163" t="s">
        <v>1617</v>
      </c>
      <c r="B43" s="100">
        <v>6.54</v>
      </c>
      <c r="C43" s="100">
        <v>15.1</v>
      </c>
      <c r="D43" s="100">
        <v>14.49</v>
      </c>
      <c r="E43" s="100">
        <v>9.1199999999999992</v>
      </c>
      <c r="F43" s="152" t="s">
        <v>15</v>
      </c>
      <c r="G43" s="100">
        <v>42.31</v>
      </c>
      <c r="H43" s="100">
        <v>21.46</v>
      </c>
      <c r="I43" s="100">
        <v>10.27</v>
      </c>
      <c r="J43" s="100">
        <v>0.38</v>
      </c>
      <c r="K43" s="100">
        <v>248.96</v>
      </c>
      <c r="L43" s="100">
        <v>29.25</v>
      </c>
      <c r="M43" s="100">
        <v>34.630000000000003</v>
      </c>
      <c r="N43" s="100">
        <v>168.6</v>
      </c>
      <c r="O43" s="100">
        <v>0</v>
      </c>
      <c r="P43" s="100">
        <v>0.91</v>
      </c>
      <c r="Q43" s="100">
        <v>28.13</v>
      </c>
      <c r="R43" s="6"/>
      <c r="S43" s="6"/>
      <c r="T43" s="156"/>
      <c r="U43" s="6"/>
    </row>
    <row r="44" spans="1:21" customFormat="1">
      <c r="A44" s="163" t="s">
        <v>1618</v>
      </c>
      <c r="B44" s="100">
        <v>5.99</v>
      </c>
      <c r="C44" s="100">
        <v>15.44</v>
      </c>
      <c r="D44" s="100">
        <v>14.22</v>
      </c>
      <c r="E44" s="100">
        <v>9.5299999999999994</v>
      </c>
      <c r="F44" s="152" t="s">
        <v>15</v>
      </c>
      <c r="G44" s="100">
        <v>42.31</v>
      </c>
      <c r="H44" s="100">
        <v>21.46</v>
      </c>
      <c r="I44" s="100">
        <v>10.3</v>
      </c>
      <c r="J44" s="100">
        <v>0.59</v>
      </c>
      <c r="K44" s="100">
        <v>262.13</v>
      </c>
      <c r="L44" s="100">
        <v>30.07</v>
      </c>
      <c r="M44" s="100">
        <v>33.06</v>
      </c>
      <c r="N44" s="100">
        <v>184.4</v>
      </c>
      <c r="O44" s="100">
        <v>0</v>
      </c>
      <c r="P44" s="100">
        <v>0.91</v>
      </c>
      <c r="Q44" s="100">
        <v>28.09</v>
      </c>
      <c r="R44" s="6"/>
      <c r="S44" s="6"/>
      <c r="T44" s="156"/>
      <c r="U44" s="6"/>
    </row>
    <row r="45" spans="1:21" customFormat="1">
      <c r="A45" s="163" t="s">
        <v>1619</v>
      </c>
      <c r="B45" s="100">
        <v>5.13</v>
      </c>
      <c r="C45" s="100">
        <v>15.64</v>
      </c>
      <c r="D45" s="100">
        <v>13.64</v>
      </c>
      <c r="E45" s="100">
        <v>9.6999999999999993</v>
      </c>
      <c r="F45" s="152" t="s">
        <v>15</v>
      </c>
      <c r="G45" s="100">
        <v>46.49</v>
      </c>
      <c r="H45" s="100">
        <v>23.26</v>
      </c>
      <c r="I45" s="100">
        <v>10.28</v>
      </c>
      <c r="J45" s="100">
        <v>0.32</v>
      </c>
      <c r="K45" s="100">
        <v>234.68</v>
      </c>
      <c r="L45" s="100">
        <v>31.37</v>
      </c>
      <c r="M45" s="100">
        <v>31.13</v>
      </c>
      <c r="N45" s="100">
        <v>170</v>
      </c>
      <c r="O45" s="100">
        <v>0</v>
      </c>
      <c r="P45" s="100">
        <v>0.9</v>
      </c>
      <c r="Q45" s="100">
        <v>28.06</v>
      </c>
      <c r="R45" s="6"/>
      <c r="S45" s="6"/>
      <c r="T45" s="156"/>
      <c r="U45" s="6"/>
    </row>
    <row r="46" spans="1:21" customFormat="1">
      <c r="A46" s="163" t="s">
        <v>1620</v>
      </c>
      <c r="B46" s="100">
        <v>4.4400000000000004</v>
      </c>
      <c r="C46" s="100">
        <v>16</v>
      </c>
      <c r="D46" s="100">
        <v>13.27</v>
      </c>
      <c r="E46" s="100">
        <v>9.75</v>
      </c>
      <c r="F46" s="152" t="s">
        <v>15</v>
      </c>
      <c r="G46" s="100">
        <v>46.9</v>
      </c>
      <c r="H46" s="100">
        <v>23.26</v>
      </c>
      <c r="I46" s="100">
        <v>10.27</v>
      </c>
      <c r="J46" s="100">
        <v>0.62</v>
      </c>
      <c r="K46" s="100">
        <v>249.04</v>
      </c>
      <c r="L46" s="100">
        <v>31.96</v>
      </c>
      <c r="M46" s="100">
        <v>29.68</v>
      </c>
      <c r="N46" s="100">
        <v>227.8</v>
      </c>
      <c r="O46" s="100">
        <v>0</v>
      </c>
      <c r="P46" s="100">
        <v>0.92</v>
      </c>
      <c r="Q46" s="100">
        <v>28.05</v>
      </c>
      <c r="R46" s="6"/>
      <c r="S46" s="6"/>
      <c r="T46" s="156"/>
      <c r="U46" s="6"/>
    </row>
    <row r="47" spans="1:21" customFormat="1">
      <c r="A47" s="163" t="s">
        <v>1621</v>
      </c>
      <c r="B47" s="100">
        <v>3.95</v>
      </c>
      <c r="C47" s="100">
        <v>16.32</v>
      </c>
      <c r="D47" s="100">
        <v>13.05</v>
      </c>
      <c r="E47" s="100">
        <v>9.8800000000000008</v>
      </c>
      <c r="F47" s="152" t="s">
        <v>15</v>
      </c>
      <c r="G47" s="100">
        <v>46.9</v>
      </c>
      <c r="H47" s="100">
        <v>23.26</v>
      </c>
      <c r="I47" s="100">
        <v>10.24</v>
      </c>
      <c r="J47" s="100">
        <v>0.66</v>
      </c>
      <c r="K47" s="100">
        <v>261.7</v>
      </c>
      <c r="L47" s="100">
        <v>32.549999999999997</v>
      </c>
      <c r="M47" s="100">
        <v>28.99</v>
      </c>
      <c r="N47" s="100">
        <v>240.3</v>
      </c>
      <c r="O47" s="100">
        <v>0</v>
      </c>
      <c r="P47" s="100">
        <v>0.96</v>
      </c>
      <c r="Q47" s="100">
        <v>28.04</v>
      </c>
      <c r="R47" s="6"/>
      <c r="S47" s="6"/>
      <c r="T47" s="156"/>
      <c r="U47" s="6"/>
    </row>
    <row r="48" spans="1:21" customFormat="1">
      <c r="A48" s="163" t="s">
        <v>1622</v>
      </c>
      <c r="B48" s="100">
        <v>3.67</v>
      </c>
      <c r="C48" s="100">
        <v>16.52</v>
      </c>
      <c r="D48" s="100">
        <v>12.92</v>
      </c>
      <c r="E48" s="100">
        <v>10.33</v>
      </c>
      <c r="F48" s="152" t="s">
        <v>15</v>
      </c>
      <c r="G48" s="100">
        <v>46.9</v>
      </c>
      <c r="H48" s="100">
        <v>23.26</v>
      </c>
      <c r="I48" s="100">
        <v>10.36</v>
      </c>
      <c r="J48" s="100">
        <v>0.72</v>
      </c>
      <c r="K48" s="100">
        <v>254.35</v>
      </c>
      <c r="L48" s="100">
        <v>32.99</v>
      </c>
      <c r="M48" s="100">
        <v>29.18</v>
      </c>
      <c r="N48" s="100">
        <v>248.2</v>
      </c>
      <c r="O48" s="100">
        <v>0</v>
      </c>
      <c r="P48" s="100">
        <v>1</v>
      </c>
      <c r="Q48" s="100">
        <v>28.02</v>
      </c>
      <c r="R48" s="6"/>
      <c r="S48" s="6"/>
      <c r="T48" s="156"/>
      <c r="U48" s="6"/>
    </row>
    <row r="49" spans="1:21" customFormat="1">
      <c r="A49" s="163" t="s">
        <v>1623</v>
      </c>
      <c r="B49" s="100">
        <v>3.55</v>
      </c>
      <c r="C49" s="100">
        <v>16.73</v>
      </c>
      <c r="D49" s="100">
        <v>12.94</v>
      </c>
      <c r="E49" s="100">
        <v>8.17</v>
      </c>
      <c r="F49" s="152" t="s">
        <v>15</v>
      </c>
      <c r="G49" s="100">
        <v>49.97</v>
      </c>
      <c r="H49" s="100">
        <v>25.99</v>
      </c>
      <c r="I49" s="100">
        <v>10.72</v>
      </c>
      <c r="J49" s="100">
        <v>0.66</v>
      </c>
      <c r="K49" s="100">
        <v>252.84</v>
      </c>
      <c r="L49" s="100">
        <v>33.57</v>
      </c>
      <c r="M49" s="100">
        <v>28.63</v>
      </c>
      <c r="N49" s="100">
        <v>228</v>
      </c>
      <c r="O49" s="100">
        <v>0</v>
      </c>
      <c r="P49" s="100">
        <v>1.04</v>
      </c>
      <c r="Q49" s="100">
        <v>28.01</v>
      </c>
      <c r="R49" s="6"/>
      <c r="S49" s="6"/>
      <c r="T49" s="156"/>
      <c r="U49" s="6"/>
    </row>
    <row r="50" spans="1:21" customFormat="1">
      <c r="A50" s="163" t="s">
        <v>1624</v>
      </c>
      <c r="B50" s="100">
        <v>3.52</v>
      </c>
      <c r="C50" s="100">
        <v>17.16</v>
      </c>
      <c r="D50" s="100">
        <v>13.14</v>
      </c>
      <c r="E50" s="100">
        <v>11.65</v>
      </c>
      <c r="F50" s="152" t="s">
        <v>15</v>
      </c>
      <c r="G50" s="100">
        <v>50.27</v>
      </c>
      <c r="H50" s="100">
        <v>25.99</v>
      </c>
      <c r="I50" s="100">
        <v>11.24</v>
      </c>
      <c r="J50" s="100">
        <v>0.88</v>
      </c>
      <c r="K50" s="100">
        <v>284.62</v>
      </c>
      <c r="L50" s="100">
        <v>34.21</v>
      </c>
      <c r="M50" s="100">
        <v>27.94</v>
      </c>
      <c r="N50" s="100">
        <v>211</v>
      </c>
      <c r="O50" s="100">
        <v>0</v>
      </c>
      <c r="P50" s="100">
        <v>1.1399999999999999</v>
      </c>
      <c r="Q50" s="100">
        <v>28.01</v>
      </c>
      <c r="R50" s="6"/>
      <c r="S50" s="6"/>
      <c r="T50" s="156"/>
      <c r="U50" s="6"/>
    </row>
    <row r="51" spans="1:21" customFormat="1">
      <c r="A51" s="163" t="s">
        <v>1625</v>
      </c>
      <c r="B51" s="100">
        <v>3.53</v>
      </c>
      <c r="C51" s="100">
        <v>17.73</v>
      </c>
      <c r="D51" s="100">
        <v>13.44</v>
      </c>
      <c r="E51" s="100">
        <v>12.48</v>
      </c>
      <c r="F51" s="152" t="s">
        <v>15</v>
      </c>
      <c r="G51" s="100">
        <v>50.27</v>
      </c>
      <c r="H51" s="100">
        <v>25.99</v>
      </c>
      <c r="I51" s="100">
        <v>12.09</v>
      </c>
      <c r="J51" s="100">
        <v>0.76</v>
      </c>
      <c r="K51" s="100">
        <v>257.04000000000002</v>
      </c>
      <c r="L51" s="100">
        <v>35.049999999999997</v>
      </c>
      <c r="M51" s="100">
        <v>27</v>
      </c>
      <c r="N51" s="100">
        <v>273.7</v>
      </c>
      <c r="O51" s="100">
        <v>0</v>
      </c>
      <c r="P51" s="100">
        <v>1.19</v>
      </c>
      <c r="Q51" s="100">
        <v>28.02</v>
      </c>
      <c r="R51" s="6"/>
      <c r="S51" s="6"/>
      <c r="T51" s="156"/>
      <c r="U51" s="6"/>
    </row>
    <row r="52" spans="1:21" customFormat="1">
      <c r="A52" s="163" t="s">
        <v>1626</v>
      </c>
      <c r="B52" s="100">
        <v>3.47</v>
      </c>
      <c r="C52" s="100">
        <v>17.510000000000002</v>
      </c>
      <c r="D52" s="100">
        <v>13.28</v>
      </c>
      <c r="E52" s="100">
        <v>12.39</v>
      </c>
      <c r="F52" s="152" t="s">
        <v>15</v>
      </c>
      <c r="G52" s="100">
        <v>50.27</v>
      </c>
      <c r="H52" s="100">
        <v>25.99</v>
      </c>
      <c r="I52" s="100">
        <v>13.14</v>
      </c>
      <c r="J52" s="100">
        <v>0.74</v>
      </c>
      <c r="K52" s="100">
        <v>270.63</v>
      </c>
      <c r="L52" s="100">
        <v>35.85</v>
      </c>
      <c r="M52" s="100">
        <v>26.24</v>
      </c>
      <c r="N52" s="100">
        <v>285.89999999999998</v>
      </c>
      <c r="O52" s="100">
        <v>0</v>
      </c>
      <c r="P52" s="100">
        <v>1.19</v>
      </c>
      <c r="Q52" s="100">
        <v>28.02</v>
      </c>
      <c r="R52" s="6"/>
      <c r="S52" s="6"/>
      <c r="T52" s="156"/>
      <c r="U52" s="6"/>
    </row>
    <row r="53" spans="1:21" customFormat="1">
      <c r="A53" s="163" t="s">
        <v>1627</v>
      </c>
      <c r="B53" s="100">
        <v>3.4</v>
      </c>
      <c r="C53" s="100">
        <v>16.93</v>
      </c>
      <c r="D53" s="100">
        <v>12.92</v>
      </c>
      <c r="E53" s="100">
        <v>11.31</v>
      </c>
      <c r="F53" s="152" t="s">
        <v>15</v>
      </c>
      <c r="G53" s="100">
        <v>67.53</v>
      </c>
      <c r="H53" s="100">
        <v>35.549999999999997</v>
      </c>
      <c r="I53" s="100">
        <v>13.78</v>
      </c>
      <c r="J53" s="100">
        <v>1.1100000000000001</v>
      </c>
      <c r="K53" s="100">
        <v>271.18</v>
      </c>
      <c r="L53" s="100">
        <v>36.450000000000003</v>
      </c>
      <c r="M53" s="100">
        <v>25.32</v>
      </c>
      <c r="N53" s="100">
        <v>290</v>
      </c>
      <c r="O53" s="100">
        <v>0</v>
      </c>
      <c r="P53" s="100">
        <v>1.1399999999999999</v>
      </c>
      <c r="Q53" s="100">
        <v>28.01</v>
      </c>
      <c r="R53" s="6"/>
      <c r="S53" s="6"/>
      <c r="T53" s="156"/>
      <c r="U53" s="6"/>
    </row>
    <row r="54" spans="1:21" customFormat="1">
      <c r="A54" s="163" t="s">
        <v>1628</v>
      </c>
      <c r="B54" s="100">
        <v>3.43</v>
      </c>
      <c r="C54" s="100">
        <v>16.61</v>
      </c>
      <c r="D54" s="100">
        <v>12.78</v>
      </c>
      <c r="E54" s="100">
        <v>10.42</v>
      </c>
      <c r="F54" s="152" t="s">
        <v>15</v>
      </c>
      <c r="G54" s="100">
        <v>69.209999999999994</v>
      </c>
      <c r="H54" s="100">
        <v>35.549999999999997</v>
      </c>
      <c r="I54" s="100">
        <v>13.73</v>
      </c>
      <c r="J54" s="100">
        <v>1.05</v>
      </c>
      <c r="K54" s="100">
        <v>269.64</v>
      </c>
      <c r="L54" s="100">
        <v>36.83</v>
      </c>
      <c r="M54" s="100">
        <v>24.71</v>
      </c>
      <c r="N54" s="100">
        <v>286.3</v>
      </c>
      <c r="O54" s="100">
        <v>0</v>
      </c>
      <c r="P54" s="100">
        <v>1.1200000000000001</v>
      </c>
      <c r="Q54" s="100">
        <v>27.99</v>
      </c>
      <c r="R54" s="6"/>
      <c r="S54" s="6"/>
      <c r="T54" s="156"/>
      <c r="U54" s="6"/>
    </row>
    <row r="55" spans="1:21" customFormat="1">
      <c r="A55" s="163" t="s">
        <v>1629</v>
      </c>
      <c r="B55" s="100">
        <v>3.45</v>
      </c>
      <c r="C55" s="100">
        <v>16.07</v>
      </c>
      <c r="D55" s="100">
        <v>12.51</v>
      </c>
      <c r="E55" s="100">
        <v>11.02</v>
      </c>
      <c r="F55" s="152" t="s">
        <v>15</v>
      </c>
      <c r="G55" s="100">
        <v>69.209999999999994</v>
      </c>
      <c r="H55" s="100">
        <v>35.549999999999997</v>
      </c>
      <c r="I55" s="100">
        <v>13.2</v>
      </c>
      <c r="J55" s="100">
        <v>1.02</v>
      </c>
      <c r="K55" s="100">
        <v>256.52</v>
      </c>
      <c r="L55" s="100">
        <v>37.24</v>
      </c>
      <c r="M55" s="100">
        <v>23.52</v>
      </c>
      <c r="N55" s="100">
        <v>277.3</v>
      </c>
      <c r="O55" s="100">
        <v>0</v>
      </c>
      <c r="P55" s="100">
        <v>1.0900000000000001</v>
      </c>
      <c r="Q55" s="100">
        <v>28.01</v>
      </c>
      <c r="R55" s="6"/>
      <c r="S55" s="6"/>
      <c r="T55" s="156"/>
      <c r="U55" s="6"/>
    </row>
    <row r="56" spans="1:21" customFormat="1">
      <c r="A56" s="163" t="s">
        <v>1630</v>
      </c>
      <c r="B56" s="100">
        <v>3.46</v>
      </c>
      <c r="C56" s="100">
        <v>15.69</v>
      </c>
      <c r="D56" s="100">
        <v>12.32</v>
      </c>
      <c r="E56" s="100">
        <v>11.78</v>
      </c>
      <c r="F56" s="152" t="s">
        <v>15</v>
      </c>
      <c r="G56" s="100">
        <v>69.209999999999994</v>
      </c>
      <c r="H56" s="100">
        <v>35.549999999999997</v>
      </c>
      <c r="I56" s="100">
        <v>12.74</v>
      </c>
      <c r="J56" s="100">
        <v>1.04</v>
      </c>
      <c r="K56" s="100">
        <v>266.89</v>
      </c>
      <c r="L56" s="100">
        <v>37.549999999999997</v>
      </c>
      <c r="M56" s="100">
        <v>22.93</v>
      </c>
      <c r="N56" s="100">
        <v>303.2</v>
      </c>
      <c r="O56" s="100">
        <v>0</v>
      </c>
      <c r="P56" s="100">
        <v>1.08</v>
      </c>
      <c r="Q56" s="100">
        <v>28.01</v>
      </c>
      <c r="R56" s="6"/>
      <c r="S56" s="6"/>
      <c r="T56" s="156"/>
      <c r="U56" s="6"/>
    </row>
    <row r="57" spans="1:21" customFormat="1">
      <c r="A57" s="163" t="s">
        <v>1631</v>
      </c>
      <c r="B57" s="100">
        <v>3.45</v>
      </c>
      <c r="C57" s="100">
        <v>15.32</v>
      </c>
      <c r="D57" s="100">
        <v>12.13</v>
      </c>
      <c r="E57" s="100">
        <v>12.79</v>
      </c>
      <c r="F57" s="152" t="s">
        <v>15</v>
      </c>
      <c r="G57" s="100">
        <v>65.59</v>
      </c>
      <c r="H57" s="100">
        <v>32.1</v>
      </c>
      <c r="I57" s="100">
        <v>12.31</v>
      </c>
      <c r="J57" s="100">
        <v>1.1200000000000001</v>
      </c>
      <c r="K57" s="100">
        <v>267.8</v>
      </c>
      <c r="L57" s="100">
        <v>37.590000000000003</v>
      </c>
      <c r="M57" s="100">
        <v>22.97</v>
      </c>
      <c r="N57" s="100">
        <v>307.5</v>
      </c>
      <c r="O57" s="100">
        <v>0</v>
      </c>
      <c r="P57" s="100">
        <v>1.04</v>
      </c>
      <c r="Q57" s="100">
        <v>28.02</v>
      </c>
      <c r="R57" s="6"/>
      <c r="S57" s="6"/>
      <c r="T57" s="156"/>
      <c r="U57" s="6"/>
    </row>
    <row r="58" spans="1:21" customFormat="1">
      <c r="A58" s="163" t="s">
        <v>1632</v>
      </c>
      <c r="B58" s="100">
        <v>3.52</v>
      </c>
      <c r="C58" s="100">
        <v>15.51</v>
      </c>
      <c r="D58" s="100">
        <v>12.27</v>
      </c>
      <c r="E58" s="100">
        <v>12.74</v>
      </c>
      <c r="F58" s="152" t="s">
        <v>15</v>
      </c>
      <c r="G58" s="100">
        <v>65.239999999999995</v>
      </c>
      <c r="H58" s="100">
        <v>32.1</v>
      </c>
      <c r="I58" s="100">
        <v>12.05</v>
      </c>
      <c r="J58" s="100">
        <v>1.35</v>
      </c>
      <c r="K58" s="100">
        <v>288.14</v>
      </c>
      <c r="L58" s="100">
        <v>38.01</v>
      </c>
      <c r="M58" s="100">
        <v>21.42</v>
      </c>
      <c r="N58" s="100">
        <v>311.7</v>
      </c>
      <c r="O58" s="100">
        <v>0</v>
      </c>
      <c r="P58" s="100">
        <v>1.03</v>
      </c>
      <c r="Q58" s="100">
        <v>28.02</v>
      </c>
      <c r="R58" s="6"/>
      <c r="S58" s="6"/>
      <c r="T58" s="156"/>
      <c r="U58" s="6"/>
    </row>
    <row r="59" spans="1:21" customFormat="1">
      <c r="A59" s="163" t="s">
        <v>1633</v>
      </c>
      <c r="B59" s="100">
        <v>3.53</v>
      </c>
      <c r="C59" s="100">
        <v>15.56</v>
      </c>
      <c r="D59" s="100">
        <v>12.32</v>
      </c>
      <c r="E59" s="100">
        <v>11.16</v>
      </c>
      <c r="F59" s="152" t="s">
        <v>15</v>
      </c>
      <c r="G59" s="100">
        <v>65.239999999999995</v>
      </c>
      <c r="H59" s="100">
        <v>32.1</v>
      </c>
      <c r="I59" s="100">
        <v>11.75</v>
      </c>
      <c r="J59" s="100">
        <v>0.95</v>
      </c>
      <c r="K59" s="100">
        <v>261.77</v>
      </c>
      <c r="L59" s="100">
        <v>38.270000000000003</v>
      </c>
      <c r="M59" s="100">
        <v>22.77</v>
      </c>
      <c r="N59" s="100">
        <v>314.10000000000002</v>
      </c>
      <c r="O59" s="100">
        <v>0</v>
      </c>
      <c r="P59" s="100">
        <v>1</v>
      </c>
      <c r="Q59" s="100">
        <v>28.01</v>
      </c>
      <c r="R59" s="6"/>
      <c r="S59" s="6"/>
      <c r="T59" s="156"/>
      <c r="U59" s="6"/>
    </row>
    <row r="60" spans="1:21" customFormat="1">
      <c r="A60" s="163" t="s">
        <v>1634</v>
      </c>
      <c r="B60" s="100">
        <v>3.5</v>
      </c>
      <c r="C60" s="100">
        <v>15.15</v>
      </c>
      <c r="D60" s="100">
        <v>12.07</v>
      </c>
      <c r="E60" s="100">
        <v>11.17</v>
      </c>
      <c r="F60" s="152" t="s">
        <v>15</v>
      </c>
      <c r="G60" s="100">
        <v>65.239999999999995</v>
      </c>
      <c r="H60" s="100">
        <v>32.1</v>
      </c>
      <c r="I60" s="100">
        <v>11.4</v>
      </c>
      <c r="J60" s="100">
        <v>0.83</v>
      </c>
      <c r="K60" s="100">
        <v>273.64999999999998</v>
      </c>
      <c r="L60" s="100">
        <v>38.869999999999997</v>
      </c>
      <c r="M60" s="100">
        <v>21.76</v>
      </c>
      <c r="N60" s="100">
        <v>315.7</v>
      </c>
      <c r="O60" s="100">
        <v>0</v>
      </c>
      <c r="P60" s="100">
        <v>0.98</v>
      </c>
      <c r="Q60" s="100">
        <v>28.03</v>
      </c>
      <c r="R60" s="6"/>
      <c r="S60" s="6"/>
      <c r="T60" s="156"/>
      <c r="U60" s="6"/>
    </row>
    <row r="61" spans="1:21" customFormat="1">
      <c r="A61" s="163" t="s">
        <v>1635</v>
      </c>
      <c r="B61" s="100">
        <v>3.48</v>
      </c>
      <c r="C61" s="100">
        <v>15.14</v>
      </c>
      <c r="D61" s="100">
        <v>12.05</v>
      </c>
      <c r="E61" s="100">
        <v>11.53</v>
      </c>
      <c r="F61" s="152" t="s">
        <v>15</v>
      </c>
      <c r="G61" s="100">
        <v>59.5</v>
      </c>
      <c r="H61" s="100">
        <v>30.78</v>
      </c>
      <c r="I61" s="100">
        <v>10.89</v>
      </c>
      <c r="J61" s="100">
        <v>0.91</v>
      </c>
      <c r="K61" s="100">
        <v>272.42</v>
      </c>
      <c r="L61" s="100">
        <v>38.82</v>
      </c>
      <c r="M61" s="100">
        <v>21.82</v>
      </c>
      <c r="N61" s="100">
        <v>306.39999999999998</v>
      </c>
      <c r="O61" s="100">
        <v>0</v>
      </c>
      <c r="P61" s="100">
        <v>0.95</v>
      </c>
      <c r="Q61" s="100">
        <v>28.01</v>
      </c>
      <c r="R61" s="6"/>
      <c r="S61" s="6"/>
      <c r="T61" s="156"/>
      <c r="U61" s="6"/>
    </row>
    <row r="62" spans="1:21" customFormat="1">
      <c r="A62" s="163" t="s">
        <v>1636</v>
      </c>
      <c r="B62" s="100">
        <v>3.5</v>
      </c>
      <c r="C62" s="100">
        <v>15.04</v>
      </c>
      <c r="D62" s="100">
        <v>12.02</v>
      </c>
      <c r="E62" s="100">
        <v>11.21</v>
      </c>
      <c r="F62" s="152" t="s">
        <v>15</v>
      </c>
      <c r="G62" s="100">
        <v>58.94</v>
      </c>
      <c r="H62" s="100">
        <v>30.78</v>
      </c>
      <c r="I62" s="100">
        <v>10.39</v>
      </c>
      <c r="J62" s="100">
        <v>1.04</v>
      </c>
      <c r="K62" s="100">
        <v>261.67</v>
      </c>
      <c r="L62" s="100">
        <v>38.86</v>
      </c>
      <c r="M62" s="100">
        <v>20.7</v>
      </c>
      <c r="N62" s="100">
        <v>306.7</v>
      </c>
      <c r="O62" s="100">
        <v>0</v>
      </c>
      <c r="P62" s="100">
        <v>0.94</v>
      </c>
      <c r="Q62" s="100">
        <v>28.01</v>
      </c>
      <c r="R62" s="6"/>
      <c r="S62" s="6"/>
      <c r="T62" s="156"/>
      <c r="U62" s="6"/>
    </row>
    <row r="63" spans="1:21" customFormat="1">
      <c r="A63" s="163" t="s">
        <v>1637</v>
      </c>
      <c r="B63" s="100">
        <v>3.48</v>
      </c>
      <c r="C63" s="100">
        <v>14.98</v>
      </c>
      <c r="D63" s="100">
        <v>11.97</v>
      </c>
      <c r="E63" s="100">
        <v>11.54</v>
      </c>
      <c r="F63" s="152" t="s">
        <v>15</v>
      </c>
      <c r="G63" s="100">
        <v>58.94</v>
      </c>
      <c r="H63" s="100">
        <v>30.78</v>
      </c>
      <c r="I63" s="100">
        <v>10.199999999999999</v>
      </c>
      <c r="J63" s="100">
        <v>1.19</v>
      </c>
      <c r="K63" s="100">
        <v>287.64</v>
      </c>
      <c r="L63" s="100">
        <v>38.979999999999997</v>
      </c>
      <c r="M63" s="100">
        <v>20.8</v>
      </c>
      <c r="N63" s="100">
        <v>291.7</v>
      </c>
      <c r="O63" s="100">
        <v>0</v>
      </c>
      <c r="P63" s="100">
        <v>0.93</v>
      </c>
      <c r="Q63" s="100">
        <v>28</v>
      </c>
      <c r="R63" s="6"/>
      <c r="S63" s="6"/>
      <c r="T63" s="156"/>
      <c r="U63" s="6"/>
    </row>
    <row r="64" spans="1:21" customFormat="1">
      <c r="A64" s="163" t="s">
        <v>1638</v>
      </c>
      <c r="B64" s="100">
        <v>3.46</v>
      </c>
      <c r="C64" s="100">
        <v>14.68</v>
      </c>
      <c r="D64" s="100">
        <v>11.8</v>
      </c>
      <c r="E64" s="100">
        <v>11.41</v>
      </c>
      <c r="F64" s="152" t="s">
        <v>15</v>
      </c>
      <c r="G64" s="100">
        <v>58.94</v>
      </c>
      <c r="H64" s="100">
        <v>30.78</v>
      </c>
      <c r="I64" s="100">
        <v>9.91</v>
      </c>
      <c r="J64" s="100">
        <v>0.83</v>
      </c>
      <c r="K64" s="100">
        <v>278.91000000000003</v>
      </c>
      <c r="L64" s="100">
        <v>39.299999999999997</v>
      </c>
      <c r="M64" s="100">
        <v>18.93</v>
      </c>
      <c r="N64" s="100">
        <v>306.7</v>
      </c>
      <c r="O64" s="100">
        <v>0</v>
      </c>
      <c r="P64" s="100">
        <v>0.89</v>
      </c>
      <c r="Q64" s="100">
        <v>27.99</v>
      </c>
      <c r="R64" s="6"/>
      <c r="S64" s="6"/>
      <c r="T64" s="156"/>
      <c r="U64" s="6"/>
    </row>
    <row r="65" spans="1:21" customFormat="1">
      <c r="A65" s="163" t="s">
        <v>1639</v>
      </c>
      <c r="B65" s="100">
        <v>3.49</v>
      </c>
      <c r="C65" s="100">
        <v>14.41</v>
      </c>
      <c r="D65" s="100">
        <v>11.68</v>
      </c>
      <c r="E65" s="100">
        <v>12.27</v>
      </c>
      <c r="F65" s="152" t="s">
        <v>15</v>
      </c>
      <c r="G65" s="100">
        <v>59.12</v>
      </c>
      <c r="H65" s="100">
        <v>28.19</v>
      </c>
      <c r="I65" s="100">
        <v>9.56</v>
      </c>
      <c r="J65" s="100">
        <v>1.1200000000000001</v>
      </c>
      <c r="K65" s="100">
        <v>292.41000000000003</v>
      </c>
      <c r="L65" s="100">
        <v>39</v>
      </c>
      <c r="M65" s="100">
        <v>18.87</v>
      </c>
      <c r="N65" s="100">
        <v>296.8</v>
      </c>
      <c r="O65" s="100">
        <v>0</v>
      </c>
      <c r="P65" s="100">
        <v>0.81</v>
      </c>
      <c r="Q65" s="100">
        <v>28</v>
      </c>
      <c r="R65" s="6"/>
      <c r="S65" s="6"/>
      <c r="T65" s="156"/>
      <c r="U65" s="6"/>
    </row>
    <row r="66" spans="1:21" customFormat="1">
      <c r="A66" s="163" t="s">
        <v>1640</v>
      </c>
      <c r="B66" s="100">
        <v>3.48</v>
      </c>
      <c r="C66" s="100">
        <v>14.42</v>
      </c>
      <c r="D66" s="100">
        <v>11.68</v>
      </c>
      <c r="E66" s="100">
        <v>12.18</v>
      </c>
      <c r="F66" s="152" t="s">
        <v>15</v>
      </c>
      <c r="G66" s="100">
        <v>59.13</v>
      </c>
      <c r="H66" s="100">
        <v>28.19</v>
      </c>
      <c r="I66" s="100">
        <v>9.06</v>
      </c>
      <c r="J66" s="100">
        <v>1.03</v>
      </c>
      <c r="K66" s="100">
        <v>304.79000000000002</v>
      </c>
      <c r="L66" s="100">
        <v>39.08</v>
      </c>
      <c r="M66" s="100">
        <v>19.28</v>
      </c>
      <c r="N66" s="100">
        <v>288.60000000000002</v>
      </c>
      <c r="O66" s="100">
        <v>0</v>
      </c>
      <c r="P66" s="100">
        <v>0.82</v>
      </c>
      <c r="Q66" s="100">
        <v>27.99</v>
      </c>
      <c r="R66" s="6"/>
      <c r="S66" s="6"/>
      <c r="T66" s="156"/>
      <c r="U66" s="6"/>
    </row>
    <row r="67" spans="1:21" customFormat="1">
      <c r="A67" s="163" t="s">
        <v>1641</v>
      </c>
      <c r="B67" s="100">
        <v>3.56</v>
      </c>
      <c r="C67" s="100">
        <v>14.75</v>
      </c>
      <c r="D67" s="100">
        <v>11.91</v>
      </c>
      <c r="E67" s="100">
        <v>11.83</v>
      </c>
      <c r="F67" s="152" t="s">
        <v>15</v>
      </c>
      <c r="G67" s="100">
        <v>59.13</v>
      </c>
      <c r="H67" s="100">
        <v>28.19</v>
      </c>
      <c r="I67" s="100">
        <v>8.66</v>
      </c>
      <c r="J67" s="100">
        <v>1.07</v>
      </c>
      <c r="K67" s="100">
        <v>291.89</v>
      </c>
      <c r="L67" s="100">
        <v>39.130000000000003</v>
      </c>
      <c r="M67" s="100">
        <v>17.03</v>
      </c>
      <c r="N67" s="100">
        <v>266.5</v>
      </c>
      <c r="O67" s="100">
        <v>0</v>
      </c>
      <c r="P67" s="100">
        <v>0.8</v>
      </c>
      <c r="Q67" s="100">
        <v>28</v>
      </c>
      <c r="R67" s="6"/>
      <c r="S67" s="6"/>
      <c r="T67" s="156"/>
      <c r="U67" s="6"/>
    </row>
    <row r="68" spans="1:21" customFormat="1">
      <c r="A68" s="163" t="s">
        <v>1642</v>
      </c>
      <c r="B68" s="100">
        <v>3.56</v>
      </c>
      <c r="C68" s="100">
        <v>14.26</v>
      </c>
      <c r="D68" s="100">
        <v>11.66</v>
      </c>
      <c r="E68" s="100">
        <v>11.54</v>
      </c>
      <c r="F68" s="152" t="s">
        <v>15</v>
      </c>
      <c r="G68" s="100">
        <v>59.13</v>
      </c>
      <c r="H68" s="100">
        <v>28.19</v>
      </c>
      <c r="I68" s="100">
        <v>8.65</v>
      </c>
      <c r="J68" s="100">
        <v>0.57999999999999996</v>
      </c>
      <c r="K68" s="100">
        <v>263.17</v>
      </c>
      <c r="L68" s="100">
        <v>39.42</v>
      </c>
      <c r="M68" s="100">
        <v>14.09</v>
      </c>
      <c r="N68" s="100">
        <v>168.2</v>
      </c>
      <c r="O68" s="100">
        <v>0</v>
      </c>
      <c r="P68" s="100">
        <v>0.74</v>
      </c>
      <c r="Q68" s="100">
        <v>28</v>
      </c>
      <c r="R68" s="6"/>
      <c r="S68" s="6"/>
      <c r="T68" s="156"/>
      <c r="U68" s="6"/>
    </row>
    <row r="69" spans="1:21" customFormat="1">
      <c r="A69" s="163" t="s">
        <v>1643</v>
      </c>
      <c r="B69" s="100">
        <v>3.6</v>
      </c>
      <c r="C69" s="100">
        <v>13.84</v>
      </c>
      <c r="D69" s="100">
        <v>11.47</v>
      </c>
      <c r="E69" s="100">
        <v>11.46</v>
      </c>
      <c r="F69" s="152" t="s">
        <v>15</v>
      </c>
      <c r="G69" s="100">
        <v>53.34</v>
      </c>
      <c r="H69" s="100">
        <v>26.06</v>
      </c>
      <c r="I69" s="100">
        <v>8.3699999999999992</v>
      </c>
      <c r="J69" s="100">
        <v>0.79</v>
      </c>
      <c r="K69" s="100">
        <v>288.58</v>
      </c>
      <c r="L69" s="100">
        <v>39.31</v>
      </c>
      <c r="M69" s="100">
        <v>11.56</v>
      </c>
      <c r="N69" s="100">
        <v>197.9</v>
      </c>
      <c r="O69" s="100">
        <v>0</v>
      </c>
      <c r="P69" s="100">
        <v>0.72</v>
      </c>
      <c r="Q69" s="100">
        <v>28.01</v>
      </c>
      <c r="R69" s="6"/>
      <c r="S69" s="6"/>
      <c r="T69" s="156"/>
      <c r="U69" s="6"/>
    </row>
    <row r="70" spans="1:21" customFormat="1">
      <c r="A70" s="163" t="s">
        <v>1644</v>
      </c>
      <c r="B70" s="100">
        <v>3.6</v>
      </c>
      <c r="C70" s="100">
        <v>13.5</v>
      </c>
      <c r="D70" s="100">
        <v>11.29</v>
      </c>
      <c r="E70" s="100">
        <v>11.45</v>
      </c>
      <c r="F70" s="152" t="s">
        <v>15</v>
      </c>
      <c r="G70" s="100">
        <v>52.5</v>
      </c>
      <c r="H70" s="100">
        <v>26.06</v>
      </c>
      <c r="I70" s="100">
        <v>7.84</v>
      </c>
      <c r="J70" s="100">
        <v>0.67</v>
      </c>
      <c r="K70" s="100">
        <v>267.17</v>
      </c>
      <c r="L70" s="100">
        <v>39.159999999999997</v>
      </c>
      <c r="M70" s="100">
        <v>11.19</v>
      </c>
      <c r="N70" s="100">
        <v>118.4</v>
      </c>
      <c r="O70" s="100">
        <v>0</v>
      </c>
      <c r="P70" s="100">
        <v>0.68</v>
      </c>
      <c r="Q70" s="100">
        <v>28</v>
      </c>
      <c r="R70" s="6"/>
      <c r="S70" s="6"/>
      <c r="T70" s="156"/>
      <c r="U70" s="6"/>
    </row>
    <row r="71" spans="1:21" customFormat="1">
      <c r="A71" s="163" t="s">
        <v>1645</v>
      </c>
      <c r="B71" s="100">
        <v>3.59</v>
      </c>
      <c r="C71" s="100">
        <v>13.06</v>
      </c>
      <c r="D71" s="100">
        <v>11.05</v>
      </c>
      <c r="E71" s="100">
        <v>12.32</v>
      </c>
      <c r="F71" s="152" t="s">
        <v>15</v>
      </c>
      <c r="G71" s="100">
        <v>52.5</v>
      </c>
      <c r="H71" s="100">
        <v>26.06</v>
      </c>
      <c r="I71" s="100">
        <v>7.54</v>
      </c>
      <c r="J71" s="100">
        <v>0.59</v>
      </c>
      <c r="K71" s="100">
        <v>264.83999999999997</v>
      </c>
      <c r="L71" s="100">
        <v>38.89</v>
      </c>
      <c r="M71" s="100">
        <v>11.69</v>
      </c>
      <c r="N71" s="100">
        <v>148.80000000000001</v>
      </c>
      <c r="O71" s="100">
        <v>0</v>
      </c>
      <c r="P71" s="100">
        <v>0.68</v>
      </c>
      <c r="Q71" s="100">
        <v>28.01</v>
      </c>
      <c r="R71" s="6"/>
      <c r="S71" s="6"/>
      <c r="T71" s="156"/>
      <c r="U71" s="6"/>
    </row>
    <row r="72" spans="1:21" customFormat="1">
      <c r="A72" s="163" t="s">
        <v>1646</v>
      </c>
      <c r="B72" s="100">
        <v>3.53</v>
      </c>
      <c r="C72" s="100">
        <v>12.67</v>
      </c>
      <c r="D72" s="100">
        <v>10.8</v>
      </c>
      <c r="E72" s="100">
        <v>12.69</v>
      </c>
      <c r="F72" s="152" t="s">
        <v>15</v>
      </c>
      <c r="G72" s="100">
        <v>52.5</v>
      </c>
      <c r="H72" s="100">
        <v>26.06</v>
      </c>
      <c r="I72" s="100">
        <v>7.35</v>
      </c>
      <c r="J72" s="100">
        <v>0.53</v>
      </c>
      <c r="K72" s="100">
        <v>237.39</v>
      </c>
      <c r="L72" s="100">
        <v>38.67</v>
      </c>
      <c r="M72" s="100">
        <v>12.64</v>
      </c>
      <c r="N72" s="100">
        <v>169.5</v>
      </c>
      <c r="O72" s="100">
        <v>0</v>
      </c>
      <c r="P72" s="100">
        <v>0.69</v>
      </c>
      <c r="Q72" s="100">
        <v>28</v>
      </c>
      <c r="R72" s="6"/>
      <c r="S72" s="6"/>
      <c r="T72" s="156"/>
      <c r="U72" s="6"/>
    </row>
    <row r="73" spans="1:21" customFormat="1">
      <c r="A73" s="163" t="s">
        <v>1647</v>
      </c>
      <c r="B73" s="100">
        <v>3.47</v>
      </c>
      <c r="C73" s="100">
        <v>11.31</v>
      </c>
      <c r="D73" s="100">
        <v>10.039999999999999</v>
      </c>
      <c r="E73" s="100">
        <v>15.64</v>
      </c>
      <c r="F73" s="152" t="s">
        <v>15</v>
      </c>
      <c r="G73" s="100">
        <v>35.450000000000003</v>
      </c>
      <c r="H73" s="100">
        <v>22.11</v>
      </c>
      <c r="I73" s="100">
        <v>7.29</v>
      </c>
      <c r="J73" s="100">
        <v>0.35</v>
      </c>
      <c r="K73" s="100">
        <v>253.63</v>
      </c>
      <c r="L73" s="100">
        <v>38.53</v>
      </c>
      <c r="M73" s="100">
        <v>14.32</v>
      </c>
      <c r="N73" s="100">
        <v>69.5</v>
      </c>
      <c r="O73" s="100">
        <v>0</v>
      </c>
      <c r="P73" s="100">
        <v>0.67</v>
      </c>
      <c r="Q73" s="100">
        <v>28</v>
      </c>
      <c r="R73" s="6"/>
      <c r="S73" s="6"/>
      <c r="T73" s="156"/>
      <c r="U73" s="6"/>
    </row>
    <row r="74" spans="1:21" customFormat="1">
      <c r="A74" s="163" t="s">
        <v>1648</v>
      </c>
      <c r="B74" s="100">
        <v>3.49</v>
      </c>
      <c r="C74" s="100">
        <v>12.08</v>
      </c>
      <c r="D74" s="100">
        <v>10.46</v>
      </c>
      <c r="E74" s="100">
        <v>16.850000000000001</v>
      </c>
      <c r="F74" s="152" t="s">
        <v>15</v>
      </c>
      <c r="G74" s="100">
        <v>35.450000000000003</v>
      </c>
      <c r="H74" s="100">
        <v>22.11</v>
      </c>
      <c r="I74" s="100">
        <v>7.4</v>
      </c>
      <c r="J74" s="100">
        <v>0.52</v>
      </c>
      <c r="K74" s="100">
        <v>259.66000000000003</v>
      </c>
      <c r="L74" s="100">
        <v>38.19</v>
      </c>
      <c r="M74" s="100">
        <v>15.17</v>
      </c>
      <c r="N74" s="100">
        <v>59.9</v>
      </c>
      <c r="O74" s="100">
        <v>0</v>
      </c>
      <c r="P74" s="100">
        <v>0.68</v>
      </c>
      <c r="Q74" s="100">
        <v>28</v>
      </c>
      <c r="R74" s="6"/>
      <c r="S74" s="6"/>
      <c r="T74" s="156"/>
      <c r="U74" s="6"/>
    </row>
    <row r="75" spans="1:21" customFormat="1">
      <c r="A75" s="163" t="s">
        <v>1649</v>
      </c>
      <c r="B75" s="100">
        <v>3.44</v>
      </c>
      <c r="C75" s="100">
        <v>10.87</v>
      </c>
      <c r="D75" s="100">
        <v>9.7899999999999991</v>
      </c>
      <c r="E75" s="100">
        <v>15.16</v>
      </c>
      <c r="F75" s="152" t="s">
        <v>15</v>
      </c>
      <c r="G75" s="100">
        <v>35.450000000000003</v>
      </c>
      <c r="H75" s="100">
        <v>22.11</v>
      </c>
      <c r="I75" s="100">
        <v>7.44</v>
      </c>
      <c r="J75" s="100">
        <v>0.34</v>
      </c>
      <c r="K75" s="100">
        <v>238.69</v>
      </c>
      <c r="L75" s="100">
        <v>37.69</v>
      </c>
      <c r="M75" s="100">
        <v>17.149999999999999</v>
      </c>
      <c r="N75" s="100">
        <v>58.2</v>
      </c>
      <c r="O75" s="100">
        <v>0</v>
      </c>
      <c r="P75" s="100">
        <v>0.62</v>
      </c>
      <c r="Q75" s="100">
        <v>28</v>
      </c>
      <c r="R75" s="6"/>
      <c r="S75" s="6"/>
      <c r="T75" s="156"/>
      <c r="U75" s="6"/>
    </row>
    <row r="76" spans="1:21" customFormat="1">
      <c r="A76" s="163" t="s">
        <v>1650</v>
      </c>
      <c r="B76" s="100">
        <v>3.41</v>
      </c>
      <c r="C76" s="100">
        <v>10.26</v>
      </c>
      <c r="D76" s="100">
        <v>9.4499999999999993</v>
      </c>
      <c r="E76" s="100">
        <v>15.8</v>
      </c>
      <c r="F76" s="152" t="s">
        <v>15</v>
      </c>
      <c r="G76" s="100">
        <v>35.450000000000003</v>
      </c>
      <c r="H76" s="100">
        <v>22.11</v>
      </c>
      <c r="I76" s="100">
        <v>7.33</v>
      </c>
      <c r="J76" s="100">
        <v>0.3</v>
      </c>
      <c r="K76" s="100">
        <v>216.98</v>
      </c>
      <c r="L76" s="100">
        <v>37.130000000000003</v>
      </c>
      <c r="M76" s="100">
        <v>18.43</v>
      </c>
      <c r="N76" s="100">
        <v>78.900000000000006</v>
      </c>
      <c r="O76" s="100">
        <v>0</v>
      </c>
      <c r="P76" s="100">
        <v>0.62</v>
      </c>
      <c r="Q76" s="100">
        <v>28</v>
      </c>
      <c r="R76" s="6"/>
      <c r="S76" s="6"/>
      <c r="T76" s="156"/>
      <c r="U76" s="6"/>
    </row>
    <row r="77" spans="1:21" customFormat="1">
      <c r="A77" s="163" t="s">
        <v>1651</v>
      </c>
      <c r="B77" s="100">
        <v>3.39</v>
      </c>
      <c r="C77" s="100">
        <v>9.82</v>
      </c>
      <c r="D77" s="100">
        <v>9.1999999999999993</v>
      </c>
      <c r="E77" s="100">
        <v>15.65</v>
      </c>
      <c r="F77" s="152" t="s">
        <v>15</v>
      </c>
      <c r="G77" s="100">
        <v>21.27</v>
      </c>
      <c r="H77" s="100">
        <v>22.94</v>
      </c>
      <c r="I77" s="100">
        <v>6.71</v>
      </c>
      <c r="J77" s="100">
        <v>0.23</v>
      </c>
      <c r="K77" s="100">
        <v>200.2</v>
      </c>
      <c r="L77" s="100">
        <v>36.299999999999997</v>
      </c>
      <c r="M77" s="100">
        <v>19.66</v>
      </c>
      <c r="N77" s="100">
        <v>34.9</v>
      </c>
      <c r="O77" s="100">
        <v>0</v>
      </c>
      <c r="P77" s="100">
        <v>0.61</v>
      </c>
      <c r="Q77" s="100">
        <v>28</v>
      </c>
      <c r="R77" s="6"/>
      <c r="S77" s="6"/>
      <c r="T77" s="156"/>
      <c r="U77" s="6"/>
    </row>
    <row r="78" spans="1:21" customFormat="1">
      <c r="A78" s="163" t="s">
        <v>1652</v>
      </c>
      <c r="B78" s="100">
        <v>3.37</v>
      </c>
      <c r="C78" s="100">
        <v>9.85</v>
      </c>
      <c r="D78" s="100">
        <v>9.1999999999999993</v>
      </c>
      <c r="E78" s="100">
        <v>16.43</v>
      </c>
      <c r="F78" s="152" t="s">
        <v>15</v>
      </c>
      <c r="G78" s="100">
        <v>21.27</v>
      </c>
      <c r="H78" s="100">
        <v>22.94</v>
      </c>
      <c r="I78" s="100">
        <v>6.58</v>
      </c>
      <c r="J78" s="100">
        <v>0.2</v>
      </c>
      <c r="K78" s="100">
        <v>179.07</v>
      </c>
      <c r="L78" s="100">
        <v>35.71</v>
      </c>
      <c r="M78" s="100">
        <v>20.39</v>
      </c>
      <c r="N78" s="100">
        <v>22.1</v>
      </c>
      <c r="O78" s="100">
        <v>0</v>
      </c>
      <c r="P78" s="100">
        <v>0.62</v>
      </c>
      <c r="Q78" s="100">
        <v>28</v>
      </c>
      <c r="R78" s="6"/>
      <c r="S78" s="6"/>
      <c r="T78" s="156"/>
      <c r="U78" s="6"/>
    </row>
    <row r="79" spans="1:21" customFormat="1">
      <c r="A79" s="163" t="s">
        <v>1653</v>
      </c>
      <c r="B79" s="100">
        <v>3.36</v>
      </c>
      <c r="C79" s="100">
        <v>10.01</v>
      </c>
      <c r="D79" s="100">
        <v>9.2799999999999994</v>
      </c>
      <c r="E79" s="100">
        <v>17.09</v>
      </c>
      <c r="F79" s="152" t="s">
        <v>15</v>
      </c>
      <c r="G79" s="100">
        <v>21.27</v>
      </c>
      <c r="H79" s="100">
        <v>22.94</v>
      </c>
      <c r="I79" s="100">
        <v>6.62</v>
      </c>
      <c r="J79" s="100">
        <v>0.19</v>
      </c>
      <c r="K79" s="100">
        <v>175.43</v>
      </c>
      <c r="L79" s="100">
        <v>34.93</v>
      </c>
      <c r="M79" s="100">
        <v>20.420000000000002</v>
      </c>
      <c r="N79" s="100">
        <v>12.8</v>
      </c>
      <c r="O79" s="100">
        <v>0</v>
      </c>
      <c r="P79" s="100">
        <v>0.61</v>
      </c>
      <c r="Q79" s="100">
        <v>28.01</v>
      </c>
      <c r="R79" s="6"/>
      <c r="S79" s="6"/>
      <c r="T79" s="156"/>
      <c r="U79" s="6"/>
    </row>
    <row r="80" spans="1:21" customFormat="1">
      <c r="A80" s="163" t="s">
        <v>1654</v>
      </c>
      <c r="B80" s="100">
        <v>3.37</v>
      </c>
      <c r="C80" s="100">
        <v>10.46</v>
      </c>
      <c r="D80" s="100">
        <v>9.52</v>
      </c>
      <c r="E80" s="100">
        <v>16.38</v>
      </c>
      <c r="F80" s="152" t="s">
        <v>15</v>
      </c>
      <c r="G80" s="100">
        <v>21.27</v>
      </c>
      <c r="H80" s="100">
        <v>22.94</v>
      </c>
      <c r="I80" s="100">
        <v>6.78</v>
      </c>
      <c r="J80" s="100">
        <v>0.26</v>
      </c>
      <c r="K80" s="100">
        <v>168.11</v>
      </c>
      <c r="L80" s="100">
        <v>34.06</v>
      </c>
      <c r="M80" s="100">
        <v>22.25</v>
      </c>
      <c r="N80" s="100">
        <v>5.9</v>
      </c>
      <c r="O80" s="100">
        <v>0</v>
      </c>
      <c r="P80" s="100">
        <v>0.62</v>
      </c>
      <c r="Q80" s="100">
        <v>28</v>
      </c>
      <c r="R80" s="6"/>
      <c r="S80" s="6"/>
      <c r="T80" s="156"/>
      <c r="U80" s="6"/>
    </row>
    <row r="81" spans="1:21" customFormat="1">
      <c r="A81" s="163" t="s">
        <v>1655</v>
      </c>
      <c r="B81" s="100">
        <v>3.38</v>
      </c>
      <c r="C81" s="100">
        <v>10.78</v>
      </c>
      <c r="D81" s="100">
        <v>9.69</v>
      </c>
      <c r="E81" s="100">
        <v>11.86</v>
      </c>
      <c r="F81" s="152" t="s">
        <v>15</v>
      </c>
      <c r="G81" s="100">
        <v>13.19</v>
      </c>
      <c r="H81" s="100">
        <v>19.29</v>
      </c>
      <c r="I81" s="100">
        <v>6.83</v>
      </c>
      <c r="J81" s="100">
        <v>0.21</v>
      </c>
      <c r="K81" s="100">
        <v>169.56</v>
      </c>
      <c r="L81" s="100">
        <v>32.880000000000003</v>
      </c>
      <c r="M81" s="100">
        <v>25.71</v>
      </c>
      <c r="N81" s="100">
        <v>2.9</v>
      </c>
      <c r="O81" s="100">
        <v>0</v>
      </c>
      <c r="P81" s="100">
        <v>0.62</v>
      </c>
      <c r="Q81" s="100">
        <v>28</v>
      </c>
      <c r="R81" s="6"/>
      <c r="S81" s="6"/>
      <c r="T81" s="156"/>
      <c r="U81" s="6"/>
    </row>
    <row r="82" spans="1:21" customFormat="1">
      <c r="A82" s="163" t="s">
        <v>1656</v>
      </c>
      <c r="B82" s="100">
        <v>3.44</v>
      </c>
      <c r="C82" s="100">
        <v>12.01</v>
      </c>
      <c r="D82" s="100">
        <v>10.38</v>
      </c>
      <c r="E82" s="100">
        <v>14.13</v>
      </c>
      <c r="F82" s="152" t="s">
        <v>15</v>
      </c>
      <c r="G82" s="100">
        <v>13.19</v>
      </c>
      <c r="H82" s="100">
        <v>19.29</v>
      </c>
      <c r="I82" s="100">
        <v>6.93</v>
      </c>
      <c r="J82" s="100">
        <v>0.18</v>
      </c>
      <c r="K82" s="100">
        <v>190.44</v>
      </c>
      <c r="L82" s="100">
        <v>32.4</v>
      </c>
      <c r="M82" s="100">
        <v>25.41</v>
      </c>
      <c r="N82" s="100">
        <v>1.1000000000000001</v>
      </c>
      <c r="O82" s="100">
        <v>0</v>
      </c>
      <c r="P82" s="100">
        <v>0.65</v>
      </c>
      <c r="Q82" s="100">
        <v>27.99</v>
      </c>
      <c r="R82" s="6"/>
      <c r="S82" s="6"/>
      <c r="T82" s="156"/>
      <c r="U82" s="6"/>
    </row>
    <row r="83" spans="1:21" customFormat="1">
      <c r="A83" s="163" t="s">
        <v>1657</v>
      </c>
      <c r="B83" s="100">
        <v>3.6</v>
      </c>
      <c r="C83" s="100">
        <v>21.38</v>
      </c>
      <c r="D83" s="100">
        <v>15.4</v>
      </c>
      <c r="E83" s="100">
        <v>12.53</v>
      </c>
      <c r="F83" s="152" t="s">
        <v>15</v>
      </c>
      <c r="G83" s="100">
        <v>13.19</v>
      </c>
      <c r="H83" s="100">
        <v>19.29</v>
      </c>
      <c r="I83" s="100">
        <v>7.07</v>
      </c>
      <c r="J83" s="100">
        <v>0.17</v>
      </c>
      <c r="K83" s="100">
        <v>189.53</v>
      </c>
      <c r="L83" s="100">
        <v>32.31</v>
      </c>
      <c r="M83" s="100">
        <v>25.28</v>
      </c>
      <c r="N83" s="100">
        <v>0.7</v>
      </c>
      <c r="O83" s="100">
        <v>0</v>
      </c>
      <c r="P83" s="100">
        <v>0.79</v>
      </c>
      <c r="Q83" s="100">
        <v>28.01</v>
      </c>
      <c r="R83" s="6"/>
      <c r="S83" s="6"/>
      <c r="T83" s="156"/>
      <c r="U83" s="6"/>
    </row>
    <row r="84" spans="1:21" customFormat="1">
      <c r="A84" s="163" t="s">
        <v>1658</v>
      </c>
      <c r="B84" s="100">
        <v>3.74</v>
      </c>
      <c r="C84" s="100">
        <v>23.21</v>
      </c>
      <c r="D84" s="100">
        <v>16.48</v>
      </c>
      <c r="E84" s="100">
        <v>10.42</v>
      </c>
      <c r="F84" s="152" t="s">
        <v>15</v>
      </c>
      <c r="G84" s="100">
        <v>13.19</v>
      </c>
      <c r="H84" s="100">
        <v>19.29</v>
      </c>
      <c r="I84" s="100">
        <v>7.36</v>
      </c>
      <c r="J84" s="100">
        <v>0.16</v>
      </c>
      <c r="K84" s="100">
        <v>187.71</v>
      </c>
      <c r="L84" s="100">
        <v>32.18</v>
      </c>
      <c r="M84" s="100">
        <v>26.8</v>
      </c>
      <c r="N84" s="100">
        <v>0.8</v>
      </c>
      <c r="O84" s="100">
        <v>0</v>
      </c>
      <c r="P84" s="100">
        <v>0.81</v>
      </c>
      <c r="Q84" s="100">
        <v>28.02</v>
      </c>
      <c r="R84" s="6"/>
      <c r="S84" s="6"/>
      <c r="T84" s="156"/>
      <c r="U84" s="6"/>
    </row>
    <row r="85" spans="1:21" customFormat="1">
      <c r="A85" s="163" t="s">
        <v>1659</v>
      </c>
      <c r="B85" s="100">
        <v>3.82</v>
      </c>
      <c r="C85" s="100">
        <v>20.32</v>
      </c>
      <c r="D85" s="100">
        <v>15.03</v>
      </c>
      <c r="E85" s="100">
        <v>9.69</v>
      </c>
      <c r="F85" s="152" t="s">
        <v>15</v>
      </c>
      <c r="G85" s="100">
        <v>8.44</v>
      </c>
      <c r="H85" s="100">
        <v>19.48</v>
      </c>
      <c r="I85" s="100">
        <v>8</v>
      </c>
      <c r="J85" s="100">
        <v>0.35</v>
      </c>
      <c r="K85" s="100">
        <v>172.24</v>
      </c>
      <c r="L85" s="100">
        <v>31.11</v>
      </c>
      <c r="M85" s="100">
        <v>31.8</v>
      </c>
      <c r="N85" s="100">
        <v>1.6</v>
      </c>
      <c r="O85" s="100">
        <v>0</v>
      </c>
      <c r="P85" s="100">
        <v>0.74</v>
      </c>
      <c r="Q85" s="100">
        <v>28.01</v>
      </c>
      <c r="R85" s="6"/>
      <c r="S85" s="6"/>
      <c r="T85" s="156"/>
      <c r="U85" s="6"/>
    </row>
    <row r="86" spans="1:21" customFormat="1">
      <c r="A86" s="163" t="s">
        <v>1660</v>
      </c>
      <c r="B86" s="100">
        <v>3.93</v>
      </c>
      <c r="C86" s="100">
        <v>18.34</v>
      </c>
      <c r="D86" s="100">
        <v>14.08</v>
      </c>
      <c r="E86" s="100">
        <v>9.61</v>
      </c>
      <c r="F86" s="152" t="s">
        <v>15</v>
      </c>
      <c r="G86" s="100">
        <v>8.44</v>
      </c>
      <c r="H86" s="100">
        <v>19.48</v>
      </c>
      <c r="I86" s="100">
        <v>8.35</v>
      </c>
      <c r="J86" s="100">
        <v>0.25</v>
      </c>
      <c r="K86" s="100">
        <v>177.9</v>
      </c>
      <c r="L86" s="100">
        <v>30.53</v>
      </c>
      <c r="M86" s="100">
        <v>32.520000000000003</v>
      </c>
      <c r="N86" s="100">
        <v>1.4</v>
      </c>
      <c r="O86" s="100">
        <v>0</v>
      </c>
      <c r="P86" s="100">
        <v>0.76</v>
      </c>
      <c r="Q86" s="100">
        <v>28.02</v>
      </c>
      <c r="R86" s="6"/>
      <c r="S86" s="6"/>
      <c r="T86" s="156"/>
      <c r="U86" s="6"/>
    </row>
    <row r="87" spans="1:21" customFormat="1">
      <c r="A87" s="163" t="s">
        <v>1661</v>
      </c>
      <c r="B87" s="100">
        <v>3.98</v>
      </c>
      <c r="C87" s="100">
        <v>17.96</v>
      </c>
      <c r="D87" s="100">
        <v>13.93</v>
      </c>
      <c r="E87" s="100">
        <v>9.27</v>
      </c>
      <c r="F87" s="152" t="s">
        <v>15</v>
      </c>
      <c r="G87" s="100">
        <v>8.44</v>
      </c>
      <c r="H87" s="100">
        <v>19.48</v>
      </c>
      <c r="I87" s="100">
        <v>8.43</v>
      </c>
      <c r="J87" s="100">
        <v>0.22</v>
      </c>
      <c r="K87" s="100">
        <v>173</v>
      </c>
      <c r="L87" s="100">
        <v>29.93</v>
      </c>
      <c r="M87" s="100">
        <v>34.57</v>
      </c>
      <c r="N87" s="100">
        <v>1.1000000000000001</v>
      </c>
      <c r="O87" s="100">
        <v>0</v>
      </c>
      <c r="P87" s="100">
        <v>0.79</v>
      </c>
      <c r="Q87" s="100">
        <v>28.02</v>
      </c>
      <c r="R87" s="6"/>
      <c r="S87" s="6"/>
      <c r="T87" s="156"/>
      <c r="U87" s="6"/>
    </row>
    <row r="88" spans="1:21" customFormat="1">
      <c r="A88" s="163" t="s">
        <v>1662</v>
      </c>
      <c r="B88" s="100">
        <v>4.01</v>
      </c>
      <c r="C88" s="100">
        <v>17.48</v>
      </c>
      <c r="D88" s="100">
        <v>13.7</v>
      </c>
      <c r="E88" s="100">
        <v>9.14</v>
      </c>
      <c r="F88" s="152" t="s">
        <v>15</v>
      </c>
      <c r="G88" s="100">
        <v>8.44</v>
      </c>
      <c r="H88" s="100">
        <v>19.48</v>
      </c>
      <c r="I88" s="100">
        <v>8.6300000000000008</v>
      </c>
      <c r="J88" s="100">
        <v>0.2</v>
      </c>
      <c r="K88" s="100">
        <v>174.45</v>
      </c>
      <c r="L88" s="100">
        <v>29.69</v>
      </c>
      <c r="M88" s="100">
        <v>35.81</v>
      </c>
      <c r="N88" s="100">
        <v>0.9</v>
      </c>
      <c r="O88" s="100">
        <v>0</v>
      </c>
      <c r="P88" s="100">
        <v>0.78</v>
      </c>
      <c r="Q88" s="100">
        <v>28.03</v>
      </c>
      <c r="R88" s="6"/>
      <c r="S88" s="6"/>
      <c r="T88" s="156"/>
      <c r="U88" s="6"/>
    </row>
    <row r="89" spans="1:21" customFormat="1">
      <c r="A89" s="163" t="s">
        <v>1663</v>
      </c>
      <c r="B89" s="100">
        <v>4.0199999999999996</v>
      </c>
      <c r="C89" s="100">
        <v>17.21</v>
      </c>
      <c r="D89" s="100">
        <v>13.57</v>
      </c>
      <c r="E89" s="100">
        <v>9.3699999999999992</v>
      </c>
      <c r="F89" s="152" t="s">
        <v>15</v>
      </c>
      <c r="G89" s="100">
        <v>5.57</v>
      </c>
      <c r="H89" s="100">
        <v>24.32</v>
      </c>
      <c r="I89" s="100">
        <v>8.86</v>
      </c>
      <c r="J89" s="100">
        <v>0.19</v>
      </c>
      <c r="K89" s="100">
        <v>170.38</v>
      </c>
      <c r="L89" s="100">
        <v>29.39</v>
      </c>
      <c r="M89" s="100">
        <v>35.18</v>
      </c>
      <c r="N89" s="100">
        <v>1</v>
      </c>
      <c r="O89" s="100">
        <v>0</v>
      </c>
      <c r="P89" s="100">
        <v>0.77</v>
      </c>
      <c r="Q89" s="100">
        <v>28.03</v>
      </c>
      <c r="R89" s="6"/>
      <c r="S89" s="6"/>
      <c r="T89" s="156"/>
      <c r="U89" s="6"/>
    </row>
    <row r="90" spans="1:21" customFormat="1">
      <c r="A90" s="163" t="s">
        <v>1664</v>
      </c>
      <c r="B90" s="100">
        <v>3.97</v>
      </c>
      <c r="C90" s="100">
        <v>17</v>
      </c>
      <c r="D90" s="100">
        <v>13.41</v>
      </c>
      <c r="E90" s="100">
        <v>9.06</v>
      </c>
      <c r="F90" s="152" t="s">
        <v>15</v>
      </c>
      <c r="G90" s="100">
        <v>5.57</v>
      </c>
      <c r="H90" s="100">
        <v>24.32</v>
      </c>
      <c r="I90" s="100">
        <v>8.8699999999999992</v>
      </c>
      <c r="J90" s="100">
        <v>0.25</v>
      </c>
      <c r="K90" s="100">
        <v>188.59</v>
      </c>
      <c r="L90" s="100">
        <v>29.3</v>
      </c>
      <c r="M90" s="100">
        <v>38.44</v>
      </c>
      <c r="N90" s="100">
        <v>1.1000000000000001</v>
      </c>
      <c r="O90" s="100">
        <v>0</v>
      </c>
      <c r="P90" s="100">
        <v>0.79</v>
      </c>
      <c r="Q90" s="100">
        <v>28.04</v>
      </c>
      <c r="R90" s="6"/>
      <c r="S90" s="6"/>
      <c r="T90" s="156"/>
      <c r="U90" s="6"/>
    </row>
    <row r="91" spans="1:21" customFormat="1">
      <c r="A91" s="163" t="s">
        <v>1665</v>
      </c>
      <c r="B91" s="100">
        <v>4</v>
      </c>
      <c r="C91" s="100">
        <v>16.8</v>
      </c>
      <c r="D91" s="100">
        <v>13.34</v>
      </c>
      <c r="E91" s="100">
        <v>9.0299999999999994</v>
      </c>
      <c r="F91" s="152" t="s">
        <v>15</v>
      </c>
      <c r="G91" s="100">
        <v>5.57</v>
      </c>
      <c r="H91" s="100">
        <v>24.32</v>
      </c>
      <c r="I91" s="100">
        <v>8.84</v>
      </c>
      <c r="J91" s="100">
        <v>0.22</v>
      </c>
      <c r="K91" s="100">
        <v>163.81</v>
      </c>
      <c r="L91" s="100">
        <v>28.95</v>
      </c>
      <c r="M91" s="100">
        <v>37.51</v>
      </c>
      <c r="N91" s="100">
        <v>1</v>
      </c>
      <c r="O91" s="100">
        <v>0</v>
      </c>
      <c r="P91" s="100">
        <v>0.79</v>
      </c>
      <c r="Q91" s="100">
        <v>28.03</v>
      </c>
      <c r="R91" s="6"/>
      <c r="S91" s="6"/>
      <c r="T91" s="156"/>
      <c r="U91" s="6"/>
    </row>
    <row r="92" spans="1:21" customFormat="1">
      <c r="A92" s="163" t="s">
        <v>1666</v>
      </c>
      <c r="B92" s="100">
        <v>4.08</v>
      </c>
      <c r="C92" s="100">
        <v>16.940000000000001</v>
      </c>
      <c r="D92" s="100">
        <v>13.48</v>
      </c>
      <c r="E92" s="100">
        <v>9.2200000000000006</v>
      </c>
      <c r="F92" s="152" t="s">
        <v>15</v>
      </c>
      <c r="G92" s="100">
        <v>5.57</v>
      </c>
      <c r="H92" s="100">
        <v>24.32</v>
      </c>
      <c r="I92" s="100">
        <v>8.84</v>
      </c>
      <c r="J92" s="100">
        <v>0.17</v>
      </c>
      <c r="K92" s="100">
        <v>194</v>
      </c>
      <c r="L92" s="100">
        <v>28.6</v>
      </c>
      <c r="M92" s="100">
        <v>36.549999999999997</v>
      </c>
      <c r="N92" s="100">
        <v>1</v>
      </c>
      <c r="O92" s="100">
        <v>0</v>
      </c>
      <c r="P92" s="100">
        <v>0.81</v>
      </c>
      <c r="Q92" s="100">
        <v>28.02</v>
      </c>
      <c r="R92" s="6"/>
      <c r="S92" s="6"/>
      <c r="T92" s="156"/>
      <c r="U92" s="6"/>
    </row>
    <row r="93" spans="1:21" customFormat="1">
      <c r="A93" s="163" t="s">
        <v>1667</v>
      </c>
      <c r="B93" s="100">
        <v>11.74</v>
      </c>
      <c r="C93" s="100">
        <v>21.03</v>
      </c>
      <c r="D93" s="100">
        <v>21.75</v>
      </c>
      <c r="E93" s="100">
        <v>9.2100000000000009</v>
      </c>
      <c r="F93" s="152" t="s">
        <v>15</v>
      </c>
      <c r="G93" s="100">
        <v>3.84</v>
      </c>
      <c r="H93" s="100">
        <v>26.72</v>
      </c>
      <c r="I93" s="100">
        <v>8.93</v>
      </c>
      <c r="J93" s="100">
        <v>0.21</v>
      </c>
      <c r="K93" s="100">
        <v>227.55</v>
      </c>
      <c r="L93" s="100">
        <v>28.54</v>
      </c>
      <c r="M93" s="100">
        <v>37.47</v>
      </c>
      <c r="N93" s="100">
        <v>0.7</v>
      </c>
      <c r="O93" s="100">
        <v>0</v>
      </c>
      <c r="P93" s="100">
        <v>0.9</v>
      </c>
      <c r="Q93" s="100">
        <v>28.02</v>
      </c>
      <c r="R93" s="6"/>
      <c r="S93" s="6"/>
      <c r="T93" s="156"/>
      <c r="U93" s="6"/>
    </row>
    <row r="94" spans="1:21" customFormat="1">
      <c r="A94" s="163" t="s">
        <v>1668</v>
      </c>
      <c r="B94" s="100">
        <v>16.309999999999999</v>
      </c>
      <c r="C94" s="100">
        <v>24.09</v>
      </c>
      <c r="D94" s="100">
        <v>27.02</v>
      </c>
      <c r="E94" s="100">
        <v>9.0299999999999994</v>
      </c>
      <c r="F94" s="152" t="s">
        <v>15</v>
      </c>
      <c r="G94" s="100">
        <v>3.84</v>
      </c>
      <c r="H94" s="100">
        <v>26.72</v>
      </c>
      <c r="I94" s="100">
        <v>9.1999999999999993</v>
      </c>
      <c r="J94" s="100">
        <v>0.13</v>
      </c>
      <c r="K94" s="100">
        <v>196.18</v>
      </c>
      <c r="L94" s="100">
        <v>28.8</v>
      </c>
      <c r="M94" s="100">
        <v>38.24</v>
      </c>
      <c r="N94" s="100">
        <v>0.6</v>
      </c>
      <c r="O94" s="100">
        <v>0</v>
      </c>
      <c r="P94" s="100">
        <v>0.94</v>
      </c>
      <c r="Q94" s="100">
        <v>28.1</v>
      </c>
      <c r="R94" s="6"/>
      <c r="S94" s="6"/>
      <c r="T94" s="156"/>
      <c r="U94" s="6"/>
    </row>
    <row r="95" spans="1:21" customFormat="1">
      <c r="A95" s="163" t="s">
        <v>1669</v>
      </c>
      <c r="B95" s="100">
        <v>9.2200000000000006</v>
      </c>
      <c r="C95" s="100">
        <v>20.71</v>
      </c>
      <c r="D95" s="100">
        <v>19.57</v>
      </c>
      <c r="E95" s="100">
        <v>8.59</v>
      </c>
      <c r="F95" s="152" t="s">
        <v>15</v>
      </c>
      <c r="G95" s="100">
        <v>3.84</v>
      </c>
      <c r="H95" s="100">
        <v>26.72</v>
      </c>
      <c r="I95" s="100">
        <v>9.67</v>
      </c>
      <c r="J95" s="100">
        <v>0.41</v>
      </c>
      <c r="K95" s="100">
        <v>181.1</v>
      </c>
      <c r="L95" s="100">
        <v>28.29</v>
      </c>
      <c r="M95" s="100">
        <v>42.37</v>
      </c>
      <c r="N95" s="100">
        <v>1.2</v>
      </c>
      <c r="O95" s="100">
        <v>0</v>
      </c>
      <c r="P95" s="100">
        <v>0.88</v>
      </c>
      <c r="Q95" s="100">
        <v>28.18</v>
      </c>
      <c r="R95" s="6"/>
      <c r="S95" s="6"/>
      <c r="T95" s="156"/>
      <c r="U95" s="6"/>
    </row>
    <row r="96" spans="1:21" customFormat="1">
      <c r="A96" s="163" t="s">
        <v>1670</v>
      </c>
      <c r="B96" s="100">
        <v>8.48</v>
      </c>
      <c r="C96" s="100">
        <v>20.12</v>
      </c>
      <c r="D96" s="100">
        <v>18.66</v>
      </c>
      <c r="E96" s="100">
        <v>8.2799999999999994</v>
      </c>
      <c r="F96" s="152" t="s">
        <v>15</v>
      </c>
      <c r="G96" s="100">
        <v>3.84</v>
      </c>
      <c r="H96" s="100">
        <v>26.72</v>
      </c>
      <c r="I96" s="100">
        <v>9.9499999999999993</v>
      </c>
      <c r="J96" s="100">
        <v>0.4</v>
      </c>
      <c r="K96" s="100">
        <v>168.69</v>
      </c>
      <c r="L96" s="100">
        <v>27.95</v>
      </c>
      <c r="M96" s="100">
        <v>41.01</v>
      </c>
      <c r="N96" s="100">
        <v>1.1000000000000001</v>
      </c>
      <c r="O96" s="100">
        <v>0</v>
      </c>
      <c r="P96" s="100">
        <v>0.88</v>
      </c>
      <c r="Q96" s="100">
        <v>28.19</v>
      </c>
      <c r="R96" s="6"/>
      <c r="S96" s="6"/>
      <c r="T96" s="156"/>
      <c r="U96" s="6"/>
    </row>
    <row r="97" spans="1:28" customFormat="1">
      <c r="A97" s="163" t="s">
        <v>1671</v>
      </c>
      <c r="B97" s="100">
        <v>8.02</v>
      </c>
      <c r="C97" s="100">
        <v>19.850000000000001</v>
      </c>
      <c r="D97" s="100">
        <v>18.16</v>
      </c>
      <c r="E97" s="100">
        <v>8.5399999999999991</v>
      </c>
      <c r="F97" s="152" t="s">
        <v>15</v>
      </c>
      <c r="G97" s="100">
        <v>4.21</v>
      </c>
      <c r="H97" s="100">
        <v>27.54</v>
      </c>
      <c r="I97" s="100">
        <v>9.91</v>
      </c>
      <c r="J97" s="100">
        <v>0.25</v>
      </c>
      <c r="K97" s="100">
        <v>160.44999999999999</v>
      </c>
      <c r="L97" s="100">
        <v>27.67</v>
      </c>
      <c r="M97" s="100">
        <v>42.04</v>
      </c>
      <c r="N97" s="100">
        <v>1</v>
      </c>
      <c r="O97" s="100">
        <v>0</v>
      </c>
      <c r="P97" s="100">
        <v>0.89</v>
      </c>
      <c r="Q97" s="100">
        <v>28.19</v>
      </c>
      <c r="R97" s="6"/>
      <c r="S97" s="6"/>
      <c r="T97" s="156"/>
      <c r="U97" s="6"/>
    </row>
    <row r="98" spans="1:28" customFormat="1">
      <c r="A98" s="163" t="s">
        <v>1672</v>
      </c>
      <c r="B98" s="100">
        <v>7.74</v>
      </c>
      <c r="C98" s="100">
        <v>19.690000000000001</v>
      </c>
      <c r="D98" s="100">
        <v>17.84</v>
      </c>
      <c r="E98" s="100">
        <v>8.5</v>
      </c>
      <c r="F98" s="152" t="s">
        <v>15</v>
      </c>
      <c r="G98" s="100">
        <v>4.21</v>
      </c>
      <c r="H98" s="100">
        <v>27.54</v>
      </c>
      <c r="I98" s="100">
        <v>9.7799999999999994</v>
      </c>
      <c r="J98" s="100">
        <v>0.28000000000000003</v>
      </c>
      <c r="K98" s="100">
        <v>187.63</v>
      </c>
      <c r="L98" s="100">
        <v>27.63</v>
      </c>
      <c r="M98" s="100">
        <v>42.7</v>
      </c>
      <c r="N98" s="100">
        <v>0.8</v>
      </c>
      <c r="O98" s="100">
        <v>0</v>
      </c>
      <c r="P98" s="100">
        <v>0.92</v>
      </c>
      <c r="Q98" s="100">
        <v>28.18</v>
      </c>
      <c r="R98" s="6"/>
      <c r="S98" s="6"/>
      <c r="T98" s="156"/>
      <c r="U98" s="6"/>
    </row>
    <row r="99" spans="1:28" customFormat="1">
      <c r="A99" s="163" t="s">
        <v>1673</v>
      </c>
      <c r="B99" s="100">
        <v>7.49</v>
      </c>
      <c r="C99" s="100">
        <v>19.57</v>
      </c>
      <c r="D99" s="100">
        <v>17.579999999999998</v>
      </c>
      <c r="E99" s="100">
        <v>8.66</v>
      </c>
      <c r="F99" s="152" t="s">
        <v>15</v>
      </c>
      <c r="G99" s="100">
        <v>4.21</v>
      </c>
      <c r="H99" s="100">
        <v>27.54</v>
      </c>
      <c r="I99" s="100">
        <v>9.9499999999999993</v>
      </c>
      <c r="J99" s="100">
        <v>0.22</v>
      </c>
      <c r="K99" s="100">
        <v>201.37</v>
      </c>
      <c r="L99" s="100">
        <v>27.31</v>
      </c>
      <c r="M99" s="100">
        <v>42.53</v>
      </c>
      <c r="N99" s="100">
        <v>1.1000000000000001</v>
      </c>
      <c r="O99" s="100">
        <v>0</v>
      </c>
      <c r="P99" s="100">
        <v>0.93</v>
      </c>
      <c r="Q99" s="100">
        <v>28.17</v>
      </c>
      <c r="R99" s="6"/>
      <c r="S99" s="6"/>
      <c r="T99" s="156"/>
      <c r="U99" s="6"/>
    </row>
    <row r="100" spans="1:28" customFormat="1">
      <c r="A100" s="163" t="s">
        <v>1674</v>
      </c>
      <c r="B100" s="100">
        <v>7.17</v>
      </c>
      <c r="C100" s="100">
        <v>19.36</v>
      </c>
      <c r="D100" s="100">
        <v>17.22</v>
      </c>
      <c r="E100" s="100">
        <v>8.66</v>
      </c>
      <c r="F100" s="152" t="s">
        <v>15</v>
      </c>
      <c r="G100" s="100">
        <v>4.21</v>
      </c>
      <c r="H100" s="100">
        <v>27.54</v>
      </c>
      <c r="I100" s="100">
        <v>10.19</v>
      </c>
      <c r="J100" s="100">
        <v>0.14000000000000001</v>
      </c>
      <c r="K100" s="100">
        <v>207.98</v>
      </c>
      <c r="L100" s="100">
        <v>27.06</v>
      </c>
      <c r="M100" s="100">
        <v>42.22</v>
      </c>
      <c r="N100" s="100">
        <v>1</v>
      </c>
      <c r="O100" s="100">
        <v>0</v>
      </c>
      <c r="P100" s="100">
        <v>0.95</v>
      </c>
      <c r="Q100" s="100">
        <v>28.15</v>
      </c>
      <c r="R100" s="6"/>
      <c r="S100" s="6"/>
      <c r="T100" s="156"/>
      <c r="U100" s="6"/>
      <c r="AB100" s="161"/>
    </row>
    <row r="101" spans="1:28" customFormat="1">
      <c r="A101" s="163" t="s">
        <v>1675</v>
      </c>
      <c r="B101" s="100">
        <v>6.9</v>
      </c>
      <c r="C101" s="100">
        <v>19.260000000000002</v>
      </c>
      <c r="D101" s="100">
        <v>16.940000000000001</v>
      </c>
      <c r="E101" s="100">
        <v>8.36</v>
      </c>
      <c r="F101" s="152" t="s">
        <v>15</v>
      </c>
      <c r="G101" s="100">
        <v>2.95</v>
      </c>
      <c r="H101" s="100">
        <v>29.19</v>
      </c>
      <c r="I101" s="100">
        <v>10.44</v>
      </c>
      <c r="J101" s="100">
        <v>0.19</v>
      </c>
      <c r="K101" s="100">
        <v>219.12</v>
      </c>
      <c r="L101" s="100">
        <v>26.81</v>
      </c>
      <c r="M101" s="100">
        <v>45.65</v>
      </c>
      <c r="N101" s="100">
        <v>1</v>
      </c>
      <c r="O101" s="100">
        <v>0</v>
      </c>
      <c r="P101" s="100">
        <v>0.96</v>
      </c>
      <c r="Q101" s="100">
        <v>28.13</v>
      </c>
      <c r="R101" s="6"/>
      <c r="S101" s="6"/>
      <c r="T101" s="156"/>
      <c r="U101" s="6"/>
    </row>
    <row r="102" spans="1:28" customFormat="1">
      <c r="A102" s="163" t="s">
        <v>1676</v>
      </c>
      <c r="B102" s="100">
        <v>6.69</v>
      </c>
      <c r="C102" s="100">
        <v>19.04</v>
      </c>
      <c r="D102" s="100">
        <v>16.670000000000002</v>
      </c>
      <c r="E102" s="100">
        <v>8.25</v>
      </c>
      <c r="F102" s="152" t="s">
        <v>15</v>
      </c>
      <c r="G102" s="100">
        <v>2.95</v>
      </c>
      <c r="H102" s="100">
        <v>29.19</v>
      </c>
      <c r="I102" s="100">
        <v>10.71</v>
      </c>
      <c r="J102" s="100">
        <v>0.17</v>
      </c>
      <c r="K102" s="100">
        <v>203.77</v>
      </c>
      <c r="L102" s="100">
        <v>26.51</v>
      </c>
      <c r="M102" s="100">
        <v>47.48</v>
      </c>
      <c r="N102" s="100">
        <v>1</v>
      </c>
      <c r="O102" s="100">
        <v>0</v>
      </c>
      <c r="P102" s="100">
        <v>0.98</v>
      </c>
      <c r="Q102" s="100">
        <v>28.13</v>
      </c>
      <c r="R102" s="6"/>
      <c r="S102" s="6"/>
      <c r="T102" s="156"/>
      <c r="U102" s="6"/>
    </row>
    <row r="103" spans="1:28" customFormat="1">
      <c r="A103" s="163" t="s">
        <v>1677</v>
      </c>
      <c r="B103" s="100">
        <v>6.51</v>
      </c>
      <c r="C103" s="100">
        <v>18.8</v>
      </c>
      <c r="D103" s="100">
        <v>16.399999999999999</v>
      </c>
      <c r="E103" s="100">
        <v>8.19</v>
      </c>
      <c r="F103" s="152" t="s">
        <v>15</v>
      </c>
      <c r="G103" s="100">
        <v>2.95</v>
      </c>
      <c r="H103" s="100">
        <v>29.19</v>
      </c>
      <c r="I103" s="100">
        <v>10.95</v>
      </c>
      <c r="J103" s="100">
        <v>0.15</v>
      </c>
      <c r="K103" s="100">
        <v>192.69</v>
      </c>
      <c r="L103" s="100">
        <v>26.28</v>
      </c>
      <c r="M103" s="100">
        <v>47.2</v>
      </c>
      <c r="N103" s="100">
        <v>0.9</v>
      </c>
      <c r="O103" s="100">
        <v>0</v>
      </c>
      <c r="P103" s="100">
        <v>1</v>
      </c>
      <c r="Q103" s="100">
        <v>28.11</v>
      </c>
      <c r="R103" s="6"/>
      <c r="S103" s="6"/>
      <c r="T103" s="156"/>
      <c r="U103" s="6"/>
    </row>
    <row r="104" spans="1:28" customFormat="1">
      <c r="A104" s="163" t="s">
        <v>1678</v>
      </c>
      <c r="B104" s="100">
        <v>6.48</v>
      </c>
      <c r="C104" s="100">
        <v>18.53</v>
      </c>
      <c r="D104" s="100">
        <v>16.23</v>
      </c>
      <c r="E104" s="100">
        <v>8.43</v>
      </c>
      <c r="F104" s="152" t="s">
        <v>15</v>
      </c>
      <c r="G104" s="100">
        <v>2.95</v>
      </c>
      <c r="H104" s="100">
        <v>29.19</v>
      </c>
      <c r="I104" s="100">
        <v>11.19</v>
      </c>
      <c r="J104" s="100">
        <v>0.22</v>
      </c>
      <c r="K104" s="100">
        <v>198.84</v>
      </c>
      <c r="L104" s="100">
        <v>26.29</v>
      </c>
      <c r="M104" s="100">
        <v>46.68</v>
      </c>
      <c r="N104" s="100">
        <v>0.7</v>
      </c>
      <c r="O104" s="100">
        <v>0</v>
      </c>
      <c r="P104" s="100">
        <v>1</v>
      </c>
      <c r="Q104" s="100">
        <v>28.11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3.36</v>
      </c>
      <c r="C106" s="158">
        <f>MIN(C9:C104)</f>
        <v>9.82</v>
      </c>
      <c r="D106" s="158">
        <f t="shared" ref="D106:Q106" si="0">MIN(D9:D104)</f>
        <v>9.1999999999999993</v>
      </c>
      <c r="E106" s="158">
        <f t="shared" si="0"/>
        <v>7.94</v>
      </c>
      <c r="F106" s="158">
        <f t="shared" si="0"/>
        <v>0</v>
      </c>
      <c r="G106" s="158">
        <f t="shared" si="0"/>
        <v>2.95</v>
      </c>
      <c r="H106" s="158">
        <f t="shared" si="0"/>
        <v>14.52</v>
      </c>
      <c r="I106" s="158">
        <f t="shared" si="0"/>
        <v>6.58</v>
      </c>
      <c r="J106" s="158">
        <f t="shared" si="0"/>
        <v>0.1</v>
      </c>
      <c r="K106" s="158">
        <f t="shared" si="0"/>
        <v>74.58</v>
      </c>
      <c r="L106" s="158">
        <f t="shared" si="0"/>
        <v>21.15</v>
      </c>
      <c r="M106" s="158">
        <f t="shared" si="0"/>
        <v>11.19</v>
      </c>
      <c r="N106" s="158">
        <f t="shared" si="0"/>
        <v>0.5</v>
      </c>
      <c r="O106" s="158">
        <f t="shared" si="0"/>
        <v>0</v>
      </c>
      <c r="P106" s="158">
        <f t="shared" si="0"/>
        <v>0.61</v>
      </c>
      <c r="Q106" s="158">
        <f t="shared" si="0"/>
        <v>27.99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16.309999999999999</v>
      </c>
      <c r="C107" s="157">
        <f t="shared" ref="C107:Q107" si="1">MAX(C9:C104)</f>
        <v>24.09</v>
      </c>
      <c r="D107" s="157">
        <f t="shared" si="1"/>
        <v>27.02</v>
      </c>
      <c r="E107" s="157">
        <f t="shared" si="1"/>
        <v>17.09</v>
      </c>
      <c r="F107" s="157">
        <f t="shared" si="1"/>
        <v>0</v>
      </c>
      <c r="G107" s="157">
        <f t="shared" si="1"/>
        <v>69.209999999999994</v>
      </c>
      <c r="H107" s="157">
        <f t="shared" si="1"/>
        <v>35.549999999999997</v>
      </c>
      <c r="I107" s="157">
        <f t="shared" si="1"/>
        <v>13.78</v>
      </c>
      <c r="J107" s="157">
        <f t="shared" si="1"/>
        <v>1.35</v>
      </c>
      <c r="K107" s="157">
        <f t="shared" si="1"/>
        <v>304.79000000000002</v>
      </c>
      <c r="L107" s="157">
        <f t="shared" si="1"/>
        <v>39.42</v>
      </c>
      <c r="M107" s="157">
        <f t="shared" si="1"/>
        <v>57.46</v>
      </c>
      <c r="N107" s="157">
        <f t="shared" si="1"/>
        <v>315.7</v>
      </c>
      <c r="O107" s="157">
        <f t="shared" si="1"/>
        <v>0</v>
      </c>
      <c r="P107" s="157">
        <f t="shared" si="1"/>
        <v>1.19</v>
      </c>
      <c r="Q107" s="157">
        <f t="shared" si="1"/>
        <v>28.19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5.1466666666666674</v>
      </c>
      <c r="C108" s="158">
        <f t="shared" ref="C108:Q108" si="2">AVERAGE(C9:C104)</f>
        <v>15.881458333333327</v>
      </c>
      <c r="D108" s="158">
        <f t="shared" si="2"/>
        <v>13.7759375</v>
      </c>
      <c r="E108" s="158">
        <f t="shared" si="2"/>
        <v>10.253229166666666</v>
      </c>
      <c r="F108" s="158" t="e">
        <f t="shared" si="2"/>
        <v>#DIV/0!</v>
      </c>
      <c r="G108" s="158">
        <f t="shared" si="2"/>
        <v>37.429062500000008</v>
      </c>
      <c r="H108" s="158">
        <f t="shared" si="2"/>
        <v>23.795833333333324</v>
      </c>
      <c r="I108" s="158">
        <f t="shared" si="2"/>
        <v>9.8371875000000006</v>
      </c>
      <c r="J108" s="158">
        <f t="shared" si="2"/>
        <v>0.41520833333333335</v>
      </c>
      <c r="K108" s="158">
        <f t="shared" si="2"/>
        <v>209.8038541666667</v>
      </c>
      <c r="L108" s="158">
        <f t="shared" si="2"/>
        <v>29.933020833333334</v>
      </c>
      <c r="M108" s="158">
        <f t="shared" si="2"/>
        <v>35.558333333333344</v>
      </c>
      <c r="N108" s="158">
        <f t="shared" si="2"/>
        <v>86.728124999999991</v>
      </c>
      <c r="O108" s="158">
        <f t="shared" si="2"/>
        <v>0</v>
      </c>
      <c r="P108" s="158">
        <f t="shared" si="2"/>
        <v>0.87000000000000011</v>
      </c>
      <c r="Q108" s="158">
        <f t="shared" si="2"/>
        <v>28.058020833333345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2.0580822277402686</v>
      </c>
      <c r="C109" s="158">
        <f t="shared" ref="C109:Q109" si="3">STDEV(C9:C104)</f>
        <v>2.6731684252632926</v>
      </c>
      <c r="D109" s="158">
        <f t="shared" si="3"/>
        <v>2.670839638578085</v>
      </c>
      <c r="E109" s="158">
        <f t="shared" si="3"/>
        <v>2.3112063356345316</v>
      </c>
      <c r="F109" s="158" t="e">
        <f t="shared" si="3"/>
        <v>#DIV/0!</v>
      </c>
      <c r="G109" s="158">
        <f t="shared" si="3"/>
        <v>20.795413364647963</v>
      </c>
      <c r="H109" s="158">
        <f t="shared" si="3"/>
        <v>4.9901164772117585</v>
      </c>
      <c r="I109" s="158">
        <f t="shared" si="3"/>
        <v>1.5817643068322316</v>
      </c>
      <c r="J109" s="158">
        <f t="shared" si="3"/>
        <v>0.32759082040563209</v>
      </c>
      <c r="K109" s="158">
        <f t="shared" si="3"/>
        <v>48.065167590629819</v>
      </c>
      <c r="L109" s="158">
        <f t="shared" si="3"/>
        <v>6.2463845744713042</v>
      </c>
      <c r="M109" s="158">
        <f t="shared" si="3"/>
        <v>13.437478120749191</v>
      </c>
      <c r="N109" s="158">
        <f t="shared" si="3"/>
        <v>117.54100265831087</v>
      </c>
      <c r="O109" s="158">
        <f t="shared" si="3"/>
        <v>0</v>
      </c>
      <c r="P109" s="158">
        <f t="shared" si="3"/>
        <v>0.12793090240232688</v>
      </c>
      <c r="Q109" s="158">
        <f t="shared" si="3"/>
        <v>5.6542853644343027E-2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G118" sqref="G118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16/03/2025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1679</v>
      </c>
      <c r="B9" s="100">
        <v>6.85</v>
      </c>
      <c r="C9" s="100">
        <v>18.190000000000001</v>
      </c>
      <c r="D9" s="100">
        <v>16.350000000000001</v>
      </c>
      <c r="E9" s="100">
        <v>8.15</v>
      </c>
      <c r="F9" s="152" t="s">
        <v>15</v>
      </c>
      <c r="G9" s="100">
        <v>2.57</v>
      </c>
      <c r="H9" s="100">
        <v>30.27</v>
      </c>
      <c r="I9" s="100">
        <v>11.39</v>
      </c>
      <c r="J9" s="100">
        <v>0.16</v>
      </c>
      <c r="K9" s="100">
        <v>185.27</v>
      </c>
      <c r="L9" s="100">
        <v>25.8</v>
      </c>
      <c r="M9" s="100">
        <v>48.02</v>
      </c>
      <c r="N9" s="100">
        <v>1.2</v>
      </c>
      <c r="O9" s="100">
        <v>0</v>
      </c>
      <c r="P9" s="100">
        <v>1.01</v>
      </c>
      <c r="Q9" s="100">
        <v>28.11</v>
      </c>
      <c r="R9" s="6"/>
      <c r="S9" s="6"/>
      <c r="T9" s="156"/>
      <c r="U9" s="6"/>
    </row>
    <row r="10" spans="1:21" customFormat="1">
      <c r="A10" s="163" t="s">
        <v>1680</v>
      </c>
      <c r="B10" s="100">
        <v>6.92</v>
      </c>
      <c r="C10" s="100">
        <v>18.149999999999999</v>
      </c>
      <c r="D10" s="100">
        <v>16.38</v>
      </c>
      <c r="E10" s="100">
        <v>8.4600000000000009</v>
      </c>
      <c r="F10" s="152" t="s">
        <v>15</v>
      </c>
      <c r="G10" s="100">
        <v>2.57</v>
      </c>
      <c r="H10" s="100">
        <v>30.27</v>
      </c>
      <c r="I10" s="100">
        <v>11.48</v>
      </c>
      <c r="J10" s="100">
        <v>0.12</v>
      </c>
      <c r="K10" s="100">
        <v>183.89</v>
      </c>
      <c r="L10" s="100">
        <v>25.6</v>
      </c>
      <c r="M10" s="100">
        <v>47.76</v>
      </c>
      <c r="N10" s="100">
        <v>0.9</v>
      </c>
      <c r="O10" s="100">
        <v>0</v>
      </c>
      <c r="P10" s="100">
        <v>1.01</v>
      </c>
      <c r="Q10" s="100">
        <v>28.13</v>
      </c>
      <c r="R10" s="6"/>
      <c r="S10" s="6"/>
      <c r="T10" s="156"/>
      <c r="U10" s="6"/>
    </row>
    <row r="11" spans="1:21" customFormat="1">
      <c r="A11" s="163" t="s">
        <v>1681</v>
      </c>
      <c r="B11" s="100">
        <v>6.99</v>
      </c>
      <c r="C11" s="100">
        <v>17.8</v>
      </c>
      <c r="D11" s="100">
        <v>16.25</v>
      </c>
      <c r="E11" s="100">
        <v>8.35</v>
      </c>
      <c r="F11" s="152" t="s">
        <v>15</v>
      </c>
      <c r="G11" s="100">
        <v>2.57</v>
      </c>
      <c r="H11" s="100">
        <v>30.27</v>
      </c>
      <c r="I11" s="100">
        <v>11.54</v>
      </c>
      <c r="J11" s="100">
        <v>0.13</v>
      </c>
      <c r="K11" s="100">
        <v>226.08</v>
      </c>
      <c r="L11" s="100">
        <v>25.44</v>
      </c>
      <c r="M11" s="100">
        <v>48.87</v>
      </c>
      <c r="N11" s="100">
        <v>0.9</v>
      </c>
      <c r="O11" s="100">
        <v>0</v>
      </c>
      <c r="P11" s="100">
        <v>1.01</v>
      </c>
      <c r="Q11" s="100">
        <v>28.13</v>
      </c>
      <c r="R11" s="6"/>
      <c r="S11" s="6"/>
      <c r="T11" s="156"/>
      <c r="U11" s="6"/>
    </row>
    <row r="12" spans="1:21" customFormat="1">
      <c r="A12" s="163" t="s">
        <v>1682</v>
      </c>
      <c r="B12" s="100">
        <v>7.02</v>
      </c>
      <c r="C12" s="100">
        <v>17.41</v>
      </c>
      <c r="D12" s="100">
        <v>16.079999999999998</v>
      </c>
      <c r="E12" s="100">
        <v>8.26</v>
      </c>
      <c r="F12" s="152" t="s">
        <v>15</v>
      </c>
      <c r="G12" s="100">
        <v>2.57</v>
      </c>
      <c r="H12" s="100">
        <v>30.27</v>
      </c>
      <c r="I12" s="100">
        <v>11.65</v>
      </c>
      <c r="J12" s="100">
        <v>0.12</v>
      </c>
      <c r="K12" s="100">
        <v>163.4</v>
      </c>
      <c r="L12" s="100">
        <v>25.36</v>
      </c>
      <c r="M12" s="100">
        <v>48.83</v>
      </c>
      <c r="N12" s="100">
        <v>0.9</v>
      </c>
      <c r="O12" s="100">
        <v>0</v>
      </c>
      <c r="P12" s="100">
        <v>1.01</v>
      </c>
      <c r="Q12" s="100">
        <v>28.14</v>
      </c>
      <c r="R12" s="6"/>
      <c r="S12" s="6"/>
      <c r="T12" s="156"/>
      <c r="U12" s="6"/>
    </row>
    <row r="13" spans="1:21" customFormat="1">
      <c r="A13" s="163" t="s">
        <v>1683</v>
      </c>
      <c r="B13" s="100">
        <v>7.1</v>
      </c>
      <c r="C13" s="100">
        <v>17.16</v>
      </c>
      <c r="D13" s="100">
        <v>16.010000000000002</v>
      </c>
      <c r="E13" s="100">
        <v>7.85</v>
      </c>
      <c r="F13" s="152" t="s">
        <v>15</v>
      </c>
      <c r="G13" s="100">
        <v>2.35</v>
      </c>
      <c r="H13" s="100">
        <v>29.08</v>
      </c>
      <c r="I13" s="100">
        <v>11.71</v>
      </c>
      <c r="J13" s="100">
        <v>0.14000000000000001</v>
      </c>
      <c r="K13" s="100">
        <v>169.71</v>
      </c>
      <c r="L13" s="100">
        <v>25.11</v>
      </c>
      <c r="M13" s="100">
        <v>49.56</v>
      </c>
      <c r="N13" s="100">
        <v>0.9</v>
      </c>
      <c r="O13" s="100">
        <v>0</v>
      </c>
      <c r="P13" s="100">
        <v>1.02</v>
      </c>
      <c r="Q13" s="100">
        <v>28.14</v>
      </c>
      <c r="R13" s="6"/>
      <c r="S13" s="6"/>
      <c r="T13" s="156"/>
      <c r="U13" s="6"/>
    </row>
    <row r="14" spans="1:21" customFormat="1">
      <c r="A14" s="163" t="s">
        <v>1684</v>
      </c>
      <c r="B14" s="100">
        <v>7.19</v>
      </c>
      <c r="C14" s="100">
        <v>16.96</v>
      </c>
      <c r="D14" s="100">
        <v>15.98</v>
      </c>
      <c r="E14" s="100">
        <v>8.26</v>
      </c>
      <c r="F14" s="152" t="s">
        <v>15</v>
      </c>
      <c r="G14" s="100">
        <v>2.35</v>
      </c>
      <c r="H14" s="100">
        <v>29.08</v>
      </c>
      <c r="I14" s="100">
        <v>11.79</v>
      </c>
      <c r="J14" s="100">
        <v>0.15</v>
      </c>
      <c r="K14" s="100">
        <v>169.61</v>
      </c>
      <c r="L14" s="100">
        <v>24.9</v>
      </c>
      <c r="M14" s="100">
        <v>51.09</v>
      </c>
      <c r="N14" s="100">
        <v>0.9</v>
      </c>
      <c r="O14" s="100">
        <v>0</v>
      </c>
      <c r="P14" s="100">
        <v>1.02</v>
      </c>
      <c r="Q14" s="100">
        <v>28.14</v>
      </c>
      <c r="R14" s="6"/>
      <c r="S14" s="6"/>
      <c r="T14" s="156"/>
      <c r="U14" s="6"/>
    </row>
    <row r="15" spans="1:21" customFormat="1">
      <c r="A15" s="163" t="s">
        <v>1685</v>
      </c>
      <c r="B15" s="100">
        <v>7.25</v>
      </c>
      <c r="C15" s="100">
        <v>16.649999999999999</v>
      </c>
      <c r="D15" s="100">
        <v>15.87</v>
      </c>
      <c r="E15" s="100">
        <v>8.58</v>
      </c>
      <c r="F15" s="152" t="s">
        <v>15</v>
      </c>
      <c r="G15" s="100">
        <v>2.35</v>
      </c>
      <c r="H15" s="100">
        <v>29.08</v>
      </c>
      <c r="I15" s="100">
        <v>11.87</v>
      </c>
      <c r="J15" s="100">
        <v>0.15</v>
      </c>
      <c r="K15" s="100">
        <v>168.72</v>
      </c>
      <c r="L15" s="100">
        <v>24.76</v>
      </c>
      <c r="M15" s="100">
        <v>52.06</v>
      </c>
      <c r="N15" s="100">
        <v>0.9</v>
      </c>
      <c r="O15" s="100">
        <v>0</v>
      </c>
      <c r="P15" s="100">
        <v>1.02</v>
      </c>
      <c r="Q15" s="100">
        <v>28.14</v>
      </c>
      <c r="R15" s="6"/>
      <c r="S15" s="6"/>
      <c r="T15" s="156"/>
      <c r="U15" s="6"/>
    </row>
    <row r="16" spans="1:21" customFormat="1">
      <c r="A16" s="163" t="s">
        <v>1686</v>
      </c>
      <c r="B16" s="100">
        <v>7.26</v>
      </c>
      <c r="C16" s="100">
        <v>16.46</v>
      </c>
      <c r="D16" s="100">
        <v>15.77</v>
      </c>
      <c r="E16" s="100">
        <v>8.27</v>
      </c>
      <c r="F16" s="152" t="s">
        <v>15</v>
      </c>
      <c r="G16" s="100">
        <v>2.35</v>
      </c>
      <c r="H16" s="100">
        <v>29.08</v>
      </c>
      <c r="I16" s="100">
        <v>11.94</v>
      </c>
      <c r="J16" s="100">
        <v>0.1</v>
      </c>
      <c r="K16" s="100">
        <v>167.92</v>
      </c>
      <c r="L16" s="100">
        <v>24.8</v>
      </c>
      <c r="M16" s="100">
        <v>50.51</v>
      </c>
      <c r="N16" s="100">
        <v>0.7</v>
      </c>
      <c r="O16" s="100">
        <v>0</v>
      </c>
      <c r="P16" s="100">
        <v>1.03</v>
      </c>
      <c r="Q16" s="100">
        <v>28.14</v>
      </c>
      <c r="R16" s="6"/>
      <c r="S16" s="6"/>
      <c r="T16" s="156"/>
      <c r="U16" s="6"/>
    </row>
    <row r="17" spans="1:21" customFormat="1">
      <c r="A17" s="163" t="s">
        <v>1687</v>
      </c>
      <c r="B17" s="100">
        <v>8.91</v>
      </c>
      <c r="C17" s="100">
        <v>17.37</v>
      </c>
      <c r="D17" s="100">
        <v>17.57</v>
      </c>
      <c r="E17" s="100">
        <v>7.2</v>
      </c>
      <c r="F17" s="152" t="s">
        <v>15</v>
      </c>
      <c r="G17" s="100">
        <v>2.2400000000000002</v>
      </c>
      <c r="H17" s="100">
        <v>29.44</v>
      </c>
      <c r="I17" s="100">
        <v>11.97</v>
      </c>
      <c r="J17" s="100">
        <v>0.12</v>
      </c>
      <c r="K17" s="100">
        <v>148.81</v>
      </c>
      <c r="L17" s="100">
        <v>24.97</v>
      </c>
      <c r="M17" s="100">
        <v>49.27</v>
      </c>
      <c r="N17" s="100">
        <v>0.7</v>
      </c>
      <c r="O17" s="100">
        <v>0</v>
      </c>
      <c r="P17" s="100">
        <v>1.03</v>
      </c>
      <c r="Q17" s="100">
        <v>28.15</v>
      </c>
      <c r="R17" s="6"/>
      <c r="S17" s="6"/>
      <c r="T17" s="156"/>
      <c r="U17" s="6"/>
    </row>
    <row r="18" spans="1:21" customFormat="1">
      <c r="A18" s="163" t="s">
        <v>1688</v>
      </c>
      <c r="B18" s="100">
        <v>8.25</v>
      </c>
      <c r="C18" s="100">
        <v>17.079999999999998</v>
      </c>
      <c r="D18" s="100">
        <v>16.89</v>
      </c>
      <c r="E18" s="100">
        <v>8.3699999999999992</v>
      </c>
      <c r="F18" s="152" t="s">
        <v>15</v>
      </c>
      <c r="G18" s="100">
        <v>2.2400000000000002</v>
      </c>
      <c r="H18" s="100">
        <v>29.44</v>
      </c>
      <c r="I18" s="100">
        <v>11.98</v>
      </c>
      <c r="J18" s="100">
        <v>0.27</v>
      </c>
      <c r="K18" s="100">
        <v>171.21</v>
      </c>
      <c r="L18" s="100">
        <v>24.53</v>
      </c>
      <c r="M18" s="100">
        <v>54.13</v>
      </c>
      <c r="N18" s="100">
        <v>1.2</v>
      </c>
      <c r="O18" s="100">
        <v>0</v>
      </c>
      <c r="P18" s="100">
        <v>1.04</v>
      </c>
      <c r="Q18" s="100">
        <v>28.16</v>
      </c>
      <c r="R18" s="6"/>
      <c r="S18" s="6"/>
      <c r="T18" s="156"/>
      <c r="U18" s="6"/>
    </row>
    <row r="19" spans="1:21" customFormat="1">
      <c r="A19" s="163" t="s">
        <v>1689</v>
      </c>
      <c r="B19" s="100">
        <v>8.2899999999999991</v>
      </c>
      <c r="C19" s="100">
        <v>16.82</v>
      </c>
      <c r="D19" s="100">
        <v>16.78</v>
      </c>
      <c r="E19" s="100">
        <v>8.25</v>
      </c>
      <c r="F19" s="152" t="s">
        <v>15</v>
      </c>
      <c r="G19" s="100">
        <v>2.2400000000000002</v>
      </c>
      <c r="H19" s="100">
        <v>29.44</v>
      </c>
      <c r="I19" s="100">
        <v>12.02</v>
      </c>
      <c r="J19" s="100">
        <v>0.09</v>
      </c>
      <c r="K19" s="100">
        <v>187.84</v>
      </c>
      <c r="L19" s="100">
        <v>24.13</v>
      </c>
      <c r="M19" s="100">
        <v>53.94</v>
      </c>
      <c r="N19" s="100">
        <v>1</v>
      </c>
      <c r="O19" s="100">
        <v>0</v>
      </c>
      <c r="P19" s="100">
        <v>1.04</v>
      </c>
      <c r="Q19" s="100">
        <v>28.18</v>
      </c>
      <c r="R19" s="6"/>
      <c r="S19" s="6"/>
      <c r="T19" s="156"/>
      <c r="U19" s="6"/>
    </row>
    <row r="20" spans="1:21" customFormat="1">
      <c r="A20" s="163" t="s">
        <v>1690</v>
      </c>
      <c r="B20" s="100">
        <v>8.26</v>
      </c>
      <c r="C20" s="100">
        <v>16.64</v>
      </c>
      <c r="D20" s="100">
        <v>16.670000000000002</v>
      </c>
      <c r="E20" s="100">
        <v>8.3699999999999992</v>
      </c>
      <c r="F20" s="152" t="s">
        <v>15</v>
      </c>
      <c r="G20" s="100">
        <v>2.2400000000000002</v>
      </c>
      <c r="H20" s="100">
        <v>29.44</v>
      </c>
      <c r="I20" s="100">
        <v>12.06</v>
      </c>
      <c r="J20" s="100">
        <v>0.19</v>
      </c>
      <c r="K20" s="100">
        <v>242.57</v>
      </c>
      <c r="L20" s="100">
        <v>24.37</v>
      </c>
      <c r="M20" s="100">
        <v>51.54</v>
      </c>
      <c r="N20" s="100">
        <v>0.7</v>
      </c>
      <c r="O20" s="100">
        <v>0</v>
      </c>
      <c r="P20" s="100">
        <v>1.04</v>
      </c>
      <c r="Q20" s="100">
        <v>28.19</v>
      </c>
      <c r="R20" s="6"/>
      <c r="S20" s="6"/>
      <c r="T20" s="156"/>
      <c r="U20" s="6"/>
    </row>
    <row r="21" spans="1:21" customFormat="1">
      <c r="A21" s="163" t="s">
        <v>1691</v>
      </c>
      <c r="B21" s="100">
        <v>8.1300000000000008</v>
      </c>
      <c r="C21" s="100">
        <v>16.28</v>
      </c>
      <c r="D21" s="100">
        <v>16.37</v>
      </c>
      <c r="E21" s="100">
        <v>8.43</v>
      </c>
      <c r="F21" s="152" t="s">
        <v>15</v>
      </c>
      <c r="G21" s="100">
        <v>1.73</v>
      </c>
      <c r="H21" s="100">
        <v>30.58</v>
      </c>
      <c r="I21" s="100">
        <v>12.07</v>
      </c>
      <c r="J21" s="100">
        <v>0.21</v>
      </c>
      <c r="K21" s="100">
        <v>178.66</v>
      </c>
      <c r="L21" s="100">
        <v>23.99</v>
      </c>
      <c r="M21" s="100">
        <v>53.99</v>
      </c>
      <c r="N21" s="100">
        <v>1.2</v>
      </c>
      <c r="O21" s="100">
        <v>0</v>
      </c>
      <c r="P21" s="100">
        <v>1.04</v>
      </c>
      <c r="Q21" s="100">
        <v>28.17</v>
      </c>
      <c r="R21" s="6"/>
      <c r="S21" s="6"/>
      <c r="T21" s="156"/>
      <c r="U21" s="6"/>
    </row>
    <row r="22" spans="1:21" customFormat="1">
      <c r="A22" s="163" t="s">
        <v>1692</v>
      </c>
      <c r="B22" s="100">
        <v>8.25</v>
      </c>
      <c r="C22" s="100">
        <v>16.23</v>
      </c>
      <c r="D22" s="100">
        <v>16.45</v>
      </c>
      <c r="E22" s="100">
        <v>8.3699999999999992</v>
      </c>
      <c r="F22" s="152" t="s">
        <v>15</v>
      </c>
      <c r="G22" s="100">
        <v>1.73</v>
      </c>
      <c r="H22" s="100">
        <v>30.58</v>
      </c>
      <c r="I22" s="100">
        <v>12.07</v>
      </c>
      <c r="J22" s="100">
        <v>0.13</v>
      </c>
      <c r="K22" s="100">
        <v>224.63</v>
      </c>
      <c r="L22" s="100">
        <v>23.4</v>
      </c>
      <c r="M22" s="100">
        <v>56.31</v>
      </c>
      <c r="N22" s="100">
        <v>1.3</v>
      </c>
      <c r="O22" s="100">
        <v>0</v>
      </c>
      <c r="P22" s="100">
        <v>1.04</v>
      </c>
      <c r="Q22" s="100">
        <v>28.17</v>
      </c>
      <c r="R22" s="6"/>
      <c r="S22" s="6"/>
      <c r="T22" s="156"/>
      <c r="U22" s="6"/>
    </row>
    <row r="23" spans="1:21" customFormat="1">
      <c r="A23" s="163" t="s">
        <v>1693</v>
      </c>
      <c r="B23" s="100">
        <v>8.35</v>
      </c>
      <c r="C23" s="100">
        <v>16.25</v>
      </c>
      <c r="D23" s="100">
        <v>16.53</v>
      </c>
      <c r="E23" s="100">
        <v>8.32</v>
      </c>
      <c r="F23" s="152" t="s">
        <v>15</v>
      </c>
      <c r="G23" s="100">
        <v>1.73</v>
      </c>
      <c r="H23" s="100">
        <v>30.58</v>
      </c>
      <c r="I23" s="100">
        <v>12.06</v>
      </c>
      <c r="J23" s="100">
        <v>0.16</v>
      </c>
      <c r="K23" s="100">
        <v>211.61</v>
      </c>
      <c r="L23" s="100">
        <v>23.66</v>
      </c>
      <c r="M23" s="100">
        <v>54.91</v>
      </c>
      <c r="N23" s="100">
        <v>0.7</v>
      </c>
      <c r="O23" s="100">
        <v>0</v>
      </c>
      <c r="P23" s="100">
        <v>1.04</v>
      </c>
      <c r="Q23" s="100">
        <v>28.18</v>
      </c>
      <c r="R23" s="6"/>
      <c r="S23" s="6"/>
      <c r="T23" s="156"/>
      <c r="U23" s="6"/>
    </row>
    <row r="24" spans="1:21" customFormat="1">
      <c r="A24" s="163" t="s">
        <v>1694</v>
      </c>
      <c r="B24" s="100">
        <v>8.59</v>
      </c>
      <c r="C24" s="100">
        <v>16.38</v>
      </c>
      <c r="D24" s="100">
        <v>16.79</v>
      </c>
      <c r="E24" s="100">
        <v>8.5299999999999994</v>
      </c>
      <c r="F24" s="152" t="s">
        <v>15</v>
      </c>
      <c r="G24" s="100">
        <v>1.73</v>
      </c>
      <c r="H24" s="100">
        <v>30.58</v>
      </c>
      <c r="I24" s="100">
        <v>12.06</v>
      </c>
      <c r="J24" s="100">
        <v>0.13</v>
      </c>
      <c r="K24" s="100">
        <v>160.04</v>
      </c>
      <c r="L24" s="100">
        <v>23.68</v>
      </c>
      <c r="M24" s="100">
        <v>56.57</v>
      </c>
      <c r="N24" s="100">
        <v>0.9</v>
      </c>
      <c r="O24" s="100">
        <v>0</v>
      </c>
      <c r="P24" s="100">
        <v>1.04</v>
      </c>
      <c r="Q24" s="100">
        <v>28.19</v>
      </c>
      <c r="R24" s="6"/>
      <c r="S24" s="6"/>
      <c r="T24" s="156"/>
      <c r="U24" s="6"/>
    </row>
    <row r="25" spans="1:21" customFormat="1">
      <c r="A25" s="163" t="s">
        <v>1695</v>
      </c>
      <c r="B25" s="100">
        <v>9.08</v>
      </c>
      <c r="C25" s="100">
        <v>16.63</v>
      </c>
      <c r="D25" s="100">
        <v>17.32</v>
      </c>
      <c r="E25" s="100">
        <v>8.44</v>
      </c>
      <c r="F25" s="152" t="s">
        <v>15</v>
      </c>
      <c r="G25" s="100">
        <v>2.89</v>
      </c>
      <c r="H25" s="100">
        <v>27.25</v>
      </c>
      <c r="I25" s="100">
        <v>12.07</v>
      </c>
      <c r="J25" s="100">
        <v>0.18</v>
      </c>
      <c r="K25" s="100">
        <v>169.81</v>
      </c>
      <c r="L25" s="100">
        <v>23.75</v>
      </c>
      <c r="M25" s="100">
        <v>56.42</v>
      </c>
      <c r="N25" s="100">
        <v>0.9</v>
      </c>
      <c r="O25" s="100">
        <v>0</v>
      </c>
      <c r="P25" s="100">
        <v>1.05</v>
      </c>
      <c r="Q25" s="100">
        <v>28.2</v>
      </c>
      <c r="R25" s="6"/>
      <c r="S25" s="6"/>
      <c r="T25" s="156"/>
      <c r="U25" s="6"/>
    </row>
    <row r="26" spans="1:21" customFormat="1">
      <c r="A26" s="163" t="s">
        <v>1696</v>
      </c>
      <c r="B26" s="100">
        <v>9.43</v>
      </c>
      <c r="C26" s="100">
        <v>16.670000000000002</v>
      </c>
      <c r="D26" s="100">
        <v>17.62</v>
      </c>
      <c r="E26" s="100">
        <v>8.48</v>
      </c>
      <c r="F26" s="152" t="s">
        <v>15</v>
      </c>
      <c r="G26" s="100">
        <v>2.89</v>
      </c>
      <c r="H26" s="100">
        <v>27.25</v>
      </c>
      <c r="I26" s="100">
        <v>12.09</v>
      </c>
      <c r="J26" s="100">
        <v>0.18</v>
      </c>
      <c r="K26" s="100">
        <v>167.87</v>
      </c>
      <c r="L26" s="100">
        <v>23.53</v>
      </c>
      <c r="M26" s="100">
        <v>57.39</v>
      </c>
      <c r="N26" s="100">
        <v>1.1000000000000001</v>
      </c>
      <c r="O26" s="100">
        <v>0</v>
      </c>
      <c r="P26" s="100">
        <v>1.05</v>
      </c>
      <c r="Q26" s="100">
        <v>28.21</v>
      </c>
      <c r="R26" s="6"/>
      <c r="S26" s="6"/>
      <c r="T26" s="156"/>
      <c r="U26" s="6"/>
    </row>
    <row r="27" spans="1:21" customFormat="1">
      <c r="A27" s="163" t="s">
        <v>1697</v>
      </c>
      <c r="B27" s="100">
        <v>9.39</v>
      </c>
      <c r="C27" s="100">
        <v>16.64</v>
      </c>
      <c r="D27" s="100">
        <v>17.579999999999998</v>
      </c>
      <c r="E27" s="100">
        <v>8.5500000000000007</v>
      </c>
      <c r="F27" s="152" t="s">
        <v>15</v>
      </c>
      <c r="G27" s="100">
        <v>2.89</v>
      </c>
      <c r="H27" s="100">
        <v>27.25</v>
      </c>
      <c r="I27" s="100">
        <v>12.12</v>
      </c>
      <c r="J27" s="100">
        <v>0.18</v>
      </c>
      <c r="K27" s="100">
        <v>171.58</v>
      </c>
      <c r="L27" s="100">
        <v>23.58</v>
      </c>
      <c r="M27" s="100">
        <v>57.12</v>
      </c>
      <c r="N27" s="100">
        <v>1</v>
      </c>
      <c r="O27" s="100">
        <v>0</v>
      </c>
      <c r="P27" s="100">
        <v>1.05</v>
      </c>
      <c r="Q27" s="100">
        <v>28.2</v>
      </c>
      <c r="R27" s="6"/>
      <c r="S27" s="6"/>
      <c r="T27" s="156"/>
      <c r="U27" s="6"/>
    </row>
    <row r="28" spans="1:21" customFormat="1">
      <c r="A28" s="163" t="s">
        <v>1698</v>
      </c>
      <c r="B28" s="100">
        <v>8.9600000000000009</v>
      </c>
      <c r="C28" s="100">
        <v>16.829999999999998</v>
      </c>
      <c r="D28" s="100">
        <v>17.329999999999998</v>
      </c>
      <c r="E28" s="100">
        <v>8.44</v>
      </c>
      <c r="F28" s="152" t="s">
        <v>15</v>
      </c>
      <c r="G28" s="100">
        <v>2.89</v>
      </c>
      <c r="H28" s="100">
        <v>27.25</v>
      </c>
      <c r="I28" s="100">
        <v>12.14</v>
      </c>
      <c r="J28" s="100">
        <v>0.16</v>
      </c>
      <c r="K28" s="100">
        <v>150.63</v>
      </c>
      <c r="L28" s="100">
        <v>23.67</v>
      </c>
      <c r="M28" s="100">
        <v>56.01</v>
      </c>
      <c r="N28" s="100">
        <v>0.9</v>
      </c>
      <c r="O28" s="100">
        <v>0</v>
      </c>
      <c r="P28" s="100">
        <v>1.05</v>
      </c>
      <c r="Q28" s="100">
        <v>28.19</v>
      </c>
      <c r="R28" s="6"/>
      <c r="S28" s="6"/>
      <c r="T28" s="156"/>
      <c r="U28" s="6"/>
    </row>
    <row r="29" spans="1:21" customFormat="1">
      <c r="A29" s="163" t="s">
        <v>1699</v>
      </c>
      <c r="B29" s="100">
        <v>8.42</v>
      </c>
      <c r="C29" s="100">
        <v>16.97</v>
      </c>
      <c r="D29" s="100">
        <v>16.97</v>
      </c>
      <c r="E29" s="100">
        <v>8.58</v>
      </c>
      <c r="F29" s="152" t="s">
        <v>15</v>
      </c>
      <c r="G29" s="100">
        <v>2.19</v>
      </c>
      <c r="H29" s="100">
        <v>29.41</v>
      </c>
      <c r="I29" s="100">
        <v>12.11</v>
      </c>
      <c r="J29" s="100">
        <v>0.23</v>
      </c>
      <c r="K29" s="100">
        <v>169.13</v>
      </c>
      <c r="L29" s="100">
        <v>23.7</v>
      </c>
      <c r="M29" s="100">
        <v>58.18</v>
      </c>
      <c r="N29" s="100">
        <v>1</v>
      </c>
      <c r="O29" s="100">
        <v>0</v>
      </c>
      <c r="P29" s="100">
        <v>1.04</v>
      </c>
      <c r="Q29" s="100">
        <v>28.16</v>
      </c>
      <c r="R29" s="6"/>
      <c r="S29" s="6"/>
      <c r="T29" s="156"/>
      <c r="U29" s="6"/>
    </row>
    <row r="30" spans="1:21" customFormat="1">
      <c r="A30" s="163" t="s">
        <v>1700</v>
      </c>
      <c r="B30" s="100">
        <v>7.92</v>
      </c>
      <c r="C30" s="100">
        <v>17.03</v>
      </c>
      <c r="D30" s="100">
        <v>16.600000000000001</v>
      </c>
      <c r="E30" s="100">
        <v>8.51</v>
      </c>
      <c r="F30" s="152" t="s">
        <v>15</v>
      </c>
      <c r="G30" s="100">
        <v>2.19</v>
      </c>
      <c r="H30" s="100">
        <v>29.41</v>
      </c>
      <c r="I30" s="100">
        <v>12.04</v>
      </c>
      <c r="J30" s="100">
        <v>0.24</v>
      </c>
      <c r="K30" s="100">
        <v>184</v>
      </c>
      <c r="L30" s="100">
        <v>23.38</v>
      </c>
      <c r="M30" s="100">
        <v>58.79</v>
      </c>
      <c r="N30" s="100">
        <v>1.2</v>
      </c>
      <c r="O30" s="100">
        <v>0</v>
      </c>
      <c r="P30" s="100">
        <v>1.04</v>
      </c>
      <c r="Q30" s="100">
        <v>28.16</v>
      </c>
      <c r="R30" s="6"/>
      <c r="S30" s="6"/>
      <c r="T30" s="156"/>
      <c r="U30" s="6"/>
    </row>
    <row r="31" spans="1:21" customFormat="1">
      <c r="A31" s="163" t="s">
        <v>1701</v>
      </c>
      <c r="B31" s="100">
        <v>7.42</v>
      </c>
      <c r="C31" s="100">
        <v>17.05</v>
      </c>
      <c r="D31" s="100">
        <v>16.21</v>
      </c>
      <c r="E31" s="100">
        <v>8.49</v>
      </c>
      <c r="F31" s="152" t="s">
        <v>15</v>
      </c>
      <c r="G31" s="100">
        <v>2.19</v>
      </c>
      <c r="H31" s="100">
        <v>29.41</v>
      </c>
      <c r="I31" s="100">
        <v>11.99</v>
      </c>
      <c r="J31" s="100">
        <v>0.19</v>
      </c>
      <c r="K31" s="100">
        <v>164.22</v>
      </c>
      <c r="L31" s="100">
        <v>23.04</v>
      </c>
      <c r="M31" s="100">
        <v>60.28</v>
      </c>
      <c r="N31" s="100">
        <v>1.2</v>
      </c>
      <c r="O31" s="100">
        <v>0</v>
      </c>
      <c r="P31" s="100">
        <v>1.04</v>
      </c>
      <c r="Q31" s="100">
        <v>28.14</v>
      </c>
      <c r="R31" s="6"/>
      <c r="S31" s="6"/>
      <c r="T31" s="156"/>
      <c r="U31" s="6"/>
    </row>
    <row r="32" spans="1:21" customFormat="1">
      <c r="A32" s="163" t="s">
        <v>1702</v>
      </c>
      <c r="B32" s="100">
        <v>6.96</v>
      </c>
      <c r="C32" s="100">
        <v>17.079999999999998</v>
      </c>
      <c r="D32" s="100">
        <v>15.86</v>
      </c>
      <c r="E32" s="100">
        <v>8.25</v>
      </c>
      <c r="F32" s="152" t="s">
        <v>15</v>
      </c>
      <c r="G32" s="100">
        <v>2.19</v>
      </c>
      <c r="H32" s="100">
        <v>29.41</v>
      </c>
      <c r="I32" s="100">
        <v>11.94</v>
      </c>
      <c r="J32" s="100">
        <v>0.14000000000000001</v>
      </c>
      <c r="K32" s="100">
        <v>185.26</v>
      </c>
      <c r="L32" s="100">
        <v>23.04</v>
      </c>
      <c r="M32" s="100">
        <v>59.52</v>
      </c>
      <c r="N32" s="100">
        <v>1.2</v>
      </c>
      <c r="O32" s="100">
        <v>0</v>
      </c>
      <c r="P32" s="100">
        <v>1.04</v>
      </c>
      <c r="Q32" s="100">
        <v>28.11</v>
      </c>
      <c r="R32" s="6"/>
      <c r="S32" s="6"/>
      <c r="T32" s="156"/>
      <c r="U32" s="6"/>
    </row>
    <row r="33" spans="1:21" customFormat="1">
      <c r="A33" s="163" t="s">
        <v>1703</v>
      </c>
      <c r="B33" s="100">
        <v>6.59</v>
      </c>
      <c r="C33" s="100">
        <v>17</v>
      </c>
      <c r="D33" s="100">
        <v>15.52</v>
      </c>
      <c r="E33" s="100">
        <v>8.2200000000000006</v>
      </c>
      <c r="F33" s="152" t="s">
        <v>15</v>
      </c>
      <c r="G33" s="100">
        <v>1.78</v>
      </c>
      <c r="H33" s="100">
        <v>30.27</v>
      </c>
      <c r="I33" s="100">
        <v>11.85</v>
      </c>
      <c r="J33" s="100">
        <v>0.16</v>
      </c>
      <c r="K33" s="100">
        <v>169.32</v>
      </c>
      <c r="L33" s="100">
        <v>23.08</v>
      </c>
      <c r="M33" s="100">
        <v>59.02</v>
      </c>
      <c r="N33" s="100">
        <v>3</v>
      </c>
      <c r="O33" s="100">
        <v>0</v>
      </c>
      <c r="P33" s="100">
        <v>1.03</v>
      </c>
      <c r="Q33" s="100">
        <v>28.12</v>
      </c>
      <c r="R33" s="6"/>
      <c r="S33" s="6"/>
      <c r="T33" s="156"/>
      <c r="U33" s="6"/>
    </row>
    <row r="34" spans="1:21" customFormat="1">
      <c r="A34" s="163" t="s">
        <v>1704</v>
      </c>
      <c r="B34" s="100">
        <v>6.28</v>
      </c>
      <c r="C34" s="100">
        <v>16.95</v>
      </c>
      <c r="D34" s="100">
        <v>15.24</v>
      </c>
      <c r="E34" s="100">
        <v>8.18</v>
      </c>
      <c r="F34" s="152" t="s">
        <v>15</v>
      </c>
      <c r="G34" s="100">
        <v>1.78</v>
      </c>
      <c r="H34" s="100">
        <v>30.27</v>
      </c>
      <c r="I34" s="100">
        <v>11.8</v>
      </c>
      <c r="J34" s="100">
        <v>0.19</v>
      </c>
      <c r="K34" s="100">
        <v>215.86</v>
      </c>
      <c r="L34" s="100">
        <v>23.21</v>
      </c>
      <c r="M34" s="100">
        <v>58.71</v>
      </c>
      <c r="N34" s="100">
        <v>8.6999999999999993</v>
      </c>
      <c r="O34" s="100">
        <v>0</v>
      </c>
      <c r="P34" s="100">
        <v>1.04</v>
      </c>
      <c r="Q34" s="100">
        <v>28.1</v>
      </c>
      <c r="R34" s="6"/>
      <c r="S34" s="6"/>
      <c r="T34" s="156"/>
      <c r="U34" s="6"/>
    </row>
    <row r="35" spans="1:21" customFormat="1">
      <c r="A35" s="163" t="s">
        <v>1705</v>
      </c>
      <c r="B35" s="100">
        <v>5.96</v>
      </c>
      <c r="C35" s="100">
        <v>16.93</v>
      </c>
      <c r="D35" s="100">
        <v>14.97</v>
      </c>
      <c r="E35" s="100">
        <v>8.2200000000000006</v>
      </c>
      <c r="F35" s="152" t="s">
        <v>15</v>
      </c>
      <c r="G35" s="100">
        <v>1.78</v>
      </c>
      <c r="H35" s="100">
        <v>30.27</v>
      </c>
      <c r="I35" s="100">
        <v>11.76</v>
      </c>
      <c r="J35" s="100">
        <v>0.16</v>
      </c>
      <c r="K35" s="100">
        <v>210.24</v>
      </c>
      <c r="L35" s="100">
        <v>23.39</v>
      </c>
      <c r="M35" s="100">
        <v>58.74</v>
      </c>
      <c r="N35" s="100">
        <v>13.9</v>
      </c>
      <c r="O35" s="100">
        <v>0</v>
      </c>
      <c r="P35" s="100">
        <v>1.03</v>
      </c>
      <c r="Q35" s="100">
        <v>28.09</v>
      </c>
      <c r="R35" s="6"/>
      <c r="S35" s="6"/>
      <c r="T35" s="156"/>
      <c r="U35" s="6"/>
    </row>
    <row r="36" spans="1:21" customFormat="1">
      <c r="A36" s="163" t="s">
        <v>1706</v>
      </c>
      <c r="B36" s="100">
        <v>5.69</v>
      </c>
      <c r="C36" s="100">
        <v>16.86</v>
      </c>
      <c r="D36" s="100">
        <v>14.72</v>
      </c>
      <c r="E36" s="100">
        <v>8.1300000000000008</v>
      </c>
      <c r="F36" s="152" t="s">
        <v>15</v>
      </c>
      <c r="G36" s="100">
        <v>1.78</v>
      </c>
      <c r="H36" s="100">
        <v>30.27</v>
      </c>
      <c r="I36" s="100">
        <v>11.72</v>
      </c>
      <c r="J36" s="100">
        <v>0.14000000000000001</v>
      </c>
      <c r="K36" s="100">
        <v>156.1</v>
      </c>
      <c r="L36" s="100">
        <v>23.59</v>
      </c>
      <c r="M36" s="100">
        <v>58.94</v>
      </c>
      <c r="N36" s="100">
        <v>20.8</v>
      </c>
      <c r="O36" s="100">
        <v>0</v>
      </c>
      <c r="P36" s="100">
        <v>1.04</v>
      </c>
      <c r="Q36" s="100">
        <v>28.09</v>
      </c>
      <c r="R36" s="6"/>
      <c r="S36" s="6"/>
      <c r="T36" s="156"/>
      <c r="U36" s="6"/>
    </row>
    <row r="37" spans="1:21" customFormat="1">
      <c r="A37" s="163" t="s">
        <v>1707</v>
      </c>
      <c r="B37" s="100">
        <v>5.47</v>
      </c>
      <c r="C37" s="100">
        <v>16.899999999999999</v>
      </c>
      <c r="D37" s="100">
        <v>14.56</v>
      </c>
      <c r="E37" s="100">
        <v>8.25</v>
      </c>
      <c r="F37" s="152" t="s">
        <v>15</v>
      </c>
      <c r="G37" s="100">
        <v>1.49</v>
      </c>
      <c r="H37" s="100">
        <v>30.71</v>
      </c>
      <c r="I37" s="100">
        <v>11.67</v>
      </c>
      <c r="J37" s="100">
        <v>0.16</v>
      </c>
      <c r="K37" s="100">
        <v>156.02000000000001</v>
      </c>
      <c r="L37" s="100">
        <v>24.24</v>
      </c>
      <c r="M37" s="100">
        <v>57.74</v>
      </c>
      <c r="N37" s="100">
        <v>28.1</v>
      </c>
      <c r="O37" s="100">
        <v>0</v>
      </c>
      <c r="P37" s="100">
        <v>1.04</v>
      </c>
      <c r="Q37" s="100">
        <v>28.07</v>
      </c>
      <c r="R37" s="6"/>
      <c r="S37" s="6"/>
      <c r="T37" s="156"/>
      <c r="U37" s="6"/>
    </row>
    <row r="38" spans="1:21" customFormat="1">
      <c r="A38" s="163" t="s">
        <v>1708</v>
      </c>
      <c r="B38" s="100">
        <v>5.39</v>
      </c>
      <c r="C38" s="100">
        <v>16.95</v>
      </c>
      <c r="D38" s="100">
        <v>14.54</v>
      </c>
      <c r="E38" s="100">
        <v>7.93</v>
      </c>
      <c r="F38" s="152" t="s">
        <v>15</v>
      </c>
      <c r="G38" s="100">
        <v>1.49</v>
      </c>
      <c r="H38" s="100">
        <v>30.71</v>
      </c>
      <c r="I38" s="100">
        <v>11.65</v>
      </c>
      <c r="J38" s="100">
        <v>0.2</v>
      </c>
      <c r="K38" s="100">
        <v>182.92</v>
      </c>
      <c r="L38" s="100">
        <v>25.06</v>
      </c>
      <c r="M38" s="100">
        <v>57.3</v>
      </c>
      <c r="N38" s="100">
        <v>37.200000000000003</v>
      </c>
      <c r="O38" s="100">
        <v>0</v>
      </c>
      <c r="P38" s="100">
        <v>1.05</v>
      </c>
      <c r="Q38" s="100">
        <v>28.07</v>
      </c>
      <c r="R38" s="6"/>
      <c r="S38" s="6"/>
      <c r="T38" s="156"/>
      <c r="U38" s="6"/>
    </row>
    <row r="39" spans="1:21" customFormat="1">
      <c r="A39" s="163" t="s">
        <v>1709</v>
      </c>
      <c r="B39" s="100">
        <v>5.3</v>
      </c>
      <c r="C39" s="100">
        <v>17.05</v>
      </c>
      <c r="D39" s="100">
        <v>14.51</v>
      </c>
      <c r="E39" s="100">
        <v>8.1199999999999992</v>
      </c>
      <c r="F39" s="152" t="s">
        <v>15</v>
      </c>
      <c r="G39" s="100">
        <v>1.49</v>
      </c>
      <c r="H39" s="100">
        <v>30.71</v>
      </c>
      <c r="I39" s="100">
        <v>11.7</v>
      </c>
      <c r="J39" s="100">
        <v>0.34</v>
      </c>
      <c r="K39" s="100">
        <v>161.97999999999999</v>
      </c>
      <c r="L39" s="100">
        <v>25.97</v>
      </c>
      <c r="M39" s="100">
        <v>52.86</v>
      </c>
      <c r="N39" s="100">
        <v>45.7</v>
      </c>
      <c r="O39" s="100">
        <v>0</v>
      </c>
      <c r="P39" s="100">
        <v>1.05</v>
      </c>
      <c r="Q39" s="100">
        <v>28.06</v>
      </c>
      <c r="R39" s="6"/>
      <c r="S39" s="6"/>
      <c r="T39" s="156"/>
      <c r="U39" s="6"/>
    </row>
    <row r="40" spans="1:21" customFormat="1">
      <c r="A40" s="163" t="s">
        <v>1710</v>
      </c>
      <c r="B40" s="100">
        <v>5.14</v>
      </c>
      <c r="C40" s="100">
        <v>17.02</v>
      </c>
      <c r="D40" s="100">
        <v>14.37</v>
      </c>
      <c r="E40" s="100">
        <v>8.08</v>
      </c>
      <c r="F40" s="152" t="s">
        <v>15</v>
      </c>
      <c r="G40" s="100">
        <v>1.49</v>
      </c>
      <c r="H40" s="100">
        <v>30.71</v>
      </c>
      <c r="I40" s="100">
        <v>11.77</v>
      </c>
      <c r="J40" s="100">
        <v>0.19</v>
      </c>
      <c r="K40" s="100">
        <v>160.6</v>
      </c>
      <c r="L40" s="100">
        <v>27.07</v>
      </c>
      <c r="M40" s="100">
        <v>51.62</v>
      </c>
      <c r="N40" s="100">
        <v>71.099999999999994</v>
      </c>
      <c r="O40" s="100">
        <v>0</v>
      </c>
      <c r="P40" s="100">
        <v>1.06</v>
      </c>
      <c r="Q40" s="100">
        <v>28.05</v>
      </c>
      <c r="R40" s="6"/>
      <c r="S40" s="6"/>
      <c r="T40" s="156"/>
      <c r="U40" s="6"/>
    </row>
    <row r="41" spans="1:21" customFormat="1">
      <c r="A41" s="163" t="s">
        <v>1711</v>
      </c>
      <c r="B41" s="100">
        <v>4.93</v>
      </c>
      <c r="C41" s="100">
        <v>17.079999999999998</v>
      </c>
      <c r="D41" s="100">
        <v>14.23</v>
      </c>
      <c r="E41" s="100">
        <v>8.24</v>
      </c>
      <c r="F41" s="152" t="s">
        <v>15</v>
      </c>
      <c r="G41" s="100">
        <v>1.58</v>
      </c>
      <c r="H41" s="100">
        <v>33.380000000000003</v>
      </c>
      <c r="I41" s="100">
        <v>11.86</v>
      </c>
      <c r="J41" s="100">
        <v>0.15</v>
      </c>
      <c r="K41" s="100">
        <v>246.24</v>
      </c>
      <c r="L41" s="100">
        <v>28.08</v>
      </c>
      <c r="M41" s="100">
        <v>47.75</v>
      </c>
      <c r="N41" s="100">
        <v>92.3</v>
      </c>
      <c r="O41" s="100">
        <v>0</v>
      </c>
      <c r="P41" s="100">
        <v>1.05</v>
      </c>
      <c r="Q41" s="100">
        <v>28.05</v>
      </c>
      <c r="R41" s="6"/>
      <c r="S41" s="6"/>
      <c r="T41" s="156"/>
      <c r="U41" s="6"/>
    </row>
    <row r="42" spans="1:21" customFormat="1">
      <c r="A42" s="163" t="s">
        <v>1712</v>
      </c>
      <c r="B42" s="100">
        <v>4.71</v>
      </c>
      <c r="C42" s="100">
        <v>17.25</v>
      </c>
      <c r="D42" s="100">
        <v>14.14</v>
      </c>
      <c r="E42" s="100">
        <v>8.1300000000000008</v>
      </c>
      <c r="F42" s="152" t="s">
        <v>15</v>
      </c>
      <c r="G42" s="100">
        <v>1.58</v>
      </c>
      <c r="H42" s="100">
        <v>33.380000000000003</v>
      </c>
      <c r="I42" s="100">
        <v>11.91</v>
      </c>
      <c r="J42" s="100">
        <v>0.17</v>
      </c>
      <c r="K42" s="100">
        <v>277.61</v>
      </c>
      <c r="L42" s="100">
        <v>28.98</v>
      </c>
      <c r="M42" s="100">
        <v>45.32</v>
      </c>
      <c r="N42" s="100">
        <v>102.8</v>
      </c>
      <c r="O42" s="100">
        <v>0</v>
      </c>
      <c r="P42" s="100">
        <v>1.07</v>
      </c>
      <c r="Q42" s="100">
        <v>28.04</v>
      </c>
      <c r="R42" s="6"/>
      <c r="S42" s="6"/>
      <c r="T42" s="156"/>
      <c r="U42" s="6"/>
    </row>
    <row r="43" spans="1:21" customFormat="1">
      <c r="A43" s="163" t="s">
        <v>1713</v>
      </c>
      <c r="B43" s="100">
        <v>4.5</v>
      </c>
      <c r="C43" s="100">
        <v>17.62</v>
      </c>
      <c r="D43" s="100">
        <v>14.17</v>
      </c>
      <c r="E43" s="100">
        <v>8.31</v>
      </c>
      <c r="F43" s="152" t="s">
        <v>15</v>
      </c>
      <c r="G43" s="100">
        <v>1.58</v>
      </c>
      <c r="H43" s="100">
        <v>33.380000000000003</v>
      </c>
      <c r="I43" s="100">
        <v>12.01</v>
      </c>
      <c r="J43" s="100">
        <v>0.55000000000000004</v>
      </c>
      <c r="K43" s="100">
        <v>274.29000000000002</v>
      </c>
      <c r="L43" s="100">
        <v>29.86</v>
      </c>
      <c r="M43" s="100">
        <v>43.47</v>
      </c>
      <c r="N43" s="100">
        <v>140.1</v>
      </c>
      <c r="O43" s="100">
        <v>0</v>
      </c>
      <c r="P43" s="100">
        <v>1.08</v>
      </c>
      <c r="Q43" s="100">
        <v>28.04</v>
      </c>
      <c r="R43" s="6"/>
      <c r="S43" s="6"/>
      <c r="T43" s="156"/>
      <c r="U43" s="6"/>
    </row>
    <row r="44" spans="1:21" customFormat="1">
      <c r="A44" s="163" t="s">
        <v>1714</v>
      </c>
      <c r="B44" s="100">
        <v>4.3</v>
      </c>
      <c r="C44" s="100">
        <v>17.78</v>
      </c>
      <c r="D44" s="100">
        <v>14.09</v>
      </c>
      <c r="E44" s="100">
        <v>8.39</v>
      </c>
      <c r="F44" s="152" t="s">
        <v>15</v>
      </c>
      <c r="G44" s="100">
        <v>1.58</v>
      </c>
      <c r="H44" s="100">
        <v>33.380000000000003</v>
      </c>
      <c r="I44" s="100">
        <v>12.25</v>
      </c>
      <c r="J44" s="100">
        <v>0.74</v>
      </c>
      <c r="K44" s="100">
        <v>269.58</v>
      </c>
      <c r="L44" s="100">
        <v>30.44</v>
      </c>
      <c r="M44" s="100">
        <v>41.76</v>
      </c>
      <c r="N44" s="100">
        <v>158</v>
      </c>
      <c r="O44" s="100">
        <v>0</v>
      </c>
      <c r="P44" s="100">
        <v>1.08</v>
      </c>
      <c r="Q44" s="100">
        <v>28.03</v>
      </c>
      <c r="R44" s="6"/>
      <c r="S44" s="6"/>
      <c r="T44" s="156"/>
      <c r="U44" s="6"/>
    </row>
    <row r="45" spans="1:21" customFormat="1">
      <c r="A45" s="163" t="s">
        <v>1715</v>
      </c>
      <c r="B45" s="100">
        <v>4.12</v>
      </c>
      <c r="C45" s="100">
        <v>18</v>
      </c>
      <c r="D45" s="100">
        <v>14.06</v>
      </c>
      <c r="E45" s="100">
        <v>9.34</v>
      </c>
      <c r="F45" s="152" t="s">
        <v>15</v>
      </c>
      <c r="G45" s="100">
        <v>1.38</v>
      </c>
      <c r="H45" s="100">
        <v>35.56</v>
      </c>
      <c r="I45" s="100">
        <v>12.5</v>
      </c>
      <c r="J45" s="100">
        <v>0.62</v>
      </c>
      <c r="K45" s="100">
        <v>261.17</v>
      </c>
      <c r="L45" s="100">
        <v>30.9</v>
      </c>
      <c r="M45" s="100">
        <v>40.43</v>
      </c>
      <c r="N45" s="100">
        <v>151.4</v>
      </c>
      <c r="O45" s="100">
        <v>0</v>
      </c>
      <c r="P45" s="100">
        <v>1.1000000000000001</v>
      </c>
      <c r="Q45" s="100">
        <v>28.03</v>
      </c>
      <c r="R45" s="6"/>
      <c r="S45" s="6"/>
      <c r="T45" s="156"/>
      <c r="U45" s="6"/>
    </row>
    <row r="46" spans="1:21" customFormat="1">
      <c r="A46" s="163" t="s">
        <v>1716</v>
      </c>
      <c r="B46" s="100">
        <v>4</v>
      </c>
      <c r="C46" s="100">
        <v>18.28</v>
      </c>
      <c r="D46" s="100">
        <v>14.11</v>
      </c>
      <c r="E46" s="100">
        <v>9.39</v>
      </c>
      <c r="F46" s="152" t="s">
        <v>15</v>
      </c>
      <c r="G46" s="100">
        <v>1.38</v>
      </c>
      <c r="H46" s="100">
        <v>35.56</v>
      </c>
      <c r="I46" s="100">
        <v>13.15</v>
      </c>
      <c r="J46" s="100">
        <v>0.64</v>
      </c>
      <c r="K46" s="100">
        <v>241.57</v>
      </c>
      <c r="L46" s="100">
        <v>31.36</v>
      </c>
      <c r="M46" s="100">
        <v>39.409999999999997</v>
      </c>
      <c r="N46" s="100">
        <v>197.1</v>
      </c>
      <c r="O46" s="100">
        <v>0</v>
      </c>
      <c r="P46" s="100">
        <v>1.1100000000000001</v>
      </c>
      <c r="Q46" s="100">
        <v>28.01</v>
      </c>
      <c r="R46" s="6"/>
      <c r="S46" s="6"/>
      <c r="T46" s="156"/>
      <c r="U46" s="6"/>
    </row>
    <row r="47" spans="1:21" customFormat="1">
      <c r="A47" s="163" t="s">
        <v>1717</v>
      </c>
      <c r="B47" s="100">
        <v>3.96</v>
      </c>
      <c r="C47" s="100">
        <v>18.39</v>
      </c>
      <c r="D47" s="100">
        <v>14.13</v>
      </c>
      <c r="E47" s="100">
        <v>8.99</v>
      </c>
      <c r="F47" s="152" t="s">
        <v>15</v>
      </c>
      <c r="G47" s="100">
        <v>1.38</v>
      </c>
      <c r="H47" s="100">
        <v>35.56</v>
      </c>
      <c r="I47" s="100">
        <v>14.12</v>
      </c>
      <c r="J47" s="100">
        <v>0.76</v>
      </c>
      <c r="K47" s="100">
        <v>257.42</v>
      </c>
      <c r="L47" s="100">
        <v>31.64</v>
      </c>
      <c r="M47" s="100">
        <v>39.61</v>
      </c>
      <c r="N47" s="100">
        <v>211.9</v>
      </c>
      <c r="O47" s="100">
        <v>0</v>
      </c>
      <c r="P47" s="100">
        <v>1.1100000000000001</v>
      </c>
      <c r="Q47" s="100">
        <v>28.02</v>
      </c>
      <c r="R47" s="6"/>
      <c r="S47" s="6"/>
      <c r="T47" s="156"/>
      <c r="U47" s="6"/>
    </row>
    <row r="48" spans="1:21" customFormat="1">
      <c r="A48" s="163" t="s">
        <v>1718</v>
      </c>
      <c r="B48" s="100">
        <v>3.95</v>
      </c>
      <c r="C48" s="100">
        <v>18.32</v>
      </c>
      <c r="D48" s="100">
        <v>14.09</v>
      </c>
      <c r="E48" s="100">
        <v>8.91</v>
      </c>
      <c r="F48" s="152" t="s">
        <v>15</v>
      </c>
      <c r="G48" s="100">
        <v>1.38</v>
      </c>
      <c r="H48" s="100">
        <v>35.56</v>
      </c>
      <c r="I48" s="100">
        <v>14.45</v>
      </c>
      <c r="J48" s="100">
        <v>0.67</v>
      </c>
      <c r="K48" s="100">
        <v>260.58</v>
      </c>
      <c r="L48" s="100">
        <v>32.08</v>
      </c>
      <c r="M48" s="100">
        <v>38.92</v>
      </c>
      <c r="N48" s="100">
        <v>221.6</v>
      </c>
      <c r="O48" s="100">
        <v>0</v>
      </c>
      <c r="P48" s="100">
        <v>1.1100000000000001</v>
      </c>
      <c r="Q48" s="100">
        <v>28.02</v>
      </c>
      <c r="R48" s="6"/>
      <c r="S48" s="6"/>
      <c r="T48" s="156"/>
      <c r="U48" s="6"/>
    </row>
    <row r="49" spans="1:21" customFormat="1">
      <c r="A49" s="163" t="s">
        <v>1719</v>
      </c>
      <c r="B49" s="100">
        <v>4</v>
      </c>
      <c r="C49" s="100">
        <v>18</v>
      </c>
      <c r="D49" s="100">
        <v>13.97</v>
      </c>
      <c r="E49" s="100">
        <v>8.65</v>
      </c>
      <c r="F49" s="152" t="s">
        <v>15</v>
      </c>
      <c r="G49" s="100">
        <v>2.4</v>
      </c>
      <c r="H49" s="100">
        <v>34.44</v>
      </c>
      <c r="I49" s="100">
        <v>14.61</v>
      </c>
      <c r="J49" s="100">
        <v>1.19</v>
      </c>
      <c r="K49" s="100">
        <v>277.33999999999997</v>
      </c>
      <c r="L49" s="100">
        <v>33.020000000000003</v>
      </c>
      <c r="M49" s="100">
        <v>34.340000000000003</v>
      </c>
      <c r="N49" s="100">
        <v>215.7</v>
      </c>
      <c r="O49" s="100">
        <v>0</v>
      </c>
      <c r="P49" s="100">
        <v>1.08</v>
      </c>
      <c r="Q49" s="100">
        <v>28.01</v>
      </c>
      <c r="R49" s="6"/>
      <c r="S49" s="6"/>
      <c r="T49" s="156"/>
      <c r="U49" s="6"/>
    </row>
    <row r="50" spans="1:21" customFormat="1">
      <c r="A50" s="163" t="s">
        <v>1720</v>
      </c>
      <c r="B50" s="100">
        <v>4.03</v>
      </c>
      <c r="C50" s="100">
        <v>18.02</v>
      </c>
      <c r="D50" s="100">
        <v>14</v>
      </c>
      <c r="E50" s="100">
        <v>9.6199999999999992</v>
      </c>
      <c r="F50" s="152" t="s">
        <v>15</v>
      </c>
      <c r="G50" s="100">
        <v>2.4</v>
      </c>
      <c r="H50" s="100">
        <v>34.44</v>
      </c>
      <c r="I50" s="100">
        <v>14.29</v>
      </c>
      <c r="J50" s="100">
        <v>1.27</v>
      </c>
      <c r="K50" s="100">
        <v>264.2</v>
      </c>
      <c r="L50" s="100">
        <v>33.53</v>
      </c>
      <c r="M50" s="100">
        <v>31.69</v>
      </c>
      <c r="N50" s="100">
        <v>209.2</v>
      </c>
      <c r="O50" s="100">
        <v>0</v>
      </c>
      <c r="P50" s="100">
        <v>1.07</v>
      </c>
      <c r="Q50" s="100">
        <v>28</v>
      </c>
      <c r="R50" s="6"/>
      <c r="S50" s="6"/>
      <c r="T50" s="156"/>
      <c r="U50" s="6"/>
    </row>
    <row r="51" spans="1:21" customFormat="1">
      <c r="A51" s="163" t="s">
        <v>1721</v>
      </c>
      <c r="B51" s="100">
        <v>3.98</v>
      </c>
      <c r="C51" s="100">
        <v>17.52</v>
      </c>
      <c r="D51" s="100">
        <v>13.7</v>
      </c>
      <c r="E51" s="100">
        <v>9.77</v>
      </c>
      <c r="F51" s="152" t="s">
        <v>15</v>
      </c>
      <c r="G51" s="100">
        <v>2.4</v>
      </c>
      <c r="H51" s="100">
        <v>34.44</v>
      </c>
      <c r="I51" s="100">
        <v>13.93</v>
      </c>
      <c r="J51" s="100">
        <v>1.3</v>
      </c>
      <c r="K51" s="100">
        <v>259.87</v>
      </c>
      <c r="L51" s="100">
        <v>34.22</v>
      </c>
      <c r="M51" s="100">
        <v>27.15</v>
      </c>
      <c r="N51" s="100">
        <v>266.5</v>
      </c>
      <c r="O51" s="100">
        <v>0</v>
      </c>
      <c r="P51" s="100">
        <v>1.03</v>
      </c>
      <c r="Q51" s="100">
        <v>28.02</v>
      </c>
      <c r="R51" s="6"/>
      <c r="S51" s="6"/>
      <c r="T51" s="156"/>
      <c r="U51" s="6"/>
    </row>
    <row r="52" spans="1:21" customFormat="1">
      <c r="A52" s="163" t="s">
        <v>1722</v>
      </c>
      <c r="B52" s="100">
        <v>3.94</v>
      </c>
      <c r="C52" s="100">
        <v>17.2</v>
      </c>
      <c r="D52" s="100">
        <v>13.5</v>
      </c>
      <c r="E52" s="100">
        <v>9.7799999999999994</v>
      </c>
      <c r="F52" s="152" t="s">
        <v>15</v>
      </c>
      <c r="G52" s="100">
        <v>2.4</v>
      </c>
      <c r="H52" s="100">
        <v>34.44</v>
      </c>
      <c r="I52" s="100">
        <v>13.66</v>
      </c>
      <c r="J52" s="100">
        <v>1.44</v>
      </c>
      <c r="K52" s="100">
        <v>257.83</v>
      </c>
      <c r="L52" s="100">
        <v>34.64</v>
      </c>
      <c r="M52" s="100">
        <v>24.53</v>
      </c>
      <c r="N52" s="100">
        <v>279.89999999999998</v>
      </c>
      <c r="O52" s="100">
        <v>0</v>
      </c>
      <c r="P52" s="100">
        <v>1.01</v>
      </c>
      <c r="Q52" s="100">
        <v>28.03</v>
      </c>
      <c r="R52" s="6"/>
      <c r="S52" s="6"/>
      <c r="T52" s="156"/>
      <c r="U52" s="6"/>
    </row>
    <row r="53" spans="1:21" customFormat="1">
      <c r="A53" s="163" t="s">
        <v>1723</v>
      </c>
      <c r="B53" s="100">
        <v>3.9</v>
      </c>
      <c r="C53" s="100">
        <v>16.98</v>
      </c>
      <c r="D53" s="100">
        <v>13.35</v>
      </c>
      <c r="E53" s="100">
        <v>9.9700000000000006</v>
      </c>
      <c r="F53" s="152" t="s">
        <v>15</v>
      </c>
      <c r="G53" s="100">
        <v>2.11</v>
      </c>
      <c r="H53" s="100">
        <v>29.21</v>
      </c>
      <c r="I53" s="100">
        <v>13.26</v>
      </c>
      <c r="J53" s="100">
        <v>1.36</v>
      </c>
      <c r="K53" s="100">
        <v>262.07</v>
      </c>
      <c r="L53" s="100">
        <v>35.04</v>
      </c>
      <c r="M53" s="100">
        <v>24.06</v>
      </c>
      <c r="N53" s="100">
        <v>282.5</v>
      </c>
      <c r="O53" s="100">
        <v>0</v>
      </c>
      <c r="P53" s="100">
        <v>0.98</v>
      </c>
      <c r="Q53" s="100">
        <v>28.02</v>
      </c>
      <c r="R53" s="6"/>
      <c r="S53" s="6"/>
      <c r="T53" s="156"/>
      <c r="U53" s="6"/>
    </row>
    <row r="54" spans="1:21" customFormat="1">
      <c r="A54" s="163" t="s">
        <v>1724</v>
      </c>
      <c r="B54" s="100">
        <v>3.86</v>
      </c>
      <c r="C54" s="100">
        <v>16.73</v>
      </c>
      <c r="D54" s="100">
        <v>13.18</v>
      </c>
      <c r="E54" s="100">
        <v>10</v>
      </c>
      <c r="F54" s="152" t="s">
        <v>15</v>
      </c>
      <c r="G54" s="100">
        <v>2.11</v>
      </c>
      <c r="H54" s="100">
        <v>29.21</v>
      </c>
      <c r="I54" s="100">
        <v>12.83</v>
      </c>
      <c r="J54" s="100">
        <v>1.38</v>
      </c>
      <c r="K54" s="100">
        <v>262</v>
      </c>
      <c r="L54" s="100">
        <v>35.770000000000003</v>
      </c>
      <c r="M54" s="100">
        <v>23.07</v>
      </c>
      <c r="N54" s="100">
        <v>281</v>
      </c>
      <c r="O54" s="100">
        <v>0</v>
      </c>
      <c r="P54" s="100">
        <v>0.95</v>
      </c>
      <c r="Q54" s="100">
        <v>28.02</v>
      </c>
      <c r="R54" s="6"/>
      <c r="S54" s="6"/>
      <c r="T54" s="156"/>
      <c r="U54" s="6"/>
    </row>
    <row r="55" spans="1:21" customFormat="1">
      <c r="A55" s="163" t="s">
        <v>1725</v>
      </c>
      <c r="B55" s="100">
        <v>3.82</v>
      </c>
      <c r="C55" s="100">
        <v>16.440000000000001</v>
      </c>
      <c r="D55" s="100">
        <v>13</v>
      </c>
      <c r="E55" s="100">
        <v>11.76</v>
      </c>
      <c r="F55" s="152" t="s">
        <v>15</v>
      </c>
      <c r="G55" s="100">
        <v>2.11</v>
      </c>
      <c r="H55" s="100">
        <v>29.21</v>
      </c>
      <c r="I55" s="100">
        <v>12.38</v>
      </c>
      <c r="J55" s="100">
        <v>1.49</v>
      </c>
      <c r="K55" s="100">
        <v>263.94</v>
      </c>
      <c r="L55" s="100">
        <v>36.1</v>
      </c>
      <c r="M55" s="100">
        <v>21.97</v>
      </c>
      <c r="N55" s="100">
        <v>274</v>
      </c>
      <c r="O55" s="100">
        <v>0</v>
      </c>
      <c r="P55" s="100">
        <v>0.92</v>
      </c>
      <c r="Q55" s="100">
        <v>28</v>
      </c>
      <c r="R55" s="6"/>
      <c r="S55" s="6"/>
      <c r="T55" s="156"/>
      <c r="U55" s="6"/>
    </row>
    <row r="56" spans="1:21" customFormat="1">
      <c r="A56" s="163" t="s">
        <v>1726</v>
      </c>
      <c r="B56" s="100">
        <v>3.84</v>
      </c>
      <c r="C56" s="100">
        <v>16.61</v>
      </c>
      <c r="D56" s="100">
        <v>13.11</v>
      </c>
      <c r="E56" s="100">
        <v>10.61</v>
      </c>
      <c r="F56" s="152" t="s">
        <v>15</v>
      </c>
      <c r="G56" s="100">
        <v>2.11</v>
      </c>
      <c r="H56" s="100">
        <v>29.21</v>
      </c>
      <c r="I56" s="100">
        <v>11.92</v>
      </c>
      <c r="J56" s="100">
        <v>1.73</v>
      </c>
      <c r="K56" s="100">
        <v>272.38</v>
      </c>
      <c r="L56" s="100">
        <v>36.049999999999997</v>
      </c>
      <c r="M56" s="100">
        <v>21.41</v>
      </c>
      <c r="N56" s="100">
        <v>303.60000000000002</v>
      </c>
      <c r="O56" s="100">
        <v>0</v>
      </c>
      <c r="P56" s="100">
        <v>0.92</v>
      </c>
      <c r="Q56" s="100">
        <v>28.01</v>
      </c>
      <c r="R56" s="6"/>
      <c r="S56" s="6"/>
      <c r="T56" s="156"/>
      <c r="U56" s="6"/>
    </row>
    <row r="57" spans="1:21" customFormat="1">
      <c r="A57" s="163" t="s">
        <v>1727</v>
      </c>
      <c r="B57" s="100">
        <v>3.84</v>
      </c>
      <c r="C57" s="100">
        <v>16.760000000000002</v>
      </c>
      <c r="D57" s="100">
        <v>13.19</v>
      </c>
      <c r="E57" s="100">
        <v>12.36</v>
      </c>
      <c r="F57" s="152" t="s">
        <v>15</v>
      </c>
      <c r="G57" s="100">
        <v>1.9</v>
      </c>
      <c r="H57" s="100">
        <v>30.04</v>
      </c>
      <c r="I57" s="100">
        <v>11.65</v>
      </c>
      <c r="J57" s="100">
        <v>1.79</v>
      </c>
      <c r="K57" s="100">
        <v>253.27</v>
      </c>
      <c r="L57" s="100">
        <v>36.5</v>
      </c>
      <c r="M57" s="100">
        <v>20.52</v>
      </c>
      <c r="N57" s="100">
        <v>311.10000000000002</v>
      </c>
      <c r="O57" s="100">
        <v>0</v>
      </c>
      <c r="P57" s="100">
        <v>0.89</v>
      </c>
      <c r="Q57" s="100">
        <v>28</v>
      </c>
      <c r="R57" s="6"/>
      <c r="S57" s="6"/>
      <c r="T57" s="156"/>
      <c r="U57" s="6"/>
    </row>
    <row r="58" spans="1:21" customFormat="1">
      <c r="A58" s="163" t="s">
        <v>1728</v>
      </c>
      <c r="B58" s="100">
        <v>3.81</v>
      </c>
      <c r="C58" s="100">
        <v>16.39</v>
      </c>
      <c r="D58" s="100">
        <v>12.97</v>
      </c>
      <c r="E58" s="100">
        <v>9.9</v>
      </c>
      <c r="F58" s="152" t="s">
        <v>15</v>
      </c>
      <c r="G58" s="100">
        <v>1.9</v>
      </c>
      <c r="H58" s="100">
        <v>30.04</v>
      </c>
      <c r="I58" s="100">
        <v>11.61</v>
      </c>
      <c r="J58" s="100">
        <v>1.76</v>
      </c>
      <c r="K58" s="100">
        <v>264.39</v>
      </c>
      <c r="L58" s="100">
        <v>36.61</v>
      </c>
      <c r="M58" s="100">
        <v>19.41</v>
      </c>
      <c r="N58" s="100">
        <v>316.10000000000002</v>
      </c>
      <c r="O58" s="100">
        <v>0</v>
      </c>
      <c r="P58" s="100">
        <v>0.85</v>
      </c>
      <c r="Q58" s="100">
        <v>27.99</v>
      </c>
      <c r="R58" s="6"/>
      <c r="S58" s="6"/>
      <c r="T58" s="156"/>
      <c r="U58" s="6"/>
    </row>
    <row r="59" spans="1:21" customFormat="1">
      <c r="A59" s="163" t="s">
        <v>1729</v>
      </c>
      <c r="B59" s="100">
        <v>3.76</v>
      </c>
      <c r="C59" s="100">
        <v>16.25</v>
      </c>
      <c r="D59" s="100">
        <v>12.86</v>
      </c>
      <c r="E59" s="100">
        <v>9.34</v>
      </c>
      <c r="F59" s="152" t="s">
        <v>15</v>
      </c>
      <c r="G59" s="100">
        <v>1.9</v>
      </c>
      <c r="H59" s="100">
        <v>30.04</v>
      </c>
      <c r="I59" s="100">
        <v>11.37</v>
      </c>
      <c r="J59" s="100">
        <v>1.92</v>
      </c>
      <c r="K59" s="100">
        <v>270.48</v>
      </c>
      <c r="L59" s="100">
        <v>37.06</v>
      </c>
      <c r="M59" s="100">
        <v>18.89</v>
      </c>
      <c r="N59" s="100">
        <v>316</v>
      </c>
      <c r="O59" s="100">
        <v>0</v>
      </c>
      <c r="P59" s="100">
        <v>0.83</v>
      </c>
      <c r="Q59" s="100">
        <v>27.99</v>
      </c>
      <c r="R59" s="6"/>
      <c r="S59" s="6"/>
      <c r="T59" s="156"/>
      <c r="U59" s="6"/>
    </row>
    <row r="60" spans="1:21" customFormat="1">
      <c r="A60" s="163" t="s">
        <v>1730</v>
      </c>
      <c r="B60" s="100">
        <v>3.74</v>
      </c>
      <c r="C60" s="100">
        <v>16.12</v>
      </c>
      <c r="D60" s="100">
        <v>12.77</v>
      </c>
      <c r="E60" s="100">
        <v>9.5299999999999994</v>
      </c>
      <c r="F60" s="152" t="s">
        <v>15</v>
      </c>
      <c r="G60" s="100">
        <v>1.9</v>
      </c>
      <c r="H60" s="100">
        <v>30.04</v>
      </c>
      <c r="I60" s="100">
        <v>10.93</v>
      </c>
      <c r="J60" s="100">
        <v>1.69</v>
      </c>
      <c r="K60" s="100">
        <v>266.91000000000003</v>
      </c>
      <c r="L60" s="100">
        <v>37.409999999999997</v>
      </c>
      <c r="M60" s="100">
        <v>18.79</v>
      </c>
      <c r="N60" s="100">
        <v>317.10000000000002</v>
      </c>
      <c r="O60" s="100">
        <v>0</v>
      </c>
      <c r="P60" s="100">
        <v>0.8</v>
      </c>
      <c r="Q60" s="100">
        <v>27.99</v>
      </c>
      <c r="R60" s="6"/>
      <c r="S60" s="6"/>
      <c r="T60" s="156"/>
      <c r="U60" s="6"/>
    </row>
    <row r="61" spans="1:21" customFormat="1">
      <c r="A61" s="163" t="s">
        <v>1731</v>
      </c>
      <c r="B61" s="100">
        <v>3.71</v>
      </c>
      <c r="C61" s="100">
        <v>15.8</v>
      </c>
      <c r="D61" s="100">
        <v>12.58</v>
      </c>
      <c r="E61" s="100">
        <v>9.52</v>
      </c>
      <c r="F61" s="152" t="s">
        <v>15</v>
      </c>
      <c r="G61" s="100">
        <v>1.75</v>
      </c>
      <c r="H61" s="100">
        <v>30.33</v>
      </c>
      <c r="I61" s="100">
        <v>10.48</v>
      </c>
      <c r="J61" s="100">
        <v>1.69</v>
      </c>
      <c r="K61" s="100">
        <v>263.95</v>
      </c>
      <c r="L61" s="100">
        <v>37.64</v>
      </c>
      <c r="M61" s="100">
        <v>18.489999999999998</v>
      </c>
      <c r="N61" s="100">
        <v>310.8</v>
      </c>
      <c r="O61" s="100">
        <v>0</v>
      </c>
      <c r="P61" s="100">
        <v>0.78</v>
      </c>
      <c r="Q61" s="100">
        <v>27.99</v>
      </c>
      <c r="R61" s="6"/>
      <c r="S61" s="6"/>
      <c r="T61" s="156"/>
      <c r="U61" s="6"/>
    </row>
    <row r="62" spans="1:21" customFormat="1">
      <c r="A62" s="163" t="s">
        <v>1732</v>
      </c>
      <c r="B62" s="100">
        <v>3.68</v>
      </c>
      <c r="C62" s="100">
        <v>15.67</v>
      </c>
      <c r="D62" s="100">
        <v>12.49</v>
      </c>
      <c r="E62" s="100">
        <v>9.6199999999999992</v>
      </c>
      <c r="F62" s="152" t="s">
        <v>15</v>
      </c>
      <c r="G62" s="100">
        <v>1.75</v>
      </c>
      <c r="H62" s="100">
        <v>30.33</v>
      </c>
      <c r="I62" s="100">
        <v>9.99</v>
      </c>
      <c r="J62" s="100">
        <v>1.41</v>
      </c>
      <c r="K62" s="100">
        <v>267.04000000000002</v>
      </c>
      <c r="L62" s="100">
        <v>37.96</v>
      </c>
      <c r="M62" s="100">
        <v>18.38</v>
      </c>
      <c r="N62" s="100">
        <v>308.39999999999998</v>
      </c>
      <c r="O62" s="100">
        <v>0</v>
      </c>
      <c r="P62" s="100">
        <v>0.75</v>
      </c>
      <c r="Q62" s="100">
        <v>28</v>
      </c>
      <c r="R62" s="6"/>
      <c r="S62" s="6"/>
      <c r="T62" s="156"/>
      <c r="U62" s="6"/>
    </row>
    <row r="63" spans="1:21" customFormat="1">
      <c r="A63" s="163" t="s">
        <v>1733</v>
      </c>
      <c r="B63" s="100">
        <v>3.63</v>
      </c>
      <c r="C63" s="100">
        <v>15.5</v>
      </c>
      <c r="D63" s="100">
        <v>12.36</v>
      </c>
      <c r="E63" s="100">
        <v>9.59</v>
      </c>
      <c r="F63" s="152" t="s">
        <v>15</v>
      </c>
      <c r="G63" s="100">
        <v>1.75</v>
      </c>
      <c r="H63" s="100">
        <v>30.33</v>
      </c>
      <c r="I63" s="100">
        <v>9.66</v>
      </c>
      <c r="J63" s="100">
        <v>1.43</v>
      </c>
      <c r="K63" s="100">
        <v>263.11</v>
      </c>
      <c r="L63" s="100">
        <v>38.119999999999997</v>
      </c>
      <c r="M63" s="100">
        <v>17.79</v>
      </c>
      <c r="N63" s="100">
        <v>303</v>
      </c>
      <c r="O63" s="100">
        <v>0</v>
      </c>
      <c r="P63" s="100">
        <v>0.75</v>
      </c>
      <c r="Q63" s="100">
        <v>28</v>
      </c>
      <c r="R63" s="6"/>
      <c r="S63" s="6"/>
      <c r="T63" s="156"/>
      <c r="U63" s="6"/>
    </row>
    <row r="64" spans="1:21" customFormat="1">
      <c r="A64" s="163" t="s">
        <v>1734</v>
      </c>
      <c r="B64" s="100">
        <v>3.63</v>
      </c>
      <c r="C64" s="100">
        <v>15.35</v>
      </c>
      <c r="D64" s="100">
        <v>12.28</v>
      </c>
      <c r="E64" s="100">
        <v>9.57</v>
      </c>
      <c r="F64" s="152" t="s">
        <v>15</v>
      </c>
      <c r="G64" s="100">
        <v>1.75</v>
      </c>
      <c r="H64" s="100">
        <v>30.33</v>
      </c>
      <c r="I64" s="100">
        <v>9.39</v>
      </c>
      <c r="J64" s="100">
        <v>1.7</v>
      </c>
      <c r="K64" s="100">
        <v>271.26</v>
      </c>
      <c r="L64" s="100">
        <v>38.1</v>
      </c>
      <c r="M64" s="100">
        <v>17.739999999999998</v>
      </c>
      <c r="N64" s="100">
        <v>314.89999999999998</v>
      </c>
      <c r="O64" s="100">
        <v>0</v>
      </c>
      <c r="P64" s="100">
        <v>0.73</v>
      </c>
      <c r="Q64" s="100">
        <v>27.99</v>
      </c>
      <c r="R64" s="6"/>
      <c r="S64" s="6"/>
      <c r="T64" s="156"/>
      <c r="U64" s="6"/>
    </row>
    <row r="65" spans="1:21" customFormat="1">
      <c r="A65" s="163" t="s">
        <v>1735</v>
      </c>
      <c r="B65" s="100">
        <v>3.61</v>
      </c>
      <c r="C65" s="100">
        <v>14.98</v>
      </c>
      <c r="D65" s="100">
        <v>12.08</v>
      </c>
      <c r="E65" s="100">
        <v>9.99</v>
      </c>
      <c r="F65" s="152" t="s">
        <v>15</v>
      </c>
      <c r="G65" s="100">
        <v>1.64</v>
      </c>
      <c r="H65" s="100">
        <v>30.78</v>
      </c>
      <c r="I65" s="100">
        <v>9.09</v>
      </c>
      <c r="J65" s="100">
        <v>1.38</v>
      </c>
      <c r="K65" s="100">
        <v>256.95</v>
      </c>
      <c r="L65" s="100">
        <v>38.04</v>
      </c>
      <c r="M65" s="100">
        <v>18.02</v>
      </c>
      <c r="N65" s="100">
        <v>308.89999999999998</v>
      </c>
      <c r="O65" s="100">
        <v>0</v>
      </c>
      <c r="P65" s="100">
        <v>0.71</v>
      </c>
      <c r="Q65" s="100">
        <v>28</v>
      </c>
      <c r="R65" s="6"/>
      <c r="S65" s="6"/>
      <c r="T65" s="156"/>
      <c r="U65" s="6"/>
    </row>
    <row r="66" spans="1:21" customFormat="1">
      <c r="A66" s="163" t="s">
        <v>1736</v>
      </c>
      <c r="B66" s="100">
        <v>3.64</v>
      </c>
      <c r="C66" s="100">
        <v>15.2</v>
      </c>
      <c r="D66" s="100">
        <v>12.21</v>
      </c>
      <c r="E66" s="100">
        <v>9.57</v>
      </c>
      <c r="F66" s="152" t="s">
        <v>15</v>
      </c>
      <c r="G66" s="100">
        <v>1.64</v>
      </c>
      <c r="H66" s="100">
        <v>30.78</v>
      </c>
      <c r="I66" s="100">
        <v>8.9499999999999993</v>
      </c>
      <c r="J66" s="100">
        <v>1.53</v>
      </c>
      <c r="K66" s="100">
        <v>280.92</v>
      </c>
      <c r="L66" s="100">
        <v>38.22</v>
      </c>
      <c r="M66" s="100">
        <v>17.940000000000001</v>
      </c>
      <c r="N66" s="100">
        <v>302</v>
      </c>
      <c r="O66" s="100">
        <v>0</v>
      </c>
      <c r="P66" s="100">
        <v>0.7</v>
      </c>
      <c r="Q66" s="100">
        <v>28</v>
      </c>
      <c r="R66" s="6"/>
      <c r="S66" s="6"/>
      <c r="T66" s="156"/>
      <c r="U66" s="6"/>
    </row>
    <row r="67" spans="1:21" customFormat="1">
      <c r="A67" s="163" t="s">
        <v>1737</v>
      </c>
      <c r="B67" s="100">
        <v>3.65</v>
      </c>
      <c r="C67" s="100">
        <v>15.82</v>
      </c>
      <c r="D67" s="100">
        <v>12.55</v>
      </c>
      <c r="E67" s="100">
        <v>9.68</v>
      </c>
      <c r="F67" s="152" t="s">
        <v>15</v>
      </c>
      <c r="G67" s="100">
        <v>1.64</v>
      </c>
      <c r="H67" s="100">
        <v>30.78</v>
      </c>
      <c r="I67" s="100">
        <v>8.82</v>
      </c>
      <c r="J67" s="100">
        <v>1.44</v>
      </c>
      <c r="K67" s="100">
        <v>260.39</v>
      </c>
      <c r="L67" s="100">
        <v>38.29</v>
      </c>
      <c r="M67" s="100">
        <v>17.53</v>
      </c>
      <c r="N67" s="100">
        <v>280.5</v>
      </c>
      <c r="O67" s="100">
        <v>0</v>
      </c>
      <c r="P67" s="100">
        <v>0.68</v>
      </c>
      <c r="Q67" s="100">
        <v>28</v>
      </c>
      <c r="R67" s="6"/>
      <c r="S67" s="6"/>
      <c r="T67" s="156"/>
      <c r="U67" s="6"/>
    </row>
    <row r="68" spans="1:21" customFormat="1">
      <c r="A68" s="163" t="s">
        <v>1738</v>
      </c>
      <c r="B68" s="100">
        <v>3.58</v>
      </c>
      <c r="C68" s="100">
        <v>14.77</v>
      </c>
      <c r="D68" s="100">
        <v>11.94</v>
      </c>
      <c r="E68" s="100">
        <v>9.65</v>
      </c>
      <c r="F68" s="152" t="s">
        <v>15</v>
      </c>
      <c r="G68" s="100">
        <v>1.64</v>
      </c>
      <c r="H68" s="100">
        <v>30.78</v>
      </c>
      <c r="I68" s="100">
        <v>8.6</v>
      </c>
      <c r="J68" s="100">
        <v>1.1200000000000001</v>
      </c>
      <c r="K68" s="100">
        <v>259.54000000000002</v>
      </c>
      <c r="L68" s="100">
        <v>38.380000000000003</v>
      </c>
      <c r="M68" s="100">
        <v>18.260000000000002</v>
      </c>
      <c r="N68" s="100">
        <v>171.4</v>
      </c>
      <c r="O68" s="100">
        <v>0</v>
      </c>
      <c r="P68" s="100">
        <v>0.65</v>
      </c>
      <c r="Q68" s="100">
        <v>28</v>
      </c>
      <c r="R68" s="6"/>
      <c r="S68" s="6"/>
      <c r="T68" s="156"/>
      <c r="U68" s="6"/>
    </row>
    <row r="69" spans="1:21" customFormat="1">
      <c r="A69" s="163" t="s">
        <v>1739</v>
      </c>
      <c r="B69" s="100">
        <v>3.64</v>
      </c>
      <c r="C69" s="100">
        <v>14.22</v>
      </c>
      <c r="D69" s="100">
        <v>11.71</v>
      </c>
      <c r="E69" s="100">
        <v>10.53</v>
      </c>
      <c r="F69" s="152" t="s">
        <v>15</v>
      </c>
      <c r="G69" s="100">
        <v>1.58</v>
      </c>
      <c r="H69" s="100">
        <v>30.44</v>
      </c>
      <c r="I69" s="100">
        <v>8.43</v>
      </c>
      <c r="J69" s="100">
        <v>1.08</v>
      </c>
      <c r="K69" s="100">
        <v>263.25</v>
      </c>
      <c r="L69" s="100">
        <v>38.33</v>
      </c>
      <c r="M69" s="100">
        <v>18.579999999999998</v>
      </c>
      <c r="N69" s="100">
        <v>178.3</v>
      </c>
      <c r="O69" s="100">
        <v>0</v>
      </c>
      <c r="P69" s="100">
        <v>0.64</v>
      </c>
      <c r="Q69" s="100">
        <v>28.01</v>
      </c>
      <c r="R69" s="6"/>
      <c r="S69" s="6"/>
      <c r="T69" s="156"/>
      <c r="U69" s="6"/>
    </row>
    <row r="70" spans="1:21" customFormat="1">
      <c r="A70" s="163" t="s">
        <v>1740</v>
      </c>
      <c r="B70" s="100">
        <v>3.71</v>
      </c>
      <c r="C70" s="100">
        <v>14.32</v>
      </c>
      <c r="D70" s="100">
        <v>11.81</v>
      </c>
      <c r="E70" s="100">
        <v>10.38</v>
      </c>
      <c r="F70" s="152" t="s">
        <v>15</v>
      </c>
      <c r="G70" s="100">
        <v>1.58</v>
      </c>
      <c r="H70" s="100">
        <v>30.44</v>
      </c>
      <c r="I70" s="100">
        <v>8.15</v>
      </c>
      <c r="J70" s="100">
        <v>1.22</v>
      </c>
      <c r="K70" s="100">
        <v>272.42</v>
      </c>
      <c r="L70" s="100">
        <v>38.17</v>
      </c>
      <c r="M70" s="100">
        <v>18.260000000000002</v>
      </c>
      <c r="N70" s="100">
        <v>150.6</v>
      </c>
      <c r="O70" s="100">
        <v>0</v>
      </c>
      <c r="P70" s="100">
        <v>0.62</v>
      </c>
      <c r="Q70" s="100">
        <v>28</v>
      </c>
      <c r="R70" s="6"/>
      <c r="S70" s="6"/>
      <c r="T70" s="156"/>
      <c r="U70" s="6"/>
    </row>
    <row r="71" spans="1:21" customFormat="1">
      <c r="A71" s="163" t="s">
        <v>1741</v>
      </c>
      <c r="B71" s="100">
        <v>3.73</v>
      </c>
      <c r="C71" s="100">
        <v>14.28</v>
      </c>
      <c r="D71" s="100">
        <v>11.8</v>
      </c>
      <c r="E71" s="100">
        <v>10.4</v>
      </c>
      <c r="F71" s="152" t="s">
        <v>15</v>
      </c>
      <c r="G71" s="100">
        <v>1.58</v>
      </c>
      <c r="H71" s="100">
        <v>30.44</v>
      </c>
      <c r="I71" s="100">
        <v>7.92</v>
      </c>
      <c r="J71" s="100">
        <v>1.1200000000000001</v>
      </c>
      <c r="K71" s="100">
        <v>262.01</v>
      </c>
      <c r="L71" s="100">
        <v>37.9</v>
      </c>
      <c r="M71" s="100">
        <v>17.82</v>
      </c>
      <c r="N71" s="100">
        <v>169.1</v>
      </c>
      <c r="O71" s="100">
        <v>0</v>
      </c>
      <c r="P71" s="100">
        <v>0.61</v>
      </c>
      <c r="Q71" s="100">
        <v>27.99</v>
      </c>
      <c r="R71" s="6"/>
      <c r="S71" s="6"/>
      <c r="T71" s="156"/>
      <c r="U71" s="6"/>
    </row>
    <row r="72" spans="1:21" customFormat="1">
      <c r="A72" s="163" t="s">
        <v>1742</v>
      </c>
      <c r="B72" s="100">
        <v>3.74</v>
      </c>
      <c r="C72" s="100">
        <v>14</v>
      </c>
      <c r="D72" s="100">
        <v>11.66</v>
      </c>
      <c r="E72" s="100">
        <v>10.46</v>
      </c>
      <c r="F72" s="152" t="s">
        <v>15</v>
      </c>
      <c r="G72" s="100">
        <v>1.58</v>
      </c>
      <c r="H72" s="100">
        <v>30.44</v>
      </c>
      <c r="I72" s="100">
        <v>7.75</v>
      </c>
      <c r="J72" s="100">
        <v>1.05</v>
      </c>
      <c r="K72" s="100">
        <v>267.76</v>
      </c>
      <c r="L72" s="100">
        <v>37.89</v>
      </c>
      <c r="M72" s="100">
        <v>18.13</v>
      </c>
      <c r="N72" s="100">
        <v>158</v>
      </c>
      <c r="O72" s="100">
        <v>0</v>
      </c>
      <c r="P72" s="100">
        <v>0.61</v>
      </c>
      <c r="Q72" s="100">
        <v>27.98</v>
      </c>
      <c r="R72" s="6"/>
      <c r="S72" s="6"/>
      <c r="T72" s="156"/>
      <c r="U72" s="6"/>
    </row>
    <row r="73" spans="1:21" customFormat="1">
      <c r="A73" s="163" t="s">
        <v>1743</v>
      </c>
      <c r="B73" s="100">
        <v>3.77</v>
      </c>
      <c r="C73" s="100">
        <v>13.39</v>
      </c>
      <c r="D73" s="100">
        <v>11.37</v>
      </c>
      <c r="E73" s="100">
        <v>11.24</v>
      </c>
      <c r="F73" s="152" t="s">
        <v>15</v>
      </c>
      <c r="G73" s="100">
        <v>1.53</v>
      </c>
      <c r="H73" s="100">
        <v>28.36</v>
      </c>
      <c r="I73" s="100">
        <v>7.49</v>
      </c>
      <c r="J73" s="100">
        <v>0.98</v>
      </c>
      <c r="K73" s="100">
        <v>264.35000000000002</v>
      </c>
      <c r="L73" s="100">
        <v>37.700000000000003</v>
      </c>
      <c r="M73" s="100">
        <v>18.52</v>
      </c>
      <c r="N73" s="100">
        <v>82.7</v>
      </c>
      <c r="O73" s="100">
        <v>0</v>
      </c>
      <c r="P73" s="100">
        <v>0.56999999999999995</v>
      </c>
      <c r="Q73" s="100">
        <v>27.98</v>
      </c>
      <c r="R73" s="6"/>
      <c r="S73" s="6"/>
      <c r="T73" s="156"/>
      <c r="U73" s="6"/>
    </row>
    <row r="74" spans="1:21" customFormat="1">
      <c r="A74" s="163" t="s">
        <v>1744</v>
      </c>
      <c r="B74" s="100">
        <v>3.78</v>
      </c>
      <c r="C74" s="100">
        <v>13.23</v>
      </c>
      <c r="D74" s="100">
        <v>11.3</v>
      </c>
      <c r="E74" s="100">
        <v>11.97</v>
      </c>
      <c r="F74" s="152" t="s">
        <v>15</v>
      </c>
      <c r="G74" s="100">
        <v>1.53</v>
      </c>
      <c r="H74" s="100">
        <v>28.36</v>
      </c>
      <c r="I74" s="100">
        <v>7.2</v>
      </c>
      <c r="J74" s="100">
        <v>0.92</v>
      </c>
      <c r="K74" s="100">
        <v>253.94</v>
      </c>
      <c r="L74" s="100">
        <v>37.36</v>
      </c>
      <c r="M74" s="100">
        <v>19.399999999999999</v>
      </c>
      <c r="N74" s="100">
        <v>65.2</v>
      </c>
      <c r="O74" s="100">
        <v>0</v>
      </c>
      <c r="P74" s="100">
        <v>0.59</v>
      </c>
      <c r="Q74" s="100">
        <v>28</v>
      </c>
      <c r="R74" s="6"/>
      <c r="S74" s="6"/>
      <c r="T74" s="156"/>
      <c r="U74" s="6"/>
    </row>
    <row r="75" spans="1:21" customFormat="1">
      <c r="A75" s="163" t="s">
        <v>1745</v>
      </c>
      <c r="B75" s="100">
        <v>3.78</v>
      </c>
      <c r="C75" s="100">
        <v>13.66</v>
      </c>
      <c r="D75" s="100">
        <v>11.52</v>
      </c>
      <c r="E75" s="100">
        <v>12.43</v>
      </c>
      <c r="F75" s="152" t="s">
        <v>15</v>
      </c>
      <c r="G75" s="100">
        <v>1.53</v>
      </c>
      <c r="H75" s="100">
        <v>28.36</v>
      </c>
      <c r="I75" s="100">
        <v>6.85</v>
      </c>
      <c r="J75" s="100">
        <v>0.99</v>
      </c>
      <c r="K75" s="100">
        <v>257.38</v>
      </c>
      <c r="L75" s="100">
        <v>37.020000000000003</v>
      </c>
      <c r="M75" s="100">
        <v>19.420000000000002</v>
      </c>
      <c r="N75" s="100">
        <v>62.4</v>
      </c>
      <c r="O75" s="100">
        <v>0</v>
      </c>
      <c r="P75" s="100">
        <v>0.61</v>
      </c>
      <c r="Q75" s="100">
        <v>27.99</v>
      </c>
      <c r="R75" s="6"/>
      <c r="S75" s="6"/>
      <c r="T75" s="156"/>
      <c r="U75" s="6"/>
    </row>
    <row r="76" spans="1:21" customFormat="1">
      <c r="A76" s="163" t="s">
        <v>1746</v>
      </c>
      <c r="B76" s="100">
        <v>3.78</v>
      </c>
      <c r="C76" s="100">
        <v>14.1</v>
      </c>
      <c r="D76" s="100">
        <v>11.75</v>
      </c>
      <c r="E76" s="100">
        <v>12.89</v>
      </c>
      <c r="F76" s="152" t="s">
        <v>15</v>
      </c>
      <c r="G76" s="100">
        <v>1.53</v>
      </c>
      <c r="H76" s="100">
        <v>28.36</v>
      </c>
      <c r="I76" s="100">
        <v>6.87</v>
      </c>
      <c r="J76" s="100">
        <v>1.06</v>
      </c>
      <c r="K76" s="100">
        <v>270.86</v>
      </c>
      <c r="L76" s="100">
        <v>36.81</v>
      </c>
      <c r="M76" s="100">
        <v>19.7</v>
      </c>
      <c r="N76" s="100">
        <v>76.7</v>
      </c>
      <c r="O76" s="100">
        <v>0</v>
      </c>
      <c r="P76" s="100">
        <v>0.62</v>
      </c>
      <c r="Q76" s="100">
        <v>28</v>
      </c>
      <c r="R76" s="6"/>
      <c r="S76" s="6"/>
      <c r="T76" s="156"/>
      <c r="U76" s="6"/>
    </row>
    <row r="77" spans="1:21" customFormat="1">
      <c r="A77" s="163" t="s">
        <v>1747</v>
      </c>
      <c r="B77" s="100">
        <v>3.69</v>
      </c>
      <c r="C77" s="100">
        <v>15.33</v>
      </c>
      <c r="D77" s="100">
        <v>12.32</v>
      </c>
      <c r="E77" s="100">
        <v>12.99</v>
      </c>
      <c r="F77" s="152" t="s">
        <v>15</v>
      </c>
      <c r="G77" s="100">
        <v>1.49</v>
      </c>
      <c r="H77" s="100">
        <v>24.51</v>
      </c>
      <c r="I77" s="100">
        <v>7.03</v>
      </c>
      <c r="J77" s="100">
        <v>0.81</v>
      </c>
      <c r="K77" s="100">
        <v>271.64999999999998</v>
      </c>
      <c r="L77" s="100">
        <v>36.5</v>
      </c>
      <c r="M77" s="100">
        <v>20.350000000000001</v>
      </c>
      <c r="N77" s="100">
        <v>34.799999999999997</v>
      </c>
      <c r="O77" s="100">
        <v>0</v>
      </c>
      <c r="P77" s="100">
        <v>0.64</v>
      </c>
      <c r="Q77" s="100">
        <v>28.01</v>
      </c>
      <c r="R77" s="6"/>
      <c r="S77" s="6"/>
      <c r="T77" s="156"/>
      <c r="U77" s="6"/>
    </row>
    <row r="78" spans="1:21" customFormat="1">
      <c r="A78" s="163" t="s">
        <v>1748</v>
      </c>
      <c r="B78" s="100">
        <v>3.52</v>
      </c>
      <c r="C78" s="100">
        <v>14.15</v>
      </c>
      <c r="D78" s="100">
        <v>11.57</v>
      </c>
      <c r="E78" s="100">
        <v>13.91</v>
      </c>
      <c r="F78" s="152" t="s">
        <v>15</v>
      </c>
      <c r="G78" s="100">
        <v>1.49</v>
      </c>
      <c r="H78" s="100">
        <v>24.51</v>
      </c>
      <c r="I78" s="100">
        <v>7.12</v>
      </c>
      <c r="J78" s="100">
        <v>0.69</v>
      </c>
      <c r="K78" s="100">
        <v>247.05</v>
      </c>
      <c r="L78" s="100">
        <v>35.93</v>
      </c>
      <c r="M78" s="100">
        <v>21.35</v>
      </c>
      <c r="N78" s="100">
        <v>23.6</v>
      </c>
      <c r="O78" s="100">
        <v>0</v>
      </c>
      <c r="P78" s="100">
        <v>0.64</v>
      </c>
      <c r="Q78" s="100">
        <v>28.01</v>
      </c>
      <c r="R78" s="6"/>
      <c r="S78" s="6"/>
      <c r="T78" s="156"/>
      <c r="U78" s="6"/>
    </row>
    <row r="79" spans="1:21" customFormat="1">
      <c r="A79" s="163" t="s">
        <v>1749</v>
      </c>
      <c r="B79" s="100">
        <v>3.53</v>
      </c>
      <c r="C79" s="100">
        <v>13.66</v>
      </c>
      <c r="D79" s="100">
        <v>11.32</v>
      </c>
      <c r="E79" s="100">
        <v>14.57</v>
      </c>
      <c r="F79" s="152" t="s">
        <v>15</v>
      </c>
      <c r="G79" s="100">
        <v>1.49</v>
      </c>
      <c r="H79" s="100">
        <v>24.51</v>
      </c>
      <c r="I79" s="100">
        <v>7.18</v>
      </c>
      <c r="J79" s="100">
        <v>0.63</v>
      </c>
      <c r="K79" s="100">
        <v>248.32</v>
      </c>
      <c r="L79" s="100">
        <v>35.380000000000003</v>
      </c>
      <c r="M79" s="100">
        <v>22.44</v>
      </c>
      <c r="N79" s="100">
        <v>14.1</v>
      </c>
      <c r="O79" s="100">
        <v>0</v>
      </c>
      <c r="P79" s="100">
        <v>0.64</v>
      </c>
      <c r="Q79" s="100">
        <v>28.01</v>
      </c>
      <c r="R79" s="6"/>
      <c r="S79" s="6"/>
      <c r="T79" s="156"/>
      <c r="U79" s="6"/>
    </row>
    <row r="80" spans="1:21" customFormat="1">
      <c r="A80" s="163" t="s">
        <v>1750</v>
      </c>
      <c r="B80" s="100">
        <v>3.5</v>
      </c>
      <c r="C80" s="100">
        <v>14.13</v>
      </c>
      <c r="D80" s="100">
        <v>11.54</v>
      </c>
      <c r="E80" s="100">
        <v>14.48</v>
      </c>
      <c r="F80" s="152" t="s">
        <v>15</v>
      </c>
      <c r="G80" s="100">
        <v>1.49</v>
      </c>
      <c r="H80" s="100">
        <v>24.51</v>
      </c>
      <c r="I80" s="100">
        <v>7.43</v>
      </c>
      <c r="J80" s="100">
        <v>0.47</v>
      </c>
      <c r="K80" s="100">
        <v>237.93</v>
      </c>
      <c r="L80" s="100">
        <v>34.9</v>
      </c>
      <c r="M80" s="100">
        <v>23.46</v>
      </c>
      <c r="N80" s="100">
        <v>6.7</v>
      </c>
      <c r="O80" s="100">
        <v>0</v>
      </c>
      <c r="P80" s="100">
        <v>0.7</v>
      </c>
      <c r="Q80" s="100">
        <v>28.02</v>
      </c>
      <c r="R80" s="6"/>
      <c r="S80" s="6"/>
      <c r="T80" s="156"/>
      <c r="U80" s="6"/>
    </row>
    <row r="81" spans="1:21" customFormat="1">
      <c r="A81" s="163" t="s">
        <v>1751</v>
      </c>
      <c r="B81" s="100">
        <v>3.53</v>
      </c>
      <c r="C81" s="100">
        <v>17.579999999999998</v>
      </c>
      <c r="D81" s="100">
        <v>13.36</v>
      </c>
      <c r="E81" s="100">
        <v>9.32</v>
      </c>
      <c r="F81" s="152" t="s">
        <v>15</v>
      </c>
      <c r="G81" s="100">
        <v>1.45</v>
      </c>
      <c r="H81" s="100">
        <v>26.31</v>
      </c>
      <c r="I81" s="100">
        <v>7.79</v>
      </c>
      <c r="J81" s="100">
        <v>0.23</v>
      </c>
      <c r="K81" s="100">
        <v>223.22</v>
      </c>
      <c r="L81" s="100">
        <v>34.340000000000003</v>
      </c>
      <c r="M81" s="100">
        <v>25.02</v>
      </c>
      <c r="N81" s="100">
        <v>2.4</v>
      </c>
      <c r="O81" s="100">
        <v>0</v>
      </c>
      <c r="P81" s="100">
        <v>0.78</v>
      </c>
      <c r="Q81" s="100">
        <v>28</v>
      </c>
      <c r="R81" s="6"/>
      <c r="S81" s="6"/>
      <c r="T81" s="156"/>
      <c r="U81" s="6"/>
    </row>
    <row r="82" spans="1:21" customFormat="1">
      <c r="A82" s="163" t="s">
        <v>1752</v>
      </c>
      <c r="B82" s="100">
        <v>3.57</v>
      </c>
      <c r="C82" s="100">
        <v>21.61</v>
      </c>
      <c r="D82" s="100">
        <v>15.5</v>
      </c>
      <c r="E82" s="100">
        <v>10.99</v>
      </c>
      <c r="F82" s="152" t="s">
        <v>15</v>
      </c>
      <c r="G82" s="100">
        <v>1.45</v>
      </c>
      <c r="H82" s="100">
        <v>26.31</v>
      </c>
      <c r="I82" s="100">
        <v>8.5399999999999991</v>
      </c>
      <c r="J82" s="100">
        <v>0.23</v>
      </c>
      <c r="K82" s="100">
        <v>197.85</v>
      </c>
      <c r="L82" s="100">
        <v>33.799999999999997</v>
      </c>
      <c r="M82" s="100">
        <v>26.49</v>
      </c>
      <c r="N82" s="100">
        <v>1.2</v>
      </c>
      <c r="O82" s="100">
        <v>0</v>
      </c>
      <c r="P82" s="100">
        <v>0.87</v>
      </c>
      <c r="Q82" s="100">
        <v>27.99</v>
      </c>
      <c r="R82" s="6"/>
      <c r="S82" s="6"/>
      <c r="T82" s="156"/>
      <c r="U82" s="6"/>
    </row>
    <row r="83" spans="1:21" customFormat="1">
      <c r="A83" s="163" t="s">
        <v>1753</v>
      </c>
      <c r="B83" s="100">
        <v>3.9</v>
      </c>
      <c r="C83" s="100">
        <v>24.5</v>
      </c>
      <c r="D83" s="100">
        <v>17.28</v>
      </c>
      <c r="E83" s="100">
        <v>10.74</v>
      </c>
      <c r="F83" s="152" t="s">
        <v>15</v>
      </c>
      <c r="G83" s="100">
        <v>1.45</v>
      </c>
      <c r="H83" s="100">
        <v>26.31</v>
      </c>
      <c r="I83" s="100">
        <v>9.48</v>
      </c>
      <c r="J83" s="100">
        <v>0.16</v>
      </c>
      <c r="K83" s="100">
        <v>226.02</v>
      </c>
      <c r="L83" s="100">
        <v>33.409999999999997</v>
      </c>
      <c r="M83" s="100">
        <v>27.28</v>
      </c>
      <c r="N83" s="100">
        <v>0.9</v>
      </c>
      <c r="O83" s="100">
        <v>0</v>
      </c>
      <c r="P83" s="100">
        <v>0.89</v>
      </c>
      <c r="Q83" s="100">
        <v>27.98</v>
      </c>
      <c r="R83" s="6"/>
      <c r="S83" s="6"/>
      <c r="T83" s="156"/>
      <c r="U83" s="6"/>
    </row>
    <row r="84" spans="1:21" customFormat="1">
      <c r="A84" s="163" t="s">
        <v>1754</v>
      </c>
      <c r="B84" s="100">
        <v>3.92</v>
      </c>
      <c r="C84" s="100">
        <v>25.25</v>
      </c>
      <c r="D84" s="100">
        <v>17.690000000000001</v>
      </c>
      <c r="E84" s="100">
        <v>9.77</v>
      </c>
      <c r="F84" s="152" t="s">
        <v>15</v>
      </c>
      <c r="G84" s="100">
        <v>1.45</v>
      </c>
      <c r="H84" s="100">
        <v>26.31</v>
      </c>
      <c r="I84" s="100">
        <v>9.76</v>
      </c>
      <c r="J84" s="100">
        <v>0.21</v>
      </c>
      <c r="K84" s="100">
        <v>186.84</v>
      </c>
      <c r="L84" s="100">
        <v>32.89</v>
      </c>
      <c r="M84" s="100">
        <v>29.13</v>
      </c>
      <c r="N84" s="100">
        <v>1.1000000000000001</v>
      </c>
      <c r="O84" s="100">
        <v>0</v>
      </c>
      <c r="P84" s="100">
        <v>0.86</v>
      </c>
      <c r="Q84" s="100">
        <v>28.01</v>
      </c>
      <c r="R84" s="6"/>
      <c r="S84" s="6"/>
      <c r="T84" s="156"/>
      <c r="U84" s="6"/>
    </row>
    <row r="85" spans="1:21" customFormat="1">
      <c r="A85" s="163" t="s">
        <v>1755</v>
      </c>
      <c r="B85" s="100">
        <v>4.4800000000000004</v>
      </c>
      <c r="C85" s="100">
        <v>27.3</v>
      </c>
      <c r="D85" s="100">
        <v>19.21</v>
      </c>
      <c r="E85" s="100">
        <v>10.3</v>
      </c>
      <c r="F85" s="152" t="s">
        <v>15</v>
      </c>
      <c r="G85" s="100">
        <v>1.45</v>
      </c>
      <c r="H85" s="100">
        <v>28.58</v>
      </c>
      <c r="I85" s="100">
        <v>9.6999999999999993</v>
      </c>
      <c r="J85" s="100">
        <v>0.21</v>
      </c>
      <c r="K85" s="100">
        <v>223.75</v>
      </c>
      <c r="L85" s="100">
        <v>32.31</v>
      </c>
      <c r="M85" s="100">
        <v>30.28</v>
      </c>
      <c r="N85" s="100">
        <v>0.8</v>
      </c>
      <c r="O85" s="100">
        <v>0</v>
      </c>
      <c r="P85" s="100">
        <v>0.93</v>
      </c>
      <c r="Q85" s="100">
        <v>28.02</v>
      </c>
      <c r="R85" s="6"/>
      <c r="S85" s="6"/>
      <c r="T85" s="156"/>
      <c r="U85" s="6"/>
    </row>
    <row r="86" spans="1:21" customFormat="1">
      <c r="A86" s="163" t="s">
        <v>1756</v>
      </c>
      <c r="B86" s="100">
        <v>4.76</v>
      </c>
      <c r="C86" s="100">
        <v>27.11</v>
      </c>
      <c r="D86" s="100">
        <v>19.329999999999998</v>
      </c>
      <c r="E86" s="100">
        <v>10.02</v>
      </c>
      <c r="F86" s="152" t="s">
        <v>15</v>
      </c>
      <c r="G86" s="100">
        <v>1.45</v>
      </c>
      <c r="H86" s="100">
        <v>28.58</v>
      </c>
      <c r="I86" s="100">
        <v>9.85</v>
      </c>
      <c r="J86" s="100">
        <v>0.36</v>
      </c>
      <c r="K86" s="100">
        <v>280.12</v>
      </c>
      <c r="L86" s="100">
        <v>32.82</v>
      </c>
      <c r="M86" s="100">
        <v>28.23</v>
      </c>
      <c r="N86" s="100">
        <v>0.2</v>
      </c>
      <c r="O86" s="100">
        <v>0</v>
      </c>
      <c r="P86" s="100">
        <v>0.97</v>
      </c>
      <c r="Q86" s="100">
        <v>28.03</v>
      </c>
      <c r="R86" s="6"/>
      <c r="S86" s="6"/>
      <c r="T86" s="156"/>
      <c r="U86" s="6"/>
    </row>
    <row r="87" spans="1:21" customFormat="1">
      <c r="A87" s="163" t="s">
        <v>1757</v>
      </c>
      <c r="B87" s="100">
        <v>4.74</v>
      </c>
      <c r="C87" s="100">
        <v>29.12</v>
      </c>
      <c r="D87" s="100">
        <v>20.37</v>
      </c>
      <c r="E87" s="100">
        <v>12.9</v>
      </c>
      <c r="F87" s="152" t="s">
        <v>15</v>
      </c>
      <c r="G87" s="100">
        <v>1.45</v>
      </c>
      <c r="H87" s="100">
        <v>28.58</v>
      </c>
      <c r="I87" s="100">
        <v>9.75</v>
      </c>
      <c r="J87" s="100">
        <v>0.15</v>
      </c>
      <c r="K87" s="100">
        <v>197.67</v>
      </c>
      <c r="L87" s="100">
        <v>32.39</v>
      </c>
      <c r="M87" s="100">
        <v>30.01</v>
      </c>
      <c r="N87" s="100">
        <v>1.1000000000000001</v>
      </c>
      <c r="O87" s="100">
        <v>0</v>
      </c>
      <c r="P87" s="100">
        <v>1.03</v>
      </c>
      <c r="Q87" s="100">
        <v>28.06</v>
      </c>
      <c r="R87" s="6"/>
      <c r="S87" s="6"/>
      <c r="T87" s="156"/>
      <c r="U87" s="6"/>
    </row>
    <row r="88" spans="1:21" customFormat="1">
      <c r="A88" s="163" t="s">
        <v>1758</v>
      </c>
      <c r="B88" s="100">
        <v>4.58</v>
      </c>
      <c r="C88" s="100">
        <v>26.22</v>
      </c>
      <c r="D88" s="100">
        <v>18.73</v>
      </c>
      <c r="E88" s="100">
        <v>13.73</v>
      </c>
      <c r="F88" s="152" t="s">
        <v>15</v>
      </c>
      <c r="G88" s="100">
        <v>1.45</v>
      </c>
      <c r="H88" s="100">
        <v>28.58</v>
      </c>
      <c r="I88" s="100">
        <v>9.92</v>
      </c>
      <c r="J88" s="100">
        <v>0.3</v>
      </c>
      <c r="K88" s="100">
        <v>172.81</v>
      </c>
      <c r="L88" s="100">
        <v>31.09</v>
      </c>
      <c r="M88" s="100">
        <v>36.270000000000003</v>
      </c>
      <c r="N88" s="100">
        <v>1.8</v>
      </c>
      <c r="O88" s="100">
        <v>0</v>
      </c>
      <c r="P88" s="100">
        <v>0.99</v>
      </c>
      <c r="Q88" s="100">
        <v>28.04</v>
      </c>
      <c r="R88" s="6"/>
      <c r="S88" s="6"/>
      <c r="T88" s="156"/>
      <c r="U88" s="6"/>
    </row>
    <row r="89" spans="1:21" customFormat="1">
      <c r="A89" s="163" t="s">
        <v>1759</v>
      </c>
      <c r="B89" s="100">
        <v>4.51</v>
      </c>
      <c r="C89" s="100">
        <v>22.89</v>
      </c>
      <c r="D89" s="100">
        <v>16.93</v>
      </c>
      <c r="E89" s="100">
        <v>10.53</v>
      </c>
      <c r="F89" s="152" t="s">
        <v>15</v>
      </c>
      <c r="G89" s="100">
        <v>1.5</v>
      </c>
      <c r="H89" s="100">
        <v>30.99</v>
      </c>
      <c r="I89" s="100">
        <v>10.41</v>
      </c>
      <c r="J89" s="100">
        <v>0.32</v>
      </c>
      <c r="K89" s="100">
        <v>174.05</v>
      </c>
      <c r="L89" s="100">
        <v>29.67</v>
      </c>
      <c r="M89" s="100">
        <v>39.89</v>
      </c>
      <c r="N89" s="100">
        <v>2.1</v>
      </c>
      <c r="O89" s="100">
        <v>0</v>
      </c>
      <c r="P89" s="100">
        <v>0.93</v>
      </c>
      <c r="Q89" s="100">
        <v>28.05</v>
      </c>
      <c r="R89" s="6"/>
      <c r="S89" s="6"/>
      <c r="T89" s="156"/>
      <c r="U89" s="6"/>
    </row>
    <row r="90" spans="1:21" customFormat="1">
      <c r="A90" s="163" t="s">
        <v>1760</v>
      </c>
      <c r="B90" s="100">
        <v>4.75</v>
      </c>
      <c r="C90" s="100">
        <v>21.34</v>
      </c>
      <c r="D90" s="100">
        <v>16.309999999999999</v>
      </c>
      <c r="E90" s="100">
        <v>8.93</v>
      </c>
      <c r="F90" s="152" t="s">
        <v>15</v>
      </c>
      <c r="G90" s="100">
        <v>1.5</v>
      </c>
      <c r="H90" s="100">
        <v>30.99</v>
      </c>
      <c r="I90" s="100">
        <v>10.29</v>
      </c>
      <c r="J90" s="100">
        <v>0.26</v>
      </c>
      <c r="K90" s="100">
        <v>181.58</v>
      </c>
      <c r="L90" s="100">
        <v>28.89</v>
      </c>
      <c r="M90" s="100">
        <v>41.69</v>
      </c>
      <c r="N90" s="100">
        <v>1.6</v>
      </c>
      <c r="O90" s="100">
        <v>0</v>
      </c>
      <c r="P90" s="100">
        <v>0.92</v>
      </c>
      <c r="Q90" s="100">
        <v>28.07</v>
      </c>
      <c r="R90" s="6"/>
      <c r="S90" s="6"/>
      <c r="T90" s="156"/>
      <c r="U90" s="6"/>
    </row>
    <row r="91" spans="1:21" customFormat="1">
      <c r="A91" s="163" t="s">
        <v>1761</v>
      </c>
      <c r="B91" s="100">
        <v>4.91</v>
      </c>
      <c r="C91" s="100">
        <v>20.170000000000002</v>
      </c>
      <c r="D91" s="100">
        <v>15.83</v>
      </c>
      <c r="E91" s="100">
        <v>8.08</v>
      </c>
      <c r="F91" s="152" t="s">
        <v>15</v>
      </c>
      <c r="G91" s="100">
        <v>1.5</v>
      </c>
      <c r="H91" s="100">
        <v>30.99</v>
      </c>
      <c r="I91" s="100">
        <v>10.08</v>
      </c>
      <c r="J91" s="100">
        <v>0.17</v>
      </c>
      <c r="K91" s="100">
        <v>175.61</v>
      </c>
      <c r="L91" s="100">
        <v>28.51</v>
      </c>
      <c r="M91" s="100">
        <v>42.31</v>
      </c>
      <c r="N91" s="100">
        <v>1.2</v>
      </c>
      <c r="O91" s="100">
        <v>0</v>
      </c>
      <c r="P91" s="100">
        <v>0.91</v>
      </c>
      <c r="Q91" s="100">
        <v>28.08</v>
      </c>
      <c r="R91" s="6"/>
      <c r="S91" s="6"/>
      <c r="T91" s="156"/>
      <c r="U91" s="6"/>
    </row>
    <row r="92" spans="1:21" customFormat="1">
      <c r="A92" s="163" t="s">
        <v>1762</v>
      </c>
      <c r="B92" s="100">
        <v>4.96</v>
      </c>
      <c r="C92" s="100">
        <v>19.04</v>
      </c>
      <c r="D92" s="100">
        <v>15.28</v>
      </c>
      <c r="E92" s="100">
        <v>8.17</v>
      </c>
      <c r="F92" s="152" t="s">
        <v>15</v>
      </c>
      <c r="G92" s="100">
        <v>1.5</v>
      </c>
      <c r="H92" s="100">
        <v>30.99</v>
      </c>
      <c r="I92" s="100">
        <v>9.91</v>
      </c>
      <c r="J92" s="100">
        <v>0.19</v>
      </c>
      <c r="K92" s="100">
        <v>173.94</v>
      </c>
      <c r="L92" s="100">
        <v>28.34</v>
      </c>
      <c r="M92" s="100">
        <v>42.53</v>
      </c>
      <c r="N92" s="100">
        <v>0.9</v>
      </c>
      <c r="O92" s="100">
        <v>0</v>
      </c>
      <c r="P92" s="100">
        <v>0.92</v>
      </c>
      <c r="Q92" s="100">
        <v>28.07</v>
      </c>
      <c r="R92" s="6"/>
      <c r="S92" s="6"/>
      <c r="T92" s="156"/>
      <c r="U92" s="6"/>
    </row>
    <row r="93" spans="1:21" customFormat="1">
      <c r="A93" s="163" t="s">
        <v>1763</v>
      </c>
      <c r="B93" s="100">
        <v>5</v>
      </c>
      <c r="C93" s="100">
        <v>18.29</v>
      </c>
      <c r="D93" s="100">
        <v>14.91</v>
      </c>
      <c r="E93" s="100">
        <v>8.4</v>
      </c>
      <c r="F93" s="152" t="s">
        <v>15</v>
      </c>
      <c r="G93" s="100">
        <v>1.6</v>
      </c>
      <c r="H93" s="100">
        <v>29.16</v>
      </c>
      <c r="I93" s="100">
        <v>9.83</v>
      </c>
      <c r="J93" s="100">
        <v>0.17</v>
      </c>
      <c r="K93" s="100">
        <v>213.14</v>
      </c>
      <c r="L93" s="100">
        <v>28.1</v>
      </c>
      <c r="M93" s="100">
        <v>44.08</v>
      </c>
      <c r="N93" s="100">
        <v>0.9</v>
      </c>
      <c r="O93" s="100">
        <v>0</v>
      </c>
      <c r="P93" s="100">
        <v>0.93</v>
      </c>
      <c r="Q93" s="100">
        <v>28.07</v>
      </c>
      <c r="R93" s="6"/>
      <c r="S93" s="6"/>
      <c r="T93" s="156"/>
      <c r="U93" s="6"/>
    </row>
    <row r="94" spans="1:21" customFormat="1">
      <c r="A94" s="163" t="s">
        <v>1764</v>
      </c>
      <c r="B94" s="100">
        <v>5.2</v>
      </c>
      <c r="C94" s="100">
        <v>18.239999999999998</v>
      </c>
      <c r="D94" s="100">
        <v>15.05</v>
      </c>
      <c r="E94" s="100">
        <v>7.82</v>
      </c>
      <c r="F94" s="152" t="s">
        <v>15</v>
      </c>
      <c r="G94" s="100">
        <v>1.6</v>
      </c>
      <c r="H94" s="100">
        <v>29.16</v>
      </c>
      <c r="I94" s="100">
        <v>9.89</v>
      </c>
      <c r="J94" s="100">
        <v>0.16</v>
      </c>
      <c r="K94" s="100">
        <v>194.4</v>
      </c>
      <c r="L94" s="100">
        <v>27.83</v>
      </c>
      <c r="M94" s="100">
        <v>45.07</v>
      </c>
      <c r="N94" s="100">
        <v>1</v>
      </c>
      <c r="O94" s="100">
        <v>0</v>
      </c>
      <c r="P94" s="100">
        <v>0.91</v>
      </c>
      <c r="Q94" s="100">
        <v>28.06</v>
      </c>
      <c r="R94" s="6"/>
      <c r="S94" s="6"/>
      <c r="T94" s="156"/>
      <c r="U94" s="6"/>
    </row>
    <row r="95" spans="1:21" customFormat="1">
      <c r="A95" s="163" t="s">
        <v>1765</v>
      </c>
      <c r="B95" s="100">
        <v>5.3</v>
      </c>
      <c r="C95" s="100">
        <v>18.22</v>
      </c>
      <c r="D95" s="100">
        <v>15.12</v>
      </c>
      <c r="E95" s="100">
        <v>7.79</v>
      </c>
      <c r="F95" s="152" t="s">
        <v>15</v>
      </c>
      <c r="G95" s="100">
        <v>1.6</v>
      </c>
      <c r="H95" s="100">
        <v>29.16</v>
      </c>
      <c r="I95" s="100">
        <v>10.01</v>
      </c>
      <c r="J95" s="100">
        <v>0.17</v>
      </c>
      <c r="K95" s="100">
        <v>193.64</v>
      </c>
      <c r="L95" s="100">
        <v>27.62</v>
      </c>
      <c r="M95" s="100">
        <v>45.61</v>
      </c>
      <c r="N95" s="100">
        <v>1</v>
      </c>
      <c r="O95" s="100">
        <v>0</v>
      </c>
      <c r="P95" s="100">
        <v>0.93</v>
      </c>
      <c r="Q95" s="100">
        <v>28.07</v>
      </c>
      <c r="R95" s="6"/>
      <c r="S95" s="6"/>
      <c r="T95" s="156"/>
      <c r="U95" s="6"/>
    </row>
    <row r="96" spans="1:21" customFormat="1">
      <c r="A96" s="163" t="s">
        <v>1766</v>
      </c>
      <c r="B96" s="100">
        <v>5.47</v>
      </c>
      <c r="C96" s="100">
        <v>18.16</v>
      </c>
      <c r="D96" s="100">
        <v>15.22</v>
      </c>
      <c r="E96" s="100">
        <v>7.58</v>
      </c>
      <c r="F96" s="152" t="s">
        <v>15</v>
      </c>
      <c r="G96" s="100">
        <v>1.6</v>
      </c>
      <c r="H96" s="100">
        <v>29.16</v>
      </c>
      <c r="I96" s="100">
        <v>10.09</v>
      </c>
      <c r="J96" s="100">
        <v>0.14000000000000001</v>
      </c>
      <c r="K96" s="100">
        <v>188.29</v>
      </c>
      <c r="L96" s="100">
        <v>27.41</v>
      </c>
      <c r="M96" s="100">
        <v>46.66</v>
      </c>
      <c r="N96" s="100">
        <v>0.8</v>
      </c>
      <c r="O96" s="100">
        <v>0</v>
      </c>
      <c r="P96" s="100">
        <v>0.95</v>
      </c>
      <c r="Q96" s="100">
        <v>28.09</v>
      </c>
      <c r="R96" s="6"/>
      <c r="S96" s="6"/>
      <c r="T96" s="156"/>
      <c r="U96" s="6"/>
    </row>
    <row r="97" spans="1:28" customFormat="1">
      <c r="A97" s="163" t="s">
        <v>1767</v>
      </c>
      <c r="B97" s="100">
        <v>5.52</v>
      </c>
      <c r="C97" s="100">
        <v>18.079999999999998</v>
      </c>
      <c r="D97" s="100">
        <v>15.22</v>
      </c>
      <c r="E97" s="100">
        <v>7.82</v>
      </c>
      <c r="F97" s="152" t="s">
        <v>15</v>
      </c>
      <c r="G97" s="100">
        <v>1.77</v>
      </c>
      <c r="H97" s="100">
        <v>30.56</v>
      </c>
      <c r="I97" s="100">
        <v>10.210000000000001</v>
      </c>
      <c r="J97" s="100">
        <v>0.19</v>
      </c>
      <c r="K97" s="100">
        <v>201.18</v>
      </c>
      <c r="L97" s="100">
        <v>27.19</v>
      </c>
      <c r="M97" s="100">
        <v>48.54</v>
      </c>
      <c r="N97" s="100">
        <v>1</v>
      </c>
      <c r="O97" s="100">
        <v>0</v>
      </c>
      <c r="P97" s="100">
        <v>0.96</v>
      </c>
      <c r="Q97" s="100">
        <v>28.08</v>
      </c>
      <c r="R97" s="6"/>
      <c r="S97" s="6"/>
      <c r="T97" s="156"/>
      <c r="U97" s="6"/>
    </row>
    <row r="98" spans="1:28" customFormat="1">
      <c r="A98" s="163" t="s">
        <v>1768</v>
      </c>
      <c r="B98" s="100">
        <v>5.74</v>
      </c>
      <c r="C98" s="100">
        <v>17.89</v>
      </c>
      <c r="D98" s="100">
        <v>15.3</v>
      </c>
      <c r="E98" s="100">
        <v>7.04</v>
      </c>
      <c r="F98" s="152" t="s">
        <v>15</v>
      </c>
      <c r="G98" s="100">
        <v>1.77</v>
      </c>
      <c r="H98" s="100">
        <v>30.56</v>
      </c>
      <c r="I98" s="100">
        <v>10.31</v>
      </c>
      <c r="J98" s="100">
        <v>0.2</v>
      </c>
      <c r="K98" s="100">
        <v>207.23</v>
      </c>
      <c r="L98" s="100">
        <v>26.51</v>
      </c>
      <c r="M98" s="100">
        <v>51.45</v>
      </c>
      <c r="N98" s="100">
        <v>1.4</v>
      </c>
      <c r="O98" s="100">
        <v>0</v>
      </c>
      <c r="P98" s="100">
        <v>0.96</v>
      </c>
      <c r="Q98" s="100">
        <v>28.07</v>
      </c>
      <c r="R98" s="6"/>
      <c r="S98" s="6"/>
      <c r="T98" s="156"/>
      <c r="U98" s="6"/>
    </row>
    <row r="99" spans="1:28" customFormat="1">
      <c r="A99" s="163" t="s">
        <v>1769</v>
      </c>
      <c r="B99" s="100">
        <v>5.9</v>
      </c>
      <c r="C99" s="100">
        <v>17.690000000000001</v>
      </c>
      <c r="D99" s="100">
        <v>15.33</v>
      </c>
      <c r="E99" s="100">
        <v>7.14</v>
      </c>
      <c r="F99" s="152" t="s">
        <v>15</v>
      </c>
      <c r="G99" s="100">
        <v>1.77</v>
      </c>
      <c r="H99" s="100">
        <v>30.56</v>
      </c>
      <c r="I99" s="100">
        <v>10.39</v>
      </c>
      <c r="J99" s="100">
        <v>0.27</v>
      </c>
      <c r="K99" s="100">
        <v>190.76</v>
      </c>
      <c r="L99" s="100">
        <v>26.24</v>
      </c>
      <c r="M99" s="100">
        <v>51.86</v>
      </c>
      <c r="N99" s="100">
        <v>1</v>
      </c>
      <c r="O99" s="100">
        <v>0</v>
      </c>
      <c r="P99" s="100">
        <v>0.96</v>
      </c>
      <c r="Q99" s="100">
        <v>28.08</v>
      </c>
      <c r="R99" s="6"/>
      <c r="S99" s="6"/>
      <c r="T99" s="156"/>
      <c r="U99" s="6"/>
    </row>
    <row r="100" spans="1:28" customFormat="1">
      <c r="A100" s="163" t="s">
        <v>1770</v>
      </c>
      <c r="B100" s="100">
        <v>5.96</v>
      </c>
      <c r="C100" s="100">
        <v>17.46</v>
      </c>
      <c r="D100" s="100">
        <v>15.25</v>
      </c>
      <c r="E100" s="100">
        <v>7.53</v>
      </c>
      <c r="F100" s="152" t="s">
        <v>15</v>
      </c>
      <c r="G100" s="100">
        <v>1.77</v>
      </c>
      <c r="H100" s="100">
        <v>30.56</v>
      </c>
      <c r="I100" s="100">
        <v>10.39</v>
      </c>
      <c r="J100" s="100">
        <v>0.21</v>
      </c>
      <c r="K100" s="100">
        <v>192.78</v>
      </c>
      <c r="L100" s="100">
        <v>26.67</v>
      </c>
      <c r="M100" s="100">
        <v>48.64</v>
      </c>
      <c r="N100" s="100">
        <v>0.6</v>
      </c>
      <c r="O100" s="100">
        <v>0</v>
      </c>
      <c r="P100" s="100">
        <v>0.98</v>
      </c>
      <c r="Q100" s="100">
        <v>28.09</v>
      </c>
      <c r="R100" s="6"/>
      <c r="S100" s="6"/>
      <c r="T100" s="156"/>
      <c r="U100" s="6"/>
      <c r="AB100" s="161"/>
    </row>
    <row r="101" spans="1:28" customFormat="1">
      <c r="A101" s="163" t="s">
        <v>1771</v>
      </c>
      <c r="B101" s="100">
        <v>5.95</v>
      </c>
      <c r="C101" s="100">
        <v>17.190000000000001</v>
      </c>
      <c r="D101" s="100">
        <v>15.1</v>
      </c>
      <c r="E101" s="100">
        <v>7.7</v>
      </c>
      <c r="F101" s="152" t="s">
        <v>15</v>
      </c>
      <c r="G101" s="100">
        <v>1.72</v>
      </c>
      <c r="H101" s="100">
        <v>29.78</v>
      </c>
      <c r="I101" s="100">
        <v>10.46</v>
      </c>
      <c r="J101" s="100">
        <v>0.15</v>
      </c>
      <c r="K101" s="100">
        <v>222.89</v>
      </c>
      <c r="L101" s="100">
        <v>26.31</v>
      </c>
      <c r="M101" s="100">
        <v>50.19</v>
      </c>
      <c r="N101" s="100">
        <v>1</v>
      </c>
      <c r="O101" s="100">
        <v>0</v>
      </c>
      <c r="P101" s="100">
        <v>0.99</v>
      </c>
      <c r="Q101" s="100">
        <v>28.09</v>
      </c>
      <c r="R101" s="6"/>
      <c r="S101" s="6"/>
      <c r="T101" s="156"/>
      <c r="U101" s="6"/>
    </row>
    <row r="102" spans="1:28" customFormat="1">
      <c r="A102" s="163" t="s">
        <v>1772</v>
      </c>
      <c r="B102" s="100">
        <v>6.03</v>
      </c>
      <c r="C102" s="100">
        <v>16.86</v>
      </c>
      <c r="D102" s="100">
        <v>14.99</v>
      </c>
      <c r="E102" s="100">
        <v>7.51</v>
      </c>
      <c r="F102" s="152" t="s">
        <v>15</v>
      </c>
      <c r="G102" s="100">
        <v>1.72</v>
      </c>
      <c r="H102" s="100">
        <v>29.78</v>
      </c>
      <c r="I102" s="100">
        <v>10.59</v>
      </c>
      <c r="J102" s="100">
        <v>0.13</v>
      </c>
      <c r="K102" s="100">
        <v>220.78</v>
      </c>
      <c r="L102" s="100">
        <v>26.42</v>
      </c>
      <c r="M102" s="100">
        <v>48.24</v>
      </c>
      <c r="N102" s="100">
        <v>0.7</v>
      </c>
      <c r="O102" s="100">
        <v>0</v>
      </c>
      <c r="P102" s="100">
        <v>0.97</v>
      </c>
      <c r="Q102" s="100">
        <v>28.09</v>
      </c>
      <c r="R102" s="6"/>
      <c r="S102" s="6"/>
      <c r="T102" s="156"/>
      <c r="U102" s="6"/>
    </row>
    <row r="103" spans="1:28" customFormat="1">
      <c r="A103" s="163" t="s">
        <v>1773</v>
      </c>
      <c r="B103" s="100">
        <v>6.08</v>
      </c>
      <c r="C103" s="100">
        <v>16.7</v>
      </c>
      <c r="D103" s="100">
        <v>14.95</v>
      </c>
      <c r="E103" s="100">
        <v>7.6</v>
      </c>
      <c r="F103" s="152" t="s">
        <v>15</v>
      </c>
      <c r="G103" s="100">
        <v>1.72</v>
      </c>
      <c r="H103" s="100">
        <v>29.78</v>
      </c>
      <c r="I103" s="100">
        <v>10.68</v>
      </c>
      <c r="J103" s="100">
        <v>0.11</v>
      </c>
      <c r="K103" s="100">
        <v>205.67</v>
      </c>
      <c r="L103" s="100">
        <v>26.42</v>
      </c>
      <c r="M103" s="100">
        <v>48.57</v>
      </c>
      <c r="N103" s="100">
        <v>0.7</v>
      </c>
      <c r="O103" s="100">
        <v>0</v>
      </c>
      <c r="P103" s="100">
        <v>0.98</v>
      </c>
      <c r="Q103" s="100">
        <v>28.09</v>
      </c>
      <c r="R103" s="6"/>
      <c r="S103" s="6"/>
      <c r="T103" s="156"/>
      <c r="U103" s="6"/>
    </row>
    <row r="104" spans="1:28" customFormat="1">
      <c r="A104" s="163" t="s">
        <v>1774</v>
      </c>
      <c r="B104" s="100">
        <v>6.13</v>
      </c>
      <c r="C104" s="100">
        <v>16.72</v>
      </c>
      <c r="D104" s="100">
        <v>15</v>
      </c>
      <c r="E104" s="100">
        <v>7.17</v>
      </c>
      <c r="F104" s="152" t="s">
        <v>15</v>
      </c>
      <c r="G104" s="100">
        <v>1.72</v>
      </c>
      <c r="H104" s="100">
        <v>29.78</v>
      </c>
      <c r="I104" s="100">
        <v>10.74</v>
      </c>
      <c r="J104" s="100">
        <v>0.11</v>
      </c>
      <c r="K104" s="100">
        <v>147.12</v>
      </c>
      <c r="L104" s="100">
        <v>26.05</v>
      </c>
      <c r="M104" s="100">
        <v>50.89</v>
      </c>
      <c r="N104" s="100">
        <v>1</v>
      </c>
      <c r="O104" s="100">
        <v>0</v>
      </c>
      <c r="P104" s="100">
        <v>0.99</v>
      </c>
      <c r="Q104" s="100">
        <v>28.09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3.5</v>
      </c>
      <c r="C106" s="158">
        <f>MIN(C9:C104)</f>
        <v>13.23</v>
      </c>
      <c r="D106" s="158">
        <f t="shared" ref="D106:Q106" si="0">MIN(D9:D104)</f>
        <v>11.3</v>
      </c>
      <c r="E106" s="158">
        <f t="shared" si="0"/>
        <v>7.04</v>
      </c>
      <c r="F106" s="158">
        <f t="shared" si="0"/>
        <v>0</v>
      </c>
      <c r="G106" s="158">
        <f t="shared" si="0"/>
        <v>1.38</v>
      </c>
      <c r="H106" s="158">
        <f t="shared" si="0"/>
        <v>24.51</v>
      </c>
      <c r="I106" s="158">
        <f t="shared" si="0"/>
        <v>6.85</v>
      </c>
      <c r="J106" s="158">
        <f t="shared" si="0"/>
        <v>0.09</v>
      </c>
      <c r="K106" s="158">
        <f t="shared" si="0"/>
        <v>147.12</v>
      </c>
      <c r="L106" s="158">
        <f t="shared" si="0"/>
        <v>23.04</v>
      </c>
      <c r="M106" s="158">
        <f t="shared" si="0"/>
        <v>17.53</v>
      </c>
      <c r="N106" s="158">
        <f t="shared" si="0"/>
        <v>0.2</v>
      </c>
      <c r="O106" s="158">
        <f t="shared" si="0"/>
        <v>0</v>
      </c>
      <c r="P106" s="158">
        <f t="shared" si="0"/>
        <v>0.56999999999999995</v>
      </c>
      <c r="Q106" s="158">
        <f t="shared" si="0"/>
        <v>27.98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9.43</v>
      </c>
      <c r="C107" s="157">
        <f t="shared" ref="C107:Q107" si="1">MAX(C9:C104)</f>
        <v>29.12</v>
      </c>
      <c r="D107" s="157">
        <f t="shared" si="1"/>
        <v>20.37</v>
      </c>
      <c r="E107" s="157">
        <f t="shared" si="1"/>
        <v>14.57</v>
      </c>
      <c r="F107" s="157">
        <f t="shared" si="1"/>
        <v>0</v>
      </c>
      <c r="G107" s="157">
        <f t="shared" si="1"/>
        <v>2.89</v>
      </c>
      <c r="H107" s="157">
        <f t="shared" si="1"/>
        <v>35.56</v>
      </c>
      <c r="I107" s="157">
        <f t="shared" si="1"/>
        <v>14.61</v>
      </c>
      <c r="J107" s="157">
        <f t="shared" si="1"/>
        <v>1.92</v>
      </c>
      <c r="K107" s="157">
        <f t="shared" si="1"/>
        <v>280.92</v>
      </c>
      <c r="L107" s="157">
        <f t="shared" si="1"/>
        <v>38.380000000000003</v>
      </c>
      <c r="M107" s="157">
        <f t="shared" si="1"/>
        <v>60.28</v>
      </c>
      <c r="N107" s="157">
        <f t="shared" si="1"/>
        <v>317.10000000000002</v>
      </c>
      <c r="O107" s="157">
        <f t="shared" si="1"/>
        <v>0</v>
      </c>
      <c r="P107" s="157">
        <f t="shared" si="1"/>
        <v>1.1100000000000001</v>
      </c>
      <c r="Q107" s="157">
        <f t="shared" si="1"/>
        <v>28.21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5.3353124999999961</v>
      </c>
      <c r="C108" s="158">
        <f t="shared" ref="C108:Q108" si="2">AVERAGE(C9:C104)</f>
        <v>17.43041666666667</v>
      </c>
      <c r="D108" s="158">
        <f t="shared" si="2"/>
        <v>14.736458333333331</v>
      </c>
      <c r="E108" s="158">
        <f t="shared" si="2"/>
        <v>9.3114583333333307</v>
      </c>
      <c r="F108" s="158" t="e">
        <f t="shared" si="2"/>
        <v>#DIV/0!</v>
      </c>
      <c r="G108" s="158">
        <f t="shared" si="2"/>
        <v>1.837083333333333</v>
      </c>
      <c r="H108" s="158">
        <f t="shared" si="2"/>
        <v>29.976666666666659</v>
      </c>
      <c r="I108" s="158">
        <f t="shared" si="2"/>
        <v>10.815</v>
      </c>
      <c r="J108" s="158">
        <f t="shared" si="2"/>
        <v>0.5786458333333333</v>
      </c>
      <c r="K108" s="158">
        <f t="shared" si="2"/>
        <v>219.06322916666662</v>
      </c>
      <c r="L108" s="158">
        <f t="shared" si="2"/>
        <v>30.176666666666677</v>
      </c>
      <c r="M108" s="158">
        <f t="shared" si="2"/>
        <v>38.843854166666667</v>
      </c>
      <c r="N108" s="158">
        <f t="shared" si="2"/>
        <v>85.920833333333348</v>
      </c>
      <c r="O108" s="158">
        <f t="shared" si="2"/>
        <v>0</v>
      </c>
      <c r="P108" s="158">
        <f t="shared" si="2"/>
        <v>0.92635416666666659</v>
      </c>
      <c r="Q108" s="158">
        <f t="shared" si="2"/>
        <v>28.064062500000016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1.7570549241782372</v>
      </c>
      <c r="C109" s="158">
        <f t="shared" ref="C109:Q109" si="3">STDEV(C9:C104)</f>
        <v>2.8911771110949349</v>
      </c>
      <c r="D109" s="158">
        <f t="shared" si="3"/>
        <v>2.0562356915728737</v>
      </c>
      <c r="E109" s="158">
        <f t="shared" si="3"/>
        <v>1.6834700873754149</v>
      </c>
      <c r="F109" s="158" t="e">
        <f t="shared" si="3"/>
        <v>#DIV/0!</v>
      </c>
      <c r="G109" s="158">
        <f t="shared" si="3"/>
        <v>0.40085675789598457</v>
      </c>
      <c r="H109" s="158">
        <f t="shared" si="3"/>
        <v>2.2862696192553109</v>
      </c>
      <c r="I109" s="158">
        <f t="shared" si="3"/>
        <v>1.8373436202701348</v>
      </c>
      <c r="J109" s="158">
        <f t="shared" si="3"/>
        <v>0.55495020125880934</v>
      </c>
      <c r="K109" s="158">
        <f t="shared" si="3"/>
        <v>42.551266082834999</v>
      </c>
      <c r="L109" s="158">
        <f t="shared" si="3"/>
        <v>5.419056174700617</v>
      </c>
      <c r="M109" s="158">
        <f t="shared" si="3"/>
        <v>15.010213320816019</v>
      </c>
      <c r="N109" s="158">
        <f t="shared" si="3"/>
        <v>116.61393246784036</v>
      </c>
      <c r="O109" s="158">
        <f t="shared" si="3"/>
        <v>0</v>
      </c>
      <c r="P109" s="158">
        <f t="shared" si="3"/>
        <v>0.15328075233077462</v>
      </c>
      <c r="Q109" s="158">
        <f t="shared" si="3"/>
        <v>6.5767983332157637E-2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87" activePane="bottomRight" state="frozen"/>
      <selection pane="topRight"/>
      <selection pane="bottomLeft"/>
      <selection pane="bottomRight" activeCell="H111" sqref="H1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17/03/2025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1775</v>
      </c>
      <c r="B9" s="100">
        <v>6.44</v>
      </c>
      <c r="C9" s="100">
        <v>16.920000000000002</v>
      </c>
      <c r="D9" s="100">
        <v>15.36</v>
      </c>
      <c r="E9" s="100">
        <v>7.2</v>
      </c>
      <c r="F9" s="152" t="s">
        <v>15</v>
      </c>
      <c r="G9" s="100">
        <v>1.65</v>
      </c>
      <c r="H9" s="100">
        <v>32.39</v>
      </c>
      <c r="I9" s="100">
        <v>10.73</v>
      </c>
      <c r="J9" s="100">
        <v>0.17</v>
      </c>
      <c r="K9" s="100">
        <v>140.87</v>
      </c>
      <c r="L9" s="100">
        <v>25.89</v>
      </c>
      <c r="M9" s="100">
        <v>51.2</v>
      </c>
      <c r="N9" s="100">
        <v>0.9</v>
      </c>
      <c r="O9" s="100">
        <v>0</v>
      </c>
      <c r="P9" s="100">
        <v>0.98</v>
      </c>
      <c r="Q9" s="100">
        <v>28.1</v>
      </c>
      <c r="R9" s="6"/>
      <c r="S9" s="6"/>
      <c r="T9" s="156"/>
      <c r="U9" s="6"/>
    </row>
    <row r="10" spans="1:21" customFormat="1">
      <c r="A10" s="163" t="s">
        <v>1776</v>
      </c>
      <c r="B10" s="100">
        <v>6.19</v>
      </c>
      <c r="C10" s="100">
        <v>16.829999999999998</v>
      </c>
      <c r="D10" s="100">
        <v>15.11</v>
      </c>
      <c r="E10" s="100">
        <v>7.57</v>
      </c>
      <c r="F10" s="152" t="s">
        <v>15</v>
      </c>
      <c r="G10" s="100">
        <v>1.65</v>
      </c>
      <c r="H10" s="100">
        <v>32.39</v>
      </c>
      <c r="I10" s="100">
        <v>10.82</v>
      </c>
      <c r="J10" s="100">
        <v>0.14000000000000001</v>
      </c>
      <c r="K10" s="100">
        <v>160.03</v>
      </c>
      <c r="L10" s="100">
        <v>25.82</v>
      </c>
      <c r="M10" s="100">
        <v>51.44</v>
      </c>
      <c r="N10" s="100">
        <v>0.8</v>
      </c>
      <c r="O10" s="100">
        <v>0</v>
      </c>
      <c r="P10" s="100">
        <v>0.98</v>
      </c>
      <c r="Q10" s="100">
        <v>28.09</v>
      </c>
      <c r="R10" s="6"/>
      <c r="S10" s="6"/>
      <c r="T10" s="156"/>
      <c r="U10" s="6"/>
    </row>
    <row r="11" spans="1:21" customFormat="1">
      <c r="A11" s="163" t="s">
        <v>1777</v>
      </c>
      <c r="B11" s="100">
        <v>5.86</v>
      </c>
      <c r="C11" s="100">
        <v>16.88</v>
      </c>
      <c r="D11" s="100">
        <v>14.87</v>
      </c>
      <c r="E11" s="100">
        <v>7.09</v>
      </c>
      <c r="F11" s="152" t="s">
        <v>15</v>
      </c>
      <c r="G11" s="100">
        <v>1.65</v>
      </c>
      <c r="H11" s="100">
        <v>32.39</v>
      </c>
      <c r="I11" s="100">
        <v>10.89</v>
      </c>
      <c r="J11" s="100">
        <v>0.19</v>
      </c>
      <c r="K11" s="100">
        <v>155.91999999999999</v>
      </c>
      <c r="L11" s="100">
        <v>25.75</v>
      </c>
      <c r="M11" s="100">
        <v>51.11</v>
      </c>
      <c r="N11" s="100">
        <v>0.7</v>
      </c>
      <c r="O11" s="100">
        <v>0</v>
      </c>
      <c r="P11" s="100">
        <v>0.98</v>
      </c>
      <c r="Q11" s="100">
        <v>28.07</v>
      </c>
      <c r="R11" s="6"/>
      <c r="S11" s="6"/>
      <c r="T11" s="156"/>
      <c r="U11" s="6"/>
    </row>
    <row r="12" spans="1:21" customFormat="1">
      <c r="A12" s="163" t="s">
        <v>1778</v>
      </c>
      <c r="B12" s="100">
        <v>5.51</v>
      </c>
      <c r="C12" s="100">
        <v>16.98</v>
      </c>
      <c r="D12" s="100">
        <v>14.64</v>
      </c>
      <c r="E12" s="100">
        <v>7.39</v>
      </c>
      <c r="F12" s="152" t="s">
        <v>15</v>
      </c>
      <c r="G12" s="100">
        <v>1.65</v>
      </c>
      <c r="H12" s="100">
        <v>32.39</v>
      </c>
      <c r="I12" s="100">
        <v>10.88</v>
      </c>
      <c r="J12" s="100">
        <v>0.17</v>
      </c>
      <c r="K12" s="100">
        <v>154.97</v>
      </c>
      <c r="L12" s="100">
        <v>25.63</v>
      </c>
      <c r="M12" s="100">
        <v>50.6</v>
      </c>
      <c r="N12" s="100">
        <v>0.9</v>
      </c>
      <c r="O12" s="100">
        <v>0</v>
      </c>
      <c r="P12" s="100">
        <v>0.98</v>
      </c>
      <c r="Q12" s="100">
        <v>28.06</v>
      </c>
      <c r="R12" s="6"/>
      <c r="S12" s="6"/>
      <c r="T12" s="156"/>
      <c r="U12" s="6"/>
    </row>
    <row r="13" spans="1:21" customFormat="1">
      <c r="A13" s="163" t="s">
        <v>1779</v>
      </c>
      <c r="B13" s="100">
        <v>5.92</v>
      </c>
      <c r="C13" s="100">
        <v>17.399999999999999</v>
      </c>
      <c r="D13" s="100">
        <v>15.19</v>
      </c>
      <c r="E13" s="100">
        <v>7.46</v>
      </c>
      <c r="F13" s="152" t="s">
        <v>15</v>
      </c>
      <c r="G13" s="100">
        <v>1.55</v>
      </c>
      <c r="H13" s="100">
        <v>31.37</v>
      </c>
      <c r="I13" s="100">
        <v>10.87</v>
      </c>
      <c r="J13" s="100">
        <v>0.66</v>
      </c>
      <c r="K13" s="100">
        <v>38.25</v>
      </c>
      <c r="L13" s="100">
        <v>26</v>
      </c>
      <c r="M13" s="100">
        <v>47.23</v>
      </c>
      <c r="N13" s="100">
        <v>0.2</v>
      </c>
      <c r="O13" s="100">
        <v>0</v>
      </c>
      <c r="P13" s="100">
        <v>0.97</v>
      </c>
      <c r="Q13" s="100">
        <v>28.06</v>
      </c>
      <c r="R13" s="6"/>
      <c r="S13" s="6"/>
      <c r="T13" s="156"/>
      <c r="U13" s="6"/>
    </row>
    <row r="14" spans="1:21" customFormat="1">
      <c r="A14" s="163" t="s">
        <v>1780</v>
      </c>
      <c r="B14" s="100">
        <v>5.72</v>
      </c>
      <c r="C14" s="100">
        <v>17.899999999999999</v>
      </c>
      <c r="D14" s="100">
        <v>15.29</v>
      </c>
      <c r="E14" s="100">
        <v>7.62</v>
      </c>
      <c r="F14" s="152" t="s">
        <v>15</v>
      </c>
      <c r="G14" s="100">
        <v>1.55</v>
      </c>
      <c r="H14" s="100">
        <v>31.37</v>
      </c>
      <c r="I14" s="100">
        <v>10.79</v>
      </c>
      <c r="J14" s="100">
        <v>0.38</v>
      </c>
      <c r="K14" s="100">
        <v>3.65</v>
      </c>
      <c r="L14" s="100">
        <v>26.9</v>
      </c>
      <c r="M14" s="100">
        <v>44.18</v>
      </c>
      <c r="N14" s="100">
        <v>0.1</v>
      </c>
      <c r="O14" s="100">
        <v>0</v>
      </c>
      <c r="P14" s="100">
        <v>0.97</v>
      </c>
      <c r="Q14" s="100">
        <v>28.07</v>
      </c>
      <c r="R14" s="6"/>
      <c r="S14" s="6"/>
      <c r="T14" s="156"/>
      <c r="U14" s="6"/>
    </row>
    <row r="15" spans="1:21" customFormat="1">
      <c r="A15" s="163" t="s">
        <v>1781</v>
      </c>
      <c r="B15" s="100">
        <v>5.36</v>
      </c>
      <c r="C15" s="100">
        <v>18.38</v>
      </c>
      <c r="D15" s="100">
        <v>15.25</v>
      </c>
      <c r="E15" s="100">
        <v>7.94</v>
      </c>
      <c r="F15" s="152" t="s">
        <v>15</v>
      </c>
      <c r="G15" s="100">
        <v>1.55</v>
      </c>
      <c r="H15" s="100">
        <v>31.37</v>
      </c>
      <c r="I15" s="100">
        <v>10.7</v>
      </c>
      <c r="J15" s="100">
        <v>0.39</v>
      </c>
      <c r="K15" s="100">
        <v>356.07</v>
      </c>
      <c r="L15" s="100">
        <v>27.5</v>
      </c>
      <c r="M15" s="100">
        <v>44.67</v>
      </c>
      <c r="N15" s="100">
        <v>0.8</v>
      </c>
      <c r="O15" s="100">
        <v>0</v>
      </c>
      <c r="P15" s="100">
        <v>1</v>
      </c>
      <c r="Q15" s="100">
        <v>28.07</v>
      </c>
      <c r="R15" s="6"/>
      <c r="S15" s="6"/>
      <c r="T15" s="156"/>
      <c r="U15" s="6"/>
    </row>
    <row r="16" spans="1:21" customFormat="1">
      <c r="A16" s="163" t="s">
        <v>1782</v>
      </c>
      <c r="B16" s="100">
        <v>5.24</v>
      </c>
      <c r="C16" s="100">
        <v>19.149999999999999</v>
      </c>
      <c r="D16" s="100">
        <v>15.55</v>
      </c>
      <c r="E16" s="100">
        <v>8.9499999999999993</v>
      </c>
      <c r="F16" s="152" t="s">
        <v>15</v>
      </c>
      <c r="G16" s="100">
        <v>1.55</v>
      </c>
      <c r="H16" s="100">
        <v>31.37</v>
      </c>
      <c r="I16" s="100">
        <v>10.68</v>
      </c>
      <c r="J16" s="100">
        <v>0.24</v>
      </c>
      <c r="K16" s="100">
        <v>266.13</v>
      </c>
      <c r="L16" s="100">
        <v>27.4</v>
      </c>
      <c r="M16" s="100">
        <v>45.88</v>
      </c>
      <c r="N16" s="100">
        <v>1.4</v>
      </c>
      <c r="O16" s="100">
        <v>0</v>
      </c>
      <c r="P16" s="100">
        <v>1.05</v>
      </c>
      <c r="Q16" s="100">
        <v>28.07</v>
      </c>
      <c r="R16" s="6"/>
      <c r="S16" s="6"/>
      <c r="T16" s="156"/>
      <c r="U16" s="6"/>
    </row>
    <row r="17" spans="1:21" customFormat="1">
      <c r="A17" s="163" t="s">
        <v>1783</v>
      </c>
      <c r="B17" s="100">
        <v>5.21</v>
      </c>
      <c r="C17" s="100">
        <v>19.59</v>
      </c>
      <c r="D17" s="100">
        <v>15.76</v>
      </c>
      <c r="E17" s="100">
        <v>8.41</v>
      </c>
      <c r="F17" s="152" t="s">
        <v>15</v>
      </c>
      <c r="G17" s="100">
        <v>1.49</v>
      </c>
      <c r="H17" s="100">
        <v>34.229999999999997</v>
      </c>
      <c r="I17" s="100">
        <v>10.79</v>
      </c>
      <c r="J17" s="100">
        <v>0.36</v>
      </c>
      <c r="K17" s="100">
        <v>178.96</v>
      </c>
      <c r="L17" s="100">
        <v>26.91</v>
      </c>
      <c r="M17" s="100">
        <v>48.76</v>
      </c>
      <c r="N17" s="100">
        <v>1.9</v>
      </c>
      <c r="O17" s="100">
        <v>0</v>
      </c>
      <c r="P17" s="100">
        <v>1.06</v>
      </c>
      <c r="Q17" s="100">
        <v>28.07</v>
      </c>
      <c r="R17" s="6"/>
      <c r="S17" s="6"/>
      <c r="T17" s="156"/>
      <c r="U17" s="6"/>
    </row>
    <row r="18" spans="1:21" customFormat="1">
      <c r="A18" s="163" t="s">
        <v>1784</v>
      </c>
      <c r="B18" s="100">
        <v>5.28</v>
      </c>
      <c r="C18" s="100">
        <v>19.7</v>
      </c>
      <c r="D18" s="100">
        <v>15.88</v>
      </c>
      <c r="E18" s="100">
        <v>9.4499999999999993</v>
      </c>
      <c r="F18" s="152" t="s">
        <v>15</v>
      </c>
      <c r="G18" s="100">
        <v>1.49</v>
      </c>
      <c r="H18" s="100">
        <v>34.229999999999997</v>
      </c>
      <c r="I18" s="100">
        <v>11.12</v>
      </c>
      <c r="J18" s="100">
        <v>0.22</v>
      </c>
      <c r="K18" s="100">
        <v>197.95</v>
      </c>
      <c r="L18" s="100">
        <v>26.37</v>
      </c>
      <c r="M18" s="100">
        <v>50.13</v>
      </c>
      <c r="N18" s="100">
        <v>1.8</v>
      </c>
      <c r="O18" s="100">
        <v>0</v>
      </c>
      <c r="P18" s="100">
        <v>1.1000000000000001</v>
      </c>
      <c r="Q18" s="100">
        <v>28.07</v>
      </c>
      <c r="R18" s="6"/>
      <c r="S18" s="6"/>
      <c r="T18" s="156"/>
      <c r="U18" s="6"/>
    </row>
    <row r="19" spans="1:21" customFormat="1">
      <c r="A19" s="163" t="s">
        <v>1785</v>
      </c>
      <c r="B19" s="100">
        <v>5.35</v>
      </c>
      <c r="C19" s="100">
        <v>19.850000000000001</v>
      </c>
      <c r="D19" s="100">
        <v>16.010000000000002</v>
      </c>
      <c r="E19" s="100">
        <v>9.93</v>
      </c>
      <c r="F19" s="152" t="s">
        <v>15</v>
      </c>
      <c r="G19" s="100">
        <v>1.49</v>
      </c>
      <c r="H19" s="100">
        <v>34.229999999999997</v>
      </c>
      <c r="I19" s="100">
        <v>11.37</v>
      </c>
      <c r="J19" s="100">
        <v>0.17</v>
      </c>
      <c r="K19" s="100">
        <v>211.69</v>
      </c>
      <c r="L19" s="100">
        <v>26.33</v>
      </c>
      <c r="M19" s="100">
        <v>49.54</v>
      </c>
      <c r="N19" s="100">
        <v>1.2</v>
      </c>
      <c r="O19" s="100">
        <v>0</v>
      </c>
      <c r="P19" s="100">
        <v>1.1299999999999999</v>
      </c>
      <c r="Q19" s="100">
        <v>28.07</v>
      </c>
      <c r="R19" s="6"/>
      <c r="S19" s="6"/>
      <c r="T19" s="156"/>
      <c r="U19" s="6"/>
    </row>
    <row r="20" spans="1:21" customFormat="1">
      <c r="A20" s="163" t="s">
        <v>1786</v>
      </c>
      <c r="B20" s="100">
        <v>5.4</v>
      </c>
      <c r="C20" s="100">
        <v>20.309999999999999</v>
      </c>
      <c r="D20" s="100">
        <v>16.29</v>
      </c>
      <c r="E20" s="100">
        <v>9.66</v>
      </c>
      <c r="F20" s="152" t="s">
        <v>15</v>
      </c>
      <c r="G20" s="100">
        <v>1.49</v>
      </c>
      <c r="H20" s="100">
        <v>34.229999999999997</v>
      </c>
      <c r="I20" s="100">
        <v>11.55</v>
      </c>
      <c r="J20" s="100">
        <v>0.27</v>
      </c>
      <c r="K20" s="100">
        <v>208.89</v>
      </c>
      <c r="L20" s="100">
        <v>26.89</v>
      </c>
      <c r="M20" s="100">
        <v>46.38</v>
      </c>
      <c r="N20" s="100">
        <v>0.5</v>
      </c>
      <c r="O20" s="100">
        <v>0</v>
      </c>
      <c r="P20" s="100">
        <v>1.1499999999999999</v>
      </c>
      <c r="Q20" s="100">
        <v>28.07</v>
      </c>
      <c r="R20" s="6"/>
      <c r="S20" s="6"/>
      <c r="T20" s="156"/>
      <c r="U20" s="6"/>
    </row>
    <row r="21" spans="1:21" customFormat="1">
      <c r="A21" s="163" t="s">
        <v>1787</v>
      </c>
      <c r="B21" s="100">
        <v>5.42</v>
      </c>
      <c r="C21" s="100">
        <v>20.7</v>
      </c>
      <c r="D21" s="100">
        <v>16.52</v>
      </c>
      <c r="E21" s="100">
        <v>10.18</v>
      </c>
      <c r="F21" s="152" t="s">
        <v>15</v>
      </c>
      <c r="G21" s="100">
        <v>1.45</v>
      </c>
      <c r="H21" s="100">
        <v>41.36</v>
      </c>
      <c r="I21" s="100">
        <v>11.85</v>
      </c>
      <c r="J21" s="100">
        <v>0.28000000000000003</v>
      </c>
      <c r="K21" s="100">
        <v>205.29</v>
      </c>
      <c r="L21" s="100">
        <v>26.87</v>
      </c>
      <c r="M21" s="100">
        <v>45.73</v>
      </c>
      <c r="N21" s="100">
        <v>1.1000000000000001</v>
      </c>
      <c r="O21" s="100">
        <v>0</v>
      </c>
      <c r="P21" s="100">
        <v>1.1399999999999999</v>
      </c>
      <c r="Q21" s="100">
        <v>28.08</v>
      </c>
      <c r="R21" s="6"/>
      <c r="S21" s="6"/>
      <c r="T21" s="156"/>
      <c r="U21" s="6"/>
    </row>
    <row r="22" spans="1:21" customFormat="1">
      <c r="A22" s="163" t="s">
        <v>1788</v>
      </c>
      <c r="B22" s="100">
        <v>5.38</v>
      </c>
      <c r="C22" s="100">
        <v>20.3</v>
      </c>
      <c r="D22" s="100">
        <v>16.28</v>
      </c>
      <c r="E22" s="100">
        <v>9.98</v>
      </c>
      <c r="F22" s="152" t="s">
        <v>15</v>
      </c>
      <c r="G22" s="100">
        <v>1.45</v>
      </c>
      <c r="H22" s="100">
        <v>41.36</v>
      </c>
      <c r="I22" s="100">
        <v>12.14</v>
      </c>
      <c r="J22" s="100">
        <v>0.62</v>
      </c>
      <c r="K22" s="100">
        <v>248.95</v>
      </c>
      <c r="L22" s="100">
        <v>27.95</v>
      </c>
      <c r="M22" s="100">
        <v>35.4</v>
      </c>
      <c r="N22" s="100">
        <v>0.1</v>
      </c>
      <c r="O22" s="100">
        <v>0</v>
      </c>
      <c r="P22" s="100">
        <v>1.1399999999999999</v>
      </c>
      <c r="Q22" s="100">
        <v>28.09</v>
      </c>
      <c r="R22" s="6"/>
      <c r="S22" s="6"/>
      <c r="T22" s="156"/>
      <c r="U22" s="6"/>
    </row>
    <row r="23" spans="1:21" customFormat="1">
      <c r="A23" s="163" t="s">
        <v>1789</v>
      </c>
      <c r="B23" s="100">
        <v>5.13</v>
      </c>
      <c r="C23" s="100">
        <v>20.100000000000001</v>
      </c>
      <c r="D23" s="100">
        <v>15.97</v>
      </c>
      <c r="E23" s="100">
        <v>9.25</v>
      </c>
      <c r="F23" s="152" t="s">
        <v>15</v>
      </c>
      <c r="G23" s="100">
        <v>1.45</v>
      </c>
      <c r="H23" s="100">
        <v>41.36</v>
      </c>
      <c r="I23" s="100">
        <v>12.25</v>
      </c>
      <c r="J23" s="100">
        <v>0.64</v>
      </c>
      <c r="K23" s="100">
        <v>264.17</v>
      </c>
      <c r="L23" s="100">
        <v>29.13</v>
      </c>
      <c r="M23" s="100">
        <v>30.7</v>
      </c>
      <c r="N23" s="100">
        <v>0.3</v>
      </c>
      <c r="O23" s="100">
        <v>0</v>
      </c>
      <c r="P23" s="100">
        <v>1.1299999999999999</v>
      </c>
      <c r="Q23" s="100">
        <v>28.07</v>
      </c>
      <c r="R23" s="6"/>
      <c r="S23" s="6"/>
      <c r="T23" s="156"/>
      <c r="U23" s="6"/>
    </row>
    <row r="24" spans="1:21" customFormat="1">
      <c r="A24" s="163" t="s">
        <v>1790</v>
      </c>
      <c r="B24" s="100">
        <v>4.8</v>
      </c>
      <c r="C24" s="100">
        <v>19.989999999999998</v>
      </c>
      <c r="D24" s="100">
        <v>15.64</v>
      </c>
      <c r="E24" s="100">
        <v>9.52</v>
      </c>
      <c r="F24" s="152" t="s">
        <v>15</v>
      </c>
      <c r="G24" s="100">
        <v>1.45</v>
      </c>
      <c r="H24" s="100">
        <v>41.36</v>
      </c>
      <c r="I24" s="100">
        <v>12.14</v>
      </c>
      <c r="J24" s="100">
        <v>0.35</v>
      </c>
      <c r="K24" s="100">
        <v>234.4</v>
      </c>
      <c r="L24" s="100">
        <v>28.48</v>
      </c>
      <c r="M24" s="100">
        <v>33.25</v>
      </c>
      <c r="N24" s="100">
        <v>1.4</v>
      </c>
      <c r="O24" s="100">
        <v>0</v>
      </c>
      <c r="P24" s="100">
        <v>1.1100000000000001</v>
      </c>
      <c r="Q24" s="100">
        <v>28.04</v>
      </c>
      <c r="R24" s="6"/>
      <c r="S24" s="6"/>
      <c r="T24" s="156"/>
      <c r="U24" s="6"/>
    </row>
    <row r="25" spans="1:21" customFormat="1">
      <c r="A25" s="163" t="s">
        <v>1791</v>
      </c>
      <c r="B25" s="100">
        <v>4.53</v>
      </c>
      <c r="C25" s="100">
        <v>20.03</v>
      </c>
      <c r="D25" s="100">
        <v>15.45</v>
      </c>
      <c r="E25" s="100">
        <v>9.35</v>
      </c>
      <c r="F25" s="152" t="s">
        <v>15</v>
      </c>
      <c r="G25" s="100">
        <v>1.4</v>
      </c>
      <c r="H25" s="100">
        <v>40.61</v>
      </c>
      <c r="I25" s="100">
        <v>11.99</v>
      </c>
      <c r="J25" s="100">
        <v>0.41</v>
      </c>
      <c r="K25" s="100">
        <v>245.43</v>
      </c>
      <c r="L25" s="100">
        <v>28.29</v>
      </c>
      <c r="M25" s="100">
        <v>33.159999999999997</v>
      </c>
      <c r="N25" s="100">
        <v>0.9</v>
      </c>
      <c r="O25" s="100">
        <v>0</v>
      </c>
      <c r="P25" s="100">
        <v>1.0900000000000001</v>
      </c>
      <c r="Q25" s="100">
        <v>28.04</v>
      </c>
      <c r="R25" s="6"/>
      <c r="S25" s="6"/>
      <c r="T25" s="156"/>
      <c r="U25" s="6"/>
    </row>
    <row r="26" spans="1:21" customFormat="1">
      <c r="A26" s="163" t="s">
        <v>1792</v>
      </c>
      <c r="B26" s="100">
        <v>4.34</v>
      </c>
      <c r="C26" s="100">
        <v>20</v>
      </c>
      <c r="D26" s="100">
        <v>15.29</v>
      </c>
      <c r="E26" s="100">
        <v>9.27</v>
      </c>
      <c r="F26" s="152" t="s">
        <v>15</v>
      </c>
      <c r="G26" s="100">
        <v>1.4</v>
      </c>
      <c r="H26" s="100">
        <v>40.61</v>
      </c>
      <c r="I26" s="100">
        <v>11.82</v>
      </c>
      <c r="J26" s="100">
        <v>0.53</v>
      </c>
      <c r="K26" s="100">
        <v>245.84</v>
      </c>
      <c r="L26" s="100">
        <v>28.49</v>
      </c>
      <c r="M26" s="100">
        <v>31.79</v>
      </c>
      <c r="N26" s="100">
        <v>0.5</v>
      </c>
      <c r="O26" s="100">
        <v>0</v>
      </c>
      <c r="P26" s="100">
        <v>1.08</v>
      </c>
      <c r="Q26" s="100">
        <v>28.03</v>
      </c>
      <c r="R26" s="6"/>
      <c r="S26" s="6"/>
      <c r="T26" s="156"/>
      <c r="U26" s="6"/>
    </row>
    <row r="27" spans="1:21" customFormat="1">
      <c r="A27" s="163" t="s">
        <v>1793</v>
      </c>
      <c r="B27" s="100">
        <v>4.24</v>
      </c>
      <c r="C27" s="100">
        <v>19.84</v>
      </c>
      <c r="D27" s="100">
        <v>15.11</v>
      </c>
      <c r="E27" s="100">
        <v>9.07</v>
      </c>
      <c r="F27" s="152" t="s">
        <v>15</v>
      </c>
      <c r="G27" s="100">
        <v>1.4</v>
      </c>
      <c r="H27" s="100">
        <v>40.61</v>
      </c>
      <c r="I27" s="100">
        <v>11.74</v>
      </c>
      <c r="J27" s="100">
        <v>0.56999999999999995</v>
      </c>
      <c r="K27" s="100">
        <v>245.32</v>
      </c>
      <c r="L27" s="100">
        <v>28.54</v>
      </c>
      <c r="M27" s="100">
        <v>32.07</v>
      </c>
      <c r="N27" s="100">
        <v>0.7</v>
      </c>
      <c r="O27" s="100">
        <v>0</v>
      </c>
      <c r="P27" s="100">
        <v>1.07</v>
      </c>
      <c r="Q27" s="100">
        <v>28.03</v>
      </c>
      <c r="R27" s="6"/>
      <c r="S27" s="6"/>
      <c r="T27" s="156"/>
      <c r="U27" s="6"/>
    </row>
    <row r="28" spans="1:21" customFormat="1">
      <c r="A28" s="163" t="s">
        <v>1794</v>
      </c>
      <c r="B28" s="100">
        <v>4.13</v>
      </c>
      <c r="C28" s="100">
        <v>19.5</v>
      </c>
      <c r="D28" s="100">
        <v>14.85</v>
      </c>
      <c r="E28" s="100">
        <v>9.15</v>
      </c>
      <c r="F28" s="152" t="s">
        <v>15</v>
      </c>
      <c r="G28" s="100">
        <v>1.4</v>
      </c>
      <c r="H28" s="100">
        <v>40.61</v>
      </c>
      <c r="I28" s="100">
        <v>11.79</v>
      </c>
      <c r="J28" s="100">
        <v>0.2</v>
      </c>
      <c r="K28" s="100">
        <v>184.99</v>
      </c>
      <c r="L28" s="100">
        <v>27.8</v>
      </c>
      <c r="M28" s="100">
        <v>36.19</v>
      </c>
      <c r="N28" s="100">
        <v>1.7</v>
      </c>
      <c r="O28" s="100">
        <v>0</v>
      </c>
      <c r="P28" s="100">
        <v>1.05</v>
      </c>
      <c r="Q28" s="100">
        <v>28.02</v>
      </c>
      <c r="R28" s="6"/>
      <c r="S28" s="6"/>
      <c r="T28" s="156"/>
      <c r="U28" s="6"/>
    </row>
    <row r="29" spans="1:21" customFormat="1">
      <c r="A29" s="163" t="s">
        <v>1795</v>
      </c>
      <c r="B29" s="100">
        <v>4.12</v>
      </c>
      <c r="C29" s="100">
        <v>19.149999999999999</v>
      </c>
      <c r="D29" s="100">
        <v>14.66</v>
      </c>
      <c r="E29" s="100">
        <v>8.9600000000000009</v>
      </c>
      <c r="F29" s="152" t="s">
        <v>15</v>
      </c>
      <c r="G29" s="100">
        <v>1.36</v>
      </c>
      <c r="H29" s="100">
        <v>38.31</v>
      </c>
      <c r="I29" s="100">
        <v>11.95</v>
      </c>
      <c r="J29" s="100">
        <v>0.19</v>
      </c>
      <c r="K29" s="100">
        <v>166.18</v>
      </c>
      <c r="L29" s="100">
        <v>26.68</v>
      </c>
      <c r="M29" s="100">
        <v>40.72</v>
      </c>
      <c r="N29" s="100">
        <v>1.8</v>
      </c>
      <c r="O29" s="100">
        <v>0</v>
      </c>
      <c r="P29" s="100">
        <v>1.03</v>
      </c>
      <c r="Q29" s="100">
        <v>28.03</v>
      </c>
      <c r="R29" s="6"/>
      <c r="S29" s="6"/>
      <c r="T29" s="156"/>
      <c r="U29" s="6"/>
    </row>
    <row r="30" spans="1:21" customFormat="1">
      <c r="A30" s="163" t="s">
        <v>1796</v>
      </c>
      <c r="B30" s="100">
        <v>4.26</v>
      </c>
      <c r="C30" s="100">
        <v>18.77</v>
      </c>
      <c r="D30" s="100">
        <v>14.57</v>
      </c>
      <c r="E30" s="100">
        <v>8.49</v>
      </c>
      <c r="F30" s="152" t="s">
        <v>15</v>
      </c>
      <c r="G30" s="100">
        <v>1.36</v>
      </c>
      <c r="H30" s="100">
        <v>38.31</v>
      </c>
      <c r="I30" s="100">
        <v>12.28</v>
      </c>
      <c r="J30" s="100">
        <v>0.22</v>
      </c>
      <c r="K30" s="100">
        <v>155.80000000000001</v>
      </c>
      <c r="L30" s="100">
        <v>25.61</v>
      </c>
      <c r="M30" s="100">
        <v>45.11</v>
      </c>
      <c r="N30" s="100">
        <v>1.8</v>
      </c>
      <c r="O30" s="100">
        <v>0</v>
      </c>
      <c r="P30" s="100">
        <v>1.05</v>
      </c>
      <c r="Q30" s="100">
        <v>28.04</v>
      </c>
      <c r="R30" s="6"/>
      <c r="S30" s="6"/>
      <c r="T30" s="156"/>
      <c r="U30" s="6"/>
    </row>
    <row r="31" spans="1:21" customFormat="1">
      <c r="A31" s="163" t="s">
        <v>1797</v>
      </c>
      <c r="B31" s="100">
        <v>4.55</v>
      </c>
      <c r="C31" s="100">
        <v>18.45</v>
      </c>
      <c r="D31" s="100">
        <v>14.64</v>
      </c>
      <c r="E31" s="100">
        <v>8.2799999999999994</v>
      </c>
      <c r="F31" s="152" t="s">
        <v>15</v>
      </c>
      <c r="G31" s="100">
        <v>1.36</v>
      </c>
      <c r="H31" s="100">
        <v>38.31</v>
      </c>
      <c r="I31" s="100">
        <v>12.52</v>
      </c>
      <c r="J31" s="100">
        <v>0.2</v>
      </c>
      <c r="K31" s="100">
        <v>146.35</v>
      </c>
      <c r="L31" s="100">
        <v>24.96</v>
      </c>
      <c r="M31" s="100">
        <v>48.11</v>
      </c>
      <c r="N31" s="100">
        <v>1.4</v>
      </c>
      <c r="O31" s="100">
        <v>0</v>
      </c>
      <c r="P31" s="100">
        <v>1.04</v>
      </c>
      <c r="Q31" s="100">
        <v>28.05</v>
      </c>
      <c r="R31" s="6"/>
      <c r="S31" s="6"/>
      <c r="T31" s="156"/>
      <c r="U31" s="6"/>
    </row>
    <row r="32" spans="1:21" customFormat="1">
      <c r="A32" s="163" t="s">
        <v>1798</v>
      </c>
      <c r="B32" s="100">
        <v>5.0599999999999996</v>
      </c>
      <c r="C32" s="100">
        <v>18.34</v>
      </c>
      <c r="D32" s="100">
        <v>14.99</v>
      </c>
      <c r="E32" s="100">
        <v>7.79</v>
      </c>
      <c r="F32" s="152" t="s">
        <v>15</v>
      </c>
      <c r="G32" s="100">
        <v>1.36</v>
      </c>
      <c r="H32" s="100">
        <v>38.31</v>
      </c>
      <c r="I32" s="100">
        <v>12.65</v>
      </c>
      <c r="J32" s="100">
        <v>0.22</v>
      </c>
      <c r="K32" s="100">
        <v>176.31</v>
      </c>
      <c r="L32" s="100">
        <v>23.94</v>
      </c>
      <c r="M32" s="100">
        <v>51.93</v>
      </c>
      <c r="N32" s="100">
        <v>2.1</v>
      </c>
      <c r="O32" s="100">
        <v>0</v>
      </c>
      <c r="P32" s="100">
        <v>1.04</v>
      </c>
      <c r="Q32" s="100">
        <v>28.06</v>
      </c>
      <c r="R32" s="6"/>
      <c r="S32" s="6"/>
      <c r="T32" s="156"/>
      <c r="U32" s="6"/>
    </row>
    <row r="33" spans="1:21" customFormat="1">
      <c r="A33" s="163" t="s">
        <v>1799</v>
      </c>
      <c r="B33" s="100">
        <v>5.38</v>
      </c>
      <c r="C33" s="100">
        <v>18</v>
      </c>
      <c r="D33" s="100">
        <v>15.07</v>
      </c>
      <c r="E33" s="100">
        <v>7.91</v>
      </c>
      <c r="F33" s="152" t="s">
        <v>15</v>
      </c>
      <c r="G33" s="100">
        <v>1.33</v>
      </c>
      <c r="H33" s="100">
        <v>39.979999999999997</v>
      </c>
      <c r="I33" s="100">
        <v>12.74</v>
      </c>
      <c r="J33" s="100">
        <v>0.25</v>
      </c>
      <c r="K33" s="100">
        <v>197</v>
      </c>
      <c r="L33" s="100">
        <v>23.39</v>
      </c>
      <c r="M33" s="100">
        <v>53.85</v>
      </c>
      <c r="N33" s="100">
        <v>3.4</v>
      </c>
      <c r="O33" s="100">
        <v>0</v>
      </c>
      <c r="P33" s="100">
        <v>1.04</v>
      </c>
      <c r="Q33" s="100">
        <v>28.06</v>
      </c>
      <c r="R33" s="6"/>
      <c r="S33" s="6"/>
      <c r="T33" s="156"/>
      <c r="U33" s="6"/>
    </row>
    <row r="34" spans="1:21" customFormat="1">
      <c r="A34" s="163" t="s">
        <v>1800</v>
      </c>
      <c r="B34" s="100">
        <v>5.57</v>
      </c>
      <c r="C34" s="100">
        <v>17.77</v>
      </c>
      <c r="D34" s="100">
        <v>15.11</v>
      </c>
      <c r="E34" s="100">
        <v>8.09</v>
      </c>
      <c r="F34" s="152" t="s">
        <v>15</v>
      </c>
      <c r="G34" s="100">
        <v>1.33</v>
      </c>
      <c r="H34" s="100">
        <v>39.979999999999997</v>
      </c>
      <c r="I34" s="100">
        <v>12.86</v>
      </c>
      <c r="J34" s="100">
        <v>0.14000000000000001</v>
      </c>
      <c r="K34" s="100">
        <v>210.27</v>
      </c>
      <c r="L34" s="100">
        <v>23.9</v>
      </c>
      <c r="M34" s="100">
        <v>50.19</v>
      </c>
      <c r="N34" s="100">
        <v>7.3</v>
      </c>
      <c r="O34" s="100">
        <v>0</v>
      </c>
      <c r="P34" s="100">
        <v>1.03</v>
      </c>
      <c r="Q34" s="100">
        <v>28.06</v>
      </c>
      <c r="R34" s="6"/>
      <c r="S34" s="6"/>
      <c r="T34" s="156"/>
      <c r="U34" s="6"/>
    </row>
    <row r="35" spans="1:21" customFormat="1">
      <c r="A35" s="163" t="s">
        <v>1801</v>
      </c>
      <c r="B35" s="100">
        <v>5.74</v>
      </c>
      <c r="C35" s="100">
        <v>17.489999999999998</v>
      </c>
      <c r="D35" s="100">
        <v>15.09</v>
      </c>
      <c r="E35" s="100">
        <v>8.49</v>
      </c>
      <c r="F35" s="152" t="s">
        <v>15</v>
      </c>
      <c r="G35" s="100">
        <v>1.33</v>
      </c>
      <c r="H35" s="100">
        <v>39.979999999999997</v>
      </c>
      <c r="I35" s="100">
        <v>12.97</v>
      </c>
      <c r="J35" s="100">
        <v>0.21</v>
      </c>
      <c r="K35" s="100">
        <v>178.37</v>
      </c>
      <c r="L35" s="100">
        <v>24.26</v>
      </c>
      <c r="M35" s="100">
        <v>50.22</v>
      </c>
      <c r="N35" s="100">
        <v>14.3</v>
      </c>
      <c r="O35" s="100">
        <v>0</v>
      </c>
      <c r="P35" s="100">
        <v>1.04</v>
      </c>
      <c r="Q35" s="100">
        <v>28.08</v>
      </c>
      <c r="R35" s="6"/>
      <c r="S35" s="6"/>
      <c r="T35" s="156"/>
      <c r="U35" s="6"/>
    </row>
    <row r="36" spans="1:21" customFormat="1">
      <c r="A36" s="163" t="s">
        <v>1802</v>
      </c>
      <c r="B36" s="100">
        <v>5.9</v>
      </c>
      <c r="C36" s="100">
        <v>17.309999999999999</v>
      </c>
      <c r="D36" s="100">
        <v>15.13</v>
      </c>
      <c r="E36" s="100">
        <v>7.93</v>
      </c>
      <c r="F36" s="152" t="s">
        <v>15</v>
      </c>
      <c r="G36" s="100">
        <v>1.33</v>
      </c>
      <c r="H36" s="100">
        <v>39.979999999999997</v>
      </c>
      <c r="I36" s="100">
        <v>13.06</v>
      </c>
      <c r="J36" s="100">
        <v>0.14000000000000001</v>
      </c>
      <c r="K36" s="100">
        <v>160.22999999999999</v>
      </c>
      <c r="L36" s="100">
        <v>24.16</v>
      </c>
      <c r="M36" s="100">
        <v>52</v>
      </c>
      <c r="N36" s="100">
        <v>22</v>
      </c>
      <c r="O36" s="100">
        <v>0</v>
      </c>
      <c r="P36" s="100">
        <v>1.04</v>
      </c>
      <c r="Q36" s="100">
        <v>28.08</v>
      </c>
      <c r="R36" s="6"/>
      <c r="S36" s="6"/>
      <c r="T36" s="156"/>
      <c r="U36" s="6"/>
    </row>
    <row r="37" spans="1:21" customFormat="1">
      <c r="A37" s="163" t="s">
        <v>1803</v>
      </c>
      <c r="B37" s="100">
        <v>6.05</v>
      </c>
      <c r="C37" s="100">
        <v>17.170000000000002</v>
      </c>
      <c r="D37" s="100">
        <v>15.17</v>
      </c>
      <c r="E37" s="100">
        <v>7.96</v>
      </c>
      <c r="F37" s="152" t="s">
        <v>15</v>
      </c>
      <c r="G37" s="100">
        <v>1.29</v>
      </c>
      <c r="H37" s="100">
        <v>35.78</v>
      </c>
      <c r="I37" s="100">
        <v>13.15</v>
      </c>
      <c r="J37" s="100">
        <v>0.11</v>
      </c>
      <c r="K37" s="100">
        <v>140.59</v>
      </c>
      <c r="L37" s="100">
        <v>24.71</v>
      </c>
      <c r="M37" s="100">
        <v>50.14</v>
      </c>
      <c r="N37" s="100">
        <v>28.7</v>
      </c>
      <c r="O37" s="100">
        <v>0</v>
      </c>
      <c r="P37" s="100">
        <v>1.05</v>
      </c>
      <c r="Q37" s="100">
        <v>28.09</v>
      </c>
      <c r="R37" s="6"/>
      <c r="S37" s="6"/>
      <c r="T37" s="156"/>
      <c r="U37" s="6"/>
    </row>
    <row r="38" spans="1:21" customFormat="1">
      <c r="A38" s="163" t="s">
        <v>1804</v>
      </c>
      <c r="B38" s="100">
        <v>6.32</v>
      </c>
      <c r="C38" s="100">
        <v>17.059999999999999</v>
      </c>
      <c r="D38" s="100">
        <v>15.34</v>
      </c>
      <c r="E38" s="100">
        <v>8.0399999999999991</v>
      </c>
      <c r="F38" s="152" t="s">
        <v>15</v>
      </c>
      <c r="G38" s="100">
        <v>1.29</v>
      </c>
      <c r="H38" s="100">
        <v>35.78</v>
      </c>
      <c r="I38" s="100">
        <v>13.24</v>
      </c>
      <c r="J38" s="100">
        <v>0.14000000000000001</v>
      </c>
      <c r="K38" s="100">
        <v>62.19</v>
      </c>
      <c r="L38" s="100">
        <v>25.45</v>
      </c>
      <c r="M38" s="100">
        <v>47.95</v>
      </c>
      <c r="N38" s="100">
        <v>37.6</v>
      </c>
      <c r="O38" s="100">
        <v>0</v>
      </c>
      <c r="P38" s="100">
        <v>1.07</v>
      </c>
      <c r="Q38" s="100">
        <v>28.09</v>
      </c>
      <c r="R38" s="6"/>
      <c r="S38" s="6"/>
      <c r="T38" s="156"/>
      <c r="U38" s="6"/>
    </row>
    <row r="39" spans="1:21" customFormat="1">
      <c r="A39" s="163" t="s">
        <v>1805</v>
      </c>
      <c r="B39" s="100">
        <v>7.07</v>
      </c>
      <c r="C39" s="100">
        <v>17.71</v>
      </c>
      <c r="D39" s="100">
        <v>16.27</v>
      </c>
      <c r="E39" s="100">
        <v>8.5</v>
      </c>
      <c r="F39" s="152" t="s">
        <v>15</v>
      </c>
      <c r="G39" s="100">
        <v>1.29</v>
      </c>
      <c r="H39" s="100">
        <v>35.78</v>
      </c>
      <c r="I39" s="100">
        <v>13.41</v>
      </c>
      <c r="J39" s="100">
        <v>0.3</v>
      </c>
      <c r="K39" s="100">
        <v>50.15</v>
      </c>
      <c r="L39" s="100">
        <v>26.81</v>
      </c>
      <c r="M39" s="100">
        <v>43.01</v>
      </c>
      <c r="N39" s="100">
        <v>44.9</v>
      </c>
      <c r="O39" s="100">
        <v>0</v>
      </c>
      <c r="P39" s="100">
        <v>1.1000000000000001</v>
      </c>
      <c r="Q39" s="100">
        <v>28.11</v>
      </c>
      <c r="R39" s="6"/>
      <c r="S39" s="6"/>
      <c r="T39" s="156"/>
      <c r="U39" s="6"/>
    </row>
    <row r="40" spans="1:21" customFormat="1">
      <c r="A40" s="163" t="s">
        <v>1806</v>
      </c>
      <c r="B40" s="100">
        <v>6.97</v>
      </c>
      <c r="C40" s="100">
        <v>17.55</v>
      </c>
      <c r="D40" s="100">
        <v>16.12</v>
      </c>
      <c r="E40" s="100">
        <v>8.36</v>
      </c>
      <c r="F40" s="152" t="s">
        <v>15</v>
      </c>
      <c r="G40" s="100">
        <v>1.29</v>
      </c>
      <c r="H40" s="100">
        <v>35.78</v>
      </c>
      <c r="I40" s="100">
        <v>13.66</v>
      </c>
      <c r="J40" s="100">
        <v>0.06</v>
      </c>
      <c r="K40" s="100">
        <v>259.29000000000002</v>
      </c>
      <c r="L40" s="100">
        <v>27.66</v>
      </c>
      <c r="M40" s="100">
        <v>40.19</v>
      </c>
      <c r="N40" s="100">
        <v>83.4</v>
      </c>
      <c r="O40" s="100">
        <v>0</v>
      </c>
      <c r="P40" s="100">
        <v>1.08</v>
      </c>
      <c r="Q40" s="100">
        <v>28.12</v>
      </c>
      <c r="R40" s="6"/>
      <c r="S40" s="6"/>
      <c r="T40" s="156"/>
      <c r="U40" s="6"/>
    </row>
    <row r="41" spans="1:21" customFormat="1">
      <c r="A41" s="163" t="s">
        <v>1807</v>
      </c>
      <c r="B41" s="100">
        <v>6.83</v>
      </c>
      <c r="C41" s="100">
        <v>17.27</v>
      </c>
      <c r="D41" s="100">
        <v>15.85</v>
      </c>
      <c r="E41" s="100">
        <v>8.5</v>
      </c>
      <c r="F41" s="152" t="s">
        <v>15</v>
      </c>
      <c r="G41" s="100">
        <v>1.25</v>
      </c>
      <c r="H41" s="100">
        <v>39.869999999999997</v>
      </c>
      <c r="I41" s="100">
        <v>13.95</v>
      </c>
      <c r="J41" s="100">
        <v>0.28000000000000003</v>
      </c>
      <c r="K41" s="100">
        <v>276.79000000000002</v>
      </c>
      <c r="L41" s="100">
        <v>28.72</v>
      </c>
      <c r="M41" s="100">
        <v>36.950000000000003</v>
      </c>
      <c r="N41" s="100">
        <v>105.5</v>
      </c>
      <c r="O41" s="100">
        <v>0</v>
      </c>
      <c r="P41" s="100">
        <v>1.0900000000000001</v>
      </c>
      <c r="Q41" s="100">
        <v>28.12</v>
      </c>
      <c r="R41" s="6"/>
      <c r="S41" s="6"/>
      <c r="T41" s="156"/>
      <c r="U41" s="6"/>
    </row>
    <row r="42" spans="1:21" customFormat="1">
      <c r="A42" s="163" t="s">
        <v>1808</v>
      </c>
      <c r="B42" s="100">
        <v>6.95</v>
      </c>
      <c r="C42" s="100">
        <v>17.45</v>
      </c>
      <c r="D42" s="100">
        <v>16.04</v>
      </c>
      <c r="E42" s="100">
        <v>8.6</v>
      </c>
      <c r="F42" s="152" t="s">
        <v>15</v>
      </c>
      <c r="G42" s="100">
        <v>1.25</v>
      </c>
      <c r="H42" s="100">
        <v>39.869999999999997</v>
      </c>
      <c r="I42" s="100">
        <v>13.96</v>
      </c>
      <c r="J42" s="100">
        <v>0.32</v>
      </c>
      <c r="K42" s="100">
        <v>242.51</v>
      </c>
      <c r="L42" s="100">
        <v>29.66</v>
      </c>
      <c r="M42" s="100">
        <v>36.44</v>
      </c>
      <c r="N42" s="100">
        <v>116.9</v>
      </c>
      <c r="O42" s="100">
        <v>0</v>
      </c>
      <c r="P42" s="100">
        <v>1.1000000000000001</v>
      </c>
      <c r="Q42" s="100">
        <v>28.11</v>
      </c>
      <c r="R42" s="6"/>
      <c r="S42" s="6"/>
      <c r="T42" s="156"/>
      <c r="U42" s="6"/>
    </row>
    <row r="43" spans="1:21" customFormat="1">
      <c r="A43" s="163" t="s">
        <v>1809</v>
      </c>
      <c r="B43" s="100">
        <v>7.51</v>
      </c>
      <c r="C43" s="100">
        <v>16.8</v>
      </c>
      <c r="D43" s="100">
        <v>16.149999999999999</v>
      </c>
      <c r="E43" s="100">
        <v>9.1300000000000008</v>
      </c>
      <c r="F43" s="152" t="s">
        <v>15</v>
      </c>
      <c r="G43" s="100">
        <v>1.25</v>
      </c>
      <c r="H43" s="100">
        <v>39.869999999999997</v>
      </c>
      <c r="I43" s="100">
        <v>13.88</v>
      </c>
      <c r="J43" s="100">
        <v>0.63</v>
      </c>
      <c r="K43" s="100">
        <v>240.66</v>
      </c>
      <c r="L43" s="100">
        <v>30.26</v>
      </c>
      <c r="M43" s="100">
        <v>35.19</v>
      </c>
      <c r="N43" s="100">
        <v>171.5</v>
      </c>
      <c r="O43" s="100">
        <v>0</v>
      </c>
      <c r="P43" s="100">
        <v>1.2</v>
      </c>
      <c r="Q43" s="100">
        <v>28.12</v>
      </c>
      <c r="R43" s="6"/>
      <c r="S43" s="6"/>
      <c r="T43" s="156"/>
      <c r="U43" s="6"/>
    </row>
    <row r="44" spans="1:21" customFormat="1">
      <c r="A44" s="163" t="s">
        <v>1810</v>
      </c>
      <c r="B44" s="100">
        <v>6.51</v>
      </c>
      <c r="C44" s="100">
        <v>17.63</v>
      </c>
      <c r="D44" s="100">
        <v>15.78</v>
      </c>
      <c r="E44" s="100">
        <v>8.3699999999999992</v>
      </c>
      <c r="F44" s="152" t="s">
        <v>15</v>
      </c>
      <c r="G44" s="100">
        <v>1.25</v>
      </c>
      <c r="H44" s="100">
        <v>39.869999999999997</v>
      </c>
      <c r="I44" s="100">
        <v>14.89</v>
      </c>
      <c r="J44" s="100">
        <v>0.76</v>
      </c>
      <c r="K44" s="100">
        <v>253.71</v>
      </c>
      <c r="L44" s="100">
        <v>30.33</v>
      </c>
      <c r="M44" s="100">
        <v>35.83</v>
      </c>
      <c r="N44" s="100">
        <v>198.1</v>
      </c>
      <c r="O44" s="100">
        <v>0</v>
      </c>
      <c r="P44" s="100">
        <v>1.21</v>
      </c>
      <c r="Q44" s="100">
        <v>28.1</v>
      </c>
      <c r="R44" s="6"/>
      <c r="S44" s="6"/>
      <c r="T44" s="156"/>
      <c r="U44" s="6"/>
    </row>
    <row r="45" spans="1:21" customFormat="1">
      <c r="A45" s="163" t="s">
        <v>1811</v>
      </c>
      <c r="B45" s="100">
        <v>5.88</v>
      </c>
      <c r="C45" s="100">
        <v>17.399999999999999</v>
      </c>
      <c r="D45" s="100">
        <v>15.16</v>
      </c>
      <c r="E45" s="100">
        <v>8.86</v>
      </c>
      <c r="F45" s="152" t="s">
        <v>15</v>
      </c>
      <c r="G45" s="100">
        <v>1.22</v>
      </c>
      <c r="H45" s="100">
        <v>60.18</v>
      </c>
      <c r="I45" s="100">
        <v>16.100000000000001</v>
      </c>
      <c r="J45" s="100">
        <v>0.89</v>
      </c>
      <c r="K45" s="100">
        <v>253.75</v>
      </c>
      <c r="L45" s="100">
        <v>30.56</v>
      </c>
      <c r="M45" s="100">
        <v>35.69</v>
      </c>
      <c r="N45" s="100">
        <v>178.6</v>
      </c>
      <c r="O45" s="100">
        <v>0</v>
      </c>
      <c r="P45" s="100">
        <v>1.19</v>
      </c>
      <c r="Q45" s="100">
        <v>28.08</v>
      </c>
      <c r="R45" s="6"/>
      <c r="S45" s="6"/>
      <c r="T45" s="156"/>
      <c r="U45" s="6"/>
    </row>
    <row r="46" spans="1:21" customFormat="1">
      <c r="A46" s="163" t="s">
        <v>1812</v>
      </c>
      <c r="B46" s="100">
        <v>5.38</v>
      </c>
      <c r="C46" s="100">
        <v>17.600000000000001</v>
      </c>
      <c r="D46" s="100">
        <v>14.86</v>
      </c>
      <c r="E46" s="100">
        <v>8.2200000000000006</v>
      </c>
      <c r="F46" s="152" t="s">
        <v>15</v>
      </c>
      <c r="G46" s="100">
        <v>1.22</v>
      </c>
      <c r="H46" s="100">
        <v>60.18</v>
      </c>
      <c r="I46" s="100">
        <v>15.21</v>
      </c>
      <c r="J46" s="100">
        <v>0.5</v>
      </c>
      <c r="K46" s="100">
        <v>271.63</v>
      </c>
      <c r="L46" s="100">
        <v>31.26</v>
      </c>
      <c r="M46" s="100">
        <v>34.08</v>
      </c>
      <c r="N46" s="100">
        <v>230.3</v>
      </c>
      <c r="O46" s="100">
        <v>0</v>
      </c>
      <c r="P46" s="100">
        <v>1.19</v>
      </c>
      <c r="Q46" s="100">
        <v>28.07</v>
      </c>
      <c r="R46" s="6"/>
      <c r="S46" s="6"/>
      <c r="T46" s="156"/>
      <c r="U46" s="6"/>
    </row>
    <row r="47" spans="1:21" customFormat="1">
      <c r="A47" s="163" t="s">
        <v>1813</v>
      </c>
      <c r="B47" s="100">
        <v>5</v>
      </c>
      <c r="C47" s="100">
        <v>17.78</v>
      </c>
      <c r="D47" s="100">
        <v>14.65</v>
      </c>
      <c r="E47" s="100">
        <v>8.7799999999999994</v>
      </c>
      <c r="F47" s="152" t="s">
        <v>15</v>
      </c>
      <c r="G47" s="100">
        <v>1.22</v>
      </c>
      <c r="H47" s="100">
        <v>60.18</v>
      </c>
      <c r="I47" s="100">
        <v>14.91</v>
      </c>
      <c r="J47" s="100">
        <v>1.05</v>
      </c>
      <c r="K47" s="100">
        <v>270.37</v>
      </c>
      <c r="L47" s="100">
        <v>31.83</v>
      </c>
      <c r="M47" s="100">
        <v>32.26</v>
      </c>
      <c r="N47" s="100">
        <v>241.9</v>
      </c>
      <c r="O47" s="100">
        <v>0</v>
      </c>
      <c r="P47" s="100">
        <v>1.19</v>
      </c>
      <c r="Q47" s="100">
        <v>28.05</v>
      </c>
      <c r="R47" s="6"/>
      <c r="S47" s="6"/>
      <c r="T47" s="156"/>
      <c r="U47" s="6"/>
    </row>
    <row r="48" spans="1:21" customFormat="1">
      <c r="A48" s="163" t="s">
        <v>1814</v>
      </c>
      <c r="B48" s="100">
        <v>4.66</v>
      </c>
      <c r="C48" s="100">
        <v>18.18</v>
      </c>
      <c r="D48" s="100">
        <v>14.59</v>
      </c>
      <c r="E48" s="100">
        <v>8.69</v>
      </c>
      <c r="F48" s="152" t="s">
        <v>15</v>
      </c>
      <c r="G48" s="100">
        <v>1.22</v>
      </c>
      <c r="H48" s="100">
        <v>60.18</v>
      </c>
      <c r="I48" s="100">
        <v>14.8</v>
      </c>
      <c r="J48" s="100">
        <v>1.04</v>
      </c>
      <c r="K48" s="100">
        <v>291.48</v>
      </c>
      <c r="L48" s="100">
        <v>32.43</v>
      </c>
      <c r="M48" s="100">
        <v>30.38</v>
      </c>
      <c r="N48" s="100">
        <v>250.5</v>
      </c>
      <c r="O48" s="100">
        <v>0</v>
      </c>
      <c r="P48" s="100">
        <v>1.19</v>
      </c>
      <c r="Q48" s="100">
        <v>28.03</v>
      </c>
      <c r="R48" s="6"/>
      <c r="S48" s="6"/>
      <c r="T48" s="156"/>
      <c r="U48" s="6"/>
    </row>
    <row r="49" spans="1:21" customFormat="1">
      <c r="A49" s="163" t="s">
        <v>1815</v>
      </c>
      <c r="B49" s="100">
        <v>4.3899999999999997</v>
      </c>
      <c r="C49" s="100">
        <v>18.48</v>
      </c>
      <c r="D49" s="100">
        <v>14.53</v>
      </c>
      <c r="E49" s="100">
        <v>8.66</v>
      </c>
      <c r="F49" s="152" t="s">
        <v>15</v>
      </c>
      <c r="G49" s="100">
        <v>1.26</v>
      </c>
      <c r="H49" s="100">
        <v>46.15</v>
      </c>
      <c r="I49" s="100">
        <v>14.65</v>
      </c>
      <c r="J49" s="100">
        <v>1.39</v>
      </c>
      <c r="K49" s="100">
        <v>282.17</v>
      </c>
      <c r="L49" s="100">
        <v>32.67</v>
      </c>
      <c r="M49" s="100">
        <v>29.67</v>
      </c>
      <c r="N49" s="100">
        <v>229.6</v>
      </c>
      <c r="O49" s="100">
        <v>0</v>
      </c>
      <c r="P49" s="100">
        <v>1.17</v>
      </c>
      <c r="Q49" s="100">
        <v>28.04</v>
      </c>
      <c r="R49" s="6"/>
      <c r="S49" s="6"/>
      <c r="T49" s="156"/>
      <c r="U49" s="6"/>
    </row>
    <row r="50" spans="1:21" customFormat="1">
      <c r="A50" s="163" t="s">
        <v>1816</v>
      </c>
      <c r="B50" s="100">
        <v>4.03</v>
      </c>
      <c r="C50" s="100">
        <v>18.25</v>
      </c>
      <c r="D50" s="100">
        <v>14.12</v>
      </c>
      <c r="E50" s="100">
        <v>10.49</v>
      </c>
      <c r="F50" s="152" t="s">
        <v>15</v>
      </c>
      <c r="G50" s="100">
        <v>1.26</v>
      </c>
      <c r="H50" s="100">
        <v>46.15</v>
      </c>
      <c r="I50" s="100">
        <v>14.46</v>
      </c>
      <c r="J50" s="100">
        <v>-1.05</v>
      </c>
      <c r="K50" s="100">
        <v>-0.05</v>
      </c>
      <c r="L50" s="100">
        <v>33.33</v>
      </c>
      <c r="M50" s="100">
        <v>29.03</v>
      </c>
      <c r="N50" s="100">
        <v>218.3</v>
      </c>
      <c r="O50" s="100">
        <v>0</v>
      </c>
      <c r="P50" s="100">
        <v>1.1299999999999999</v>
      </c>
      <c r="Q50" s="100">
        <v>28.02</v>
      </c>
      <c r="R50" s="6"/>
      <c r="S50" s="6"/>
      <c r="T50" s="156"/>
      <c r="U50" s="6"/>
    </row>
    <row r="51" spans="1:21" customFormat="1">
      <c r="A51" s="163" t="s">
        <v>1817</v>
      </c>
      <c r="B51" s="100">
        <v>3.83</v>
      </c>
      <c r="C51" s="100">
        <v>17.71</v>
      </c>
      <c r="D51" s="100">
        <v>13.68</v>
      </c>
      <c r="E51" s="100">
        <v>11.78</v>
      </c>
      <c r="F51" s="152" t="s">
        <v>15</v>
      </c>
      <c r="G51" s="100">
        <v>1.26</v>
      </c>
      <c r="H51" s="100">
        <v>46.15</v>
      </c>
      <c r="I51" s="100">
        <v>14.19</v>
      </c>
      <c r="J51" s="100">
        <v>1.61</v>
      </c>
      <c r="K51" s="100">
        <v>250.87</v>
      </c>
      <c r="L51" s="100">
        <v>34.18</v>
      </c>
      <c r="M51" s="100">
        <v>26.78</v>
      </c>
      <c r="N51" s="100">
        <v>295.3</v>
      </c>
      <c r="O51" s="100">
        <v>0</v>
      </c>
      <c r="P51" s="100">
        <v>1.07</v>
      </c>
      <c r="Q51" s="100">
        <v>28</v>
      </c>
      <c r="R51" s="6"/>
      <c r="S51" s="6"/>
      <c r="T51" s="156"/>
      <c r="U51" s="6"/>
    </row>
    <row r="52" spans="1:21" customFormat="1">
      <c r="A52" s="163" t="s">
        <v>1818</v>
      </c>
      <c r="B52" s="100">
        <v>3.66</v>
      </c>
      <c r="C52" s="100">
        <v>14.99</v>
      </c>
      <c r="D52" s="100">
        <v>12.12</v>
      </c>
      <c r="E52" s="100">
        <v>14.58</v>
      </c>
      <c r="F52" s="152" t="s">
        <v>15</v>
      </c>
      <c r="G52" s="135" t="s">
        <v>12</v>
      </c>
      <c r="H52" s="100">
        <v>17.75</v>
      </c>
      <c r="I52" s="100">
        <v>13.78</v>
      </c>
      <c r="J52" s="100">
        <v>1.08</v>
      </c>
      <c r="K52" s="100">
        <v>282.05</v>
      </c>
      <c r="L52" s="100">
        <v>34.44</v>
      </c>
      <c r="M52" s="100">
        <v>26.65</v>
      </c>
      <c r="N52" s="100">
        <v>283.39999999999998</v>
      </c>
      <c r="O52" s="100">
        <v>0</v>
      </c>
      <c r="P52" s="100">
        <v>0.91</v>
      </c>
      <c r="Q52" s="100">
        <v>27.99</v>
      </c>
      <c r="R52" s="6"/>
      <c r="S52" s="6"/>
      <c r="T52" s="156"/>
      <c r="U52" s="6"/>
    </row>
    <row r="53" spans="1:21" customFormat="1">
      <c r="A53" s="163" t="s">
        <v>1819</v>
      </c>
      <c r="B53" s="100">
        <v>3.73</v>
      </c>
      <c r="C53" s="100">
        <v>15.03</v>
      </c>
      <c r="D53" s="100">
        <v>12.19</v>
      </c>
      <c r="E53" s="100">
        <v>17.91</v>
      </c>
      <c r="F53" s="152" t="s">
        <v>15</v>
      </c>
      <c r="G53" s="135" t="s">
        <v>12</v>
      </c>
      <c r="H53" s="135" t="s">
        <v>12</v>
      </c>
      <c r="I53" s="100">
        <v>12.7</v>
      </c>
      <c r="J53" s="100">
        <v>1.07</v>
      </c>
      <c r="K53" s="100">
        <v>275.08999999999997</v>
      </c>
      <c r="L53" s="100">
        <v>34.869999999999997</v>
      </c>
      <c r="M53" s="100">
        <v>25.86</v>
      </c>
      <c r="N53" s="100">
        <v>290.89999999999998</v>
      </c>
      <c r="O53" s="100">
        <v>0</v>
      </c>
      <c r="P53" s="100">
        <v>0.92</v>
      </c>
      <c r="Q53" s="100">
        <v>28.01</v>
      </c>
      <c r="R53" s="6"/>
      <c r="S53" s="6"/>
      <c r="T53" s="156"/>
      <c r="U53" s="6"/>
    </row>
    <row r="54" spans="1:21" customFormat="1">
      <c r="A54" s="163" t="s">
        <v>1820</v>
      </c>
      <c r="B54" s="100">
        <v>3.74</v>
      </c>
      <c r="C54" s="100">
        <v>14.71</v>
      </c>
      <c r="D54" s="100">
        <v>12.04</v>
      </c>
      <c r="E54" s="100">
        <v>19.809999999999999</v>
      </c>
      <c r="F54" s="152" t="s">
        <v>15</v>
      </c>
      <c r="G54" s="135" t="s">
        <v>12</v>
      </c>
      <c r="H54" s="135" t="s">
        <v>12</v>
      </c>
      <c r="I54" s="100">
        <v>11.3</v>
      </c>
      <c r="J54" s="100">
        <v>1.31</v>
      </c>
      <c r="K54" s="100">
        <v>288.87</v>
      </c>
      <c r="L54" s="100">
        <v>34.950000000000003</v>
      </c>
      <c r="M54" s="100">
        <v>25.5</v>
      </c>
      <c r="N54" s="100">
        <v>272.89999999999998</v>
      </c>
      <c r="O54" s="100">
        <v>0</v>
      </c>
      <c r="P54" s="100">
        <v>0.97</v>
      </c>
      <c r="Q54" s="100">
        <v>28.06</v>
      </c>
      <c r="R54" s="6"/>
      <c r="S54" s="6"/>
      <c r="T54" s="156"/>
      <c r="U54" s="6"/>
    </row>
    <row r="55" spans="1:21" customFormat="1">
      <c r="A55" s="163" t="s">
        <v>1821</v>
      </c>
      <c r="B55" s="100">
        <v>3.5</v>
      </c>
      <c r="C55" s="100">
        <v>16.63</v>
      </c>
      <c r="D55" s="100">
        <v>12.85</v>
      </c>
      <c r="E55" s="100">
        <v>13.55</v>
      </c>
      <c r="F55" s="152" t="s">
        <v>15</v>
      </c>
      <c r="G55" s="135" t="s">
        <v>12</v>
      </c>
      <c r="H55" s="135" t="s">
        <v>12</v>
      </c>
      <c r="I55" s="100">
        <v>11.41</v>
      </c>
      <c r="J55" s="100">
        <v>0.98</v>
      </c>
      <c r="K55" s="100">
        <v>264.81</v>
      </c>
      <c r="L55" s="100">
        <v>35.549999999999997</v>
      </c>
      <c r="M55" s="100">
        <v>25.11</v>
      </c>
      <c r="N55" s="100">
        <v>265.39999999999998</v>
      </c>
      <c r="O55" s="100">
        <v>0</v>
      </c>
      <c r="P55" s="100">
        <v>0.99</v>
      </c>
      <c r="Q55" s="100">
        <v>28.06</v>
      </c>
      <c r="R55" s="6"/>
      <c r="S55" s="6"/>
      <c r="T55" s="156"/>
      <c r="U55" s="6"/>
    </row>
    <row r="56" spans="1:21" customFormat="1">
      <c r="A56" s="163" t="s">
        <v>1822</v>
      </c>
      <c r="B56" s="100">
        <v>3.34</v>
      </c>
      <c r="C56" s="100">
        <v>18.149999999999999</v>
      </c>
      <c r="D56" s="100">
        <v>13.51</v>
      </c>
      <c r="E56" s="100">
        <v>12.17</v>
      </c>
      <c r="F56" s="152" t="s">
        <v>15</v>
      </c>
      <c r="G56" s="100">
        <v>63.55</v>
      </c>
      <c r="H56" s="100">
        <v>29.8</v>
      </c>
      <c r="I56" s="100">
        <v>11.91</v>
      </c>
      <c r="J56" s="100">
        <v>1.24</v>
      </c>
      <c r="K56" s="100">
        <v>312.13</v>
      </c>
      <c r="L56" s="100">
        <v>35.76</v>
      </c>
      <c r="M56" s="100">
        <v>23.97</v>
      </c>
      <c r="N56" s="100">
        <v>292.8</v>
      </c>
      <c r="O56" s="100">
        <v>0</v>
      </c>
      <c r="P56" s="100">
        <v>1.01</v>
      </c>
      <c r="Q56" s="100">
        <v>28.05</v>
      </c>
      <c r="R56" s="6"/>
      <c r="S56" s="6"/>
      <c r="T56" s="156"/>
      <c r="U56" s="6"/>
    </row>
    <row r="57" spans="1:21" customFormat="1">
      <c r="A57" s="163" t="s">
        <v>1823</v>
      </c>
      <c r="B57" s="100">
        <v>3.42</v>
      </c>
      <c r="C57" s="100">
        <v>18.260000000000002</v>
      </c>
      <c r="D57" s="100">
        <v>13.64</v>
      </c>
      <c r="E57" s="100">
        <v>12.32</v>
      </c>
      <c r="F57" s="152" t="s">
        <v>15</v>
      </c>
      <c r="G57" s="100">
        <v>86.66</v>
      </c>
      <c r="H57" s="100">
        <v>30.72</v>
      </c>
      <c r="I57" s="100">
        <v>12.08</v>
      </c>
      <c r="J57" s="100">
        <v>1.1299999999999999</v>
      </c>
      <c r="K57" s="100">
        <v>322.11</v>
      </c>
      <c r="L57" s="100">
        <v>35.979999999999997</v>
      </c>
      <c r="M57" s="100">
        <v>21.94</v>
      </c>
      <c r="N57" s="100">
        <v>317.5</v>
      </c>
      <c r="O57" s="100">
        <v>0</v>
      </c>
      <c r="P57" s="100">
        <v>0.93</v>
      </c>
      <c r="Q57" s="100">
        <v>28.04</v>
      </c>
      <c r="R57" s="6"/>
      <c r="S57" s="6"/>
      <c r="T57" s="156"/>
      <c r="U57" s="6"/>
    </row>
    <row r="58" spans="1:21" customFormat="1">
      <c r="A58" s="163" t="s">
        <v>1824</v>
      </c>
      <c r="B58" s="100">
        <v>4.12</v>
      </c>
      <c r="C58" s="100">
        <v>17.18</v>
      </c>
      <c r="D58" s="100">
        <v>13.63</v>
      </c>
      <c r="E58" s="100">
        <v>15.71</v>
      </c>
      <c r="F58" s="152" t="s">
        <v>15</v>
      </c>
      <c r="G58" s="100">
        <v>86.66</v>
      </c>
      <c r="H58" s="100">
        <v>30.72</v>
      </c>
      <c r="I58" s="100">
        <v>12.02</v>
      </c>
      <c r="J58" s="100">
        <v>1.36</v>
      </c>
      <c r="K58" s="100">
        <v>317.08</v>
      </c>
      <c r="L58" s="100">
        <v>36.42</v>
      </c>
      <c r="M58" s="100">
        <v>21.08</v>
      </c>
      <c r="N58" s="100">
        <v>327.2</v>
      </c>
      <c r="O58" s="100">
        <v>0</v>
      </c>
      <c r="P58" s="100">
        <v>0.77</v>
      </c>
      <c r="Q58" s="100">
        <v>28.06</v>
      </c>
      <c r="R58" s="6"/>
      <c r="S58" s="6"/>
      <c r="T58" s="156"/>
      <c r="U58" s="6"/>
    </row>
    <row r="59" spans="1:21" customFormat="1">
      <c r="A59" s="163" t="s">
        <v>1825</v>
      </c>
      <c r="B59" s="100">
        <v>4.4000000000000004</v>
      </c>
      <c r="C59" s="100">
        <v>16.989999999999998</v>
      </c>
      <c r="D59" s="100">
        <v>13.76</v>
      </c>
      <c r="E59" s="100">
        <v>14.32</v>
      </c>
      <c r="F59" s="152" t="s">
        <v>15</v>
      </c>
      <c r="G59" s="100">
        <v>86.66</v>
      </c>
      <c r="H59" s="100">
        <v>30.72</v>
      </c>
      <c r="I59" s="100">
        <v>10.32</v>
      </c>
      <c r="J59" s="100">
        <v>0.81</v>
      </c>
      <c r="K59" s="100">
        <v>320.52</v>
      </c>
      <c r="L59" s="100">
        <v>36.880000000000003</v>
      </c>
      <c r="M59" s="100">
        <v>20.28</v>
      </c>
      <c r="N59" s="100">
        <v>329.9</v>
      </c>
      <c r="O59" s="100">
        <v>0</v>
      </c>
      <c r="P59" s="100">
        <v>0.73</v>
      </c>
      <c r="Q59" s="100">
        <v>28.09</v>
      </c>
      <c r="R59" s="6"/>
      <c r="S59" s="6"/>
      <c r="T59" s="156"/>
      <c r="U59" s="6"/>
    </row>
    <row r="60" spans="1:21" customFormat="1">
      <c r="A60" s="163" t="s">
        <v>1826</v>
      </c>
      <c r="B60" s="100">
        <v>3.84</v>
      </c>
      <c r="C60" s="100">
        <v>15.56</v>
      </c>
      <c r="D60" s="100">
        <v>12.57</v>
      </c>
      <c r="E60" s="100">
        <v>15.34</v>
      </c>
      <c r="F60" s="152" t="s">
        <v>15</v>
      </c>
      <c r="G60" s="100">
        <v>78.67</v>
      </c>
      <c r="H60" s="100">
        <v>26.7</v>
      </c>
      <c r="I60" s="100">
        <v>8.3800000000000008</v>
      </c>
      <c r="J60" s="100">
        <v>1.1200000000000001</v>
      </c>
      <c r="K60" s="100">
        <v>279.74</v>
      </c>
      <c r="L60" s="100">
        <v>37.18</v>
      </c>
      <c r="M60" s="100">
        <v>19.63</v>
      </c>
      <c r="N60" s="100">
        <v>327.9</v>
      </c>
      <c r="O60" s="100">
        <v>0</v>
      </c>
      <c r="P60" s="100">
        <v>0.66</v>
      </c>
      <c r="Q60" s="100">
        <v>28.08</v>
      </c>
      <c r="R60" s="6"/>
      <c r="S60" s="6"/>
      <c r="T60" s="156"/>
      <c r="U60" s="6"/>
    </row>
    <row r="61" spans="1:21" customFormat="1">
      <c r="A61" s="163" t="s">
        <v>1827</v>
      </c>
      <c r="B61" s="100">
        <v>3.73</v>
      </c>
      <c r="C61" s="100">
        <v>14.87</v>
      </c>
      <c r="D61" s="100">
        <v>12.19</v>
      </c>
      <c r="E61" s="100">
        <v>15.01</v>
      </c>
      <c r="F61" s="152" t="s">
        <v>15</v>
      </c>
      <c r="G61" s="100">
        <v>75.77</v>
      </c>
      <c r="H61" s="100">
        <v>26.57</v>
      </c>
      <c r="I61" s="100">
        <v>8.17</v>
      </c>
      <c r="J61" s="100">
        <v>1.04</v>
      </c>
      <c r="K61" s="100">
        <v>282.3</v>
      </c>
      <c r="L61" s="100">
        <v>36.909999999999997</v>
      </c>
      <c r="M61" s="100">
        <v>19.32</v>
      </c>
      <c r="N61" s="100">
        <v>330.1</v>
      </c>
      <c r="O61" s="100">
        <v>0</v>
      </c>
      <c r="P61" s="100">
        <v>0.6</v>
      </c>
      <c r="Q61" s="100">
        <v>28.08</v>
      </c>
      <c r="R61" s="6"/>
      <c r="S61" s="6"/>
      <c r="T61" s="156"/>
      <c r="U61" s="6"/>
    </row>
    <row r="62" spans="1:21" customFormat="1">
      <c r="A62" s="163" t="s">
        <v>1828</v>
      </c>
      <c r="B62" s="100">
        <v>3.46</v>
      </c>
      <c r="C62" s="100">
        <v>14.5</v>
      </c>
      <c r="D62" s="100">
        <v>11.7</v>
      </c>
      <c r="E62" s="100">
        <v>15.51</v>
      </c>
      <c r="F62" s="152" t="s">
        <v>15</v>
      </c>
      <c r="G62" s="100">
        <v>75.77</v>
      </c>
      <c r="H62" s="100">
        <v>26.57</v>
      </c>
      <c r="I62" s="100">
        <v>6.49</v>
      </c>
      <c r="J62" s="100">
        <v>0.76</v>
      </c>
      <c r="K62" s="100">
        <v>326.08</v>
      </c>
      <c r="L62" s="100">
        <v>37.68</v>
      </c>
      <c r="M62" s="100">
        <v>17.97</v>
      </c>
      <c r="N62" s="100">
        <v>320</v>
      </c>
      <c r="O62" s="100">
        <v>0</v>
      </c>
      <c r="P62" s="100">
        <v>0.6</v>
      </c>
      <c r="Q62" s="100">
        <v>28.06</v>
      </c>
      <c r="R62" s="6"/>
      <c r="S62" s="6"/>
      <c r="T62" s="156"/>
      <c r="U62" s="6"/>
    </row>
    <row r="63" spans="1:21" customFormat="1">
      <c r="A63" s="163" t="s">
        <v>1829</v>
      </c>
      <c r="B63" s="100">
        <v>3.21</v>
      </c>
      <c r="C63" s="100">
        <v>15.77</v>
      </c>
      <c r="D63" s="100">
        <v>12.17</v>
      </c>
      <c r="E63" s="100">
        <v>10.59</v>
      </c>
      <c r="F63" s="152" t="s">
        <v>15</v>
      </c>
      <c r="G63" s="100">
        <v>75.77</v>
      </c>
      <c r="H63" s="100">
        <v>26.57</v>
      </c>
      <c r="I63" s="100">
        <v>5.83</v>
      </c>
      <c r="J63" s="100">
        <v>0.8</v>
      </c>
      <c r="K63" s="100">
        <v>282.33999999999997</v>
      </c>
      <c r="L63" s="100">
        <v>37.74</v>
      </c>
      <c r="M63" s="100">
        <v>17.82</v>
      </c>
      <c r="N63" s="100">
        <v>320.3</v>
      </c>
      <c r="O63" s="100">
        <v>0</v>
      </c>
      <c r="P63" s="100">
        <v>0.66</v>
      </c>
      <c r="Q63" s="100">
        <v>28.03</v>
      </c>
      <c r="R63" s="6"/>
      <c r="S63" s="6"/>
      <c r="T63" s="156"/>
      <c r="U63" s="6"/>
    </row>
    <row r="64" spans="1:21" customFormat="1">
      <c r="A64" s="163" t="s">
        <v>1830</v>
      </c>
      <c r="B64" s="100">
        <v>3.26</v>
      </c>
      <c r="C64" s="100">
        <v>15.99</v>
      </c>
      <c r="D64" s="100">
        <v>12.32</v>
      </c>
      <c r="E64" s="100">
        <v>10.53</v>
      </c>
      <c r="F64" s="152" t="s">
        <v>15</v>
      </c>
      <c r="G64" s="100">
        <v>70.819999999999993</v>
      </c>
      <c r="H64" s="100">
        <v>30.85</v>
      </c>
      <c r="I64" s="100">
        <v>5.56</v>
      </c>
      <c r="J64" s="100">
        <v>1.17</v>
      </c>
      <c r="K64" s="100">
        <v>307.5</v>
      </c>
      <c r="L64" s="100">
        <v>37.78</v>
      </c>
      <c r="M64" s="100">
        <v>17.57</v>
      </c>
      <c r="N64" s="100">
        <v>328.7</v>
      </c>
      <c r="O64" s="100">
        <v>0</v>
      </c>
      <c r="P64" s="100">
        <v>0.65</v>
      </c>
      <c r="Q64" s="100">
        <v>28</v>
      </c>
      <c r="R64" s="6"/>
      <c r="S64" s="6"/>
      <c r="T64" s="156"/>
      <c r="U64" s="6"/>
    </row>
    <row r="65" spans="1:21" customFormat="1">
      <c r="A65" s="163" t="s">
        <v>1831</v>
      </c>
      <c r="B65" s="100">
        <v>3.24</v>
      </c>
      <c r="C65" s="100">
        <v>16.18</v>
      </c>
      <c r="D65" s="100">
        <v>12.41</v>
      </c>
      <c r="E65" s="100">
        <v>10.24</v>
      </c>
      <c r="F65" s="152" t="s">
        <v>15</v>
      </c>
      <c r="G65" s="100">
        <v>68.91</v>
      </c>
      <c r="H65" s="100">
        <v>30.98</v>
      </c>
      <c r="I65" s="100">
        <v>6.05</v>
      </c>
      <c r="J65" s="100">
        <v>0.97</v>
      </c>
      <c r="K65" s="100">
        <v>256.48</v>
      </c>
      <c r="L65" s="100">
        <v>38.08</v>
      </c>
      <c r="M65" s="100">
        <v>16.89</v>
      </c>
      <c r="N65" s="100">
        <v>326.7</v>
      </c>
      <c r="O65" s="100">
        <v>0</v>
      </c>
      <c r="P65" s="100">
        <v>0.61</v>
      </c>
      <c r="Q65" s="100">
        <v>28.01</v>
      </c>
      <c r="R65" s="6"/>
      <c r="S65" s="6"/>
      <c r="T65" s="156"/>
      <c r="U65" s="6"/>
    </row>
    <row r="66" spans="1:21" customFormat="1">
      <c r="A66" s="163" t="s">
        <v>1832</v>
      </c>
      <c r="B66" s="100">
        <v>3.21</v>
      </c>
      <c r="C66" s="100">
        <v>16.14</v>
      </c>
      <c r="D66" s="100">
        <v>12.35</v>
      </c>
      <c r="E66" s="100">
        <v>10.08</v>
      </c>
      <c r="F66" s="152" t="s">
        <v>15</v>
      </c>
      <c r="G66" s="100">
        <v>68.91</v>
      </c>
      <c r="H66" s="100">
        <v>30.98</v>
      </c>
      <c r="I66" s="100">
        <v>6.63</v>
      </c>
      <c r="J66" s="100">
        <v>0.95</v>
      </c>
      <c r="K66" s="100">
        <v>274.70999999999998</v>
      </c>
      <c r="L66" s="100">
        <v>38.14</v>
      </c>
      <c r="M66" s="100">
        <v>16.239999999999998</v>
      </c>
      <c r="N66" s="100">
        <v>309.3</v>
      </c>
      <c r="O66" s="100">
        <v>0</v>
      </c>
      <c r="P66" s="100">
        <v>0.62</v>
      </c>
      <c r="Q66" s="100">
        <v>28.02</v>
      </c>
      <c r="R66" s="6"/>
      <c r="S66" s="6"/>
      <c r="T66" s="156"/>
      <c r="U66" s="6"/>
    </row>
    <row r="67" spans="1:21" customFormat="1">
      <c r="A67" s="163" t="s">
        <v>1833</v>
      </c>
      <c r="B67" s="100">
        <v>3.43</v>
      </c>
      <c r="C67" s="100">
        <v>17.579999999999998</v>
      </c>
      <c r="D67" s="100">
        <v>13.29</v>
      </c>
      <c r="E67" s="100">
        <v>10.48</v>
      </c>
      <c r="F67" s="152" t="s">
        <v>15</v>
      </c>
      <c r="G67" s="100">
        <v>68.91</v>
      </c>
      <c r="H67" s="100">
        <v>30.98</v>
      </c>
      <c r="I67" s="100">
        <v>6.69</v>
      </c>
      <c r="J67" s="100">
        <v>0.81</v>
      </c>
      <c r="K67" s="100">
        <v>255.53</v>
      </c>
      <c r="L67" s="100">
        <v>38.229999999999997</v>
      </c>
      <c r="M67" s="100">
        <v>16.89</v>
      </c>
      <c r="N67" s="100">
        <v>284.39999999999998</v>
      </c>
      <c r="O67" s="100">
        <v>0</v>
      </c>
      <c r="P67" s="100">
        <v>0.61</v>
      </c>
      <c r="Q67" s="100">
        <v>28.02</v>
      </c>
      <c r="R67" s="6"/>
      <c r="S67" s="6"/>
      <c r="T67" s="156"/>
      <c r="U67" s="6"/>
    </row>
    <row r="68" spans="1:21" customFormat="1">
      <c r="A68" s="163" t="s">
        <v>1834</v>
      </c>
      <c r="B68" s="100">
        <v>3.25</v>
      </c>
      <c r="C68" s="100">
        <v>16.53</v>
      </c>
      <c r="D68" s="100">
        <v>12.59</v>
      </c>
      <c r="E68" s="100">
        <v>11.39</v>
      </c>
      <c r="F68" s="152" t="s">
        <v>15</v>
      </c>
      <c r="G68" s="100">
        <v>59.87</v>
      </c>
      <c r="H68" s="100">
        <v>26.64</v>
      </c>
      <c r="I68" s="100">
        <v>6.69</v>
      </c>
      <c r="J68" s="100">
        <v>1.06</v>
      </c>
      <c r="K68" s="100">
        <v>288.05</v>
      </c>
      <c r="L68" s="100">
        <v>37.909999999999997</v>
      </c>
      <c r="M68" s="100">
        <v>17.29</v>
      </c>
      <c r="N68" s="100">
        <v>181.3</v>
      </c>
      <c r="O68" s="100">
        <v>0</v>
      </c>
      <c r="P68" s="100">
        <v>0.63</v>
      </c>
      <c r="Q68" s="100">
        <v>28.04</v>
      </c>
      <c r="R68" s="6"/>
      <c r="S68" s="6"/>
      <c r="T68" s="156"/>
      <c r="U68" s="6"/>
    </row>
    <row r="69" spans="1:21" customFormat="1">
      <c r="A69" s="163" t="s">
        <v>1835</v>
      </c>
      <c r="B69" s="100">
        <v>3.36</v>
      </c>
      <c r="C69" s="100">
        <v>16.95</v>
      </c>
      <c r="D69" s="100">
        <v>12.9</v>
      </c>
      <c r="E69" s="100">
        <v>13.06</v>
      </c>
      <c r="F69" s="152" t="s">
        <v>15</v>
      </c>
      <c r="G69" s="100">
        <v>56.39</v>
      </c>
      <c r="H69" s="100">
        <v>26.51</v>
      </c>
      <c r="I69" s="100">
        <v>6.84</v>
      </c>
      <c r="J69" s="100">
        <v>0.67</v>
      </c>
      <c r="K69" s="100">
        <v>306.39999999999998</v>
      </c>
      <c r="L69" s="100">
        <v>37.68</v>
      </c>
      <c r="M69" s="100">
        <v>17.57</v>
      </c>
      <c r="N69" s="100">
        <v>185.4</v>
      </c>
      <c r="O69" s="100">
        <v>0</v>
      </c>
      <c r="P69" s="100">
        <v>0.66</v>
      </c>
      <c r="Q69" s="100">
        <v>28.01</v>
      </c>
      <c r="R69" s="6"/>
      <c r="S69" s="6"/>
      <c r="T69" s="156"/>
      <c r="U69" s="6"/>
    </row>
    <row r="70" spans="1:21" customFormat="1">
      <c r="A70" s="163" t="s">
        <v>1836</v>
      </c>
      <c r="B70" s="100">
        <v>3.45</v>
      </c>
      <c r="C70" s="100">
        <v>16.02</v>
      </c>
      <c r="D70" s="100">
        <v>12.48</v>
      </c>
      <c r="E70" s="100">
        <v>13.86</v>
      </c>
      <c r="F70" s="152" t="s">
        <v>15</v>
      </c>
      <c r="G70" s="100">
        <v>56.39</v>
      </c>
      <c r="H70" s="100">
        <v>26.51</v>
      </c>
      <c r="I70" s="100">
        <v>7.15</v>
      </c>
      <c r="J70" s="100">
        <v>0.68</v>
      </c>
      <c r="K70" s="100">
        <v>266.22000000000003</v>
      </c>
      <c r="L70" s="100">
        <v>37.72</v>
      </c>
      <c r="M70" s="100">
        <v>17.989999999999998</v>
      </c>
      <c r="N70" s="100">
        <v>154.4</v>
      </c>
      <c r="O70" s="100">
        <v>0</v>
      </c>
      <c r="P70" s="100">
        <v>0.66</v>
      </c>
      <c r="Q70" s="100">
        <v>28.02</v>
      </c>
      <c r="R70" s="6"/>
      <c r="S70" s="6"/>
      <c r="T70" s="156"/>
      <c r="U70" s="6"/>
    </row>
    <row r="71" spans="1:21" customFormat="1">
      <c r="A71" s="163" t="s">
        <v>1837</v>
      </c>
      <c r="B71" s="100">
        <v>3.6</v>
      </c>
      <c r="C71" s="100">
        <v>16.7</v>
      </c>
      <c r="D71" s="100">
        <v>12.96</v>
      </c>
      <c r="E71" s="100">
        <v>13.49</v>
      </c>
      <c r="F71" s="152" t="s">
        <v>15</v>
      </c>
      <c r="G71" s="100">
        <v>56.39</v>
      </c>
      <c r="H71" s="100">
        <v>26.51</v>
      </c>
      <c r="I71" s="100">
        <v>7.18</v>
      </c>
      <c r="J71" s="100">
        <v>0.85</v>
      </c>
      <c r="K71" s="100">
        <v>280.72000000000003</v>
      </c>
      <c r="L71" s="100">
        <v>37.549999999999997</v>
      </c>
      <c r="M71" s="100">
        <v>18.55</v>
      </c>
      <c r="N71" s="100">
        <v>189.3</v>
      </c>
      <c r="O71" s="100">
        <v>0</v>
      </c>
      <c r="P71" s="100">
        <v>0.69</v>
      </c>
      <c r="Q71" s="100">
        <v>28.01</v>
      </c>
      <c r="R71" s="6"/>
      <c r="S71" s="6"/>
      <c r="T71" s="156"/>
      <c r="U71" s="6"/>
    </row>
    <row r="72" spans="1:21" customFormat="1">
      <c r="A72" s="163" t="s">
        <v>1838</v>
      </c>
      <c r="B72" s="100">
        <v>3.54</v>
      </c>
      <c r="C72" s="100">
        <v>15.52</v>
      </c>
      <c r="D72" s="100">
        <v>12.3</v>
      </c>
      <c r="E72" s="100">
        <v>14.25</v>
      </c>
      <c r="F72" s="152" t="s">
        <v>15</v>
      </c>
      <c r="G72" s="100">
        <v>55.81</v>
      </c>
      <c r="H72" s="100">
        <v>26.36</v>
      </c>
      <c r="I72" s="100">
        <v>7.19</v>
      </c>
      <c r="J72" s="100">
        <v>0.72</v>
      </c>
      <c r="K72" s="100">
        <v>256.64999999999998</v>
      </c>
      <c r="L72" s="100">
        <v>37.57</v>
      </c>
      <c r="M72" s="100">
        <v>18.16</v>
      </c>
      <c r="N72" s="100">
        <v>184.2</v>
      </c>
      <c r="O72" s="100">
        <v>0</v>
      </c>
      <c r="P72" s="100">
        <v>0.68</v>
      </c>
      <c r="Q72" s="100">
        <v>28.02</v>
      </c>
      <c r="R72" s="6"/>
      <c r="S72" s="6"/>
      <c r="T72" s="156"/>
      <c r="U72" s="6"/>
    </row>
    <row r="73" spans="1:21" customFormat="1">
      <c r="A73" s="163" t="s">
        <v>1839</v>
      </c>
      <c r="B73" s="100">
        <v>3.58</v>
      </c>
      <c r="C73" s="100">
        <v>15.97</v>
      </c>
      <c r="D73" s="100">
        <v>12.57</v>
      </c>
      <c r="E73" s="100">
        <v>12.3</v>
      </c>
      <c r="F73" s="152" t="s">
        <v>15</v>
      </c>
      <c r="G73" s="100">
        <v>55.59</v>
      </c>
      <c r="H73" s="100">
        <v>26.35</v>
      </c>
      <c r="I73" s="100">
        <v>7.25</v>
      </c>
      <c r="J73" s="100">
        <v>1.23</v>
      </c>
      <c r="K73" s="100">
        <v>257.39999999999998</v>
      </c>
      <c r="L73" s="100">
        <v>37.19</v>
      </c>
      <c r="M73" s="100">
        <v>15.93</v>
      </c>
      <c r="N73" s="100">
        <v>90.8</v>
      </c>
      <c r="O73" s="100">
        <v>0</v>
      </c>
      <c r="P73" s="100">
        <v>0.66</v>
      </c>
      <c r="Q73" s="100">
        <v>28.01</v>
      </c>
      <c r="R73" s="6"/>
      <c r="S73" s="6"/>
      <c r="T73" s="156"/>
      <c r="U73" s="6"/>
    </row>
    <row r="74" spans="1:21" customFormat="1">
      <c r="A74" s="163" t="s">
        <v>1840</v>
      </c>
      <c r="B74" s="100">
        <v>3.85</v>
      </c>
      <c r="C74" s="100">
        <v>17.43</v>
      </c>
      <c r="D74" s="100">
        <v>13.55</v>
      </c>
      <c r="E74" s="100">
        <v>10.8</v>
      </c>
      <c r="F74" s="152" t="s">
        <v>15</v>
      </c>
      <c r="G74" s="100">
        <v>55.59</v>
      </c>
      <c r="H74" s="100">
        <v>26.35</v>
      </c>
      <c r="I74" s="100">
        <v>7.16</v>
      </c>
      <c r="J74" s="100">
        <v>1.22</v>
      </c>
      <c r="K74" s="100">
        <v>263.49</v>
      </c>
      <c r="L74" s="100">
        <v>36.950000000000003</v>
      </c>
      <c r="M74" s="100">
        <v>15.61</v>
      </c>
      <c r="N74" s="100">
        <v>81.099999999999994</v>
      </c>
      <c r="O74" s="100">
        <v>0</v>
      </c>
      <c r="P74" s="100">
        <v>0.65</v>
      </c>
      <c r="Q74" s="100">
        <v>28</v>
      </c>
      <c r="R74" s="6"/>
      <c r="S74" s="6"/>
      <c r="T74" s="156"/>
      <c r="U74" s="6"/>
    </row>
    <row r="75" spans="1:21" customFormat="1">
      <c r="A75" s="163" t="s">
        <v>1841</v>
      </c>
      <c r="B75" s="100">
        <v>4.62</v>
      </c>
      <c r="C75" s="100">
        <v>19.98</v>
      </c>
      <c r="D75" s="100">
        <v>15.49</v>
      </c>
      <c r="E75" s="100">
        <v>11.52</v>
      </c>
      <c r="F75" s="152" t="s">
        <v>15</v>
      </c>
      <c r="G75" s="100">
        <v>55.59</v>
      </c>
      <c r="H75" s="100">
        <v>26.35</v>
      </c>
      <c r="I75" s="100">
        <v>7.16</v>
      </c>
      <c r="J75" s="100">
        <v>0.95</v>
      </c>
      <c r="K75" s="100">
        <v>271.10000000000002</v>
      </c>
      <c r="L75" s="100">
        <v>36.69</v>
      </c>
      <c r="M75" s="100">
        <v>15.92</v>
      </c>
      <c r="N75" s="100">
        <v>75.099999999999994</v>
      </c>
      <c r="O75" s="100">
        <v>0</v>
      </c>
      <c r="P75" s="100">
        <v>0.64</v>
      </c>
      <c r="Q75" s="100">
        <v>28.02</v>
      </c>
      <c r="R75" s="6"/>
      <c r="S75" s="6"/>
      <c r="T75" s="156"/>
      <c r="U75" s="6"/>
    </row>
    <row r="76" spans="1:21" customFormat="1">
      <c r="A76" s="163" t="s">
        <v>1842</v>
      </c>
      <c r="B76" s="100">
        <v>3.95</v>
      </c>
      <c r="C76" s="100">
        <v>17.510000000000002</v>
      </c>
      <c r="D76" s="100">
        <v>13.66</v>
      </c>
      <c r="E76" s="100">
        <v>11.75</v>
      </c>
      <c r="F76" s="152" t="s">
        <v>15</v>
      </c>
      <c r="G76" s="100">
        <v>56.74</v>
      </c>
      <c r="H76" s="100">
        <v>23.05</v>
      </c>
      <c r="I76" s="100">
        <v>7.07</v>
      </c>
      <c r="J76" s="100">
        <v>1.23</v>
      </c>
      <c r="K76" s="100">
        <v>289.7</v>
      </c>
      <c r="L76" s="100">
        <v>36.46</v>
      </c>
      <c r="M76" s="100">
        <v>16.12</v>
      </c>
      <c r="N76" s="100">
        <v>76</v>
      </c>
      <c r="O76" s="100">
        <v>0</v>
      </c>
      <c r="P76" s="100">
        <v>0.64</v>
      </c>
      <c r="Q76" s="100">
        <v>28.03</v>
      </c>
      <c r="R76" s="6"/>
      <c r="S76" s="6"/>
      <c r="T76" s="156"/>
      <c r="U76" s="6"/>
    </row>
    <row r="77" spans="1:21" customFormat="1">
      <c r="A77" s="163" t="s">
        <v>1843</v>
      </c>
      <c r="B77" s="100">
        <v>3.98</v>
      </c>
      <c r="C77" s="100">
        <v>17.940000000000001</v>
      </c>
      <c r="D77" s="100">
        <v>13.91</v>
      </c>
      <c r="E77" s="100">
        <v>11.11</v>
      </c>
      <c r="F77" s="152" t="s">
        <v>15</v>
      </c>
      <c r="G77" s="100">
        <v>57.18</v>
      </c>
      <c r="H77" s="100">
        <v>22.89</v>
      </c>
      <c r="I77" s="100">
        <v>6.95</v>
      </c>
      <c r="J77" s="100">
        <v>0.87</v>
      </c>
      <c r="K77" s="100">
        <v>269.24</v>
      </c>
      <c r="L77" s="100">
        <v>36.03</v>
      </c>
      <c r="M77" s="100">
        <v>16.75</v>
      </c>
      <c r="N77" s="100">
        <v>42.4</v>
      </c>
      <c r="O77" s="100">
        <v>0</v>
      </c>
      <c r="P77" s="100">
        <v>0.64</v>
      </c>
      <c r="Q77" s="100">
        <v>28.02</v>
      </c>
      <c r="R77" s="6"/>
      <c r="S77" s="6"/>
      <c r="T77" s="156"/>
      <c r="U77" s="6"/>
    </row>
    <row r="78" spans="1:21" customFormat="1">
      <c r="A78" s="163" t="s">
        <v>1844</v>
      </c>
      <c r="B78" s="100">
        <v>3.76</v>
      </c>
      <c r="C78" s="100">
        <v>17.149999999999999</v>
      </c>
      <c r="D78" s="100">
        <v>13.33</v>
      </c>
      <c r="E78" s="100">
        <v>11.27</v>
      </c>
      <c r="F78" s="152" t="s">
        <v>15</v>
      </c>
      <c r="G78" s="100">
        <v>57.18</v>
      </c>
      <c r="H78" s="100">
        <v>22.89</v>
      </c>
      <c r="I78" s="100">
        <v>6.96</v>
      </c>
      <c r="J78" s="100">
        <v>0.7</v>
      </c>
      <c r="K78" s="100">
        <v>271.72000000000003</v>
      </c>
      <c r="L78" s="100">
        <v>35.659999999999997</v>
      </c>
      <c r="M78" s="100">
        <v>17.21</v>
      </c>
      <c r="N78" s="100">
        <v>34.5</v>
      </c>
      <c r="O78" s="100">
        <v>0</v>
      </c>
      <c r="P78" s="100">
        <v>0.62</v>
      </c>
      <c r="Q78" s="100">
        <v>28.01</v>
      </c>
      <c r="R78" s="6"/>
      <c r="S78" s="6"/>
      <c r="T78" s="156"/>
      <c r="U78" s="6"/>
    </row>
    <row r="79" spans="1:21" customFormat="1">
      <c r="A79" s="163" t="s">
        <v>1845</v>
      </c>
      <c r="B79" s="100">
        <v>4.1100000000000003</v>
      </c>
      <c r="C79" s="100">
        <v>20.12</v>
      </c>
      <c r="D79" s="100">
        <v>15.16</v>
      </c>
      <c r="E79" s="100">
        <v>11.14</v>
      </c>
      <c r="F79" s="152" t="s">
        <v>15</v>
      </c>
      <c r="G79" s="100">
        <v>57.18</v>
      </c>
      <c r="H79" s="100">
        <v>22.89</v>
      </c>
      <c r="I79" s="100">
        <v>6.88</v>
      </c>
      <c r="J79" s="100">
        <v>0.87</v>
      </c>
      <c r="K79" s="100">
        <v>285.89</v>
      </c>
      <c r="L79" s="100">
        <v>35.39</v>
      </c>
      <c r="M79" s="100">
        <v>17.350000000000001</v>
      </c>
      <c r="N79" s="100">
        <v>22.1</v>
      </c>
      <c r="O79" s="100">
        <v>0</v>
      </c>
      <c r="P79" s="100">
        <v>0.68</v>
      </c>
      <c r="Q79" s="100">
        <v>28.01</v>
      </c>
      <c r="R79" s="6"/>
      <c r="S79" s="6"/>
      <c r="T79" s="156"/>
      <c r="U79" s="6"/>
    </row>
    <row r="80" spans="1:21" customFormat="1">
      <c r="A80" s="163" t="s">
        <v>1846</v>
      </c>
      <c r="B80" s="100">
        <v>4.03</v>
      </c>
      <c r="C80" s="100">
        <v>21.59</v>
      </c>
      <c r="D80" s="100">
        <v>15.86</v>
      </c>
      <c r="E80" s="100">
        <v>12.04</v>
      </c>
      <c r="F80" s="152" t="s">
        <v>15</v>
      </c>
      <c r="G80" s="100">
        <v>54.33</v>
      </c>
      <c r="H80" s="100">
        <v>15.54</v>
      </c>
      <c r="I80" s="100">
        <v>6.88</v>
      </c>
      <c r="J80" s="100">
        <v>0.41</v>
      </c>
      <c r="K80" s="100">
        <v>255.74</v>
      </c>
      <c r="L80" s="100">
        <v>34.770000000000003</v>
      </c>
      <c r="M80" s="100">
        <v>18.57</v>
      </c>
      <c r="N80" s="100">
        <v>13.2</v>
      </c>
      <c r="O80" s="100">
        <v>0</v>
      </c>
      <c r="P80" s="100">
        <v>0.67</v>
      </c>
      <c r="Q80" s="100">
        <v>28.03</v>
      </c>
      <c r="R80" s="6"/>
      <c r="S80" s="6"/>
      <c r="T80" s="156"/>
      <c r="U80" s="6"/>
    </row>
    <row r="81" spans="1:21" customFormat="1">
      <c r="A81" s="163" t="s">
        <v>1847</v>
      </c>
      <c r="B81" s="100">
        <v>3.93</v>
      </c>
      <c r="C81" s="100">
        <v>23.14</v>
      </c>
      <c r="D81" s="100">
        <v>16.59</v>
      </c>
      <c r="E81" s="100">
        <v>8.83</v>
      </c>
      <c r="F81" s="152" t="s">
        <v>15</v>
      </c>
      <c r="G81" s="100">
        <v>53.29</v>
      </c>
      <c r="H81" s="100">
        <v>15.32</v>
      </c>
      <c r="I81" s="100">
        <v>7.11</v>
      </c>
      <c r="J81" s="100">
        <v>0.48</v>
      </c>
      <c r="K81" s="100">
        <v>245.48</v>
      </c>
      <c r="L81" s="100">
        <v>34.11</v>
      </c>
      <c r="M81" s="100">
        <v>19.52</v>
      </c>
      <c r="N81" s="100">
        <v>7.8</v>
      </c>
      <c r="O81" s="100">
        <v>0</v>
      </c>
      <c r="P81" s="100">
        <v>0.68</v>
      </c>
      <c r="Q81" s="100">
        <v>28.04</v>
      </c>
      <c r="R81" s="6"/>
      <c r="S81" s="6"/>
      <c r="T81" s="156"/>
      <c r="U81" s="6"/>
    </row>
    <row r="82" spans="1:21" customFormat="1">
      <c r="A82" s="163" t="s">
        <v>1848</v>
      </c>
      <c r="B82" s="100">
        <v>3.81</v>
      </c>
      <c r="C82" s="100">
        <v>22.9</v>
      </c>
      <c r="D82" s="100">
        <v>16.37</v>
      </c>
      <c r="E82" s="100">
        <v>9.89</v>
      </c>
      <c r="F82" s="152" t="s">
        <v>15</v>
      </c>
      <c r="G82" s="100">
        <v>53.29</v>
      </c>
      <c r="H82" s="100">
        <v>15.32</v>
      </c>
      <c r="I82" s="100">
        <v>7.31</v>
      </c>
      <c r="J82" s="100">
        <v>0.44</v>
      </c>
      <c r="K82" s="100">
        <v>237.57</v>
      </c>
      <c r="L82" s="100">
        <v>33.64</v>
      </c>
      <c r="M82" s="100">
        <v>20.29</v>
      </c>
      <c r="N82" s="100">
        <v>6.1</v>
      </c>
      <c r="O82" s="100">
        <v>0</v>
      </c>
      <c r="P82" s="100">
        <v>0.7</v>
      </c>
      <c r="Q82" s="100">
        <v>28.04</v>
      </c>
      <c r="R82" s="6"/>
      <c r="S82" s="6"/>
      <c r="T82" s="156"/>
      <c r="U82" s="6"/>
    </row>
    <row r="83" spans="1:21" customFormat="1">
      <c r="A83" s="163" t="s">
        <v>1849</v>
      </c>
      <c r="B83" s="100">
        <v>5.18</v>
      </c>
      <c r="C83" s="100">
        <v>23.02</v>
      </c>
      <c r="D83" s="100">
        <v>17.54</v>
      </c>
      <c r="E83" s="100">
        <v>9.27</v>
      </c>
      <c r="F83" s="152" t="s">
        <v>15</v>
      </c>
      <c r="G83" s="100">
        <v>53.29</v>
      </c>
      <c r="H83" s="100">
        <v>15.32</v>
      </c>
      <c r="I83" s="100">
        <v>7.54</v>
      </c>
      <c r="J83" s="100">
        <v>0.57999999999999996</v>
      </c>
      <c r="K83" s="100">
        <v>288.89</v>
      </c>
      <c r="L83" s="100">
        <v>33.5</v>
      </c>
      <c r="M83" s="100">
        <v>20.63</v>
      </c>
      <c r="N83" s="100">
        <v>5.4</v>
      </c>
      <c r="O83" s="100">
        <v>0</v>
      </c>
      <c r="P83" s="100">
        <v>0.72</v>
      </c>
      <c r="Q83" s="100">
        <v>28.04</v>
      </c>
      <c r="R83" s="6"/>
      <c r="S83" s="6"/>
      <c r="T83" s="156"/>
      <c r="U83" s="6"/>
    </row>
    <row r="84" spans="1:21" customFormat="1">
      <c r="A84" s="163" t="s">
        <v>1850</v>
      </c>
      <c r="B84" s="100">
        <v>5.22</v>
      </c>
      <c r="C84" s="100">
        <v>23.31</v>
      </c>
      <c r="D84" s="100">
        <v>17.72</v>
      </c>
      <c r="E84" s="100">
        <v>10.37</v>
      </c>
      <c r="F84" s="152" t="s">
        <v>15</v>
      </c>
      <c r="G84" s="100">
        <v>51.73</v>
      </c>
      <c r="H84" s="100">
        <v>20.62</v>
      </c>
      <c r="I84" s="100">
        <v>7.81</v>
      </c>
      <c r="J84" s="100">
        <v>0.57999999999999996</v>
      </c>
      <c r="K84" s="100">
        <v>290.37</v>
      </c>
      <c r="L84" s="100">
        <v>33.39</v>
      </c>
      <c r="M84" s="100">
        <v>20.97</v>
      </c>
      <c r="N84" s="100">
        <v>5.7</v>
      </c>
      <c r="O84" s="100">
        <v>0</v>
      </c>
      <c r="P84" s="100">
        <v>0.75</v>
      </c>
      <c r="Q84" s="100">
        <v>28.07</v>
      </c>
      <c r="R84" s="6"/>
      <c r="S84" s="6"/>
      <c r="T84" s="156"/>
      <c r="U84" s="6"/>
    </row>
    <row r="85" spans="1:21" customFormat="1">
      <c r="A85" s="163" t="s">
        <v>1851</v>
      </c>
      <c r="B85" s="100">
        <v>5.21</v>
      </c>
      <c r="C85" s="100">
        <v>23.22</v>
      </c>
      <c r="D85" s="100">
        <v>17.670000000000002</v>
      </c>
      <c r="E85" s="100">
        <v>10.7</v>
      </c>
      <c r="F85" s="152" t="s">
        <v>15</v>
      </c>
      <c r="G85" s="100">
        <v>51.17</v>
      </c>
      <c r="H85" s="100">
        <v>20.78</v>
      </c>
      <c r="I85" s="100">
        <v>8.1300000000000008</v>
      </c>
      <c r="J85" s="100">
        <v>0.93</v>
      </c>
      <c r="K85" s="100">
        <v>292.81</v>
      </c>
      <c r="L85" s="100">
        <v>33.22</v>
      </c>
      <c r="M85" s="100">
        <v>20.9</v>
      </c>
      <c r="N85" s="100">
        <v>5.4</v>
      </c>
      <c r="O85" s="100">
        <v>0</v>
      </c>
      <c r="P85" s="100">
        <v>0.72</v>
      </c>
      <c r="Q85" s="100">
        <v>28.07</v>
      </c>
      <c r="R85" s="6"/>
      <c r="S85" s="6"/>
      <c r="T85" s="156"/>
      <c r="U85" s="6"/>
    </row>
    <row r="86" spans="1:21" customFormat="1">
      <c r="A86" s="163" t="s">
        <v>1852</v>
      </c>
      <c r="B86" s="100">
        <v>5.07</v>
      </c>
      <c r="C86" s="100">
        <v>22.79</v>
      </c>
      <c r="D86" s="100">
        <v>17.32</v>
      </c>
      <c r="E86" s="100">
        <v>11.14</v>
      </c>
      <c r="F86" s="152" t="s">
        <v>15</v>
      </c>
      <c r="G86" s="100">
        <v>51.17</v>
      </c>
      <c r="H86" s="100">
        <v>20.78</v>
      </c>
      <c r="I86" s="100">
        <v>8.3800000000000008</v>
      </c>
      <c r="J86" s="100">
        <v>0.69</v>
      </c>
      <c r="K86" s="100">
        <v>288.54000000000002</v>
      </c>
      <c r="L86" s="100">
        <v>33.01</v>
      </c>
      <c r="M86" s="100">
        <v>21.46</v>
      </c>
      <c r="N86" s="100">
        <v>5.7</v>
      </c>
      <c r="O86" s="100">
        <v>0</v>
      </c>
      <c r="P86" s="100">
        <v>0.69</v>
      </c>
      <c r="Q86" s="100">
        <v>28.07</v>
      </c>
      <c r="R86" s="6"/>
      <c r="S86" s="6"/>
      <c r="T86" s="156"/>
      <c r="U86" s="6"/>
    </row>
    <row r="87" spans="1:21" customFormat="1">
      <c r="A87" s="163" t="s">
        <v>1853</v>
      </c>
      <c r="B87" s="100">
        <v>4.46</v>
      </c>
      <c r="C87" s="100">
        <v>21.35</v>
      </c>
      <c r="D87" s="100">
        <v>16.079999999999998</v>
      </c>
      <c r="E87" s="100">
        <v>11.4</v>
      </c>
      <c r="F87" s="152" t="s">
        <v>15</v>
      </c>
      <c r="G87" s="100">
        <v>51.17</v>
      </c>
      <c r="H87" s="100">
        <v>20.78</v>
      </c>
      <c r="I87" s="100">
        <v>8.11</v>
      </c>
      <c r="J87" s="100">
        <v>0.38</v>
      </c>
      <c r="K87" s="100">
        <v>254.5</v>
      </c>
      <c r="L87" s="100">
        <v>32.520000000000003</v>
      </c>
      <c r="M87" s="100">
        <v>22.64</v>
      </c>
      <c r="N87" s="100">
        <v>6.1</v>
      </c>
      <c r="O87" s="100">
        <v>0</v>
      </c>
      <c r="P87" s="100">
        <v>0.7</v>
      </c>
      <c r="Q87" s="100">
        <v>28.05</v>
      </c>
      <c r="R87" s="6"/>
      <c r="S87" s="6"/>
      <c r="T87" s="156"/>
      <c r="U87" s="6"/>
    </row>
    <row r="88" spans="1:21" customFormat="1">
      <c r="A88" s="163" t="s">
        <v>1854</v>
      </c>
      <c r="B88" s="100">
        <v>4.3499999999999996</v>
      </c>
      <c r="C88" s="100">
        <v>21.62</v>
      </c>
      <c r="D88" s="100">
        <v>16.13</v>
      </c>
      <c r="E88" s="100">
        <v>11.68</v>
      </c>
      <c r="F88" s="152" t="s">
        <v>15</v>
      </c>
      <c r="G88" s="100">
        <v>53.31</v>
      </c>
      <c r="H88" s="100">
        <v>19.05</v>
      </c>
      <c r="I88" s="100">
        <v>7.9</v>
      </c>
      <c r="J88" s="100">
        <v>0.45</v>
      </c>
      <c r="K88" s="100">
        <v>286.01</v>
      </c>
      <c r="L88" s="100">
        <v>32.200000000000003</v>
      </c>
      <c r="M88" s="100">
        <v>23.35</v>
      </c>
      <c r="N88" s="100">
        <v>5.7</v>
      </c>
      <c r="O88" s="100">
        <v>0</v>
      </c>
      <c r="P88" s="100">
        <v>0.72</v>
      </c>
      <c r="Q88" s="100">
        <v>28.06</v>
      </c>
      <c r="R88" s="6"/>
      <c r="S88" s="6"/>
      <c r="T88" s="156"/>
      <c r="U88" s="6"/>
    </row>
    <row r="89" spans="1:21" customFormat="1">
      <c r="A89" s="163" t="s">
        <v>1855</v>
      </c>
      <c r="B89" s="100">
        <v>4.2699999999999996</v>
      </c>
      <c r="C89" s="100">
        <v>21.92</v>
      </c>
      <c r="D89" s="100">
        <v>16.22</v>
      </c>
      <c r="E89" s="100">
        <v>9.9600000000000009</v>
      </c>
      <c r="F89" s="152" t="s">
        <v>15</v>
      </c>
      <c r="G89" s="100">
        <v>54.09</v>
      </c>
      <c r="H89" s="100">
        <v>19</v>
      </c>
      <c r="I89" s="100">
        <v>8.0299999999999994</v>
      </c>
      <c r="J89" s="100">
        <v>0.4</v>
      </c>
      <c r="K89" s="100">
        <v>271.45</v>
      </c>
      <c r="L89" s="100">
        <v>32.07</v>
      </c>
      <c r="M89" s="100">
        <v>23.62</v>
      </c>
      <c r="N89" s="100">
        <v>5.6</v>
      </c>
      <c r="O89" s="100">
        <v>0</v>
      </c>
      <c r="P89" s="100">
        <v>0.74</v>
      </c>
      <c r="Q89" s="100">
        <v>28.04</v>
      </c>
      <c r="R89" s="6"/>
      <c r="S89" s="6"/>
      <c r="T89" s="156"/>
      <c r="U89" s="6"/>
    </row>
    <row r="90" spans="1:21" customFormat="1">
      <c r="A90" s="163" t="s">
        <v>1856</v>
      </c>
      <c r="B90" s="100">
        <v>4.13</v>
      </c>
      <c r="C90" s="100">
        <v>21.95</v>
      </c>
      <c r="D90" s="100">
        <v>16.14</v>
      </c>
      <c r="E90" s="100">
        <v>10.119999999999999</v>
      </c>
      <c r="F90" s="152" t="s">
        <v>15</v>
      </c>
      <c r="G90" s="100">
        <v>54.09</v>
      </c>
      <c r="H90" s="100">
        <v>19</v>
      </c>
      <c r="I90" s="100">
        <v>8.2200000000000006</v>
      </c>
      <c r="J90" s="100">
        <v>0.39</v>
      </c>
      <c r="K90" s="100">
        <v>266.56</v>
      </c>
      <c r="L90" s="100">
        <v>31.89</v>
      </c>
      <c r="M90" s="100">
        <v>23.85</v>
      </c>
      <c r="N90" s="100">
        <v>5.6</v>
      </c>
      <c r="O90" s="100">
        <v>0</v>
      </c>
      <c r="P90" s="100">
        <v>0.75</v>
      </c>
      <c r="Q90" s="100">
        <v>28.04</v>
      </c>
      <c r="R90" s="6"/>
      <c r="S90" s="6"/>
      <c r="T90" s="156"/>
      <c r="U90" s="6"/>
    </row>
    <row r="91" spans="1:21" customFormat="1">
      <c r="A91" s="163" t="s">
        <v>1857</v>
      </c>
      <c r="B91" s="100">
        <v>4.16</v>
      </c>
      <c r="C91" s="100">
        <v>22.3</v>
      </c>
      <c r="D91" s="100">
        <v>16.34</v>
      </c>
      <c r="E91" s="100">
        <v>10.31</v>
      </c>
      <c r="F91" s="152" t="s">
        <v>15</v>
      </c>
      <c r="G91" s="100">
        <v>54.09</v>
      </c>
      <c r="H91" s="100">
        <v>19</v>
      </c>
      <c r="I91" s="100">
        <v>8.4499999999999993</v>
      </c>
      <c r="J91" s="100">
        <v>0.62</v>
      </c>
      <c r="K91" s="100">
        <v>301.13</v>
      </c>
      <c r="L91" s="100">
        <v>31.84</v>
      </c>
      <c r="M91" s="100">
        <v>23.47</v>
      </c>
      <c r="N91" s="100">
        <v>5.2</v>
      </c>
      <c r="O91" s="100">
        <v>0</v>
      </c>
      <c r="P91" s="100">
        <v>0.76</v>
      </c>
      <c r="Q91" s="100">
        <v>28.02</v>
      </c>
      <c r="R91" s="6"/>
      <c r="S91" s="6"/>
      <c r="T91" s="156"/>
      <c r="U91" s="6"/>
    </row>
    <row r="92" spans="1:21" customFormat="1">
      <c r="A92" s="163" t="s">
        <v>1858</v>
      </c>
      <c r="B92" s="100">
        <v>4.21</v>
      </c>
      <c r="C92" s="100">
        <v>21.86</v>
      </c>
      <c r="D92" s="100">
        <v>16.149999999999999</v>
      </c>
      <c r="E92" s="100">
        <v>10.07</v>
      </c>
      <c r="F92" s="152" t="s">
        <v>15</v>
      </c>
      <c r="G92" s="100">
        <v>58.88</v>
      </c>
      <c r="H92" s="100">
        <v>21.76</v>
      </c>
      <c r="I92" s="100">
        <v>8.49</v>
      </c>
      <c r="J92" s="100">
        <v>0.89</v>
      </c>
      <c r="K92" s="100">
        <v>305.36</v>
      </c>
      <c r="L92" s="100">
        <v>31.82</v>
      </c>
      <c r="M92" s="100">
        <v>23.37</v>
      </c>
      <c r="N92" s="100">
        <v>5.4</v>
      </c>
      <c r="O92" s="100">
        <v>0</v>
      </c>
      <c r="P92" s="100">
        <v>0.76</v>
      </c>
      <c r="Q92" s="100">
        <v>28.03</v>
      </c>
      <c r="R92" s="6"/>
      <c r="S92" s="6"/>
      <c r="T92" s="156"/>
      <c r="U92" s="6"/>
    </row>
    <row r="93" spans="1:21" customFormat="1">
      <c r="A93" s="163" t="s">
        <v>1859</v>
      </c>
      <c r="B93" s="100">
        <v>4.13</v>
      </c>
      <c r="C93" s="100">
        <v>21.42</v>
      </c>
      <c r="D93" s="100">
        <v>15.86</v>
      </c>
      <c r="E93" s="100">
        <v>11.4</v>
      </c>
      <c r="F93" s="152" t="s">
        <v>15</v>
      </c>
      <c r="G93" s="100">
        <v>60.62</v>
      </c>
      <c r="H93" s="100">
        <v>21.84</v>
      </c>
      <c r="I93" s="100">
        <v>8.4600000000000009</v>
      </c>
      <c r="J93" s="100">
        <v>0.79</v>
      </c>
      <c r="K93" s="100">
        <v>314.25</v>
      </c>
      <c r="L93" s="100">
        <v>31.67</v>
      </c>
      <c r="M93" s="100">
        <v>23.63</v>
      </c>
      <c r="N93" s="100">
        <v>5.7</v>
      </c>
      <c r="O93" s="100">
        <v>0</v>
      </c>
      <c r="P93" s="100">
        <v>0.76</v>
      </c>
      <c r="Q93" s="100">
        <v>28.03</v>
      </c>
      <c r="R93" s="6"/>
      <c r="S93" s="6"/>
      <c r="T93" s="156"/>
      <c r="U93" s="6"/>
    </row>
    <row r="94" spans="1:21" customFormat="1">
      <c r="A94" s="163" t="s">
        <v>1860</v>
      </c>
      <c r="B94" s="100">
        <v>4.29</v>
      </c>
      <c r="C94" s="100">
        <v>22.76</v>
      </c>
      <c r="D94" s="100">
        <v>16.68</v>
      </c>
      <c r="E94" s="100">
        <v>22.75</v>
      </c>
      <c r="F94" s="152" t="s">
        <v>15</v>
      </c>
      <c r="G94" s="100">
        <v>60.62</v>
      </c>
      <c r="H94" s="100">
        <v>21.84</v>
      </c>
      <c r="I94" s="100">
        <v>8.4</v>
      </c>
      <c r="J94" s="100">
        <v>0.64</v>
      </c>
      <c r="K94" s="100">
        <v>292.64999999999998</v>
      </c>
      <c r="L94" s="100">
        <v>31.36</v>
      </c>
      <c r="M94" s="100">
        <v>24.21</v>
      </c>
      <c r="N94" s="100">
        <v>5.8</v>
      </c>
      <c r="O94" s="100">
        <v>0</v>
      </c>
      <c r="P94" s="100">
        <v>0.76</v>
      </c>
      <c r="Q94" s="100">
        <v>28.02</v>
      </c>
      <c r="R94" s="6"/>
      <c r="S94" s="6"/>
      <c r="T94" s="156"/>
      <c r="U94" s="6"/>
    </row>
    <row r="95" spans="1:21" customFormat="1">
      <c r="A95" s="163" t="s">
        <v>1861</v>
      </c>
      <c r="B95" s="100">
        <v>4.5199999999999996</v>
      </c>
      <c r="C95" s="100">
        <v>23.63</v>
      </c>
      <c r="D95" s="100">
        <v>17.32</v>
      </c>
      <c r="E95" s="100">
        <v>18.13</v>
      </c>
      <c r="F95" s="152" t="s">
        <v>15</v>
      </c>
      <c r="G95" s="100">
        <v>60.62</v>
      </c>
      <c r="H95" s="100">
        <v>21.84</v>
      </c>
      <c r="I95" s="100">
        <v>8.3800000000000008</v>
      </c>
      <c r="J95" s="100">
        <v>0.63</v>
      </c>
      <c r="K95" s="100">
        <v>297.39999999999998</v>
      </c>
      <c r="L95" s="100">
        <v>31.22</v>
      </c>
      <c r="M95" s="100">
        <v>24.33</v>
      </c>
      <c r="N95" s="100">
        <v>5.6</v>
      </c>
      <c r="O95" s="100">
        <v>0</v>
      </c>
      <c r="P95" s="100">
        <v>0.77</v>
      </c>
      <c r="Q95" s="100">
        <v>28.04</v>
      </c>
      <c r="R95" s="6"/>
      <c r="S95" s="6"/>
      <c r="T95" s="156"/>
      <c r="U95" s="6"/>
    </row>
    <row r="96" spans="1:21" customFormat="1">
      <c r="A96" s="163" t="s">
        <v>1862</v>
      </c>
      <c r="B96" s="100">
        <v>4.42</v>
      </c>
      <c r="C96" s="100">
        <v>23.63</v>
      </c>
      <c r="D96" s="100">
        <v>17.239999999999998</v>
      </c>
      <c r="E96" s="100">
        <v>19.079999999999998</v>
      </c>
      <c r="F96" s="152" t="s">
        <v>15</v>
      </c>
      <c r="G96" s="100">
        <v>72.56</v>
      </c>
      <c r="H96" s="100">
        <v>29.16</v>
      </c>
      <c r="I96" s="100">
        <v>8.2899999999999991</v>
      </c>
      <c r="J96" s="100">
        <v>0.24</v>
      </c>
      <c r="K96" s="100">
        <v>306.52999999999997</v>
      </c>
      <c r="L96" s="100">
        <v>30.95</v>
      </c>
      <c r="M96" s="100">
        <v>24.88</v>
      </c>
      <c r="N96" s="100">
        <v>5.8</v>
      </c>
      <c r="O96" s="100">
        <v>0</v>
      </c>
      <c r="P96" s="100">
        <v>0.78</v>
      </c>
      <c r="Q96" s="100">
        <v>28.04</v>
      </c>
      <c r="R96" s="6"/>
      <c r="S96" s="6"/>
      <c r="T96" s="156"/>
      <c r="U96" s="6"/>
    </row>
    <row r="97" spans="1:28" customFormat="1">
      <c r="A97" s="163" t="s">
        <v>1863</v>
      </c>
      <c r="B97" s="100">
        <v>4.8099999999999996</v>
      </c>
      <c r="C97" s="100">
        <v>24.35</v>
      </c>
      <c r="D97" s="100">
        <v>17.93</v>
      </c>
      <c r="E97" s="100">
        <v>17.78</v>
      </c>
      <c r="F97" s="152" t="s">
        <v>15</v>
      </c>
      <c r="G97" s="100">
        <v>76.91</v>
      </c>
      <c r="H97" s="100">
        <v>29.27</v>
      </c>
      <c r="I97" s="100">
        <v>8.2100000000000009</v>
      </c>
      <c r="J97" s="100">
        <v>0.57999999999999996</v>
      </c>
      <c r="K97" s="100">
        <v>12.94</v>
      </c>
      <c r="L97" s="100">
        <v>30.68</v>
      </c>
      <c r="M97" s="100">
        <v>25.15</v>
      </c>
      <c r="N97" s="100">
        <v>5.7</v>
      </c>
      <c r="O97" s="100">
        <v>0</v>
      </c>
      <c r="P97" s="100">
        <v>0.78</v>
      </c>
      <c r="Q97" s="100">
        <v>28.04</v>
      </c>
      <c r="R97" s="6"/>
      <c r="S97" s="6"/>
      <c r="T97" s="156"/>
      <c r="U97" s="6"/>
    </row>
    <row r="98" spans="1:28" customFormat="1">
      <c r="A98" s="163" t="s">
        <v>1864</v>
      </c>
      <c r="B98" s="100">
        <v>4.67</v>
      </c>
      <c r="C98" s="100">
        <v>23.12</v>
      </c>
      <c r="D98" s="100">
        <v>17.18</v>
      </c>
      <c r="E98" s="100">
        <v>10.75</v>
      </c>
      <c r="F98" s="152" t="s">
        <v>15</v>
      </c>
      <c r="G98" s="100">
        <v>76.91</v>
      </c>
      <c r="H98" s="100">
        <v>29.27</v>
      </c>
      <c r="I98" s="100">
        <v>8.2100000000000009</v>
      </c>
      <c r="J98" s="100">
        <v>0.54</v>
      </c>
      <c r="K98" s="100">
        <v>306.64999999999998</v>
      </c>
      <c r="L98" s="100">
        <v>30.19</v>
      </c>
      <c r="M98" s="100">
        <v>26.19</v>
      </c>
      <c r="N98" s="100">
        <v>6</v>
      </c>
      <c r="O98" s="100">
        <v>0</v>
      </c>
      <c r="P98" s="100">
        <v>0.77</v>
      </c>
      <c r="Q98" s="100">
        <v>28.07</v>
      </c>
      <c r="R98" s="6"/>
      <c r="S98" s="6"/>
      <c r="T98" s="156"/>
      <c r="U98" s="6"/>
    </row>
    <row r="99" spans="1:28" customFormat="1">
      <c r="A99" s="163" t="s">
        <v>1865</v>
      </c>
      <c r="B99" s="100">
        <v>4.4000000000000004</v>
      </c>
      <c r="C99" s="100">
        <v>22.5</v>
      </c>
      <c r="D99" s="100">
        <v>16.64</v>
      </c>
      <c r="E99" s="100">
        <v>10.1</v>
      </c>
      <c r="F99" s="152" t="s">
        <v>15</v>
      </c>
      <c r="G99" s="100">
        <v>76.91</v>
      </c>
      <c r="H99" s="100">
        <v>29.27</v>
      </c>
      <c r="I99" s="100">
        <v>8.2200000000000006</v>
      </c>
      <c r="J99" s="100">
        <v>0.34</v>
      </c>
      <c r="K99" s="100">
        <v>296.06</v>
      </c>
      <c r="L99" s="100">
        <v>29.88</v>
      </c>
      <c r="M99" s="100">
        <v>26.87</v>
      </c>
      <c r="N99" s="100">
        <v>5.9</v>
      </c>
      <c r="O99" s="100">
        <v>0</v>
      </c>
      <c r="P99" s="100">
        <v>0.76</v>
      </c>
      <c r="Q99" s="100">
        <v>28.07</v>
      </c>
      <c r="R99" s="6"/>
      <c r="S99" s="6"/>
      <c r="T99" s="156"/>
      <c r="U99" s="6"/>
    </row>
    <row r="100" spans="1:28" customFormat="1">
      <c r="A100" s="163" t="s">
        <v>1866</v>
      </c>
      <c r="B100" s="100">
        <v>4.21</v>
      </c>
      <c r="C100" s="100">
        <v>22.6</v>
      </c>
      <c r="D100" s="100">
        <v>16.54</v>
      </c>
      <c r="E100" s="100">
        <v>21.58</v>
      </c>
      <c r="F100" s="152" t="s">
        <v>15</v>
      </c>
      <c r="G100" s="100">
        <v>81.260000000000005</v>
      </c>
      <c r="H100" s="100">
        <v>32.450000000000003</v>
      </c>
      <c r="I100" s="100">
        <v>8.15</v>
      </c>
      <c r="J100" s="100">
        <v>0.05</v>
      </c>
      <c r="K100" s="100">
        <v>265.33999999999997</v>
      </c>
      <c r="L100" s="100">
        <v>29.59</v>
      </c>
      <c r="M100" s="100">
        <v>27.68</v>
      </c>
      <c r="N100" s="100">
        <v>5.9</v>
      </c>
      <c r="O100" s="100">
        <v>0</v>
      </c>
      <c r="P100" s="100">
        <v>0.75</v>
      </c>
      <c r="Q100" s="100">
        <v>28.05</v>
      </c>
      <c r="R100" s="6"/>
      <c r="S100" s="6"/>
      <c r="T100" s="156"/>
      <c r="U100" s="6"/>
      <c r="AB100" s="161"/>
    </row>
    <row r="101" spans="1:28" customFormat="1">
      <c r="A101" s="163" t="s">
        <v>1867</v>
      </c>
      <c r="B101" s="100">
        <v>4.08</v>
      </c>
      <c r="C101" s="100">
        <v>22.5</v>
      </c>
      <c r="D101" s="100">
        <v>16.38</v>
      </c>
      <c r="E101" s="100">
        <v>21.1</v>
      </c>
      <c r="F101" s="152" t="s">
        <v>15</v>
      </c>
      <c r="G101" s="100">
        <v>82.84</v>
      </c>
      <c r="H101" s="100">
        <v>32.61</v>
      </c>
      <c r="I101" s="100">
        <v>8.01</v>
      </c>
      <c r="J101" s="100">
        <v>0.18</v>
      </c>
      <c r="K101" s="100">
        <v>181.38</v>
      </c>
      <c r="L101" s="100">
        <v>29.05</v>
      </c>
      <c r="M101" s="100">
        <v>29.22</v>
      </c>
      <c r="N101" s="100">
        <v>6</v>
      </c>
      <c r="O101" s="100">
        <v>0</v>
      </c>
      <c r="P101" s="100">
        <v>0.76</v>
      </c>
      <c r="Q101" s="100">
        <v>28.04</v>
      </c>
      <c r="R101" s="6"/>
      <c r="S101" s="6"/>
      <c r="T101" s="156"/>
      <c r="U101" s="6"/>
    </row>
    <row r="102" spans="1:28" customFormat="1">
      <c r="A102" s="163" t="s">
        <v>1868</v>
      </c>
      <c r="B102" s="100">
        <v>4.12</v>
      </c>
      <c r="C102" s="100">
        <v>22.24</v>
      </c>
      <c r="D102" s="100">
        <v>16.28</v>
      </c>
      <c r="E102" s="100">
        <v>14.58</v>
      </c>
      <c r="F102" s="152" t="s">
        <v>15</v>
      </c>
      <c r="G102" s="100">
        <v>82.84</v>
      </c>
      <c r="H102" s="100">
        <v>32.61</v>
      </c>
      <c r="I102" s="100">
        <v>7.93</v>
      </c>
      <c r="J102" s="100">
        <v>0.28000000000000003</v>
      </c>
      <c r="K102" s="100">
        <v>177.07</v>
      </c>
      <c r="L102" s="100">
        <v>28.16</v>
      </c>
      <c r="M102" s="100">
        <v>32.54</v>
      </c>
      <c r="N102" s="100">
        <v>6.3</v>
      </c>
      <c r="O102" s="100">
        <v>0</v>
      </c>
      <c r="P102" s="100">
        <v>0.77</v>
      </c>
      <c r="Q102" s="100">
        <v>28.07</v>
      </c>
      <c r="R102" s="6"/>
      <c r="S102" s="6"/>
      <c r="T102" s="156"/>
      <c r="U102" s="6"/>
    </row>
    <row r="103" spans="1:28" customFormat="1">
      <c r="A103" s="163" t="s">
        <v>1869</v>
      </c>
      <c r="B103" s="100">
        <v>4.18</v>
      </c>
      <c r="C103" s="100">
        <v>21.62</v>
      </c>
      <c r="D103" s="100">
        <v>16</v>
      </c>
      <c r="E103" s="100">
        <v>11.37</v>
      </c>
      <c r="F103" s="152" t="s">
        <v>15</v>
      </c>
      <c r="G103" s="100">
        <v>82.84</v>
      </c>
      <c r="H103" s="100">
        <v>32.61</v>
      </c>
      <c r="I103" s="100">
        <v>8</v>
      </c>
      <c r="J103" s="100">
        <v>0.28000000000000003</v>
      </c>
      <c r="K103" s="100">
        <v>158.51</v>
      </c>
      <c r="L103" s="100">
        <v>27.19</v>
      </c>
      <c r="M103" s="100">
        <v>35.39</v>
      </c>
      <c r="N103" s="100">
        <v>6.3</v>
      </c>
      <c r="O103" s="100">
        <v>0</v>
      </c>
      <c r="P103" s="100">
        <v>0.78</v>
      </c>
      <c r="Q103" s="100">
        <v>28.06</v>
      </c>
      <c r="R103" s="6"/>
      <c r="S103" s="6"/>
      <c r="T103" s="156"/>
      <c r="U103" s="6"/>
    </row>
    <row r="104" spans="1:28" customFormat="1">
      <c r="A104" s="163" t="s">
        <v>1870</v>
      </c>
      <c r="B104" s="100">
        <v>5.69</v>
      </c>
      <c r="C104" s="100">
        <v>22.93</v>
      </c>
      <c r="D104" s="100">
        <v>17.899999999999999</v>
      </c>
      <c r="E104" s="100">
        <v>16.52</v>
      </c>
      <c r="F104" s="152" t="s">
        <v>15</v>
      </c>
      <c r="G104" s="100">
        <v>87.47</v>
      </c>
      <c r="H104" s="100">
        <v>34.4</v>
      </c>
      <c r="I104" s="100">
        <v>8.0299999999999994</v>
      </c>
      <c r="J104" s="100">
        <v>0.22</v>
      </c>
      <c r="K104" s="100">
        <v>172.8</v>
      </c>
      <c r="L104" s="100">
        <v>27.03</v>
      </c>
      <c r="M104" s="100">
        <v>35.119999999999997</v>
      </c>
      <c r="N104" s="100">
        <v>5.7</v>
      </c>
      <c r="O104" s="100">
        <v>0</v>
      </c>
      <c r="P104" s="100">
        <v>0.78</v>
      </c>
      <c r="Q104" s="100">
        <v>28.06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3.21</v>
      </c>
      <c r="C106" s="158">
        <f>MIN(C9:C104)</f>
        <v>14.5</v>
      </c>
      <c r="D106" s="158">
        <f t="shared" ref="D106:Q106" si="0">MIN(D9:D104)</f>
        <v>11.7</v>
      </c>
      <c r="E106" s="158">
        <f t="shared" si="0"/>
        <v>7.09</v>
      </c>
      <c r="F106" s="158">
        <f t="shared" si="0"/>
        <v>0</v>
      </c>
      <c r="G106" s="158">
        <f t="shared" si="0"/>
        <v>1.22</v>
      </c>
      <c r="H106" s="158">
        <f t="shared" si="0"/>
        <v>15.32</v>
      </c>
      <c r="I106" s="158">
        <f t="shared" si="0"/>
        <v>5.56</v>
      </c>
      <c r="J106" s="158">
        <f t="shared" si="0"/>
        <v>-1.05</v>
      </c>
      <c r="K106" s="158">
        <f t="shared" si="0"/>
        <v>-0.05</v>
      </c>
      <c r="L106" s="158">
        <f t="shared" si="0"/>
        <v>23.39</v>
      </c>
      <c r="M106" s="158">
        <f t="shared" si="0"/>
        <v>15.61</v>
      </c>
      <c r="N106" s="158">
        <f t="shared" si="0"/>
        <v>0.1</v>
      </c>
      <c r="O106" s="158">
        <f t="shared" si="0"/>
        <v>0</v>
      </c>
      <c r="P106" s="158">
        <f t="shared" si="0"/>
        <v>0.6</v>
      </c>
      <c r="Q106" s="158">
        <f t="shared" si="0"/>
        <v>27.99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7.51</v>
      </c>
      <c r="C107" s="157">
        <f t="shared" ref="C107:Q107" si="1">MAX(C9:C104)</f>
        <v>24.35</v>
      </c>
      <c r="D107" s="157">
        <f t="shared" si="1"/>
        <v>17.93</v>
      </c>
      <c r="E107" s="157">
        <f t="shared" si="1"/>
        <v>22.75</v>
      </c>
      <c r="F107" s="157">
        <f t="shared" si="1"/>
        <v>0</v>
      </c>
      <c r="G107" s="157">
        <f t="shared" si="1"/>
        <v>87.47</v>
      </c>
      <c r="H107" s="157">
        <f t="shared" si="1"/>
        <v>60.18</v>
      </c>
      <c r="I107" s="157">
        <f t="shared" si="1"/>
        <v>16.100000000000001</v>
      </c>
      <c r="J107" s="157">
        <f t="shared" si="1"/>
        <v>1.61</v>
      </c>
      <c r="K107" s="157">
        <f t="shared" si="1"/>
        <v>356.07</v>
      </c>
      <c r="L107" s="157">
        <f t="shared" si="1"/>
        <v>38.229999999999997</v>
      </c>
      <c r="M107" s="157">
        <f t="shared" si="1"/>
        <v>53.85</v>
      </c>
      <c r="N107" s="157">
        <f t="shared" si="1"/>
        <v>330.1</v>
      </c>
      <c r="O107" s="157">
        <f t="shared" si="1"/>
        <v>0</v>
      </c>
      <c r="P107" s="157">
        <f t="shared" si="1"/>
        <v>1.21</v>
      </c>
      <c r="Q107" s="157">
        <f t="shared" si="1"/>
        <v>28.12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4.6593749999999989</v>
      </c>
      <c r="C108" s="158">
        <f t="shared" ref="C108:Q108" si="2">AVERAGE(C9:C104)</f>
        <v>18.961354166666663</v>
      </c>
      <c r="D108" s="158">
        <f t="shared" si="2"/>
        <v>14.995833333333335</v>
      </c>
      <c r="E108" s="158">
        <f t="shared" si="2"/>
        <v>11.128437499999997</v>
      </c>
      <c r="F108" s="158" t="e">
        <f t="shared" si="2"/>
        <v>#DIV/0!</v>
      </c>
      <c r="G108" s="158">
        <f t="shared" si="2"/>
        <v>35.25</v>
      </c>
      <c r="H108" s="158">
        <f t="shared" si="2"/>
        <v>32.015268817204323</v>
      </c>
      <c r="I108" s="158">
        <f t="shared" si="2"/>
        <v>10.175520833333334</v>
      </c>
      <c r="J108" s="158">
        <f t="shared" si="2"/>
        <v>0.58562499999999995</v>
      </c>
      <c r="K108" s="158">
        <f t="shared" si="2"/>
        <v>237.5447916666667</v>
      </c>
      <c r="L108" s="158">
        <f t="shared" si="2"/>
        <v>31.292083333333341</v>
      </c>
      <c r="M108" s="158">
        <f t="shared" si="2"/>
        <v>30.730729166666659</v>
      </c>
      <c r="N108" s="158">
        <f t="shared" si="2"/>
        <v>92.715625000000031</v>
      </c>
      <c r="O108" s="158">
        <f t="shared" si="2"/>
        <v>0</v>
      </c>
      <c r="P108" s="158">
        <f t="shared" si="2"/>
        <v>0.88718750000000013</v>
      </c>
      <c r="Q108" s="158">
        <f t="shared" si="2"/>
        <v>28.05135416666667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1.0174517316884364</v>
      </c>
      <c r="C109" s="158">
        <f t="shared" ref="C109:Q109" si="3">STDEV(C9:C104)</f>
        <v>2.5488902104297799</v>
      </c>
      <c r="D109" s="158">
        <f t="shared" si="3"/>
        <v>1.5945668718406967</v>
      </c>
      <c r="E109" s="158">
        <f t="shared" si="3"/>
        <v>3.4183028500997454</v>
      </c>
      <c r="F109" s="158" t="e">
        <f t="shared" si="3"/>
        <v>#DIV/0!</v>
      </c>
      <c r="G109" s="158">
        <f t="shared" si="3"/>
        <v>33.068706564456889</v>
      </c>
      <c r="H109" s="158">
        <f t="shared" si="3"/>
        <v>9.7880568964113124</v>
      </c>
      <c r="I109" s="158">
        <f t="shared" si="3"/>
        <v>2.7525528322446799</v>
      </c>
      <c r="J109" s="158">
        <f t="shared" si="3"/>
        <v>0.40858887456837684</v>
      </c>
      <c r="K109" s="158">
        <f t="shared" si="3"/>
        <v>73.877200442486142</v>
      </c>
      <c r="L109" s="158">
        <f t="shared" si="3"/>
        <v>4.4040779945927424</v>
      </c>
      <c r="M109" s="158">
        <f t="shared" si="3"/>
        <v>11.890211829797492</v>
      </c>
      <c r="N109" s="158">
        <f t="shared" si="3"/>
        <v>120.98875226376259</v>
      </c>
      <c r="O109" s="158">
        <f t="shared" si="3"/>
        <v>0</v>
      </c>
      <c r="P109" s="158">
        <f t="shared" si="3"/>
        <v>0.19588236601539644</v>
      </c>
      <c r="Q109" s="158">
        <f t="shared" si="3"/>
        <v>2.9757609965808465E-2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>COUNT(G9:G104)+4</f>
        <v>96</v>
      </c>
      <c r="H110" s="157">
        <f>COUNT(H9:H104)+3</f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I98" sqref="I98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18/03/2025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1871</v>
      </c>
      <c r="B9" s="100">
        <v>4.92</v>
      </c>
      <c r="C9" s="100">
        <v>21.79</v>
      </c>
      <c r="D9" s="100">
        <v>16.68</v>
      </c>
      <c r="E9" s="100">
        <v>10.98</v>
      </c>
      <c r="F9" s="152" t="s">
        <v>15</v>
      </c>
      <c r="G9" s="100">
        <v>89.15</v>
      </c>
      <c r="H9" s="100">
        <v>34.46</v>
      </c>
      <c r="I9" s="100">
        <v>8.0299999999999994</v>
      </c>
      <c r="J9" s="100">
        <v>0.33</v>
      </c>
      <c r="K9" s="100">
        <v>160.21</v>
      </c>
      <c r="L9" s="100">
        <v>27.02</v>
      </c>
      <c r="M9" s="100">
        <v>35.78</v>
      </c>
      <c r="N9" s="100">
        <v>5.7</v>
      </c>
      <c r="O9" s="100">
        <v>0</v>
      </c>
      <c r="P9" s="100">
        <v>0.78</v>
      </c>
      <c r="Q9" s="100">
        <v>28.06</v>
      </c>
      <c r="R9" s="6"/>
      <c r="S9" s="6"/>
      <c r="T9" s="156"/>
      <c r="U9" s="6"/>
    </row>
    <row r="10" spans="1:21" customFormat="1">
      <c r="A10" s="163" t="s">
        <v>1872</v>
      </c>
      <c r="B10" s="100">
        <v>5</v>
      </c>
      <c r="C10" s="100">
        <v>21.12</v>
      </c>
      <c r="D10" s="100">
        <v>16.39</v>
      </c>
      <c r="E10" s="100">
        <v>9.3699999999999992</v>
      </c>
      <c r="F10" s="152" t="s">
        <v>15</v>
      </c>
      <c r="G10" s="100">
        <v>89.15</v>
      </c>
      <c r="H10" s="100">
        <v>34.46</v>
      </c>
      <c r="I10" s="100">
        <v>8.01</v>
      </c>
      <c r="J10" s="100">
        <v>0.28000000000000003</v>
      </c>
      <c r="K10" s="100">
        <v>180.78</v>
      </c>
      <c r="L10" s="100">
        <v>26.21</v>
      </c>
      <c r="M10" s="100">
        <v>38.76</v>
      </c>
      <c r="N10" s="100">
        <v>6.2</v>
      </c>
      <c r="O10" s="100">
        <v>0</v>
      </c>
      <c r="P10" s="100">
        <v>0.78</v>
      </c>
      <c r="Q10" s="100">
        <v>28.06</v>
      </c>
      <c r="R10" s="6"/>
      <c r="S10" s="6"/>
      <c r="T10" s="156"/>
      <c r="U10" s="6"/>
    </row>
    <row r="11" spans="1:21" customFormat="1">
      <c r="A11" s="163" t="s">
        <v>1873</v>
      </c>
      <c r="B11" s="100">
        <v>5.09</v>
      </c>
      <c r="C11" s="100">
        <v>20.7</v>
      </c>
      <c r="D11" s="100">
        <v>16.25</v>
      </c>
      <c r="E11" s="100">
        <v>9.02</v>
      </c>
      <c r="F11" s="152" t="s">
        <v>15</v>
      </c>
      <c r="G11" s="100">
        <v>89.15</v>
      </c>
      <c r="H11" s="100">
        <v>34.46</v>
      </c>
      <c r="I11" s="100">
        <v>8</v>
      </c>
      <c r="J11" s="100">
        <v>0.26</v>
      </c>
      <c r="K11" s="100">
        <v>210.5</v>
      </c>
      <c r="L11" s="100">
        <v>25.41</v>
      </c>
      <c r="M11" s="100">
        <v>41.38</v>
      </c>
      <c r="N11" s="100">
        <v>6.3</v>
      </c>
      <c r="O11" s="100">
        <v>0</v>
      </c>
      <c r="P11" s="100">
        <v>0.78</v>
      </c>
      <c r="Q11" s="100">
        <v>28.06</v>
      </c>
      <c r="R11" s="6"/>
      <c r="S11" s="6"/>
      <c r="T11" s="156"/>
      <c r="U11" s="6"/>
    </row>
    <row r="12" spans="1:21" customFormat="1">
      <c r="A12" s="163" t="s">
        <v>1874</v>
      </c>
      <c r="B12" s="100">
        <v>5.22</v>
      </c>
      <c r="C12" s="100">
        <v>20.27</v>
      </c>
      <c r="D12" s="100">
        <v>16.13</v>
      </c>
      <c r="E12" s="100">
        <v>8.1199999999999992</v>
      </c>
      <c r="F12" s="152" t="s">
        <v>15</v>
      </c>
      <c r="G12" s="100">
        <v>86.59</v>
      </c>
      <c r="H12" s="100">
        <v>32.08</v>
      </c>
      <c r="I12" s="100">
        <v>7.99</v>
      </c>
      <c r="J12" s="100">
        <v>0.18</v>
      </c>
      <c r="K12" s="100">
        <v>190.05</v>
      </c>
      <c r="L12" s="100">
        <v>24.99</v>
      </c>
      <c r="M12" s="100">
        <v>42.51</v>
      </c>
      <c r="N12" s="100">
        <v>5.9</v>
      </c>
      <c r="O12" s="100">
        <v>0</v>
      </c>
      <c r="P12" s="100">
        <v>0.77</v>
      </c>
      <c r="Q12" s="100">
        <v>28.05</v>
      </c>
      <c r="R12" s="6"/>
      <c r="S12" s="6"/>
      <c r="T12" s="156"/>
      <c r="U12" s="6"/>
    </row>
    <row r="13" spans="1:21" customFormat="1">
      <c r="A13" s="163" t="s">
        <v>1875</v>
      </c>
      <c r="B13" s="100">
        <v>5.52</v>
      </c>
      <c r="C13" s="100">
        <v>19.579999999999998</v>
      </c>
      <c r="D13" s="100">
        <v>16.010000000000002</v>
      </c>
      <c r="E13" s="100">
        <v>7.85</v>
      </c>
      <c r="F13" s="152" t="s">
        <v>15</v>
      </c>
      <c r="G13" s="100">
        <v>85.66</v>
      </c>
      <c r="H13" s="100">
        <v>32.01</v>
      </c>
      <c r="I13" s="100">
        <v>7.95</v>
      </c>
      <c r="J13" s="100">
        <v>0.2</v>
      </c>
      <c r="K13" s="100">
        <v>183.64</v>
      </c>
      <c r="L13" s="100">
        <v>24.84</v>
      </c>
      <c r="M13" s="100">
        <v>43</v>
      </c>
      <c r="N13" s="100">
        <v>5.7</v>
      </c>
      <c r="O13" s="100">
        <v>0</v>
      </c>
      <c r="P13" s="100">
        <v>0.76</v>
      </c>
      <c r="Q13" s="100">
        <v>28.08</v>
      </c>
      <c r="R13" s="6"/>
      <c r="S13" s="6"/>
      <c r="T13" s="156"/>
      <c r="U13" s="6"/>
    </row>
    <row r="14" spans="1:21" customFormat="1">
      <c r="A14" s="163" t="s">
        <v>1876</v>
      </c>
      <c r="B14" s="100">
        <v>5.8</v>
      </c>
      <c r="C14" s="100">
        <v>18.940000000000001</v>
      </c>
      <c r="D14" s="100">
        <v>15.9</v>
      </c>
      <c r="E14" s="100">
        <v>7.93</v>
      </c>
      <c r="F14" s="152" t="s">
        <v>15</v>
      </c>
      <c r="G14" s="100">
        <v>85.66</v>
      </c>
      <c r="H14" s="100">
        <v>32.01</v>
      </c>
      <c r="I14" s="100">
        <v>7.95</v>
      </c>
      <c r="J14" s="100">
        <v>0.19</v>
      </c>
      <c r="K14" s="100">
        <v>187.72</v>
      </c>
      <c r="L14" s="100">
        <v>24.48</v>
      </c>
      <c r="M14" s="100">
        <v>44.2</v>
      </c>
      <c r="N14" s="100">
        <v>6</v>
      </c>
      <c r="O14" s="100">
        <v>0</v>
      </c>
      <c r="P14" s="100">
        <v>0.76</v>
      </c>
      <c r="Q14" s="100">
        <v>28.08</v>
      </c>
      <c r="R14" s="6"/>
      <c r="S14" s="6"/>
      <c r="T14" s="156"/>
      <c r="U14" s="6"/>
    </row>
    <row r="15" spans="1:21" customFormat="1">
      <c r="A15" s="163" t="s">
        <v>1877</v>
      </c>
      <c r="B15" s="100">
        <v>6.09</v>
      </c>
      <c r="C15" s="100">
        <v>18.350000000000001</v>
      </c>
      <c r="D15" s="100">
        <v>15.82</v>
      </c>
      <c r="E15" s="100">
        <v>7.91</v>
      </c>
      <c r="F15" s="152" t="s">
        <v>15</v>
      </c>
      <c r="G15" s="100">
        <v>85.66</v>
      </c>
      <c r="H15" s="100">
        <v>32.01</v>
      </c>
      <c r="I15" s="100">
        <v>7.99</v>
      </c>
      <c r="J15" s="100">
        <v>0.2</v>
      </c>
      <c r="K15" s="100">
        <v>193.5</v>
      </c>
      <c r="L15" s="100">
        <v>24.01</v>
      </c>
      <c r="M15" s="100">
        <v>48.14</v>
      </c>
      <c r="N15" s="100">
        <v>6.1</v>
      </c>
      <c r="O15" s="100">
        <v>0</v>
      </c>
      <c r="P15" s="100">
        <v>0.76</v>
      </c>
      <c r="Q15" s="100">
        <v>28.09</v>
      </c>
      <c r="R15" s="6"/>
      <c r="S15" s="6"/>
      <c r="T15" s="156"/>
      <c r="U15" s="6"/>
    </row>
    <row r="16" spans="1:21" customFormat="1">
      <c r="A16" s="163" t="s">
        <v>1878</v>
      </c>
      <c r="B16" s="100">
        <v>6.43</v>
      </c>
      <c r="C16" s="100">
        <v>17.79</v>
      </c>
      <c r="D16" s="100">
        <v>15.8</v>
      </c>
      <c r="E16" s="100">
        <v>7.9</v>
      </c>
      <c r="F16" s="152" t="s">
        <v>15</v>
      </c>
      <c r="G16" s="100">
        <v>81.150000000000006</v>
      </c>
      <c r="H16" s="100">
        <v>29.32</v>
      </c>
      <c r="I16" s="100">
        <v>7.97</v>
      </c>
      <c r="J16" s="100">
        <v>0.14000000000000001</v>
      </c>
      <c r="K16" s="100">
        <v>123.97</v>
      </c>
      <c r="L16" s="100">
        <v>23.94</v>
      </c>
      <c r="M16" s="100">
        <v>46.55</v>
      </c>
      <c r="N16" s="100">
        <v>5.6</v>
      </c>
      <c r="O16" s="100">
        <v>0</v>
      </c>
      <c r="P16" s="100">
        <v>0.77</v>
      </c>
      <c r="Q16" s="100">
        <v>28.1</v>
      </c>
      <c r="R16" s="6"/>
      <c r="S16" s="6"/>
      <c r="T16" s="156"/>
      <c r="U16" s="6"/>
    </row>
    <row r="17" spans="1:21" customFormat="1">
      <c r="A17" s="163" t="s">
        <v>1879</v>
      </c>
      <c r="B17" s="100">
        <v>8.6</v>
      </c>
      <c r="C17" s="100">
        <v>18.41</v>
      </c>
      <c r="D17" s="100">
        <v>17.86</v>
      </c>
      <c r="E17" s="100">
        <v>7.89</v>
      </c>
      <c r="F17" s="152" t="s">
        <v>15</v>
      </c>
      <c r="G17" s="100">
        <v>79.510000000000005</v>
      </c>
      <c r="H17" s="100">
        <v>29.24</v>
      </c>
      <c r="I17" s="100">
        <v>8</v>
      </c>
      <c r="J17" s="100">
        <v>0.32</v>
      </c>
      <c r="K17" s="100">
        <v>57.65</v>
      </c>
      <c r="L17" s="100">
        <v>24.74</v>
      </c>
      <c r="M17" s="100">
        <v>40.090000000000003</v>
      </c>
      <c r="N17" s="100">
        <v>4.7</v>
      </c>
      <c r="O17" s="100">
        <v>0</v>
      </c>
      <c r="P17" s="100">
        <v>0.76</v>
      </c>
      <c r="Q17" s="100">
        <v>28.13</v>
      </c>
      <c r="R17" s="6"/>
      <c r="S17" s="6"/>
      <c r="T17" s="156"/>
      <c r="U17" s="6"/>
    </row>
    <row r="18" spans="1:21" customFormat="1">
      <c r="A18" s="163" t="s">
        <v>1880</v>
      </c>
      <c r="B18" s="100">
        <v>8.06</v>
      </c>
      <c r="C18" s="100">
        <v>17.89</v>
      </c>
      <c r="D18" s="100">
        <v>17.16</v>
      </c>
      <c r="E18" s="100">
        <v>9.5299999999999994</v>
      </c>
      <c r="F18" s="152" t="s">
        <v>15</v>
      </c>
      <c r="G18" s="100">
        <v>79.510000000000005</v>
      </c>
      <c r="H18" s="100">
        <v>29.24</v>
      </c>
      <c r="I18" s="100">
        <v>8.01</v>
      </c>
      <c r="J18" s="100">
        <v>0.24</v>
      </c>
      <c r="K18" s="100">
        <v>186.16</v>
      </c>
      <c r="L18" s="100">
        <v>24.68</v>
      </c>
      <c r="M18" s="100">
        <v>44.13</v>
      </c>
      <c r="N18" s="100">
        <v>6.1</v>
      </c>
      <c r="O18" s="100">
        <v>0</v>
      </c>
      <c r="P18" s="100">
        <v>0.77</v>
      </c>
      <c r="Q18" s="100">
        <v>28.14</v>
      </c>
      <c r="R18" s="6"/>
      <c r="S18" s="6"/>
      <c r="T18" s="156"/>
      <c r="U18" s="6"/>
    </row>
    <row r="19" spans="1:21" customFormat="1">
      <c r="A19" s="163" t="s">
        <v>1881</v>
      </c>
      <c r="B19" s="100">
        <v>8.11</v>
      </c>
      <c r="C19" s="100">
        <v>17.579999999999998</v>
      </c>
      <c r="D19" s="100">
        <v>17.04</v>
      </c>
      <c r="E19" s="100">
        <v>8.82</v>
      </c>
      <c r="F19" s="152" t="s">
        <v>15</v>
      </c>
      <c r="G19" s="100">
        <v>79.510000000000005</v>
      </c>
      <c r="H19" s="100">
        <v>29.24</v>
      </c>
      <c r="I19" s="100">
        <v>8.06</v>
      </c>
      <c r="J19" s="100">
        <v>0.22</v>
      </c>
      <c r="K19" s="100">
        <v>204.33</v>
      </c>
      <c r="L19" s="100">
        <v>23.47</v>
      </c>
      <c r="M19" s="100">
        <v>49.32</v>
      </c>
      <c r="N19" s="100">
        <v>6.6</v>
      </c>
      <c r="O19" s="100">
        <v>0</v>
      </c>
      <c r="P19" s="100">
        <v>0.77</v>
      </c>
      <c r="Q19" s="100">
        <v>28.14</v>
      </c>
      <c r="R19" s="6"/>
      <c r="S19" s="6"/>
      <c r="T19" s="156"/>
      <c r="U19" s="6"/>
    </row>
    <row r="20" spans="1:21" customFormat="1">
      <c r="A20" s="163" t="s">
        <v>1882</v>
      </c>
      <c r="B20" s="100">
        <v>8.3699999999999992</v>
      </c>
      <c r="C20" s="100">
        <v>17.22</v>
      </c>
      <c r="D20" s="100">
        <v>17.059999999999999</v>
      </c>
      <c r="E20" s="100">
        <v>8.7799999999999994</v>
      </c>
      <c r="F20" s="152" t="s">
        <v>15</v>
      </c>
      <c r="G20" s="100">
        <v>77.86</v>
      </c>
      <c r="H20" s="100">
        <v>28.98</v>
      </c>
      <c r="I20" s="100">
        <v>8.07</v>
      </c>
      <c r="J20" s="100">
        <v>0.11</v>
      </c>
      <c r="K20" s="100">
        <v>194.37</v>
      </c>
      <c r="L20" s="100">
        <v>23.26</v>
      </c>
      <c r="M20" s="100">
        <v>50.18</v>
      </c>
      <c r="N20" s="100">
        <v>6</v>
      </c>
      <c r="O20" s="100">
        <v>0</v>
      </c>
      <c r="P20" s="100">
        <v>0.78</v>
      </c>
      <c r="Q20" s="100">
        <v>28.15</v>
      </c>
      <c r="R20" s="6"/>
      <c r="S20" s="6"/>
      <c r="T20" s="156"/>
      <c r="U20" s="6"/>
    </row>
    <row r="21" spans="1:21" customFormat="1">
      <c r="A21" s="163" t="s">
        <v>1883</v>
      </c>
      <c r="B21" s="100">
        <v>8.61</v>
      </c>
      <c r="C21" s="100">
        <v>16.91</v>
      </c>
      <c r="D21" s="100">
        <v>17.09</v>
      </c>
      <c r="E21" s="100">
        <v>8.6199999999999992</v>
      </c>
      <c r="F21" s="152" t="s">
        <v>15</v>
      </c>
      <c r="G21" s="100">
        <v>77.25</v>
      </c>
      <c r="H21" s="100">
        <v>28.97</v>
      </c>
      <c r="I21" s="100">
        <v>8.09</v>
      </c>
      <c r="J21" s="100">
        <v>0.14000000000000001</v>
      </c>
      <c r="K21" s="100">
        <v>183.11</v>
      </c>
      <c r="L21" s="100">
        <v>23.2</v>
      </c>
      <c r="M21" s="100">
        <v>49.83</v>
      </c>
      <c r="N21" s="100">
        <v>5.7</v>
      </c>
      <c r="O21" s="100">
        <v>0</v>
      </c>
      <c r="P21" s="100">
        <v>0.78</v>
      </c>
      <c r="Q21" s="100">
        <v>28.17</v>
      </c>
      <c r="R21" s="6"/>
      <c r="S21" s="6"/>
      <c r="T21" s="156"/>
      <c r="U21" s="6"/>
    </row>
    <row r="22" spans="1:21" customFormat="1">
      <c r="A22" s="163" t="s">
        <v>1884</v>
      </c>
      <c r="B22" s="100">
        <v>8.8000000000000007</v>
      </c>
      <c r="C22" s="100">
        <v>16.59</v>
      </c>
      <c r="D22" s="100">
        <v>17.079999999999998</v>
      </c>
      <c r="E22" s="100">
        <v>8.9</v>
      </c>
      <c r="F22" s="152" t="s">
        <v>15</v>
      </c>
      <c r="G22" s="100">
        <v>77.25</v>
      </c>
      <c r="H22" s="100">
        <v>28.97</v>
      </c>
      <c r="I22" s="100">
        <v>8.15</v>
      </c>
      <c r="J22" s="100">
        <v>0.16</v>
      </c>
      <c r="K22" s="100">
        <v>206.74</v>
      </c>
      <c r="L22" s="100">
        <v>22.85</v>
      </c>
      <c r="M22" s="100">
        <v>52.23</v>
      </c>
      <c r="N22" s="100">
        <v>6</v>
      </c>
      <c r="O22" s="100">
        <v>0</v>
      </c>
      <c r="P22" s="100">
        <v>0.78</v>
      </c>
      <c r="Q22" s="100">
        <v>28.19</v>
      </c>
      <c r="R22" s="6"/>
      <c r="S22" s="6"/>
      <c r="T22" s="156"/>
      <c r="U22" s="6"/>
    </row>
    <row r="23" spans="1:21" customFormat="1">
      <c r="A23" s="163" t="s">
        <v>1885</v>
      </c>
      <c r="B23" s="100">
        <v>8.98</v>
      </c>
      <c r="C23" s="100">
        <v>16.36</v>
      </c>
      <c r="D23" s="100">
        <v>17.100000000000001</v>
      </c>
      <c r="E23" s="100">
        <v>8.7799999999999994</v>
      </c>
      <c r="F23" s="152" t="s">
        <v>15</v>
      </c>
      <c r="G23" s="100">
        <v>77.25</v>
      </c>
      <c r="H23" s="100">
        <v>28.97</v>
      </c>
      <c r="I23" s="100">
        <v>8.2100000000000009</v>
      </c>
      <c r="J23" s="100">
        <v>0.11</v>
      </c>
      <c r="K23" s="100">
        <v>147.13</v>
      </c>
      <c r="L23" s="100">
        <v>22.75</v>
      </c>
      <c r="M23" s="100">
        <v>52.69</v>
      </c>
      <c r="N23" s="100">
        <v>5.6</v>
      </c>
      <c r="O23" s="100">
        <v>0</v>
      </c>
      <c r="P23" s="100">
        <v>0.78</v>
      </c>
      <c r="Q23" s="100">
        <v>28.19</v>
      </c>
      <c r="R23" s="6"/>
      <c r="S23" s="6"/>
      <c r="T23" s="156"/>
      <c r="U23" s="6"/>
    </row>
    <row r="24" spans="1:21" customFormat="1">
      <c r="A24" s="163" t="s">
        <v>1886</v>
      </c>
      <c r="B24" s="100">
        <v>9.1999999999999993</v>
      </c>
      <c r="C24" s="100">
        <v>16.25</v>
      </c>
      <c r="D24" s="100">
        <v>17.22</v>
      </c>
      <c r="E24" s="100">
        <v>9.2200000000000006</v>
      </c>
      <c r="F24" s="152" t="s">
        <v>15</v>
      </c>
      <c r="G24" s="100">
        <v>76.400000000000006</v>
      </c>
      <c r="H24" s="100">
        <v>26.87</v>
      </c>
      <c r="I24" s="100">
        <v>8.2200000000000006</v>
      </c>
      <c r="J24" s="100">
        <v>0.16</v>
      </c>
      <c r="K24" s="100">
        <v>146.28</v>
      </c>
      <c r="L24" s="100">
        <v>22.81</v>
      </c>
      <c r="M24" s="100">
        <v>53.06</v>
      </c>
      <c r="N24" s="100">
        <v>5.6</v>
      </c>
      <c r="O24" s="100">
        <v>0</v>
      </c>
      <c r="P24" s="100">
        <v>0.78</v>
      </c>
      <c r="Q24" s="100">
        <v>28.17</v>
      </c>
      <c r="R24" s="6"/>
      <c r="S24" s="6"/>
      <c r="T24" s="156"/>
      <c r="U24" s="6"/>
    </row>
    <row r="25" spans="1:21" customFormat="1">
      <c r="A25" s="163" t="s">
        <v>1887</v>
      </c>
      <c r="B25" s="100">
        <v>9.68</v>
      </c>
      <c r="C25" s="100">
        <v>16.100000000000001</v>
      </c>
      <c r="D25" s="100">
        <v>17.52</v>
      </c>
      <c r="E25" s="100">
        <v>9.1199999999999992</v>
      </c>
      <c r="F25" s="152" t="s">
        <v>15</v>
      </c>
      <c r="G25" s="100">
        <v>76.09</v>
      </c>
      <c r="H25" s="100">
        <v>26.8</v>
      </c>
      <c r="I25" s="100">
        <v>8.26</v>
      </c>
      <c r="J25" s="100">
        <v>0.14000000000000001</v>
      </c>
      <c r="K25" s="100">
        <v>151.02000000000001</v>
      </c>
      <c r="L25" s="100">
        <v>22.84</v>
      </c>
      <c r="M25" s="100">
        <v>52.07</v>
      </c>
      <c r="N25" s="100">
        <v>5.6</v>
      </c>
      <c r="O25" s="100">
        <v>0</v>
      </c>
      <c r="P25" s="100">
        <v>0.78</v>
      </c>
      <c r="Q25" s="100">
        <v>28.19</v>
      </c>
      <c r="R25" s="6"/>
      <c r="S25" s="6"/>
      <c r="T25" s="156"/>
      <c r="U25" s="6"/>
    </row>
    <row r="26" spans="1:21" customFormat="1">
      <c r="A26" s="163" t="s">
        <v>1888</v>
      </c>
      <c r="B26" s="100">
        <v>10.32</v>
      </c>
      <c r="C26" s="100">
        <v>16.18</v>
      </c>
      <c r="D26" s="100">
        <v>18.079999999999998</v>
      </c>
      <c r="E26" s="100">
        <v>8.8699999999999992</v>
      </c>
      <c r="F26" s="152" t="s">
        <v>15</v>
      </c>
      <c r="G26" s="100">
        <v>76.09</v>
      </c>
      <c r="H26" s="100">
        <v>26.8</v>
      </c>
      <c r="I26" s="100">
        <v>8.33</v>
      </c>
      <c r="J26" s="100">
        <v>0.12</v>
      </c>
      <c r="K26" s="100">
        <v>87.44</v>
      </c>
      <c r="L26" s="100">
        <v>22.98</v>
      </c>
      <c r="M26" s="100">
        <v>51.25</v>
      </c>
      <c r="N26" s="100">
        <v>5.5</v>
      </c>
      <c r="O26" s="100">
        <v>0</v>
      </c>
      <c r="P26" s="100">
        <v>0.78</v>
      </c>
      <c r="Q26" s="100">
        <v>28.23</v>
      </c>
      <c r="R26" s="6"/>
      <c r="S26" s="6"/>
      <c r="T26" s="156"/>
      <c r="U26" s="6"/>
    </row>
    <row r="27" spans="1:21" customFormat="1">
      <c r="A27" s="163" t="s">
        <v>1889</v>
      </c>
      <c r="B27" s="100">
        <v>10.94</v>
      </c>
      <c r="C27" s="100">
        <v>16.34</v>
      </c>
      <c r="D27" s="100">
        <v>18.66</v>
      </c>
      <c r="E27" s="100">
        <v>9</v>
      </c>
      <c r="F27" s="152" t="s">
        <v>15</v>
      </c>
      <c r="G27" s="100">
        <v>76.09</v>
      </c>
      <c r="H27" s="100">
        <v>26.8</v>
      </c>
      <c r="I27" s="100">
        <v>8.42</v>
      </c>
      <c r="J27" s="100">
        <v>0.54</v>
      </c>
      <c r="K27" s="100">
        <v>39.83</v>
      </c>
      <c r="L27" s="100">
        <v>24.16</v>
      </c>
      <c r="M27" s="100">
        <v>42.91</v>
      </c>
      <c r="N27" s="100">
        <v>4.3</v>
      </c>
      <c r="O27" s="100">
        <v>0</v>
      </c>
      <c r="P27" s="100">
        <v>0.78</v>
      </c>
      <c r="Q27" s="100">
        <v>28.24</v>
      </c>
      <c r="R27" s="6"/>
      <c r="S27" s="6"/>
      <c r="T27" s="156"/>
      <c r="U27" s="6"/>
    </row>
    <row r="28" spans="1:21" customFormat="1">
      <c r="A28" s="163" t="s">
        <v>1890</v>
      </c>
      <c r="B28" s="100">
        <v>11.33</v>
      </c>
      <c r="C28" s="100">
        <v>16.52</v>
      </c>
      <c r="D28" s="100">
        <v>19.07</v>
      </c>
      <c r="E28" s="100">
        <v>9.1999999999999993</v>
      </c>
      <c r="F28" s="152" t="s">
        <v>15</v>
      </c>
      <c r="G28" s="100">
        <v>73.819999999999993</v>
      </c>
      <c r="H28" s="100">
        <v>26.89</v>
      </c>
      <c r="I28" s="100">
        <v>8.4600000000000009</v>
      </c>
      <c r="J28" s="100">
        <v>0.6</v>
      </c>
      <c r="K28" s="100">
        <v>34.92</v>
      </c>
      <c r="L28" s="100">
        <v>24.47</v>
      </c>
      <c r="M28" s="100">
        <v>41.78</v>
      </c>
      <c r="N28" s="100">
        <v>5.0999999999999996</v>
      </c>
      <c r="O28" s="100">
        <v>0</v>
      </c>
      <c r="P28" s="100">
        <v>0.79</v>
      </c>
      <c r="Q28" s="100">
        <v>28.26</v>
      </c>
      <c r="R28" s="6"/>
      <c r="S28" s="6"/>
      <c r="T28" s="156"/>
      <c r="U28" s="6"/>
    </row>
    <row r="29" spans="1:21" customFormat="1">
      <c r="A29" s="163" t="s">
        <v>1891</v>
      </c>
      <c r="B29" s="100">
        <v>11.56</v>
      </c>
      <c r="C29" s="100">
        <v>16.579999999999998</v>
      </c>
      <c r="D29" s="100">
        <v>19.29</v>
      </c>
      <c r="E29" s="100">
        <v>9.02</v>
      </c>
      <c r="F29" s="152" t="s">
        <v>15</v>
      </c>
      <c r="G29" s="100">
        <v>72.989999999999995</v>
      </c>
      <c r="H29" s="100">
        <v>26.9</v>
      </c>
      <c r="I29" s="100">
        <v>8.3699999999999992</v>
      </c>
      <c r="J29" s="100">
        <v>0.56999999999999995</v>
      </c>
      <c r="K29" s="100">
        <v>32.29</v>
      </c>
      <c r="L29" s="100">
        <v>24.41</v>
      </c>
      <c r="M29" s="100">
        <v>41.82</v>
      </c>
      <c r="N29" s="100">
        <v>5.5</v>
      </c>
      <c r="O29" s="100">
        <v>0</v>
      </c>
      <c r="P29" s="100">
        <v>0.78</v>
      </c>
      <c r="Q29" s="100">
        <v>28.29</v>
      </c>
      <c r="R29" s="6"/>
      <c r="S29" s="6"/>
      <c r="T29" s="156"/>
      <c r="U29" s="6"/>
    </row>
    <row r="30" spans="1:21" customFormat="1">
      <c r="A30" s="163" t="s">
        <v>1892</v>
      </c>
      <c r="B30" s="100">
        <v>11.66</v>
      </c>
      <c r="C30" s="100">
        <v>16.61</v>
      </c>
      <c r="D30" s="100">
        <v>19.38</v>
      </c>
      <c r="E30" s="100">
        <v>8.94</v>
      </c>
      <c r="F30" s="152" t="s">
        <v>15</v>
      </c>
      <c r="G30" s="100">
        <v>72.989999999999995</v>
      </c>
      <c r="H30" s="100">
        <v>26.9</v>
      </c>
      <c r="I30" s="100">
        <v>8.3699999999999992</v>
      </c>
      <c r="J30" s="100">
        <v>0.56000000000000005</v>
      </c>
      <c r="K30" s="100">
        <v>22.47</v>
      </c>
      <c r="L30" s="100">
        <v>24.25</v>
      </c>
      <c r="M30" s="100">
        <v>42.49</v>
      </c>
      <c r="N30" s="100">
        <v>5.8</v>
      </c>
      <c r="O30" s="100">
        <v>0</v>
      </c>
      <c r="P30" s="100">
        <v>0.78</v>
      </c>
      <c r="Q30" s="100">
        <v>28.28</v>
      </c>
      <c r="R30" s="6"/>
      <c r="S30" s="6"/>
      <c r="T30" s="156"/>
      <c r="U30" s="6"/>
    </row>
    <row r="31" spans="1:21" customFormat="1">
      <c r="A31" s="163" t="s">
        <v>1893</v>
      </c>
      <c r="B31" s="100">
        <v>11.74</v>
      </c>
      <c r="C31" s="100">
        <v>16.649999999999999</v>
      </c>
      <c r="D31" s="100">
        <v>19.47</v>
      </c>
      <c r="E31" s="100">
        <v>9.15</v>
      </c>
      <c r="F31" s="152" t="s">
        <v>15</v>
      </c>
      <c r="G31" s="100">
        <v>72.989999999999995</v>
      </c>
      <c r="H31" s="100">
        <v>26.9</v>
      </c>
      <c r="I31" s="100">
        <v>8.48</v>
      </c>
      <c r="J31" s="100">
        <v>0.67</v>
      </c>
      <c r="K31" s="100">
        <v>42.71</v>
      </c>
      <c r="L31" s="100">
        <v>24.17</v>
      </c>
      <c r="M31" s="100">
        <v>43.02</v>
      </c>
      <c r="N31" s="100">
        <v>5.7</v>
      </c>
      <c r="O31" s="100">
        <v>0</v>
      </c>
      <c r="P31" s="100">
        <v>0.79</v>
      </c>
      <c r="Q31" s="100">
        <v>28.28</v>
      </c>
      <c r="R31" s="6"/>
      <c r="S31" s="6"/>
      <c r="T31" s="156"/>
      <c r="U31" s="6"/>
    </row>
    <row r="32" spans="1:21" customFormat="1">
      <c r="A32" s="163" t="s">
        <v>1894</v>
      </c>
      <c r="B32" s="100">
        <v>11.54</v>
      </c>
      <c r="C32" s="100">
        <v>17.010000000000002</v>
      </c>
      <c r="D32" s="100">
        <v>19.5</v>
      </c>
      <c r="E32" s="100">
        <v>9.41</v>
      </c>
      <c r="F32" s="152" t="s">
        <v>15</v>
      </c>
      <c r="G32" s="100">
        <v>71.680000000000007</v>
      </c>
      <c r="H32" s="100">
        <v>25.13</v>
      </c>
      <c r="I32" s="100">
        <v>8.32</v>
      </c>
      <c r="J32" s="100">
        <v>0.6</v>
      </c>
      <c r="K32" s="100">
        <v>33.31</v>
      </c>
      <c r="L32" s="100">
        <v>24.02</v>
      </c>
      <c r="M32" s="100">
        <v>43.86</v>
      </c>
      <c r="N32" s="100">
        <v>6.2</v>
      </c>
      <c r="O32" s="100">
        <v>0</v>
      </c>
      <c r="P32" s="100">
        <v>0.79</v>
      </c>
      <c r="Q32" s="100">
        <v>28.27</v>
      </c>
      <c r="R32" s="6"/>
      <c r="S32" s="6"/>
      <c r="T32" s="156"/>
      <c r="U32" s="6"/>
    </row>
    <row r="33" spans="1:21" customFormat="1">
      <c r="A33" s="163" t="s">
        <v>1895</v>
      </c>
      <c r="B33" s="100">
        <v>11.16</v>
      </c>
      <c r="C33" s="100">
        <v>17.5</v>
      </c>
      <c r="D33" s="100">
        <v>19.440000000000001</v>
      </c>
      <c r="E33" s="100">
        <v>9.2899999999999991</v>
      </c>
      <c r="F33" s="152" t="s">
        <v>15</v>
      </c>
      <c r="G33" s="100">
        <v>71.209999999999994</v>
      </c>
      <c r="H33" s="100">
        <v>25.08</v>
      </c>
      <c r="I33" s="100">
        <v>8.36</v>
      </c>
      <c r="J33" s="100">
        <v>0.73</v>
      </c>
      <c r="K33" s="100">
        <v>40.36</v>
      </c>
      <c r="L33" s="100">
        <v>24.03</v>
      </c>
      <c r="M33" s="100">
        <v>44.04</v>
      </c>
      <c r="N33" s="100">
        <v>7.8</v>
      </c>
      <c r="O33" s="100">
        <v>0</v>
      </c>
      <c r="P33" s="100">
        <v>0.79</v>
      </c>
      <c r="Q33" s="100">
        <v>28.25</v>
      </c>
      <c r="R33" s="6"/>
      <c r="S33" s="6"/>
      <c r="T33" s="156"/>
      <c r="U33" s="6"/>
    </row>
    <row r="34" spans="1:21" customFormat="1">
      <c r="A34" s="163" t="s">
        <v>1896</v>
      </c>
      <c r="B34" s="100">
        <v>10.72</v>
      </c>
      <c r="C34" s="100">
        <v>18.07</v>
      </c>
      <c r="D34" s="100">
        <v>19.39</v>
      </c>
      <c r="E34" s="100">
        <v>9</v>
      </c>
      <c r="F34" s="152" t="s">
        <v>15</v>
      </c>
      <c r="G34" s="100">
        <v>71.209999999999994</v>
      </c>
      <c r="H34" s="100">
        <v>25.08</v>
      </c>
      <c r="I34" s="100">
        <v>8.49</v>
      </c>
      <c r="J34" s="100">
        <v>0.57999999999999996</v>
      </c>
      <c r="K34" s="100">
        <v>53.62</v>
      </c>
      <c r="L34" s="100">
        <v>23.97</v>
      </c>
      <c r="M34" s="100">
        <v>44.52</v>
      </c>
      <c r="N34" s="100">
        <v>10.9</v>
      </c>
      <c r="O34" s="100">
        <v>0</v>
      </c>
      <c r="P34" s="100">
        <v>0.8</v>
      </c>
      <c r="Q34" s="100">
        <v>28.23</v>
      </c>
      <c r="R34" s="6"/>
      <c r="S34" s="6"/>
      <c r="T34" s="156"/>
      <c r="U34" s="6"/>
    </row>
    <row r="35" spans="1:21" customFormat="1">
      <c r="A35" s="163" t="s">
        <v>1897</v>
      </c>
      <c r="B35" s="100">
        <v>10.48</v>
      </c>
      <c r="C35" s="100">
        <v>18.579999999999998</v>
      </c>
      <c r="D35" s="100">
        <v>19.46</v>
      </c>
      <c r="E35" s="100">
        <v>8.89</v>
      </c>
      <c r="F35" s="152" t="s">
        <v>15</v>
      </c>
      <c r="G35" s="100">
        <v>71.209999999999994</v>
      </c>
      <c r="H35" s="100">
        <v>25.08</v>
      </c>
      <c r="I35" s="100">
        <v>8.57</v>
      </c>
      <c r="J35" s="100">
        <v>0.43</v>
      </c>
      <c r="K35" s="100">
        <v>67</v>
      </c>
      <c r="L35" s="100">
        <v>24.07</v>
      </c>
      <c r="M35" s="100">
        <v>44.9</v>
      </c>
      <c r="N35" s="100">
        <v>22.1</v>
      </c>
      <c r="O35" s="100">
        <v>0</v>
      </c>
      <c r="P35" s="100">
        <v>0.79</v>
      </c>
      <c r="Q35" s="100">
        <v>28.23</v>
      </c>
      <c r="R35" s="6"/>
      <c r="S35" s="6"/>
      <c r="T35" s="156"/>
      <c r="U35" s="6"/>
    </row>
    <row r="36" spans="1:21" customFormat="1">
      <c r="A36" s="163" t="s">
        <v>1898</v>
      </c>
      <c r="B36" s="100">
        <v>10.210000000000001</v>
      </c>
      <c r="C36" s="100">
        <v>18.93</v>
      </c>
      <c r="D36" s="100">
        <v>19.420000000000002</v>
      </c>
      <c r="E36" s="100">
        <v>8.94</v>
      </c>
      <c r="F36" s="152" t="s">
        <v>15</v>
      </c>
      <c r="G36" s="100">
        <v>71.16</v>
      </c>
      <c r="H36" s="100">
        <v>24.88</v>
      </c>
      <c r="I36" s="100">
        <v>8.39</v>
      </c>
      <c r="J36" s="100">
        <v>0.34</v>
      </c>
      <c r="K36" s="100">
        <v>74.03</v>
      </c>
      <c r="L36" s="100">
        <v>24.28</v>
      </c>
      <c r="M36" s="100">
        <v>45.36</v>
      </c>
      <c r="N36" s="100">
        <v>27</v>
      </c>
      <c r="O36" s="100">
        <v>0</v>
      </c>
      <c r="P36" s="100">
        <v>0.79</v>
      </c>
      <c r="Q36" s="100">
        <v>28.21</v>
      </c>
      <c r="R36" s="6"/>
      <c r="S36" s="6"/>
      <c r="T36" s="156"/>
      <c r="U36" s="6"/>
    </row>
    <row r="37" spans="1:21" customFormat="1">
      <c r="A37" s="163" t="s">
        <v>1899</v>
      </c>
      <c r="B37" s="100">
        <v>9.93</v>
      </c>
      <c r="C37" s="100">
        <v>19.29</v>
      </c>
      <c r="D37" s="100">
        <v>19.399999999999999</v>
      </c>
      <c r="E37" s="100">
        <v>8.65</v>
      </c>
      <c r="F37" s="152" t="s">
        <v>15</v>
      </c>
      <c r="G37" s="100">
        <v>71.14</v>
      </c>
      <c r="H37" s="100">
        <v>24.87</v>
      </c>
      <c r="I37" s="100">
        <v>8.5299999999999994</v>
      </c>
      <c r="J37" s="100">
        <v>0.71</v>
      </c>
      <c r="K37" s="100">
        <v>55.48</v>
      </c>
      <c r="L37" s="100">
        <v>24.4</v>
      </c>
      <c r="M37" s="100">
        <v>45.06</v>
      </c>
      <c r="N37" s="100">
        <v>35.5</v>
      </c>
      <c r="O37" s="100">
        <v>0</v>
      </c>
      <c r="P37" s="100">
        <v>0.78</v>
      </c>
      <c r="Q37" s="100">
        <v>28.2</v>
      </c>
      <c r="R37" s="6"/>
      <c r="S37" s="6"/>
      <c r="T37" s="156"/>
      <c r="U37" s="6"/>
    </row>
    <row r="38" spans="1:21" customFormat="1">
      <c r="A38" s="163" t="s">
        <v>1900</v>
      </c>
      <c r="B38" s="100">
        <v>9.82</v>
      </c>
      <c r="C38" s="100">
        <v>19.62</v>
      </c>
      <c r="D38" s="100">
        <v>19.48</v>
      </c>
      <c r="E38" s="100">
        <v>8.6</v>
      </c>
      <c r="F38" s="152" t="s">
        <v>15</v>
      </c>
      <c r="G38" s="100">
        <v>71.14</v>
      </c>
      <c r="H38" s="100">
        <v>24.87</v>
      </c>
      <c r="I38" s="100">
        <v>8.64</v>
      </c>
      <c r="J38" s="100">
        <v>0.75</v>
      </c>
      <c r="K38" s="100">
        <v>56.06</v>
      </c>
      <c r="L38" s="100">
        <v>24.81</v>
      </c>
      <c r="M38" s="100">
        <v>44.06</v>
      </c>
      <c r="N38" s="100">
        <v>45.2</v>
      </c>
      <c r="O38" s="100">
        <v>0</v>
      </c>
      <c r="P38" s="100">
        <v>0.79</v>
      </c>
      <c r="Q38" s="100">
        <v>28.2</v>
      </c>
      <c r="R38" s="6"/>
      <c r="S38" s="6"/>
      <c r="T38" s="156"/>
      <c r="U38" s="6"/>
    </row>
    <row r="39" spans="1:21" customFormat="1">
      <c r="A39" s="163" t="s">
        <v>1901</v>
      </c>
      <c r="B39" s="100">
        <v>9.5</v>
      </c>
      <c r="C39" s="100">
        <v>19.86</v>
      </c>
      <c r="D39" s="100">
        <v>19.34</v>
      </c>
      <c r="E39" s="100">
        <v>8.68</v>
      </c>
      <c r="F39" s="152" t="s">
        <v>15</v>
      </c>
      <c r="G39" s="100">
        <v>71.14</v>
      </c>
      <c r="H39" s="100">
        <v>24.87</v>
      </c>
      <c r="I39" s="100">
        <v>8.6300000000000008</v>
      </c>
      <c r="J39" s="100">
        <v>0.84</v>
      </c>
      <c r="K39" s="100">
        <v>50.67</v>
      </c>
      <c r="L39" s="100">
        <v>25.38</v>
      </c>
      <c r="M39" s="100">
        <v>41.84</v>
      </c>
      <c r="N39" s="100">
        <v>51.1</v>
      </c>
      <c r="O39" s="100">
        <v>0</v>
      </c>
      <c r="P39" s="100">
        <v>0.78</v>
      </c>
      <c r="Q39" s="100">
        <v>28.21</v>
      </c>
      <c r="R39" s="6"/>
      <c r="S39" s="6"/>
      <c r="T39" s="156"/>
      <c r="U39" s="6"/>
    </row>
    <row r="40" spans="1:21" customFormat="1">
      <c r="A40" s="163" t="s">
        <v>1902</v>
      </c>
      <c r="B40" s="100">
        <v>9.0500000000000007</v>
      </c>
      <c r="C40" s="100">
        <v>20.13</v>
      </c>
      <c r="D40" s="100">
        <v>19.13</v>
      </c>
      <c r="E40" s="100">
        <v>9.01</v>
      </c>
      <c r="F40" s="152" t="s">
        <v>15</v>
      </c>
      <c r="G40" s="100">
        <v>72.84</v>
      </c>
      <c r="H40" s="100">
        <v>26.13</v>
      </c>
      <c r="I40" s="100">
        <v>8.89</v>
      </c>
      <c r="J40" s="100">
        <v>0.86</v>
      </c>
      <c r="K40" s="100">
        <v>57.51</v>
      </c>
      <c r="L40" s="100">
        <v>26.27</v>
      </c>
      <c r="M40" s="100">
        <v>39.159999999999997</v>
      </c>
      <c r="N40" s="100">
        <v>105.3</v>
      </c>
      <c r="O40" s="100">
        <v>0</v>
      </c>
      <c r="P40" s="100">
        <v>0.78</v>
      </c>
      <c r="Q40" s="100">
        <v>28.19</v>
      </c>
      <c r="R40" s="6"/>
      <c r="S40" s="6"/>
      <c r="T40" s="156"/>
      <c r="U40" s="6"/>
    </row>
    <row r="41" spans="1:21" customFormat="1">
      <c r="A41" s="163" t="s">
        <v>1903</v>
      </c>
      <c r="B41" s="100">
        <v>9.34</v>
      </c>
      <c r="C41" s="100">
        <v>20.81</v>
      </c>
      <c r="D41" s="100">
        <v>19.72</v>
      </c>
      <c r="E41" s="100">
        <v>8.99</v>
      </c>
      <c r="F41" s="152" t="s">
        <v>15</v>
      </c>
      <c r="G41" s="100">
        <v>73.489999999999995</v>
      </c>
      <c r="H41" s="100">
        <v>26.17</v>
      </c>
      <c r="I41" s="100">
        <v>8.94</v>
      </c>
      <c r="J41" s="100">
        <v>1.01</v>
      </c>
      <c r="K41" s="100">
        <v>62.33</v>
      </c>
      <c r="L41" s="100">
        <v>27.39</v>
      </c>
      <c r="M41" s="100">
        <v>34.96</v>
      </c>
      <c r="N41" s="100">
        <v>131.30000000000001</v>
      </c>
      <c r="O41" s="100">
        <v>0</v>
      </c>
      <c r="P41" s="100">
        <v>0.77</v>
      </c>
      <c r="Q41" s="100">
        <v>28.21</v>
      </c>
      <c r="R41" s="6"/>
      <c r="S41" s="6"/>
      <c r="T41" s="156"/>
      <c r="U41" s="6"/>
    </row>
    <row r="42" spans="1:21" customFormat="1">
      <c r="A42" s="163" t="s">
        <v>1904</v>
      </c>
      <c r="B42" s="100">
        <v>10.25</v>
      </c>
      <c r="C42" s="100">
        <v>21.85</v>
      </c>
      <c r="D42" s="100">
        <v>20.99</v>
      </c>
      <c r="E42" s="100">
        <v>10.14</v>
      </c>
      <c r="F42" s="152" t="s">
        <v>15</v>
      </c>
      <c r="G42" s="100">
        <v>73.489999999999995</v>
      </c>
      <c r="H42" s="100">
        <v>26.17</v>
      </c>
      <c r="I42" s="100">
        <v>8.94</v>
      </c>
      <c r="J42" s="100">
        <v>0.97</v>
      </c>
      <c r="K42" s="100">
        <v>64.709999999999994</v>
      </c>
      <c r="L42" s="100">
        <v>28.48</v>
      </c>
      <c r="M42" s="100">
        <v>31.56</v>
      </c>
      <c r="N42" s="100">
        <v>133.1</v>
      </c>
      <c r="O42" s="100">
        <v>0</v>
      </c>
      <c r="P42" s="100">
        <v>0.76</v>
      </c>
      <c r="Q42" s="100">
        <v>28.23</v>
      </c>
      <c r="R42" s="6"/>
      <c r="S42" s="6"/>
      <c r="T42" s="156"/>
      <c r="U42" s="6"/>
    </row>
    <row r="43" spans="1:21" customFormat="1">
      <c r="A43" s="163" t="s">
        <v>1905</v>
      </c>
      <c r="B43" s="100">
        <v>10.71</v>
      </c>
      <c r="C43" s="100">
        <v>22.91</v>
      </c>
      <c r="D43" s="100">
        <v>21.91</v>
      </c>
      <c r="E43" s="100">
        <v>10.52</v>
      </c>
      <c r="F43" s="152" t="s">
        <v>15</v>
      </c>
      <c r="G43" s="100">
        <v>73.489999999999995</v>
      </c>
      <c r="H43" s="100">
        <v>26.17</v>
      </c>
      <c r="I43" s="100">
        <v>8.8699999999999992</v>
      </c>
      <c r="J43" s="100">
        <v>1.19</v>
      </c>
      <c r="K43" s="100">
        <v>57.9</v>
      </c>
      <c r="L43" s="100">
        <v>29.34</v>
      </c>
      <c r="M43" s="100">
        <v>29.28</v>
      </c>
      <c r="N43" s="100">
        <v>200.8</v>
      </c>
      <c r="O43" s="100">
        <v>0</v>
      </c>
      <c r="P43" s="100">
        <v>0.74</v>
      </c>
      <c r="Q43" s="100">
        <v>28.24</v>
      </c>
      <c r="R43" s="6"/>
      <c r="S43" s="6"/>
      <c r="T43" s="156"/>
      <c r="U43" s="6"/>
    </row>
    <row r="44" spans="1:21" customFormat="1">
      <c r="A44" s="163" t="s">
        <v>1906</v>
      </c>
      <c r="B44" s="100">
        <v>10.73</v>
      </c>
      <c r="C44" s="100">
        <v>23.49</v>
      </c>
      <c r="D44" s="100">
        <v>22.23</v>
      </c>
      <c r="E44" s="100">
        <v>11.07</v>
      </c>
      <c r="F44" s="152" t="s">
        <v>15</v>
      </c>
      <c r="G44" s="100">
        <v>74.94</v>
      </c>
      <c r="H44" s="100">
        <v>24.02</v>
      </c>
      <c r="I44" s="100">
        <v>8.68</v>
      </c>
      <c r="J44" s="100">
        <v>1.52</v>
      </c>
      <c r="K44" s="100">
        <v>62.42</v>
      </c>
      <c r="L44" s="100">
        <v>29.88</v>
      </c>
      <c r="M44" s="100">
        <v>26.23</v>
      </c>
      <c r="N44" s="100">
        <v>237.4</v>
      </c>
      <c r="O44" s="100">
        <v>0</v>
      </c>
      <c r="P44" s="100">
        <v>0.72</v>
      </c>
      <c r="Q44" s="100">
        <v>28.25</v>
      </c>
      <c r="R44" s="6"/>
      <c r="S44" s="6"/>
      <c r="T44" s="156"/>
      <c r="U44" s="6"/>
    </row>
    <row r="45" spans="1:21" customFormat="1">
      <c r="A45" s="163" t="s">
        <v>1907</v>
      </c>
      <c r="B45" s="100">
        <v>10.31</v>
      </c>
      <c r="C45" s="100">
        <v>23.98</v>
      </c>
      <c r="D45" s="100">
        <v>22.15</v>
      </c>
      <c r="E45" s="100">
        <v>11.46</v>
      </c>
      <c r="F45" s="152" t="s">
        <v>15</v>
      </c>
      <c r="G45" s="100">
        <v>75.5</v>
      </c>
      <c r="H45" s="100">
        <v>23.96</v>
      </c>
      <c r="I45" s="100">
        <v>8.4600000000000009</v>
      </c>
      <c r="J45" s="100">
        <v>1</v>
      </c>
      <c r="K45" s="100">
        <v>72.510000000000005</v>
      </c>
      <c r="L45" s="100">
        <v>30.92</v>
      </c>
      <c r="M45" s="100">
        <v>24.57</v>
      </c>
      <c r="N45" s="100">
        <v>205.8</v>
      </c>
      <c r="O45" s="100">
        <v>0</v>
      </c>
      <c r="P45" s="100">
        <v>0.7</v>
      </c>
      <c r="Q45" s="100">
        <v>28.25</v>
      </c>
      <c r="R45" s="6"/>
      <c r="S45" s="6"/>
      <c r="T45" s="156"/>
      <c r="U45" s="6"/>
    </row>
    <row r="46" spans="1:21" customFormat="1">
      <c r="A46" s="163" t="s">
        <v>1908</v>
      </c>
      <c r="B46" s="100">
        <v>9.7899999999999991</v>
      </c>
      <c r="C46" s="100">
        <v>24.21</v>
      </c>
      <c r="D46" s="100">
        <v>21.85</v>
      </c>
      <c r="E46" s="100">
        <v>11.46</v>
      </c>
      <c r="F46" s="152" t="s">
        <v>15</v>
      </c>
      <c r="G46" s="100">
        <v>75.5</v>
      </c>
      <c r="H46" s="100">
        <v>23.96</v>
      </c>
      <c r="I46" s="100">
        <v>8.34</v>
      </c>
      <c r="J46" s="100">
        <v>1.21</v>
      </c>
      <c r="K46" s="100">
        <v>57.7</v>
      </c>
      <c r="L46" s="100">
        <v>31.67</v>
      </c>
      <c r="M46" s="100">
        <v>23.32</v>
      </c>
      <c r="N46" s="100">
        <v>284.8</v>
      </c>
      <c r="O46" s="100">
        <v>0</v>
      </c>
      <c r="P46" s="100">
        <v>0.68</v>
      </c>
      <c r="Q46" s="100">
        <v>28.23</v>
      </c>
      <c r="R46" s="6"/>
      <c r="S46" s="6"/>
      <c r="T46" s="156"/>
      <c r="U46" s="6"/>
    </row>
    <row r="47" spans="1:21" customFormat="1">
      <c r="A47" s="163" t="s">
        <v>1909</v>
      </c>
      <c r="B47" s="100">
        <v>9.35</v>
      </c>
      <c r="C47" s="100">
        <v>25.35</v>
      </c>
      <c r="D47" s="100">
        <v>22.09</v>
      </c>
      <c r="E47" s="100">
        <v>13.62</v>
      </c>
      <c r="F47" s="152" t="s">
        <v>15</v>
      </c>
      <c r="G47" s="100">
        <v>75.5</v>
      </c>
      <c r="H47" s="100">
        <v>23.96</v>
      </c>
      <c r="I47" s="100">
        <v>8.15</v>
      </c>
      <c r="J47" s="100">
        <v>1.32</v>
      </c>
      <c r="K47" s="100">
        <v>59.59</v>
      </c>
      <c r="L47" s="100">
        <v>31.86</v>
      </c>
      <c r="M47" s="100">
        <v>23.18</v>
      </c>
      <c r="N47" s="100">
        <v>296.10000000000002</v>
      </c>
      <c r="O47" s="100">
        <v>0</v>
      </c>
      <c r="P47" s="100">
        <v>0.67</v>
      </c>
      <c r="Q47" s="100">
        <v>28.22</v>
      </c>
      <c r="R47" s="6"/>
      <c r="S47" s="6"/>
      <c r="T47" s="156"/>
      <c r="U47" s="6"/>
    </row>
    <row r="48" spans="1:21" customFormat="1">
      <c r="A48" s="163" t="s">
        <v>1910</v>
      </c>
      <c r="B48" s="100">
        <v>9.7100000000000009</v>
      </c>
      <c r="C48" s="100">
        <v>26.25</v>
      </c>
      <c r="D48" s="100">
        <v>22.85</v>
      </c>
      <c r="E48" s="100">
        <v>21.03</v>
      </c>
      <c r="F48" s="152" t="s">
        <v>15</v>
      </c>
      <c r="G48" s="100">
        <v>74.47</v>
      </c>
      <c r="H48" s="100">
        <v>23.15</v>
      </c>
      <c r="I48" s="100">
        <v>8.02</v>
      </c>
      <c r="J48" s="100">
        <v>1.6</v>
      </c>
      <c r="K48" s="100">
        <v>57.85</v>
      </c>
      <c r="L48" s="100">
        <v>32.11</v>
      </c>
      <c r="M48" s="100">
        <v>22.78</v>
      </c>
      <c r="N48" s="100">
        <v>307.5</v>
      </c>
      <c r="O48" s="100">
        <v>0</v>
      </c>
      <c r="P48" s="100">
        <v>0.67</v>
      </c>
      <c r="Q48" s="100">
        <v>28.22</v>
      </c>
      <c r="R48" s="6"/>
      <c r="S48" s="6"/>
      <c r="T48" s="156"/>
      <c r="U48" s="6"/>
    </row>
    <row r="49" spans="1:21" customFormat="1">
      <c r="A49" s="163" t="s">
        <v>1911</v>
      </c>
      <c r="B49" s="100">
        <v>9.02</v>
      </c>
      <c r="C49" s="100">
        <v>25.65</v>
      </c>
      <c r="D49" s="100">
        <v>21.98</v>
      </c>
      <c r="E49" s="100">
        <v>14.32</v>
      </c>
      <c r="F49" s="152" t="s">
        <v>15</v>
      </c>
      <c r="G49" s="100">
        <v>74.099999999999994</v>
      </c>
      <c r="H49" s="100">
        <v>23.14</v>
      </c>
      <c r="I49" s="100">
        <v>7.77</v>
      </c>
      <c r="J49" s="100">
        <v>0.93</v>
      </c>
      <c r="K49" s="100">
        <v>56.71</v>
      </c>
      <c r="L49" s="100">
        <v>33.01</v>
      </c>
      <c r="M49" s="100">
        <v>22.2</v>
      </c>
      <c r="N49" s="100">
        <v>277</v>
      </c>
      <c r="O49" s="100">
        <v>0</v>
      </c>
      <c r="P49" s="100">
        <v>0.65</v>
      </c>
      <c r="Q49" s="100">
        <v>28.2</v>
      </c>
      <c r="R49" s="6"/>
      <c r="S49" s="6"/>
      <c r="T49" s="156"/>
      <c r="U49" s="6"/>
    </row>
    <row r="50" spans="1:21" customFormat="1">
      <c r="A50" s="163" t="s">
        <v>1912</v>
      </c>
      <c r="B50" s="100">
        <v>8.09</v>
      </c>
      <c r="C50" s="100">
        <v>25.54</v>
      </c>
      <c r="D50" s="100">
        <v>21.18</v>
      </c>
      <c r="E50" s="100">
        <v>15.43</v>
      </c>
      <c r="F50" s="152" t="s">
        <v>15</v>
      </c>
      <c r="G50" s="100">
        <v>74.099999999999994</v>
      </c>
      <c r="H50" s="100">
        <v>23.14</v>
      </c>
      <c r="I50" s="100">
        <v>7.75</v>
      </c>
      <c r="J50" s="100">
        <v>0.56999999999999995</v>
      </c>
      <c r="K50" s="100">
        <v>70.08</v>
      </c>
      <c r="L50" s="100">
        <v>34.299999999999997</v>
      </c>
      <c r="M50" s="100">
        <v>21.11</v>
      </c>
      <c r="N50" s="100">
        <v>244.2</v>
      </c>
      <c r="O50" s="100">
        <v>0</v>
      </c>
      <c r="P50" s="100">
        <v>0.65</v>
      </c>
      <c r="Q50" s="100">
        <v>28.16</v>
      </c>
      <c r="R50" s="6"/>
      <c r="S50" s="6"/>
      <c r="T50" s="156"/>
      <c r="U50" s="6"/>
    </row>
    <row r="51" spans="1:21" customFormat="1">
      <c r="A51" s="163" t="s">
        <v>1913</v>
      </c>
      <c r="B51" s="100">
        <v>7.14</v>
      </c>
      <c r="C51" s="100">
        <v>25.33</v>
      </c>
      <c r="D51" s="100">
        <v>20.309999999999999</v>
      </c>
      <c r="E51" s="100">
        <v>16.63</v>
      </c>
      <c r="F51" s="152" t="s">
        <v>15</v>
      </c>
      <c r="G51" s="100">
        <v>74.099999999999994</v>
      </c>
      <c r="H51" s="100">
        <v>23.14</v>
      </c>
      <c r="I51" s="100">
        <v>7.6</v>
      </c>
      <c r="J51" s="100">
        <v>0.61</v>
      </c>
      <c r="K51" s="100">
        <v>86.45</v>
      </c>
      <c r="L51" s="100">
        <v>34.840000000000003</v>
      </c>
      <c r="M51" s="100">
        <v>20.91</v>
      </c>
      <c r="N51" s="100">
        <v>331.3</v>
      </c>
      <c r="O51" s="100">
        <v>0</v>
      </c>
      <c r="P51" s="100">
        <v>0.63</v>
      </c>
      <c r="Q51" s="100">
        <v>28.12</v>
      </c>
      <c r="R51" s="6"/>
      <c r="S51" s="6"/>
      <c r="T51" s="156"/>
      <c r="U51" s="6"/>
    </row>
    <row r="52" spans="1:21" customFormat="1">
      <c r="A52" s="163" t="s">
        <v>1914</v>
      </c>
      <c r="B52" s="100">
        <v>6.19</v>
      </c>
      <c r="C52" s="100">
        <v>24.35</v>
      </c>
      <c r="D52" s="100">
        <v>19.04</v>
      </c>
      <c r="E52" s="100">
        <v>15.07</v>
      </c>
      <c r="F52" s="152" t="s">
        <v>15</v>
      </c>
      <c r="G52" s="100">
        <v>72.45</v>
      </c>
      <c r="H52" s="100">
        <v>24.55</v>
      </c>
      <c r="I52" s="100">
        <v>7.41</v>
      </c>
      <c r="J52" s="100">
        <v>0.69</v>
      </c>
      <c r="K52" s="100">
        <v>68.67</v>
      </c>
      <c r="L52" s="100">
        <v>34.880000000000003</v>
      </c>
      <c r="M52" s="100">
        <v>21.16</v>
      </c>
      <c r="N52" s="100">
        <v>341.6</v>
      </c>
      <c r="O52" s="100">
        <v>0</v>
      </c>
      <c r="P52" s="100">
        <v>0.63</v>
      </c>
      <c r="Q52" s="100">
        <v>28.11</v>
      </c>
      <c r="R52" s="6"/>
      <c r="S52" s="6"/>
      <c r="T52" s="156"/>
      <c r="U52" s="6"/>
    </row>
    <row r="53" spans="1:21" customFormat="1">
      <c r="A53" s="163" t="s">
        <v>1915</v>
      </c>
      <c r="B53" s="100">
        <v>5.76</v>
      </c>
      <c r="C53" s="100">
        <v>23.99</v>
      </c>
      <c r="D53" s="100">
        <v>18.5</v>
      </c>
      <c r="E53" s="100">
        <v>15.58</v>
      </c>
      <c r="F53" s="152" t="s">
        <v>15</v>
      </c>
      <c r="G53" s="100">
        <v>71.849999999999994</v>
      </c>
      <c r="H53" s="100">
        <v>24.59</v>
      </c>
      <c r="I53" s="100">
        <v>7.3</v>
      </c>
      <c r="J53" s="100">
        <v>0.49</v>
      </c>
      <c r="K53" s="100">
        <v>78.569999999999993</v>
      </c>
      <c r="L53" s="100">
        <v>35.049999999999997</v>
      </c>
      <c r="M53" s="100">
        <v>21.14</v>
      </c>
      <c r="N53" s="100">
        <v>331.2</v>
      </c>
      <c r="O53" s="100">
        <v>0</v>
      </c>
      <c r="P53" s="100">
        <v>0.65</v>
      </c>
      <c r="Q53" s="100">
        <v>28.09</v>
      </c>
      <c r="R53" s="6"/>
      <c r="S53" s="6"/>
      <c r="T53" s="156"/>
      <c r="U53" s="6"/>
    </row>
    <row r="54" spans="1:21" customFormat="1">
      <c r="A54" s="163" t="s">
        <v>1916</v>
      </c>
      <c r="B54" s="100">
        <v>5.41</v>
      </c>
      <c r="C54" s="100">
        <v>23.25</v>
      </c>
      <c r="D54" s="100">
        <v>17.84</v>
      </c>
      <c r="E54" s="100">
        <v>14.68</v>
      </c>
      <c r="F54" s="152" t="s">
        <v>15</v>
      </c>
      <c r="G54" s="100">
        <v>71.849999999999994</v>
      </c>
      <c r="H54" s="100">
        <v>24.59</v>
      </c>
      <c r="I54" s="100">
        <v>7.3</v>
      </c>
      <c r="J54" s="100">
        <v>0.31</v>
      </c>
      <c r="K54" s="100">
        <v>145.68</v>
      </c>
      <c r="L54" s="100">
        <v>35.43</v>
      </c>
      <c r="M54" s="100">
        <v>20.72</v>
      </c>
      <c r="N54" s="100">
        <v>325.89999999999998</v>
      </c>
      <c r="O54" s="100">
        <v>0</v>
      </c>
      <c r="P54" s="100">
        <v>0.65</v>
      </c>
      <c r="Q54" s="100">
        <v>28.08</v>
      </c>
      <c r="R54" s="6"/>
      <c r="S54" s="6"/>
      <c r="T54" s="156"/>
      <c r="U54" s="6"/>
    </row>
    <row r="55" spans="1:21" customFormat="1">
      <c r="A55" s="163" t="s">
        <v>1917</v>
      </c>
      <c r="B55" s="100">
        <v>5.16</v>
      </c>
      <c r="C55" s="100">
        <v>22.36</v>
      </c>
      <c r="D55" s="100">
        <v>17.170000000000002</v>
      </c>
      <c r="E55" s="100">
        <v>15.29</v>
      </c>
      <c r="F55" s="152" t="s">
        <v>15</v>
      </c>
      <c r="G55" s="100">
        <v>71.849999999999994</v>
      </c>
      <c r="H55" s="100">
        <v>24.59</v>
      </c>
      <c r="I55" s="100">
        <v>7.39</v>
      </c>
      <c r="J55" s="100">
        <v>0.69</v>
      </c>
      <c r="K55" s="100">
        <v>35.21</v>
      </c>
      <c r="L55" s="100">
        <v>35.35</v>
      </c>
      <c r="M55" s="100">
        <v>20.78</v>
      </c>
      <c r="N55" s="100">
        <v>302.60000000000002</v>
      </c>
      <c r="O55" s="100">
        <v>0</v>
      </c>
      <c r="P55" s="100">
        <v>0.65</v>
      </c>
      <c r="Q55" s="100">
        <v>28.06</v>
      </c>
      <c r="R55" s="6"/>
      <c r="S55" s="6"/>
      <c r="T55" s="156"/>
      <c r="U55" s="6"/>
    </row>
    <row r="56" spans="1:21" customFormat="1">
      <c r="A56" s="163" t="s">
        <v>1918</v>
      </c>
      <c r="B56" s="100">
        <v>4.91</v>
      </c>
      <c r="C56" s="100">
        <v>21.66</v>
      </c>
      <c r="D56" s="100">
        <v>16.61</v>
      </c>
      <c r="E56" s="100">
        <v>15.28</v>
      </c>
      <c r="F56" s="152" t="s">
        <v>15</v>
      </c>
      <c r="G56" s="100">
        <v>73.13</v>
      </c>
      <c r="H56" s="100">
        <v>28.81</v>
      </c>
      <c r="I56" s="100">
        <v>7.41</v>
      </c>
      <c r="J56" s="100">
        <v>0.5</v>
      </c>
      <c r="K56" s="100">
        <v>80.14</v>
      </c>
      <c r="L56" s="100">
        <v>36.11</v>
      </c>
      <c r="M56" s="100">
        <v>19.579999999999998</v>
      </c>
      <c r="N56" s="100">
        <v>337.4</v>
      </c>
      <c r="O56" s="100">
        <v>0</v>
      </c>
      <c r="P56" s="100">
        <v>0.65</v>
      </c>
      <c r="Q56" s="100">
        <v>28.05</v>
      </c>
      <c r="R56" s="6"/>
      <c r="S56" s="6"/>
      <c r="T56" s="156"/>
      <c r="U56" s="6"/>
    </row>
    <row r="57" spans="1:21" customFormat="1">
      <c r="A57" s="163" t="s">
        <v>1919</v>
      </c>
      <c r="B57" s="100">
        <v>4.92</v>
      </c>
      <c r="C57" s="100">
        <v>21.56</v>
      </c>
      <c r="D57" s="100">
        <v>16.559999999999999</v>
      </c>
      <c r="E57" s="100">
        <v>14.41</v>
      </c>
      <c r="F57" s="152" t="s">
        <v>15</v>
      </c>
      <c r="G57" s="100">
        <v>73.62</v>
      </c>
      <c r="H57" s="100">
        <v>28.87</v>
      </c>
      <c r="I57" s="100">
        <v>7.38</v>
      </c>
      <c r="J57" s="100">
        <v>0.6</v>
      </c>
      <c r="K57" s="100">
        <v>358.24</v>
      </c>
      <c r="L57" s="100">
        <v>36.32</v>
      </c>
      <c r="M57" s="100">
        <v>17.32</v>
      </c>
      <c r="N57" s="100">
        <v>359.7</v>
      </c>
      <c r="O57" s="100">
        <v>0</v>
      </c>
      <c r="P57" s="100">
        <v>0.64</v>
      </c>
      <c r="Q57" s="100">
        <v>28.05</v>
      </c>
      <c r="R57" s="6"/>
      <c r="S57" s="6"/>
      <c r="T57" s="156"/>
      <c r="U57" s="6"/>
    </row>
    <row r="58" spans="1:21" customFormat="1">
      <c r="A58" s="163" t="s">
        <v>1920</v>
      </c>
      <c r="B58" s="100">
        <v>4.6900000000000004</v>
      </c>
      <c r="C58" s="100">
        <v>20.69</v>
      </c>
      <c r="D58" s="100">
        <v>15.92</v>
      </c>
      <c r="E58" s="100">
        <v>11.96</v>
      </c>
      <c r="F58" s="152" t="s">
        <v>15</v>
      </c>
      <c r="G58" s="100">
        <v>73.62</v>
      </c>
      <c r="H58" s="100">
        <v>28.87</v>
      </c>
      <c r="I58" s="100">
        <v>7.33</v>
      </c>
      <c r="J58" s="100">
        <v>0.65</v>
      </c>
      <c r="K58" s="100">
        <v>337.6</v>
      </c>
      <c r="L58" s="100">
        <v>36.799999999999997</v>
      </c>
      <c r="M58" s="100">
        <v>16.73</v>
      </c>
      <c r="N58" s="100">
        <v>360.1</v>
      </c>
      <c r="O58" s="100">
        <v>0</v>
      </c>
      <c r="P58" s="100">
        <v>0.63</v>
      </c>
      <c r="Q58" s="100">
        <v>28.03</v>
      </c>
      <c r="R58" s="6"/>
      <c r="S58" s="6"/>
      <c r="T58" s="156"/>
      <c r="U58" s="6"/>
    </row>
    <row r="59" spans="1:21" customFormat="1">
      <c r="A59" s="163" t="s">
        <v>1921</v>
      </c>
      <c r="B59" s="100">
        <v>4.55</v>
      </c>
      <c r="C59" s="100">
        <v>19.809999999999999</v>
      </c>
      <c r="D59" s="100">
        <v>15.35</v>
      </c>
      <c r="E59" s="100">
        <v>12.86</v>
      </c>
      <c r="F59" s="152" t="s">
        <v>15</v>
      </c>
      <c r="G59" s="100">
        <v>73.62</v>
      </c>
      <c r="H59" s="100">
        <v>28.87</v>
      </c>
      <c r="I59" s="100">
        <v>7.16</v>
      </c>
      <c r="J59" s="100">
        <v>0.55000000000000004</v>
      </c>
      <c r="K59" s="100">
        <v>353.22</v>
      </c>
      <c r="L59" s="100">
        <v>36.29</v>
      </c>
      <c r="M59" s="100">
        <v>17.86</v>
      </c>
      <c r="N59" s="100">
        <v>362</v>
      </c>
      <c r="O59" s="100">
        <v>0</v>
      </c>
      <c r="P59" s="100">
        <v>0.61</v>
      </c>
      <c r="Q59" s="100">
        <v>28.03</v>
      </c>
      <c r="R59" s="6"/>
      <c r="S59" s="6"/>
      <c r="T59" s="156"/>
      <c r="U59" s="6"/>
    </row>
    <row r="60" spans="1:21" customFormat="1">
      <c r="A60" s="163" t="s">
        <v>1922</v>
      </c>
      <c r="B60" s="100">
        <v>4.51</v>
      </c>
      <c r="C60" s="100">
        <v>19.2</v>
      </c>
      <c r="D60" s="100">
        <v>14.99</v>
      </c>
      <c r="E60" s="100">
        <v>14.62</v>
      </c>
      <c r="F60" s="152" t="s">
        <v>15</v>
      </c>
      <c r="G60" s="100">
        <v>75.89</v>
      </c>
      <c r="H60" s="100">
        <v>27.52</v>
      </c>
      <c r="I60" s="100">
        <v>7.02</v>
      </c>
      <c r="J60" s="100">
        <v>0.21</v>
      </c>
      <c r="K60" s="100">
        <v>46.92</v>
      </c>
      <c r="L60" s="100">
        <v>37.049999999999997</v>
      </c>
      <c r="M60" s="100">
        <v>16.53</v>
      </c>
      <c r="N60" s="100">
        <v>360.3</v>
      </c>
      <c r="O60" s="100">
        <v>0</v>
      </c>
      <c r="P60" s="100">
        <v>0.61</v>
      </c>
      <c r="Q60" s="100">
        <v>28.03</v>
      </c>
      <c r="R60" s="6"/>
      <c r="S60" s="6"/>
      <c r="T60" s="156"/>
      <c r="U60" s="6"/>
    </row>
    <row r="61" spans="1:21" customFormat="1">
      <c r="A61" s="163" t="s">
        <v>1923</v>
      </c>
      <c r="B61" s="100">
        <v>4.3099999999999996</v>
      </c>
      <c r="C61" s="100">
        <v>18.62</v>
      </c>
      <c r="D61" s="100">
        <v>14.54</v>
      </c>
      <c r="E61" s="100">
        <v>12.93</v>
      </c>
      <c r="F61" s="152" t="s">
        <v>15</v>
      </c>
      <c r="G61" s="100">
        <v>76.709999999999994</v>
      </c>
      <c r="H61" s="100">
        <v>27.49</v>
      </c>
      <c r="I61" s="100">
        <v>6.87</v>
      </c>
      <c r="J61" s="100">
        <v>0.79</v>
      </c>
      <c r="K61" s="100">
        <v>316.62</v>
      </c>
      <c r="L61" s="100">
        <v>37.44</v>
      </c>
      <c r="M61" s="100">
        <v>15.41</v>
      </c>
      <c r="N61" s="100">
        <v>362.3</v>
      </c>
      <c r="O61" s="100">
        <v>0</v>
      </c>
      <c r="P61" s="100">
        <v>0.6</v>
      </c>
      <c r="Q61" s="100">
        <v>28.03</v>
      </c>
      <c r="R61" s="6"/>
      <c r="S61" s="6"/>
      <c r="T61" s="156"/>
      <c r="U61" s="6"/>
    </row>
    <row r="62" spans="1:21" customFormat="1">
      <c r="A62" s="163" t="s">
        <v>1924</v>
      </c>
      <c r="B62" s="100">
        <v>4.26</v>
      </c>
      <c r="C62" s="100">
        <v>18.29</v>
      </c>
      <c r="D62" s="100">
        <v>14.32</v>
      </c>
      <c r="E62" s="100">
        <v>12.83</v>
      </c>
      <c r="F62" s="152" t="s">
        <v>15</v>
      </c>
      <c r="G62" s="100">
        <v>76.709999999999994</v>
      </c>
      <c r="H62" s="100">
        <v>27.49</v>
      </c>
      <c r="I62" s="100">
        <v>6.76</v>
      </c>
      <c r="J62" s="100">
        <v>0.41</v>
      </c>
      <c r="K62" s="100">
        <v>3.3</v>
      </c>
      <c r="L62" s="100">
        <v>37.200000000000003</v>
      </c>
      <c r="M62" s="100">
        <v>15.27</v>
      </c>
      <c r="N62" s="100">
        <v>344.6</v>
      </c>
      <c r="O62" s="100">
        <v>0</v>
      </c>
      <c r="P62" s="100">
        <v>0.59</v>
      </c>
      <c r="Q62" s="100">
        <v>28.02</v>
      </c>
      <c r="R62" s="6"/>
      <c r="S62" s="6"/>
      <c r="T62" s="156"/>
      <c r="U62" s="6"/>
    </row>
    <row r="63" spans="1:21" customFormat="1">
      <c r="A63" s="163" t="s">
        <v>1925</v>
      </c>
      <c r="B63" s="100">
        <v>4.3099999999999996</v>
      </c>
      <c r="C63" s="100">
        <v>18.29</v>
      </c>
      <c r="D63" s="100">
        <v>14.36</v>
      </c>
      <c r="E63" s="100">
        <v>14.85</v>
      </c>
      <c r="F63" s="152" t="s">
        <v>15</v>
      </c>
      <c r="G63" s="100">
        <v>76.709999999999994</v>
      </c>
      <c r="H63" s="100">
        <v>27.49</v>
      </c>
      <c r="I63" s="100">
        <v>6.73</v>
      </c>
      <c r="J63" s="100">
        <v>0.46</v>
      </c>
      <c r="K63" s="100">
        <v>43.21</v>
      </c>
      <c r="L63" s="100">
        <v>37.81</v>
      </c>
      <c r="M63" s="100">
        <v>14.9</v>
      </c>
      <c r="N63" s="100">
        <v>331</v>
      </c>
      <c r="O63" s="100">
        <v>0</v>
      </c>
      <c r="P63" s="100">
        <v>0.59</v>
      </c>
      <c r="Q63" s="100">
        <v>28.02</v>
      </c>
      <c r="R63" s="6"/>
      <c r="S63" s="6"/>
      <c r="T63" s="156"/>
      <c r="U63" s="6"/>
    </row>
    <row r="64" spans="1:21" customFormat="1">
      <c r="A64" s="163" t="s">
        <v>1926</v>
      </c>
      <c r="B64" s="100">
        <v>4.37</v>
      </c>
      <c r="C64" s="100">
        <v>17.8</v>
      </c>
      <c r="D64" s="100">
        <v>14.16</v>
      </c>
      <c r="E64" s="100">
        <v>19.079999999999998</v>
      </c>
      <c r="F64" s="152" t="s">
        <v>15</v>
      </c>
      <c r="G64" s="100">
        <v>68.77</v>
      </c>
      <c r="H64" s="100">
        <v>26.98</v>
      </c>
      <c r="I64" s="100">
        <v>6.64</v>
      </c>
      <c r="J64" s="100">
        <v>0.34</v>
      </c>
      <c r="K64" s="100">
        <v>262.25</v>
      </c>
      <c r="L64" s="100">
        <v>37.67</v>
      </c>
      <c r="M64" s="100">
        <v>15.54</v>
      </c>
      <c r="N64" s="100">
        <v>348.9</v>
      </c>
      <c r="O64" s="100">
        <v>0</v>
      </c>
      <c r="P64" s="100">
        <v>0.57999999999999996</v>
      </c>
      <c r="Q64" s="100">
        <v>28.03</v>
      </c>
      <c r="R64" s="6"/>
      <c r="S64" s="6"/>
      <c r="T64" s="156"/>
      <c r="U64" s="6"/>
    </row>
    <row r="65" spans="1:21" customFormat="1">
      <c r="A65" s="163" t="s">
        <v>1927</v>
      </c>
      <c r="B65" s="100">
        <v>4.38</v>
      </c>
      <c r="C65" s="100">
        <v>18.100000000000001</v>
      </c>
      <c r="D65" s="100">
        <v>14.32</v>
      </c>
      <c r="E65" s="100">
        <v>18.37</v>
      </c>
      <c r="F65" s="152" t="s">
        <v>15</v>
      </c>
      <c r="G65" s="100">
        <v>65.89</v>
      </c>
      <c r="H65" s="100">
        <v>26.97</v>
      </c>
      <c r="I65" s="100">
        <v>6.47</v>
      </c>
      <c r="J65" s="100">
        <v>0.38</v>
      </c>
      <c r="K65" s="100">
        <v>330.91</v>
      </c>
      <c r="L65" s="100">
        <v>38.26</v>
      </c>
      <c r="M65" s="100">
        <v>14.73</v>
      </c>
      <c r="N65" s="100">
        <v>339.3</v>
      </c>
      <c r="O65" s="100">
        <v>0</v>
      </c>
      <c r="P65" s="100">
        <v>0.57999999999999996</v>
      </c>
      <c r="Q65" s="100">
        <v>28.02</v>
      </c>
      <c r="R65" s="6"/>
      <c r="S65" s="6"/>
      <c r="T65" s="156"/>
      <c r="U65" s="6"/>
    </row>
    <row r="66" spans="1:21" customFormat="1">
      <c r="A66" s="163" t="s">
        <v>1928</v>
      </c>
      <c r="B66" s="100">
        <v>4.53</v>
      </c>
      <c r="C66" s="100">
        <v>18.61</v>
      </c>
      <c r="D66" s="100">
        <v>14.71</v>
      </c>
      <c r="E66" s="100">
        <v>18.79</v>
      </c>
      <c r="F66" s="152" t="s">
        <v>15</v>
      </c>
      <c r="G66" s="100">
        <v>65.89</v>
      </c>
      <c r="H66" s="100">
        <v>26.97</v>
      </c>
      <c r="I66" s="100">
        <v>6.44</v>
      </c>
      <c r="J66" s="100">
        <v>0.83</v>
      </c>
      <c r="K66" s="100">
        <v>351.59</v>
      </c>
      <c r="L66" s="100">
        <v>37.72</v>
      </c>
      <c r="M66" s="100">
        <v>15.04</v>
      </c>
      <c r="N66" s="100">
        <v>343.1</v>
      </c>
      <c r="O66" s="100">
        <v>0</v>
      </c>
      <c r="P66" s="100">
        <v>0.57999999999999996</v>
      </c>
      <c r="Q66" s="100">
        <v>28.01</v>
      </c>
      <c r="R66" s="6"/>
      <c r="S66" s="6"/>
      <c r="T66" s="156"/>
      <c r="U66" s="6"/>
    </row>
    <row r="67" spans="1:21" customFormat="1">
      <c r="A67" s="163" t="s">
        <v>1929</v>
      </c>
      <c r="B67" s="100">
        <v>4.5599999999999996</v>
      </c>
      <c r="C67" s="100">
        <v>18.61</v>
      </c>
      <c r="D67" s="100">
        <v>14.73</v>
      </c>
      <c r="E67" s="100">
        <v>19.260000000000002</v>
      </c>
      <c r="F67" s="152" t="s">
        <v>15</v>
      </c>
      <c r="G67" s="100">
        <v>65.89</v>
      </c>
      <c r="H67" s="100">
        <v>26.97</v>
      </c>
      <c r="I67" s="100">
        <v>6.55</v>
      </c>
      <c r="J67" s="100">
        <v>0.1</v>
      </c>
      <c r="K67" s="100">
        <v>181.21</v>
      </c>
      <c r="L67" s="100">
        <v>37.96</v>
      </c>
      <c r="M67" s="100">
        <v>14.84</v>
      </c>
      <c r="N67" s="100">
        <v>312.3</v>
      </c>
      <c r="O67" s="100">
        <v>0</v>
      </c>
      <c r="P67" s="100">
        <v>0.57999999999999996</v>
      </c>
      <c r="Q67" s="100">
        <v>28.03</v>
      </c>
      <c r="R67" s="6"/>
      <c r="S67" s="6"/>
      <c r="T67" s="156"/>
      <c r="U67" s="6"/>
    </row>
    <row r="68" spans="1:21" customFormat="1">
      <c r="A68" s="163" t="s">
        <v>1930</v>
      </c>
      <c r="B68" s="100">
        <v>4.7</v>
      </c>
      <c r="C68" s="100">
        <v>18.36</v>
      </c>
      <c r="D68" s="100">
        <v>14.71</v>
      </c>
      <c r="E68" s="100">
        <v>22.19</v>
      </c>
      <c r="F68" s="152" t="s">
        <v>15</v>
      </c>
      <c r="G68" s="100">
        <v>64.36</v>
      </c>
      <c r="H68" s="100">
        <v>23.89</v>
      </c>
      <c r="I68" s="100">
        <v>6.47</v>
      </c>
      <c r="J68" s="100">
        <v>0.93</v>
      </c>
      <c r="K68" s="100">
        <v>34.93</v>
      </c>
      <c r="L68" s="100">
        <v>37.36</v>
      </c>
      <c r="M68" s="100">
        <v>14.93</v>
      </c>
      <c r="N68" s="100">
        <v>226.8</v>
      </c>
      <c r="O68" s="100">
        <v>0</v>
      </c>
      <c r="P68" s="100">
        <v>0.59</v>
      </c>
      <c r="Q68" s="100">
        <v>28.03</v>
      </c>
      <c r="R68" s="6"/>
      <c r="S68" s="6"/>
      <c r="T68" s="156"/>
      <c r="U68" s="6"/>
    </row>
    <row r="69" spans="1:21" customFormat="1">
      <c r="A69" s="163" t="s">
        <v>1931</v>
      </c>
      <c r="B69" s="100">
        <v>4.74</v>
      </c>
      <c r="C69" s="100">
        <v>19.329999999999998</v>
      </c>
      <c r="D69" s="100">
        <v>15.25</v>
      </c>
      <c r="E69" s="100">
        <v>17.940000000000001</v>
      </c>
      <c r="F69" s="152" t="s">
        <v>15</v>
      </c>
      <c r="G69" s="100">
        <v>63.8</v>
      </c>
      <c r="H69" s="100">
        <v>23.84</v>
      </c>
      <c r="I69" s="100">
        <v>6.36</v>
      </c>
      <c r="J69" s="100">
        <v>0.91</v>
      </c>
      <c r="K69" s="100">
        <v>12.18</v>
      </c>
      <c r="L69" s="100">
        <v>37.08</v>
      </c>
      <c r="M69" s="100">
        <v>14.52</v>
      </c>
      <c r="N69" s="100">
        <v>211.7</v>
      </c>
      <c r="O69" s="100">
        <v>0</v>
      </c>
      <c r="P69" s="100">
        <v>0.56999999999999995</v>
      </c>
      <c r="Q69" s="100">
        <v>28.05</v>
      </c>
      <c r="R69" s="6"/>
      <c r="S69" s="6"/>
      <c r="T69" s="156"/>
      <c r="U69" s="6"/>
    </row>
    <row r="70" spans="1:21" customFormat="1">
      <c r="A70" s="163" t="s">
        <v>1932</v>
      </c>
      <c r="B70" s="100">
        <v>4.55</v>
      </c>
      <c r="C70" s="100">
        <v>18.57</v>
      </c>
      <c r="D70" s="100">
        <v>14.7</v>
      </c>
      <c r="E70" s="100">
        <v>13.77</v>
      </c>
      <c r="F70" s="152" t="s">
        <v>15</v>
      </c>
      <c r="G70" s="100">
        <v>63.8</v>
      </c>
      <c r="H70" s="100">
        <v>23.84</v>
      </c>
      <c r="I70" s="100">
        <v>6.2</v>
      </c>
      <c r="J70" s="100">
        <v>1.19</v>
      </c>
      <c r="K70" s="100">
        <v>317.38</v>
      </c>
      <c r="L70" s="100">
        <v>37.07</v>
      </c>
      <c r="M70" s="100">
        <v>14.38</v>
      </c>
      <c r="N70" s="100">
        <v>259.60000000000002</v>
      </c>
      <c r="O70" s="100">
        <v>0</v>
      </c>
      <c r="P70" s="100">
        <v>0.56000000000000005</v>
      </c>
      <c r="Q70" s="100">
        <v>28.03</v>
      </c>
      <c r="R70" s="6"/>
      <c r="S70" s="6"/>
      <c r="T70" s="156"/>
      <c r="U70" s="6"/>
    </row>
    <row r="71" spans="1:21" customFormat="1">
      <c r="A71" s="163" t="s">
        <v>1933</v>
      </c>
      <c r="B71" s="100">
        <v>4.29</v>
      </c>
      <c r="C71" s="100">
        <v>18.079999999999998</v>
      </c>
      <c r="D71" s="100">
        <v>14.24</v>
      </c>
      <c r="E71" s="100">
        <v>11.39</v>
      </c>
      <c r="F71" s="152" t="s">
        <v>15</v>
      </c>
      <c r="G71" s="100">
        <v>63.8</v>
      </c>
      <c r="H71" s="100">
        <v>23.84</v>
      </c>
      <c r="I71" s="100">
        <v>6.21</v>
      </c>
      <c r="J71" s="100">
        <v>1.1299999999999999</v>
      </c>
      <c r="K71" s="100">
        <v>320.24</v>
      </c>
      <c r="L71" s="100">
        <v>36.94</v>
      </c>
      <c r="M71" s="100">
        <v>14.81</v>
      </c>
      <c r="N71" s="100">
        <v>297.89999999999998</v>
      </c>
      <c r="O71" s="100">
        <v>0</v>
      </c>
      <c r="P71" s="100">
        <v>0.56000000000000005</v>
      </c>
      <c r="Q71" s="100">
        <v>28.02</v>
      </c>
      <c r="R71" s="6"/>
      <c r="S71" s="6"/>
      <c r="T71" s="156"/>
      <c r="U71" s="6"/>
    </row>
    <row r="72" spans="1:21" customFormat="1">
      <c r="A72" s="163" t="s">
        <v>1934</v>
      </c>
      <c r="B72" s="100">
        <v>4.51</v>
      </c>
      <c r="C72" s="100">
        <v>18.43</v>
      </c>
      <c r="D72" s="100">
        <v>14.6</v>
      </c>
      <c r="E72" s="100">
        <v>13.99</v>
      </c>
      <c r="F72" s="152" t="s">
        <v>15</v>
      </c>
      <c r="G72" s="100">
        <v>62.25</v>
      </c>
      <c r="H72" s="100">
        <v>23.62</v>
      </c>
      <c r="I72" s="100">
        <v>6.21</v>
      </c>
      <c r="J72" s="100">
        <v>0.5</v>
      </c>
      <c r="K72" s="100">
        <v>326.51</v>
      </c>
      <c r="L72" s="100">
        <v>37.549999999999997</v>
      </c>
      <c r="M72" s="100">
        <v>14.15</v>
      </c>
      <c r="N72" s="100">
        <v>256</v>
      </c>
      <c r="O72" s="100">
        <v>0</v>
      </c>
      <c r="P72" s="100">
        <v>0.51</v>
      </c>
      <c r="Q72" s="100">
        <v>28.03</v>
      </c>
      <c r="R72" s="6"/>
      <c r="S72" s="6"/>
      <c r="T72" s="156"/>
      <c r="U72" s="6"/>
    </row>
    <row r="73" spans="1:21" customFormat="1">
      <c r="A73" s="163" t="s">
        <v>1935</v>
      </c>
      <c r="B73" s="100">
        <v>4.46</v>
      </c>
      <c r="C73" s="100">
        <v>18.72</v>
      </c>
      <c r="D73" s="100">
        <v>14.71</v>
      </c>
      <c r="E73" s="100">
        <v>11.97</v>
      </c>
      <c r="F73" s="152" t="s">
        <v>15</v>
      </c>
      <c r="G73" s="100">
        <v>61.69</v>
      </c>
      <c r="H73" s="100">
        <v>23.62</v>
      </c>
      <c r="I73" s="100">
        <v>5.95</v>
      </c>
      <c r="J73" s="100">
        <v>1.18</v>
      </c>
      <c r="K73" s="100">
        <v>309.18</v>
      </c>
      <c r="L73" s="100">
        <v>37.07</v>
      </c>
      <c r="M73" s="100">
        <v>14.8</v>
      </c>
      <c r="N73" s="100">
        <v>81.2</v>
      </c>
      <c r="O73" s="100">
        <v>0</v>
      </c>
      <c r="P73" s="100">
        <v>0.52</v>
      </c>
      <c r="Q73" s="100">
        <v>28.01</v>
      </c>
      <c r="R73" s="6"/>
      <c r="S73" s="6"/>
      <c r="T73" s="156"/>
      <c r="U73" s="6"/>
    </row>
    <row r="74" spans="1:21" customFormat="1">
      <c r="A74" s="163" t="s">
        <v>1936</v>
      </c>
      <c r="B74" s="100">
        <v>4.29</v>
      </c>
      <c r="C74" s="100">
        <v>19.46</v>
      </c>
      <c r="D74" s="100">
        <v>14.96</v>
      </c>
      <c r="E74" s="100">
        <v>11.97</v>
      </c>
      <c r="F74" s="152" t="s">
        <v>15</v>
      </c>
      <c r="G74" s="100">
        <v>61.69</v>
      </c>
      <c r="H74" s="100">
        <v>23.62</v>
      </c>
      <c r="I74" s="100">
        <v>5.65</v>
      </c>
      <c r="J74" s="100">
        <v>0.93</v>
      </c>
      <c r="K74" s="100">
        <v>319.39999999999998</v>
      </c>
      <c r="L74" s="100">
        <v>36.479999999999997</v>
      </c>
      <c r="M74" s="100">
        <v>15.08</v>
      </c>
      <c r="N74" s="100">
        <v>67.7</v>
      </c>
      <c r="O74" s="100">
        <v>0</v>
      </c>
      <c r="P74" s="100">
        <v>0.51</v>
      </c>
      <c r="Q74" s="100">
        <v>28</v>
      </c>
      <c r="R74" s="6"/>
      <c r="S74" s="6"/>
      <c r="T74" s="156"/>
      <c r="U74" s="6"/>
    </row>
    <row r="75" spans="1:21" customFormat="1">
      <c r="A75" s="163" t="s">
        <v>1937</v>
      </c>
      <c r="B75" s="100">
        <v>4.18</v>
      </c>
      <c r="C75" s="100">
        <v>19.23</v>
      </c>
      <c r="D75" s="100">
        <v>14.75</v>
      </c>
      <c r="E75" s="100">
        <v>13.04</v>
      </c>
      <c r="F75" s="152" t="s">
        <v>15</v>
      </c>
      <c r="G75" s="100">
        <v>61.69</v>
      </c>
      <c r="H75" s="100">
        <v>23.62</v>
      </c>
      <c r="I75" s="100">
        <v>5.71</v>
      </c>
      <c r="J75" s="100">
        <v>0.62</v>
      </c>
      <c r="K75" s="100">
        <v>291.52999999999997</v>
      </c>
      <c r="L75" s="100">
        <v>36.6</v>
      </c>
      <c r="M75" s="100">
        <v>15.28</v>
      </c>
      <c r="N75" s="100">
        <v>125.2</v>
      </c>
      <c r="O75" s="100">
        <v>0</v>
      </c>
      <c r="P75" s="100">
        <v>0.51</v>
      </c>
      <c r="Q75" s="100">
        <v>28.01</v>
      </c>
      <c r="R75" s="6"/>
      <c r="S75" s="6"/>
      <c r="T75" s="156"/>
      <c r="U75" s="6"/>
    </row>
    <row r="76" spans="1:21" customFormat="1">
      <c r="A76" s="163" t="s">
        <v>1938</v>
      </c>
      <c r="B76" s="100">
        <v>3.89</v>
      </c>
      <c r="C76" s="100">
        <v>15.82</v>
      </c>
      <c r="D76" s="100">
        <v>12.73</v>
      </c>
      <c r="E76" s="100">
        <v>14.7</v>
      </c>
      <c r="F76" s="152" t="s">
        <v>15</v>
      </c>
      <c r="G76" s="100">
        <v>55.52</v>
      </c>
      <c r="H76" s="100">
        <v>21.17</v>
      </c>
      <c r="I76" s="100">
        <v>5.69</v>
      </c>
      <c r="J76" s="100">
        <v>0.42</v>
      </c>
      <c r="K76" s="100">
        <v>250.92</v>
      </c>
      <c r="L76" s="100">
        <v>36.51</v>
      </c>
      <c r="M76" s="100">
        <v>15.87</v>
      </c>
      <c r="N76" s="100">
        <v>77</v>
      </c>
      <c r="O76" s="100">
        <v>0</v>
      </c>
      <c r="P76" s="100">
        <v>0.46</v>
      </c>
      <c r="Q76" s="100">
        <v>28.02</v>
      </c>
      <c r="R76" s="6"/>
      <c r="S76" s="6"/>
      <c r="T76" s="156"/>
      <c r="U76" s="6"/>
    </row>
    <row r="77" spans="1:21" customFormat="1">
      <c r="A77" s="163" t="s">
        <v>1939</v>
      </c>
      <c r="B77" s="100">
        <v>3.72</v>
      </c>
      <c r="C77" s="100">
        <v>14.63</v>
      </c>
      <c r="D77" s="100">
        <v>11.98</v>
      </c>
      <c r="E77" s="100">
        <v>13.89</v>
      </c>
      <c r="F77" s="152" t="s">
        <v>15</v>
      </c>
      <c r="G77" s="100">
        <v>53.28</v>
      </c>
      <c r="H77" s="100">
        <v>21.11</v>
      </c>
      <c r="I77" s="100">
        <v>5.41</v>
      </c>
      <c r="J77" s="100">
        <v>0.28000000000000003</v>
      </c>
      <c r="K77" s="100">
        <v>210.68</v>
      </c>
      <c r="L77" s="100">
        <v>35.96</v>
      </c>
      <c r="M77" s="100">
        <v>18.34</v>
      </c>
      <c r="N77" s="100">
        <v>40.1</v>
      </c>
      <c r="O77" s="100">
        <v>0</v>
      </c>
      <c r="P77" s="100">
        <v>0.48</v>
      </c>
      <c r="Q77" s="100">
        <v>28.01</v>
      </c>
      <c r="R77" s="6"/>
      <c r="S77" s="6"/>
      <c r="T77" s="156"/>
      <c r="U77" s="6"/>
    </row>
    <row r="78" spans="1:21" customFormat="1">
      <c r="A78" s="163" t="s">
        <v>1940</v>
      </c>
      <c r="B78" s="100">
        <v>3.68</v>
      </c>
      <c r="C78" s="100">
        <v>14.12</v>
      </c>
      <c r="D78" s="100">
        <v>11.68</v>
      </c>
      <c r="E78" s="100">
        <v>14.25</v>
      </c>
      <c r="F78" s="152" t="s">
        <v>15</v>
      </c>
      <c r="G78" s="100">
        <v>53.28</v>
      </c>
      <c r="H78" s="100">
        <v>21.11</v>
      </c>
      <c r="I78" s="100">
        <v>5.16</v>
      </c>
      <c r="J78" s="100">
        <v>0.22</v>
      </c>
      <c r="K78" s="100">
        <v>185.38</v>
      </c>
      <c r="L78" s="100">
        <v>35.25</v>
      </c>
      <c r="M78" s="100">
        <v>19.13</v>
      </c>
      <c r="N78" s="100">
        <v>30.7</v>
      </c>
      <c r="O78" s="100">
        <v>0</v>
      </c>
      <c r="P78" s="100">
        <v>0.46</v>
      </c>
      <c r="Q78" s="100">
        <v>28.01</v>
      </c>
      <c r="R78" s="6"/>
      <c r="S78" s="6"/>
      <c r="T78" s="156"/>
      <c r="U78" s="6"/>
    </row>
    <row r="79" spans="1:21" customFormat="1">
      <c r="A79" s="163" t="s">
        <v>1941</v>
      </c>
      <c r="B79" s="100">
        <v>3.67</v>
      </c>
      <c r="C79" s="100">
        <v>13.57</v>
      </c>
      <c r="D79" s="100">
        <v>11.38</v>
      </c>
      <c r="E79" s="100">
        <v>14.54</v>
      </c>
      <c r="F79" s="152" t="s">
        <v>15</v>
      </c>
      <c r="G79" s="100">
        <v>53.28</v>
      </c>
      <c r="H79" s="100">
        <v>21.11</v>
      </c>
      <c r="I79" s="100">
        <v>5.05</v>
      </c>
      <c r="J79" s="100">
        <v>0.36</v>
      </c>
      <c r="K79" s="100">
        <v>167.49</v>
      </c>
      <c r="L79" s="100">
        <v>34.380000000000003</v>
      </c>
      <c r="M79" s="100">
        <v>20.420000000000002</v>
      </c>
      <c r="N79" s="100">
        <v>21.5</v>
      </c>
      <c r="O79" s="100">
        <v>0</v>
      </c>
      <c r="P79" s="100">
        <v>0.48</v>
      </c>
      <c r="Q79" s="100">
        <v>28</v>
      </c>
      <c r="R79" s="6"/>
      <c r="S79" s="6"/>
      <c r="T79" s="156"/>
      <c r="U79" s="6"/>
    </row>
    <row r="80" spans="1:21" customFormat="1">
      <c r="A80" s="163" t="s">
        <v>1942</v>
      </c>
      <c r="B80" s="100">
        <v>3.69</v>
      </c>
      <c r="C80" s="100">
        <v>14.06</v>
      </c>
      <c r="D80" s="100">
        <v>11.66</v>
      </c>
      <c r="E80" s="100">
        <v>12.68</v>
      </c>
      <c r="F80" s="152" t="s">
        <v>15</v>
      </c>
      <c r="G80" s="100">
        <v>53.26</v>
      </c>
      <c r="H80" s="100">
        <v>19.62</v>
      </c>
      <c r="I80" s="100">
        <v>5.08</v>
      </c>
      <c r="J80" s="100">
        <v>0.21</v>
      </c>
      <c r="K80" s="100">
        <v>178.13</v>
      </c>
      <c r="L80" s="100">
        <v>33.06</v>
      </c>
      <c r="M80" s="100">
        <v>25.54</v>
      </c>
      <c r="N80" s="100">
        <v>13.8</v>
      </c>
      <c r="O80" s="100">
        <v>0</v>
      </c>
      <c r="P80" s="100">
        <v>0.51</v>
      </c>
      <c r="Q80" s="100">
        <v>28</v>
      </c>
      <c r="R80" s="6"/>
      <c r="S80" s="6"/>
      <c r="T80" s="156"/>
      <c r="U80" s="6"/>
    </row>
    <row r="81" spans="1:21" customFormat="1">
      <c r="A81" s="163" t="s">
        <v>1943</v>
      </c>
      <c r="B81" s="100">
        <v>3.72</v>
      </c>
      <c r="C81" s="100">
        <v>14.36</v>
      </c>
      <c r="D81" s="100">
        <v>11.84</v>
      </c>
      <c r="E81" s="100">
        <v>8.8699999999999992</v>
      </c>
      <c r="F81" s="152" t="s">
        <v>15</v>
      </c>
      <c r="G81" s="100">
        <v>53.25</v>
      </c>
      <c r="H81" s="100">
        <v>19.600000000000001</v>
      </c>
      <c r="I81" s="100">
        <v>5.28</v>
      </c>
      <c r="J81" s="100">
        <v>0.23</v>
      </c>
      <c r="K81" s="100">
        <v>165.81</v>
      </c>
      <c r="L81" s="100">
        <v>32.06</v>
      </c>
      <c r="M81" s="100">
        <v>27.26</v>
      </c>
      <c r="N81" s="100">
        <v>7.9</v>
      </c>
      <c r="O81" s="100">
        <v>0</v>
      </c>
      <c r="P81" s="100">
        <v>0.52</v>
      </c>
      <c r="Q81" s="100">
        <v>28.01</v>
      </c>
      <c r="R81" s="6"/>
      <c r="S81" s="6"/>
      <c r="T81" s="156"/>
      <c r="U81" s="6"/>
    </row>
    <row r="82" spans="1:21" customFormat="1">
      <c r="A82" s="163" t="s">
        <v>1944</v>
      </c>
      <c r="B82" s="100">
        <v>3.74</v>
      </c>
      <c r="C82" s="100">
        <v>14.56</v>
      </c>
      <c r="D82" s="100">
        <v>11.95</v>
      </c>
      <c r="E82" s="100">
        <v>11.62</v>
      </c>
      <c r="F82" s="152" t="s">
        <v>15</v>
      </c>
      <c r="G82" s="100">
        <v>53.25</v>
      </c>
      <c r="H82" s="100">
        <v>19.600000000000001</v>
      </c>
      <c r="I82" s="100">
        <v>5.91</v>
      </c>
      <c r="J82" s="100">
        <v>0.2</v>
      </c>
      <c r="K82" s="100">
        <v>166.47</v>
      </c>
      <c r="L82" s="100">
        <v>31.54</v>
      </c>
      <c r="M82" s="100">
        <v>26.8</v>
      </c>
      <c r="N82" s="100">
        <v>5.8</v>
      </c>
      <c r="O82" s="100">
        <v>0</v>
      </c>
      <c r="P82" s="100">
        <v>0.51</v>
      </c>
      <c r="Q82" s="100">
        <v>28.01</v>
      </c>
      <c r="R82" s="6"/>
      <c r="S82" s="6"/>
      <c r="T82" s="156"/>
      <c r="U82" s="6"/>
    </row>
    <row r="83" spans="1:21" customFormat="1">
      <c r="A83" s="163" t="s">
        <v>1945</v>
      </c>
      <c r="B83" s="100">
        <v>3.75</v>
      </c>
      <c r="C83" s="100">
        <v>14.36</v>
      </c>
      <c r="D83" s="100">
        <v>11.86</v>
      </c>
      <c r="E83" s="100">
        <v>12.2</v>
      </c>
      <c r="F83" s="152" t="s">
        <v>15</v>
      </c>
      <c r="G83" s="100">
        <v>53.25</v>
      </c>
      <c r="H83" s="100">
        <v>19.600000000000001</v>
      </c>
      <c r="I83" s="100">
        <v>6.13</v>
      </c>
      <c r="J83" s="100">
        <v>0.26</v>
      </c>
      <c r="K83" s="100">
        <v>171.92</v>
      </c>
      <c r="L83" s="100">
        <v>30.98</v>
      </c>
      <c r="M83" s="100">
        <v>27.43</v>
      </c>
      <c r="N83" s="100">
        <v>5.8</v>
      </c>
      <c r="O83" s="100">
        <v>0</v>
      </c>
      <c r="P83" s="100">
        <v>0.51</v>
      </c>
      <c r="Q83" s="100">
        <v>28</v>
      </c>
      <c r="R83" s="6"/>
      <c r="S83" s="6"/>
      <c r="T83" s="156"/>
      <c r="U83" s="6"/>
    </row>
    <row r="84" spans="1:21" customFormat="1">
      <c r="A84" s="163" t="s">
        <v>1946</v>
      </c>
      <c r="B84" s="100">
        <v>3.8</v>
      </c>
      <c r="C84" s="100">
        <v>15</v>
      </c>
      <c r="D84" s="100">
        <v>12.24</v>
      </c>
      <c r="E84" s="100">
        <v>10.99</v>
      </c>
      <c r="F84" s="152" t="s">
        <v>15</v>
      </c>
      <c r="G84" s="100">
        <v>58.17</v>
      </c>
      <c r="H84" s="100">
        <v>20.55</v>
      </c>
      <c r="I84" s="100">
        <v>5.82</v>
      </c>
      <c r="J84" s="100">
        <v>0.24</v>
      </c>
      <c r="K84" s="100">
        <v>173.26</v>
      </c>
      <c r="L84" s="100">
        <v>29.84</v>
      </c>
      <c r="M84" s="100">
        <v>34.19</v>
      </c>
      <c r="N84" s="100">
        <v>6.2</v>
      </c>
      <c r="O84" s="100">
        <v>0</v>
      </c>
      <c r="P84" s="100">
        <v>0.56999999999999995</v>
      </c>
      <c r="Q84" s="100">
        <v>27.99</v>
      </c>
      <c r="R84" s="6"/>
      <c r="S84" s="6"/>
      <c r="T84" s="156"/>
      <c r="U84" s="6"/>
    </row>
    <row r="85" spans="1:21" customFormat="1">
      <c r="A85" s="163" t="s">
        <v>1947</v>
      </c>
      <c r="B85" s="100">
        <v>3.85</v>
      </c>
      <c r="C85" s="100">
        <v>15.71</v>
      </c>
      <c r="D85" s="100">
        <v>12.65</v>
      </c>
      <c r="E85" s="100">
        <v>10.92</v>
      </c>
      <c r="F85" s="152" t="s">
        <v>15</v>
      </c>
      <c r="G85" s="100">
        <v>59.96</v>
      </c>
      <c r="H85" s="100">
        <v>20.56</v>
      </c>
      <c r="I85" s="100">
        <v>5.8</v>
      </c>
      <c r="J85" s="100">
        <v>0.28000000000000003</v>
      </c>
      <c r="K85" s="100">
        <v>171.11</v>
      </c>
      <c r="L85" s="100">
        <v>29.62</v>
      </c>
      <c r="M85" s="100">
        <v>31.94</v>
      </c>
      <c r="N85" s="100">
        <v>5.6</v>
      </c>
      <c r="O85" s="100">
        <v>0</v>
      </c>
      <c r="P85" s="100">
        <v>0.7</v>
      </c>
      <c r="Q85" s="100">
        <v>28.01</v>
      </c>
      <c r="R85" s="6"/>
      <c r="S85" s="6"/>
      <c r="T85" s="156"/>
      <c r="U85" s="6"/>
    </row>
    <row r="86" spans="1:21" customFormat="1">
      <c r="A86" s="163" t="s">
        <v>1948</v>
      </c>
      <c r="B86" s="100">
        <v>4.1100000000000003</v>
      </c>
      <c r="C86" s="100">
        <v>16.53</v>
      </c>
      <c r="D86" s="100">
        <v>13.28</v>
      </c>
      <c r="E86" s="100">
        <v>11.2</v>
      </c>
      <c r="F86" s="152" t="s">
        <v>15</v>
      </c>
      <c r="G86" s="100">
        <v>59.96</v>
      </c>
      <c r="H86" s="100">
        <v>20.56</v>
      </c>
      <c r="I86" s="100">
        <v>6.39</v>
      </c>
      <c r="J86" s="100">
        <v>0.17</v>
      </c>
      <c r="K86" s="100">
        <v>156.63</v>
      </c>
      <c r="L86" s="100">
        <v>29.41</v>
      </c>
      <c r="M86" s="100">
        <v>31.93</v>
      </c>
      <c r="N86" s="100">
        <v>5.5</v>
      </c>
      <c r="O86" s="100">
        <v>0</v>
      </c>
      <c r="P86" s="100">
        <v>0.68</v>
      </c>
      <c r="Q86" s="100">
        <v>27.99</v>
      </c>
      <c r="R86" s="6"/>
      <c r="S86" s="6"/>
      <c r="T86" s="156"/>
      <c r="U86" s="6"/>
    </row>
    <row r="87" spans="1:21" customFormat="1">
      <c r="A87" s="163" t="s">
        <v>1949</v>
      </c>
      <c r="B87" s="100">
        <v>7.8</v>
      </c>
      <c r="C87" s="100">
        <v>21.95</v>
      </c>
      <c r="D87" s="100">
        <v>19.07</v>
      </c>
      <c r="E87" s="100">
        <v>11.19</v>
      </c>
      <c r="F87" s="152" t="s">
        <v>15</v>
      </c>
      <c r="G87" s="100">
        <v>59.96</v>
      </c>
      <c r="H87" s="100">
        <v>20.56</v>
      </c>
      <c r="I87" s="100">
        <v>8.31</v>
      </c>
      <c r="J87" s="100">
        <v>0.25</v>
      </c>
      <c r="K87" s="100">
        <v>85.75</v>
      </c>
      <c r="L87" s="100">
        <v>29.47</v>
      </c>
      <c r="M87" s="100">
        <v>32.119999999999997</v>
      </c>
      <c r="N87" s="100">
        <v>5.2</v>
      </c>
      <c r="O87" s="100">
        <v>0</v>
      </c>
      <c r="P87" s="100">
        <v>0.8</v>
      </c>
      <c r="Q87" s="100">
        <v>28</v>
      </c>
      <c r="R87" s="6"/>
      <c r="S87" s="6"/>
      <c r="T87" s="156"/>
      <c r="U87" s="6"/>
    </row>
    <row r="88" spans="1:21" customFormat="1">
      <c r="A88" s="163" t="s">
        <v>1950</v>
      </c>
      <c r="B88" s="100">
        <v>6.32</v>
      </c>
      <c r="C88" s="100">
        <v>25.42</v>
      </c>
      <c r="D88" s="100">
        <v>19.7</v>
      </c>
      <c r="E88" s="100">
        <v>11.55</v>
      </c>
      <c r="F88" s="152" t="s">
        <v>15</v>
      </c>
      <c r="G88" s="100">
        <v>167.88</v>
      </c>
      <c r="H88" s="100">
        <v>44.43</v>
      </c>
      <c r="I88" s="100">
        <v>9.75</v>
      </c>
      <c r="J88" s="100">
        <v>0.23</v>
      </c>
      <c r="K88" s="100">
        <v>152.74</v>
      </c>
      <c r="L88" s="100">
        <v>29.49</v>
      </c>
      <c r="M88" s="100">
        <v>32.64</v>
      </c>
      <c r="N88" s="100">
        <v>5.4</v>
      </c>
      <c r="O88" s="100">
        <v>0</v>
      </c>
      <c r="P88" s="100">
        <v>0.82</v>
      </c>
      <c r="Q88" s="100">
        <v>28.03</v>
      </c>
      <c r="R88" s="6"/>
      <c r="S88" s="6"/>
      <c r="T88" s="156"/>
      <c r="U88" s="6"/>
    </row>
    <row r="89" spans="1:21" customFormat="1">
      <c r="A89" s="163" t="s">
        <v>1951</v>
      </c>
      <c r="B89" s="100">
        <v>5.33</v>
      </c>
      <c r="C89" s="100">
        <v>22.29</v>
      </c>
      <c r="D89" s="100">
        <v>17.28</v>
      </c>
      <c r="E89" s="100">
        <v>10.24</v>
      </c>
      <c r="F89" s="152" t="s">
        <v>15</v>
      </c>
      <c r="G89" s="100">
        <v>207.12</v>
      </c>
      <c r="H89" s="100">
        <v>44.79</v>
      </c>
      <c r="I89" s="100">
        <v>9.23</v>
      </c>
      <c r="J89" s="100">
        <v>0.17</v>
      </c>
      <c r="K89" s="100">
        <v>186.73</v>
      </c>
      <c r="L89" s="100">
        <v>28.56</v>
      </c>
      <c r="M89" s="100">
        <v>36.11</v>
      </c>
      <c r="N89" s="100">
        <v>6</v>
      </c>
      <c r="O89" s="100">
        <v>0</v>
      </c>
      <c r="P89" s="100">
        <v>0.78</v>
      </c>
      <c r="Q89" s="100">
        <v>28.02</v>
      </c>
      <c r="R89" s="6"/>
      <c r="S89" s="6"/>
      <c r="T89" s="156"/>
      <c r="U89" s="6"/>
    </row>
    <row r="90" spans="1:21" customFormat="1">
      <c r="A90" s="163" t="s">
        <v>1952</v>
      </c>
      <c r="B90" s="100">
        <v>7.96</v>
      </c>
      <c r="C90" s="100">
        <v>24.29</v>
      </c>
      <c r="D90" s="100">
        <v>20.420000000000002</v>
      </c>
      <c r="E90" s="100">
        <v>10.43</v>
      </c>
      <c r="F90" s="152" t="s">
        <v>15</v>
      </c>
      <c r="G90" s="100">
        <v>207.12</v>
      </c>
      <c r="H90" s="100">
        <v>44.79</v>
      </c>
      <c r="I90" s="100">
        <v>9.61</v>
      </c>
      <c r="J90" s="100">
        <v>0.15</v>
      </c>
      <c r="K90" s="100">
        <v>187.42</v>
      </c>
      <c r="L90" s="100">
        <v>28.39</v>
      </c>
      <c r="M90" s="100">
        <v>35.82</v>
      </c>
      <c r="N90" s="100">
        <v>5.6</v>
      </c>
      <c r="O90" s="100">
        <v>0</v>
      </c>
      <c r="P90" s="100">
        <v>0.85</v>
      </c>
      <c r="Q90" s="100">
        <v>28.03</v>
      </c>
      <c r="R90" s="6"/>
      <c r="S90" s="6"/>
      <c r="T90" s="156"/>
      <c r="U90" s="6"/>
    </row>
    <row r="91" spans="1:21" customFormat="1">
      <c r="A91" s="163" t="s">
        <v>1953</v>
      </c>
      <c r="B91" s="100">
        <v>17.71</v>
      </c>
      <c r="C91" s="100">
        <v>29.66</v>
      </c>
      <c r="D91" s="100">
        <v>31.05</v>
      </c>
      <c r="E91" s="100">
        <v>12.29</v>
      </c>
      <c r="F91" s="152" t="s">
        <v>15</v>
      </c>
      <c r="G91" s="100">
        <v>207.12</v>
      </c>
      <c r="H91" s="100">
        <v>44.79</v>
      </c>
      <c r="I91" s="100">
        <v>9.6300000000000008</v>
      </c>
      <c r="J91" s="100">
        <v>0.22</v>
      </c>
      <c r="K91" s="100">
        <v>92.55</v>
      </c>
      <c r="L91" s="100">
        <v>28.57</v>
      </c>
      <c r="M91" s="100">
        <v>35.659999999999997</v>
      </c>
      <c r="N91" s="100">
        <v>5.3</v>
      </c>
      <c r="O91" s="100">
        <v>0</v>
      </c>
      <c r="P91" s="100">
        <v>1.06</v>
      </c>
      <c r="Q91" s="100">
        <v>28.09</v>
      </c>
      <c r="R91" s="6"/>
      <c r="S91" s="6"/>
      <c r="T91" s="156"/>
      <c r="U91" s="6"/>
    </row>
    <row r="92" spans="1:21" customFormat="1">
      <c r="A92" s="163" t="s">
        <v>1954</v>
      </c>
      <c r="B92" s="100">
        <v>12.89</v>
      </c>
      <c r="C92" s="100">
        <v>27.04</v>
      </c>
      <c r="D92" s="100">
        <v>25.81</v>
      </c>
      <c r="E92" s="100">
        <v>11.88</v>
      </c>
      <c r="F92" s="152" t="s">
        <v>15</v>
      </c>
      <c r="G92" s="100">
        <v>158.63</v>
      </c>
      <c r="H92" s="100">
        <v>43.66</v>
      </c>
      <c r="I92" s="100">
        <v>10.5</v>
      </c>
      <c r="J92" s="100">
        <v>0.14000000000000001</v>
      </c>
      <c r="K92" s="100">
        <v>225.98</v>
      </c>
      <c r="L92" s="100">
        <v>28.05</v>
      </c>
      <c r="M92" s="100">
        <v>37.64</v>
      </c>
      <c r="N92" s="100">
        <v>5.6</v>
      </c>
      <c r="O92" s="100">
        <v>0</v>
      </c>
      <c r="P92" s="100">
        <v>0.96</v>
      </c>
      <c r="Q92" s="100">
        <v>28.13</v>
      </c>
      <c r="R92" s="6"/>
      <c r="S92" s="6"/>
      <c r="T92" s="156"/>
      <c r="U92" s="6"/>
    </row>
    <row r="93" spans="1:21" customFormat="1">
      <c r="A93" s="163" t="s">
        <v>1955</v>
      </c>
      <c r="B93" s="100">
        <v>13.33</v>
      </c>
      <c r="C93" s="100">
        <v>26.87</v>
      </c>
      <c r="D93" s="100">
        <v>26.08</v>
      </c>
      <c r="E93" s="100">
        <v>10.96</v>
      </c>
      <c r="F93" s="152" t="s">
        <v>15</v>
      </c>
      <c r="G93" s="100">
        <v>141</v>
      </c>
      <c r="H93" s="100">
        <v>43.64</v>
      </c>
      <c r="I93" s="100">
        <v>11.33</v>
      </c>
      <c r="J93" s="100">
        <v>0.21</v>
      </c>
      <c r="K93" s="100">
        <v>88.14</v>
      </c>
      <c r="L93" s="100">
        <v>28.13</v>
      </c>
      <c r="M93" s="100">
        <v>36.61</v>
      </c>
      <c r="N93" s="100">
        <v>5.4</v>
      </c>
      <c r="O93" s="100">
        <v>0</v>
      </c>
      <c r="P93" s="100">
        <v>0.94</v>
      </c>
      <c r="Q93" s="100">
        <v>28.18</v>
      </c>
      <c r="R93" s="6"/>
      <c r="S93" s="6"/>
      <c r="T93" s="156"/>
      <c r="U93" s="6"/>
    </row>
    <row r="94" spans="1:21" customFormat="1">
      <c r="A94" s="163" t="s">
        <v>1956</v>
      </c>
      <c r="B94" s="100">
        <v>11.86</v>
      </c>
      <c r="C94" s="100">
        <v>24.17</v>
      </c>
      <c r="D94" s="100">
        <v>23.49</v>
      </c>
      <c r="E94" s="100">
        <v>10.07</v>
      </c>
      <c r="F94" s="152" t="s">
        <v>15</v>
      </c>
      <c r="G94" s="100">
        <v>141</v>
      </c>
      <c r="H94" s="100">
        <v>43.64</v>
      </c>
      <c r="I94" s="100">
        <v>11.36</v>
      </c>
      <c r="J94" s="100">
        <v>0.22</v>
      </c>
      <c r="K94" s="100">
        <v>198.65</v>
      </c>
      <c r="L94" s="100">
        <v>27.31</v>
      </c>
      <c r="M94" s="100">
        <v>41.02</v>
      </c>
      <c r="N94" s="100">
        <v>6.2</v>
      </c>
      <c r="O94" s="100">
        <v>0</v>
      </c>
      <c r="P94" s="100">
        <v>0.9</v>
      </c>
      <c r="Q94" s="100">
        <v>28.21</v>
      </c>
      <c r="R94" s="6"/>
      <c r="S94" s="6"/>
      <c r="T94" s="156"/>
      <c r="U94" s="6"/>
    </row>
    <row r="95" spans="1:21" customFormat="1">
      <c r="A95" s="163" t="s">
        <v>1957</v>
      </c>
      <c r="B95" s="100">
        <v>10.57</v>
      </c>
      <c r="C95" s="100">
        <v>22.86</v>
      </c>
      <c r="D95" s="100">
        <v>21.77</v>
      </c>
      <c r="E95" s="100">
        <v>9.5399999999999991</v>
      </c>
      <c r="F95" s="152" t="s">
        <v>15</v>
      </c>
      <c r="G95" s="100">
        <v>141</v>
      </c>
      <c r="H95" s="100">
        <v>43.64</v>
      </c>
      <c r="I95" s="100">
        <v>11.04</v>
      </c>
      <c r="J95" s="100">
        <v>0.22</v>
      </c>
      <c r="K95" s="100">
        <v>167.17</v>
      </c>
      <c r="L95" s="100">
        <v>26.58</v>
      </c>
      <c r="M95" s="100">
        <v>43.1</v>
      </c>
      <c r="N95" s="100">
        <v>5.9</v>
      </c>
      <c r="O95" s="100">
        <v>0</v>
      </c>
      <c r="P95" s="100">
        <v>0.9</v>
      </c>
      <c r="Q95" s="100">
        <v>28.23</v>
      </c>
      <c r="R95" s="6"/>
      <c r="S95" s="6"/>
      <c r="T95" s="156"/>
      <c r="U95" s="6"/>
    </row>
    <row r="96" spans="1:21" customFormat="1">
      <c r="A96" s="163" t="s">
        <v>1958</v>
      </c>
      <c r="B96" s="100">
        <v>10.61</v>
      </c>
      <c r="C96" s="100">
        <v>22.17</v>
      </c>
      <c r="D96" s="100">
        <v>21.45</v>
      </c>
      <c r="E96" s="100">
        <v>9.14</v>
      </c>
      <c r="F96" s="152" t="s">
        <v>15</v>
      </c>
      <c r="G96" s="100">
        <v>142.29</v>
      </c>
      <c r="H96" s="100">
        <v>44.12</v>
      </c>
      <c r="I96" s="100">
        <v>10.74</v>
      </c>
      <c r="J96" s="100">
        <v>0.27</v>
      </c>
      <c r="K96" s="100">
        <v>208.19</v>
      </c>
      <c r="L96" s="100">
        <v>25.64</v>
      </c>
      <c r="M96" s="100">
        <v>47.28</v>
      </c>
      <c r="N96" s="100">
        <v>6.4</v>
      </c>
      <c r="O96" s="100">
        <v>0</v>
      </c>
      <c r="P96" s="100">
        <v>0.92</v>
      </c>
      <c r="Q96" s="100">
        <v>28.22</v>
      </c>
      <c r="R96" s="6"/>
      <c r="S96" s="6"/>
      <c r="T96" s="156"/>
      <c r="U96" s="6"/>
    </row>
    <row r="97" spans="1:28" customFormat="1">
      <c r="A97" s="163" t="s">
        <v>1959</v>
      </c>
      <c r="B97" s="100">
        <v>10.85</v>
      </c>
      <c r="C97" s="100">
        <v>21.59</v>
      </c>
      <c r="D97" s="100">
        <v>21.33</v>
      </c>
      <c r="E97" s="100">
        <v>9.3699999999999992</v>
      </c>
      <c r="F97" s="152" t="s">
        <v>15</v>
      </c>
      <c r="G97" s="100">
        <v>142.76</v>
      </c>
      <c r="H97" s="100">
        <v>44.13</v>
      </c>
      <c r="I97" s="100">
        <v>10.77</v>
      </c>
      <c r="J97" s="100">
        <v>0.09</v>
      </c>
      <c r="K97" s="100">
        <v>219.28</v>
      </c>
      <c r="L97" s="100">
        <v>25.55</v>
      </c>
      <c r="M97" s="100">
        <v>46.16</v>
      </c>
      <c r="N97" s="100">
        <v>5.5</v>
      </c>
      <c r="O97" s="100">
        <v>0</v>
      </c>
      <c r="P97" s="100">
        <v>0.93</v>
      </c>
      <c r="Q97" s="100">
        <v>28.24</v>
      </c>
      <c r="R97" s="6"/>
      <c r="S97" s="6"/>
      <c r="T97" s="156"/>
      <c r="U97" s="6"/>
    </row>
    <row r="98" spans="1:28" customFormat="1">
      <c r="A98" s="163" t="s">
        <v>1960</v>
      </c>
      <c r="B98" s="100">
        <v>14.26</v>
      </c>
      <c r="C98" s="100">
        <v>22.56</v>
      </c>
      <c r="D98" s="100">
        <v>24.57</v>
      </c>
      <c r="E98" s="100">
        <v>9.26</v>
      </c>
      <c r="F98" s="152" t="s">
        <v>15</v>
      </c>
      <c r="G98" s="100">
        <v>142.76</v>
      </c>
      <c r="H98" s="100">
        <v>44.13</v>
      </c>
      <c r="I98" s="100">
        <v>10.86</v>
      </c>
      <c r="J98" s="100">
        <v>0.19</v>
      </c>
      <c r="K98" s="100">
        <v>179.99</v>
      </c>
      <c r="L98" s="100">
        <v>26</v>
      </c>
      <c r="M98" s="100">
        <v>45.39</v>
      </c>
      <c r="N98" s="100">
        <v>5.3</v>
      </c>
      <c r="O98" s="100">
        <v>0</v>
      </c>
      <c r="P98" s="100">
        <v>0.97</v>
      </c>
      <c r="Q98" s="100">
        <v>28.26</v>
      </c>
      <c r="R98" s="6"/>
      <c r="S98" s="6"/>
      <c r="T98" s="156"/>
      <c r="U98" s="6"/>
    </row>
    <row r="99" spans="1:28" customFormat="1">
      <c r="A99" s="163" t="s">
        <v>1961</v>
      </c>
      <c r="B99" s="100">
        <v>13.49</v>
      </c>
      <c r="C99" s="100">
        <v>21.77</v>
      </c>
      <c r="D99" s="100">
        <v>23.54</v>
      </c>
      <c r="E99" s="100">
        <v>9.36</v>
      </c>
      <c r="F99" s="152" t="s">
        <v>15</v>
      </c>
      <c r="G99" s="100">
        <v>142.76</v>
      </c>
      <c r="H99" s="100">
        <v>44.13</v>
      </c>
      <c r="I99" s="100">
        <v>11.1</v>
      </c>
      <c r="J99" s="100">
        <v>0.16</v>
      </c>
      <c r="K99" s="100">
        <v>125.91</v>
      </c>
      <c r="L99" s="100">
        <v>25.85</v>
      </c>
      <c r="M99" s="100">
        <v>45.53</v>
      </c>
      <c r="N99" s="100">
        <v>5.5</v>
      </c>
      <c r="O99" s="100">
        <v>0</v>
      </c>
      <c r="P99" s="100">
        <v>0.96</v>
      </c>
      <c r="Q99" s="100">
        <v>28.3</v>
      </c>
      <c r="R99" s="6"/>
      <c r="S99" s="6"/>
      <c r="T99" s="156"/>
      <c r="U99" s="6"/>
    </row>
    <row r="100" spans="1:28" customFormat="1">
      <c r="A100" s="163" t="s">
        <v>1962</v>
      </c>
      <c r="B100" s="100">
        <v>20.65</v>
      </c>
      <c r="C100" s="100">
        <v>27.65</v>
      </c>
      <c r="D100" s="100">
        <v>32.36</v>
      </c>
      <c r="E100" s="100">
        <v>10.1</v>
      </c>
      <c r="F100" s="152" t="s">
        <v>15</v>
      </c>
      <c r="G100" s="100">
        <v>135.75</v>
      </c>
      <c r="H100" s="100">
        <v>43.35</v>
      </c>
      <c r="I100" s="100">
        <v>11.33</v>
      </c>
      <c r="J100" s="100">
        <v>0.35</v>
      </c>
      <c r="K100" s="100">
        <v>54.99</v>
      </c>
      <c r="L100" s="100">
        <v>26.96</v>
      </c>
      <c r="M100" s="100">
        <v>40.18</v>
      </c>
      <c r="N100" s="100">
        <v>4.5999999999999996</v>
      </c>
      <c r="O100" s="100">
        <v>0</v>
      </c>
      <c r="P100" s="100">
        <v>1.07</v>
      </c>
      <c r="Q100" s="100">
        <v>28.35</v>
      </c>
      <c r="R100" s="6"/>
      <c r="S100" s="6"/>
      <c r="T100" s="156"/>
      <c r="U100" s="6"/>
      <c r="AB100" s="161"/>
    </row>
    <row r="101" spans="1:28" customFormat="1">
      <c r="A101" s="163" t="s">
        <v>1963</v>
      </c>
      <c r="B101" s="100">
        <v>19.23</v>
      </c>
      <c r="C101" s="100">
        <v>26.08</v>
      </c>
      <c r="D101" s="100">
        <v>30.4</v>
      </c>
      <c r="E101" s="100">
        <v>10.62</v>
      </c>
      <c r="F101" s="152" t="s">
        <v>15</v>
      </c>
      <c r="G101" s="100">
        <v>133.19999999999999</v>
      </c>
      <c r="H101" s="100">
        <v>43.33</v>
      </c>
      <c r="I101" s="100">
        <v>11.69</v>
      </c>
      <c r="J101" s="100">
        <v>0.44</v>
      </c>
      <c r="K101" s="100">
        <v>54.79</v>
      </c>
      <c r="L101" s="100">
        <v>27.61</v>
      </c>
      <c r="M101" s="100">
        <v>37.96</v>
      </c>
      <c r="N101" s="100">
        <v>4.7</v>
      </c>
      <c r="O101" s="100">
        <v>0</v>
      </c>
      <c r="P101" s="100">
        <v>1.07</v>
      </c>
      <c r="Q101" s="100">
        <v>28.42</v>
      </c>
      <c r="R101" s="6"/>
      <c r="S101" s="6"/>
      <c r="T101" s="156"/>
      <c r="U101" s="6"/>
    </row>
    <row r="102" spans="1:28" customFormat="1">
      <c r="A102" s="163" t="s">
        <v>1964</v>
      </c>
      <c r="B102" s="100">
        <v>18.170000000000002</v>
      </c>
      <c r="C102" s="100">
        <v>24.02</v>
      </c>
      <c r="D102" s="100">
        <v>28.47</v>
      </c>
      <c r="E102" s="100">
        <v>10.87</v>
      </c>
      <c r="F102" s="152" t="s">
        <v>15</v>
      </c>
      <c r="G102" s="100">
        <v>133.19999999999999</v>
      </c>
      <c r="H102" s="100">
        <v>43.33</v>
      </c>
      <c r="I102" s="100">
        <v>12.4</v>
      </c>
      <c r="J102" s="100">
        <v>0.11</v>
      </c>
      <c r="K102" s="100">
        <v>10.6</v>
      </c>
      <c r="L102" s="100">
        <v>27.75</v>
      </c>
      <c r="M102" s="100">
        <v>37.19</v>
      </c>
      <c r="N102" s="100">
        <v>5.5</v>
      </c>
      <c r="O102" s="100">
        <v>0</v>
      </c>
      <c r="P102" s="100">
        <v>1.06</v>
      </c>
      <c r="Q102" s="100">
        <v>28.44</v>
      </c>
      <c r="R102" s="6"/>
      <c r="S102" s="6"/>
      <c r="T102" s="156"/>
      <c r="U102" s="6"/>
    </row>
    <row r="103" spans="1:28" customFormat="1">
      <c r="A103" s="163" t="s">
        <v>1965</v>
      </c>
      <c r="B103" s="100">
        <v>17.02</v>
      </c>
      <c r="C103" s="100">
        <v>21.95</v>
      </c>
      <c r="D103" s="100">
        <v>26.46</v>
      </c>
      <c r="E103" s="100">
        <v>9.68</v>
      </c>
      <c r="F103" s="152" t="s">
        <v>15</v>
      </c>
      <c r="G103" s="100">
        <v>133.19999999999999</v>
      </c>
      <c r="H103" s="100">
        <v>43.33</v>
      </c>
      <c r="I103" s="100">
        <v>12.77</v>
      </c>
      <c r="J103" s="100">
        <v>0.37</v>
      </c>
      <c r="K103" s="100">
        <v>166.49</v>
      </c>
      <c r="L103" s="100">
        <v>26.2</v>
      </c>
      <c r="M103" s="100">
        <v>45.46</v>
      </c>
      <c r="N103" s="100">
        <v>7</v>
      </c>
      <c r="O103" s="100">
        <v>0</v>
      </c>
      <c r="P103" s="100">
        <v>1.03</v>
      </c>
      <c r="Q103" s="100">
        <v>28.45</v>
      </c>
      <c r="R103" s="6"/>
      <c r="S103" s="6"/>
      <c r="T103" s="156"/>
      <c r="U103" s="6"/>
    </row>
    <row r="104" spans="1:28" customFormat="1">
      <c r="A104" s="163" t="s">
        <v>1966</v>
      </c>
      <c r="B104" s="100">
        <v>17.03</v>
      </c>
      <c r="C104" s="100">
        <v>21.06</v>
      </c>
      <c r="D104" s="100">
        <v>26.01</v>
      </c>
      <c r="E104" s="100">
        <v>9.3800000000000008</v>
      </c>
      <c r="F104" s="152" t="s">
        <v>15</v>
      </c>
      <c r="G104" s="100">
        <v>134.28</v>
      </c>
      <c r="H104" s="100">
        <v>41.07</v>
      </c>
      <c r="I104" s="100">
        <v>12.72</v>
      </c>
      <c r="J104" s="100">
        <v>0.41</v>
      </c>
      <c r="K104" s="100">
        <v>52.23</v>
      </c>
      <c r="L104" s="100">
        <v>26.03</v>
      </c>
      <c r="M104" s="100">
        <v>41.19</v>
      </c>
      <c r="N104" s="100">
        <v>5.6</v>
      </c>
      <c r="O104" s="100">
        <v>0</v>
      </c>
      <c r="P104" s="100">
        <v>1.05</v>
      </c>
      <c r="Q104" s="100">
        <v>28.46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3.67</v>
      </c>
      <c r="C106" s="158">
        <f>MIN(C9:C104)</f>
        <v>13.57</v>
      </c>
      <c r="D106" s="158">
        <f t="shared" ref="D106:Q106" si="0">MIN(D9:D104)</f>
        <v>11.38</v>
      </c>
      <c r="E106" s="158">
        <f t="shared" si="0"/>
        <v>7.85</v>
      </c>
      <c r="F106" s="158">
        <f t="shared" si="0"/>
        <v>0</v>
      </c>
      <c r="G106" s="158">
        <f t="shared" si="0"/>
        <v>53.25</v>
      </c>
      <c r="H106" s="158">
        <f t="shared" si="0"/>
        <v>19.600000000000001</v>
      </c>
      <c r="I106" s="158">
        <f t="shared" si="0"/>
        <v>5.05</v>
      </c>
      <c r="J106" s="158">
        <f t="shared" si="0"/>
        <v>0.09</v>
      </c>
      <c r="K106" s="158">
        <f t="shared" si="0"/>
        <v>3.3</v>
      </c>
      <c r="L106" s="158">
        <f t="shared" si="0"/>
        <v>22.75</v>
      </c>
      <c r="M106" s="158">
        <f t="shared" si="0"/>
        <v>14.15</v>
      </c>
      <c r="N106" s="158">
        <f t="shared" si="0"/>
        <v>4.3</v>
      </c>
      <c r="O106" s="158">
        <f t="shared" si="0"/>
        <v>0</v>
      </c>
      <c r="P106" s="158">
        <f t="shared" si="0"/>
        <v>0.46</v>
      </c>
      <c r="Q106" s="158">
        <f t="shared" si="0"/>
        <v>27.99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20.65</v>
      </c>
      <c r="C107" s="157">
        <f t="shared" ref="C107:Q107" si="1">MAX(C9:C104)</f>
        <v>29.66</v>
      </c>
      <c r="D107" s="157">
        <f t="shared" si="1"/>
        <v>32.36</v>
      </c>
      <c r="E107" s="157">
        <f t="shared" si="1"/>
        <v>22.19</v>
      </c>
      <c r="F107" s="157">
        <f t="shared" si="1"/>
        <v>0</v>
      </c>
      <c r="G107" s="157">
        <f t="shared" si="1"/>
        <v>207.12</v>
      </c>
      <c r="H107" s="157">
        <f t="shared" si="1"/>
        <v>44.79</v>
      </c>
      <c r="I107" s="157">
        <f t="shared" si="1"/>
        <v>12.77</v>
      </c>
      <c r="J107" s="157">
        <f t="shared" si="1"/>
        <v>1.6</v>
      </c>
      <c r="K107" s="157">
        <f t="shared" si="1"/>
        <v>358.24</v>
      </c>
      <c r="L107" s="157">
        <f t="shared" si="1"/>
        <v>38.26</v>
      </c>
      <c r="M107" s="157">
        <f t="shared" si="1"/>
        <v>53.06</v>
      </c>
      <c r="N107" s="157">
        <f t="shared" si="1"/>
        <v>362.3</v>
      </c>
      <c r="O107" s="157">
        <f t="shared" si="1"/>
        <v>0</v>
      </c>
      <c r="P107" s="157">
        <f t="shared" si="1"/>
        <v>1.07</v>
      </c>
      <c r="Q107" s="157">
        <f t="shared" si="1"/>
        <v>28.46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8.0845833333333363</v>
      </c>
      <c r="C108" s="158">
        <f t="shared" ref="C108:Q108" si="2">AVERAGE(C9:C104)</f>
        <v>19.964374999999986</v>
      </c>
      <c r="D108" s="158">
        <f t="shared" si="2"/>
        <v>18.264895833333334</v>
      </c>
      <c r="E108" s="158">
        <f t="shared" si="2"/>
        <v>11.583020833333331</v>
      </c>
      <c r="F108" s="158" t="e">
        <f t="shared" si="2"/>
        <v>#DIV/0!</v>
      </c>
      <c r="G108" s="158">
        <f t="shared" si="2"/>
        <v>85.77291666666666</v>
      </c>
      <c r="H108" s="158">
        <f t="shared" si="2"/>
        <v>28.991770833333309</v>
      </c>
      <c r="I108" s="158">
        <f t="shared" si="2"/>
        <v>8.0573958333333326</v>
      </c>
      <c r="J108" s="158">
        <f t="shared" si="2"/>
        <v>0.48614583333333328</v>
      </c>
      <c r="K108" s="158">
        <f t="shared" si="2"/>
        <v>143.15833333333333</v>
      </c>
      <c r="L108" s="158">
        <f t="shared" si="2"/>
        <v>29.741770833333323</v>
      </c>
      <c r="M108" s="158">
        <f t="shared" si="2"/>
        <v>32.411458333333336</v>
      </c>
      <c r="N108" s="158">
        <f t="shared" si="2"/>
        <v>108.34062500000003</v>
      </c>
      <c r="O108" s="158">
        <f t="shared" si="2"/>
        <v>0</v>
      </c>
      <c r="P108" s="158">
        <f t="shared" si="2"/>
        <v>0.72572916666666643</v>
      </c>
      <c r="Q108" s="158">
        <f t="shared" si="2"/>
        <v>28.134687499999998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3.9608725558276561</v>
      </c>
      <c r="C109" s="158">
        <f t="shared" ref="C109:Q109" si="3">STDEV(C9:C104)</f>
        <v>3.5772947180796439</v>
      </c>
      <c r="D109" s="158">
        <f t="shared" si="3"/>
        <v>4.4009953407195281</v>
      </c>
      <c r="E109" s="158">
        <f t="shared" si="3"/>
        <v>3.1839806663627797</v>
      </c>
      <c r="F109" s="158" t="e">
        <f t="shared" si="3"/>
        <v>#DIV/0!</v>
      </c>
      <c r="G109" s="158">
        <f t="shared" si="3"/>
        <v>34.504536571805914</v>
      </c>
      <c r="H109" s="158">
        <f t="shared" si="3"/>
        <v>7.6099181812867727</v>
      </c>
      <c r="I109" s="158">
        <f t="shared" si="3"/>
        <v>1.7451431820561911</v>
      </c>
      <c r="J109" s="158">
        <f t="shared" si="3"/>
        <v>0.35139232772281198</v>
      </c>
      <c r="K109" s="158">
        <f t="shared" si="3"/>
        <v>95.269011990332217</v>
      </c>
      <c r="L109" s="158">
        <f t="shared" si="3"/>
        <v>5.2056968783281379</v>
      </c>
      <c r="M109" s="158">
        <f t="shared" si="3"/>
        <v>12.542348473045145</v>
      </c>
      <c r="N109" s="158">
        <f t="shared" si="3"/>
        <v>137.654440407187</v>
      </c>
      <c r="O109" s="158">
        <f t="shared" si="3"/>
        <v>0</v>
      </c>
      <c r="P109" s="158">
        <f t="shared" si="3"/>
        <v>0.14998768224278239</v>
      </c>
      <c r="Q109" s="158">
        <f t="shared" si="3"/>
        <v>0.11683504453535741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J100" sqref="J100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19/03/2025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1967</v>
      </c>
      <c r="B9" s="100">
        <v>16.579999999999998</v>
      </c>
      <c r="C9" s="100">
        <v>20.93</v>
      </c>
      <c r="D9" s="100">
        <v>25.58</v>
      </c>
      <c r="E9" s="100">
        <v>10.15</v>
      </c>
      <c r="F9" s="152" t="s">
        <v>15</v>
      </c>
      <c r="G9" s="100">
        <v>134.66999999999999</v>
      </c>
      <c r="H9" s="100">
        <v>41.04</v>
      </c>
      <c r="I9" s="100">
        <v>12.33</v>
      </c>
      <c r="J9" s="100">
        <v>0.31</v>
      </c>
      <c r="K9" s="100">
        <v>83.6</v>
      </c>
      <c r="L9" s="100">
        <v>27.04</v>
      </c>
      <c r="M9" s="100">
        <v>37.06</v>
      </c>
      <c r="N9" s="100">
        <v>5.2</v>
      </c>
      <c r="O9" s="100">
        <v>0</v>
      </c>
      <c r="P9" s="100">
        <v>1.04</v>
      </c>
      <c r="Q9" s="100">
        <v>28.48</v>
      </c>
      <c r="R9" s="6"/>
      <c r="S9" s="6"/>
      <c r="T9" s="156"/>
      <c r="U9" s="6"/>
    </row>
    <row r="10" spans="1:21" customFormat="1">
      <c r="A10" s="163" t="s">
        <v>1968</v>
      </c>
      <c r="B10" s="100">
        <v>16.559999999999999</v>
      </c>
      <c r="C10" s="100">
        <v>21.47</v>
      </c>
      <c r="D10" s="100">
        <v>25.85</v>
      </c>
      <c r="E10" s="100">
        <v>10.38</v>
      </c>
      <c r="F10" s="152" t="s">
        <v>15</v>
      </c>
      <c r="G10" s="100">
        <v>134.66999999999999</v>
      </c>
      <c r="H10" s="100">
        <v>41.04</v>
      </c>
      <c r="I10" s="100">
        <v>12.33</v>
      </c>
      <c r="J10" s="100">
        <v>0.48</v>
      </c>
      <c r="K10" s="100">
        <v>54.11</v>
      </c>
      <c r="L10" s="100">
        <v>27.24</v>
      </c>
      <c r="M10" s="100">
        <v>35.82</v>
      </c>
      <c r="N10" s="100">
        <v>5.2</v>
      </c>
      <c r="O10" s="100">
        <v>0</v>
      </c>
      <c r="P10" s="100">
        <v>1.02</v>
      </c>
      <c r="Q10" s="100">
        <v>28.46</v>
      </c>
      <c r="R10" s="6"/>
      <c r="S10" s="6"/>
      <c r="T10" s="156"/>
      <c r="U10" s="6"/>
    </row>
    <row r="11" spans="1:21" customFormat="1">
      <c r="A11" s="163" t="s">
        <v>1969</v>
      </c>
      <c r="B11" s="100">
        <v>16.690000000000001</v>
      </c>
      <c r="C11" s="100">
        <v>21.57</v>
      </c>
      <c r="D11" s="100">
        <v>26.01</v>
      </c>
      <c r="E11" s="100">
        <v>10.31</v>
      </c>
      <c r="F11" s="152" t="s">
        <v>15</v>
      </c>
      <c r="G11" s="100">
        <v>134.66999999999999</v>
      </c>
      <c r="H11" s="100">
        <v>41.04</v>
      </c>
      <c r="I11" s="100">
        <v>12.23</v>
      </c>
      <c r="J11" s="100">
        <v>0.36</v>
      </c>
      <c r="K11" s="100">
        <v>70.55</v>
      </c>
      <c r="L11" s="100">
        <v>27.24</v>
      </c>
      <c r="M11" s="100">
        <v>35.28</v>
      </c>
      <c r="N11" s="100">
        <v>5.6</v>
      </c>
      <c r="O11" s="100">
        <v>0</v>
      </c>
      <c r="P11" s="100">
        <v>1.02</v>
      </c>
      <c r="Q11" s="100">
        <v>28.46</v>
      </c>
      <c r="R11" s="6"/>
      <c r="S11" s="6"/>
      <c r="T11" s="156"/>
      <c r="U11" s="6"/>
    </row>
    <row r="12" spans="1:21" customFormat="1">
      <c r="A12" s="163" t="s">
        <v>1970</v>
      </c>
      <c r="B12" s="100">
        <v>16.77</v>
      </c>
      <c r="C12" s="100">
        <v>21.16</v>
      </c>
      <c r="D12" s="100">
        <v>25.85</v>
      </c>
      <c r="E12" s="100">
        <v>10.199999999999999</v>
      </c>
      <c r="F12" s="152" t="s">
        <v>15</v>
      </c>
      <c r="G12" s="100">
        <v>101.06</v>
      </c>
      <c r="H12" s="100">
        <v>38</v>
      </c>
      <c r="I12" s="100">
        <v>12.15</v>
      </c>
      <c r="J12" s="100">
        <v>0.23</v>
      </c>
      <c r="K12" s="100">
        <v>48.39</v>
      </c>
      <c r="L12" s="100">
        <v>27.05</v>
      </c>
      <c r="M12" s="100">
        <v>35.61</v>
      </c>
      <c r="N12" s="100">
        <v>5.6</v>
      </c>
      <c r="O12" s="100">
        <v>0</v>
      </c>
      <c r="P12" s="100">
        <v>1.03</v>
      </c>
      <c r="Q12" s="100">
        <v>28.46</v>
      </c>
      <c r="R12" s="6"/>
      <c r="S12" s="6"/>
      <c r="T12" s="156"/>
      <c r="U12" s="6"/>
    </row>
    <row r="13" spans="1:21" customFormat="1">
      <c r="A13" s="163" t="s">
        <v>1971</v>
      </c>
      <c r="B13" s="100">
        <v>16.760000000000002</v>
      </c>
      <c r="C13" s="100">
        <v>20.8</v>
      </c>
      <c r="D13" s="100">
        <v>25.66</v>
      </c>
      <c r="E13" s="100">
        <v>9.7100000000000009</v>
      </c>
      <c r="F13" s="152" t="s">
        <v>15</v>
      </c>
      <c r="G13" s="100">
        <v>88.84</v>
      </c>
      <c r="H13" s="100">
        <v>37.950000000000003</v>
      </c>
      <c r="I13" s="100">
        <v>12.07</v>
      </c>
      <c r="J13" s="100">
        <v>0.19</v>
      </c>
      <c r="K13" s="100">
        <v>76.69</v>
      </c>
      <c r="L13" s="100">
        <v>26.59</v>
      </c>
      <c r="M13" s="100">
        <v>37.54</v>
      </c>
      <c r="N13" s="100">
        <v>6</v>
      </c>
      <c r="O13" s="100">
        <v>0</v>
      </c>
      <c r="P13" s="100">
        <v>1.02</v>
      </c>
      <c r="Q13" s="100">
        <v>28.47</v>
      </c>
      <c r="R13" s="6"/>
      <c r="S13" s="6"/>
      <c r="T13" s="156"/>
      <c r="U13" s="6"/>
    </row>
    <row r="14" spans="1:21" customFormat="1">
      <c r="A14" s="163" t="s">
        <v>1972</v>
      </c>
      <c r="B14" s="100">
        <v>16.61</v>
      </c>
      <c r="C14" s="100">
        <v>21.2</v>
      </c>
      <c r="D14" s="100">
        <v>25.75</v>
      </c>
      <c r="E14" s="100">
        <v>9.8800000000000008</v>
      </c>
      <c r="F14" s="152" t="s">
        <v>15</v>
      </c>
      <c r="G14" s="100">
        <v>88.84</v>
      </c>
      <c r="H14" s="100">
        <v>37.950000000000003</v>
      </c>
      <c r="I14" s="100">
        <v>12.02</v>
      </c>
      <c r="J14" s="100">
        <v>0.24</v>
      </c>
      <c r="K14" s="100">
        <v>88.98</v>
      </c>
      <c r="L14" s="100">
        <v>26.48</v>
      </c>
      <c r="M14" s="100">
        <v>37.68</v>
      </c>
      <c r="N14" s="100">
        <v>5.9</v>
      </c>
      <c r="O14" s="100">
        <v>0</v>
      </c>
      <c r="P14" s="100">
        <v>1.02</v>
      </c>
      <c r="Q14" s="100">
        <v>28.46</v>
      </c>
      <c r="R14" s="6"/>
      <c r="S14" s="6"/>
      <c r="T14" s="156"/>
      <c r="U14" s="6"/>
    </row>
    <row r="15" spans="1:21" customFormat="1">
      <c r="A15" s="163" t="s">
        <v>1973</v>
      </c>
      <c r="B15" s="100">
        <v>16.309999999999999</v>
      </c>
      <c r="C15" s="100">
        <v>21.74</v>
      </c>
      <c r="D15" s="100">
        <v>25.79</v>
      </c>
      <c r="E15" s="100">
        <v>9.7899999999999991</v>
      </c>
      <c r="F15" s="152" t="s">
        <v>15</v>
      </c>
      <c r="G15" s="100">
        <v>88.84</v>
      </c>
      <c r="H15" s="100">
        <v>37.950000000000003</v>
      </c>
      <c r="I15" s="100">
        <v>11.99</v>
      </c>
      <c r="J15" s="100">
        <v>0.32</v>
      </c>
      <c r="K15" s="100">
        <v>64.650000000000006</v>
      </c>
      <c r="L15" s="100">
        <v>26.53</v>
      </c>
      <c r="M15" s="100">
        <v>36.869999999999997</v>
      </c>
      <c r="N15" s="100">
        <v>5.5</v>
      </c>
      <c r="O15" s="100">
        <v>0</v>
      </c>
      <c r="P15" s="100">
        <v>1</v>
      </c>
      <c r="Q15" s="100">
        <v>28.45</v>
      </c>
      <c r="R15" s="6"/>
      <c r="S15" s="6"/>
      <c r="T15" s="156"/>
      <c r="U15" s="6"/>
    </row>
    <row r="16" spans="1:21" customFormat="1">
      <c r="A16" s="163" t="s">
        <v>1974</v>
      </c>
      <c r="B16" s="100">
        <v>15.67</v>
      </c>
      <c r="C16" s="100">
        <v>21.81</v>
      </c>
      <c r="D16" s="100">
        <v>25.31</v>
      </c>
      <c r="E16" s="100">
        <v>9.74</v>
      </c>
      <c r="F16" s="152" t="s">
        <v>15</v>
      </c>
      <c r="G16" s="100">
        <v>84.85</v>
      </c>
      <c r="H16" s="100">
        <v>37.01</v>
      </c>
      <c r="I16" s="100">
        <v>11.82</v>
      </c>
      <c r="J16" s="100">
        <v>0.43</v>
      </c>
      <c r="K16" s="100">
        <v>53.65</v>
      </c>
      <c r="L16" s="100">
        <v>26.65</v>
      </c>
      <c r="M16" s="100">
        <v>35.99</v>
      </c>
      <c r="N16" s="100">
        <v>5.5</v>
      </c>
      <c r="O16" s="100">
        <v>0</v>
      </c>
      <c r="P16" s="100">
        <v>0.97</v>
      </c>
      <c r="Q16" s="100">
        <v>28.43</v>
      </c>
      <c r="R16" s="6"/>
      <c r="S16" s="6"/>
      <c r="T16" s="156"/>
      <c r="U16" s="6"/>
    </row>
    <row r="17" spans="1:21" customFormat="1">
      <c r="A17" s="163" t="s">
        <v>1975</v>
      </c>
      <c r="B17" s="100">
        <v>14.78</v>
      </c>
      <c r="C17" s="100">
        <v>21.65</v>
      </c>
      <c r="D17" s="100">
        <v>24.52</v>
      </c>
      <c r="E17" s="100">
        <v>9.41</v>
      </c>
      <c r="F17" s="152" t="s">
        <v>15</v>
      </c>
      <c r="G17" s="100">
        <v>83.4</v>
      </c>
      <c r="H17" s="100">
        <v>36.979999999999997</v>
      </c>
      <c r="I17" s="100">
        <v>11.61</v>
      </c>
      <c r="J17" s="100">
        <v>0.47</v>
      </c>
      <c r="K17" s="100">
        <v>49.56</v>
      </c>
      <c r="L17" s="100">
        <v>26.57</v>
      </c>
      <c r="M17" s="100">
        <v>35.700000000000003</v>
      </c>
      <c r="N17" s="100">
        <v>5.7</v>
      </c>
      <c r="O17" s="100">
        <v>0</v>
      </c>
      <c r="P17" s="100">
        <v>0.98</v>
      </c>
      <c r="Q17" s="100">
        <v>28.41</v>
      </c>
      <c r="R17" s="6"/>
      <c r="S17" s="6"/>
      <c r="T17" s="156"/>
      <c r="U17" s="6"/>
    </row>
    <row r="18" spans="1:21" customFormat="1">
      <c r="A18" s="163" t="s">
        <v>1976</v>
      </c>
      <c r="B18" s="100">
        <v>14.07</v>
      </c>
      <c r="C18" s="100">
        <v>22.09</v>
      </c>
      <c r="D18" s="100">
        <v>24.17</v>
      </c>
      <c r="E18" s="100">
        <v>10.72</v>
      </c>
      <c r="F18" s="152" t="s">
        <v>15</v>
      </c>
      <c r="G18" s="100">
        <v>83.4</v>
      </c>
      <c r="H18" s="100">
        <v>36.979999999999997</v>
      </c>
      <c r="I18" s="100">
        <v>11.44</v>
      </c>
      <c r="J18" s="100">
        <v>0.17</v>
      </c>
      <c r="K18" s="100">
        <v>108.31</v>
      </c>
      <c r="L18" s="100">
        <v>26.23</v>
      </c>
      <c r="M18" s="100">
        <v>38.159999999999997</v>
      </c>
      <c r="N18" s="100">
        <v>6.1</v>
      </c>
      <c r="O18" s="100">
        <v>0</v>
      </c>
      <c r="P18" s="100">
        <v>0.96</v>
      </c>
      <c r="Q18" s="100">
        <v>28.4</v>
      </c>
      <c r="R18" s="6"/>
      <c r="S18" s="6"/>
      <c r="T18" s="156"/>
      <c r="U18" s="6"/>
    </row>
    <row r="19" spans="1:21" customFormat="1">
      <c r="A19" s="163" t="s">
        <v>1977</v>
      </c>
      <c r="B19" s="100">
        <v>13.55</v>
      </c>
      <c r="C19" s="100">
        <v>22.25</v>
      </c>
      <c r="D19" s="100">
        <v>23.84</v>
      </c>
      <c r="E19" s="100">
        <v>10.33</v>
      </c>
      <c r="F19" s="152" t="s">
        <v>15</v>
      </c>
      <c r="G19" s="100">
        <v>83.4</v>
      </c>
      <c r="H19" s="100">
        <v>36.979999999999997</v>
      </c>
      <c r="I19" s="100">
        <v>11.4</v>
      </c>
      <c r="J19" s="100">
        <v>0.17</v>
      </c>
      <c r="K19" s="100">
        <v>157.82</v>
      </c>
      <c r="L19" s="100">
        <v>25.38</v>
      </c>
      <c r="M19" s="100">
        <v>43.46</v>
      </c>
      <c r="N19" s="100">
        <v>6.4</v>
      </c>
      <c r="O19" s="100">
        <v>0</v>
      </c>
      <c r="P19" s="100">
        <v>0.95</v>
      </c>
      <c r="Q19" s="100">
        <v>28.37</v>
      </c>
      <c r="R19" s="6"/>
      <c r="S19" s="6"/>
      <c r="T19" s="156"/>
      <c r="U19" s="6"/>
    </row>
    <row r="20" spans="1:21" customFormat="1">
      <c r="A20" s="163" t="s">
        <v>1978</v>
      </c>
      <c r="B20" s="100">
        <v>12.91</v>
      </c>
      <c r="C20" s="100">
        <v>22.42</v>
      </c>
      <c r="D20" s="100">
        <v>23.42</v>
      </c>
      <c r="E20" s="100">
        <v>10.48</v>
      </c>
      <c r="F20" s="152" t="s">
        <v>15</v>
      </c>
      <c r="G20" s="100">
        <v>76.819999999999993</v>
      </c>
      <c r="H20" s="100">
        <v>33.14</v>
      </c>
      <c r="I20" s="100">
        <v>11.28</v>
      </c>
      <c r="J20" s="100">
        <v>0.46</v>
      </c>
      <c r="K20" s="100">
        <v>56.08</v>
      </c>
      <c r="L20" s="100">
        <v>25.53</v>
      </c>
      <c r="M20" s="100">
        <v>39.44</v>
      </c>
      <c r="N20" s="100">
        <v>5.3</v>
      </c>
      <c r="O20" s="100">
        <v>0</v>
      </c>
      <c r="P20" s="100">
        <v>0.92</v>
      </c>
      <c r="Q20" s="100">
        <v>28.35</v>
      </c>
      <c r="R20" s="6"/>
      <c r="S20" s="6"/>
      <c r="T20" s="156"/>
      <c r="U20" s="6"/>
    </row>
    <row r="21" spans="1:21" customFormat="1">
      <c r="A21" s="163" t="s">
        <v>1979</v>
      </c>
      <c r="B21" s="100">
        <v>12.35</v>
      </c>
      <c r="C21" s="100">
        <v>22.16</v>
      </c>
      <c r="D21" s="100">
        <v>22.83</v>
      </c>
      <c r="E21" s="100">
        <v>10.4</v>
      </c>
      <c r="F21" s="152" t="s">
        <v>15</v>
      </c>
      <c r="G21" s="100">
        <v>74.290000000000006</v>
      </c>
      <c r="H21" s="100">
        <v>33.08</v>
      </c>
      <c r="I21" s="100">
        <v>11.11</v>
      </c>
      <c r="J21" s="100">
        <v>0.47</v>
      </c>
      <c r="K21" s="100">
        <v>50.91</v>
      </c>
      <c r="L21" s="100">
        <v>25.95</v>
      </c>
      <c r="M21" s="100">
        <v>37.28</v>
      </c>
      <c r="N21" s="100">
        <v>5.4</v>
      </c>
      <c r="O21" s="100">
        <v>0</v>
      </c>
      <c r="P21" s="100">
        <v>0.92</v>
      </c>
      <c r="Q21" s="100">
        <v>28.31</v>
      </c>
      <c r="R21" s="6"/>
      <c r="S21" s="6"/>
      <c r="T21" s="156"/>
      <c r="U21" s="6"/>
    </row>
    <row r="22" spans="1:21" customFormat="1">
      <c r="A22" s="163" t="s">
        <v>1980</v>
      </c>
      <c r="B22" s="100">
        <v>11.57</v>
      </c>
      <c r="C22" s="100">
        <v>22.15</v>
      </c>
      <c r="D22" s="100">
        <v>22.2</v>
      </c>
      <c r="E22" s="100">
        <v>10.44</v>
      </c>
      <c r="F22" s="152" t="s">
        <v>15</v>
      </c>
      <c r="G22" s="100">
        <v>74.290000000000006</v>
      </c>
      <c r="H22" s="100">
        <v>33.08</v>
      </c>
      <c r="I22" s="100">
        <v>10.93</v>
      </c>
      <c r="J22" s="100">
        <v>0.26</v>
      </c>
      <c r="K22" s="100">
        <v>84.61</v>
      </c>
      <c r="L22" s="100">
        <v>25.99</v>
      </c>
      <c r="M22" s="100">
        <v>36.909999999999997</v>
      </c>
      <c r="N22" s="100">
        <v>5.8</v>
      </c>
      <c r="O22" s="100">
        <v>0</v>
      </c>
      <c r="P22" s="100">
        <v>0.91</v>
      </c>
      <c r="Q22" s="100">
        <v>28.29</v>
      </c>
      <c r="R22" s="6"/>
      <c r="S22" s="6"/>
      <c r="T22" s="156"/>
      <c r="U22" s="6"/>
    </row>
    <row r="23" spans="1:21" customFormat="1">
      <c r="A23" s="163" t="s">
        <v>1981</v>
      </c>
      <c r="B23" s="100">
        <v>10.8</v>
      </c>
      <c r="C23" s="100">
        <v>22.36</v>
      </c>
      <c r="D23" s="100">
        <v>21.7</v>
      </c>
      <c r="E23" s="100">
        <v>10.14</v>
      </c>
      <c r="F23" s="152" t="s">
        <v>15</v>
      </c>
      <c r="G23" s="100">
        <v>74.290000000000006</v>
      </c>
      <c r="H23" s="100">
        <v>33.08</v>
      </c>
      <c r="I23" s="100">
        <v>10.87</v>
      </c>
      <c r="J23" s="100">
        <v>0.52</v>
      </c>
      <c r="K23" s="100">
        <v>73.53</v>
      </c>
      <c r="L23" s="100">
        <v>25.93</v>
      </c>
      <c r="M23" s="100">
        <v>36.51</v>
      </c>
      <c r="N23" s="100">
        <v>5.6</v>
      </c>
      <c r="O23" s="100">
        <v>0</v>
      </c>
      <c r="P23" s="100">
        <v>0.9</v>
      </c>
      <c r="Q23" s="100">
        <v>28.27</v>
      </c>
      <c r="R23" s="6"/>
      <c r="S23" s="6"/>
      <c r="T23" s="156"/>
      <c r="U23" s="6"/>
    </row>
    <row r="24" spans="1:21" customFormat="1">
      <c r="A24" s="163" t="s">
        <v>1982</v>
      </c>
      <c r="B24" s="100">
        <v>10.39</v>
      </c>
      <c r="C24" s="100">
        <v>22.71</v>
      </c>
      <c r="D24" s="100">
        <v>21.55</v>
      </c>
      <c r="E24" s="100">
        <v>10.63</v>
      </c>
      <c r="F24" s="152" t="s">
        <v>15</v>
      </c>
      <c r="G24" s="100">
        <v>62.67</v>
      </c>
      <c r="H24" s="100">
        <v>30.27</v>
      </c>
      <c r="I24" s="100">
        <v>10.75</v>
      </c>
      <c r="J24" s="100">
        <v>0.53</v>
      </c>
      <c r="K24" s="100">
        <v>65.38</v>
      </c>
      <c r="L24" s="100">
        <v>25.91</v>
      </c>
      <c r="M24" s="100">
        <v>36.130000000000003</v>
      </c>
      <c r="N24" s="100">
        <v>5.6</v>
      </c>
      <c r="O24" s="100">
        <v>0</v>
      </c>
      <c r="P24" s="100">
        <v>0.88</v>
      </c>
      <c r="Q24" s="100">
        <v>28.25</v>
      </c>
      <c r="R24" s="6"/>
      <c r="S24" s="6"/>
      <c r="T24" s="156"/>
      <c r="U24" s="6"/>
    </row>
    <row r="25" spans="1:21" customFormat="1">
      <c r="A25" s="163" t="s">
        <v>1983</v>
      </c>
      <c r="B25" s="100">
        <v>10.119999999999999</v>
      </c>
      <c r="C25" s="100">
        <v>22.74</v>
      </c>
      <c r="D25" s="100">
        <v>21.35</v>
      </c>
      <c r="E25" s="100">
        <v>10.49</v>
      </c>
      <c r="F25" s="152" t="s">
        <v>15</v>
      </c>
      <c r="G25" s="100">
        <v>58.21</v>
      </c>
      <c r="H25" s="100">
        <v>30.19</v>
      </c>
      <c r="I25" s="100">
        <v>10.63</v>
      </c>
      <c r="J25" s="100">
        <v>0.3</v>
      </c>
      <c r="K25" s="100">
        <v>79.75</v>
      </c>
      <c r="L25" s="100">
        <v>25.73</v>
      </c>
      <c r="M25" s="100">
        <v>36.94</v>
      </c>
      <c r="N25" s="100">
        <v>5.9</v>
      </c>
      <c r="O25" s="100">
        <v>0</v>
      </c>
      <c r="P25" s="100">
        <v>0.87</v>
      </c>
      <c r="Q25" s="100">
        <v>28.25</v>
      </c>
      <c r="R25" s="6"/>
      <c r="S25" s="6"/>
      <c r="T25" s="156"/>
      <c r="U25" s="6"/>
    </row>
    <row r="26" spans="1:21" customFormat="1">
      <c r="A26" s="163" t="s">
        <v>1984</v>
      </c>
      <c r="B26" s="100">
        <v>9.5399999999999991</v>
      </c>
      <c r="C26" s="100">
        <v>22.8</v>
      </c>
      <c r="D26" s="100">
        <v>20.92</v>
      </c>
      <c r="E26" s="100">
        <v>9.98</v>
      </c>
      <c r="F26" s="152" t="s">
        <v>15</v>
      </c>
      <c r="G26" s="100">
        <v>58.21</v>
      </c>
      <c r="H26" s="100">
        <v>30.19</v>
      </c>
      <c r="I26" s="100">
        <v>10.49</v>
      </c>
      <c r="J26" s="100">
        <v>0.15</v>
      </c>
      <c r="K26" s="100">
        <v>102.94</v>
      </c>
      <c r="L26" s="100">
        <v>25.28</v>
      </c>
      <c r="M26" s="100">
        <v>39.54</v>
      </c>
      <c r="N26" s="100">
        <v>6.2</v>
      </c>
      <c r="O26" s="100">
        <v>0</v>
      </c>
      <c r="P26" s="100">
        <v>0.87</v>
      </c>
      <c r="Q26" s="100">
        <v>28.22</v>
      </c>
      <c r="R26" s="6"/>
      <c r="S26" s="6"/>
      <c r="T26" s="156"/>
      <c r="U26" s="6"/>
    </row>
    <row r="27" spans="1:21" customFormat="1">
      <c r="A27" s="163" t="s">
        <v>1985</v>
      </c>
      <c r="B27" s="100">
        <v>9.0500000000000007</v>
      </c>
      <c r="C27" s="100">
        <v>22.65</v>
      </c>
      <c r="D27" s="100">
        <v>20.440000000000001</v>
      </c>
      <c r="E27" s="100">
        <v>9.65</v>
      </c>
      <c r="F27" s="152" t="s">
        <v>15</v>
      </c>
      <c r="G27" s="100">
        <v>58.21</v>
      </c>
      <c r="H27" s="100">
        <v>30.19</v>
      </c>
      <c r="I27" s="100">
        <v>10.42</v>
      </c>
      <c r="J27" s="100">
        <v>0.14000000000000001</v>
      </c>
      <c r="K27" s="100">
        <v>170.28</v>
      </c>
      <c r="L27" s="100">
        <v>24.35</v>
      </c>
      <c r="M27" s="100">
        <v>44.39</v>
      </c>
      <c r="N27" s="100">
        <v>6.5</v>
      </c>
      <c r="O27" s="100">
        <v>0</v>
      </c>
      <c r="P27" s="100">
        <v>0.87</v>
      </c>
      <c r="Q27" s="100">
        <v>28.2</v>
      </c>
      <c r="R27" s="6"/>
      <c r="S27" s="6"/>
      <c r="T27" s="156"/>
      <c r="U27" s="6"/>
    </row>
    <row r="28" spans="1:21" customFormat="1">
      <c r="A28" s="163" t="s">
        <v>1986</v>
      </c>
      <c r="B28" s="100">
        <v>8.7899999999999991</v>
      </c>
      <c r="C28" s="100">
        <v>22.63</v>
      </c>
      <c r="D28" s="100">
        <v>20.23</v>
      </c>
      <c r="E28" s="100">
        <v>9.7200000000000006</v>
      </c>
      <c r="F28" s="152" t="s">
        <v>15</v>
      </c>
      <c r="G28" s="100">
        <v>58.28</v>
      </c>
      <c r="H28" s="100">
        <v>29.75</v>
      </c>
      <c r="I28" s="100">
        <v>10.36</v>
      </c>
      <c r="J28" s="100">
        <v>0.25</v>
      </c>
      <c r="K28" s="100">
        <v>83.79</v>
      </c>
      <c r="L28" s="100">
        <v>24.48</v>
      </c>
      <c r="M28" s="100">
        <v>42.14</v>
      </c>
      <c r="N28" s="100">
        <v>5.9</v>
      </c>
      <c r="O28" s="100">
        <v>0</v>
      </c>
      <c r="P28" s="100">
        <v>0.85</v>
      </c>
      <c r="Q28" s="100">
        <v>28.18</v>
      </c>
      <c r="R28" s="6"/>
      <c r="S28" s="6"/>
      <c r="T28" s="156"/>
      <c r="U28" s="6"/>
    </row>
    <row r="29" spans="1:21" customFormat="1">
      <c r="A29" s="163" t="s">
        <v>1987</v>
      </c>
      <c r="B29" s="100">
        <v>8.99</v>
      </c>
      <c r="C29" s="100">
        <v>22.65</v>
      </c>
      <c r="D29" s="100">
        <v>20.399999999999999</v>
      </c>
      <c r="E29" s="100">
        <v>9.69</v>
      </c>
      <c r="F29" s="152" t="s">
        <v>15</v>
      </c>
      <c r="G29" s="100">
        <v>58.31</v>
      </c>
      <c r="H29" s="100">
        <v>29.73</v>
      </c>
      <c r="I29" s="100">
        <v>10.25</v>
      </c>
      <c r="J29" s="100">
        <v>0.32</v>
      </c>
      <c r="K29" s="100">
        <v>71.97</v>
      </c>
      <c r="L29" s="100">
        <v>24.78</v>
      </c>
      <c r="M29" s="100">
        <v>40.5</v>
      </c>
      <c r="N29" s="100">
        <v>5.7</v>
      </c>
      <c r="O29" s="100">
        <v>0</v>
      </c>
      <c r="P29" s="100">
        <v>0.84</v>
      </c>
      <c r="Q29" s="100">
        <v>28.2</v>
      </c>
      <c r="R29" s="6"/>
      <c r="S29" s="6"/>
      <c r="T29" s="156"/>
      <c r="U29" s="6"/>
    </row>
    <row r="30" spans="1:21" customFormat="1">
      <c r="A30" s="163" t="s">
        <v>1988</v>
      </c>
      <c r="B30" s="100">
        <v>9.02</v>
      </c>
      <c r="C30" s="100">
        <v>22.63</v>
      </c>
      <c r="D30" s="100">
        <v>20.41</v>
      </c>
      <c r="E30" s="100">
        <v>9.6199999999999992</v>
      </c>
      <c r="F30" s="152" t="s">
        <v>15</v>
      </c>
      <c r="G30" s="100">
        <v>58.31</v>
      </c>
      <c r="H30" s="100">
        <v>29.73</v>
      </c>
      <c r="I30" s="100">
        <v>10.130000000000001</v>
      </c>
      <c r="J30" s="100">
        <v>0.05</v>
      </c>
      <c r="K30" s="100">
        <v>128.75</v>
      </c>
      <c r="L30" s="100">
        <v>24.73</v>
      </c>
      <c r="M30" s="100">
        <v>41.9</v>
      </c>
      <c r="N30" s="100">
        <v>5.9</v>
      </c>
      <c r="O30" s="100">
        <v>0</v>
      </c>
      <c r="P30" s="100">
        <v>0.85</v>
      </c>
      <c r="Q30" s="100">
        <v>28.21</v>
      </c>
      <c r="R30" s="6"/>
      <c r="S30" s="6"/>
      <c r="T30" s="156"/>
      <c r="U30" s="6"/>
    </row>
    <row r="31" spans="1:21" customFormat="1">
      <c r="A31" s="163" t="s">
        <v>1989</v>
      </c>
      <c r="B31" s="100">
        <v>8.8699999999999992</v>
      </c>
      <c r="C31" s="100">
        <v>22.5</v>
      </c>
      <c r="D31" s="100">
        <v>20.22</v>
      </c>
      <c r="E31" s="100">
        <v>9.4700000000000006</v>
      </c>
      <c r="F31" s="152" t="s">
        <v>15</v>
      </c>
      <c r="G31" s="100">
        <v>58.31</v>
      </c>
      <c r="H31" s="100">
        <v>29.73</v>
      </c>
      <c r="I31" s="100">
        <v>10.14</v>
      </c>
      <c r="J31" s="100">
        <v>0.3</v>
      </c>
      <c r="K31" s="100">
        <v>199.92</v>
      </c>
      <c r="L31" s="100">
        <v>23.38</v>
      </c>
      <c r="M31" s="100">
        <v>50.51</v>
      </c>
      <c r="N31" s="100">
        <v>7</v>
      </c>
      <c r="O31" s="100">
        <v>0</v>
      </c>
      <c r="P31" s="100">
        <v>0.84</v>
      </c>
      <c r="Q31" s="100">
        <v>28.19</v>
      </c>
      <c r="R31" s="6"/>
      <c r="S31" s="6"/>
      <c r="T31" s="156"/>
      <c r="U31" s="6"/>
    </row>
    <row r="32" spans="1:21" customFormat="1">
      <c r="A32" s="163" t="s">
        <v>1990</v>
      </c>
      <c r="B32" s="100">
        <v>8.59</v>
      </c>
      <c r="C32" s="100">
        <v>22</v>
      </c>
      <c r="D32" s="100">
        <v>19.739999999999998</v>
      </c>
      <c r="E32" s="100">
        <v>9.6300000000000008</v>
      </c>
      <c r="F32" s="152" t="s">
        <v>15</v>
      </c>
      <c r="G32" s="100">
        <v>60.96</v>
      </c>
      <c r="H32" s="100">
        <v>26.7</v>
      </c>
      <c r="I32" s="100">
        <v>10.19</v>
      </c>
      <c r="J32" s="100">
        <v>0.15</v>
      </c>
      <c r="K32" s="100">
        <v>187.89</v>
      </c>
      <c r="L32" s="100">
        <v>22.78</v>
      </c>
      <c r="M32" s="100">
        <v>52.06</v>
      </c>
      <c r="N32" s="100">
        <v>6.8</v>
      </c>
      <c r="O32" s="100">
        <v>0</v>
      </c>
      <c r="P32" s="100">
        <v>0.82</v>
      </c>
      <c r="Q32" s="100">
        <v>28.17</v>
      </c>
      <c r="R32" s="6"/>
      <c r="S32" s="6"/>
      <c r="T32" s="156"/>
      <c r="U32" s="6"/>
    </row>
    <row r="33" spans="1:21" customFormat="1">
      <c r="A33" s="163" t="s">
        <v>1991</v>
      </c>
      <c r="B33" s="100">
        <v>8.25</v>
      </c>
      <c r="C33" s="100">
        <v>21.48</v>
      </c>
      <c r="D33" s="100">
        <v>19.190000000000001</v>
      </c>
      <c r="E33" s="100">
        <v>9.32</v>
      </c>
      <c r="F33" s="152" t="s">
        <v>15</v>
      </c>
      <c r="G33" s="100">
        <v>61.92</v>
      </c>
      <c r="H33" s="100">
        <v>26.66</v>
      </c>
      <c r="I33" s="100">
        <v>10.17</v>
      </c>
      <c r="J33" s="100">
        <v>0.15</v>
      </c>
      <c r="K33" s="100">
        <v>147.11000000000001</v>
      </c>
      <c r="L33" s="100">
        <v>22.81</v>
      </c>
      <c r="M33" s="100">
        <v>51.14</v>
      </c>
      <c r="N33" s="100">
        <v>7.9</v>
      </c>
      <c r="O33" s="100">
        <v>0</v>
      </c>
      <c r="P33" s="100">
        <v>0.83</v>
      </c>
      <c r="Q33" s="100">
        <v>28.17</v>
      </c>
      <c r="R33" s="6"/>
      <c r="S33" s="6"/>
      <c r="T33" s="156"/>
      <c r="U33" s="6"/>
    </row>
    <row r="34" spans="1:21" customFormat="1">
      <c r="A34" s="163" t="s">
        <v>1992</v>
      </c>
      <c r="B34" s="100">
        <v>8.0500000000000007</v>
      </c>
      <c r="C34" s="100">
        <v>21.06</v>
      </c>
      <c r="D34" s="100">
        <v>18.809999999999999</v>
      </c>
      <c r="E34" s="100">
        <v>9.25</v>
      </c>
      <c r="F34" s="152" t="s">
        <v>15</v>
      </c>
      <c r="G34" s="100">
        <v>61.92</v>
      </c>
      <c r="H34" s="100">
        <v>26.66</v>
      </c>
      <c r="I34" s="100">
        <v>10.14</v>
      </c>
      <c r="J34" s="100">
        <v>0.14000000000000001</v>
      </c>
      <c r="K34" s="100">
        <v>119.44</v>
      </c>
      <c r="L34" s="100">
        <v>23.46</v>
      </c>
      <c r="M34" s="100">
        <v>46.23</v>
      </c>
      <c r="N34" s="100">
        <v>12</v>
      </c>
      <c r="O34" s="100">
        <v>0</v>
      </c>
      <c r="P34" s="100">
        <v>0.83</v>
      </c>
      <c r="Q34" s="100">
        <v>28.16</v>
      </c>
      <c r="R34" s="6"/>
      <c r="S34" s="6"/>
      <c r="T34" s="156"/>
      <c r="U34" s="6"/>
    </row>
    <row r="35" spans="1:21" customFormat="1">
      <c r="A35" s="163" t="s">
        <v>1993</v>
      </c>
      <c r="B35" s="100">
        <v>8.19</v>
      </c>
      <c r="C35" s="100">
        <v>20.76</v>
      </c>
      <c r="D35" s="100">
        <v>18.760000000000002</v>
      </c>
      <c r="E35" s="100">
        <v>9.6300000000000008</v>
      </c>
      <c r="F35" s="152" t="s">
        <v>15</v>
      </c>
      <c r="G35" s="100">
        <v>61.92</v>
      </c>
      <c r="H35" s="100">
        <v>26.66</v>
      </c>
      <c r="I35" s="100">
        <v>10.09</v>
      </c>
      <c r="J35" s="100">
        <v>0.11</v>
      </c>
      <c r="K35" s="100">
        <v>100.25</v>
      </c>
      <c r="L35" s="100">
        <v>23.92</v>
      </c>
      <c r="M35" s="100">
        <v>45.59</v>
      </c>
      <c r="N35" s="100">
        <v>19.100000000000001</v>
      </c>
      <c r="O35" s="100">
        <v>0</v>
      </c>
      <c r="P35" s="100">
        <v>0.82</v>
      </c>
      <c r="Q35" s="100">
        <v>28.18</v>
      </c>
      <c r="R35" s="6"/>
      <c r="S35" s="6"/>
      <c r="T35" s="156"/>
      <c r="U35" s="6"/>
    </row>
    <row r="36" spans="1:21" customFormat="1">
      <c r="A36" s="163" t="s">
        <v>1994</v>
      </c>
      <c r="B36" s="100">
        <v>8.49</v>
      </c>
      <c r="C36" s="100">
        <v>20.74</v>
      </c>
      <c r="D36" s="100">
        <v>19</v>
      </c>
      <c r="E36" s="100">
        <v>9.5</v>
      </c>
      <c r="F36" s="152" t="s">
        <v>15</v>
      </c>
      <c r="G36" s="100">
        <v>68.86</v>
      </c>
      <c r="H36" s="100">
        <v>28.38</v>
      </c>
      <c r="I36" s="100">
        <v>10.1</v>
      </c>
      <c r="J36" s="100">
        <v>0.51</v>
      </c>
      <c r="K36" s="100">
        <v>59.11</v>
      </c>
      <c r="L36" s="100">
        <v>24.71</v>
      </c>
      <c r="M36" s="100">
        <v>42.4</v>
      </c>
      <c r="N36" s="100">
        <v>26.1</v>
      </c>
      <c r="O36" s="100">
        <v>0</v>
      </c>
      <c r="P36" s="100">
        <v>0.82</v>
      </c>
      <c r="Q36" s="100">
        <v>28.19</v>
      </c>
      <c r="R36" s="6"/>
      <c r="S36" s="6"/>
      <c r="T36" s="156"/>
      <c r="U36" s="6"/>
    </row>
    <row r="37" spans="1:21" customFormat="1">
      <c r="A37" s="163" t="s">
        <v>1995</v>
      </c>
      <c r="B37" s="100">
        <v>9.0500000000000007</v>
      </c>
      <c r="C37" s="100">
        <v>20.5</v>
      </c>
      <c r="D37" s="100">
        <v>19.32</v>
      </c>
      <c r="E37" s="100">
        <v>9.5500000000000007</v>
      </c>
      <c r="F37" s="152" t="s">
        <v>15</v>
      </c>
      <c r="G37" s="100">
        <v>71.39</v>
      </c>
      <c r="H37" s="100">
        <v>28.4</v>
      </c>
      <c r="I37" s="100">
        <v>10.199999999999999</v>
      </c>
      <c r="J37" s="100">
        <v>0.78</v>
      </c>
      <c r="K37" s="100">
        <v>46.79</v>
      </c>
      <c r="L37" s="100">
        <v>25</v>
      </c>
      <c r="M37" s="100">
        <v>41.51</v>
      </c>
      <c r="N37" s="100">
        <v>34.4</v>
      </c>
      <c r="O37" s="100">
        <v>0</v>
      </c>
      <c r="P37" s="100">
        <v>0.83</v>
      </c>
      <c r="Q37" s="100">
        <v>28.18</v>
      </c>
      <c r="R37" s="6"/>
      <c r="S37" s="6"/>
      <c r="T37" s="156"/>
      <c r="U37" s="6"/>
    </row>
    <row r="38" spans="1:21" customFormat="1">
      <c r="A38" s="163" t="s">
        <v>1996</v>
      </c>
      <c r="B38" s="100">
        <v>9.4499999999999993</v>
      </c>
      <c r="C38" s="100">
        <v>20.170000000000002</v>
      </c>
      <c r="D38" s="100">
        <v>19.47</v>
      </c>
      <c r="E38" s="100">
        <v>9.82</v>
      </c>
      <c r="F38" s="152" t="s">
        <v>15</v>
      </c>
      <c r="G38" s="100">
        <v>71.39</v>
      </c>
      <c r="H38" s="100">
        <v>28.4</v>
      </c>
      <c r="I38" s="100">
        <v>10.25</v>
      </c>
      <c r="J38" s="100">
        <v>0.73</v>
      </c>
      <c r="K38" s="100">
        <v>62.06</v>
      </c>
      <c r="L38" s="100">
        <v>25.26</v>
      </c>
      <c r="M38" s="100">
        <v>40.96</v>
      </c>
      <c r="N38" s="100">
        <v>43.1</v>
      </c>
      <c r="O38" s="100">
        <v>0</v>
      </c>
      <c r="P38" s="100">
        <v>0.83</v>
      </c>
      <c r="Q38" s="100">
        <v>28.23</v>
      </c>
      <c r="R38" s="6"/>
      <c r="S38" s="6"/>
      <c r="T38" s="156"/>
      <c r="U38" s="6"/>
    </row>
    <row r="39" spans="1:21" customFormat="1">
      <c r="A39" s="163" t="s">
        <v>1997</v>
      </c>
      <c r="B39" s="100">
        <v>9.6199999999999992</v>
      </c>
      <c r="C39" s="100">
        <v>19.920000000000002</v>
      </c>
      <c r="D39" s="100">
        <v>19.47</v>
      </c>
      <c r="E39" s="100">
        <v>9.85</v>
      </c>
      <c r="F39" s="152" t="s">
        <v>15</v>
      </c>
      <c r="G39" s="100">
        <v>71.39</v>
      </c>
      <c r="H39" s="100">
        <v>28.4</v>
      </c>
      <c r="I39" s="100">
        <v>10.34</v>
      </c>
      <c r="J39" s="100">
        <v>0.75</v>
      </c>
      <c r="K39" s="100">
        <v>64.930000000000007</v>
      </c>
      <c r="L39" s="100">
        <v>26.03</v>
      </c>
      <c r="M39" s="100">
        <v>38.200000000000003</v>
      </c>
      <c r="N39" s="100">
        <v>52.2</v>
      </c>
      <c r="O39" s="100">
        <v>0</v>
      </c>
      <c r="P39" s="100">
        <v>0.84</v>
      </c>
      <c r="Q39" s="100">
        <v>28.23</v>
      </c>
      <c r="R39" s="6"/>
      <c r="S39" s="6"/>
      <c r="T39" s="156"/>
      <c r="U39" s="6"/>
    </row>
    <row r="40" spans="1:21" customFormat="1">
      <c r="A40" s="163" t="s">
        <v>1998</v>
      </c>
      <c r="B40" s="100">
        <v>9.6</v>
      </c>
      <c r="C40" s="100">
        <v>19.63</v>
      </c>
      <c r="D40" s="100">
        <v>19.309999999999999</v>
      </c>
      <c r="E40" s="100">
        <v>9.8699999999999992</v>
      </c>
      <c r="F40" s="152" t="s">
        <v>15</v>
      </c>
      <c r="G40" s="100">
        <v>77.099999999999994</v>
      </c>
      <c r="H40" s="100">
        <v>29.2</v>
      </c>
      <c r="I40" s="100">
        <v>10.43</v>
      </c>
      <c r="J40" s="100">
        <v>0.72</v>
      </c>
      <c r="K40" s="100">
        <v>68.930000000000007</v>
      </c>
      <c r="L40" s="100">
        <v>26.84</v>
      </c>
      <c r="M40" s="100">
        <v>36.840000000000003</v>
      </c>
      <c r="N40" s="100">
        <v>87.7</v>
      </c>
      <c r="O40" s="100">
        <v>0</v>
      </c>
      <c r="P40" s="100">
        <v>0.85</v>
      </c>
      <c r="Q40" s="100">
        <v>28.24</v>
      </c>
      <c r="R40" s="6"/>
      <c r="S40" s="6"/>
      <c r="T40" s="156"/>
      <c r="U40" s="6"/>
    </row>
    <row r="41" spans="1:21" customFormat="1">
      <c r="A41" s="163" t="s">
        <v>1999</v>
      </c>
      <c r="B41" s="100">
        <v>9.5399999999999991</v>
      </c>
      <c r="C41" s="100">
        <v>19.399999999999999</v>
      </c>
      <c r="D41" s="100">
        <v>19.13</v>
      </c>
      <c r="E41" s="100">
        <v>10.02</v>
      </c>
      <c r="F41" s="152" t="s">
        <v>15</v>
      </c>
      <c r="G41" s="100">
        <v>79.180000000000007</v>
      </c>
      <c r="H41" s="100">
        <v>29.21</v>
      </c>
      <c r="I41" s="100">
        <v>10.48</v>
      </c>
      <c r="J41" s="100">
        <v>0.76</v>
      </c>
      <c r="K41" s="100">
        <v>55.58</v>
      </c>
      <c r="L41" s="100">
        <v>27.64</v>
      </c>
      <c r="M41" s="100">
        <v>35.590000000000003</v>
      </c>
      <c r="N41" s="100">
        <v>109.5</v>
      </c>
      <c r="O41" s="100">
        <v>0</v>
      </c>
      <c r="P41" s="100">
        <v>0.84</v>
      </c>
      <c r="Q41" s="100">
        <v>28.21</v>
      </c>
      <c r="R41" s="6"/>
      <c r="S41" s="6"/>
      <c r="T41" s="156"/>
      <c r="U41" s="6"/>
    </row>
    <row r="42" spans="1:21" customFormat="1">
      <c r="A42" s="163" t="s">
        <v>2000</v>
      </c>
      <c r="B42" s="100">
        <v>9.51</v>
      </c>
      <c r="C42" s="100">
        <v>19.329999999999998</v>
      </c>
      <c r="D42" s="100">
        <v>19.079999999999998</v>
      </c>
      <c r="E42" s="100">
        <v>10.55</v>
      </c>
      <c r="F42" s="152" t="s">
        <v>15</v>
      </c>
      <c r="G42" s="100">
        <v>79.180000000000007</v>
      </c>
      <c r="H42" s="100">
        <v>29.21</v>
      </c>
      <c r="I42" s="100">
        <v>10.51</v>
      </c>
      <c r="J42" s="100">
        <v>0.94</v>
      </c>
      <c r="K42" s="100">
        <v>54.54</v>
      </c>
      <c r="L42" s="100">
        <v>28.03</v>
      </c>
      <c r="M42" s="100">
        <v>34.81</v>
      </c>
      <c r="N42" s="100">
        <v>108.5</v>
      </c>
      <c r="O42" s="100">
        <v>0</v>
      </c>
      <c r="P42" s="100">
        <v>0.85</v>
      </c>
      <c r="Q42" s="100">
        <v>28.24</v>
      </c>
      <c r="R42" s="6"/>
      <c r="S42" s="6"/>
      <c r="T42" s="156"/>
      <c r="U42" s="6"/>
    </row>
    <row r="43" spans="1:21" customFormat="1">
      <c r="A43" s="163" t="s">
        <v>2001</v>
      </c>
      <c r="B43" s="100">
        <v>9.58</v>
      </c>
      <c r="C43" s="100">
        <v>19.47</v>
      </c>
      <c r="D43" s="100">
        <v>19.21</v>
      </c>
      <c r="E43" s="100">
        <v>10.78</v>
      </c>
      <c r="F43" s="152" t="s">
        <v>15</v>
      </c>
      <c r="G43" s="100">
        <v>79.180000000000007</v>
      </c>
      <c r="H43" s="100">
        <v>29.21</v>
      </c>
      <c r="I43" s="100">
        <v>10.52</v>
      </c>
      <c r="J43" s="100">
        <v>0.72</v>
      </c>
      <c r="K43" s="100">
        <v>55.05</v>
      </c>
      <c r="L43" s="100">
        <v>28.82</v>
      </c>
      <c r="M43" s="100">
        <v>33.58</v>
      </c>
      <c r="N43" s="100">
        <v>141.5</v>
      </c>
      <c r="O43" s="100">
        <v>0</v>
      </c>
      <c r="P43" s="100">
        <v>0.86</v>
      </c>
      <c r="Q43" s="100">
        <v>28.22</v>
      </c>
      <c r="R43" s="6"/>
      <c r="S43" s="6"/>
      <c r="T43" s="156"/>
      <c r="U43" s="6"/>
    </row>
    <row r="44" spans="1:21" customFormat="1">
      <c r="A44" s="163" t="s">
        <v>2002</v>
      </c>
      <c r="B44" s="100">
        <v>9.68</v>
      </c>
      <c r="C44" s="100">
        <v>19.920000000000002</v>
      </c>
      <c r="D44" s="100">
        <v>19.53</v>
      </c>
      <c r="E44" s="100">
        <v>15.06</v>
      </c>
      <c r="F44" s="152" t="s">
        <v>15</v>
      </c>
      <c r="G44" s="100">
        <v>88.78</v>
      </c>
      <c r="H44" s="100">
        <v>37.39</v>
      </c>
      <c r="I44" s="100">
        <v>10.58</v>
      </c>
      <c r="J44" s="100">
        <v>0.95</v>
      </c>
      <c r="K44" s="100">
        <v>50.48</v>
      </c>
      <c r="L44" s="100">
        <v>29.69</v>
      </c>
      <c r="M44" s="100">
        <v>32.229999999999997</v>
      </c>
      <c r="N44" s="100">
        <v>168.8</v>
      </c>
      <c r="O44" s="100">
        <v>0</v>
      </c>
      <c r="P44" s="100">
        <v>0.89</v>
      </c>
      <c r="Q44" s="100">
        <v>28.22</v>
      </c>
      <c r="R44" s="6"/>
      <c r="S44" s="6"/>
      <c r="T44" s="156"/>
      <c r="U44" s="6"/>
    </row>
    <row r="45" spans="1:21" customFormat="1">
      <c r="A45" s="163" t="s">
        <v>2003</v>
      </c>
      <c r="B45" s="100">
        <v>9.44</v>
      </c>
      <c r="C45" s="100">
        <v>20.02</v>
      </c>
      <c r="D45" s="100">
        <v>19.38</v>
      </c>
      <c r="E45" s="100">
        <v>13.36</v>
      </c>
      <c r="F45" s="152" t="s">
        <v>15</v>
      </c>
      <c r="G45" s="100">
        <v>92.47</v>
      </c>
      <c r="H45" s="100">
        <v>37.51</v>
      </c>
      <c r="I45" s="100">
        <v>10.61</v>
      </c>
      <c r="J45" s="100">
        <v>0.89</v>
      </c>
      <c r="K45" s="100">
        <v>49.55</v>
      </c>
      <c r="L45" s="100">
        <v>30.34</v>
      </c>
      <c r="M45" s="100">
        <v>31.07</v>
      </c>
      <c r="N45" s="100">
        <v>166.4</v>
      </c>
      <c r="O45" s="100">
        <v>0</v>
      </c>
      <c r="P45" s="100">
        <v>0.89</v>
      </c>
      <c r="Q45" s="100">
        <v>28.2</v>
      </c>
      <c r="R45" s="6"/>
      <c r="S45" s="6"/>
      <c r="T45" s="156"/>
      <c r="U45" s="6"/>
    </row>
    <row r="46" spans="1:21" customFormat="1">
      <c r="A46" s="163" t="s">
        <v>2004</v>
      </c>
      <c r="B46" s="100">
        <v>9.25</v>
      </c>
      <c r="C46" s="100">
        <v>20.309999999999999</v>
      </c>
      <c r="D46" s="100">
        <v>19.38</v>
      </c>
      <c r="E46" s="100">
        <v>15.47</v>
      </c>
      <c r="F46" s="152" t="s">
        <v>15</v>
      </c>
      <c r="G46" s="100">
        <v>92.47</v>
      </c>
      <c r="H46" s="100">
        <v>37.51</v>
      </c>
      <c r="I46" s="100">
        <v>10.61</v>
      </c>
      <c r="J46" s="100">
        <v>0.62</v>
      </c>
      <c r="K46" s="100">
        <v>5.15</v>
      </c>
      <c r="L46" s="100">
        <v>31.33</v>
      </c>
      <c r="M46" s="100">
        <v>29.42</v>
      </c>
      <c r="N46" s="100">
        <v>223.5</v>
      </c>
      <c r="O46" s="100">
        <v>0</v>
      </c>
      <c r="P46" s="100">
        <v>0.9</v>
      </c>
      <c r="Q46" s="100">
        <v>28.21</v>
      </c>
      <c r="R46" s="6"/>
      <c r="S46" s="6"/>
      <c r="T46" s="156"/>
      <c r="U46" s="6"/>
    </row>
    <row r="47" spans="1:21" customFormat="1">
      <c r="A47" s="163" t="s">
        <v>2005</v>
      </c>
      <c r="B47" s="100">
        <v>8.9700000000000006</v>
      </c>
      <c r="C47" s="100">
        <v>20.85</v>
      </c>
      <c r="D47" s="100">
        <v>19.440000000000001</v>
      </c>
      <c r="E47" s="100">
        <v>13.9</v>
      </c>
      <c r="F47" s="152" t="s">
        <v>15</v>
      </c>
      <c r="G47" s="100">
        <v>92.47</v>
      </c>
      <c r="H47" s="100">
        <v>37.51</v>
      </c>
      <c r="I47" s="100">
        <v>10.65</v>
      </c>
      <c r="J47" s="100">
        <v>0.24</v>
      </c>
      <c r="K47" s="100">
        <v>308.95999999999998</v>
      </c>
      <c r="L47" s="100">
        <v>32.08</v>
      </c>
      <c r="M47" s="100">
        <v>28.33</v>
      </c>
      <c r="N47" s="100">
        <v>234.9</v>
      </c>
      <c r="O47" s="100">
        <v>0</v>
      </c>
      <c r="P47" s="100">
        <v>0.89</v>
      </c>
      <c r="Q47" s="100">
        <v>28.18</v>
      </c>
      <c r="R47" s="6"/>
      <c r="S47" s="6"/>
      <c r="T47" s="156"/>
      <c r="U47" s="6"/>
    </row>
    <row r="48" spans="1:21" customFormat="1">
      <c r="A48" s="163" t="s">
        <v>2006</v>
      </c>
      <c r="B48" s="100">
        <v>8.1300000000000008</v>
      </c>
      <c r="C48" s="100">
        <v>20.77</v>
      </c>
      <c r="D48" s="100">
        <v>18.72</v>
      </c>
      <c r="E48" s="100">
        <v>15.83</v>
      </c>
      <c r="F48" s="152" t="s">
        <v>15</v>
      </c>
      <c r="G48" s="100">
        <v>92.29</v>
      </c>
      <c r="H48" s="100">
        <v>36.04</v>
      </c>
      <c r="I48" s="100">
        <v>10.57</v>
      </c>
      <c r="J48" s="100">
        <v>0.5</v>
      </c>
      <c r="K48" s="100">
        <v>344.21</v>
      </c>
      <c r="L48" s="100">
        <v>32.78</v>
      </c>
      <c r="M48" s="100">
        <v>26.94</v>
      </c>
      <c r="N48" s="100">
        <v>242.4</v>
      </c>
      <c r="O48" s="100">
        <v>0</v>
      </c>
      <c r="P48" s="100">
        <v>0.89</v>
      </c>
      <c r="Q48" s="100">
        <v>28.16</v>
      </c>
      <c r="R48" s="6"/>
      <c r="S48" s="6"/>
      <c r="T48" s="156"/>
      <c r="U48" s="6"/>
    </row>
    <row r="49" spans="1:21" customFormat="1">
      <c r="A49" s="163" t="s">
        <v>2007</v>
      </c>
      <c r="B49" s="100">
        <v>7.44</v>
      </c>
      <c r="C49" s="100">
        <v>20.85</v>
      </c>
      <c r="D49" s="100">
        <v>18.21</v>
      </c>
      <c r="E49" s="100">
        <v>8.15</v>
      </c>
      <c r="F49" s="152" t="s">
        <v>15</v>
      </c>
      <c r="G49" s="100">
        <v>92.23</v>
      </c>
      <c r="H49" s="100">
        <v>36.020000000000003</v>
      </c>
      <c r="I49" s="100">
        <v>10.5</v>
      </c>
      <c r="J49" s="100">
        <v>0.5</v>
      </c>
      <c r="K49" s="100">
        <v>280.01</v>
      </c>
      <c r="L49" s="100">
        <v>33.03</v>
      </c>
      <c r="M49" s="100">
        <v>27</v>
      </c>
      <c r="N49" s="100">
        <v>224.9</v>
      </c>
      <c r="O49" s="100">
        <v>0</v>
      </c>
      <c r="P49" s="100">
        <v>0.89</v>
      </c>
      <c r="Q49" s="100">
        <v>28.15</v>
      </c>
      <c r="R49" s="6"/>
      <c r="S49" s="6"/>
      <c r="T49" s="156"/>
      <c r="U49" s="6"/>
    </row>
    <row r="50" spans="1:21" customFormat="1">
      <c r="A50" s="163" t="s">
        <v>2008</v>
      </c>
      <c r="B50" s="100">
        <v>6.63</v>
      </c>
      <c r="C50" s="100">
        <v>20.76</v>
      </c>
      <c r="D50" s="100">
        <v>17.52</v>
      </c>
      <c r="E50" s="100">
        <v>11.47</v>
      </c>
      <c r="F50" s="152" t="s">
        <v>15</v>
      </c>
      <c r="G50" s="100">
        <v>92.23</v>
      </c>
      <c r="H50" s="100">
        <v>36.020000000000003</v>
      </c>
      <c r="I50" s="100">
        <v>10.53</v>
      </c>
      <c r="J50" s="100">
        <v>0.25</v>
      </c>
      <c r="K50" s="100">
        <v>6.15</v>
      </c>
      <c r="L50" s="100">
        <v>33.549999999999997</v>
      </c>
      <c r="M50" s="100">
        <v>26.22</v>
      </c>
      <c r="N50" s="100">
        <v>211.6</v>
      </c>
      <c r="O50" s="100">
        <v>0</v>
      </c>
      <c r="P50" s="100">
        <v>0.89</v>
      </c>
      <c r="Q50" s="100">
        <v>28.14</v>
      </c>
      <c r="R50" s="6"/>
      <c r="S50" s="6"/>
      <c r="T50" s="156"/>
      <c r="U50" s="6"/>
    </row>
    <row r="51" spans="1:21" customFormat="1">
      <c r="A51" s="163" t="s">
        <v>2009</v>
      </c>
      <c r="B51" s="100">
        <v>6</v>
      </c>
      <c r="C51" s="100">
        <v>21.11</v>
      </c>
      <c r="D51" s="100">
        <v>17.190000000000001</v>
      </c>
      <c r="E51" s="100">
        <v>13.6</v>
      </c>
      <c r="F51" s="152" t="s">
        <v>15</v>
      </c>
      <c r="G51" s="100">
        <v>92.23</v>
      </c>
      <c r="H51" s="100">
        <v>36.020000000000003</v>
      </c>
      <c r="I51" s="100">
        <v>10.49</v>
      </c>
      <c r="J51" s="100">
        <v>0.7</v>
      </c>
      <c r="K51" s="100">
        <v>10.96</v>
      </c>
      <c r="L51" s="100">
        <v>33.47</v>
      </c>
      <c r="M51" s="100">
        <v>26.11</v>
      </c>
      <c r="N51" s="100">
        <v>264.2</v>
      </c>
      <c r="O51" s="100">
        <v>0</v>
      </c>
      <c r="P51" s="100">
        <v>0.88</v>
      </c>
      <c r="Q51" s="100">
        <v>28.1</v>
      </c>
      <c r="R51" s="6"/>
      <c r="S51" s="6"/>
      <c r="T51" s="156"/>
      <c r="U51" s="6"/>
    </row>
    <row r="52" spans="1:21" customFormat="1">
      <c r="A52" s="163" t="s">
        <v>2010</v>
      </c>
      <c r="B52" s="100">
        <v>5.34</v>
      </c>
      <c r="C52" s="100">
        <v>21.03</v>
      </c>
      <c r="D52" s="100">
        <v>16.62</v>
      </c>
      <c r="E52" s="100">
        <v>17.440000000000001</v>
      </c>
      <c r="F52" s="152" t="s">
        <v>15</v>
      </c>
      <c r="G52" s="100">
        <v>93.95</v>
      </c>
      <c r="H52" s="100">
        <v>36.07</v>
      </c>
      <c r="I52" s="100">
        <v>10.38</v>
      </c>
      <c r="J52" s="100">
        <v>0.51</v>
      </c>
      <c r="K52" s="100">
        <v>36.119999999999997</v>
      </c>
      <c r="L52" s="100">
        <v>33.94</v>
      </c>
      <c r="M52" s="100">
        <v>25.68</v>
      </c>
      <c r="N52" s="100">
        <v>275.60000000000002</v>
      </c>
      <c r="O52" s="100">
        <v>0</v>
      </c>
      <c r="P52" s="100">
        <v>0.9</v>
      </c>
      <c r="Q52" s="100">
        <v>28.08</v>
      </c>
      <c r="R52" s="6"/>
      <c r="S52" s="6"/>
      <c r="T52" s="156"/>
      <c r="U52" s="6"/>
    </row>
    <row r="53" spans="1:21" customFormat="1">
      <c r="A53" s="163" t="s">
        <v>2011</v>
      </c>
      <c r="B53" s="100">
        <v>4.68</v>
      </c>
      <c r="C53" s="100">
        <v>21.04</v>
      </c>
      <c r="D53" s="100">
        <v>16.100000000000001</v>
      </c>
      <c r="E53" s="100">
        <v>12.76</v>
      </c>
      <c r="F53" s="152" t="s">
        <v>15</v>
      </c>
      <c r="G53" s="100">
        <v>94.58</v>
      </c>
      <c r="H53" s="100">
        <v>36.07</v>
      </c>
      <c r="I53" s="100">
        <v>10.3</v>
      </c>
      <c r="J53" s="100">
        <v>0.14000000000000001</v>
      </c>
      <c r="K53" s="100">
        <v>341.11</v>
      </c>
      <c r="L53" s="100">
        <v>34.72</v>
      </c>
      <c r="M53" s="100">
        <v>25.16</v>
      </c>
      <c r="N53" s="100">
        <v>274.39999999999998</v>
      </c>
      <c r="O53" s="100">
        <v>0</v>
      </c>
      <c r="P53" s="100">
        <v>0.91</v>
      </c>
      <c r="Q53" s="100">
        <v>28.06</v>
      </c>
      <c r="R53" s="6"/>
      <c r="S53" s="6"/>
      <c r="T53" s="156"/>
      <c r="U53" s="6"/>
    </row>
    <row r="54" spans="1:21" customFormat="1">
      <c r="A54" s="163" t="s">
        <v>2012</v>
      </c>
      <c r="B54" s="100">
        <v>4.1100000000000003</v>
      </c>
      <c r="C54" s="100">
        <v>21.32</v>
      </c>
      <c r="D54" s="100">
        <v>15.79</v>
      </c>
      <c r="E54" s="100">
        <v>12.05</v>
      </c>
      <c r="F54" s="152" t="s">
        <v>15</v>
      </c>
      <c r="G54" s="100">
        <v>94.58</v>
      </c>
      <c r="H54" s="100">
        <v>36.07</v>
      </c>
      <c r="I54" s="100">
        <v>10.3</v>
      </c>
      <c r="J54" s="100">
        <v>0.51</v>
      </c>
      <c r="K54" s="100">
        <v>284.99</v>
      </c>
      <c r="L54" s="100">
        <v>35.04</v>
      </c>
      <c r="M54" s="100">
        <v>24.22</v>
      </c>
      <c r="N54" s="100">
        <v>275.2</v>
      </c>
      <c r="O54" s="100">
        <v>0</v>
      </c>
      <c r="P54" s="100">
        <v>0.91</v>
      </c>
      <c r="Q54" s="100">
        <v>28.05</v>
      </c>
      <c r="R54" s="6"/>
      <c r="S54" s="6"/>
      <c r="T54" s="156"/>
      <c r="U54" s="6"/>
    </row>
    <row r="55" spans="1:21" customFormat="1">
      <c r="A55" s="163" t="s">
        <v>2013</v>
      </c>
      <c r="B55" s="100">
        <v>3.74</v>
      </c>
      <c r="C55" s="100">
        <v>20.96</v>
      </c>
      <c r="D55" s="100">
        <v>15.3</v>
      </c>
      <c r="E55" s="100">
        <v>11.74</v>
      </c>
      <c r="F55" s="152" t="s">
        <v>15</v>
      </c>
      <c r="G55" s="100">
        <v>94.58</v>
      </c>
      <c r="H55" s="100">
        <v>36.07</v>
      </c>
      <c r="I55" s="100">
        <v>10.48</v>
      </c>
      <c r="J55" s="100">
        <v>0.48</v>
      </c>
      <c r="K55" s="100">
        <v>268.05</v>
      </c>
      <c r="L55" s="100">
        <v>35.58</v>
      </c>
      <c r="M55" s="100">
        <v>23.66</v>
      </c>
      <c r="N55" s="100">
        <v>268.39999999999998</v>
      </c>
      <c r="O55" s="100">
        <v>0</v>
      </c>
      <c r="P55" s="100">
        <v>0.89</v>
      </c>
      <c r="Q55" s="100">
        <v>28.03</v>
      </c>
      <c r="R55" s="6"/>
      <c r="S55" s="6"/>
      <c r="T55" s="156"/>
      <c r="U55" s="6"/>
    </row>
    <row r="56" spans="1:21" customFormat="1">
      <c r="A56" s="163" t="s">
        <v>2014</v>
      </c>
      <c r="B56" s="100">
        <v>3.57</v>
      </c>
      <c r="C56" s="100">
        <v>20.11</v>
      </c>
      <c r="D56" s="100">
        <v>14.72</v>
      </c>
      <c r="E56" s="100">
        <v>11.64</v>
      </c>
      <c r="F56" s="152" t="s">
        <v>15</v>
      </c>
      <c r="G56" s="100">
        <v>89.24</v>
      </c>
      <c r="H56" s="100">
        <v>35.880000000000003</v>
      </c>
      <c r="I56" s="100">
        <v>10.49</v>
      </c>
      <c r="J56" s="100">
        <v>0.94</v>
      </c>
      <c r="K56" s="100">
        <v>282.63</v>
      </c>
      <c r="L56" s="100">
        <v>35.6</v>
      </c>
      <c r="M56" s="100">
        <v>24</v>
      </c>
      <c r="N56" s="100">
        <v>281.3</v>
      </c>
      <c r="O56" s="100">
        <v>0</v>
      </c>
      <c r="P56" s="100">
        <v>0.88</v>
      </c>
      <c r="Q56" s="100">
        <v>28.02</v>
      </c>
      <c r="R56" s="6"/>
      <c r="S56" s="6"/>
      <c r="T56" s="156"/>
      <c r="U56" s="6"/>
    </row>
    <row r="57" spans="1:21" customFormat="1">
      <c r="A57" s="163" t="s">
        <v>2015</v>
      </c>
      <c r="B57" s="100">
        <v>3.55</v>
      </c>
      <c r="C57" s="100">
        <v>19.309999999999999</v>
      </c>
      <c r="D57" s="100">
        <v>14.28</v>
      </c>
      <c r="E57" s="100">
        <v>11.46</v>
      </c>
      <c r="F57" s="152" t="s">
        <v>15</v>
      </c>
      <c r="G57" s="100">
        <v>87.3</v>
      </c>
      <c r="H57" s="100">
        <v>35.869999999999997</v>
      </c>
      <c r="I57" s="100">
        <v>10.37</v>
      </c>
      <c r="J57" s="100">
        <v>0.55000000000000004</v>
      </c>
      <c r="K57" s="100">
        <v>282.58</v>
      </c>
      <c r="L57" s="100">
        <v>35.770000000000003</v>
      </c>
      <c r="M57" s="100">
        <v>23.98</v>
      </c>
      <c r="N57" s="100">
        <v>292.60000000000002</v>
      </c>
      <c r="O57" s="100">
        <v>0</v>
      </c>
      <c r="P57" s="100">
        <v>0.86</v>
      </c>
      <c r="Q57" s="100">
        <v>28.01</v>
      </c>
      <c r="R57" s="6"/>
      <c r="S57" s="6"/>
      <c r="T57" s="156"/>
      <c r="U57" s="6"/>
    </row>
    <row r="58" spans="1:21" customFormat="1">
      <c r="A58" s="163" t="s">
        <v>2016</v>
      </c>
      <c r="B58" s="100">
        <v>3.52</v>
      </c>
      <c r="C58" s="100">
        <v>18.23</v>
      </c>
      <c r="D58" s="100">
        <v>13.7</v>
      </c>
      <c r="E58" s="100">
        <v>11.84</v>
      </c>
      <c r="F58" s="152" t="s">
        <v>15</v>
      </c>
      <c r="G58" s="100">
        <v>87.3</v>
      </c>
      <c r="H58" s="100">
        <v>35.869999999999997</v>
      </c>
      <c r="I58" s="100">
        <v>10.199999999999999</v>
      </c>
      <c r="J58" s="100">
        <v>0.62</v>
      </c>
      <c r="K58" s="100">
        <v>280.74</v>
      </c>
      <c r="L58" s="100">
        <v>36.229999999999997</v>
      </c>
      <c r="M58" s="100">
        <v>23.48</v>
      </c>
      <c r="N58" s="100">
        <v>291.10000000000002</v>
      </c>
      <c r="O58" s="100">
        <v>0</v>
      </c>
      <c r="P58" s="100">
        <v>0.85</v>
      </c>
      <c r="Q58" s="100">
        <v>28.01</v>
      </c>
      <c r="R58" s="6"/>
      <c r="S58" s="6"/>
      <c r="T58" s="156"/>
      <c r="U58" s="6"/>
    </row>
    <row r="59" spans="1:21" customFormat="1">
      <c r="A59" s="163" t="s">
        <v>2017</v>
      </c>
      <c r="B59" s="100">
        <v>3.57</v>
      </c>
      <c r="C59" s="100">
        <v>18.420000000000002</v>
      </c>
      <c r="D59" s="100">
        <v>13.84</v>
      </c>
      <c r="E59" s="100">
        <v>12.14</v>
      </c>
      <c r="F59" s="152" t="s">
        <v>15</v>
      </c>
      <c r="G59" s="100">
        <v>87.3</v>
      </c>
      <c r="H59" s="100">
        <v>35.869999999999997</v>
      </c>
      <c r="I59" s="100">
        <v>9.9600000000000009</v>
      </c>
      <c r="J59" s="100">
        <v>0.98</v>
      </c>
      <c r="K59" s="100">
        <v>307.7</v>
      </c>
      <c r="L59" s="100">
        <v>36.39</v>
      </c>
      <c r="M59" s="100">
        <v>23.4</v>
      </c>
      <c r="N59" s="100">
        <v>296.3</v>
      </c>
      <c r="O59" s="100">
        <v>0</v>
      </c>
      <c r="P59" s="100">
        <v>0.86</v>
      </c>
      <c r="Q59" s="100">
        <v>28.01</v>
      </c>
      <c r="R59" s="6"/>
      <c r="S59" s="6"/>
      <c r="T59" s="156"/>
      <c r="U59" s="6"/>
    </row>
    <row r="60" spans="1:21" customFormat="1">
      <c r="A60" s="163" t="s">
        <v>2018</v>
      </c>
      <c r="B60" s="100">
        <v>3.65</v>
      </c>
      <c r="C60" s="100">
        <v>18.649999999999999</v>
      </c>
      <c r="D60" s="100">
        <v>14.03</v>
      </c>
      <c r="E60" s="100">
        <v>14.18</v>
      </c>
      <c r="F60" s="152" t="s">
        <v>15</v>
      </c>
      <c r="G60" s="100">
        <v>86.03</v>
      </c>
      <c r="H60" s="100">
        <v>38.909999999999997</v>
      </c>
      <c r="I60" s="100">
        <v>9.8000000000000007</v>
      </c>
      <c r="J60" s="100">
        <v>0.9</v>
      </c>
      <c r="K60" s="100">
        <v>317.04000000000002</v>
      </c>
      <c r="L60" s="100">
        <v>36.65</v>
      </c>
      <c r="M60" s="100">
        <v>22.96</v>
      </c>
      <c r="N60" s="100">
        <v>296.3</v>
      </c>
      <c r="O60" s="100">
        <v>0</v>
      </c>
      <c r="P60" s="100">
        <v>0.86</v>
      </c>
      <c r="Q60" s="100">
        <v>28</v>
      </c>
      <c r="R60" s="6"/>
      <c r="S60" s="6"/>
      <c r="T60" s="156"/>
      <c r="U60" s="6"/>
    </row>
    <row r="61" spans="1:21" customFormat="1">
      <c r="A61" s="163" t="s">
        <v>2019</v>
      </c>
      <c r="B61" s="100">
        <v>3.61</v>
      </c>
      <c r="C61" s="100">
        <v>18.649999999999999</v>
      </c>
      <c r="D61" s="100">
        <v>13.99</v>
      </c>
      <c r="E61" s="100">
        <v>14.29</v>
      </c>
      <c r="F61" s="152" t="s">
        <v>15</v>
      </c>
      <c r="G61" s="100">
        <v>85.57</v>
      </c>
      <c r="H61" s="100">
        <v>38.96</v>
      </c>
      <c r="I61" s="100">
        <v>9.83</v>
      </c>
      <c r="J61" s="100">
        <v>0.5</v>
      </c>
      <c r="K61" s="100">
        <v>286.29000000000002</v>
      </c>
      <c r="L61" s="100">
        <v>36.99</v>
      </c>
      <c r="M61" s="100">
        <v>22.54</v>
      </c>
      <c r="N61" s="100">
        <v>293.2</v>
      </c>
      <c r="O61" s="100">
        <v>0</v>
      </c>
      <c r="P61" s="100">
        <v>0.86</v>
      </c>
      <c r="Q61" s="100">
        <v>28.01</v>
      </c>
      <c r="R61" s="6"/>
      <c r="S61" s="6"/>
      <c r="T61" s="156"/>
      <c r="U61" s="6"/>
    </row>
    <row r="62" spans="1:21" customFormat="1">
      <c r="A62" s="163" t="s">
        <v>2020</v>
      </c>
      <c r="B62" s="100">
        <v>3.55</v>
      </c>
      <c r="C62" s="100">
        <v>18.34</v>
      </c>
      <c r="D62" s="100">
        <v>13.78</v>
      </c>
      <c r="E62" s="100">
        <v>16.14</v>
      </c>
      <c r="F62" s="152" t="s">
        <v>15</v>
      </c>
      <c r="G62" s="100">
        <v>85.57</v>
      </c>
      <c r="H62" s="100">
        <v>38.96</v>
      </c>
      <c r="I62" s="100">
        <v>9.73</v>
      </c>
      <c r="J62" s="100">
        <v>0.23</v>
      </c>
      <c r="K62" s="100">
        <v>349.92</v>
      </c>
      <c r="L62" s="100">
        <v>37.369999999999997</v>
      </c>
      <c r="M62" s="100">
        <v>21.82</v>
      </c>
      <c r="N62" s="100">
        <v>281.89999999999998</v>
      </c>
      <c r="O62" s="100">
        <v>0</v>
      </c>
      <c r="P62" s="100">
        <v>0.86</v>
      </c>
      <c r="Q62" s="100">
        <v>28.01</v>
      </c>
      <c r="R62" s="6"/>
      <c r="S62" s="6"/>
      <c r="T62" s="156"/>
      <c r="U62" s="6"/>
    </row>
    <row r="63" spans="1:21" customFormat="1">
      <c r="A63" s="163" t="s">
        <v>2021</v>
      </c>
      <c r="B63" s="100">
        <v>3.61</v>
      </c>
      <c r="C63" s="100">
        <v>19.21</v>
      </c>
      <c r="D63" s="100">
        <v>14.28</v>
      </c>
      <c r="E63" s="100">
        <v>17.739999999999998</v>
      </c>
      <c r="F63" s="152" t="s">
        <v>15</v>
      </c>
      <c r="G63" s="100">
        <v>85.57</v>
      </c>
      <c r="H63" s="100">
        <v>38.96</v>
      </c>
      <c r="I63" s="100">
        <v>9.7200000000000006</v>
      </c>
      <c r="J63" s="100">
        <v>0.4</v>
      </c>
      <c r="K63" s="100">
        <v>285.85000000000002</v>
      </c>
      <c r="L63" s="100">
        <v>37.65</v>
      </c>
      <c r="M63" s="100">
        <v>21.07</v>
      </c>
      <c r="N63" s="100">
        <v>271</v>
      </c>
      <c r="O63" s="100">
        <v>0</v>
      </c>
      <c r="P63" s="100">
        <v>0.88</v>
      </c>
      <c r="Q63" s="100">
        <v>28</v>
      </c>
      <c r="R63" s="6"/>
      <c r="S63" s="6"/>
      <c r="T63" s="156"/>
      <c r="U63" s="6"/>
    </row>
    <row r="64" spans="1:21" customFormat="1">
      <c r="A64" s="163" t="s">
        <v>2022</v>
      </c>
      <c r="B64" s="100">
        <v>3.51</v>
      </c>
      <c r="C64" s="100">
        <v>18</v>
      </c>
      <c r="D64" s="100">
        <v>13.57</v>
      </c>
      <c r="E64" s="100">
        <v>19.25</v>
      </c>
      <c r="F64" s="152" t="s">
        <v>15</v>
      </c>
      <c r="G64" s="100">
        <v>86.79</v>
      </c>
      <c r="H64" s="100">
        <v>36.729999999999997</v>
      </c>
      <c r="I64" s="100">
        <v>9.89</v>
      </c>
      <c r="J64" s="100">
        <v>0.37</v>
      </c>
      <c r="K64" s="100">
        <v>259.73</v>
      </c>
      <c r="L64" s="100">
        <v>37.69</v>
      </c>
      <c r="M64" s="100">
        <v>20.99</v>
      </c>
      <c r="N64" s="100">
        <v>261.8</v>
      </c>
      <c r="O64" s="100">
        <v>0</v>
      </c>
      <c r="P64" s="100">
        <v>0.88</v>
      </c>
      <c r="Q64" s="100">
        <v>27.99</v>
      </c>
      <c r="R64" s="6"/>
      <c r="S64" s="6"/>
      <c r="T64" s="156"/>
      <c r="U64" s="6"/>
    </row>
    <row r="65" spans="1:21" customFormat="1">
      <c r="A65" s="163" t="s">
        <v>2023</v>
      </c>
      <c r="B65" s="100">
        <v>3.48</v>
      </c>
      <c r="C65" s="100">
        <v>18.3</v>
      </c>
      <c r="D65" s="100">
        <v>13.7</v>
      </c>
      <c r="E65" s="100">
        <v>16.920000000000002</v>
      </c>
      <c r="F65" s="152" t="s">
        <v>15</v>
      </c>
      <c r="G65" s="100">
        <v>87.25</v>
      </c>
      <c r="H65" s="100">
        <v>36.69</v>
      </c>
      <c r="I65" s="100">
        <v>10.26</v>
      </c>
      <c r="J65" s="100">
        <v>0.93</v>
      </c>
      <c r="K65" s="100">
        <v>266.82</v>
      </c>
      <c r="L65" s="100">
        <v>37.31</v>
      </c>
      <c r="M65" s="100">
        <v>22.6</v>
      </c>
      <c r="N65" s="100">
        <v>264.8</v>
      </c>
      <c r="O65" s="100">
        <v>0</v>
      </c>
      <c r="P65" s="100">
        <v>0.88</v>
      </c>
      <c r="Q65" s="100">
        <v>28.01</v>
      </c>
      <c r="R65" s="6"/>
      <c r="S65" s="6"/>
      <c r="T65" s="156"/>
      <c r="U65" s="6"/>
    </row>
    <row r="66" spans="1:21" customFormat="1">
      <c r="A66" s="163" t="s">
        <v>2024</v>
      </c>
      <c r="B66" s="100">
        <v>3.47</v>
      </c>
      <c r="C66" s="100">
        <v>18.579999999999998</v>
      </c>
      <c r="D66" s="100">
        <v>13.84</v>
      </c>
      <c r="E66" s="100">
        <v>14.98</v>
      </c>
      <c r="F66" s="152" t="s">
        <v>15</v>
      </c>
      <c r="G66" s="100">
        <v>87.25</v>
      </c>
      <c r="H66" s="100">
        <v>36.69</v>
      </c>
      <c r="I66" s="100">
        <v>10.57</v>
      </c>
      <c r="J66" s="100">
        <v>0.81</v>
      </c>
      <c r="K66" s="100">
        <v>256.97000000000003</v>
      </c>
      <c r="L66" s="100">
        <v>37.340000000000003</v>
      </c>
      <c r="M66" s="100">
        <v>22.98</v>
      </c>
      <c r="N66" s="100">
        <v>263.89999999999998</v>
      </c>
      <c r="O66" s="100">
        <v>0</v>
      </c>
      <c r="P66" s="100">
        <v>0.93</v>
      </c>
      <c r="Q66" s="100">
        <v>28</v>
      </c>
      <c r="R66" s="6"/>
      <c r="S66" s="6"/>
      <c r="T66" s="156"/>
      <c r="U66" s="6"/>
    </row>
    <row r="67" spans="1:21" customFormat="1">
      <c r="A67" s="163" t="s">
        <v>2025</v>
      </c>
      <c r="B67" s="100">
        <v>3.45</v>
      </c>
      <c r="C67" s="100">
        <v>17.91</v>
      </c>
      <c r="D67" s="100">
        <v>13.48</v>
      </c>
      <c r="E67" s="100">
        <v>14.94</v>
      </c>
      <c r="F67" s="152" t="s">
        <v>15</v>
      </c>
      <c r="G67" s="100">
        <v>87.25</v>
      </c>
      <c r="H67" s="100">
        <v>36.69</v>
      </c>
      <c r="I67" s="100">
        <v>10.84</v>
      </c>
      <c r="J67" s="100">
        <v>0.47</v>
      </c>
      <c r="K67" s="100">
        <v>302.57</v>
      </c>
      <c r="L67" s="100">
        <v>37.72</v>
      </c>
      <c r="M67" s="100">
        <v>22.37</v>
      </c>
      <c r="N67" s="100">
        <v>237.7</v>
      </c>
      <c r="O67" s="100">
        <v>0</v>
      </c>
      <c r="P67" s="100">
        <v>0.93</v>
      </c>
      <c r="Q67" s="100">
        <v>28</v>
      </c>
      <c r="R67" s="6"/>
      <c r="S67" s="6"/>
      <c r="T67" s="156"/>
      <c r="U67" s="6"/>
    </row>
    <row r="68" spans="1:21" customFormat="1">
      <c r="A68" s="163" t="s">
        <v>2026</v>
      </c>
      <c r="B68" s="100">
        <v>4.7699999999999996</v>
      </c>
      <c r="C68" s="100">
        <v>24.83</v>
      </c>
      <c r="D68" s="100">
        <v>18.149999999999999</v>
      </c>
      <c r="E68" s="100">
        <v>18.66</v>
      </c>
      <c r="F68" s="152" t="s">
        <v>15</v>
      </c>
      <c r="G68" s="100">
        <v>88.75</v>
      </c>
      <c r="H68" s="100">
        <v>38.06</v>
      </c>
      <c r="I68" s="100">
        <v>10.98</v>
      </c>
      <c r="J68" s="100">
        <v>0.71</v>
      </c>
      <c r="K68" s="100">
        <v>304.5</v>
      </c>
      <c r="L68" s="100">
        <v>37.380000000000003</v>
      </c>
      <c r="M68" s="100">
        <v>22.83</v>
      </c>
      <c r="N68" s="100">
        <v>180</v>
      </c>
      <c r="O68" s="100">
        <v>0</v>
      </c>
      <c r="P68" s="100">
        <v>0.92</v>
      </c>
      <c r="Q68" s="100">
        <v>28</v>
      </c>
      <c r="R68" s="6"/>
      <c r="S68" s="6"/>
      <c r="T68" s="156"/>
      <c r="U68" s="6"/>
    </row>
    <row r="69" spans="1:21" customFormat="1">
      <c r="A69" s="163" t="s">
        <v>2027</v>
      </c>
      <c r="B69" s="100">
        <v>4.0599999999999996</v>
      </c>
      <c r="C69" s="100">
        <v>22.4</v>
      </c>
      <c r="D69" s="100">
        <v>16.309999999999999</v>
      </c>
      <c r="E69" s="100">
        <v>15.59</v>
      </c>
      <c r="F69" s="152" t="s">
        <v>15</v>
      </c>
      <c r="G69" s="100">
        <v>89.3</v>
      </c>
      <c r="H69" s="100">
        <v>38.090000000000003</v>
      </c>
      <c r="I69" s="100">
        <v>10.96</v>
      </c>
      <c r="J69" s="100">
        <v>1.1000000000000001</v>
      </c>
      <c r="K69" s="100">
        <v>305.39</v>
      </c>
      <c r="L69" s="100">
        <v>36.82</v>
      </c>
      <c r="M69" s="100">
        <v>23.59</v>
      </c>
      <c r="N69" s="100">
        <v>192</v>
      </c>
      <c r="O69" s="100">
        <v>0</v>
      </c>
      <c r="P69" s="100">
        <v>0.91</v>
      </c>
      <c r="Q69" s="100">
        <v>28</v>
      </c>
      <c r="R69" s="6"/>
      <c r="S69" s="6"/>
      <c r="T69" s="156"/>
      <c r="U69" s="6"/>
    </row>
    <row r="70" spans="1:21" customFormat="1">
      <c r="A70" s="163" t="s">
        <v>2028</v>
      </c>
      <c r="B70" s="100">
        <v>3.63</v>
      </c>
      <c r="C70" s="100">
        <v>19.23</v>
      </c>
      <c r="D70" s="100">
        <v>14.31</v>
      </c>
      <c r="E70" s="100">
        <v>16.079999999999998</v>
      </c>
      <c r="F70" s="152" t="s">
        <v>15</v>
      </c>
      <c r="G70" s="100">
        <v>89.3</v>
      </c>
      <c r="H70" s="100">
        <v>38.090000000000003</v>
      </c>
      <c r="I70" s="100">
        <v>10.85</v>
      </c>
      <c r="J70" s="100">
        <v>0.68</v>
      </c>
      <c r="K70" s="100">
        <v>286.20999999999998</v>
      </c>
      <c r="L70" s="100">
        <v>36.81</v>
      </c>
      <c r="M70" s="100">
        <v>23.56</v>
      </c>
      <c r="N70" s="100">
        <v>176.9</v>
      </c>
      <c r="O70" s="100">
        <v>0</v>
      </c>
      <c r="P70" s="100">
        <v>0.9</v>
      </c>
      <c r="Q70" s="100">
        <v>28.01</v>
      </c>
      <c r="R70" s="6"/>
      <c r="S70" s="6"/>
      <c r="T70" s="156"/>
      <c r="U70" s="6"/>
    </row>
    <row r="71" spans="1:21" customFormat="1">
      <c r="A71" s="163" t="s">
        <v>2029</v>
      </c>
      <c r="B71" s="100">
        <v>3.58</v>
      </c>
      <c r="C71" s="100">
        <v>20.03</v>
      </c>
      <c r="D71" s="100">
        <v>14.69</v>
      </c>
      <c r="E71" s="100">
        <v>17.149999999999999</v>
      </c>
      <c r="F71" s="152" t="s">
        <v>15</v>
      </c>
      <c r="G71" s="100">
        <v>89.3</v>
      </c>
      <c r="H71" s="100">
        <v>38.090000000000003</v>
      </c>
      <c r="I71" s="100">
        <v>10.69</v>
      </c>
      <c r="J71" s="100">
        <v>0.99</v>
      </c>
      <c r="K71" s="100">
        <v>308.58999999999997</v>
      </c>
      <c r="L71" s="100">
        <v>36.68</v>
      </c>
      <c r="M71" s="100">
        <v>23.7</v>
      </c>
      <c r="N71" s="100">
        <v>189</v>
      </c>
      <c r="O71" s="100">
        <v>0</v>
      </c>
      <c r="P71" s="100">
        <v>0.91</v>
      </c>
      <c r="Q71" s="100">
        <v>28</v>
      </c>
      <c r="R71" s="6"/>
      <c r="S71" s="6"/>
      <c r="T71" s="156"/>
      <c r="U71" s="6"/>
    </row>
    <row r="72" spans="1:21" customFormat="1">
      <c r="A72" s="163" t="s">
        <v>2030</v>
      </c>
      <c r="B72" s="100">
        <v>3.57</v>
      </c>
      <c r="C72" s="100">
        <v>19.46</v>
      </c>
      <c r="D72" s="100">
        <v>14.38</v>
      </c>
      <c r="E72" s="100">
        <v>18.739999999999998</v>
      </c>
      <c r="F72" s="152" t="s">
        <v>15</v>
      </c>
      <c r="G72" s="100">
        <v>82.15</v>
      </c>
      <c r="H72" s="100">
        <v>37.32</v>
      </c>
      <c r="I72" s="100">
        <v>10.6</v>
      </c>
      <c r="J72" s="100">
        <v>0.81</v>
      </c>
      <c r="K72" s="100">
        <v>303.26</v>
      </c>
      <c r="L72" s="100">
        <v>36.5</v>
      </c>
      <c r="M72" s="100">
        <v>24.19</v>
      </c>
      <c r="N72" s="100">
        <v>153</v>
      </c>
      <c r="O72" s="100">
        <v>0</v>
      </c>
      <c r="P72" s="100">
        <v>0.92</v>
      </c>
      <c r="Q72" s="100">
        <v>28</v>
      </c>
      <c r="R72" s="6"/>
      <c r="S72" s="6"/>
      <c r="T72" s="156"/>
      <c r="U72" s="6"/>
    </row>
    <row r="73" spans="1:21" customFormat="1">
      <c r="A73" s="163" t="s">
        <v>2031</v>
      </c>
      <c r="B73" s="100">
        <v>3.53</v>
      </c>
      <c r="C73" s="100">
        <v>19.57</v>
      </c>
      <c r="D73" s="100">
        <v>14.41</v>
      </c>
      <c r="E73" s="100">
        <v>21.11</v>
      </c>
      <c r="F73" s="152" t="s">
        <v>15</v>
      </c>
      <c r="G73" s="100">
        <v>79.55</v>
      </c>
      <c r="H73" s="100">
        <v>37.31</v>
      </c>
      <c r="I73" s="100">
        <v>10.66</v>
      </c>
      <c r="J73" s="100">
        <v>0.4</v>
      </c>
      <c r="K73" s="100">
        <v>291.97000000000003</v>
      </c>
      <c r="L73" s="100">
        <v>36.46</v>
      </c>
      <c r="M73" s="100">
        <v>24.48</v>
      </c>
      <c r="N73" s="100">
        <v>81</v>
      </c>
      <c r="O73" s="100">
        <v>0</v>
      </c>
      <c r="P73" s="100">
        <v>0.94</v>
      </c>
      <c r="Q73" s="100">
        <v>28</v>
      </c>
      <c r="R73" s="6"/>
      <c r="S73" s="6"/>
      <c r="T73" s="156"/>
      <c r="U73" s="6"/>
    </row>
    <row r="74" spans="1:21" customFormat="1">
      <c r="A74" s="163" t="s">
        <v>2032</v>
      </c>
      <c r="B74" s="100">
        <v>3.62</v>
      </c>
      <c r="C74" s="100">
        <v>20.190000000000001</v>
      </c>
      <c r="D74" s="100">
        <v>14.81</v>
      </c>
      <c r="E74" s="100">
        <v>25.92</v>
      </c>
      <c r="F74" s="152" t="s">
        <v>15</v>
      </c>
      <c r="G74" s="100">
        <v>79.55</v>
      </c>
      <c r="H74" s="100">
        <v>37.31</v>
      </c>
      <c r="I74" s="100">
        <v>10.73</v>
      </c>
      <c r="J74" s="100">
        <v>0.26</v>
      </c>
      <c r="K74" s="100">
        <v>346.85</v>
      </c>
      <c r="L74" s="100">
        <v>36.32</v>
      </c>
      <c r="M74" s="100">
        <v>24.65</v>
      </c>
      <c r="N74" s="100">
        <v>68.900000000000006</v>
      </c>
      <c r="O74" s="100">
        <v>0</v>
      </c>
      <c r="P74" s="100">
        <v>1.02</v>
      </c>
      <c r="Q74" s="100">
        <v>28.01</v>
      </c>
      <c r="R74" s="6"/>
      <c r="S74" s="6"/>
      <c r="T74" s="156"/>
      <c r="U74" s="6"/>
    </row>
    <row r="75" spans="1:21" customFormat="1">
      <c r="A75" s="163" t="s">
        <v>2033</v>
      </c>
      <c r="B75" s="100">
        <v>3.79</v>
      </c>
      <c r="C75" s="100">
        <v>22.29</v>
      </c>
      <c r="D75" s="100">
        <v>16.04</v>
      </c>
      <c r="E75" s="100">
        <v>25.83</v>
      </c>
      <c r="F75" s="152" t="s">
        <v>15</v>
      </c>
      <c r="G75" s="100">
        <v>79.55</v>
      </c>
      <c r="H75" s="100">
        <v>37.31</v>
      </c>
      <c r="I75" s="100">
        <v>10.94</v>
      </c>
      <c r="J75" s="100">
        <v>0.56999999999999995</v>
      </c>
      <c r="K75" s="100">
        <v>28.5</v>
      </c>
      <c r="L75" s="100">
        <v>36.19</v>
      </c>
      <c r="M75" s="100">
        <v>24.59</v>
      </c>
      <c r="N75" s="100">
        <v>77.599999999999994</v>
      </c>
      <c r="O75" s="100">
        <v>0</v>
      </c>
      <c r="P75" s="100">
        <v>1.01</v>
      </c>
      <c r="Q75" s="100">
        <v>28.01</v>
      </c>
      <c r="R75" s="6"/>
      <c r="S75" s="6"/>
      <c r="T75" s="156"/>
      <c r="U75" s="6"/>
    </row>
    <row r="76" spans="1:21" customFormat="1">
      <c r="A76" s="163" t="s">
        <v>2034</v>
      </c>
      <c r="B76" s="100">
        <v>3.99</v>
      </c>
      <c r="C76" s="100">
        <v>25.13</v>
      </c>
      <c r="D76" s="100">
        <v>17.68</v>
      </c>
      <c r="E76" s="100">
        <v>32.35</v>
      </c>
      <c r="F76" s="152" t="s">
        <v>15</v>
      </c>
      <c r="G76" s="100">
        <v>84.94</v>
      </c>
      <c r="H76" s="100">
        <v>37.47</v>
      </c>
      <c r="I76" s="100">
        <v>11.22</v>
      </c>
      <c r="J76" s="100">
        <v>0.42</v>
      </c>
      <c r="K76" s="100">
        <v>23.37</v>
      </c>
      <c r="L76" s="100">
        <v>36.03</v>
      </c>
      <c r="M76" s="100">
        <v>24.85</v>
      </c>
      <c r="N76" s="100">
        <v>50.7</v>
      </c>
      <c r="O76" s="100">
        <v>0</v>
      </c>
      <c r="P76" s="100">
        <v>1.08</v>
      </c>
      <c r="Q76" s="100">
        <v>28.02</v>
      </c>
      <c r="R76" s="6"/>
      <c r="S76" s="6"/>
      <c r="T76" s="156"/>
      <c r="U76" s="6"/>
    </row>
    <row r="77" spans="1:21" customFormat="1">
      <c r="A77" s="163" t="s">
        <v>2035</v>
      </c>
      <c r="B77" s="100">
        <v>4.25</v>
      </c>
      <c r="C77" s="100">
        <v>28.42</v>
      </c>
      <c r="D77" s="100">
        <v>19.61</v>
      </c>
      <c r="E77" s="100">
        <v>29.38</v>
      </c>
      <c r="F77" s="152" t="s">
        <v>15</v>
      </c>
      <c r="G77" s="100">
        <v>86.9</v>
      </c>
      <c r="H77" s="100">
        <v>37.479999999999997</v>
      </c>
      <c r="I77" s="100">
        <v>11.23</v>
      </c>
      <c r="J77" s="100">
        <v>0.28999999999999998</v>
      </c>
      <c r="K77" s="100">
        <v>36.33</v>
      </c>
      <c r="L77" s="100">
        <v>35.770000000000003</v>
      </c>
      <c r="M77" s="100">
        <v>25.63</v>
      </c>
      <c r="N77" s="100">
        <v>34.299999999999997</v>
      </c>
      <c r="O77" s="100">
        <v>0</v>
      </c>
      <c r="P77" s="100">
        <v>1.1299999999999999</v>
      </c>
      <c r="Q77" s="100">
        <v>28.02</v>
      </c>
      <c r="R77" s="6"/>
      <c r="S77" s="6"/>
      <c r="T77" s="156"/>
      <c r="U77" s="6"/>
    </row>
    <row r="78" spans="1:21" customFormat="1">
      <c r="A78" s="163" t="s">
        <v>2036</v>
      </c>
      <c r="B78" s="100">
        <v>4.75</v>
      </c>
      <c r="C78" s="100">
        <v>31.41</v>
      </c>
      <c r="D78" s="100">
        <v>21.57</v>
      </c>
      <c r="E78" s="100">
        <v>28.05</v>
      </c>
      <c r="F78" s="152" t="s">
        <v>15</v>
      </c>
      <c r="G78" s="100">
        <v>86.9</v>
      </c>
      <c r="H78" s="100">
        <v>37.479999999999997</v>
      </c>
      <c r="I78" s="100">
        <v>11.27</v>
      </c>
      <c r="J78" s="100">
        <v>0.56000000000000005</v>
      </c>
      <c r="K78" s="100">
        <v>45.42</v>
      </c>
      <c r="L78" s="100">
        <v>35.450000000000003</v>
      </c>
      <c r="M78" s="100">
        <v>26.14</v>
      </c>
      <c r="N78" s="100">
        <v>24.8</v>
      </c>
      <c r="O78" s="100">
        <v>0</v>
      </c>
      <c r="P78" s="100">
        <v>1.18</v>
      </c>
      <c r="Q78" s="100">
        <v>28.03</v>
      </c>
      <c r="R78" s="6"/>
      <c r="S78" s="6"/>
      <c r="T78" s="156"/>
      <c r="U78" s="6"/>
    </row>
    <row r="79" spans="1:21" customFormat="1">
      <c r="A79" s="163" t="s">
        <v>2037</v>
      </c>
      <c r="B79" s="100">
        <v>6.3</v>
      </c>
      <c r="C79" s="100">
        <v>33.549999999999997</v>
      </c>
      <c r="D79" s="100">
        <v>23.93</v>
      </c>
      <c r="E79" s="100">
        <v>30.75</v>
      </c>
      <c r="F79" s="152" t="s">
        <v>15</v>
      </c>
      <c r="G79" s="100">
        <v>86.9</v>
      </c>
      <c r="H79" s="100">
        <v>37.479999999999997</v>
      </c>
      <c r="I79" s="100">
        <v>12.12</v>
      </c>
      <c r="J79" s="100">
        <v>0.61</v>
      </c>
      <c r="K79" s="100">
        <v>42.37</v>
      </c>
      <c r="L79" s="100">
        <v>35.07</v>
      </c>
      <c r="M79" s="100">
        <v>26.74</v>
      </c>
      <c r="N79" s="100">
        <v>17.7</v>
      </c>
      <c r="O79" s="100">
        <v>0</v>
      </c>
      <c r="P79" s="100">
        <v>1.18</v>
      </c>
      <c r="Q79" s="100">
        <v>28.02</v>
      </c>
      <c r="R79" s="6"/>
      <c r="S79" s="6"/>
      <c r="T79" s="156"/>
      <c r="U79" s="6"/>
    </row>
    <row r="80" spans="1:21" customFormat="1">
      <c r="A80" s="163" t="s">
        <v>2038</v>
      </c>
      <c r="B80" s="100">
        <v>4.87</v>
      </c>
      <c r="C80" s="100">
        <v>32.590000000000003</v>
      </c>
      <c r="D80" s="100">
        <v>22.28</v>
      </c>
      <c r="E80" s="100">
        <v>29.12</v>
      </c>
      <c r="F80" s="152" t="s">
        <v>15</v>
      </c>
      <c r="G80" s="100">
        <v>95.93</v>
      </c>
      <c r="H80" s="100">
        <v>37.840000000000003</v>
      </c>
      <c r="I80" s="100">
        <v>13.33</v>
      </c>
      <c r="J80" s="100">
        <v>0.64</v>
      </c>
      <c r="K80" s="100">
        <v>63.76</v>
      </c>
      <c r="L80" s="100">
        <v>34.67</v>
      </c>
      <c r="M80" s="100">
        <v>27.33</v>
      </c>
      <c r="N80" s="100">
        <v>11.3</v>
      </c>
      <c r="O80" s="100">
        <v>0</v>
      </c>
      <c r="P80" s="100">
        <v>1.19</v>
      </c>
      <c r="Q80" s="100">
        <v>28.04</v>
      </c>
      <c r="R80" s="6"/>
      <c r="S80" s="6"/>
      <c r="T80" s="156"/>
      <c r="U80" s="6"/>
    </row>
    <row r="81" spans="1:21" customFormat="1">
      <c r="A81" s="163" t="s">
        <v>2039</v>
      </c>
      <c r="B81" s="100">
        <v>5.2</v>
      </c>
      <c r="C81" s="100">
        <v>33.76</v>
      </c>
      <c r="D81" s="100">
        <v>23.16</v>
      </c>
      <c r="E81" s="100">
        <v>15.94</v>
      </c>
      <c r="F81" s="152" t="s">
        <v>15</v>
      </c>
      <c r="G81" s="100">
        <v>99.21</v>
      </c>
      <c r="H81" s="100">
        <v>37.840000000000003</v>
      </c>
      <c r="I81" s="100">
        <v>13.1</v>
      </c>
      <c r="J81" s="100">
        <v>0.19</v>
      </c>
      <c r="K81" s="100">
        <v>79.63</v>
      </c>
      <c r="L81" s="100">
        <v>33.85</v>
      </c>
      <c r="M81" s="100">
        <v>31.23</v>
      </c>
      <c r="N81" s="100">
        <v>8</v>
      </c>
      <c r="O81" s="100">
        <v>0</v>
      </c>
      <c r="P81" s="100">
        <v>1.21</v>
      </c>
      <c r="Q81" s="100">
        <v>28.06</v>
      </c>
      <c r="R81" s="6"/>
      <c r="S81" s="6"/>
      <c r="T81" s="156"/>
      <c r="U81" s="6"/>
    </row>
    <row r="82" spans="1:21" customFormat="1">
      <c r="A82" s="163" t="s">
        <v>2040</v>
      </c>
      <c r="B82" s="100">
        <v>5.29</v>
      </c>
      <c r="C82" s="100">
        <v>32.61</v>
      </c>
      <c r="D82" s="100">
        <v>22.63</v>
      </c>
      <c r="E82" s="100">
        <v>21.57</v>
      </c>
      <c r="F82" s="152" t="s">
        <v>15</v>
      </c>
      <c r="G82" s="100">
        <v>99.21</v>
      </c>
      <c r="H82" s="100">
        <v>37.840000000000003</v>
      </c>
      <c r="I82" s="100">
        <v>12.65</v>
      </c>
      <c r="J82" s="100">
        <v>0.34</v>
      </c>
      <c r="K82" s="100">
        <v>80.34</v>
      </c>
      <c r="L82" s="100">
        <v>33.14</v>
      </c>
      <c r="M82" s="100">
        <v>31.9</v>
      </c>
      <c r="N82" s="100">
        <v>6.4</v>
      </c>
      <c r="O82" s="100">
        <v>0</v>
      </c>
      <c r="P82" s="100">
        <v>1.21</v>
      </c>
      <c r="Q82" s="100">
        <v>28.06</v>
      </c>
      <c r="R82" s="6"/>
      <c r="S82" s="6"/>
      <c r="T82" s="156"/>
      <c r="U82" s="6"/>
    </row>
    <row r="83" spans="1:21" customFormat="1">
      <c r="A83" s="163" t="s">
        <v>2041</v>
      </c>
      <c r="B83" s="100">
        <v>4.37</v>
      </c>
      <c r="C83" s="100">
        <v>29.01</v>
      </c>
      <c r="D83" s="100">
        <v>20.010000000000002</v>
      </c>
      <c r="E83" s="100">
        <v>19.93</v>
      </c>
      <c r="F83" s="152" t="s">
        <v>15</v>
      </c>
      <c r="G83" s="100">
        <v>99.21</v>
      </c>
      <c r="H83" s="100">
        <v>37.840000000000003</v>
      </c>
      <c r="I83" s="100">
        <v>12.64</v>
      </c>
      <c r="J83" s="100">
        <v>0.19</v>
      </c>
      <c r="K83" s="100">
        <v>151.1</v>
      </c>
      <c r="L83" s="100">
        <v>32.26</v>
      </c>
      <c r="M83" s="100">
        <v>35.29</v>
      </c>
      <c r="N83" s="100">
        <v>6.6</v>
      </c>
      <c r="O83" s="100">
        <v>0</v>
      </c>
      <c r="P83" s="100">
        <v>1.1599999999999999</v>
      </c>
      <c r="Q83" s="100">
        <v>28.06</v>
      </c>
      <c r="R83" s="6"/>
      <c r="S83" s="6"/>
      <c r="T83" s="156"/>
      <c r="U83" s="6"/>
    </row>
    <row r="84" spans="1:21" customFormat="1">
      <c r="A84" s="163" t="s">
        <v>2042</v>
      </c>
      <c r="B84" s="100">
        <v>3.98</v>
      </c>
      <c r="C84" s="100">
        <v>28</v>
      </c>
      <c r="D84" s="100">
        <v>19.170000000000002</v>
      </c>
      <c r="E84" s="100">
        <v>20.97</v>
      </c>
      <c r="F84" s="152" t="s">
        <v>15</v>
      </c>
      <c r="G84" s="100">
        <v>115.39</v>
      </c>
      <c r="H84" s="100">
        <v>42.77</v>
      </c>
      <c r="I84" s="100">
        <v>12.82</v>
      </c>
      <c r="J84" s="100">
        <v>0.15</v>
      </c>
      <c r="K84" s="100">
        <v>159.65</v>
      </c>
      <c r="L84" s="100">
        <v>31.85</v>
      </c>
      <c r="M84" s="100">
        <v>35.799999999999997</v>
      </c>
      <c r="N84" s="100">
        <v>6.2</v>
      </c>
      <c r="O84" s="100">
        <v>0</v>
      </c>
      <c r="P84" s="100">
        <v>1.1599999999999999</v>
      </c>
      <c r="Q84" s="100">
        <v>28.05</v>
      </c>
      <c r="R84" s="6"/>
      <c r="S84" s="6"/>
      <c r="T84" s="156"/>
      <c r="U84" s="6"/>
    </row>
    <row r="85" spans="1:21" customFormat="1">
      <c r="A85" s="163" t="s">
        <v>2043</v>
      </c>
      <c r="B85" s="100">
        <v>3.98</v>
      </c>
      <c r="C85" s="100">
        <v>26.1</v>
      </c>
      <c r="D85" s="100">
        <v>18.18</v>
      </c>
      <c r="E85" s="100">
        <v>18.22</v>
      </c>
      <c r="F85" s="152" t="s">
        <v>15</v>
      </c>
      <c r="G85" s="100">
        <v>121.27</v>
      </c>
      <c r="H85" s="100">
        <v>42.85</v>
      </c>
      <c r="I85" s="100">
        <v>12.82</v>
      </c>
      <c r="J85" s="100">
        <v>0.22</v>
      </c>
      <c r="K85" s="100">
        <v>171.44</v>
      </c>
      <c r="L85" s="100">
        <v>31.51</v>
      </c>
      <c r="M85" s="100">
        <v>36.89</v>
      </c>
      <c r="N85" s="100">
        <v>6.2</v>
      </c>
      <c r="O85" s="100">
        <v>0</v>
      </c>
      <c r="P85" s="100">
        <v>1.1299999999999999</v>
      </c>
      <c r="Q85" s="100">
        <v>28.05</v>
      </c>
      <c r="R85" s="6"/>
      <c r="S85" s="6"/>
      <c r="T85" s="156"/>
      <c r="U85" s="6"/>
    </row>
    <row r="86" spans="1:21" customFormat="1">
      <c r="A86" s="163" t="s">
        <v>2044</v>
      </c>
      <c r="B86" s="100">
        <v>4.01</v>
      </c>
      <c r="C86" s="100">
        <v>22.94</v>
      </c>
      <c r="D86" s="100">
        <v>16.55</v>
      </c>
      <c r="E86" s="100">
        <v>16.989999999999998</v>
      </c>
      <c r="F86" s="152" t="s">
        <v>15</v>
      </c>
      <c r="G86" s="100">
        <v>121.27</v>
      </c>
      <c r="H86" s="100">
        <v>42.85</v>
      </c>
      <c r="I86" s="100">
        <v>12.71</v>
      </c>
      <c r="J86" s="100">
        <v>0.24</v>
      </c>
      <c r="K86" s="100">
        <v>178.02</v>
      </c>
      <c r="L86" s="100">
        <v>31.03</v>
      </c>
      <c r="M86" s="100">
        <v>37.46</v>
      </c>
      <c r="N86" s="100">
        <v>6.3</v>
      </c>
      <c r="O86" s="100">
        <v>0</v>
      </c>
      <c r="P86" s="100">
        <v>1.0900000000000001</v>
      </c>
      <c r="Q86" s="100">
        <v>28.05</v>
      </c>
      <c r="R86" s="6"/>
      <c r="S86" s="6"/>
      <c r="T86" s="156"/>
      <c r="U86" s="6"/>
    </row>
    <row r="87" spans="1:21" customFormat="1">
      <c r="A87" s="163" t="s">
        <v>2045</v>
      </c>
      <c r="B87" s="100">
        <v>4.0199999999999996</v>
      </c>
      <c r="C87" s="100">
        <v>21.58</v>
      </c>
      <c r="D87" s="100">
        <v>15.85</v>
      </c>
      <c r="E87" s="100">
        <v>16.34</v>
      </c>
      <c r="F87" s="152" t="s">
        <v>15</v>
      </c>
      <c r="G87" s="100">
        <v>121.27</v>
      </c>
      <c r="H87" s="100">
        <v>42.85</v>
      </c>
      <c r="I87" s="100">
        <v>12.14</v>
      </c>
      <c r="J87" s="100">
        <v>0.28999999999999998</v>
      </c>
      <c r="K87" s="100">
        <v>182.39</v>
      </c>
      <c r="L87" s="100">
        <v>30.44</v>
      </c>
      <c r="M87" s="100">
        <v>39.200000000000003</v>
      </c>
      <c r="N87" s="100">
        <v>6.5</v>
      </c>
      <c r="O87" s="100">
        <v>0</v>
      </c>
      <c r="P87" s="100">
        <v>1.0900000000000001</v>
      </c>
      <c r="Q87" s="100">
        <v>28.04</v>
      </c>
      <c r="R87" s="6"/>
      <c r="S87" s="6"/>
      <c r="T87" s="156"/>
      <c r="U87" s="6"/>
    </row>
    <row r="88" spans="1:21" customFormat="1">
      <c r="A88" s="163" t="s">
        <v>2046</v>
      </c>
      <c r="B88" s="100">
        <v>4.04</v>
      </c>
      <c r="C88" s="100">
        <v>21.08</v>
      </c>
      <c r="D88" s="100">
        <v>15.61</v>
      </c>
      <c r="E88" s="100">
        <v>14.46</v>
      </c>
      <c r="F88" s="152" t="s">
        <v>15</v>
      </c>
      <c r="G88" s="100">
        <v>127.06</v>
      </c>
      <c r="H88" s="100">
        <v>43.07</v>
      </c>
      <c r="I88" s="100">
        <v>11.94</v>
      </c>
      <c r="J88" s="100">
        <v>0.19</v>
      </c>
      <c r="K88" s="100">
        <v>175.6</v>
      </c>
      <c r="L88" s="100">
        <v>29.83</v>
      </c>
      <c r="M88" s="100">
        <v>41.55</v>
      </c>
      <c r="N88" s="100">
        <v>6.5</v>
      </c>
      <c r="O88" s="100">
        <v>0</v>
      </c>
      <c r="P88" s="100">
        <v>1.0900000000000001</v>
      </c>
      <c r="Q88" s="100">
        <v>28.04</v>
      </c>
      <c r="R88" s="6"/>
      <c r="S88" s="6"/>
      <c r="T88" s="156"/>
      <c r="U88" s="6"/>
    </row>
    <row r="89" spans="1:21" customFormat="1">
      <c r="A89" s="163" t="s">
        <v>2047</v>
      </c>
      <c r="B89" s="100">
        <v>4.08</v>
      </c>
      <c r="C89" s="100">
        <v>20.79</v>
      </c>
      <c r="D89" s="100">
        <v>15.48</v>
      </c>
      <c r="E89" s="100">
        <v>14.41</v>
      </c>
      <c r="F89" s="152" t="s">
        <v>15</v>
      </c>
      <c r="G89" s="100">
        <v>129.16</v>
      </c>
      <c r="H89" s="100">
        <v>43.07</v>
      </c>
      <c r="I89" s="100">
        <v>11.95</v>
      </c>
      <c r="J89" s="100">
        <v>0.14000000000000001</v>
      </c>
      <c r="K89" s="100">
        <v>180.16</v>
      </c>
      <c r="L89" s="100">
        <v>29.63</v>
      </c>
      <c r="M89" s="100">
        <v>41.69</v>
      </c>
      <c r="N89" s="100">
        <v>6.1</v>
      </c>
      <c r="O89" s="100">
        <v>0</v>
      </c>
      <c r="P89" s="100">
        <v>1.1100000000000001</v>
      </c>
      <c r="Q89" s="100">
        <v>28.04</v>
      </c>
      <c r="R89" s="6"/>
      <c r="S89" s="6"/>
      <c r="T89" s="156"/>
      <c r="U89" s="6"/>
    </row>
    <row r="90" spans="1:21" customFormat="1">
      <c r="A90" s="163" t="s">
        <v>2048</v>
      </c>
      <c r="B90" s="100">
        <v>4.16</v>
      </c>
      <c r="C90" s="100">
        <v>20.64</v>
      </c>
      <c r="D90" s="100">
        <v>15.47</v>
      </c>
      <c r="E90" s="100">
        <v>13.18</v>
      </c>
      <c r="F90" s="152" t="s">
        <v>15</v>
      </c>
      <c r="G90" s="100">
        <v>129.16</v>
      </c>
      <c r="H90" s="100">
        <v>43.07</v>
      </c>
      <c r="I90" s="100">
        <v>12.08</v>
      </c>
      <c r="J90" s="100">
        <v>0.3</v>
      </c>
      <c r="K90" s="100">
        <v>224.37</v>
      </c>
      <c r="L90" s="100">
        <v>29.19</v>
      </c>
      <c r="M90" s="100">
        <v>44.33</v>
      </c>
      <c r="N90" s="100">
        <v>6.3</v>
      </c>
      <c r="O90" s="100">
        <v>0</v>
      </c>
      <c r="P90" s="100">
        <v>1.1200000000000001</v>
      </c>
      <c r="Q90" s="100">
        <v>28.04</v>
      </c>
      <c r="R90" s="6"/>
      <c r="S90" s="6"/>
      <c r="T90" s="156"/>
      <c r="U90" s="6"/>
    </row>
    <row r="91" spans="1:21" customFormat="1">
      <c r="A91" s="163" t="s">
        <v>2049</v>
      </c>
      <c r="B91" s="100">
        <v>4.17</v>
      </c>
      <c r="C91" s="100">
        <v>20.010000000000002</v>
      </c>
      <c r="D91" s="100">
        <v>15.15</v>
      </c>
      <c r="E91" s="100">
        <v>14.42</v>
      </c>
      <c r="F91" s="152" t="s">
        <v>15</v>
      </c>
      <c r="G91" s="100">
        <v>129.16</v>
      </c>
      <c r="H91" s="100">
        <v>43.07</v>
      </c>
      <c r="I91" s="100">
        <v>12.11</v>
      </c>
      <c r="J91" s="100">
        <v>0.21</v>
      </c>
      <c r="K91" s="100">
        <v>227.01</v>
      </c>
      <c r="L91" s="100">
        <v>29.59</v>
      </c>
      <c r="M91" s="100">
        <v>41.37</v>
      </c>
      <c r="N91" s="100">
        <v>5.8</v>
      </c>
      <c r="O91" s="100">
        <v>0</v>
      </c>
      <c r="P91" s="100">
        <v>1.1299999999999999</v>
      </c>
      <c r="Q91" s="100">
        <v>28.04</v>
      </c>
      <c r="R91" s="6"/>
      <c r="S91" s="6"/>
      <c r="T91" s="156"/>
      <c r="U91" s="6"/>
    </row>
    <row r="92" spans="1:21" customFormat="1">
      <c r="A92" s="163" t="s">
        <v>2050</v>
      </c>
      <c r="B92" s="100">
        <v>4.12</v>
      </c>
      <c r="C92" s="100">
        <v>19.239999999999998</v>
      </c>
      <c r="D92" s="100">
        <v>14.71</v>
      </c>
      <c r="E92" s="100">
        <v>14.41</v>
      </c>
      <c r="F92" s="152" t="s">
        <v>15</v>
      </c>
      <c r="G92" s="100">
        <v>136.30000000000001</v>
      </c>
      <c r="H92" s="100">
        <v>47.51</v>
      </c>
      <c r="I92" s="100">
        <v>12.2</v>
      </c>
      <c r="J92" s="100">
        <v>0.15</v>
      </c>
      <c r="K92" s="100">
        <v>232.73</v>
      </c>
      <c r="L92" s="100">
        <v>29.55</v>
      </c>
      <c r="M92" s="100">
        <v>42.01</v>
      </c>
      <c r="N92" s="100">
        <v>5.9</v>
      </c>
      <c r="O92" s="100">
        <v>0</v>
      </c>
      <c r="P92" s="100">
        <v>1.1200000000000001</v>
      </c>
      <c r="Q92" s="100">
        <v>28.03</v>
      </c>
      <c r="R92" s="6"/>
      <c r="S92" s="6"/>
      <c r="T92" s="156"/>
      <c r="U92" s="6"/>
    </row>
    <row r="93" spans="1:21" customFormat="1">
      <c r="A93" s="163" t="s">
        <v>2051</v>
      </c>
      <c r="B93" s="100">
        <v>4.01</v>
      </c>
      <c r="C93" s="100">
        <v>18.95</v>
      </c>
      <c r="D93" s="100">
        <v>14.47</v>
      </c>
      <c r="E93" s="100">
        <v>10.52</v>
      </c>
      <c r="F93" s="152" t="s">
        <v>15</v>
      </c>
      <c r="G93" s="100">
        <v>138.88999999999999</v>
      </c>
      <c r="H93" s="100">
        <v>47.58</v>
      </c>
      <c r="I93" s="100">
        <v>12.42</v>
      </c>
      <c r="J93" s="100">
        <v>0.24</v>
      </c>
      <c r="K93" s="100">
        <v>243.67</v>
      </c>
      <c r="L93" s="100">
        <v>29.29</v>
      </c>
      <c r="M93" s="100">
        <v>43.88</v>
      </c>
      <c r="N93" s="100">
        <v>6.1</v>
      </c>
      <c r="O93" s="100">
        <v>0</v>
      </c>
      <c r="P93" s="100">
        <v>1.1100000000000001</v>
      </c>
      <c r="Q93" s="100">
        <v>28.02</v>
      </c>
      <c r="R93" s="6"/>
      <c r="S93" s="6"/>
      <c r="T93" s="156"/>
      <c r="U93" s="6"/>
    </row>
    <row r="94" spans="1:21" customFormat="1">
      <c r="A94" s="163" t="s">
        <v>2052</v>
      </c>
      <c r="B94" s="100">
        <v>3.83</v>
      </c>
      <c r="C94" s="100">
        <v>18.61</v>
      </c>
      <c r="D94" s="100">
        <v>14.14</v>
      </c>
      <c r="E94" s="100">
        <v>10.220000000000001</v>
      </c>
      <c r="F94" s="152" t="s">
        <v>15</v>
      </c>
      <c r="G94" s="100">
        <v>138.88999999999999</v>
      </c>
      <c r="H94" s="100">
        <v>47.58</v>
      </c>
      <c r="I94" s="100">
        <v>12.23</v>
      </c>
      <c r="J94" s="100">
        <v>0.13</v>
      </c>
      <c r="K94" s="100">
        <v>230.06</v>
      </c>
      <c r="L94" s="100">
        <v>29.04</v>
      </c>
      <c r="M94" s="100">
        <v>44.92</v>
      </c>
      <c r="N94" s="100">
        <v>6</v>
      </c>
      <c r="O94" s="100">
        <v>0</v>
      </c>
      <c r="P94" s="100">
        <v>1.1000000000000001</v>
      </c>
      <c r="Q94" s="100">
        <v>28.02</v>
      </c>
      <c r="R94" s="6"/>
      <c r="S94" s="6"/>
      <c r="T94" s="156"/>
      <c r="U94" s="6"/>
    </row>
    <row r="95" spans="1:21" customFormat="1">
      <c r="A95" s="163" t="s">
        <v>2053</v>
      </c>
      <c r="B95" s="100">
        <v>3.69</v>
      </c>
      <c r="C95" s="100">
        <v>18.29</v>
      </c>
      <c r="D95" s="100">
        <v>13.86</v>
      </c>
      <c r="E95" s="100">
        <v>9.68</v>
      </c>
      <c r="F95" s="152" t="s">
        <v>15</v>
      </c>
      <c r="G95" s="100">
        <v>138.88999999999999</v>
      </c>
      <c r="H95" s="100">
        <v>47.58</v>
      </c>
      <c r="I95" s="100">
        <v>11.89</v>
      </c>
      <c r="J95" s="100">
        <v>0.16</v>
      </c>
      <c r="K95" s="100">
        <v>204.84</v>
      </c>
      <c r="L95" s="100">
        <v>28.9</v>
      </c>
      <c r="M95" s="100">
        <v>45.77</v>
      </c>
      <c r="N95" s="100">
        <v>6</v>
      </c>
      <c r="O95" s="100">
        <v>0</v>
      </c>
      <c r="P95" s="100">
        <v>1.0900000000000001</v>
      </c>
      <c r="Q95" s="100">
        <v>28</v>
      </c>
      <c r="R95" s="6"/>
      <c r="S95" s="6"/>
      <c r="T95" s="156"/>
      <c r="U95" s="6"/>
    </row>
    <row r="96" spans="1:21" customFormat="1">
      <c r="A96" s="163" t="s">
        <v>2054</v>
      </c>
      <c r="B96" s="100">
        <v>3.68</v>
      </c>
      <c r="C96" s="100">
        <v>18.3</v>
      </c>
      <c r="D96" s="100">
        <v>13.86</v>
      </c>
      <c r="E96" s="100">
        <v>9.5299999999999994</v>
      </c>
      <c r="F96" s="152" t="s">
        <v>15</v>
      </c>
      <c r="G96" s="100">
        <v>112.58</v>
      </c>
      <c r="H96" s="100">
        <v>43.06</v>
      </c>
      <c r="I96" s="100">
        <v>11.7</v>
      </c>
      <c r="J96" s="100">
        <v>0.17</v>
      </c>
      <c r="K96" s="100">
        <v>216.67</v>
      </c>
      <c r="L96" s="100">
        <v>28.56</v>
      </c>
      <c r="M96" s="100">
        <v>47.37</v>
      </c>
      <c r="N96" s="100">
        <v>6.1</v>
      </c>
      <c r="O96" s="100">
        <v>0</v>
      </c>
      <c r="P96" s="100">
        <v>1.1000000000000001</v>
      </c>
      <c r="Q96" s="100">
        <v>28.01</v>
      </c>
      <c r="R96" s="6"/>
      <c r="S96" s="6"/>
      <c r="T96" s="156"/>
      <c r="U96" s="6"/>
    </row>
    <row r="97" spans="1:28" customFormat="1">
      <c r="A97" s="163" t="s">
        <v>2055</v>
      </c>
      <c r="B97" s="100">
        <v>3.67</v>
      </c>
      <c r="C97" s="100">
        <v>18.16</v>
      </c>
      <c r="D97" s="100">
        <v>13.78</v>
      </c>
      <c r="E97" s="100">
        <v>9.0299999999999994</v>
      </c>
      <c r="F97" s="152" t="s">
        <v>15</v>
      </c>
      <c r="G97" s="100">
        <v>103.02</v>
      </c>
      <c r="H97" s="100">
        <v>42.99</v>
      </c>
      <c r="I97" s="100">
        <v>11.6</v>
      </c>
      <c r="J97" s="100">
        <v>0.16</v>
      </c>
      <c r="K97" s="100">
        <v>197.5</v>
      </c>
      <c r="L97" s="100">
        <v>28.27</v>
      </c>
      <c r="M97" s="100">
        <v>48.94</v>
      </c>
      <c r="N97" s="100">
        <v>6.2</v>
      </c>
      <c r="O97" s="100">
        <v>0</v>
      </c>
      <c r="P97" s="100">
        <v>1.08</v>
      </c>
      <c r="Q97" s="100">
        <v>28.02</v>
      </c>
      <c r="R97" s="6"/>
      <c r="S97" s="6"/>
      <c r="T97" s="156"/>
      <c r="U97" s="6"/>
    </row>
    <row r="98" spans="1:28" customFormat="1">
      <c r="A98" s="163" t="s">
        <v>2056</v>
      </c>
      <c r="B98" s="100">
        <v>3.7</v>
      </c>
      <c r="C98" s="100">
        <v>18.07</v>
      </c>
      <c r="D98" s="100">
        <v>13.76</v>
      </c>
      <c r="E98" s="100">
        <v>8.91</v>
      </c>
      <c r="F98" s="152" t="s">
        <v>15</v>
      </c>
      <c r="G98" s="100">
        <v>103.02</v>
      </c>
      <c r="H98" s="100">
        <v>42.99</v>
      </c>
      <c r="I98" s="100">
        <v>11.54</v>
      </c>
      <c r="J98" s="100">
        <v>0.19</v>
      </c>
      <c r="K98" s="100">
        <v>196.38</v>
      </c>
      <c r="L98" s="100">
        <v>27.85</v>
      </c>
      <c r="M98" s="100">
        <v>50.58</v>
      </c>
      <c r="N98" s="100">
        <v>6.2</v>
      </c>
      <c r="O98" s="100">
        <v>0</v>
      </c>
      <c r="P98" s="100">
        <v>1.08</v>
      </c>
      <c r="Q98" s="100">
        <v>28.02</v>
      </c>
      <c r="R98" s="6"/>
      <c r="S98" s="6"/>
      <c r="T98" s="156"/>
      <c r="U98" s="6"/>
    </row>
    <row r="99" spans="1:28" customFormat="1">
      <c r="A99" s="163" t="s">
        <v>2057</v>
      </c>
      <c r="B99" s="100">
        <v>3.74</v>
      </c>
      <c r="C99" s="100">
        <v>18</v>
      </c>
      <c r="D99" s="100">
        <v>13.75</v>
      </c>
      <c r="E99" s="100">
        <v>8.7799999999999994</v>
      </c>
      <c r="F99" s="152" t="s">
        <v>15</v>
      </c>
      <c r="G99" s="100">
        <v>103.02</v>
      </c>
      <c r="H99" s="100">
        <v>42.99</v>
      </c>
      <c r="I99" s="100">
        <v>11.49</v>
      </c>
      <c r="J99" s="100">
        <v>0.18</v>
      </c>
      <c r="K99" s="100">
        <v>222.08</v>
      </c>
      <c r="L99" s="100">
        <v>27.52</v>
      </c>
      <c r="M99" s="100">
        <v>52.5</v>
      </c>
      <c r="N99" s="100">
        <v>6.1</v>
      </c>
      <c r="O99" s="100">
        <v>0</v>
      </c>
      <c r="P99" s="100">
        <v>1.0900000000000001</v>
      </c>
      <c r="Q99" s="100">
        <v>28.01</v>
      </c>
      <c r="R99" s="6"/>
      <c r="S99" s="6"/>
      <c r="T99" s="156"/>
      <c r="U99" s="6"/>
    </row>
    <row r="100" spans="1:28" customFormat="1">
      <c r="A100" s="163" t="s">
        <v>2058</v>
      </c>
      <c r="B100" s="100">
        <v>3.78</v>
      </c>
      <c r="C100" s="100">
        <v>17.91</v>
      </c>
      <c r="D100" s="100">
        <v>13.74</v>
      </c>
      <c r="E100" s="100">
        <v>8.65</v>
      </c>
      <c r="F100" s="152" t="s">
        <v>15</v>
      </c>
      <c r="G100" s="100">
        <v>98.8</v>
      </c>
      <c r="H100" s="100">
        <v>41.91</v>
      </c>
      <c r="I100" s="100">
        <v>11.4</v>
      </c>
      <c r="J100" s="100">
        <v>0.21</v>
      </c>
      <c r="K100" s="100">
        <v>179.69</v>
      </c>
      <c r="L100" s="100">
        <v>27.4</v>
      </c>
      <c r="M100" s="100">
        <v>52.68</v>
      </c>
      <c r="N100" s="100">
        <v>6.1</v>
      </c>
      <c r="O100" s="100">
        <v>0</v>
      </c>
      <c r="P100" s="100">
        <v>1.08</v>
      </c>
      <c r="Q100" s="100">
        <v>28.01</v>
      </c>
      <c r="R100" s="6"/>
      <c r="S100" s="6"/>
      <c r="T100" s="156"/>
      <c r="U100" s="6"/>
      <c r="AB100" s="161"/>
    </row>
    <row r="101" spans="1:28" customFormat="1">
      <c r="A101" s="163" t="s">
        <v>2059</v>
      </c>
      <c r="B101" s="100">
        <v>3.84</v>
      </c>
      <c r="C101" s="100">
        <v>18.05</v>
      </c>
      <c r="D101" s="100">
        <v>13.86</v>
      </c>
      <c r="E101" s="100">
        <v>8.9499999999999993</v>
      </c>
      <c r="F101" s="152" t="s">
        <v>15</v>
      </c>
      <c r="G101" s="100">
        <v>97.27</v>
      </c>
      <c r="H101" s="100">
        <v>41.85</v>
      </c>
      <c r="I101" s="100">
        <v>11.29</v>
      </c>
      <c r="J101" s="100">
        <v>0.28000000000000003</v>
      </c>
      <c r="K101" s="100">
        <v>241.76</v>
      </c>
      <c r="L101" s="100">
        <v>27.09</v>
      </c>
      <c r="M101" s="100">
        <v>53.34</v>
      </c>
      <c r="N101" s="100">
        <v>5.9</v>
      </c>
      <c r="O101" s="100">
        <v>0</v>
      </c>
      <c r="P101" s="100">
        <v>1.07</v>
      </c>
      <c r="Q101" s="100">
        <v>28.01</v>
      </c>
      <c r="R101" s="6"/>
      <c r="S101" s="6"/>
      <c r="T101" s="156"/>
      <c r="U101" s="6"/>
    </row>
    <row r="102" spans="1:28" customFormat="1">
      <c r="A102" s="163" t="s">
        <v>2060</v>
      </c>
      <c r="B102" s="100">
        <v>3.84</v>
      </c>
      <c r="C102" s="100">
        <v>17.88</v>
      </c>
      <c r="D102" s="100">
        <v>13.77</v>
      </c>
      <c r="E102" s="100">
        <v>8.75</v>
      </c>
      <c r="F102" s="152" t="s">
        <v>15</v>
      </c>
      <c r="G102" s="100">
        <v>97.27</v>
      </c>
      <c r="H102" s="100">
        <v>41.85</v>
      </c>
      <c r="I102" s="100">
        <v>11.24</v>
      </c>
      <c r="J102" s="100">
        <v>0.25</v>
      </c>
      <c r="K102" s="100">
        <v>228.06</v>
      </c>
      <c r="L102" s="100">
        <v>27.6</v>
      </c>
      <c r="M102" s="100">
        <v>49.81</v>
      </c>
      <c r="N102" s="100">
        <v>5.5</v>
      </c>
      <c r="O102" s="100">
        <v>0</v>
      </c>
      <c r="P102" s="100">
        <v>1.05</v>
      </c>
      <c r="Q102" s="100">
        <v>28</v>
      </c>
      <c r="R102" s="6"/>
      <c r="S102" s="6"/>
      <c r="T102" s="156"/>
      <c r="U102" s="6"/>
    </row>
    <row r="103" spans="1:28" customFormat="1">
      <c r="A103" s="163" t="s">
        <v>2061</v>
      </c>
      <c r="B103" s="100">
        <v>3.81</v>
      </c>
      <c r="C103" s="100">
        <v>17.64</v>
      </c>
      <c r="D103" s="100">
        <v>13.62</v>
      </c>
      <c r="E103" s="100">
        <v>8.6300000000000008</v>
      </c>
      <c r="F103" s="152" t="s">
        <v>15</v>
      </c>
      <c r="G103" s="100">
        <v>97.27</v>
      </c>
      <c r="H103" s="100">
        <v>41.85</v>
      </c>
      <c r="I103" s="100">
        <v>11.27</v>
      </c>
      <c r="J103" s="100">
        <v>0.17</v>
      </c>
      <c r="K103" s="100">
        <v>213.63</v>
      </c>
      <c r="L103" s="100">
        <v>27.5</v>
      </c>
      <c r="M103" s="100">
        <v>50.04</v>
      </c>
      <c r="N103" s="100">
        <v>5.9</v>
      </c>
      <c r="O103" s="100">
        <v>0</v>
      </c>
      <c r="P103" s="100">
        <v>1.04</v>
      </c>
      <c r="Q103" s="100">
        <v>28.02</v>
      </c>
      <c r="R103" s="6"/>
      <c r="S103" s="6"/>
      <c r="T103" s="156"/>
      <c r="U103" s="6"/>
    </row>
    <row r="104" spans="1:28" customFormat="1">
      <c r="A104" s="163" t="s">
        <v>2062</v>
      </c>
      <c r="B104" s="100">
        <v>3.75</v>
      </c>
      <c r="C104" s="100">
        <v>17.41</v>
      </c>
      <c r="D104" s="100">
        <v>13.46</v>
      </c>
      <c r="E104" s="100">
        <v>9.01</v>
      </c>
      <c r="F104" s="152" t="s">
        <v>15</v>
      </c>
      <c r="G104" s="100">
        <v>87.81</v>
      </c>
      <c r="H104" s="100">
        <v>42.34</v>
      </c>
      <c r="I104" s="100">
        <v>11.09</v>
      </c>
      <c r="J104" s="100">
        <v>0.11</v>
      </c>
      <c r="K104" s="100">
        <v>208.02</v>
      </c>
      <c r="L104" s="100">
        <v>27.19</v>
      </c>
      <c r="M104" s="100">
        <v>51.08</v>
      </c>
      <c r="N104" s="100">
        <v>6</v>
      </c>
      <c r="O104" s="100">
        <v>0</v>
      </c>
      <c r="P104" s="100">
        <v>1.02</v>
      </c>
      <c r="Q104" s="100">
        <v>28.01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3.45</v>
      </c>
      <c r="C106" s="158">
        <f>MIN(C9:C104)</f>
        <v>17.41</v>
      </c>
      <c r="D106" s="158">
        <f t="shared" ref="D106:Q106" si="0">MIN(D9:D104)</f>
        <v>13.46</v>
      </c>
      <c r="E106" s="158">
        <f t="shared" si="0"/>
        <v>8.15</v>
      </c>
      <c r="F106" s="158">
        <f t="shared" si="0"/>
        <v>0</v>
      </c>
      <c r="G106" s="158">
        <f t="shared" si="0"/>
        <v>58.21</v>
      </c>
      <c r="H106" s="158">
        <f t="shared" si="0"/>
        <v>26.66</v>
      </c>
      <c r="I106" s="158">
        <f t="shared" si="0"/>
        <v>9.7200000000000006</v>
      </c>
      <c r="J106" s="158">
        <f t="shared" si="0"/>
        <v>0.05</v>
      </c>
      <c r="K106" s="158">
        <f t="shared" si="0"/>
        <v>5.15</v>
      </c>
      <c r="L106" s="158">
        <f t="shared" si="0"/>
        <v>22.78</v>
      </c>
      <c r="M106" s="158">
        <f t="shared" si="0"/>
        <v>20.99</v>
      </c>
      <c r="N106" s="158">
        <f t="shared" si="0"/>
        <v>5.2</v>
      </c>
      <c r="O106" s="158">
        <f t="shared" si="0"/>
        <v>0</v>
      </c>
      <c r="P106" s="158">
        <f t="shared" si="0"/>
        <v>0.82</v>
      </c>
      <c r="Q106" s="158">
        <f t="shared" si="0"/>
        <v>27.99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16.77</v>
      </c>
      <c r="C107" s="157">
        <f t="shared" ref="C107:Q107" si="1">MAX(C9:C104)</f>
        <v>33.76</v>
      </c>
      <c r="D107" s="157">
        <f t="shared" si="1"/>
        <v>26.01</v>
      </c>
      <c r="E107" s="157">
        <f t="shared" si="1"/>
        <v>32.35</v>
      </c>
      <c r="F107" s="157">
        <f t="shared" si="1"/>
        <v>0</v>
      </c>
      <c r="G107" s="157">
        <f t="shared" si="1"/>
        <v>138.88999999999999</v>
      </c>
      <c r="H107" s="157">
        <f t="shared" si="1"/>
        <v>47.58</v>
      </c>
      <c r="I107" s="157">
        <f t="shared" si="1"/>
        <v>13.33</v>
      </c>
      <c r="J107" s="157">
        <f t="shared" si="1"/>
        <v>1.1000000000000001</v>
      </c>
      <c r="K107" s="157">
        <f t="shared" si="1"/>
        <v>349.92</v>
      </c>
      <c r="L107" s="157">
        <f t="shared" si="1"/>
        <v>37.72</v>
      </c>
      <c r="M107" s="157">
        <f t="shared" si="1"/>
        <v>53.34</v>
      </c>
      <c r="N107" s="157">
        <f t="shared" si="1"/>
        <v>296.3</v>
      </c>
      <c r="O107" s="157">
        <f t="shared" si="1"/>
        <v>0</v>
      </c>
      <c r="P107" s="157">
        <f t="shared" si="1"/>
        <v>1.21</v>
      </c>
      <c r="Q107" s="157">
        <f t="shared" si="1"/>
        <v>28.48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7.105104166666667</v>
      </c>
      <c r="C108" s="158">
        <f t="shared" ref="C108:Q108" si="2">AVERAGE(C9:C104)</f>
        <v>21.419895833333332</v>
      </c>
      <c r="D108" s="158">
        <f t="shared" si="2"/>
        <v>18.240520833333335</v>
      </c>
      <c r="E108" s="158">
        <f t="shared" si="2"/>
        <v>13.600833333333341</v>
      </c>
      <c r="F108" s="158" t="e">
        <f t="shared" si="2"/>
        <v>#DIV/0!</v>
      </c>
      <c r="G108" s="158">
        <f t="shared" si="2"/>
        <v>91.040937499999998</v>
      </c>
      <c r="H108" s="158">
        <f t="shared" si="2"/>
        <v>36.823750000000004</v>
      </c>
      <c r="I108" s="158">
        <f t="shared" si="2"/>
        <v>11.080520833333338</v>
      </c>
      <c r="J108" s="158">
        <f t="shared" si="2"/>
        <v>0.42156250000000001</v>
      </c>
      <c r="K108" s="158">
        <f t="shared" si="2"/>
        <v>161.68541666666664</v>
      </c>
      <c r="L108" s="158">
        <f t="shared" si="2"/>
        <v>30.383645833333347</v>
      </c>
      <c r="M108" s="158">
        <f t="shared" si="2"/>
        <v>35.004270833333329</v>
      </c>
      <c r="N108" s="158">
        <f t="shared" si="2"/>
        <v>86.985416666666666</v>
      </c>
      <c r="O108" s="158">
        <f t="shared" si="2"/>
        <v>0</v>
      </c>
      <c r="P108" s="158">
        <f t="shared" si="2"/>
        <v>0.96489583333333317</v>
      </c>
      <c r="Q108" s="158">
        <f t="shared" si="2"/>
        <v>28.132395833333348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4.0928065251356518</v>
      </c>
      <c r="C109" s="158">
        <f t="shared" ref="C109:Q109" si="3">STDEV(C9:C104)</f>
        <v>3.4807704817942025</v>
      </c>
      <c r="D109" s="158">
        <f t="shared" si="3"/>
        <v>3.8642826990928922</v>
      </c>
      <c r="E109" s="158">
        <f t="shared" si="3"/>
        <v>5.4629120182644328</v>
      </c>
      <c r="F109" s="158" t="e">
        <f t="shared" si="3"/>
        <v>#DIV/0!</v>
      </c>
      <c r="G109" s="158">
        <f t="shared" si="3"/>
        <v>20.825189407270297</v>
      </c>
      <c r="H109" s="158">
        <f t="shared" si="3"/>
        <v>5.1370047078449295</v>
      </c>
      <c r="I109" s="158">
        <f t="shared" si="3"/>
        <v>0.87906453842667209</v>
      </c>
      <c r="J109" s="158">
        <f t="shared" si="3"/>
        <v>0.26182086332774229</v>
      </c>
      <c r="K109" s="158">
        <f t="shared" si="3"/>
        <v>102.7935730421505</v>
      </c>
      <c r="L109" s="158">
        <f t="shared" si="3"/>
        <v>4.5967764723121052</v>
      </c>
      <c r="M109" s="158">
        <f t="shared" si="3"/>
        <v>9.4240611141785529</v>
      </c>
      <c r="N109" s="158">
        <f t="shared" si="3"/>
        <v>108.99965328691034</v>
      </c>
      <c r="O109" s="158">
        <f t="shared" si="3"/>
        <v>0</v>
      </c>
      <c r="P109" s="158">
        <f t="shared" si="3"/>
        <v>0.11322074193145736</v>
      </c>
      <c r="Q109" s="158">
        <f t="shared" si="3"/>
        <v>0.14500631413959472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I97" sqref="I97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20/03/2025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2063</v>
      </c>
      <c r="B9" s="100">
        <v>3.61</v>
      </c>
      <c r="C9" s="100">
        <v>17.71</v>
      </c>
      <c r="D9" s="100">
        <v>13.5</v>
      </c>
      <c r="E9" s="100">
        <v>8.9700000000000006</v>
      </c>
      <c r="F9" s="152" t="s">
        <v>15</v>
      </c>
      <c r="G9" s="100">
        <v>84.37</v>
      </c>
      <c r="H9" s="100">
        <v>42.35</v>
      </c>
      <c r="I9" s="100">
        <v>10.87</v>
      </c>
      <c r="J9" s="100">
        <v>0.13</v>
      </c>
      <c r="K9" s="100">
        <v>194.1</v>
      </c>
      <c r="L9" s="100">
        <v>27.11</v>
      </c>
      <c r="M9" s="100">
        <v>50.99</v>
      </c>
      <c r="N9" s="100">
        <v>5.9</v>
      </c>
      <c r="O9" s="100">
        <v>0</v>
      </c>
      <c r="P9" s="100">
        <v>1.02</v>
      </c>
      <c r="Q9" s="100">
        <v>28</v>
      </c>
      <c r="R9" s="6"/>
      <c r="S9" s="6"/>
      <c r="T9" s="156"/>
      <c r="U9" s="6"/>
    </row>
    <row r="10" spans="1:21" customFormat="1">
      <c r="A10" s="163" t="s">
        <v>2064</v>
      </c>
      <c r="B10" s="100">
        <v>3.64</v>
      </c>
      <c r="C10" s="100">
        <v>17.41</v>
      </c>
      <c r="D10" s="100">
        <v>13.37</v>
      </c>
      <c r="E10" s="100">
        <v>8.93</v>
      </c>
      <c r="F10" s="152" t="s">
        <v>15</v>
      </c>
      <c r="G10" s="100">
        <v>84.37</v>
      </c>
      <c r="H10" s="100">
        <v>42.35</v>
      </c>
      <c r="I10" s="100">
        <v>10.71</v>
      </c>
      <c r="J10" s="100">
        <v>0.1</v>
      </c>
      <c r="K10" s="100">
        <v>221.36</v>
      </c>
      <c r="L10" s="100">
        <v>26.84</v>
      </c>
      <c r="M10" s="100">
        <v>51.86</v>
      </c>
      <c r="N10" s="100">
        <v>6</v>
      </c>
      <c r="O10" s="100">
        <v>0</v>
      </c>
      <c r="P10" s="100">
        <v>1</v>
      </c>
      <c r="Q10" s="100">
        <v>28.01</v>
      </c>
      <c r="R10" s="6"/>
      <c r="S10" s="6"/>
      <c r="T10" s="156"/>
      <c r="U10" s="6"/>
    </row>
    <row r="11" spans="1:21" customFormat="1">
      <c r="A11" s="163" t="s">
        <v>2065</v>
      </c>
      <c r="B11" s="100">
        <v>3.65</v>
      </c>
      <c r="C11" s="100">
        <v>17.25</v>
      </c>
      <c r="D11" s="100">
        <v>13.29</v>
      </c>
      <c r="E11" s="100">
        <v>8.73</v>
      </c>
      <c r="F11" s="152" t="s">
        <v>15</v>
      </c>
      <c r="G11" s="100">
        <v>84.37</v>
      </c>
      <c r="H11" s="100">
        <v>42.35</v>
      </c>
      <c r="I11" s="100">
        <v>10.64</v>
      </c>
      <c r="J11" s="100">
        <v>0.15</v>
      </c>
      <c r="K11" s="100">
        <v>159.15</v>
      </c>
      <c r="L11" s="100">
        <v>26.8</v>
      </c>
      <c r="M11" s="100">
        <v>52.03</v>
      </c>
      <c r="N11" s="100">
        <v>5.9</v>
      </c>
      <c r="O11" s="100">
        <v>0</v>
      </c>
      <c r="P11" s="100">
        <v>0.99</v>
      </c>
      <c r="Q11" s="100">
        <v>28</v>
      </c>
      <c r="R11" s="6"/>
      <c r="S11" s="6"/>
      <c r="T11" s="156"/>
      <c r="U11" s="6"/>
    </row>
    <row r="12" spans="1:21" customFormat="1">
      <c r="A12" s="163" t="s">
        <v>2066</v>
      </c>
      <c r="B12" s="100">
        <v>3.68</v>
      </c>
      <c r="C12" s="100">
        <v>17.260000000000002</v>
      </c>
      <c r="D12" s="100">
        <v>13.32</v>
      </c>
      <c r="E12" s="100">
        <v>8.48</v>
      </c>
      <c r="F12" s="152" t="s">
        <v>15</v>
      </c>
      <c r="G12" s="100">
        <v>71.010000000000005</v>
      </c>
      <c r="H12" s="100">
        <v>34.24</v>
      </c>
      <c r="I12" s="100">
        <v>10.47</v>
      </c>
      <c r="J12" s="100">
        <v>0.17</v>
      </c>
      <c r="K12" s="100">
        <v>162.49</v>
      </c>
      <c r="L12" s="100">
        <v>26.5</v>
      </c>
      <c r="M12" s="100">
        <v>53.36</v>
      </c>
      <c r="N12" s="100">
        <v>6</v>
      </c>
      <c r="O12" s="100">
        <v>0</v>
      </c>
      <c r="P12" s="100">
        <v>0.98</v>
      </c>
      <c r="Q12" s="100">
        <v>27.98</v>
      </c>
      <c r="R12" s="6"/>
      <c r="S12" s="6"/>
      <c r="T12" s="156"/>
      <c r="U12" s="6"/>
    </row>
    <row r="13" spans="1:21" customFormat="1">
      <c r="A13" s="163" t="s">
        <v>2067</v>
      </c>
      <c r="B13" s="100">
        <v>3.7</v>
      </c>
      <c r="C13" s="100">
        <v>17.25</v>
      </c>
      <c r="D13" s="100">
        <v>13.33</v>
      </c>
      <c r="E13" s="100">
        <v>8.68</v>
      </c>
      <c r="F13" s="152" t="s">
        <v>15</v>
      </c>
      <c r="G13" s="100">
        <v>66.16</v>
      </c>
      <c r="H13" s="100">
        <v>34.11</v>
      </c>
      <c r="I13" s="100">
        <v>10.31</v>
      </c>
      <c r="J13" s="100">
        <v>0.17</v>
      </c>
      <c r="K13" s="100">
        <v>210.37</v>
      </c>
      <c r="L13" s="100">
        <v>26.21</v>
      </c>
      <c r="M13" s="100">
        <v>54.11</v>
      </c>
      <c r="N13" s="100">
        <v>6</v>
      </c>
      <c r="O13" s="100">
        <v>0</v>
      </c>
      <c r="P13" s="100">
        <v>0.96</v>
      </c>
      <c r="Q13" s="100">
        <v>27.98</v>
      </c>
      <c r="R13" s="6"/>
      <c r="S13" s="6"/>
      <c r="T13" s="156"/>
      <c r="U13" s="6"/>
    </row>
    <row r="14" spans="1:21" customFormat="1">
      <c r="A14" s="163" t="s">
        <v>2068</v>
      </c>
      <c r="B14" s="100">
        <v>3.71</v>
      </c>
      <c r="C14" s="100">
        <v>17.13</v>
      </c>
      <c r="D14" s="100">
        <v>13.28</v>
      </c>
      <c r="E14" s="100">
        <v>8.6999999999999993</v>
      </c>
      <c r="F14" s="152" t="s">
        <v>15</v>
      </c>
      <c r="G14" s="100">
        <v>66.16</v>
      </c>
      <c r="H14" s="100">
        <v>34.11</v>
      </c>
      <c r="I14" s="100">
        <v>10.24</v>
      </c>
      <c r="J14" s="100">
        <v>0.12</v>
      </c>
      <c r="K14" s="100">
        <v>159.54</v>
      </c>
      <c r="L14" s="100">
        <v>26.16</v>
      </c>
      <c r="M14" s="100">
        <v>54.01</v>
      </c>
      <c r="N14" s="100">
        <v>5.9</v>
      </c>
      <c r="O14" s="100">
        <v>0</v>
      </c>
      <c r="P14" s="100">
        <v>0.96</v>
      </c>
      <c r="Q14" s="100">
        <v>28</v>
      </c>
      <c r="R14" s="6"/>
      <c r="S14" s="6"/>
      <c r="T14" s="156"/>
      <c r="U14" s="6"/>
    </row>
    <row r="15" spans="1:21" customFormat="1">
      <c r="A15" s="163" t="s">
        <v>2069</v>
      </c>
      <c r="B15" s="100">
        <v>3.74</v>
      </c>
      <c r="C15" s="100">
        <v>17.100000000000001</v>
      </c>
      <c r="D15" s="100">
        <v>13.28</v>
      </c>
      <c r="E15" s="100">
        <v>8.7100000000000009</v>
      </c>
      <c r="F15" s="152" t="s">
        <v>15</v>
      </c>
      <c r="G15" s="100">
        <v>66.16</v>
      </c>
      <c r="H15" s="100">
        <v>34.11</v>
      </c>
      <c r="I15" s="100">
        <v>10.1</v>
      </c>
      <c r="J15" s="100">
        <v>0.1</v>
      </c>
      <c r="K15" s="100">
        <v>204.98</v>
      </c>
      <c r="L15" s="100">
        <v>25.91</v>
      </c>
      <c r="M15" s="100">
        <v>55.33</v>
      </c>
      <c r="N15" s="100">
        <v>6</v>
      </c>
      <c r="O15" s="100">
        <v>0</v>
      </c>
      <c r="P15" s="100">
        <v>0.94</v>
      </c>
      <c r="Q15" s="100">
        <v>28</v>
      </c>
      <c r="R15" s="6"/>
      <c r="S15" s="6"/>
      <c r="T15" s="156"/>
      <c r="U15" s="6"/>
    </row>
    <row r="16" spans="1:21" customFormat="1">
      <c r="A16" s="163" t="s">
        <v>2070</v>
      </c>
      <c r="B16" s="100">
        <v>3.77</v>
      </c>
      <c r="C16" s="100">
        <v>16.87</v>
      </c>
      <c r="D16" s="100">
        <v>13.19</v>
      </c>
      <c r="E16" s="100">
        <v>8.7100000000000009</v>
      </c>
      <c r="F16" s="152" t="s">
        <v>15</v>
      </c>
      <c r="G16" s="100">
        <v>59.1</v>
      </c>
      <c r="H16" s="100">
        <v>32.79</v>
      </c>
      <c r="I16" s="100">
        <v>9.9600000000000009</v>
      </c>
      <c r="J16" s="100">
        <v>0.14000000000000001</v>
      </c>
      <c r="K16" s="100">
        <v>206.38</v>
      </c>
      <c r="L16" s="100">
        <v>25.75</v>
      </c>
      <c r="M16" s="100">
        <v>56.09</v>
      </c>
      <c r="N16" s="100">
        <v>5.8</v>
      </c>
      <c r="O16" s="100">
        <v>0</v>
      </c>
      <c r="P16" s="100">
        <v>0.94</v>
      </c>
      <c r="Q16" s="100">
        <v>28</v>
      </c>
      <c r="R16" s="6"/>
      <c r="S16" s="6"/>
      <c r="T16" s="156"/>
      <c r="U16" s="6"/>
    </row>
    <row r="17" spans="1:21" customFormat="1">
      <c r="A17" s="163" t="s">
        <v>2071</v>
      </c>
      <c r="B17" s="100">
        <v>3.9</v>
      </c>
      <c r="C17" s="100">
        <v>16.41</v>
      </c>
      <c r="D17" s="100">
        <v>13.05</v>
      </c>
      <c r="E17" s="100">
        <v>7.91</v>
      </c>
      <c r="F17" s="152" t="s">
        <v>15</v>
      </c>
      <c r="G17" s="100">
        <v>56.53</v>
      </c>
      <c r="H17" s="100">
        <v>32.75</v>
      </c>
      <c r="I17" s="100">
        <v>9.84</v>
      </c>
      <c r="J17" s="100">
        <v>0.19</v>
      </c>
      <c r="K17" s="100">
        <v>222.66</v>
      </c>
      <c r="L17" s="100">
        <v>25.89</v>
      </c>
      <c r="M17" s="100">
        <v>55.7</v>
      </c>
      <c r="N17" s="100">
        <v>5.7</v>
      </c>
      <c r="O17" s="100">
        <v>0</v>
      </c>
      <c r="P17" s="100">
        <v>0.93</v>
      </c>
      <c r="Q17" s="100">
        <v>28.02</v>
      </c>
      <c r="R17" s="6"/>
      <c r="S17" s="6"/>
      <c r="T17" s="156"/>
      <c r="U17" s="6"/>
    </row>
    <row r="18" spans="1:21" customFormat="1">
      <c r="A18" s="163" t="s">
        <v>2072</v>
      </c>
      <c r="B18" s="100">
        <v>4.08</v>
      </c>
      <c r="C18" s="100">
        <v>15.88</v>
      </c>
      <c r="D18" s="100">
        <v>12.92</v>
      </c>
      <c r="E18" s="100">
        <v>8.8800000000000008</v>
      </c>
      <c r="F18" s="152" t="s">
        <v>15</v>
      </c>
      <c r="G18" s="100">
        <v>56.53</v>
      </c>
      <c r="H18" s="100">
        <v>32.75</v>
      </c>
      <c r="I18" s="100">
        <v>9.73</v>
      </c>
      <c r="J18" s="100">
        <v>0.14000000000000001</v>
      </c>
      <c r="K18" s="100">
        <v>226.54</v>
      </c>
      <c r="L18" s="100">
        <v>25.87</v>
      </c>
      <c r="M18" s="100">
        <v>56.17</v>
      </c>
      <c r="N18" s="100">
        <v>5.8</v>
      </c>
      <c r="O18" s="100">
        <v>0</v>
      </c>
      <c r="P18" s="100">
        <v>0.92</v>
      </c>
      <c r="Q18" s="100">
        <v>28.03</v>
      </c>
      <c r="R18" s="6"/>
      <c r="S18" s="6"/>
      <c r="T18" s="156"/>
      <c r="U18" s="6"/>
    </row>
    <row r="19" spans="1:21" customFormat="1">
      <c r="A19" s="163" t="s">
        <v>2073</v>
      </c>
      <c r="B19" s="100">
        <v>4.25</v>
      </c>
      <c r="C19" s="100">
        <v>16.63</v>
      </c>
      <c r="D19" s="100">
        <v>13.45</v>
      </c>
      <c r="E19" s="100">
        <v>8.93</v>
      </c>
      <c r="F19" s="152" t="s">
        <v>15</v>
      </c>
      <c r="G19" s="100">
        <v>56.53</v>
      </c>
      <c r="H19" s="100">
        <v>32.75</v>
      </c>
      <c r="I19" s="100">
        <v>9.74</v>
      </c>
      <c r="J19" s="100">
        <v>0.1</v>
      </c>
      <c r="K19" s="100">
        <v>191.45</v>
      </c>
      <c r="L19" s="100">
        <v>25.82</v>
      </c>
      <c r="M19" s="100">
        <v>56.27</v>
      </c>
      <c r="N19" s="100">
        <v>5.9</v>
      </c>
      <c r="O19" s="100">
        <v>0</v>
      </c>
      <c r="P19" s="100">
        <v>0.91</v>
      </c>
      <c r="Q19" s="100">
        <v>28.03</v>
      </c>
      <c r="R19" s="6"/>
      <c r="S19" s="6"/>
      <c r="T19" s="156"/>
      <c r="U19" s="6"/>
    </row>
    <row r="20" spans="1:21" customFormat="1">
      <c r="A20" s="163" t="s">
        <v>2074</v>
      </c>
      <c r="B20" s="100">
        <v>4.3600000000000003</v>
      </c>
      <c r="C20" s="100">
        <v>16.72</v>
      </c>
      <c r="D20" s="100">
        <v>13.58</v>
      </c>
      <c r="E20" s="100">
        <v>9.27</v>
      </c>
      <c r="F20" s="152" t="s">
        <v>15</v>
      </c>
      <c r="G20" s="100">
        <v>53.18</v>
      </c>
      <c r="H20" s="100">
        <v>28.64</v>
      </c>
      <c r="I20" s="100">
        <v>9.69</v>
      </c>
      <c r="J20" s="100">
        <v>0.11</v>
      </c>
      <c r="K20" s="100">
        <v>227.1</v>
      </c>
      <c r="L20" s="100">
        <v>25.7</v>
      </c>
      <c r="M20" s="100">
        <v>57.07</v>
      </c>
      <c r="N20" s="100">
        <v>6</v>
      </c>
      <c r="O20" s="100">
        <v>0</v>
      </c>
      <c r="P20" s="100">
        <v>0.9</v>
      </c>
      <c r="Q20" s="100">
        <v>28.04</v>
      </c>
      <c r="R20" s="6"/>
      <c r="S20" s="6"/>
      <c r="T20" s="156"/>
      <c r="U20" s="6"/>
    </row>
    <row r="21" spans="1:21" customFormat="1">
      <c r="A21" s="163" t="s">
        <v>2075</v>
      </c>
      <c r="B21" s="100">
        <v>4.54</v>
      </c>
      <c r="C21" s="100">
        <v>16.84</v>
      </c>
      <c r="D21" s="100">
        <v>13.79</v>
      </c>
      <c r="E21" s="100">
        <v>8.99</v>
      </c>
      <c r="F21" s="152" t="s">
        <v>15</v>
      </c>
      <c r="G21" s="100">
        <v>51.89</v>
      </c>
      <c r="H21" s="100">
        <v>28.52</v>
      </c>
      <c r="I21" s="100">
        <v>9.58</v>
      </c>
      <c r="J21" s="100">
        <v>0.16</v>
      </c>
      <c r="K21" s="100">
        <v>229.78</v>
      </c>
      <c r="L21" s="100">
        <v>25.57</v>
      </c>
      <c r="M21" s="100">
        <v>57.65</v>
      </c>
      <c r="N21" s="100">
        <v>6</v>
      </c>
      <c r="O21" s="100">
        <v>0</v>
      </c>
      <c r="P21" s="100">
        <v>0.9</v>
      </c>
      <c r="Q21" s="100">
        <v>28.05</v>
      </c>
      <c r="R21" s="6"/>
      <c r="S21" s="6"/>
      <c r="T21" s="156"/>
      <c r="U21" s="6"/>
    </row>
    <row r="22" spans="1:21" customFormat="1">
      <c r="A22" s="163" t="s">
        <v>2076</v>
      </c>
      <c r="B22" s="100">
        <v>4.67</v>
      </c>
      <c r="C22" s="100">
        <v>16.7</v>
      </c>
      <c r="D22" s="100">
        <v>13.82</v>
      </c>
      <c r="E22" s="100">
        <v>8.8699999999999992</v>
      </c>
      <c r="F22" s="152" t="s">
        <v>15</v>
      </c>
      <c r="G22" s="100">
        <v>51.89</v>
      </c>
      <c r="H22" s="100">
        <v>28.52</v>
      </c>
      <c r="I22" s="100">
        <v>9.5</v>
      </c>
      <c r="J22" s="100">
        <v>0.19</v>
      </c>
      <c r="K22" s="100">
        <v>221.47</v>
      </c>
      <c r="L22" s="100">
        <v>25.42</v>
      </c>
      <c r="M22" s="100">
        <v>58.44</v>
      </c>
      <c r="N22" s="100">
        <v>6.1</v>
      </c>
      <c r="O22" s="100">
        <v>0</v>
      </c>
      <c r="P22" s="100">
        <v>0.9</v>
      </c>
      <c r="Q22" s="100">
        <v>28.03</v>
      </c>
      <c r="R22" s="6"/>
      <c r="S22" s="6"/>
      <c r="T22" s="156"/>
      <c r="U22" s="6"/>
    </row>
    <row r="23" spans="1:21" customFormat="1">
      <c r="A23" s="163" t="s">
        <v>2077</v>
      </c>
      <c r="B23" s="100">
        <v>4.79</v>
      </c>
      <c r="C23" s="100">
        <v>16.66</v>
      </c>
      <c r="D23" s="100">
        <v>13.9</v>
      </c>
      <c r="E23" s="100">
        <v>9.1</v>
      </c>
      <c r="F23" s="152" t="s">
        <v>15</v>
      </c>
      <c r="G23" s="100">
        <v>51.89</v>
      </c>
      <c r="H23" s="100">
        <v>28.52</v>
      </c>
      <c r="I23" s="100">
        <v>9.5399999999999991</v>
      </c>
      <c r="J23" s="100">
        <v>0.04</v>
      </c>
      <c r="K23" s="100">
        <v>229.67</v>
      </c>
      <c r="L23" s="100">
        <v>25.28</v>
      </c>
      <c r="M23" s="100">
        <v>58.79</v>
      </c>
      <c r="N23" s="100">
        <v>6</v>
      </c>
      <c r="O23" s="100">
        <v>0</v>
      </c>
      <c r="P23" s="100">
        <v>0.9</v>
      </c>
      <c r="Q23" s="100">
        <v>28.04</v>
      </c>
      <c r="R23" s="6"/>
      <c r="S23" s="6"/>
      <c r="T23" s="156"/>
      <c r="U23" s="6"/>
    </row>
    <row r="24" spans="1:21" customFormat="1">
      <c r="A24" s="163" t="s">
        <v>2078</v>
      </c>
      <c r="B24" s="100">
        <v>4.9400000000000004</v>
      </c>
      <c r="C24" s="100">
        <v>16.98</v>
      </c>
      <c r="D24" s="100">
        <v>14.18</v>
      </c>
      <c r="E24" s="100">
        <v>9.11</v>
      </c>
      <c r="F24" s="152" t="s">
        <v>15</v>
      </c>
      <c r="G24" s="100">
        <v>50.71</v>
      </c>
      <c r="H24" s="100">
        <v>28.72</v>
      </c>
      <c r="I24" s="100">
        <v>9.49</v>
      </c>
      <c r="J24" s="100">
        <v>0.14000000000000001</v>
      </c>
      <c r="K24" s="100">
        <v>151.26</v>
      </c>
      <c r="L24" s="100">
        <v>25.34</v>
      </c>
      <c r="M24" s="100">
        <v>59.21</v>
      </c>
      <c r="N24" s="100">
        <v>6</v>
      </c>
      <c r="O24" s="100">
        <v>0</v>
      </c>
      <c r="P24" s="100">
        <v>0.9</v>
      </c>
      <c r="Q24" s="100">
        <v>28.05</v>
      </c>
      <c r="R24" s="6"/>
      <c r="S24" s="6"/>
      <c r="T24" s="156"/>
      <c r="U24" s="6"/>
    </row>
    <row r="25" spans="1:21" customFormat="1">
      <c r="A25" s="163" t="s">
        <v>2079</v>
      </c>
      <c r="B25" s="100">
        <v>5.0999999999999996</v>
      </c>
      <c r="C25" s="100">
        <v>16.850000000000001</v>
      </c>
      <c r="D25" s="100">
        <v>14.24</v>
      </c>
      <c r="E25" s="100">
        <v>9</v>
      </c>
      <c r="F25" s="152" t="s">
        <v>15</v>
      </c>
      <c r="G25" s="100">
        <v>50.26</v>
      </c>
      <c r="H25" s="100">
        <v>28.72</v>
      </c>
      <c r="I25" s="100">
        <v>9.4499999999999993</v>
      </c>
      <c r="J25" s="100">
        <v>0.08</v>
      </c>
      <c r="K25" s="100">
        <v>155.13999999999999</v>
      </c>
      <c r="L25" s="100">
        <v>25.09</v>
      </c>
      <c r="M25" s="100">
        <v>60.43</v>
      </c>
      <c r="N25" s="100">
        <v>6.1</v>
      </c>
      <c r="O25" s="100">
        <v>0</v>
      </c>
      <c r="P25" s="100">
        <v>0.89</v>
      </c>
      <c r="Q25" s="100">
        <v>28.07</v>
      </c>
      <c r="R25" s="6"/>
      <c r="S25" s="6"/>
      <c r="T25" s="156"/>
      <c r="U25" s="6"/>
    </row>
    <row r="26" spans="1:21" customFormat="1">
      <c r="A26" s="163" t="s">
        <v>2080</v>
      </c>
      <c r="B26" s="100">
        <v>5.22</v>
      </c>
      <c r="C26" s="100">
        <v>16.64</v>
      </c>
      <c r="D26" s="100">
        <v>14.23</v>
      </c>
      <c r="E26" s="100">
        <v>8.82</v>
      </c>
      <c r="F26" s="152" t="s">
        <v>15</v>
      </c>
      <c r="G26" s="100">
        <v>50.26</v>
      </c>
      <c r="H26" s="100">
        <v>28.72</v>
      </c>
      <c r="I26" s="100">
        <v>9.4499999999999993</v>
      </c>
      <c r="J26" s="100">
        <v>0.09</v>
      </c>
      <c r="K26" s="100">
        <v>166.41</v>
      </c>
      <c r="L26" s="100">
        <v>25.11</v>
      </c>
      <c r="M26" s="100">
        <v>60.44</v>
      </c>
      <c r="N26" s="100">
        <v>6.1</v>
      </c>
      <c r="O26" s="100">
        <v>0</v>
      </c>
      <c r="P26" s="100">
        <v>0.88</v>
      </c>
      <c r="Q26" s="100">
        <v>28.06</v>
      </c>
      <c r="R26" s="6"/>
      <c r="S26" s="6"/>
      <c r="T26" s="156"/>
      <c r="U26" s="6"/>
    </row>
    <row r="27" spans="1:21" customFormat="1">
      <c r="A27" s="163" t="s">
        <v>2081</v>
      </c>
      <c r="B27" s="100">
        <v>5.35</v>
      </c>
      <c r="C27" s="100">
        <v>16.579999999999998</v>
      </c>
      <c r="D27" s="100">
        <v>14.3</v>
      </c>
      <c r="E27" s="100">
        <v>8.7899999999999991</v>
      </c>
      <c r="F27" s="152" t="s">
        <v>15</v>
      </c>
      <c r="G27" s="100">
        <v>50.26</v>
      </c>
      <c r="H27" s="100">
        <v>28.72</v>
      </c>
      <c r="I27" s="100">
        <v>9.42</v>
      </c>
      <c r="J27" s="100">
        <v>0.08</v>
      </c>
      <c r="K27" s="100">
        <v>206.44</v>
      </c>
      <c r="L27" s="100">
        <v>25.08</v>
      </c>
      <c r="M27" s="100">
        <v>60.44</v>
      </c>
      <c r="N27" s="100">
        <v>6.1</v>
      </c>
      <c r="O27" s="100">
        <v>0</v>
      </c>
      <c r="P27" s="100">
        <v>0.88</v>
      </c>
      <c r="Q27" s="100">
        <v>28.05</v>
      </c>
      <c r="R27" s="6"/>
      <c r="S27" s="6"/>
      <c r="T27" s="156"/>
      <c r="U27" s="6"/>
    </row>
    <row r="28" spans="1:21" customFormat="1">
      <c r="A28" s="163" t="s">
        <v>2082</v>
      </c>
      <c r="B28" s="100">
        <v>5.43</v>
      </c>
      <c r="C28" s="100">
        <v>16.63</v>
      </c>
      <c r="D28" s="100">
        <v>14.39</v>
      </c>
      <c r="E28" s="100">
        <v>8.98</v>
      </c>
      <c r="F28" s="152" t="s">
        <v>15</v>
      </c>
      <c r="G28" s="100">
        <v>45.01</v>
      </c>
      <c r="H28" s="100">
        <v>28.85</v>
      </c>
      <c r="I28" s="100">
        <v>9.3699999999999992</v>
      </c>
      <c r="J28" s="100">
        <v>0.13</v>
      </c>
      <c r="K28" s="100">
        <v>187.83</v>
      </c>
      <c r="L28" s="100">
        <v>25.05</v>
      </c>
      <c r="M28" s="100">
        <v>60.85</v>
      </c>
      <c r="N28" s="100">
        <v>6.1</v>
      </c>
      <c r="O28" s="100">
        <v>0</v>
      </c>
      <c r="P28" s="100">
        <v>0.88</v>
      </c>
      <c r="Q28" s="100">
        <v>28.05</v>
      </c>
      <c r="R28" s="6"/>
      <c r="S28" s="6"/>
      <c r="T28" s="156"/>
      <c r="U28" s="6"/>
    </row>
    <row r="29" spans="1:21" customFormat="1">
      <c r="A29" s="163" t="s">
        <v>2083</v>
      </c>
      <c r="B29" s="100">
        <v>5.53</v>
      </c>
      <c r="C29" s="100">
        <v>16.760000000000002</v>
      </c>
      <c r="D29" s="100">
        <v>14.54</v>
      </c>
      <c r="E29" s="100">
        <v>9.2100000000000009</v>
      </c>
      <c r="F29" s="152" t="s">
        <v>15</v>
      </c>
      <c r="G29" s="100">
        <v>42.99</v>
      </c>
      <c r="H29" s="100">
        <v>28.85</v>
      </c>
      <c r="I29" s="100">
        <v>9.2899999999999991</v>
      </c>
      <c r="J29" s="100">
        <v>0.19</v>
      </c>
      <c r="K29" s="100">
        <v>181.67</v>
      </c>
      <c r="L29" s="100">
        <v>24.81</v>
      </c>
      <c r="M29" s="100">
        <v>63.27</v>
      </c>
      <c r="N29" s="100">
        <v>6.3</v>
      </c>
      <c r="O29" s="100">
        <v>0</v>
      </c>
      <c r="P29" s="100">
        <v>0.88</v>
      </c>
      <c r="Q29" s="100">
        <v>28.07</v>
      </c>
      <c r="R29" s="6"/>
      <c r="S29" s="6"/>
      <c r="T29" s="156"/>
      <c r="U29" s="6"/>
    </row>
    <row r="30" spans="1:21" customFormat="1">
      <c r="A30" s="163" t="s">
        <v>2084</v>
      </c>
      <c r="B30" s="100">
        <v>5.7</v>
      </c>
      <c r="C30" s="100">
        <v>16.579999999999998</v>
      </c>
      <c r="D30" s="100">
        <v>14.58</v>
      </c>
      <c r="E30" s="100">
        <v>9.2100000000000009</v>
      </c>
      <c r="F30" s="152" t="s">
        <v>15</v>
      </c>
      <c r="G30" s="100">
        <v>42.99</v>
      </c>
      <c r="H30" s="100">
        <v>28.85</v>
      </c>
      <c r="I30" s="100">
        <v>9.2200000000000006</v>
      </c>
      <c r="J30" s="100">
        <v>0.13</v>
      </c>
      <c r="K30" s="100">
        <v>163.13999999999999</v>
      </c>
      <c r="L30" s="100">
        <v>24.46</v>
      </c>
      <c r="M30" s="100">
        <v>64.55</v>
      </c>
      <c r="N30" s="100">
        <v>6.3</v>
      </c>
      <c r="O30" s="100">
        <v>0</v>
      </c>
      <c r="P30" s="100">
        <v>0.88</v>
      </c>
      <c r="Q30" s="100">
        <v>28.08</v>
      </c>
      <c r="R30" s="6"/>
      <c r="S30" s="6"/>
      <c r="T30" s="156"/>
      <c r="U30" s="6"/>
    </row>
    <row r="31" spans="1:21" customFormat="1">
      <c r="A31" s="163" t="s">
        <v>2085</v>
      </c>
      <c r="B31" s="100">
        <v>5.85</v>
      </c>
      <c r="C31" s="100">
        <v>16.34</v>
      </c>
      <c r="D31" s="100">
        <v>14.58</v>
      </c>
      <c r="E31" s="100">
        <v>8.9700000000000006</v>
      </c>
      <c r="F31" s="152" t="s">
        <v>15</v>
      </c>
      <c r="G31" s="100">
        <v>42.99</v>
      </c>
      <c r="H31" s="100">
        <v>28.85</v>
      </c>
      <c r="I31" s="100">
        <v>9.2100000000000009</v>
      </c>
      <c r="J31" s="100">
        <v>0.17</v>
      </c>
      <c r="K31" s="100">
        <v>160.75</v>
      </c>
      <c r="L31" s="100">
        <v>24.51</v>
      </c>
      <c r="M31" s="100">
        <v>64.05</v>
      </c>
      <c r="N31" s="100">
        <v>6</v>
      </c>
      <c r="O31" s="100">
        <v>0</v>
      </c>
      <c r="P31" s="100">
        <v>0.88</v>
      </c>
      <c r="Q31" s="100">
        <v>28.09</v>
      </c>
      <c r="R31" s="6"/>
      <c r="S31" s="6"/>
      <c r="T31" s="156"/>
      <c r="U31" s="6"/>
    </row>
    <row r="32" spans="1:21" customFormat="1">
      <c r="A32" s="163" t="s">
        <v>2086</v>
      </c>
      <c r="B32" s="100">
        <v>5.98</v>
      </c>
      <c r="C32" s="100">
        <v>16.649999999999999</v>
      </c>
      <c r="D32" s="100">
        <v>14.85</v>
      </c>
      <c r="E32" s="100">
        <v>9.35</v>
      </c>
      <c r="F32" s="152" t="s">
        <v>15</v>
      </c>
      <c r="G32" s="100">
        <v>47.05</v>
      </c>
      <c r="H32" s="100">
        <v>28.37</v>
      </c>
      <c r="I32" s="100">
        <v>9.2200000000000006</v>
      </c>
      <c r="J32" s="100">
        <v>0.11</v>
      </c>
      <c r="K32" s="100">
        <v>173.76</v>
      </c>
      <c r="L32" s="100">
        <v>24.36</v>
      </c>
      <c r="M32" s="100">
        <v>65.709999999999994</v>
      </c>
      <c r="N32" s="100">
        <v>6.6</v>
      </c>
      <c r="O32" s="100">
        <v>0</v>
      </c>
      <c r="P32" s="100">
        <v>0.88</v>
      </c>
      <c r="Q32" s="100">
        <v>28.08</v>
      </c>
      <c r="R32" s="6"/>
      <c r="S32" s="6"/>
      <c r="T32" s="156"/>
      <c r="U32" s="6"/>
    </row>
    <row r="33" spans="1:21" customFormat="1">
      <c r="A33" s="163" t="s">
        <v>2087</v>
      </c>
      <c r="B33" s="100">
        <v>6.14</v>
      </c>
      <c r="C33" s="100">
        <v>16.34</v>
      </c>
      <c r="D33" s="100">
        <v>14.81</v>
      </c>
      <c r="E33" s="100">
        <v>9.27</v>
      </c>
      <c r="F33" s="152" t="s">
        <v>15</v>
      </c>
      <c r="G33" s="100">
        <v>48.61</v>
      </c>
      <c r="H33" s="100">
        <v>28.35</v>
      </c>
      <c r="I33" s="100">
        <v>9.24</v>
      </c>
      <c r="J33" s="100">
        <v>0.15</v>
      </c>
      <c r="K33" s="100">
        <v>206.68</v>
      </c>
      <c r="L33" s="100">
        <v>24.37</v>
      </c>
      <c r="M33" s="100">
        <v>65.709999999999994</v>
      </c>
      <c r="N33" s="100">
        <v>8.4</v>
      </c>
      <c r="O33" s="100">
        <v>0</v>
      </c>
      <c r="P33" s="100">
        <v>0.88</v>
      </c>
      <c r="Q33" s="100">
        <v>28.1</v>
      </c>
      <c r="R33" s="6"/>
      <c r="S33" s="6"/>
      <c r="T33" s="156"/>
      <c r="U33" s="6"/>
    </row>
    <row r="34" spans="1:21" customFormat="1">
      <c r="A34" s="163" t="s">
        <v>2088</v>
      </c>
      <c r="B34" s="100">
        <v>6.25</v>
      </c>
      <c r="C34" s="100">
        <v>16.399999999999999</v>
      </c>
      <c r="D34" s="100">
        <v>14.93</v>
      </c>
      <c r="E34" s="100">
        <v>8.9600000000000009</v>
      </c>
      <c r="F34" s="152" t="s">
        <v>15</v>
      </c>
      <c r="G34" s="100">
        <v>48.61</v>
      </c>
      <c r="H34" s="100">
        <v>28.35</v>
      </c>
      <c r="I34" s="100">
        <v>9.2799999999999994</v>
      </c>
      <c r="J34" s="100">
        <v>0.1</v>
      </c>
      <c r="K34" s="100">
        <v>183.06</v>
      </c>
      <c r="L34" s="100">
        <v>24.33</v>
      </c>
      <c r="M34" s="100">
        <v>66.08</v>
      </c>
      <c r="N34" s="100">
        <v>13.5</v>
      </c>
      <c r="O34" s="100">
        <v>0</v>
      </c>
      <c r="P34" s="100">
        <v>0.88</v>
      </c>
      <c r="Q34" s="100">
        <v>28.1</v>
      </c>
      <c r="R34" s="6"/>
      <c r="S34" s="6"/>
      <c r="T34" s="156"/>
      <c r="U34" s="6"/>
    </row>
    <row r="35" spans="1:21" customFormat="1">
      <c r="A35" s="163" t="s">
        <v>2089</v>
      </c>
      <c r="B35" s="100">
        <v>6.35</v>
      </c>
      <c r="C35" s="100">
        <v>16.29</v>
      </c>
      <c r="D35" s="100">
        <v>14.95</v>
      </c>
      <c r="E35" s="100">
        <v>9.0299999999999994</v>
      </c>
      <c r="F35" s="152" t="s">
        <v>15</v>
      </c>
      <c r="G35" s="100">
        <v>48.61</v>
      </c>
      <c r="H35" s="100">
        <v>28.35</v>
      </c>
      <c r="I35" s="100">
        <v>9.31</v>
      </c>
      <c r="J35" s="100">
        <v>0.11</v>
      </c>
      <c r="K35" s="100">
        <v>191.45</v>
      </c>
      <c r="L35" s="100">
        <v>24.57</v>
      </c>
      <c r="M35" s="100">
        <v>65.08</v>
      </c>
      <c r="N35" s="100">
        <v>19.600000000000001</v>
      </c>
      <c r="O35" s="100">
        <v>0</v>
      </c>
      <c r="P35" s="100">
        <v>0.89</v>
      </c>
      <c r="Q35" s="100">
        <v>28.1</v>
      </c>
      <c r="R35" s="6"/>
      <c r="S35" s="6"/>
      <c r="T35" s="156"/>
      <c r="U35" s="6"/>
    </row>
    <row r="36" spans="1:21" customFormat="1">
      <c r="A36" s="163" t="s">
        <v>2090</v>
      </c>
      <c r="B36" s="100">
        <v>6.28</v>
      </c>
      <c r="C36" s="100">
        <v>16.04</v>
      </c>
      <c r="D36" s="100">
        <v>14.77</v>
      </c>
      <c r="E36" s="100">
        <v>9.01</v>
      </c>
      <c r="F36" s="152" t="s">
        <v>15</v>
      </c>
      <c r="G36" s="100">
        <v>51.27</v>
      </c>
      <c r="H36" s="100">
        <v>29</v>
      </c>
      <c r="I36" s="100">
        <v>9.3000000000000007</v>
      </c>
      <c r="J36" s="100">
        <v>0.15</v>
      </c>
      <c r="K36" s="100">
        <v>53.39</v>
      </c>
      <c r="L36" s="100">
        <v>25.07</v>
      </c>
      <c r="M36" s="100">
        <v>63.4</v>
      </c>
      <c r="N36" s="100">
        <v>27.6</v>
      </c>
      <c r="O36" s="100">
        <v>0</v>
      </c>
      <c r="P36" s="100">
        <v>0.88</v>
      </c>
      <c r="Q36" s="100">
        <v>28.09</v>
      </c>
      <c r="R36" s="6"/>
      <c r="S36" s="6"/>
      <c r="T36" s="156"/>
      <c r="U36" s="6"/>
    </row>
    <row r="37" spans="1:21" customFormat="1">
      <c r="A37" s="163" t="s">
        <v>2091</v>
      </c>
      <c r="B37" s="100">
        <v>7.85</v>
      </c>
      <c r="C37" s="100">
        <v>18.59</v>
      </c>
      <c r="D37" s="100">
        <v>17.36</v>
      </c>
      <c r="E37" s="100">
        <v>8.9499999999999993</v>
      </c>
      <c r="F37" s="152" t="s">
        <v>15</v>
      </c>
      <c r="G37" s="100">
        <v>52.23</v>
      </c>
      <c r="H37" s="100">
        <v>29.01</v>
      </c>
      <c r="I37" s="100">
        <v>9.3000000000000007</v>
      </c>
      <c r="J37" s="100">
        <v>0.11</v>
      </c>
      <c r="K37" s="100">
        <v>130.44999999999999</v>
      </c>
      <c r="L37" s="100">
        <v>26</v>
      </c>
      <c r="M37" s="100">
        <v>60.39</v>
      </c>
      <c r="N37" s="100">
        <v>35.5</v>
      </c>
      <c r="O37" s="100">
        <v>0</v>
      </c>
      <c r="P37" s="100">
        <v>0.92</v>
      </c>
      <c r="Q37" s="100">
        <v>28.09</v>
      </c>
      <c r="R37" s="6"/>
      <c r="S37" s="6"/>
      <c r="T37" s="156"/>
      <c r="U37" s="6"/>
    </row>
    <row r="38" spans="1:21" customFormat="1">
      <c r="A38" s="163" t="s">
        <v>2092</v>
      </c>
      <c r="B38" s="100">
        <v>10.91</v>
      </c>
      <c r="C38" s="100">
        <v>19.32</v>
      </c>
      <c r="D38" s="100">
        <v>20.190000000000001</v>
      </c>
      <c r="E38" s="100">
        <v>9.07</v>
      </c>
      <c r="F38" s="152" t="s">
        <v>15</v>
      </c>
      <c r="G38" s="100">
        <v>52.23</v>
      </c>
      <c r="H38" s="100">
        <v>29.01</v>
      </c>
      <c r="I38" s="100">
        <v>9.32</v>
      </c>
      <c r="J38" s="100">
        <v>0.31</v>
      </c>
      <c r="K38" s="100">
        <v>23.62</v>
      </c>
      <c r="L38" s="100">
        <v>26.8</v>
      </c>
      <c r="M38" s="100">
        <v>56.51</v>
      </c>
      <c r="N38" s="100">
        <v>43.7</v>
      </c>
      <c r="O38" s="100">
        <v>0</v>
      </c>
      <c r="P38" s="100">
        <v>0.94</v>
      </c>
      <c r="Q38" s="100">
        <v>28.12</v>
      </c>
      <c r="R38" s="6"/>
      <c r="S38" s="6"/>
      <c r="T38" s="156"/>
      <c r="U38" s="6"/>
    </row>
    <row r="39" spans="1:21" customFormat="1">
      <c r="A39" s="163" t="s">
        <v>2093</v>
      </c>
      <c r="B39" s="100">
        <v>8.56</v>
      </c>
      <c r="C39" s="100">
        <v>19.72</v>
      </c>
      <c r="D39" s="100">
        <v>18.52</v>
      </c>
      <c r="E39" s="100">
        <v>8.4499999999999993</v>
      </c>
      <c r="F39" s="152" t="s">
        <v>15</v>
      </c>
      <c r="G39" s="100">
        <v>52.23</v>
      </c>
      <c r="H39" s="100">
        <v>29.01</v>
      </c>
      <c r="I39" s="100">
        <v>9.43</v>
      </c>
      <c r="J39" s="100">
        <v>0.27</v>
      </c>
      <c r="K39" s="100">
        <v>67.989999999999995</v>
      </c>
      <c r="L39" s="100">
        <v>27.67</v>
      </c>
      <c r="M39" s="100">
        <v>54.66</v>
      </c>
      <c r="N39" s="100">
        <v>52.2</v>
      </c>
      <c r="O39" s="100">
        <v>0</v>
      </c>
      <c r="P39" s="100">
        <v>0.95</v>
      </c>
      <c r="Q39" s="100">
        <v>28.15</v>
      </c>
      <c r="R39" s="6"/>
      <c r="S39" s="6"/>
      <c r="T39" s="156"/>
      <c r="U39" s="6"/>
    </row>
    <row r="40" spans="1:21" customFormat="1">
      <c r="A40" s="163" t="s">
        <v>2094</v>
      </c>
      <c r="B40" s="100">
        <v>7.93</v>
      </c>
      <c r="C40" s="100">
        <v>20.32</v>
      </c>
      <c r="D40" s="100">
        <v>18.32</v>
      </c>
      <c r="E40" s="100">
        <v>8.7899999999999991</v>
      </c>
      <c r="F40" s="152" t="s">
        <v>15</v>
      </c>
      <c r="G40" s="100">
        <v>59.71</v>
      </c>
      <c r="H40" s="100">
        <v>31.95</v>
      </c>
      <c r="I40" s="100">
        <v>9.65</v>
      </c>
      <c r="J40" s="100">
        <v>0.3</v>
      </c>
      <c r="K40" s="100">
        <v>324.89999999999998</v>
      </c>
      <c r="L40" s="100">
        <v>28.23</v>
      </c>
      <c r="M40" s="100">
        <v>51.57</v>
      </c>
      <c r="N40" s="100">
        <v>85.1</v>
      </c>
      <c r="O40" s="100">
        <v>0</v>
      </c>
      <c r="P40" s="100">
        <v>0.96</v>
      </c>
      <c r="Q40" s="100">
        <v>28.15</v>
      </c>
      <c r="R40" s="6"/>
      <c r="S40" s="6"/>
      <c r="T40" s="156"/>
      <c r="U40" s="6"/>
    </row>
    <row r="41" spans="1:21" customFormat="1">
      <c r="A41" s="163" t="s">
        <v>2095</v>
      </c>
      <c r="B41" s="100">
        <v>7.63</v>
      </c>
      <c r="C41" s="100">
        <v>21.1</v>
      </c>
      <c r="D41" s="100">
        <v>18.489999999999998</v>
      </c>
      <c r="E41" s="100">
        <v>9.57</v>
      </c>
      <c r="F41" s="152" t="s">
        <v>15</v>
      </c>
      <c r="G41" s="100">
        <v>62.43</v>
      </c>
      <c r="H41" s="100">
        <v>32</v>
      </c>
      <c r="I41" s="100">
        <v>9.9499999999999993</v>
      </c>
      <c r="J41" s="100">
        <v>0.1</v>
      </c>
      <c r="K41" s="100">
        <v>308.67</v>
      </c>
      <c r="L41" s="100">
        <v>28.97</v>
      </c>
      <c r="M41" s="100">
        <v>48.4</v>
      </c>
      <c r="N41" s="100">
        <v>108.4</v>
      </c>
      <c r="O41" s="100">
        <v>0</v>
      </c>
      <c r="P41" s="100">
        <v>0.97</v>
      </c>
      <c r="Q41" s="100">
        <v>28.15</v>
      </c>
      <c r="R41" s="6"/>
      <c r="S41" s="6"/>
      <c r="T41" s="156"/>
      <c r="U41" s="6"/>
    </row>
    <row r="42" spans="1:21" customFormat="1">
      <c r="A42" s="163" t="s">
        <v>2096</v>
      </c>
      <c r="B42" s="100">
        <v>7.01</v>
      </c>
      <c r="C42" s="100">
        <v>21.52</v>
      </c>
      <c r="D42" s="100">
        <v>18.22</v>
      </c>
      <c r="E42" s="100">
        <v>8.9499999999999993</v>
      </c>
      <c r="F42" s="152" t="s">
        <v>15</v>
      </c>
      <c r="G42" s="100">
        <v>62.43</v>
      </c>
      <c r="H42" s="100">
        <v>32</v>
      </c>
      <c r="I42" s="100">
        <v>10.199999999999999</v>
      </c>
      <c r="J42" s="100">
        <v>0.27</v>
      </c>
      <c r="K42" s="100">
        <v>206.96</v>
      </c>
      <c r="L42" s="100">
        <v>29.79</v>
      </c>
      <c r="M42" s="100">
        <v>46.21</v>
      </c>
      <c r="N42" s="100">
        <v>106.1</v>
      </c>
      <c r="O42" s="100">
        <v>0</v>
      </c>
      <c r="P42" s="100">
        <v>0.98</v>
      </c>
      <c r="Q42" s="100">
        <v>28.12</v>
      </c>
      <c r="R42" s="6"/>
      <c r="S42" s="6"/>
      <c r="T42" s="156"/>
      <c r="U42" s="6"/>
    </row>
    <row r="43" spans="1:21" customFormat="1">
      <c r="A43" s="163" t="s">
        <v>2097</v>
      </c>
      <c r="B43" s="100">
        <v>6.34</v>
      </c>
      <c r="C43" s="100">
        <v>21.87</v>
      </c>
      <c r="D43" s="100">
        <v>17.86</v>
      </c>
      <c r="E43" s="100">
        <v>9.34</v>
      </c>
      <c r="F43" s="152" t="s">
        <v>15</v>
      </c>
      <c r="G43" s="100">
        <v>62.43</v>
      </c>
      <c r="H43" s="100">
        <v>32</v>
      </c>
      <c r="I43" s="100">
        <v>10.4</v>
      </c>
      <c r="J43" s="100">
        <v>0.47</v>
      </c>
      <c r="K43" s="100">
        <v>293.83</v>
      </c>
      <c r="L43" s="100">
        <v>30.34</v>
      </c>
      <c r="M43" s="100">
        <v>44.61</v>
      </c>
      <c r="N43" s="100">
        <v>143</v>
      </c>
      <c r="O43" s="100">
        <v>0</v>
      </c>
      <c r="P43" s="100">
        <v>1</v>
      </c>
      <c r="Q43" s="100">
        <v>28.12</v>
      </c>
      <c r="R43" s="6"/>
      <c r="S43" s="6"/>
      <c r="T43" s="156"/>
      <c r="U43" s="6"/>
    </row>
    <row r="44" spans="1:21" customFormat="1">
      <c r="A44" s="163" t="s">
        <v>2098</v>
      </c>
      <c r="B44" s="100">
        <v>5.75</v>
      </c>
      <c r="C44" s="100">
        <v>22.21</v>
      </c>
      <c r="D44" s="100">
        <v>17.559999999999999</v>
      </c>
      <c r="E44" s="100">
        <v>9.67</v>
      </c>
      <c r="F44" s="152" t="s">
        <v>15</v>
      </c>
      <c r="G44" s="100">
        <v>69.489999999999995</v>
      </c>
      <c r="H44" s="100">
        <v>36.85</v>
      </c>
      <c r="I44" s="100">
        <v>10.56</v>
      </c>
      <c r="J44" s="100">
        <v>0.52</v>
      </c>
      <c r="K44" s="100">
        <v>262.43</v>
      </c>
      <c r="L44" s="100">
        <v>30.74</v>
      </c>
      <c r="M44" s="100">
        <v>43.63</v>
      </c>
      <c r="N44" s="100">
        <v>174.5</v>
      </c>
      <c r="O44" s="100">
        <v>0</v>
      </c>
      <c r="P44" s="100">
        <v>1.03</v>
      </c>
      <c r="Q44" s="100">
        <v>28.11</v>
      </c>
      <c r="R44" s="6"/>
      <c r="S44" s="6"/>
      <c r="T44" s="156"/>
      <c r="U44" s="6"/>
    </row>
    <row r="45" spans="1:21" customFormat="1">
      <c r="A45" s="163" t="s">
        <v>2099</v>
      </c>
      <c r="B45" s="100">
        <v>5.24</v>
      </c>
      <c r="C45" s="100">
        <v>22.47</v>
      </c>
      <c r="D45" s="100">
        <v>17.29</v>
      </c>
      <c r="E45" s="100">
        <v>9.09</v>
      </c>
      <c r="F45" s="152" t="s">
        <v>15</v>
      </c>
      <c r="G45" s="100">
        <v>72.06</v>
      </c>
      <c r="H45" s="100">
        <v>37</v>
      </c>
      <c r="I45" s="100">
        <v>10.95</v>
      </c>
      <c r="J45" s="100">
        <v>0.78</v>
      </c>
      <c r="K45" s="100">
        <v>280.95</v>
      </c>
      <c r="L45" s="100">
        <v>31.1</v>
      </c>
      <c r="M45" s="100">
        <v>42.78</v>
      </c>
      <c r="N45" s="100">
        <v>169.9</v>
      </c>
      <c r="O45" s="100">
        <v>0</v>
      </c>
      <c r="P45" s="100">
        <v>1.06</v>
      </c>
      <c r="Q45" s="100">
        <v>28.08</v>
      </c>
      <c r="R45" s="6"/>
      <c r="S45" s="6"/>
      <c r="T45" s="156"/>
      <c r="U45" s="6"/>
    </row>
    <row r="46" spans="1:21" customFormat="1">
      <c r="A46" s="163" t="s">
        <v>2100</v>
      </c>
      <c r="B46" s="100">
        <v>4.91</v>
      </c>
      <c r="C46" s="100">
        <v>22.81</v>
      </c>
      <c r="D46" s="100">
        <v>17.21</v>
      </c>
      <c r="E46" s="100">
        <v>9.5</v>
      </c>
      <c r="F46" s="152" t="s">
        <v>15</v>
      </c>
      <c r="G46" s="100">
        <v>72.06</v>
      </c>
      <c r="H46" s="100">
        <v>37</v>
      </c>
      <c r="I46" s="100">
        <v>11.53</v>
      </c>
      <c r="J46" s="100">
        <v>0.63</v>
      </c>
      <c r="K46" s="100">
        <v>274.02999999999997</v>
      </c>
      <c r="L46" s="100">
        <v>31.77</v>
      </c>
      <c r="M46" s="100">
        <v>42.61</v>
      </c>
      <c r="N46" s="100">
        <v>224.8</v>
      </c>
      <c r="O46" s="100">
        <v>0</v>
      </c>
      <c r="P46" s="100">
        <v>1.1100000000000001</v>
      </c>
      <c r="Q46" s="100">
        <v>28.08</v>
      </c>
      <c r="R46" s="6"/>
      <c r="S46" s="6"/>
      <c r="T46" s="156"/>
      <c r="U46" s="6"/>
    </row>
    <row r="47" spans="1:21" customFormat="1">
      <c r="A47" s="163" t="s">
        <v>2101</v>
      </c>
      <c r="B47" s="100">
        <v>4.59</v>
      </c>
      <c r="C47" s="100">
        <v>22.59</v>
      </c>
      <c r="D47" s="100">
        <v>16.829999999999998</v>
      </c>
      <c r="E47" s="100">
        <v>9.5</v>
      </c>
      <c r="F47" s="152" t="s">
        <v>15</v>
      </c>
      <c r="G47" s="100">
        <v>72.06</v>
      </c>
      <c r="H47" s="100">
        <v>37</v>
      </c>
      <c r="I47" s="100">
        <v>12</v>
      </c>
      <c r="J47" s="100">
        <v>0.93</v>
      </c>
      <c r="K47" s="100">
        <v>309.25</v>
      </c>
      <c r="L47" s="100">
        <v>31.99</v>
      </c>
      <c r="M47" s="100">
        <v>42.72</v>
      </c>
      <c r="N47" s="100">
        <v>241.1</v>
      </c>
      <c r="O47" s="100">
        <v>0</v>
      </c>
      <c r="P47" s="100">
        <v>1.0900000000000001</v>
      </c>
      <c r="Q47" s="100">
        <v>28.06</v>
      </c>
      <c r="R47" s="6"/>
      <c r="S47" s="6"/>
      <c r="T47" s="156"/>
      <c r="U47" s="6"/>
    </row>
    <row r="48" spans="1:21" customFormat="1">
      <c r="A48" s="163" t="s">
        <v>2102</v>
      </c>
      <c r="B48" s="100">
        <v>4.58</v>
      </c>
      <c r="C48" s="100">
        <v>22.57</v>
      </c>
      <c r="D48" s="100">
        <v>16.82</v>
      </c>
      <c r="E48" s="100">
        <v>9.77</v>
      </c>
      <c r="F48" s="152" t="s">
        <v>15</v>
      </c>
      <c r="G48" s="100">
        <v>74.27</v>
      </c>
      <c r="H48" s="100">
        <v>35.25</v>
      </c>
      <c r="I48" s="100">
        <v>12.37</v>
      </c>
      <c r="J48" s="100">
        <v>0.91</v>
      </c>
      <c r="K48" s="100">
        <v>306.61</v>
      </c>
      <c r="L48" s="100">
        <v>32.549999999999997</v>
      </c>
      <c r="M48" s="100">
        <v>41.86</v>
      </c>
      <c r="N48" s="100">
        <v>250.7</v>
      </c>
      <c r="O48" s="100">
        <v>0</v>
      </c>
      <c r="P48" s="100">
        <v>1.08</v>
      </c>
      <c r="Q48" s="100">
        <v>28.05</v>
      </c>
      <c r="R48" s="6"/>
      <c r="S48" s="6"/>
      <c r="T48" s="156"/>
      <c r="U48" s="6"/>
    </row>
    <row r="49" spans="1:21" customFormat="1">
      <c r="A49" s="163" t="s">
        <v>2103</v>
      </c>
      <c r="B49" s="100">
        <v>4.42</v>
      </c>
      <c r="C49" s="100">
        <v>22.49</v>
      </c>
      <c r="D49" s="100">
        <v>16.649999999999999</v>
      </c>
      <c r="E49" s="100">
        <v>7.57</v>
      </c>
      <c r="F49" s="152" t="s">
        <v>15</v>
      </c>
      <c r="G49" s="100">
        <v>75.069999999999993</v>
      </c>
      <c r="H49" s="100">
        <v>35.19</v>
      </c>
      <c r="I49" s="100">
        <v>12.45</v>
      </c>
      <c r="J49" s="100">
        <v>0.88</v>
      </c>
      <c r="K49" s="100">
        <v>294.13</v>
      </c>
      <c r="L49" s="100">
        <v>32.909999999999997</v>
      </c>
      <c r="M49" s="100">
        <v>40.479999999999997</v>
      </c>
      <c r="N49" s="100">
        <v>240.4</v>
      </c>
      <c r="O49" s="100">
        <v>0</v>
      </c>
      <c r="P49" s="100">
        <v>1.07</v>
      </c>
      <c r="Q49" s="100">
        <v>28.04</v>
      </c>
      <c r="R49" s="6"/>
      <c r="S49" s="6"/>
      <c r="T49" s="156"/>
      <c r="U49" s="6"/>
    </row>
    <row r="50" spans="1:21" customFormat="1">
      <c r="A50" s="163" t="s">
        <v>2104</v>
      </c>
      <c r="B50" s="100">
        <v>4.38</v>
      </c>
      <c r="C50" s="100">
        <v>22.6</v>
      </c>
      <c r="D50" s="100">
        <v>16.670000000000002</v>
      </c>
      <c r="E50" s="100">
        <v>8.4</v>
      </c>
      <c r="F50" s="152" t="s">
        <v>15</v>
      </c>
      <c r="G50" s="100">
        <v>75.069999999999993</v>
      </c>
      <c r="H50" s="100">
        <v>35.19</v>
      </c>
      <c r="I50" s="100">
        <v>12.51</v>
      </c>
      <c r="J50" s="100">
        <v>1.1499999999999999</v>
      </c>
      <c r="K50" s="100">
        <v>319.95999999999998</v>
      </c>
      <c r="L50" s="100">
        <v>33.36</v>
      </c>
      <c r="M50" s="100">
        <v>38.020000000000003</v>
      </c>
      <c r="N50" s="100">
        <v>221.9</v>
      </c>
      <c r="O50" s="100">
        <v>0</v>
      </c>
      <c r="P50" s="100">
        <v>1.06</v>
      </c>
      <c r="Q50" s="100">
        <v>28.04</v>
      </c>
      <c r="R50" s="6"/>
      <c r="S50" s="6"/>
      <c r="T50" s="156"/>
      <c r="U50" s="6"/>
    </row>
    <row r="51" spans="1:21" customFormat="1">
      <c r="A51" s="163" t="s">
        <v>2105</v>
      </c>
      <c r="B51" s="100">
        <v>4.71</v>
      </c>
      <c r="C51" s="100">
        <v>22.19</v>
      </c>
      <c r="D51" s="100">
        <v>16.72</v>
      </c>
      <c r="E51" s="100">
        <v>8.2899999999999991</v>
      </c>
      <c r="F51" s="152" t="s">
        <v>15</v>
      </c>
      <c r="G51" s="100">
        <v>75.069999999999993</v>
      </c>
      <c r="H51" s="100">
        <v>35.19</v>
      </c>
      <c r="I51" s="100">
        <v>12.41</v>
      </c>
      <c r="J51" s="100">
        <v>0.76</v>
      </c>
      <c r="K51" s="100">
        <v>300.52999999999997</v>
      </c>
      <c r="L51" s="100">
        <v>33.89</v>
      </c>
      <c r="M51" s="100">
        <v>35.979999999999997</v>
      </c>
      <c r="N51" s="100">
        <v>279</v>
      </c>
      <c r="O51" s="100">
        <v>0</v>
      </c>
      <c r="P51" s="100">
        <v>1.03</v>
      </c>
      <c r="Q51" s="100">
        <v>28.04</v>
      </c>
      <c r="R51" s="6"/>
      <c r="S51" s="6"/>
      <c r="T51" s="156"/>
      <c r="U51" s="6"/>
    </row>
    <row r="52" spans="1:21" customFormat="1">
      <c r="A52" s="163" t="s">
        <v>2106</v>
      </c>
      <c r="B52" s="100">
        <v>4.58</v>
      </c>
      <c r="C52" s="100">
        <v>21.89</v>
      </c>
      <c r="D52" s="100">
        <v>16.47</v>
      </c>
      <c r="E52" s="100">
        <v>8.8000000000000007</v>
      </c>
      <c r="F52" s="152" t="s">
        <v>15</v>
      </c>
      <c r="G52" s="100">
        <v>71.12</v>
      </c>
      <c r="H52" s="100">
        <v>32.33</v>
      </c>
      <c r="I52" s="100">
        <v>12.15</v>
      </c>
      <c r="J52" s="100">
        <v>0.78</v>
      </c>
      <c r="K52" s="100">
        <v>299.06</v>
      </c>
      <c r="L52" s="100">
        <v>34.21</v>
      </c>
      <c r="M52" s="100">
        <v>35.5</v>
      </c>
      <c r="N52" s="100">
        <v>293.39999999999998</v>
      </c>
      <c r="O52" s="100">
        <v>0</v>
      </c>
      <c r="P52" s="100">
        <v>1</v>
      </c>
      <c r="Q52" s="100">
        <v>28.05</v>
      </c>
      <c r="R52" s="6"/>
      <c r="S52" s="6"/>
      <c r="T52" s="156"/>
      <c r="U52" s="6"/>
    </row>
    <row r="53" spans="1:21" customFormat="1">
      <c r="A53" s="163" t="s">
        <v>2107</v>
      </c>
      <c r="B53" s="100">
        <v>4.03</v>
      </c>
      <c r="C53" s="100">
        <v>21.96</v>
      </c>
      <c r="D53" s="100">
        <v>16.059999999999999</v>
      </c>
      <c r="E53" s="100">
        <v>8.69</v>
      </c>
      <c r="F53" s="152" t="s">
        <v>15</v>
      </c>
      <c r="G53" s="100">
        <v>69.69</v>
      </c>
      <c r="H53" s="100">
        <v>32.26</v>
      </c>
      <c r="I53" s="100">
        <v>11.81</v>
      </c>
      <c r="J53" s="100">
        <v>0.86</v>
      </c>
      <c r="K53" s="100">
        <v>267.57</v>
      </c>
      <c r="L53" s="100">
        <v>34.53</v>
      </c>
      <c r="M53" s="100">
        <v>33.89</v>
      </c>
      <c r="N53" s="100">
        <v>290</v>
      </c>
      <c r="O53" s="100">
        <v>0</v>
      </c>
      <c r="P53" s="100">
        <v>0.98</v>
      </c>
      <c r="Q53" s="100">
        <v>28.04</v>
      </c>
      <c r="R53" s="6"/>
      <c r="S53" s="6"/>
      <c r="T53" s="156"/>
      <c r="U53" s="6"/>
    </row>
    <row r="54" spans="1:21" customFormat="1">
      <c r="A54" s="163" t="s">
        <v>2108</v>
      </c>
      <c r="B54" s="100">
        <v>3.85</v>
      </c>
      <c r="C54" s="100">
        <v>21.74</v>
      </c>
      <c r="D54" s="100">
        <v>15.8</v>
      </c>
      <c r="E54" s="100">
        <v>9.5299999999999994</v>
      </c>
      <c r="F54" s="152" t="s">
        <v>15</v>
      </c>
      <c r="G54" s="100">
        <v>69.69</v>
      </c>
      <c r="H54" s="100">
        <v>32.26</v>
      </c>
      <c r="I54" s="100">
        <v>11.52</v>
      </c>
      <c r="J54" s="100">
        <v>0.83</v>
      </c>
      <c r="K54" s="100">
        <v>296.14999999999998</v>
      </c>
      <c r="L54" s="100">
        <v>34.5</v>
      </c>
      <c r="M54" s="100">
        <v>32.69</v>
      </c>
      <c r="N54" s="100">
        <v>296.60000000000002</v>
      </c>
      <c r="O54" s="100">
        <v>0</v>
      </c>
      <c r="P54" s="100">
        <v>0.99</v>
      </c>
      <c r="Q54" s="100">
        <v>28.03</v>
      </c>
      <c r="R54" s="6"/>
      <c r="S54" s="6"/>
      <c r="T54" s="156"/>
      <c r="U54" s="6"/>
    </row>
    <row r="55" spans="1:21" customFormat="1">
      <c r="A55" s="163" t="s">
        <v>2109</v>
      </c>
      <c r="B55" s="100">
        <v>3.79</v>
      </c>
      <c r="C55" s="100">
        <v>21.03</v>
      </c>
      <c r="D55" s="100">
        <v>15.38</v>
      </c>
      <c r="E55" s="100">
        <v>9.66</v>
      </c>
      <c r="F55" s="152" t="s">
        <v>15</v>
      </c>
      <c r="G55" s="100">
        <v>69.69</v>
      </c>
      <c r="H55" s="100">
        <v>32.26</v>
      </c>
      <c r="I55" s="100">
        <v>11.45</v>
      </c>
      <c r="J55" s="100">
        <v>0.77</v>
      </c>
      <c r="K55" s="100">
        <v>269.89999999999998</v>
      </c>
      <c r="L55" s="100">
        <v>35.200000000000003</v>
      </c>
      <c r="M55" s="100">
        <v>30.56</v>
      </c>
      <c r="N55" s="100">
        <v>287.5</v>
      </c>
      <c r="O55" s="100">
        <v>0</v>
      </c>
      <c r="P55" s="100">
        <v>0.96</v>
      </c>
      <c r="Q55" s="100">
        <v>28.03</v>
      </c>
      <c r="R55" s="6"/>
      <c r="S55" s="6"/>
      <c r="T55" s="156"/>
      <c r="U55" s="6"/>
    </row>
    <row r="56" spans="1:21" customFormat="1">
      <c r="A56" s="163" t="s">
        <v>2110</v>
      </c>
      <c r="B56" s="100">
        <v>3.75</v>
      </c>
      <c r="C56" s="100">
        <v>20.76</v>
      </c>
      <c r="D56" s="100">
        <v>15.21</v>
      </c>
      <c r="E56" s="100">
        <v>8.52</v>
      </c>
      <c r="F56" s="152" t="s">
        <v>15</v>
      </c>
      <c r="G56" s="100">
        <v>64.42</v>
      </c>
      <c r="H56" s="100">
        <v>25.76</v>
      </c>
      <c r="I56" s="100">
        <v>11.3</v>
      </c>
      <c r="J56" s="100">
        <v>0.87</v>
      </c>
      <c r="K56" s="100">
        <v>255.05</v>
      </c>
      <c r="L56" s="100">
        <v>35.29</v>
      </c>
      <c r="M56" s="100">
        <v>29.54</v>
      </c>
      <c r="N56" s="100">
        <v>315.5</v>
      </c>
      <c r="O56" s="100">
        <v>0</v>
      </c>
      <c r="P56" s="100">
        <v>0.92</v>
      </c>
      <c r="Q56" s="100">
        <v>28.03</v>
      </c>
      <c r="R56" s="6"/>
      <c r="S56" s="6"/>
      <c r="T56" s="156"/>
      <c r="U56" s="6"/>
    </row>
    <row r="57" spans="1:21" customFormat="1">
      <c r="A57" s="163" t="s">
        <v>2111</v>
      </c>
      <c r="B57" s="100">
        <v>3.78</v>
      </c>
      <c r="C57" s="100">
        <v>20.61</v>
      </c>
      <c r="D57" s="100">
        <v>15.15</v>
      </c>
      <c r="E57" s="100">
        <v>8.24</v>
      </c>
      <c r="F57" s="152" t="s">
        <v>15</v>
      </c>
      <c r="G57" s="100">
        <v>62.5</v>
      </c>
      <c r="H57" s="100">
        <v>25.66</v>
      </c>
      <c r="I57" s="100">
        <v>10.99</v>
      </c>
      <c r="J57" s="100">
        <v>0.65</v>
      </c>
      <c r="K57" s="100">
        <v>243.84</v>
      </c>
      <c r="L57" s="100">
        <v>35.97</v>
      </c>
      <c r="M57" s="100">
        <v>26.25</v>
      </c>
      <c r="N57" s="100">
        <v>332.5</v>
      </c>
      <c r="O57" s="100">
        <v>0</v>
      </c>
      <c r="P57" s="100">
        <v>0.92</v>
      </c>
      <c r="Q57" s="100">
        <v>28.02</v>
      </c>
      <c r="R57" s="6"/>
      <c r="S57" s="6"/>
      <c r="T57" s="156"/>
      <c r="U57" s="6"/>
    </row>
    <row r="58" spans="1:21" customFormat="1">
      <c r="A58" s="163" t="s">
        <v>2112</v>
      </c>
      <c r="B58" s="100">
        <v>3.89</v>
      </c>
      <c r="C58" s="100">
        <v>19.63</v>
      </c>
      <c r="D58" s="100">
        <v>14.72</v>
      </c>
      <c r="E58" s="100">
        <v>8.17</v>
      </c>
      <c r="F58" s="152" t="s">
        <v>15</v>
      </c>
      <c r="G58" s="100">
        <v>62.5</v>
      </c>
      <c r="H58" s="100">
        <v>25.66</v>
      </c>
      <c r="I58" s="100">
        <v>10.69</v>
      </c>
      <c r="J58" s="100">
        <v>0.82</v>
      </c>
      <c r="K58" s="100">
        <v>272.62</v>
      </c>
      <c r="L58" s="100">
        <v>36.49</v>
      </c>
      <c r="M58" s="100">
        <v>25.44</v>
      </c>
      <c r="N58" s="100">
        <v>332.2</v>
      </c>
      <c r="O58" s="100">
        <v>0</v>
      </c>
      <c r="P58" s="100">
        <v>0.88</v>
      </c>
      <c r="Q58" s="100">
        <v>28.03</v>
      </c>
      <c r="R58" s="6"/>
      <c r="S58" s="6"/>
      <c r="T58" s="156"/>
      <c r="U58" s="6"/>
    </row>
    <row r="59" spans="1:21" customFormat="1">
      <c r="A59" s="163" t="s">
        <v>2113</v>
      </c>
      <c r="B59" s="100">
        <v>4.13</v>
      </c>
      <c r="C59" s="100">
        <v>19.850000000000001</v>
      </c>
      <c r="D59" s="100">
        <v>15.03</v>
      </c>
      <c r="E59" s="100">
        <v>7.87</v>
      </c>
      <c r="F59" s="152" t="s">
        <v>15</v>
      </c>
      <c r="G59" s="100">
        <v>62.5</v>
      </c>
      <c r="H59" s="100">
        <v>25.66</v>
      </c>
      <c r="I59" s="100">
        <v>10.38</v>
      </c>
      <c r="J59" s="100">
        <v>0.99</v>
      </c>
      <c r="K59" s="100">
        <v>267.23</v>
      </c>
      <c r="L59" s="100">
        <v>36.31</v>
      </c>
      <c r="M59" s="100">
        <v>23.29</v>
      </c>
      <c r="N59" s="100">
        <v>337.9</v>
      </c>
      <c r="O59" s="100">
        <v>0</v>
      </c>
      <c r="P59" s="100">
        <v>0.89</v>
      </c>
      <c r="Q59" s="100">
        <v>28.03</v>
      </c>
      <c r="R59" s="6"/>
      <c r="S59" s="6"/>
      <c r="T59" s="156"/>
      <c r="U59" s="6"/>
    </row>
    <row r="60" spans="1:21" customFormat="1">
      <c r="A60" s="163" t="s">
        <v>2114</v>
      </c>
      <c r="B60" s="100">
        <v>4.05</v>
      </c>
      <c r="C60" s="100">
        <v>18.72</v>
      </c>
      <c r="D60" s="100">
        <v>14.38</v>
      </c>
      <c r="E60" s="100">
        <v>7.61</v>
      </c>
      <c r="F60" s="152" t="s">
        <v>15</v>
      </c>
      <c r="G60" s="100">
        <v>52.08</v>
      </c>
      <c r="H60" s="100">
        <v>20.5</v>
      </c>
      <c r="I60" s="100">
        <v>10.06</v>
      </c>
      <c r="J60" s="100">
        <v>1.17</v>
      </c>
      <c r="K60" s="100">
        <v>272.57</v>
      </c>
      <c r="L60" s="100">
        <v>36.4</v>
      </c>
      <c r="M60" s="100">
        <v>22.7</v>
      </c>
      <c r="N60" s="100">
        <v>341</v>
      </c>
      <c r="O60" s="100">
        <v>0</v>
      </c>
      <c r="P60" s="100">
        <v>0.85</v>
      </c>
      <c r="Q60" s="100">
        <v>28.02</v>
      </c>
      <c r="R60" s="6"/>
      <c r="S60" s="6"/>
      <c r="T60" s="156"/>
      <c r="U60" s="6"/>
    </row>
    <row r="61" spans="1:21" customFormat="1">
      <c r="A61" s="163" t="s">
        <v>2115</v>
      </c>
      <c r="B61" s="100">
        <v>4.04</v>
      </c>
      <c r="C61" s="100">
        <v>19.02</v>
      </c>
      <c r="D61" s="100">
        <v>14.53</v>
      </c>
      <c r="E61" s="100">
        <v>7.84</v>
      </c>
      <c r="F61" s="152" t="s">
        <v>15</v>
      </c>
      <c r="G61" s="100">
        <v>48.29</v>
      </c>
      <c r="H61" s="100">
        <v>20.420000000000002</v>
      </c>
      <c r="I61" s="100">
        <v>9.92</v>
      </c>
      <c r="J61" s="100">
        <v>0.81</v>
      </c>
      <c r="K61" s="100">
        <v>260.5</v>
      </c>
      <c r="L61" s="100">
        <v>36.549999999999997</v>
      </c>
      <c r="M61" s="100">
        <v>22.74</v>
      </c>
      <c r="N61" s="100">
        <v>334.6</v>
      </c>
      <c r="O61" s="100">
        <v>0</v>
      </c>
      <c r="P61" s="100">
        <v>0.84</v>
      </c>
      <c r="Q61" s="100">
        <v>28.03</v>
      </c>
      <c r="R61" s="6"/>
      <c r="S61" s="6"/>
      <c r="T61" s="156"/>
      <c r="U61" s="6"/>
    </row>
    <row r="62" spans="1:21" customFormat="1">
      <c r="A62" s="163" t="s">
        <v>2116</v>
      </c>
      <c r="B62" s="100">
        <v>4.03</v>
      </c>
      <c r="C62" s="100">
        <v>18.36</v>
      </c>
      <c r="D62" s="100">
        <v>14.18</v>
      </c>
      <c r="E62" s="100">
        <v>7.42</v>
      </c>
      <c r="F62" s="152" t="s">
        <v>15</v>
      </c>
      <c r="G62" s="100">
        <v>48.29</v>
      </c>
      <c r="H62" s="100">
        <v>20.420000000000002</v>
      </c>
      <c r="I62" s="100">
        <v>9.64</v>
      </c>
      <c r="J62" s="100">
        <v>1.04</v>
      </c>
      <c r="K62" s="100">
        <v>260.92</v>
      </c>
      <c r="L62" s="100">
        <v>36.729999999999997</v>
      </c>
      <c r="M62" s="100">
        <v>21.13</v>
      </c>
      <c r="N62" s="100">
        <v>328.2</v>
      </c>
      <c r="O62" s="100">
        <v>0</v>
      </c>
      <c r="P62" s="100">
        <v>0.82</v>
      </c>
      <c r="Q62" s="100">
        <v>28.03</v>
      </c>
      <c r="R62" s="6"/>
      <c r="S62" s="6"/>
      <c r="T62" s="156"/>
      <c r="U62" s="6"/>
    </row>
    <row r="63" spans="1:21" customFormat="1">
      <c r="A63" s="163" t="s">
        <v>2117</v>
      </c>
      <c r="B63" s="100">
        <v>4.0599999999999996</v>
      </c>
      <c r="C63" s="100">
        <v>18.39</v>
      </c>
      <c r="D63" s="100">
        <v>14.21</v>
      </c>
      <c r="E63" s="100">
        <v>7.51</v>
      </c>
      <c r="F63" s="152" t="s">
        <v>15</v>
      </c>
      <c r="G63" s="100">
        <v>48.29</v>
      </c>
      <c r="H63" s="100">
        <v>20.420000000000002</v>
      </c>
      <c r="I63" s="100">
        <v>9.5299999999999994</v>
      </c>
      <c r="J63" s="100">
        <v>0.87</v>
      </c>
      <c r="K63" s="100">
        <v>283.52999999999997</v>
      </c>
      <c r="L63" s="100">
        <v>37.29</v>
      </c>
      <c r="M63" s="100">
        <v>20.41</v>
      </c>
      <c r="N63" s="100">
        <v>321.89999999999998</v>
      </c>
      <c r="O63" s="100">
        <v>0</v>
      </c>
      <c r="P63" s="100">
        <v>0.8</v>
      </c>
      <c r="Q63" s="100">
        <v>28.02</v>
      </c>
      <c r="R63" s="6"/>
      <c r="S63" s="6"/>
      <c r="T63" s="156"/>
      <c r="U63" s="6"/>
    </row>
    <row r="64" spans="1:21" customFormat="1">
      <c r="A64" s="163" t="s">
        <v>2118</v>
      </c>
      <c r="B64" s="100">
        <v>4.2</v>
      </c>
      <c r="C64" s="100">
        <v>18.23</v>
      </c>
      <c r="D64" s="100">
        <v>14.25</v>
      </c>
      <c r="E64" s="100">
        <v>7.43</v>
      </c>
      <c r="F64" s="152" t="s">
        <v>15</v>
      </c>
      <c r="G64" s="100">
        <v>43.78</v>
      </c>
      <c r="H64" s="100">
        <v>18.29</v>
      </c>
      <c r="I64" s="100">
        <v>9.23</v>
      </c>
      <c r="J64" s="100">
        <v>0.92</v>
      </c>
      <c r="K64" s="100">
        <v>273.39</v>
      </c>
      <c r="L64" s="100">
        <v>37.159999999999997</v>
      </c>
      <c r="M64" s="100">
        <v>20.25</v>
      </c>
      <c r="N64" s="100">
        <v>340.4</v>
      </c>
      <c r="O64" s="100">
        <v>0</v>
      </c>
      <c r="P64" s="100">
        <v>0.76</v>
      </c>
      <c r="Q64" s="100">
        <v>28.01</v>
      </c>
      <c r="R64" s="6"/>
      <c r="S64" s="6"/>
      <c r="T64" s="156"/>
      <c r="U64" s="6"/>
    </row>
    <row r="65" spans="1:21" customFormat="1">
      <c r="A65" s="163" t="s">
        <v>2119</v>
      </c>
      <c r="B65" s="100">
        <v>4.12</v>
      </c>
      <c r="C65" s="100">
        <v>17.91</v>
      </c>
      <c r="D65" s="100">
        <v>14.01</v>
      </c>
      <c r="E65" s="100">
        <v>7.28</v>
      </c>
      <c r="F65" s="152" t="s">
        <v>15</v>
      </c>
      <c r="G65" s="100">
        <v>42.04</v>
      </c>
      <c r="H65" s="100">
        <v>18.23</v>
      </c>
      <c r="I65" s="100">
        <v>8.9499999999999993</v>
      </c>
      <c r="J65" s="100">
        <v>0.85</v>
      </c>
      <c r="K65" s="100">
        <v>249.59</v>
      </c>
      <c r="L65" s="100">
        <v>37.31</v>
      </c>
      <c r="M65" s="100">
        <v>19.68</v>
      </c>
      <c r="N65" s="100">
        <v>335.1</v>
      </c>
      <c r="O65" s="100">
        <v>0</v>
      </c>
      <c r="P65" s="100">
        <v>0.63</v>
      </c>
      <c r="Q65" s="100">
        <v>28.02</v>
      </c>
      <c r="R65" s="6"/>
      <c r="S65" s="6"/>
      <c r="T65" s="156"/>
      <c r="U65" s="6"/>
    </row>
    <row r="66" spans="1:21" customFormat="1">
      <c r="A66" s="163" t="s">
        <v>2120</v>
      </c>
      <c r="B66" s="100">
        <v>4.1100000000000003</v>
      </c>
      <c r="C66" s="100">
        <v>17.579999999999998</v>
      </c>
      <c r="D66" s="100">
        <v>13.83</v>
      </c>
      <c r="E66" s="100">
        <v>7.21</v>
      </c>
      <c r="F66" s="152" t="s">
        <v>15</v>
      </c>
      <c r="G66" s="100">
        <v>42.04</v>
      </c>
      <c r="H66" s="100">
        <v>18.23</v>
      </c>
      <c r="I66" s="100">
        <v>8.68</v>
      </c>
      <c r="J66" s="100">
        <v>0.92</v>
      </c>
      <c r="K66" s="100">
        <v>276.81</v>
      </c>
      <c r="L66" s="100">
        <v>37.119999999999997</v>
      </c>
      <c r="M66" s="100">
        <v>20.170000000000002</v>
      </c>
      <c r="N66" s="100">
        <v>329.5</v>
      </c>
      <c r="O66" s="100">
        <v>0</v>
      </c>
      <c r="P66" s="100">
        <v>0.64</v>
      </c>
      <c r="Q66" s="100">
        <v>28.01</v>
      </c>
      <c r="R66" s="6"/>
      <c r="S66" s="6"/>
      <c r="T66" s="156"/>
      <c r="U66" s="6"/>
    </row>
    <row r="67" spans="1:21" customFormat="1">
      <c r="A67" s="163" t="s">
        <v>2121</v>
      </c>
      <c r="B67" s="100">
        <v>4.09</v>
      </c>
      <c r="C67" s="100">
        <v>17.29</v>
      </c>
      <c r="D67" s="100">
        <v>13.66</v>
      </c>
      <c r="E67" s="100">
        <v>6.99</v>
      </c>
      <c r="F67" s="152" t="s">
        <v>15</v>
      </c>
      <c r="G67" s="100">
        <v>42.04</v>
      </c>
      <c r="H67" s="100">
        <v>18.23</v>
      </c>
      <c r="I67" s="100">
        <v>8.61</v>
      </c>
      <c r="J67" s="100">
        <v>0.82</v>
      </c>
      <c r="K67" s="100">
        <v>259.86</v>
      </c>
      <c r="L67" s="100">
        <v>37.28</v>
      </c>
      <c r="M67" s="100">
        <v>19.96</v>
      </c>
      <c r="N67" s="100">
        <v>302.5</v>
      </c>
      <c r="O67" s="100">
        <v>0</v>
      </c>
      <c r="P67" s="100">
        <v>0.62</v>
      </c>
      <c r="Q67" s="100">
        <v>28.02</v>
      </c>
      <c r="R67" s="6"/>
      <c r="S67" s="6"/>
      <c r="T67" s="156"/>
      <c r="U67" s="6"/>
    </row>
    <row r="68" spans="1:21" customFormat="1">
      <c r="A68" s="163" t="s">
        <v>2122</v>
      </c>
      <c r="B68" s="100">
        <v>4.01</v>
      </c>
      <c r="C68" s="100">
        <v>16.23</v>
      </c>
      <c r="D68" s="100">
        <v>13.05</v>
      </c>
      <c r="E68" s="100">
        <v>7.05</v>
      </c>
      <c r="F68" s="152" t="s">
        <v>15</v>
      </c>
      <c r="G68" s="100">
        <v>38.950000000000003</v>
      </c>
      <c r="H68" s="100">
        <v>18.239999999999998</v>
      </c>
      <c r="I68" s="100">
        <v>8.36</v>
      </c>
      <c r="J68" s="100">
        <v>0.81</v>
      </c>
      <c r="K68" s="100">
        <v>261.02</v>
      </c>
      <c r="L68" s="100">
        <v>37.31</v>
      </c>
      <c r="M68" s="100">
        <v>19.350000000000001</v>
      </c>
      <c r="N68" s="100">
        <v>228.5</v>
      </c>
      <c r="O68" s="100">
        <v>0</v>
      </c>
      <c r="P68" s="100">
        <v>0.57999999999999996</v>
      </c>
      <c r="Q68" s="100">
        <v>28.03</v>
      </c>
      <c r="R68" s="6"/>
      <c r="S68" s="6"/>
      <c r="T68" s="156"/>
      <c r="U68" s="6"/>
    </row>
    <row r="69" spans="1:21" customFormat="1">
      <c r="A69" s="163" t="s">
        <v>2123</v>
      </c>
      <c r="B69" s="100">
        <v>4.05</v>
      </c>
      <c r="C69" s="100">
        <v>16.54</v>
      </c>
      <c r="D69" s="100">
        <v>13.24</v>
      </c>
      <c r="E69" s="100">
        <v>6.89</v>
      </c>
      <c r="F69" s="152" t="s">
        <v>15</v>
      </c>
      <c r="G69" s="100">
        <v>37.83</v>
      </c>
      <c r="H69" s="100">
        <v>18.239999999999998</v>
      </c>
      <c r="I69" s="100">
        <v>8.01</v>
      </c>
      <c r="J69" s="100">
        <v>0.77</v>
      </c>
      <c r="K69" s="100">
        <v>264.27</v>
      </c>
      <c r="L69" s="100">
        <v>37.020000000000003</v>
      </c>
      <c r="M69" s="100">
        <v>19.670000000000002</v>
      </c>
      <c r="N69" s="100">
        <v>232.7</v>
      </c>
      <c r="O69" s="100">
        <v>0</v>
      </c>
      <c r="P69" s="100">
        <v>0.57999999999999996</v>
      </c>
      <c r="Q69" s="100">
        <v>28.02</v>
      </c>
      <c r="R69" s="6"/>
      <c r="S69" s="6"/>
      <c r="T69" s="156"/>
      <c r="U69" s="6"/>
    </row>
    <row r="70" spans="1:21" customFormat="1">
      <c r="A70" s="163" t="s">
        <v>2124</v>
      </c>
      <c r="B70" s="100">
        <v>3.98</v>
      </c>
      <c r="C70" s="100">
        <v>15.86</v>
      </c>
      <c r="D70" s="100">
        <v>12.83</v>
      </c>
      <c r="E70" s="100">
        <v>7.03</v>
      </c>
      <c r="F70" s="152" t="s">
        <v>15</v>
      </c>
      <c r="G70" s="100">
        <v>37.83</v>
      </c>
      <c r="H70" s="100">
        <v>18.239999999999998</v>
      </c>
      <c r="I70" s="100">
        <v>7.74</v>
      </c>
      <c r="J70" s="100">
        <v>0.78</v>
      </c>
      <c r="K70" s="100">
        <v>252.43</v>
      </c>
      <c r="L70" s="100">
        <v>36.729999999999997</v>
      </c>
      <c r="M70" s="100">
        <v>21.13</v>
      </c>
      <c r="N70" s="100">
        <v>254</v>
      </c>
      <c r="O70" s="100">
        <v>0</v>
      </c>
      <c r="P70" s="100">
        <v>0.56000000000000005</v>
      </c>
      <c r="Q70" s="100">
        <v>28.03</v>
      </c>
      <c r="R70" s="6"/>
      <c r="S70" s="6"/>
      <c r="T70" s="156"/>
      <c r="U70" s="6"/>
    </row>
    <row r="71" spans="1:21" customFormat="1">
      <c r="A71" s="163" t="s">
        <v>2125</v>
      </c>
      <c r="B71" s="100">
        <v>3.92</v>
      </c>
      <c r="C71" s="100">
        <v>15.32</v>
      </c>
      <c r="D71" s="100">
        <v>12.5</v>
      </c>
      <c r="E71" s="100">
        <v>6.78</v>
      </c>
      <c r="F71" s="152" t="s">
        <v>15</v>
      </c>
      <c r="G71" s="100">
        <v>37.83</v>
      </c>
      <c r="H71" s="100">
        <v>18.239999999999998</v>
      </c>
      <c r="I71" s="100">
        <v>7.64</v>
      </c>
      <c r="J71" s="100">
        <v>0.66</v>
      </c>
      <c r="K71" s="100">
        <v>256.77999999999997</v>
      </c>
      <c r="L71" s="100">
        <v>36.619999999999997</v>
      </c>
      <c r="M71" s="100">
        <v>22.14</v>
      </c>
      <c r="N71" s="100">
        <v>256.3</v>
      </c>
      <c r="O71" s="100">
        <v>0</v>
      </c>
      <c r="P71" s="100">
        <v>0.53</v>
      </c>
      <c r="Q71" s="100">
        <v>28.01</v>
      </c>
      <c r="R71" s="6"/>
      <c r="S71" s="6"/>
      <c r="T71" s="156"/>
      <c r="U71" s="6"/>
    </row>
    <row r="72" spans="1:21" customFormat="1">
      <c r="A72" s="163" t="s">
        <v>2126</v>
      </c>
      <c r="B72" s="100">
        <v>4.04</v>
      </c>
      <c r="C72" s="100">
        <v>15.07</v>
      </c>
      <c r="D72" s="100">
        <v>12.47</v>
      </c>
      <c r="E72" s="100">
        <v>7.48</v>
      </c>
      <c r="F72" s="152" t="s">
        <v>15</v>
      </c>
      <c r="G72" s="100">
        <v>33.76</v>
      </c>
      <c r="H72" s="100">
        <v>16.440000000000001</v>
      </c>
      <c r="I72" s="100">
        <v>7.32</v>
      </c>
      <c r="J72" s="100">
        <v>0.81</v>
      </c>
      <c r="K72" s="100">
        <v>298.17</v>
      </c>
      <c r="L72" s="100">
        <v>36.619999999999997</v>
      </c>
      <c r="M72" s="100">
        <v>22.45</v>
      </c>
      <c r="N72" s="100">
        <v>212.9</v>
      </c>
      <c r="O72" s="100">
        <v>0</v>
      </c>
      <c r="P72" s="100">
        <v>0.54</v>
      </c>
      <c r="Q72" s="100">
        <v>28</v>
      </c>
      <c r="R72" s="6"/>
      <c r="S72" s="6"/>
      <c r="T72" s="156"/>
      <c r="U72" s="6"/>
    </row>
    <row r="73" spans="1:21" customFormat="1">
      <c r="A73" s="163" t="s">
        <v>2127</v>
      </c>
      <c r="B73" s="100">
        <v>4.0199999999999996</v>
      </c>
      <c r="C73" s="100">
        <v>15.13</v>
      </c>
      <c r="D73" s="100">
        <v>12.48</v>
      </c>
      <c r="E73" s="100">
        <v>7.72</v>
      </c>
      <c r="F73" s="152" t="s">
        <v>15</v>
      </c>
      <c r="G73" s="100">
        <v>32.28</v>
      </c>
      <c r="H73" s="100">
        <v>16.41</v>
      </c>
      <c r="I73" s="100">
        <v>7.1</v>
      </c>
      <c r="J73" s="100">
        <v>0.67</v>
      </c>
      <c r="K73" s="100">
        <v>261.29000000000002</v>
      </c>
      <c r="L73" s="100">
        <v>36.35</v>
      </c>
      <c r="M73" s="100">
        <v>23.75</v>
      </c>
      <c r="N73" s="100">
        <v>93</v>
      </c>
      <c r="O73" s="100">
        <v>0</v>
      </c>
      <c r="P73" s="100">
        <v>0.51</v>
      </c>
      <c r="Q73" s="100">
        <v>28</v>
      </c>
      <c r="R73" s="6"/>
      <c r="S73" s="6"/>
      <c r="T73" s="156"/>
      <c r="U73" s="6"/>
    </row>
    <row r="74" spans="1:21" customFormat="1">
      <c r="A74" s="163" t="s">
        <v>2128</v>
      </c>
      <c r="B74" s="100">
        <v>3.92</v>
      </c>
      <c r="C74" s="100">
        <v>14.76</v>
      </c>
      <c r="D74" s="100">
        <v>12.2</v>
      </c>
      <c r="E74" s="100">
        <v>7.81</v>
      </c>
      <c r="F74" s="152" t="s">
        <v>15</v>
      </c>
      <c r="G74" s="100">
        <v>32.28</v>
      </c>
      <c r="H74" s="100">
        <v>16.41</v>
      </c>
      <c r="I74" s="100">
        <v>6.9</v>
      </c>
      <c r="J74" s="100">
        <v>0.53</v>
      </c>
      <c r="K74" s="100">
        <v>275.51</v>
      </c>
      <c r="L74" s="100">
        <v>35.880000000000003</v>
      </c>
      <c r="M74" s="100">
        <v>24.33</v>
      </c>
      <c r="N74" s="100">
        <v>88.6</v>
      </c>
      <c r="O74" s="100">
        <v>0</v>
      </c>
      <c r="P74" s="100">
        <v>0.51</v>
      </c>
      <c r="Q74" s="100">
        <v>28.01</v>
      </c>
      <c r="R74" s="6"/>
      <c r="S74" s="6"/>
      <c r="T74" s="156"/>
      <c r="U74" s="6"/>
    </row>
    <row r="75" spans="1:21" customFormat="1">
      <c r="A75" s="163" t="s">
        <v>2129</v>
      </c>
      <c r="B75" s="100">
        <v>3.89</v>
      </c>
      <c r="C75" s="100">
        <v>15.4</v>
      </c>
      <c r="D75" s="100">
        <v>12.52</v>
      </c>
      <c r="E75" s="100">
        <v>7.93</v>
      </c>
      <c r="F75" s="152" t="s">
        <v>15</v>
      </c>
      <c r="G75" s="100">
        <v>32.28</v>
      </c>
      <c r="H75" s="100">
        <v>16.41</v>
      </c>
      <c r="I75" s="100">
        <v>6.78</v>
      </c>
      <c r="J75" s="100">
        <v>0.8</v>
      </c>
      <c r="K75" s="100">
        <v>258.52</v>
      </c>
      <c r="L75" s="100">
        <v>35.72</v>
      </c>
      <c r="M75" s="100">
        <v>24.55</v>
      </c>
      <c r="N75" s="100">
        <v>128.6</v>
      </c>
      <c r="O75" s="100">
        <v>0</v>
      </c>
      <c r="P75" s="100">
        <v>0.51</v>
      </c>
      <c r="Q75" s="100">
        <v>28</v>
      </c>
      <c r="R75" s="6"/>
      <c r="S75" s="6"/>
      <c r="T75" s="156"/>
      <c r="U75" s="6"/>
    </row>
    <row r="76" spans="1:21" customFormat="1">
      <c r="A76" s="163" t="s">
        <v>2130</v>
      </c>
      <c r="B76" s="100">
        <v>3.71</v>
      </c>
      <c r="C76" s="100">
        <v>14.92</v>
      </c>
      <c r="D76" s="100">
        <v>12.12</v>
      </c>
      <c r="E76" s="100">
        <v>9.75</v>
      </c>
      <c r="F76" s="152" t="s">
        <v>15</v>
      </c>
      <c r="G76" s="100">
        <v>30.59</v>
      </c>
      <c r="H76" s="100">
        <v>14.54</v>
      </c>
      <c r="I76" s="100">
        <v>6.7</v>
      </c>
      <c r="J76" s="100">
        <v>0.56000000000000005</v>
      </c>
      <c r="K76" s="100">
        <v>258.5</v>
      </c>
      <c r="L76" s="100">
        <v>35.69</v>
      </c>
      <c r="M76" s="100">
        <v>24.97</v>
      </c>
      <c r="N76" s="100">
        <v>67</v>
      </c>
      <c r="O76" s="100">
        <v>0</v>
      </c>
      <c r="P76" s="100">
        <v>0.47</v>
      </c>
      <c r="Q76" s="100">
        <v>28.01</v>
      </c>
      <c r="R76" s="6"/>
      <c r="S76" s="6"/>
      <c r="T76" s="156"/>
      <c r="U76" s="6"/>
    </row>
    <row r="77" spans="1:21" customFormat="1">
      <c r="A77" s="163" t="s">
        <v>2131</v>
      </c>
      <c r="B77" s="100">
        <v>3.77</v>
      </c>
      <c r="C77" s="100">
        <v>15.8</v>
      </c>
      <c r="D77" s="100">
        <v>12.63</v>
      </c>
      <c r="E77" s="100">
        <v>9.49</v>
      </c>
      <c r="F77" s="152" t="s">
        <v>15</v>
      </c>
      <c r="G77" s="100">
        <v>29.97</v>
      </c>
      <c r="H77" s="100">
        <v>14.5</v>
      </c>
      <c r="I77" s="100">
        <v>6.55</v>
      </c>
      <c r="J77" s="100">
        <v>0.72</v>
      </c>
      <c r="K77" s="100">
        <v>280.10000000000002</v>
      </c>
      <c r="L77" s="100">
        <v>35.299999999999997</v>
      </c>
      <c r="M77" s="100">
        <v>24.92</v>
      </c>
      <c r="N77" s="100">
        <v>43.2</v>
      </c>
      <c r="O77" s="100">
        <v>0</v>
      </c>
      <c r="P77" s="100">
        <v>0.48</v>
      </c>
      <c r="Q77" s="100">
        <v>28.01</v>
      </c>
      <c r="R77" s="6"/>
      <c r="S77" s="6"/>
      <c r="T77" s="156"/>
      <c r="U77" s="6"/>
    </row>
    <row r="78" spans="1:21" customFormat="1">
      <c r="A78" s="163" t="s">
        <v>2132</v>
      </c>
      <c r="B78" s="100">
        <v>4</v>
      </c>
      <c r="C78" s="100">
        <v>17.48</v>
      </c>
      <c r="D78" s="100">
        <v>13.69</v>
      </c>
      <c r="E78" s="100">
        <v>10.27</v>
      </c>
      <c r="F78" s="152" t="s">
        <v>15</v>
      </c>
      <c r="G78" s="100">
        <v>29.97</v>
      </c>
      <c r="H78" s="100">
        <v>14.5</v>
      </c>
      <c r="I78" s="100">
        <v>6.23</v>
      </c>
      <c r="J78" s="100">
        <v>0.91</v>
      </c>
      <c r="K78" s="100">
        <v>306.23</v>
      </c>
      <c r="L78" s="100">
        <v>34.86</v>
      </c>
      <c r="M78" s="100">
        <v>25.07</v>
      </c>
      <c r="N78" s="100">
        <v>32.5</v>
      </c>
      <c r="O78" s="100">
        <v>0</v>
      </c>
      <c r="P78" s="100">
        <v>0.5</v>
      </c>
      <c r="Q78" s="100">
        <v>28.02</v>
      </c>
      <c r="R78" s="6"/>
      <c r="S78" s="6"/>
      <c r="T78" s="156"/>
      <c r="U78" s="6"/>
    </row>
    <row r="79" spans="1:21" customFormat="1">
      <c r="A79" s="163" t="s">
        <v>2133</v>
      </c>
      <c r="B79" s="100">
        <v>4.1100000000000003</v>
      </c>
      <c r="C79" s="100">
        <v>19.66</v>
      </c>
      <c r="D79" s="100">
        <v>14.92</v>
      </c>
      <c r="E79" s="100">
        <v>13.32</v>
      </c>
      <c r="F79" s="152" t="s">
        <v>15</v>
      </c>
      <c r="G79" s="100">
        <v>29.97</v>
      </c>
      <c r="H79" s="100">
        <v>14.5</v>
      </c>
      <c r="I79" s="100">
        <v>6.37</v>
      </c>
      <c r="J79" s="100">
        <v>0.44</v>
      </c>
      <c r="K79" s="100">
        <v>291.62</v>
      </c>
      <c r="L79" s="100">
        <v>34.619999999999997</v>
      </c>
      <c r="M79" s="100">
        <v>25.63</v>
      </c>
      <c r="N79" s="100">
        <v>22.1</v>
      </c>
      <c r="O79" s="100">
        <v>0</v>
      </c>
      <c r="P79" s="100">
        <v>0.55000000000000004</v>
      </c>
      <c r="Q79" s="100">
        <v>28</v>
      </c>
      <c r="R79" s="6"/>
      <c r="S79" s="6"/>
      <c r="T79" s="156"/>
      <c r="U79" s="6"/>
    </row>
    <row r="80" spans="1:21" customFormat="1">
      <c r="A80" s="163" t="s">
        <v>2134</v>
      </c>
      <c r="B80" s="100">
        <v>6.34</v>
      </c>
      <c r="C80" s="100">
        <v>24.52</v>
      </c>
      <c r="D80" s="100">
        <v>19.25</v>
      </c>
      <c r="E80" s="100">
        <v>14.32</v>
      </c>
      <c r="F80" s="152" t="s">
        <v>15</v>
      </c>
      <c r="G80" s="100">
        <v>30.38</v>
      </c>
      <c r="H80" s="100">
        <v>10.84</v>
      </c>
      <c r="I80" s="100">
        <v>6.54</v>
      </c>
      <c r="J80" s="100">
        <v>0.45</v>
      </c>
      <c r="K80" s="100">
        <v>312.02</v>
      </c>
      <c r="L80" s="100">
        <v>34.29</v>
      </c>
      <c r="M80" s="100">
        <v>25.89</v>
      </c>
      <c r="N80" s="100">
        <v>13.4</v>
      </c>
      <c r="O80" s="100">
        <v>0</v>
      </c>
      <c r="P80" s="100">
        <v>0.62</v>
      </c>
      <c r="Q80" s="100">
        <v>28.03</v>
      </c>
      <c r="R80" s="6"/>
      <c r="S80" s="6"/>
      <c r="T80" s="156"/>
      <c r="U80" s="6"/>
    </row>
    <row r="81" spans="1:21" customFormat="1">
      <c r="A81" s="163" t="s">
        <v>2135</v>
      </c>
      <c r="B81" s="100">
        <v>6.2</v>
      </c>
      <c r="C81" s="100">
        <v>27</v>
      </c>
      <c r="D81" s="100">
        <v>20.43</v>
      </c>
      <c r="E81" s="100">
        <v>14.3</v>
      </c>
      <c r="F81" s="152" t="s">
        <v>15</v>
      </c>
      <c r="G81" s="100">
        <v>30.53</v>
      </c>
      <c r="H81" s="100">
        <v>10.79</v>
      </c>
      <c r="I81" s="100">
        <v>6.83</v>
      </c>
      <c r="J81" s="100">
        <v>0.23</v>
      </c>
      <c r="K81" s="100">
        <v>262.79000000000002</v>
      </c>
      <c r="L81" s="100">
        <v>33.9</v>
      </c>
      <c r="M81" s="100">
        <v>27.05</v>
      </c>
      <c r="N81" s="100">
        <v>7.7</v>
      </c>
      <c r="O81" s="100">
        <v>0</v>
      </c>
      <c r="P81" s="100">
        <v>0.65</v>
      </c>
      <c r="Q81" s="100">
        <v>28.04</v>
      </c>
      <c r="R81" s="6"/>
      <c r="S81" s="6"/>
      <c r="T81" s="156"/>
      <c r="U81" s="6"/>
    </row>
    <row r="82" spans="1:21" customFormat="1">
      <c r="A82" s="163" t="s">
        <v>2136</v>
      </c>
      <c r="B82" s="100">
        <v>4.6399999999999997</v>
      </c>
      <c r="C82" s="100">
        <v>26.29</v>
      </c>
      <c r="D82" s="100">
        <v>18.809999999999999</v>
      </c>
      <c r="E82" s="100">
        <v>19.010000000000002</v>
      </c>
      <c r="F82" s="152" t="s">
        <v>15</v>
      </c>
      <c r="G82" s="100">
        <v>30.53</v>
      </c>
      <c r="H82" s="100">
        <v>10.79</v>
      </c>
      <c r="I82" s="100">
        <v>7.27</v>
      </c>
      <c r="J82" s="100">
        <v>0.25</v>
      </c>
      <c r="K82" s="100">
        <v>208.86</v>
      </c>
      <c r="L82" s="100">
        <v>33.29</v>
      </c>
      <c r="M82" s="100">
        <v>28.31</v>
      </c>
      <c r="N82" s="100">
        <v>6.2</v>
      </c>
      <c r="O82" s="100">
        <v>0</v>
      </c>
      <c r="P82" s="100">
        <v>0.66</v>
      </c>
      <c r="Q82" s="100">
        <v>28.05</v>
      </c>
      <c r="R82" s="6"/>
      <c r="S82" s="6"/>
      <c r="T82" s="156"/>
      <c r="U82" s="6"/>
    </row>
    <row r="83" spans="1:21" customFormat="1">
      <c r="A83" s="163" t="s">
        <v>2137</v>
      </c>
      <c r="B83" s="100">
        <v>4.34</v>
      </c>
      <c r="C83" s="100">
        <v>27.2</v>
      </c>
      <c r="D83" s="100">
        <v>19.04</v>
      </c>
      <c r="E83" s="100">
        <v>18.309999999999999</v>
      </c>
      <c r="F83" s="152" t="s">
        <v>15</v>
      </c>
      <c r="G83" s="100">
        <v>30.53</v>
      </c>
      <c r="H83" s="100">
        <v>10.79</v>
      </c>
      <c r="I83" s="100">
        <v>7.95</v>
      </c>
      <c r="J83" s="100">
        <v>0.24</v>
      </c>
      <c r="K83" s="100">
        <v>186.86</v>
      </c>
      <c r="L83" s="100">
        <v>32.64</v>
      </c>
      <c r="M83" s="100">
        <v>30.23</v>
      </c>
      <c r="N83" s="100">
        <v>6.1</v>
      </c>
      <c r="O83" s="100">
        <v>0</v>
      </c>
      <c r="P83" s="100">
        <v>0.72</v>
      </c>
      <c r="Q83" s="100">
        <v>28.03</v>
      </c>
      <c r="R83" s="6"/>
      <c r="S83" s="6"/>
      <c r="T83" s="156"/>
      <c r="U83" s="6"/>
    </row>
    <row r="84" spans="1:21" customFormat="1">
      <c r="A84" s="163" t="s">
        <v>2138</v>
      </c>
      <c r="B84" s="100">
        <v>4.2300000000000004</v>
      </c>
      <c r="C84" s="100">
        <v>27.27</v>
      </c>
      <c r="D84" s="100">
        <v>19</v>
      </c>
      <c r="E84" s="100">
        <v>16.96</v>
      </c>
      <c r="F84" s="152" t="s">
        <v>15</v>
      </c>
      <c r="G84" s="100">
        <v>37.75</v>
      </c>
      <c r="H84" s="100">
        <v>17.97</v>
      </c>
      <c r="I84" s="100">
        <v>8.5399999999999991</v>
      </c>
      <c r="J84" s="100">
        <v>0.3</v>
      </c>
      <c r="K84" s="100">
        <v>177.9</v>
      </c>
      <c r="L84" s="100">
        <v>31.73</v>
      </c>
      <c r="M84" s="100">
        <v>33.83</v>
      </c>
      <c r="N84" s="100">
        <v>6.5</v>
      </c>
      <c r="O84" s="100">
        <v>0</v>
      </c>
      <c r="P84" s="100">
        <v>0.72</v>
      </c>
      <c r="Q84" s="100">
        <v>28.05</v>
      </c>
      <c r="R84" s="6"/>
      <c r="S84" s="6"/>
      <c r="T84" s="156"/>
      <c r="U84" s="6"/>
    </row>
    <row r="85" spans="1:21" customFormat="1">
      <c r="A85" s="163" t="s">
        <v>2139</v>
      </c>
      <c r="B85" s="100">
        <v>4.2300000000000004</v>
      </c>
      <c r="C85" s="100">
        <v>24.75</v>
      </c>
      <c r="D85" s="100">
        <v>17.68</v>
      </c>
      <c r="E85" s="100">
        <v>13.58</v>
      </c>
      <c r="F85" s="152" t="s">
        <v>15</v>
      </c>
      <c r="G85" s="100">
        <v>40.369999999999997</v>
      </c>
      <c r="H85" s="100">
        <v>18.079999999999998</v>
      </c>
      <c r="I85" s="100">
        <v>8.98</v>
      </c>
      <c r="J85" s="100">
        <v>0.23</v>
      </c>
      <c r="K85" s="100">
        <v>189.5</v>
      </c>
      <c r="L85" s="100">
        <v>30.63</v>
      </c>
      <c r="M85" s="100">
        <v>36.75</v>
      </c>
      <c r="N85" s="100">
        <v>6.5</v>
      </c>
      <c r="O85" s="100">
        <v>0</v>
      </c>
      <c r="P85" s="100">
        <v>0.74</v>
      </c>
      <c r="Q85" s="100">
        <v>28.06</v>
      </c>
      <c r="R85" s="6"/>
      <c r="S85" s="6"/>
      <c r="T85" s="156"/>
      <c r="U85" s="6"/>
    </row>
    <row r="86" spans="1:21" customFormat="1">
      <c r="A86" s="163" t="s">
        <v>2140</v>
      </c>
      <c r="B86" s="100">
        <v>4.3099999999999996</v>
      </c>
      <c r="C86" s="100">
        <v>23.53</v>
      </c>
      <c r="D86" s="100">
        <v>17.100000000000001</v>
      </c>
      <c r="E86" s="100">
        <v>12.08</v>
      </c>
      <c r="F86" s="152" t="s">
        <v>15</v>
      </c>
      <c r="G86" s="100">
        <v>40.369999999999997</v>
      </c>
      <c r="H86" s="100">
        <v>18.079999999999998</v>
      </c>
      <c r="I86" s="100">
        <v>9.1300000000000008</v>
      </c>
      <c r="J86" s="100">
        <v>0.22</v>
      </c>
      <c r="K86" s="100">
        <v>200.6</v>
      </c>
      <c r="L86" s="100">
        <v>30.05</v>
      </c>
      <c r="M86" s="100">
        <v>39.75</v>
      </c>
      <c r="N86" s="100">
        <v>6</v>
      </c>
      <c r="O86" s="100">
        <v>0</v>
      </c>
      <c r="P86" s="100">
        <v>0.76</v>
      </c>
      <c r="Q86" s="100">
        <v>28.06</v>
      </c>
      <c r="R86" s="6"/>
      <c r="S86" s="6"/>
      <c r="T86" s="156"/>
      <c r="U86" s="6"/>
    </row>
    <row r="87" spans="1:21" customFormat="1">
      <c r="A87" s="163" t="s">
        <v>2141</v>
      </c>
      <c r="B87" s="100">
        <v>4.42</v>
      </c>
      <c r="C87" s="100">
        <v>23.36</v>
      </c>
      <c r="D87" s="100">
        <v>17.100000000000001</v>
      </c>
      <c r="E87" s="100">
        <v>10.96</v>
      </c>
      <c r="F87" s="152" t="s">
        <v>15</v>
      </c>
      <c r="G87" s="100">
        <v>40.369999999999997</v>
      </c>
      <c r="H87" s="100">
        <v>18.079999999999998</v>
      </c>
      <c r="I87" s="100">
        <v>9.1999999999999993</v>
      </c>
      <c r="J87" s="100">
        <v>0.26</v>
      </c>
      <c r="K87" s="100">
        <v>217.15</v>
      </c>
      <c r="L87" s="100">
        <v>29.65</v>
      </c>
      <c r="M87" s="100">
        <v>40.61</v>
      </c>
      <c r="N87" s="100">
        <v>6.2</v>
      </c>
      <c r="O87" s="100">
        <v>0</v>
      </c>
      <c r="P87" s="100">
        <v>0.78</v>
      </c>
      <c r="Q87" s="100">
        <v>28.04</v>
      </c>
      <c r="R87" s="6"/>
      <c r="S87" s="6"/>
      <c r="T87" s="156"/>
      <c r="U87" s="6"/>
    </row>
    <row r="88" spans="1:21" customFormat="1">
      <c r="A88" s="163" t="s">
        <v>2142</v>
      </c>
      <c r="B88" s="100">
        <v>4.5</v>
      </c>
      <c r="C88" s="100">
        <v>22.91</v>
      </c>
      <c r="D88" s="100">
        <v>16.93</v>
      </c>
      <c r="E88" s="100">
        <v>10.99</v>
      </c>
      <c r="F88" s="152" t="s">
        <v>15</v>
      </c>
      <c r="G88" s="100">
        <v>58.62</v>
      </c>
      <c r="H88" s="100">
        <v>22.87</v>
      </c>
      <c r="I88" s="100">
        <v>9.58</v>
      </c>
      <c r="J88" s="100">
        <v>0.19</v>
      </c>
      <c r="K88" s="100">
        <v>211.46</v>
      </c>
      <c r="L88" s="100">
        <v>29.31</v>
      </c>
      <c r="M88" s="100">
        <v>41</v>
      </c>
      <c r="N88" s="100">
        <v>6.1</v>
      </c>
      <c r="O88" s="100">
        <v>0</v>
      </c>
      <c r="P88" s="100">
        <v>0.78</v>
      </c>
      <c r="Q88" s="100">
        <v>28.04</v>
      </c>
      <c r="R88" s="6"/>
      <c r="S88" s="6"/>
      <c r="T88" s="156"/>
      <c r="U88" s="6"/>
    </row>
    <row r="89" spans="1:21" customFormat="1">
      <c r="A89" s="163" t="s">
        <v>2143</v>
      </c>
      <c r="B89" s="100">
        <v>4.53</v>
      </c>
      <c r="C89" s="100">
        <v>22.16</v>
      </c>
      <c r="D89" s="100">
        <v>16.559999999999999</v>
      </c>
      <c r="E89" s="100">
        <v>10.71</v>
      </c>
      <c r="F89" s="152" t="s">
        <v>15</v>
      </c>
      <c r="G89" s="100">
        <v>65.260000000000005</v>
      </c>
      <c r="H89" s="100">
        <v>22.94</v>
      </c>
      <c r="I89" s="100">
        <v>9.68</v>
      </c>
      <c r="J89" s="100">
        <v>0.18</v>
      </c>
      <c r="K89" s="100">
        <v>201.07</v>
      </c>
      <c r="L89" s="100">
        <v>29.04</v>
      </c>
      <c r="M89" s="100">
        <v>41.69</v>
      </c>
      <c r="N89" s="100">
        <v>5.9</v>
      </c>
      <c r="O89" s="100">
        <v>0</v>
      </c>
      <c r="P89" s="100">
        <v>0.77</v>
      </c>
      <c r="Q89" s="100">
        <v>28.05</v>
      </c>
      <c r="R89" s="6"/>
      <c r="S89" s="6"/>
      <c r="T89" s="156"/>
      <c r="U89" s="6"/>
    </row>
    <row r="90" spans="1:21" customFormat="1">
      <c r="A90" s="163" t="s">
        <v>2144</v>
      </c>
      <c r="B90" s="100">
        <v>4.53</v>
      </c>
      <c r="C90" s="100">
        <v>21.88</v>
      </c>
      <c r="D90" s="100">
        <v>16.420000000000002</v>
      </c>
      <c r="E90" s="100">
        <v>10.87</v>
      </c>
      <c r="F90" s="152" t="s">
        <v>15</v>
      </c>
      <c r="G90" s="100">
        <v>65.260000000000005</v>
      </c>
      <c r="H90" s="100">
        <v>22.94</v>
      </c>
      <c r="I90" s="100">
        <v>9.6999999999999993</v>
      </c>
      <c r="J90" s="100">
        <v>0.19</v>
      </c>
      <c r="K90" s="100">
        <v>174.88</v>
      </c>
      <c r="L90" s="100">
        <v>28.85</v>
      </c>
      <c r="M90" s="100">
        <v>42.51</v>
      </c>
      <c r="N90" s="100">
        <v>5.7</v>
      </c>
      <c r="O90" s="100">
        <v>0</v>
      </c>
      <c r="P90" s="100">
        <v>0.8</v>
      </c>
      <c r="Q90" s="100">
        <v>28.05</v>
      </c>
      <c r="R90" s="6"/>
      <c r="S90" s="6"/>
      <c r="T90" s="156"/>
      <c r="U90" s="6"/>
    </row>
    <row r="91" spans="1:21" customFormat="1">
      <c r="A91" s="163" t="s">
        <v>2145</v>
      </c>
      <c r="B91" s="100">
        <v>4.55</v>
      </c>
      <c r="C91" s="100">
        <v>21.61</v>
      </c>
      <c r="D91" s="100">
        <v>16.29</v>
      </c>
      <c r="E91" s="100">
        <v>10.35</v>
      </c>
      <c r="F91" s="152" t="s">
        <v>15</v>
      </c>
      <c r="G91" s="100">
        <v>65.260000000000005</v>
      </c>
      <c r="H91" s="100">
        <v>22.94</v>
      </c>
      <c r="I91" s="100">
        <v>9.68</v>
      </c>
      <c r="J91" s="100">
        <v>0.21</v>
      </c>
      <c r="K91" s="100">
        <v>172.71</v>
      </c>
      <c r="L91" s="100">
        <v>28.6</v>
      </c>
      <c r="M91" s="100">
        <v>44.52</v>
      </c>
      <c r="N91" s="100">
        <v>5.7</v>
      </c>
      <c r="O91" s="100">
        <v>0</v>
      </c>
      <c r="P91" s="100">
        <v>0.81</v>
      </c>
      <c r="Q91" s="100">
        <v>28.07</v>
      </c>
      <c r="R91" s="6"/>
      <c r="S91" s="6"/>
      <c r="T91" s="156"/>
      <c r="U91" s="6"/>
    </row>
    <row r="92" spans="1:21" customFormat="1">
      <c r="A92" s="163" t="s">
        <v>2146</v>
      </c>
      <c r="B92" s="100">
        <v>4.62</v>
      </c>
      <c r="C92" s="100">
        <v>21.24</v>
      </c>
      <c r="D92" s="100">
        <v>16.149999999999999</v>
      </c>
      <c r="E92" s="100">
        <v>10.1</v>
      </c>
      <c r="F92" s="152" t="s">
        <v>15</v>
      </c>
      <c r="G92" s="100">
        <v>63.83</v>
      </c>
      <c r="H92" s="100">
        <v>21.85</v>
      </c>
      <c r="I92" s="100">
        <v>9.89</v>
      </c>
      <c r="J92" s="100">
        <v>0.23</v>
      </c>
      <c r="K92" s="100">
        <v>177.45</v>
      </c>
      <c r="L92" s="100">
        <v>28.33</v>
      </c>
      <c r="M92" s="100">
        <v>46.52</v>
      </c>
      <c r="N92" s="100">
        <v>5.8</v>
      </c>
      <c r="O92" s="100">
        <v>0</v>
      </c>
      <c r="P92" s="100">
        <v>0.83</v>
      </c>
      <c r="Q92" s="100">
        <v>28.07</v>
      </c>
      <c r="R92" s="6"/>
      <c r="S92" s="6"/>
      <c r="T92" s="156"/>
      <c r="U92" s="6"/>
    </row>
    <row r="93" spans="1:21" customFormat="1">
      <c r="A93" s="163" t="s">
        <v>2147</v>
      </c>
      <c r="B93" s="100">
        <v>4.75</v>
      </c>
      <c r="C93" s="100">
        <v>21.06</v>
      </c>
      <c r="D93" s="100">
        <v>16.170000000000002</v>
      </c>
      <c r="E93" s="100">
        <v>9.84</v>
      </c>
      <c r="F93" s="152" t="s">
        <v>15</v>
      </c>
      <c r="G93" s="100">
        <v>63.31</v>
      </c>
      <c r="H93" s="100">
        <v>21.83</v>
      </c>
      <c r="I93" s="100">
        <v>10.08</v>
      </c>
      <c r="J93" s="100">
        <v>0.14000000000000001</v>
      </c>
      <c r="K93" s="100">
        <v>198.33</v>
      </c>
      <c r="L93" s="100">
        <v>27.93</v>
      </c>
      <c r="M93" s="100">
        <v>46.77</v>
      </c>
      <c r="N93" s="100">
        <v>5.8</v>
      </c>
      <c r="O93" s="100">
        <v>0</v>
      </c>
      <c r="P93" s="100">
        <v>0.84</v>
      </c>
      <c r="Q93" s="100">
        <v>28.04</v>
      </c>
      <c r="R93" s="6"/>
      <c r="S93" s="6"/>
      <c r="T93" s="156"/>
      <c r="U93" s="6"/>
    </row>
    <row r="94" spans="1:21" customFormat="1">
      <c r="A94" s="163" t="s">
        <v>2148</v>
      </c>
      <c r="B94" s="100">
        <v>4.83</v>
      </c>
      <c r="C94" s="100">
        <v>20.95</v>
      </c>
      <c r="D94" s="100">
        <v>16.170000000000002</v>
      </c>
      <c r="E94" s="100">
        <v>9.77</v>
      </c>
      <c r="F94" s="152" t="s">
        <v>15</v>
      </c>
      <c r="G94" s="100">
        <v>63.31</v>
      </c>
      <c r="H94" s="100">
        <v>21.83</v>
      </c>
      <c r="I94" s="100">
        <v>10.23</v>
      </c>
      <c r="J94" s="100">
        <v>0.21</v>
      </c>
      <c r="K94" s="100">
        <v>167.56</v>
      </c>
      <c r="L94" s="100">
        <v>27.89</v>
      </c>
      <c r="M94" s="100">
        <v>46.23</v>
      </c>
      <c r="N94" s="100">
        <v>5.6</v>
      </c>
      <c r="O94" s="100">
        <v>0</v>
      </c>
      <c r="P94" s="100">
        <v>0.86</v>
      </c>
      <c r="Q94" s="100">
        <v>28.06</v>
      </c>
      <c r="R94" s="6"/>
      <c r="S94" s="6"/>
      <c r="T94" s="156"/>
      <c r="U94" s="6"/>
    </row>
    <row r="95" spans="1:21" customFormat="1">
      <c r="A95" s="163" t="s">
        <v>2149</v>
      </c>
      <c r="B95" s="100">
        <v>4.9400000000000004</v>
      </c>
      <c r="C95" s="100">
        <v>20.54</v>
      </c>
      <c r="D95" s="100">
        <v>16.04</v>
      </c>
      <c r="E95" s="100">
        <v>9.43</v>
      </c>
      <c r="F95" s="152" t="s">
        <v>15</v>
      </c>
      <c r="G95" s="100">
        <v>63.31</v>
      </c>
      <c r="H95" s="100">
        <v>21.83</v>
      </c>
      <c r="I95" s="100">
        <v>10.36</v>
      </c>
      <c r="J95" s="100">
        <v>0.16</v>
      </c>
      <c r="K95" s="100">
        <v>208.85</v>
      </c>
      <c r="L95" s="100">
        <v>27.63</v>
      </c>
      <c r="M95" s="100">
        <v>47.89</v>
      </c>
      <c r="N95" s="100">
        <v>5.8</v>
      </c>
      <c r="O95" s="100">
        <v>0</v>
      </c>
      <c r="P95" s="100">
        <v>0.86</v>
      </c>
      <c r="Q95" s="100">
        <v>28.07</v>
      </c>
      <c r="R95" s="6"/>
      <c r="S95" s="6"/>
      <c r="T95" s="156"/>
      <c r="U95" s="6"/>
    </row>
    <row r="96" spans="1:21" customFormat="1">
      <c r="A96" s="163" t="s">
        <v>2150</v>
      </c>
      <c r="B96" s="100">
        <v>5.17</v>
      </c>
      <c r="C96" s="100">
        <v>19.68</v>
      </c>
      <c r="D96" s="100">
        <v>15.78</v>
      </c>
      <c r="E96" s="100">
        <v>9.42</v>
      </c>
      <c r="F96" s="152" t="s">
        <v>15</v>
      </c>
      <c r="G96" s="100">
        <v>64.930000000000007</v>
      </c>
      <c r="H96" s="100">
        <v>22.36</v>
      </c>
      <c r="I96" s="100">
        <v>10.5</v>
      </c>
      <c r="J96" s="100">
        <v>0.15</v>
      </c>
      <c r="K96" s="100">
        <v>206.25</v>
      </c>
      <c r="L96" s="100">
        <v>27.34</v>
      </c>
      <c r="M96" s="100">
        <v>48.37</v>
      </c>
      <c r="N96" s="100">
        <v>5.7</v>
      </c>
      <c r="O96" s="100">
        <v>0</v>
      </c>
      <c r="P96" s="100">
        <v>0.87</v>
      </c>
      <c r="Q96" s="100">
        <v>28.08</v>
      </c>
      <c r="R96" s="6"/>
      <c r="S96" s="6"/>
      <c r="T96" s="156"/>
      <c r="U96" s="6"/>
    </row>
    <row r="97" spans="1:28" customFormat="1">
      <c r="A97" s="163" t="s">
        <v>2151</v>
      </c>
      <c r="B97" s="100">
        <v>5.49</v>
      </c>
      <c r="C97" s="100">
        <v>19.52</v>
      </c>
      <c r="D97" s="100">
        <v>15.95</v>
      </c>
      <c r="E97" s="100">
        <v>9.23</v>
      </c>
      <c r="F97" s="152" t="s">
        <v>15</v>
      </c>
      <c r="G97" s="100">
        <v>65.52</v>
      </c>
      <c r="H97" s="100">
        <v>22.37</v>
      </c>
      <c r="I97" s="100">
        <v>10.56</v>
      </c>
      <c r="J97" s="100">
        <v>0.16</v>
      </c>
      <c r="K97" s="100">
        <v>205.85</v>
      </c>
      <c r="L97" s="100">
        <v>27.25</v>
      </c>
      <c r="M97" s="100">
        <v>49.37</v>
      </c>
      <c r="N97" s="100">
        <v>5.8</v>
      </c>
      <c r="O97" s="100">
        <v>0</v>
      </c>
      <c r="P97" s="100">
        <v>0.86</v>
      </c>
      <c r="Q97" s="100">
        <v>28.07</v>
      </c>
      <c r="R97" s="6"/>
      <c r="S97" s="6"/>
      <c r="T97" s="156"/>
      <c r="U97" s="6"/>
    </row>
    <row r="98" spans="1:28" customFormat="1">
      <c r="A98" s="163" t="s">
        <v>2152</v>
      </c>
      <c r="B98" s="100">
        <v>5.81</v>
      </c>
      <c r="C98" s="100">
        <v>19.350000000000001</v>
      </c>
      <c r="D98" s="100">
        <v>16.12</v>
      </c>
      <c r="E98" s="100">
        <v>9.3699999999999992</v>
      </c>
      <c r="F98" s="152" t="s">
        <v>15</v>
      </c>
      <c r="G98" s="100">
        <v>65.52</v>
      </c>
      <c r="H98" s="100">
        <v>22.37</v>
      </c>
      <c r="I98" s="100">
        <v>10.68</v>
      </c>
      <c r="J98" s="100">
        <v>0.12</v>
      </c>
      <c r="K98" s="100">
        <v>181.59</v>
      </c>
      <c r="L98" s="100">
        <v>27.06</v>
      </c>
      <c r="M98" s="100">
        <v>49.24</v>
      </c>
      <c r="N98" s="100">
        <v>5.8</v>
      </c>
      <c r="O98" s="100">
        <v>0</v>
      </c>
      <c r="P98" s="100">
        <v>0.87</v>
      </c>
      <c r="Q98" s="100">
        <v>28.1</v>
      </c>
      <c r="R98" s="6"/>
      <c r="S98" s="6"/>
      <c r="T98" s="156"/>
      <c r="U98" s="6"/>
    </row>
    <row r="99" spans="1:28" customFormat="1">
      <c r="A99" s="163" t="s">
        <v>2153</v>
      </c>
      <c r="B99" s="100">
        <v>6.08</v>
      </c>
      <c r="C99" s="100">
        <v>18.82</v>
      </c>
      <c r="D99" s="100">
        <v>16.059999999999999</v>
      </c>
      <c r="E99" s="100">
        <v>9.0299999999999994</v>
      </c>
      <c r="F99" s="152" t="s">
        <v>15</v>
      </c>
      <c r="G99" s="100">
        <v>65.52</v>
      </c>
      <c r="H99" s="100">
        <v>22.37</v>
      </c>
      <c r="I99" s="100">
        <v>10.78</v>
      </c>
      <c r="J99" s="100">
        <v>0.14000000000000001</v>
      </c>
      <c r="K99" s="100">
        <v>154.15</v>
      </c>
      <c r="L99" s="100">
        <v>27.05</v>
      </c>
      <c r="M99" s="100">
        <v>49.01</v>
      </c>
      <c r="N99" s="100">
        <v>5.6</v>
      </c>
      <c r="O99" s="100">
        <v>0</v>
      </c>
      <c r="P99" s="100">
        <v>0.87</v>
      </c>
      <c r="Q99" s="100">
        <v>28.11</v>
      </c>
      <c r="R99" s="6"/>
      <c r="S99" s="6"/>
      <c r="T99" s="156"/>
      <c r="U99" s="6"/>
    </row>
    <row r="100" spans="1:28" customFormat="1">
      <c r="A100" s="163" t="s">
        <v>2154</v>
      </c>
      <c r="B100" s="100">
        <v>6.23</v>
      </c>
      <c r="C100" s="100">
        <v>18.62</v>
      </c>
      <c r="D100" s="100">
        <v>16.07</v>
      </c>
      <c r="E100" s="100">
        <v>9.2200000000000006</v>
      </c>
      <c r="F100" s="152" t="s">
        <v>15</v>
      </c>
      <c r="G100" s="100">
        <v>67.790000000000006</v>
      </c>
      <c r="H100" s="100">
        <v>24.34</v>
      </c>
      <c r="I100" s="100">
        <v>10.89</v>
      </c>
      <c r="J100" s="100">
        <v>0.19</v>
      </c>
      <c r="K100" s="100">
        <v>160.63999999999999</v>
      </c>
      <c r="L100" s="100">
        <v>27.02</v>
      </c>
      <c r="M100" s="100">
        <v>46.98</v>
      </c>
      <c r="N100" s="100">
        <v>5.8</v>
      </c>
      <c r="O100" s="100">
        <v>0</v>
      </c>
      <c r="P100" s="100">
        <v>0.88</v>
      </c>
      <c r="Q100" s="100">
        <v>28.1</v>
      </c>
      <c r="R100" s="6"/>
      <c r="S100" s="6"/>
      <c r="T100" s="156"/>
      <c r="U100" s="6"/>
      <c r="AB100" s="161"/>
    </row>
    <row r="101" spans="1:28" customFormat="1">
      <c r="A101" s="163" t="s">
        <v>2155</v>
      </c>
      <c r="B101" s="100">
        <v>6.48</v>
      </c>
      <c r="C101" s="100">
        <v>18.690000000000001</v>
      </c>
      <c r="D101" s="100">
        <v>16.309999999999999</v>
      </c>
      <c r="E101" s="100">
        <v>8.68</v>
      </c>
      <c r="F101" s="152" t="s">
        <v>15</v>
      </c>
      <c r="G101" s="100">
        <v>68.61</v>
      </c>
      <c r="H101" s="100">
        <v>24.39</v>
      </c>
      <c r="I101" s="100">
        <v>11</v>
      </c>
      <c r="J101" s="100">
        <v>0.21</v>
      </c>
      <c r="K101" s="100">
        <v>165</v>
      </c>
      <c r="L101" s="100">
        <v>26.78</v>
      </c>
      <c r="M101" s="100">
        <v>48.97</v>
      </c>
      <c r="N101" s="100">
        <v>6</v>
      </c>
      <c r="O101" s="100">
        <v>0</v>
      </c>
      <c r="P101" s="100">
        <v>0.87</v>
      </c>
      <c r="Q101" s="100">
        <v>28.12</v>
      </c>
      <c r="R101" s="6"/>
      <c r="S101" s="6"/>
      <c r="T101" s="156"/>
      <c r="U101" s="6"/>
    </row>
    <row r="102" spans="1:28" customFormat="1">
      <c r="A102" s="163" t="s">
        <v>2156</v>
      </c>
      <c r="B102" s="100">
        <v>6.69</v>
      </c>
      <c r="C102" s="100">
        <v>18.39</v>
      </c>
      <c r="D102" s="100">
        <v>16.329999999999998</v>
      </c>
      <c r="E102" s="100">
        <v>9.11</v>
      </c>
      <c r="F102" s="152" t="s">
        <v>15</v>
      </c>
      <c r="G102" s="100">
        <v>68.61</v>
      </c>
      <c r="H102" s="100">
        <v>24.39</v>
      </c>
      <c r="I102" s="100">
        <v>11.02</v>
      </c>
      <c r="J102" s="100">
        <v>0.18</v>
      </c>
      <c r="K102" s="100">
        <v>165.32</v>
      </c>
      <c r="L102" s="100">
        <v>26.62</v>
      </c>
      <c r="M102" s="100">
        <v>49.86</v>
      </c>
      <c r="N102" s="100">
        <v>5.9</v>
      </c>
      <c r="O102" s="100">
        <v>0</v>
      </c>
      <c r="P102" s="100">
        <v>0.88</v>
      </c>
      <c r="Q102" s="100">
        <v>28.11</v>
      </c>
      <c r="R102" s="6"/>
      <c r="S102" s="6"/>
      <c r="T102" s="156"/>
      <c r="U102" s="6"/>
    </row>
    <row r="103" spans="1:28" customFormat="1">
      <c r="A103" s="163" t="s">
        <v>2157</v>
      </c>
      <c r="B103" s="100">
        <v>6.84</v>
      </c>
      <c r="C103" s="100">
        <v>18.170000000000002</v>
      </c>
      <c r="D103" s="100">
        <v>16.329999999999998</v>
      </c>
      <c r="E103" s="100">
        <v>9.06</v>
      </c>
      <c r="F103" s="152" t="s">
        <v>15</v>
      </c>
      <c r="G103" s="100">
        <v>68.61</v>
      </c>
      <c r="H103" s="100">
        <v>24.39</v>
      </c>
      <c r="I103" s="100">
        <v>11.05</v>
      </c>
      <c r="J103" s="100">
        <v>0.18</v>
      </c>
      <c r="K103" s="100">
        <v>152.41999999999999</v>
      </c>
      <c r="L103" s="100">
        <v>26.56</v>
      </c>
      <c r="M103" s="100">
        <v>49.8</v>
      </c>
      <c r="N103" s="100">
        <v>5.9</v>
      </c>
      <c r="O103" s="100">
        <v>0</v>
      </c>
      <c r="P103" s="100">
        <v>0.89</v>
      </c>
      <c r="Q103" s="100">
        <v>28.12</v>
      </c>
      <c r="R103" s="6"/>
      <c r="S103" s="6"/>
      <c r="T103" s="156"/>
      <c r="U103" s="6"/>
    </row>
    <row r="104" spans="1:28" customFormat="1">
      <c r="A104" s="163" t="s">
        <v>2158</v>
      </c>
      <c r="B104" s="100">
        <v>6.95</v>
      </c>
      <c r="C104" s="100">
        <v>17.86</v>
      </c>
      <c r="D104" s="100">
        <v>16.25</v>
      </c>
      <c r="E104" s="100">
        <v>9.1999999999999993</v>
      </c>
      <c r="F104" s="152" t="s">
        <v>15</v>
      </c>
      <c r="G104" s="100">
        <v>68.42</v>
      </c>
      <c r="H104" s="100">
        <v>21.58</v>
      </c>
      <c r="I104" s="100">
        <v>11.11</v>
      </c>
      <c r="J104" s="100">
        <v>0.2</v>
      </c>
      <c r="K104" s="100">
        <v>171.11</v>
      </c>
      <c r="L104" s="100">
        <v>26.5</v>
      </c>
      <c r="M104" s="100">
        <v>50.53</v>
      </c>
      <c r="N104" s="100">
        <v>6.1</v>
      </c>
      <c r="O104" s="100">
        <v>0</v>
      </c>
      <c r="P104" s="100">
        <v>0.87</v>
      </c>
      <c r="Q104" s="100">
        <v>28.13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3.61</v>
      </c>
      <c r="C106" s="158">
        <f>MIN(C9:C104)</f>
        <v>14.76</v>
      </c>
      <c r="D106" s="158">
        <f t="shared" ref="D106:Q106" si="0">MIN(D9:D104)</f>
        <v>12.12</v>
      </c>
      <c r="E106" s="158">
        <f t="shared" si="0"/>
        <v>6.78</v>
      </c>
      <c r="F106" s="158">
        <f t="shared" si="0"/>
        <v>0</v>
      </c>
      <c r="G106" s="158">
        <f t="shared" si="0"/>
        <v>29.97</v>
      </c>
      <c r="H106" s="158">
        <f t="shared" si="0"/>
        <v>10.79</v>
      </c>
      <c r="I106" s="158">
        <f t="shared" si="0"/>
        <v>6.23</v>
      </c>
      <c r="J106" s="158">
        <f t="shared" si="0"/>
        <v>0.04</v>
      </c>
      <c r="K106" s="158">
        <f t="shared" si="0"/>
        <v>23.62</v>
      </c>
      <c r="L106" s="158">
        <f t="shared" si="0"/>
        <v>24.33</v>
      </c>
      <c r="M106" s="158">
        <f t="shared" si="0"/>
        <v>19.350000000000001</v>
      </c>
      <c r="N106" s="158">
        <f t="shared" si="0"/>
        <v>5.6</v>
      </c>
      <c r="O106" s="158">
        <f t="shared" si="0"/>
        <v>0</v>
      </c>
      <c r="P106" s="158">
        <f t="shared" si="0"/>
        <v>0.47</v>
      </c>
      <c r="Q106" s="158">
        <f t="shared" si="0"/>
        <v>27.98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10.91</v>
      </c>
      <c r="C107" s="157">
        <f t="shared" ref="C107:Q107" si="1">MAX(C9:C104)</f>
        <v>27.27</v>
      </c>
      <c r="D107" s="157">
        <f t="shared" si="1"/>
        <v>20.43</v>
      </c>
      <c r="E107" s="157">
        <f t="shared" si="1"/>
        <v>19.010000000000002</v>
      </c>
      <c r="F107" s="157">
        <f t="shared" si="1"/>
        <v>0</v>
      </c>
      <c r="G107" s="157">
        <f t="shared" si="1"/>
        <v>84.37</v>
      </c>
      <c r="H107" s="157">
        <f t="shared" si="1"/>
        <v>42.35</v>
      </c>
      <c r="I107" s="157">
        <f t="shared" si="1"/>
        <v>12.51</v>
      </c>
      <c r="J107" s="157">
        <f t="shared" si="1"/>
        <v>1.17</v>
      </c>
      <c r="K107" s="157">
        <f t="shared" si="1"/>
        <v>324.89999999999998</v>
      </c>
      <c r="L107" s="157">
        <f t="shared" si="1"/>
        <v>37.31</v>
      </c>
      <c r="M107" s="157">
        <f t="shared" si="1"/>
        <v>66.08</v>
      </c>
      <c r="N107" s="157">
        <f t="shared" si="1"/>
        <v>341</v>
      </c>
      <c r="O107" s="157">
        <f t="shared" si="1"/>
        <v>0</v>
      </c>
      <c r="P107" s="157">
        <f t="shared" si="1"/>
        <v>1.1100000000000001</v>
      </c>
      <c r="Q107" s="157">
        <f t="shared" si="1"/>
        <v>28.15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4.9233333333333329</v>
      </c>
      <c r="C108" s="158">
        <f t="shared" ref="C108:Q108" si="2">AVERAGE(C9:C104)</f>
        <v>19.185208333333335</v>
      </c>
      <c r="D108" s="158">
        <f t="shared" si="2"/>
        <v>15.322812499999998</v>
      </c>
      <c r="E108" s="158">
        <f t="shared" si="2"/>
        <v>9.3611458333333317</v>
      </c>
      <c r="F108" s="158" t="e">
        <f t="shared" si="2"/>
        <v>#DIV/0!</v>
      </c>
      <c r="G108" s="158">
        <f t="shared" si="2"/>
        <v>54.829375000000027</v>
      </c>
      <c r="H108" s="158">
        <f t="shared" si="2"/>
        <v>25.744583333333335</v>
      </c>
      <c r="I108" s="158">
        <f t="shared" si="2"/>
        <v>9.6566666666666645</v>
      </c>
      <c r="J108" s="158">
        <f t="shared" si="2"/>
        <v>0.41333333333333305</v>
      </c>
      <c r="K108" s="158">
        <f t="shared" si="2"/>
        <v>222.45500000000004</v>
      </c>
      <c r="L108" s="158">
        <f t="shared" si="2"/>
        <v>30.271770833333335</v>
      </c>
      <c r="M108" s="158">
        <f t="shared" si="2"/>
        <v>42.514166666666661</v>
      </c>
      <c r="N108" s="158">
        <f t="shared" si="2"/>
        <v>99.22708333333334</v>
      </c>
      <c r="O108" s="158">
        <f t="shared" si="2"/>
        <v>0</v>
      </c>
      <c r="P108" s="158">
        <f t="shared" si="2"/>
        <v>0.84125000000000005</v>
      </c>
      <c r="Q108" s="158">
        <f t="shared" si="2"/>
        <v>28.051145833333337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1.2828969410687361</v>
      </c>
      <c r="C109" s="158">
        <f t="shared" ref="C109:Q109" si="3">STDEV(C9:C104)</f>
        <v>2.9899463044524168</v>
      </c>
      <c r="D109" s="158">
        <f t="shared" si="3"/>
        <v>1.9449533633293929</v>
      </c>
      <c r="E109" s="158">
        <f t="shared" si="3"/>
        <v>2.1038135147452053</v>
      </c>
      <c r="F109" s="158" t="e">
        <f t="shared" si="3"/>
        <v>#DIV/0!</v>
      </c>
      <c r="G109" s="158">
        <f t="shared" si="3"/>
        <v>14.438297232488395</v>
      </c>
      <c r="H109" s="158">
        <f t="shared" si="3"/>
        <v>7.524267114745105</v>
      </c>
      <c r="I109" s="158">
        <f t="shared" si="3"/>
        <v>1.4533595684096143</v>
      </c>
      <c r="J109" s="158">
        <f t="shared" si="3"/>
        <v>0.32615355333167456</v>
      </c>
      <c r="K109" s="158">
        <f t="shared" si="3"/>
        <v>59.064339709025184</v>
      </c>
      <c r="L109" s="158">
        <f t="shared" si="3"/>
        <v>4.4795817461694183</v>
      </c>
      <c r="M109" s="158">
        <f t="shared" si="3"/>
        <v>14.554573501980816</v>
      </c>
      <c r="N109" s="158">
        <f t="shared" si="3"/>
        <v>125.50891306505663</v>
      </c>
      <c r="O109" s="158">
        <f t="shared" si="3"/>
        <v>0</v>
      </c>
      <c r="P109" s="158">
        <f t="shared" si="3"/>
        <v>0.15720753966116263</v>
      </c>
      <c r="Q109" s="158">
        <f t="shared" si="3"/>
        <v>4.0206566409681427E-2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88" activePane="bottomRight" state="frozen"/>
      <selection pane="topRight"/>
      <selection pane="bottomLeft"/>
      <selection pane="bottomRight" activeCell="I69" sqref="I69:I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21/03/2025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2159</v>
      </c>
      <c r="B9" s="100">
        <v>7.3</v>
      </c>
      <c r="C9" s="100">
        <v>18.14</v>
      </c>
      <c r="D9" s="100">
        <v>16.68</v>
      </c>
      <c r="E9" s="100">
        <v>9.1999999999999993</v>
      </c>
      <c r="F9" s="152" t="s">
        <v>15</v>
      </c>
      <c r="G9" s="100">
        <v>68.349999999999994</v>
      </c>
      <c r="H9" s="100">
        <v>21.53</v>
      </c>
      <c r="I9" s="100">
        <v>11.13</v>
      </c>
      <c r="J9" s="100">
        <v>0.2</v>
      </c>
      <c r="K9" s="100">
        <v>200.49</v>
      </c>
      <c r="L9" s="100">
        <v>26.35</v>
      </c>
      <c r="M9" s="100">
        <v>50.3</v>
      </c>
      <c r="N9" s="100">
        <v>6.4</v>
      </c>
      <c r="O9" s="100">
        <v>0</v>
      </c>
      <c r="P9" s="100">
        <v>0.89</v>
      </c>
      <c r="Q9" s="100">
        <v>28.12</v>
      </c>
      <c r="R9" s="6"/>
      <c r="S9" s="6"/>
      <c r="T9" s="156"/>
      <c r="U9" s="6"/>
    </row>
    <row r="10" spans="1:21" customFormat="1">
      <c r="A10" s="163" t="s">
        <v>2160</v>
      </c>
      <c r="B10" s="100">
        <v>7.37</v>
      </c>
      <c r="C10" s="100">
        <v>17.72</v>
      </c>
      <c r="D10" s="100">
        <v>16.52</v>
      </c>
      <c r="E10" s="100">
        <v>9.19</v>
      </c>
      <c r="F10" s="152" t="s">
        <v>15</v>
      </c>
      <c r="G10" s="100">
        <v>68.349999999999994</v>
      </c>
      <c r="H10" s="100">
        <v>21.53</v>
      </c>
      <c r="I10" s="100">
        <v>11.17</v>
      </c>
      <c r="J10" s="100">
        <v>0.17</v>
      </c>
      <c r="K10" s="100">
        <v>195.28</v>
      </c>
      <c r="L10" s="100">
        <v>26.23</v>
      </c>
      <c r="M10" s="100">
        <v>49.97</v>
      </c>
      <c r="N10" s="100">
        <v>6.3</v>
      </c>
      <c r="O10" s="100">
        <v>0</v>
      </c>
      <c r="P10" s="100">
        <v>0.88</v>
      </c>
      <c r="Q10" s="100">
        <v>28.11</v>
      </c>
      <c r="R10" s="6"/>
      <c r="S10" s="6"/>
      <c r="T10" s="156"/>
      <c r="U10" s="6"/>
    </row>
    <row r="11" spans="1:21" customFormat="1">
      <c r="A11" s="163" t="s">
        <v>2161</v>
      </c>
      <c r="B11" s="100">
        <v>7.49</v>
      </c>
      <c r="C11" s="100">
        <v>17.53</v>
      </c>
      <c r="D11" s="100">
        <v>16.52</v>
      </c>
      <c r="E11" s="100">
        <v>8.94</v>
      </c>
      <c r="F11" s="152" t="s">
        <v>15</v>
      </c>
      <c r="G11" s="100">
        <v>68.349999999999994</v>
      </c>
      <c r="H11" s="100">
        <v>21.53</v>
      </c>
      <c r="I11" s="100">
        <v>11.21</v>
      </c>
      <c r="J11" s="100">
        <v>0.14000000000000001</v>
      </c>
      <c r="K11" s="100">
        <v>166.65</v>
      </c>
      <c r="L11" s="100">
        <v>26.36</v>
      </c>
      <c r="M11" s="100">
        <v>50.81</v>
      </c>
      <c r="N11" s="100">
        <v>6.3</v>
      </c>
      <c r="O11" s="100">
        <v>0</v>
      </c>
      <c r="P11" s="100">
        <v>0.89</v>
      </c>
      <c r="Q11" s="100">
        <v>28.14</v>
      </c>
      <c r="R11" s="6"/>
      <c r="S11" s="6"/>
      <c r="T11" s="156"/>
      <c r="U11" s="6"/>
    </row>
    <row r="12" spans="1:21" customFormat="1">
      <c r="A12" s="163" t="s">
        <v>2162</v>
      </c>
      <c r="B12" s="100">
        <v>7.69</v>
      </c>
      <c r="C12" s="100">
        <v>17.600000000000001</v>
      </c>
      <c r="D12" s="100">
        <v>16.72</v>
      </c>
      <c r="E12" s="100">
        <v>8.74</v>
      </c>
      <c r="F12" s="152" t="s">
        <v>15</v>
      </c>
      <c r="G12" s="100">
        <v>66.37</v>
      </c>
      <c r="H12" s="100">
        <v>21.92</v>
      </c>
      <c r="I12" s="100">
        <v>11.23</v>
      </c>
      <c r="J12" s="100">
        <v>0.14000000000000001</v>
      </c>
      <c r="K12" s="100">
        <v>167.96</v>
      </c>
      <c r="L12" s="100">
        <v>26.47</v>
      </c>
      <c r="M12" s="100">
        <v>50.07</v>
      </c>
      <c r="N12" s="100">
        <v>6.2</v>
      </c>
      <c r="O12" s="100">
        <v>0</v>
      </c>
      <c r="P12" s="100">
        <v>0.88</v>
      </c>
      <c r="Q12" s="100">
        <v>28.14</v>
      </c>
      <c r="R12" s="6"/>
      <c r="S12" s="6"/>
      <c r="T12" s="156"/>
      <c r="U12" s="6"/>
    </row>
    <row r="13" spans="1:21" customFormat="1">
      <c r="A13" s="163" t="s">
        <v>2163</v>
      </c>
      <c r="B13" s="100">
        <v>7.83</v>
      </c>
      <c r="C13" s="100">
        <v>17.3</v>
      </c>
      <c r="D13" s="100">
        <v>16.670000000000002</v>
      </c>
      <c r="E13" s="100">
        <v>8.82</v>
      </c>
      <c r="F13" s="152" t="s">
        <v>15</v>
      </c>
      <c r="G13" s="100">
        <v>65.650000000000006</v>
      </c>
      <c r="H13" s="100">
        <v>21.93</v>
      </c>
      <c r="I13" s="100">
        <v>11.27</v>
      </c>
      <c r="J13" s="100">
        <v>0.14000000000000001</v>
      </c>
      <c r="K13" s="100">
        <v>173.21</v>
      </c>
      <c r="L13" s="100">
        <v>26.46</v>
      </c>
      <c r="M13" s="100">
        <v>49.13</v>
      </c>
      <c r="N13" s="100">
        <v>6</v>
      </c>
      <c r="O13" s="100">
        <v>0</v>
      </c>
      <c r="P13" s="100">
        <v>0.88</v>
      </c>
      <c r="Q13" s="100">
        <v>28.15</v>
      </c>
      <c r="R13" s="6"/>
      <c r="S13" s="6"/>
      <c r="T13" s="156"/>
      <c r="U13" s="6"/>
    </row>
    <row r="14" spans="1:21" customFormat="1">
      <c r="A14" s="163" t="s">
        <v>2164</v>
      </c>
      <c r="B14" s="100">
        <v>7.98</v>
      </c>
      <c r="C14" s="100">
        <v>17.239999999999998</v>
      </c>
      <c r="D14" s="100">
        <v>16.760000000000002</v>
      </c>
      <c r="E14" s="100">
        <v>8.74</v>
      </c>
      <c r="F14" s="152" t="s">
        <v>15</v>
      </c>
      <c r="G14" s="100">
        <v>65.650000000000006</v>
      </c>
      <c r="H14" s="100">
        <v>21.93</v>
      </c>
      <c r="I14" s="100">
        <v>11.31</v>
      </c>
      <c r="J14" s="100">
        <v>0.16</v>
      </c>
      <c r="K14" s="100">
        <v>176.41</v>
      </c>
      <c r="L14" s="100">
        <v>26.2</v>
      </c>
      <c r="M14" s="100">
        <v>53.53</v>
      </c>
      <c r="N14" s="100">
        <v>6.4</v>
      </c>
      <c r="O14" s="100">
        <v>0</v>
      </c>
      <c r="P14" s="100">
        <v>0.89</v>
      </c>
      <c r="Q14" s="100">
        <v>28.15</v>
      </c>
      <c r="R14" s="6"/>
      <c r="S14" s="6"/>
      <c r="T14" s="156"/>
      <c r="U14" s="6"/>
    </row>
    <row r="15" spans="1:21" customFormat="1">
      <c r="A15" s="163" t="s">
        <v>2165</v>
      </c>
      <c r="B15" s="100">
        <v>8.07</v>
      </c>
      <c r="C15" s="100">
        <v>17.14</v>
      </c>
      <c r="D15" s="100">
        <v>16.78</v>
      </c>
      <c r="E15" s="100">
        <v>8.74</v>
      </c>
      <c r="F15" s="152" t="s">
        <v>15</v>
      </c>
      <c r="G15" s="100">
        <v>65.650000000000006</v>
      </c>
      <c r="H15" s="100">
        <v>21.93</v>
      </c>
      <c r="I15" s="100">
        <v>11.32</v>
      </c>
      <c r="J15" s="100">
        <v>0.12</v>
      </c>
      <c r="K15" s="100">
        <v>179.07</v>
      </c>
      <c r="L15" s="100">
        <v>26.14</v>
      </c>
      <c r="M15" s="100">
        <v>51</v>
      </c>
      <c r="N15" s="100">
        <v>6.3</v>
      </c>
      <c r="O15" s="100">
        <v>0</v>
      </c>
      <c r="P15" s="100">
        <v>0.87</v>
      </c>
      <c r="Q15" s="100">
        <v>28.17</v>
      </c>
      <c r="R15" s="6"/>
      <c r="S15" s="6"/>
      <c r="T15" s="156"/>
      <c r="U15" s="6"/>
    </row>
    <row r="16" spans="1:21" customFormat="1">
      <c r="A16" s="163" t="s">
        <v>2166</v>
      </c>
      <c r="B16" s="100">
        <v>8.1300000000000008</v>
      </c>
      <c r="C16" s="100">
        <v>17.04</v>
      </c>
      <c r="D16" s="100">
        <v>16.78</v>
      </c>
      <c r="E16" s="100">
        <v>8.92</v>
      </c>
      <c r="F16" s="152" t="s">
        <v>15</v>
      </c>
      <c r="G16" s="100">
        <v>63.57</v>
      </c>
      <c r="H16" s="100">
        <v>23.74</v>
      </c>
      <c r="I16" s="100">
        <v>11.31</v>
      </c>
      <c r="J16" s="100">
        <v>0.17</v>
      </c>
      <c r="K16" s="100">
        <v>96.96</v>
      </c>
      <c r="L16" s="100">
        <v>26.38</v>
      </c>
      <c r="M16" s="100">
        <v>50.73</v>
      </c>
      <c r="N16" s="100">
        <v>6.3</v>
      </c>
      <c r="O16" s="100">
        <v>0</v>
      </c>
      <c r="P16" s="100">
        <v>0.88</v>
      </c>
      <c r="Q16" s="100">
        <v>28.17</v>
      </c>
      <c r="R16" s="6"/>
      <c r="S16" s="6"/>
      <c r="T16" s="156"/>
      <c r="U16" s="6"/>
    </row>
    <row r="17" spans="1:21" customFormat="1">
      <c r="A17" s="163" t="s">
        <v>2167</v>
      </c>
      <c r="B17" s="100">
        <v>8.42</v>
      </c>
      <c r="C17" s="100">
        <v>17.2</v>
      </c>
      <c r="D17" s="100">
        <v>17.09</v>
      </c>
      <c r="E17" s="100">
        <v>7.86</v>
      </c>
      <c r="F17" s="152" t="s">
        <v>15</v>
      </c>
      <c r="G17" s="100">
        <v>62.81</v>
      </c>
      <c r="H17" s="100">
        <v>23.8</v>
      </c>
      <c r="I17" s="100">
        <v>11.3</v>
      </c>
      <c r="J17" s="100">
        <v>0.86</v>
      </c>
      <c r="K17" s="100">
        <v>349.18</v>
      </c>
      <c r="L17" s="100">
        <v>27.13</v>
      </c>
      <c r="M17" s="100">
        <v>45.89</v>
      </c>
      <c r="N17" s="100">
        <v>4.9000000000000004</v>
      </c>
      <c r="O17" s="100">
        <v>0</v>
      </c>
      <c r="P17" s="100">
        <v>0.88</v>
      </c>
      <c r="Q17" s="100">
        <v>28.16</v>
      </c>
      <c r="R17" s="6"/>
      <c r="S17" s="6"/>
      <c r="T17" s="156"/>
      <c r="U17" s="6"/>
    </row>
    <row r="18" spans="1:21" customFormat="1">
      <c r="A18" s="163" t="s">
        <v>2168</v>
      </c>
      <c r="B18" s="100">
        <v>9.25</v>
      </c>
      <c r="C18" s="100">
        <v>17.899999999999999</v>
      </c>
      <c r="D18" s="100">
        <v>18.12</v>
      </c>
      <c r="E18" s="100">
        <v>9.91</v>
      </c>
      <c r="F18" s="152" t="s">
        <v>15</v>
      </c>
      <c r="G18" s="100">
        <v>62.81</v>
      </c>
      <c r="H18" s="100">
        <v>23.8</v>
      </c>
      <c r="I18" s="100">
        <v>11.25</v>
      </c>
      <c r="J18" s="100">
        <v>0.61</v>
      </c>
      <c r="K18" s="100">
        <v>334.21</v>
      </c>
      <c r="L18" s="100">
        <v>28.2</v>
      </c>
      <c r="M18" s="100">
        <v>43.91</v>
      </c>
      <c r="N18" s="100">
        <v>5.5</v>
      </c>
      <c r="O18" s="100">
        <v>0</v>
      </c>
      <c r="P18" s="100">
        <v>0.88</v>
      </c>
      <c r="Q18" s="100">
        <v>28.14</v>
      </c>
      <c r="R18" s="6"/>
      <c r="S18" s="6"/>
      <c r="T18" s="156"/>
      <c r="U18" s="6"/>
    </row>
    <row r="19" spans="1:21" customFormat="1">
      <c r="A19" s="163" t="s">
        <v>2169</v>
      </c>
      <c r="B19" s="100">
        <v>8.48</v>
      </c>
      <c r="C19" s="100">
        <v>18.23</v>
      </c>
      <c r="D19" s="100">
        <v>17.68</v>
      </c>
      <c r="E19" s="100">
        <v>10.94</v>
      </c>
      <c r="F19" s="152" t="s">
        <v>15</v>
      </c>
      <c r="G19" s="100">
        <v>62.81</v>
      </c>
      <c r="H19" s="100">
        <v>23.8</v>
      </c>
      <c r="I19" s="100">
        <v>11.22</v>
      </c>
      <c r="J19" s="100">
        <v>0.61</v>
      </c>
      <c r="K19" s="100">
        <v>20.52</v>
      </c>
      <c r="L19" s="100">
        <v>28.06</v>
      </c>
      <c r="M19" s="100">
        <v>42.99</v>
      </c>
      <c r="N19" s="100">
        <v>6.6</v>
      </c>
      <c r="O19" s="100">
        <v>0</v>
      </c>
      <c r="P19" s="100">
        <v>0.91</v>
      </c>
      <c r="Q19" s="100">
        <v>28.15</v>
      </c>
      <c r="R19" s="6"/>
      <c r="S19" s="6"/>
      <c r="T19" s="156"/>
      <c r="U19" s="6"/>
    </row>
    <row r="20" spans="1:21" customFormat="1">
      <c r="A20" s="163" t="s">
        <v>2170</v>
      </c>
      <c r="B20" s="100">
        <v>8.1199999999999992</v>
      </c>
      <c r="C20" s="100">
        <v>18.86</v>
      </c>
      <c r="D20" s="100">
        <v>17.72</v>
      </c>
      <c r="E20" s="100">
        <v>10.89</v>
      </c>
      <c r="F20" s="152" t="s">
        <v>15</v>
      </c>
      <c r="G20" s="100">
        <v>64.790000000000006</v>
      </c>
      <c r="H20" s="100">
        <v>26.04</v>
      </c>
      <c r="I20" s="100">
        <v>11.28</v>
      </c>
      <c r="J20" s="100">
        <v>0.71</v>
      </c>
      <c r="K20" s="100">
        <v>14.32</v>
      </c>
      <c r="L20" s="100">
        <v>27.78</v>
      </c>
      <c r="M20" s="100">
        <v>42.21</v>
      </c>
      <c r="N20" s="100">
        <v>6.7</v>
      </c>
      <c r="O20" s="100">
        <v>0</v>
      </c>
      <c r="P20" s="100">
        <v>0.9</v>
      </c>
      <c r="Q20" s="100">
        <v>28.15</v>
      </c>
      <c r="R20" s="6"/>
      <c r="S20" s="6"/>
      <c r="T20" s="156"/>
      <c r="U20" s="6"/>
    </row>
    <row r="21" spans="1:21" customFormat="1">
      <c r="A21" s="163" t="s">
        <v>2171</v>
      </c>
      <c r="B21" s="100">
        <v>8.08</v>
      </c>
      <c r="C21" s="100">
        <v>19.399999999999999</v>
      </c>
      <c r="D21" s="100">
        <v>17.96</v>
      </c>
      <c r="E21" s="100">
        <v>10.87</v>
      </c>
      <c r="F21" s="152" t="s">
        <v>15</v>
      </c>
      <c r="G21" s="100">
        <v>65.55</v>
      </c>
      <c r="H21" s="100">
        <v>26.11</v>
      </c>
      <c r="I21" s="100">
        <v>11.33</v>
      </c>
      <c r="J21" s="100">
        <v>0.77</v>
      </c>
      <c r="K21" s="100">
        <v>43.88</v>
      </c>
      <c r="L21" s="100">
        <v>27.57</v>
      </c>
      <c r="M21" s="100">
        <v>42.6</v>
      </c>
      <c r="N21" s="100">
        <v>6.7</v>
      </c>
      <c r="O21" s="100">
        <v>0</v>
      </c>
      <c r="P21" s="100">
        <v>0.9</v>
      </c>
      <c r="Q21" s="100">
        <v>28.15</v>
      </c>
      <c r="R21" s="6"/>
      <c r="S21" s="6"/>
      <c r="T21" s="156"/>
      <c r="U21" s="6"/>
    </row>
    <row r="22" spans="1:21" customFormat="1">
      <c r="A22" s="163" t="s">
        <v>2172</v>
      </c>
      <c r="B22" s="100">
        <v>8.06</v>
      </c>
      <c r="C22" s="100">
        <v>20.12</v>
      </c>
      <c r="D22" s="100">
        <v>18.329999999999998</v>
      </c>
      <c r="E22" s="100">
        <v>10.76</v>
      </c>
      <c r="F22" s="152" t="s">
        <v>15</v>
      </c>
      <c r="G22" s="100">
        <v>65.55</v>
      </c>
      <c r="H22" s="100">
        <v>26.11</v>
      </c>
      <c r="I22" s="100">
        <v>11.26</v>
      </c>
      <c r="J22" s="100">
        <v>0.88</v>
      </c>
      <c r="K22" s="100">
        <v>42.29</v>
      </c>
      <c r="L22" s="100">
        <v>27.32</v>
      </c>
      <c r="M22" s="100">
        <v>43.61</v>
      </c>
      <c r="N22" s="100">
        <v>6.7</v>
      </c>
      <c r="O22" s="100">
        <v>0</v>
      </c>
      <c r="P22" s="100">
        <v>0.9</v>
      </c>
      <c r="Q22" s="100">
        <v>28.16</v>
      </c>
      <c r="R22" s="6"/>
      <c r="S22" s="6"/>
      <c r="T22" s="156"/>
      <c r="U22" s="6"/>
    </row>
    <row r="23" spans="1:21" customFormat="1">
      <c r="A23" s="163" t="s">
        <v>2173</v>
      </c>
      <c r="B23" s="100">
        <v>7.97</v>
      </c>
      <c r="C23" s="100">
        <v>20.66</v>
      </c>
      <c r="D23" s="100">
        <v>18.54</v>
      </c>
      <c r="E23" s="100">
        <v>10.49</v>
      </c>
      <c r="F23" s="152" t="s">
        <v>15</v>
      </c>
      <c r="G23" s="100">
        <v>65.55</v>
      </c>
      <c r="H23" s="100">
        <v>26.11</v>
      </c>
      <c r="I23" s="100">
        <v>11.2</v>
      </c>
      <c r="J23" s="100">
        <v>0.85</v>
      </c>
      <c r="K23" s="100">
        <v>42.67</v>
      </c>
      <c r="L23" s="100">
        <v>26.97</v>
      </c>
      <c r="M23" s="100">
        <v>45.21</v>
      </c>
      <c r="N23" s="100">
        <v>6.6</v>
      </c>
      <c r="O23" s="100">
        <v>0</v>
      </c>
      <c r="P23" s="100">
        <v>0.89</v>
      </c>
      <c r="Q23" s="100">
        <v>28.17</v>
      </c>
      <c r="R23" s="6"/>
      <c r="S23" s="6"/>
      <c r="T23" s="156"/>
      <c r="U23" s="6"/>
    </row>
    <row r="24" spans="1:21" customFormat="1">
      <c r="A24" s="163" t="s">
        <v>2174</v>
      </c>
      <c r="B24" s="100">
        <v>7.78</v>
      </c>
      <c r="C24" s="100">
        <v>20.95</v>
      </c>
      <c r="D24" s="100">
        <v>18.53</v>
      </c>
      <c r="E24" s="100">
        <v>10.32</v>
      </c>
      <c r="F24" s="152" t="s">
        <v>15</v>
      </c>
      <c r="G24" s="100">
        <v>76.959999999999994</v>
      </c>
      <c r="H24" s="100">
        <v>29.52</v>
      </c>
      <c r="I24" s="100">
        <v>11.15</v>
      </c>
      <c r="J24" s="100">
        <v>0.92</v>
      </c>
      <c r="K24" s="100">
        <v>42.4</v>
      </c>
      <c r="L24" s="100">
        <v>26.69</v>
      </c>
      <c r="M24" s="100">
        <v>46.51</v>
      </c>
      <c r="N24" s="100">
        <v>6.6</v>
      </c>
      <c r="O24" s="100">
        <v>0</v>
      </c>
      <c r="P24" s="100">
        <v>0.88</v>
      </c>
      <c r="Q24" s="100">
        <v>28.15</v>
      </c>
      <c r="R24" s="6"/>
      <c r="S24" s="6"/>
      <c r="T24" s="156"/>
      <c r="U24" s="6"/>
    </row>
    <row r="25" spans="1:21" customFormat="1">
      <c r="A25" s="163" t="s">
        <v>2175</v>
      </c>
      <c r="B25" s="100">
        <v>7.97</v>
      </c>
      <c r="C25" s="100">
        <v>21.23</v>
      </c>
      <c r="D25" s="100">
        <v>18.829999999999998</v>
      </c>
      <c r="E25" s="100">
        <v>9.76</v>
      </c>
      <c r="F25" s="152" t="s">
        <v>15</v>
      </c>
      <c r="G25" s="100">
        <v>81.11</v>
      </c>
      <c r="H25" s="100">
        <v>29.62</v>
      </c>
      <c r="I25" s="100">
        <v>11.13</v>
      </c>
      <c r="J25" s="100">
        <v>0.74</v>
      </c>
      <c r="K25" s="100">
        <v>40.71</v>
      </c>
      <c r="L25" s="100">
        <v>26.49</v>
      </c>
      <c r="M25" s="100">
        <v>47.32</v>
      </c>
      <c r="N25" s="100">
        <v>6.5</v>
      </c>
      <c r="O25" s="100">
        <v>0</v>
      </c>
      <c r="P25" s="100">
        <v>0.87</v>
      </c>
      <c r="Q25" s="100">
        <v>28.12</v>
      </c>
      <c r="R25" s="6"/>
      <c r="S25" s="6"/>
      <c r="T25" s="156"/>
      <c r="U25" s="6"/>
    </row>
    <row r="26" spans="1:21" customFormat="1">
      <c r="A26" s="163" t="s">
        <v>2176</v>
      </c>
      <c r="B26" s="100">
        <v>7.68</v>
      </c>
      <c r="C26" s="100">
        <v>21.44</v>
      </c>
      <c r="D26" s="100">
        <v>18.71</v>
      </c>
      <c r="E26" s="100">
        <v>9.44</v>
      </c>
      <c r="F26" s="152" t="s">
        <v>15</v>
      </c>
      <c r="G26" s="100">
        <v>81.11</v>
      </c>
      <c r="H26" s="100">
        <v>29.62</v>
      </c>
      <c r="I26" s="100">
        <v>11.12</v>
      </c>
      <c r="J26" s="100">
        <v>0.97</v>
      </c>
      <c r="K26" s="100">
        <v>54.11</v>
      </c>
      <c r="L26" s="100">
        <v>26.4</v>
      </c>
      <c r="M26" s="100">
        <v>47.96</v>
      </c>
      <c r="N26" s="100">
        <v>6.4</v>
      </c>
      <c r="O26" s="100">
        <v>0</v>
      </c>
      <c r="P26" s="100">
        <v>0.86</v>
      </c>
      <c r="Q26" s="100">
        <v>28.13</v>
      </c>
      <c r="R26" s="6"/>
      <c r="S26" s="6"/>
      <c r="T26" s="156"/>
      <c r="U26" s="6"/>
    </row>
    <row r="27" spans="1:21" customFormat="1">
      <c r="A27" s="163" t="s">
        <v>2177</v>
      </c>
      <c r="B27" s="100">
        <v>7.91</v>
      </c>
      <c r="C27" s="100">
        <v>21.81</v>
      </c>
      <c r="D27" s="100">
        <v>19.09</v>
      </c>
      <c r="E27" s="100">
        <v>9.34</v>
      </c>
      <c r="F27" s="152" t="s">
        <v>15</v>
      </c>
      <c r="G27" s="100">
        <v>81.11</v>
      </c>
      <c r="H27" s="100">
        <v>29.62</v>
      </c>
      <c r="I27" s="100">
        <v>10.92</v>
      </c>
      <c r="J27" s="100">
        <v>0.75</v>
      </c>
      <c r="K27" s="100">
        <v>45.9</v>
      </c>
      <c r="L27" s="100">
        <v>26.32</v>
      </c>
      <c r="M27" s="100">
        <v>49.17</v>
      </c>
      <c r="N27" s="100">
        <v>6.5</v>
      </c>
      <c r="O27" s="100">
        <v>0</v>
      </c>
      <c r="P27" s="100">
        <v>0.87</v>
      </c>
      <c r="Q27" s="100">
        <v>28.13</v>
      </c>
      <c r="R27" s="6"/>
      <c r="S27" s="6"/>
      <c r="T27" s="156"/>
      <c r="U27" s="6"/>
    </row>
    <row r="28" spans="1:21" customFormat="1">
      <c r="A28" s="163" t="s">
        <v>2178</v>
      </c>
      <c r="B28" s="100">
        <v>7.79</v>
      </c>
      <c r="C28" s="100">
        <v>22.2</v>
      </c>
      <c r="D28" s="100">
        <v>19.2</v>
      </c>
      <c r="E28" s="100">
        <v>9.32</v>
      </c>
      <c r="F28" s="152" t="s">
        <v>15</v>
      </c>
      <c r="G28" s="100">
        <v>82.77</v>
      </c>
      <c r="H28" s="100">
        <v>31.64</v>
      </c>
      <c r="I28" s="100">
        <v>10.87</v>
      </c>
      <c r="J28" s="100">
        <v>0.86</v>
      </c>
      <c r="K28" s="100">
        <v>68.22</v>
      </c>
      <c r="L28" s="100">
        <v>26.22</v>
      </c>
      <c r="M28" s="100">
        <v>50.12</v>
      </c>
      <c r="N28" s="100">
        <v>6.5</v>
      </c>
      <c r="O28" s="100">
        <v>0</v>
      </c>
      <c r="P28" s="100">
        <v>0.85</v>
      </c>
      <c r="Q28" s="100">
        <v>28.15</v>
      </c>
      <c r="R28" s="6"/>
      <c r="S28" s="6"/>
      <c r="T28" s="156"/>
      <c r="U28" s="6"/>
    </row>
    <row r="29" spans="1:21" customFormat="1">
      <c r="A29" s="163" t="s">
        <v>2179</v>
      </c>
      <c r="B29" s="100">
        <v>7.37</v>
      </c>
      <c r="C29" s="100">
        <v>22.1</v>
      </c>
      <c r="D29" s="100">
        <v>18.809999999999999</v>
      </c>
      <c r="E29" s="100">
        <v>8.8699999999999992</v>
      </c>
      <c r="F29" s="152" t="s">
        <v>15</v>
      </c>
      <c r="G29" s="100">
        <v>83.37</v>
      </c>
      <c r="H29" s="100">
        <v>31.74</v>
      </c>
      <c r="I29" s="100">
        <v>10.82</v>
      </c>
      <c r="J29" s="100">
        <v>0.55000000000000004</v>
      </c>
      <c r="K29" s="100">
        <v>68.84</v>
      </c>
      <c r="L29" s="100">
        <v>26.13</v>
      </c>
      <c r="M29" s="100">
        <v>52</v>
      </c>
      <c r="N29" s="100">
        <v>6.5</v>
      </c>
      <c r="O29" s="100">
        <v>0</v>
      </c>
      <c r="P29" s="100">
        <v>0.86</v>
      </c>
      <c r="Q29" s="100">
        <v>28.13</v>
      </c>
      <c r="R29" s="6"/>
      <c r="S29" s="6"/>
      <c r="T29" s="156"/>
      <c r="U29" s="6"/>
    </row>
    <row r="30" spans="1:21" customFormat="1">
      <c r="A30" s="163" t="s">
        <v>2180</v>
      </c>
      <c r="B30" s="100">
        <v>6.92</v>
      </c>
      <c r="C30" s="100">
        <v>22.18</v>
      </c>
      <c r="D30" s="100">
        <v>18.489999999999998</v>
      </c>
      <c r="E30" s="100">
        <v>8.6199999999999992</v>
      </c>
      <c r="F30" s="152" t="s">
        <v>15</v>
      </c>
      <c r="G30" s="100">
        <v>83.37</v>
      </c>
      <c r="H30" s="100">
        <v>31.74</v>
      </c>
      <c r="I30" s="100">
        <v>10.76</v>
      </c>
      <c r="J30" s="100">
        <v>0.46</v>
      </c>
      <c r="K30" s="100">
        <v>69.48</v>
      </c>
      <c r="L30" s="100">
        <v>25.89</v>
      </c>
      <c r="M30" s="100">
        <v>54.31</v>
      </c>
      <c r="N30" s="100">
        <v>6.5</v>
      </c>
      <c r="O30" s="100">
        <v>0</v>
      </c>
      <c r="P30" s="100">
        <v>0.86</v>
      </c>
      <c r="Q30" s="100">
        <v>28.12</v>
      </c>
      <c r="R30" s="6"/>
      <c r="S30" s="6"/>
      <c r="T30" s="156"/>
      <c r="U30" s="6"/>
    </row>
    <row r="31" spans="1:21" customFormat="1">
      <c r="A31" s="163" t="s">
        <v>2181</v>
      </c>
      <c r="B31" s="100">
        <v>6.52</v>
      </c>
      <c r="C31" s="100">
        <v>22.22</v>
      </c>
      <c r="D31" s="100">
        <v>18.190000000000001</v>
      </c>
      <c r="E31" s="100">
        <v>8.7799999999999994</v>
      </c>
      <c r="F31" s="152" t="s">
        <v>15</v>
      </c>
      <c r="G31" s="100">
        <v>83.37</v>
      </c>
      <c r="H31" s="100">
        <v>31.74</v>
      </c>
      <c r="I31" s="100">
        <v>10.76</v>
      </c>
      <c r="J31" s="100">
        <v>0.24</v>
      </c>
      <c r="K31" s="100">
        <v>108.44</v>
      </c>
      <c r="L31" s="100">
        <v>25.8</v>
      </c>
      <c r="M31" s="100">
        <v>56.52</v>
      </c>
      <c r="N31" s="100">
        <v>6.3</v>
      </c>
      <c r="O31" s="100">
        <v>0</v>
      </c>
      <c r="P31" s="100">
        <v>0.86</v>
      </c>
      <c r="Q31" s="100">
        <v>28.1</v>
      </c>
      <c r="R31" s="6"/>
      <c r="S31" s="6"/>
      <c r="T31" s="156"/>
      <c r="U31" s="6"/>
    </row>
    <row r="32" spans="1:21" customFormat="1">
      <c r="A32" s="163" t="s">
        <v>2182</v>
      </c>
      <c r="B32" s="100">
        <v>6.05</v>
      </c>
      <c r="C32" s="100">
        <v>22.01</v>
      </c>
      <c r="D32" s="100">
        <v>17.7</v>
      </c>
      <c r="E32" s="100">
        <v>9.2200000000000006</v>
      </c>
      <c r="F32" s="152" t="s">
        <v>15</v>
      </c>
      <c r="G32" s="100">
        <v>82.09</v>
      </c>
      <c r="H32" s="100">
        <v>31.97</v>
      </c>
      <c r="I32" s="100">
        <v>10.72</v>
      </c>
      <c r="J32" s="100">
        <v>0.66</v>
      </c>
      <c r="K32" s="100">
        <v>67.209999999999994</v>
      </c>
      <c r="L32" s="100">
        <v>25.59</v>
      </c>
      <c r="M32" s="100">
        <v>59.25</v>
      </c>
      <c r="N32" s="100">
        <v>6.9</v>
      </c>
      <c r="O32" s="100">
        <v>0</v>
      </c>
      <c r="P32" s="100">
        <v>0.85</v>
      </c>
      <c r="Q32" s="100">
        <v>28.09</v>
      </c>
      <c r="R32" s="6"/>
      <c r="S32" s="6"/>
      <c r="T32" s="156"/>
      <c r="U32" s="6"/>
    </row>
    <row r="33" spans="1:21" customFormat="1">
      <c r="A33" s="163" t="s">
        <v>2183</v>
      </c>
      <c r="B33" s="100">
        <v>5.76</v>
      </c>
      <c r="C33" s="100">
        <v>22.18</v>
      </c>
      <c r="D33" s="100">
        <v>17.559999999999999</v>
      </c>
      <c r="E33" s="100">
        <v>8.65</v>
      </c>
      <c r="F33" s="152" t="s">
        <v>15</v>
      </c>
      <c r="G33" s="100">
        <v>81.62</v>
      </c>
      <c r="H33" s="100">
        <v>31.98</v>
      </c>
      <c r="I33" s="100">
        <v>10.67</v>
      </c>
      <c r="J33" s="100">
        <v>0.51</v>
      </c>
      <c r="K33" s="100">
        <v>71.92</v>
      </c>
      <c r="L33" s="100">
        <v>25.51</v>
      </c>
      <c r="M33" s="100">
        <v>60.35</v>
      </c>
      <c r="N33" s="100">
        <v>9.3000000000000007</v>
      </c>
      <c r="O33" s="100">
        <v>0</v>
      </c>
      <c r="P33" s="100">
        <v>0.85</v>
      </c>
      <c r="Q33" s="100">
        <v>28.09</v>
      </c>
      <c r="R33" s="6"/>
      <c r="S33" s="6"/>
      <c r="T33" s="156"/>
      <c r="U33" s="6"/>
    </row>
    <row r="34" spans="1:21" customFormat="1">
      <c r="A34" s="163" t="s">
        <v>2184</v>
      </c>
      <c r="B34" s="100">
        <v>5.48</v>
      </c>
      <c r="C34" s="100">
        <v>22.41</v>
      </c>
      <c r="D34" s="100">
        <v>17.45</v>
      </c>
      <c r="E34" s="100">
        <v>8.6199999999999992</v>
      </c>
      <c r="F34" s="152" t="s">
        <v>15</v>
      </c>
      <c r="G34" s="100">
        <v>81.62</v>
      </c>
      <c r="H34" s="100">
        <v>31.98</v>
      </c>
      <c r="I34" s="100">
        <v>10.67</v>
      </c>
      <c r="J34" s="100">
        <v>0.55000000000000004</v>
      </c>
      <c r="K34" s="100">
        <v>67.58</v>
      </c>
      <c r="L34" s="100">
        <v>25.48</v>
      </c>
      <c r="M34" s="100">
        <v>61.08</v>
      </c>
      <c r="N34" s="100">
        <v>17.7</v>
      </c>
      <c r="O34" s="100">
        <v>0</v>
      </c>
      <c r="P34" s="100">
        <v>0.86</v>
      </c>
      <c r="Q34" s="100">
        <v>28.07</v>
      </c>
      <c r="R34" s="6"/>
      <c r="S34" s="6"/>
      <c r="T34" s="156"/>
      <c r="U34" s="6"/>
    </row>
    <row r="35" spans="1:21" customFormat="1">
      <c r="A35" s="163" t="s">
        <v>2185</v>
      </c>
      <c r="B35" s="100">
        <v>5.29</v>
      </c>
      <c r="C35" s="100">
        <v>22.54</v>
      </c>
      <c r="D35" s="100">
        <v>17.37</v>
      </c>
      <c r="E35" s="100">
        <v>8.34</v>
      </c>
      <c r="F35" s="152" t="s">
        <v>15</v>
      </c>
      <c r="G35" s="100">
        <v>81.62</v>
      </c>
      <c r="H35" s="100">
        <v>31.98</v>
      </c>
      <c r="I35" s="100">
        <v>10.68</v>
      </c>
      <c r="J35" s="100">
        <v>0.64</v>
      </c>
      <c r="K35" s="100">
        <v>66.75</v>
      </c>
      <c r="L35" s="100">
        <v>25.59</v>
      </c>
      <c r="M35" s="100">
        <v>60.98</v>
      </c>
      <c r="N35" s="100">
        <v>29.4</v>
      </c>
      <c r="O35" s="100">
        <v>0</v>
      </c>
      <c r="P35" s="100">
        <v>0.87</v>
      </c>
      <c r="Q35" s="100">
        <v>28.06</v>
      </c>
      <c r="R35" s="6"/>
      <c r="S35" s="6"/>
      <c r="T35" s="156"/>
      <c r="U35" s="6"/>
    </row>
    <row r="36" spans="1:21" customFormat="1">
      <c r="A36" s="163" t="s">
        <v>2186</v>
      </c>
      <c r="B36" s="100">
        <v>5.25</v>
      </c>
      <c r="C36" s="100">
        <v>22.6</v>
      </c>
      <c r="D36" s="100">
        <v>17.36</v>
      </c>
      <c r="E36" s="100">
        <v>8.64</v>
      </c>
      <c r="F36" s="152" t="s">
        <v>15</v>
      </c>
      <c r="G36" s="100">
        <v>89.16</v>
      </c>
      <c r="H36" s="100">
        <v>33.58</v>
      </c>
      <c r="I36" s="100">
        <v>10.7</v>
      </c>
      <c r="J36" s="100">
        <v>0.21</v>
      </c>
      <c r="K36" s="100">
        <v>130.79</v>
      </c>
      <c r="L36" s="100">
        <v>25.85</v>
      </c>
      <c r="M36" s="100">
        <v>60.55</v>
      </c>
      <c r="N36" s="100">
        <v>30.9</v>
      </c>
      <c r="O36" s="100">
        <v>0</v>
      </c>
      <c r="P36" s="100">
        <v>0.88</v>
      </c>
      <c r="Q36" s="100">
        <v>28.06</v>
      </c>
      <c r="R36" s="6"/>
      <c r="S36" s="6"/>
      <c r="T36" s="156"/>
      <c r="U36" s="6"/>
    </row>
    <row r="37" spans="1:21" customFormat="1">
      <c r="A37" s="163" t="s">
        <v>2187</v>
      </c>
      <c r="B37" s="100">
        <v>4.99</v>
      </c>
      <c r="C37" s="100">
        <v>22.41</v>
      </c>
      <c r="D37" s="100">
        <v>17.059999999999999</v>
      </c>
      <c r="E37" s="100">
        <v>8.66</v>
      </c>
      <c r="F37" s="152" t="s">
        <v>15</v>
      </c>
      <c r="G37" s="100">
        <v>91.9</v>
      </c>
      <c r="H37" s="100">
        <v>33.630000000000003</v>
      </c>
      <c r="I37" s="100">
        <v>10.72</v>
      </c>
      <c r="J37" s="100">
        <v>0.25</v>
      </c>
      <c r="K37" s="100">
        <v>137.26</v>
      </c>
      <c r="L37" s="100">
        <v>26.22</v>
      </c>
      <c r="M37" s="100">
        <v>59.85</v>
      </c>
      <c r="N37" s="100">
        <v>38.9</v>
      </c>
      <c r="O37" s="100">
        <v>0</v>
      </c>
      <c r="P37" s="100">
        <v>0.87</v>
      </c>
      <c r="Q37" s="100">
        <v>28.06</v>
      </c>
      <c r="R37" s="6"/>
      <c r="S37" s="6"/>
      <c r="T37" s="156"/>
      <c r="U37" s="6"/>
    </row>
    <row r="38" spans="1:21" customFormat="1">
      <c r="A38" s="163" t="s">
        <v>2188</v>
      </c>
      <c r="B38" s="100">
        <v>4.8</v>
      </c>
      <c r="C38" s="100">
        <v>21.97</v>
      </c>
      <c r="D38" s="100">
        <v>16.68</v>
      </c>
      <c r="E38" s="100">
        <v>8.75</v>
      </c>
      <c r="F38" s="152" t="s">
        <v>15</v>
      </c>
      <c r="G38" s="100">
        <v>91.9</v>
      </c>
      <c r="H38" s="100">
        <v>33.630000000000003</v>
      </c>
      <c r="I38" s="100">
        <v>10.76</v>
      </c>
      <c r="J38" s="100">
        <v>0.22</v>
      </c>
      <c r="K38" s="100">
        <v>155.9</v>
      </c>
      <c r="L38" s="100">
        <v>26.15</v>
      </c>
      <c r="M38" s="100">
        <v>60.61</v>
      </c>
      <c r="N38" s="100">
        <v>40.700000000000003</v>
      </c>
      <c r="O38" s="100">
        <v>0</v>
      </c>
      <c r="P38" s="100">
        <v>0.87</v>
      </c>
      <c r="Q38" s="100">
        <v>28.06</v>
      </c>
      <c r="R38" s="6"/>
      <c r="S38" s="6"/>
      <c r="T38" s="156"/>
      <c r="U38" s="6"/>
    </row>
    <row r="39" spans="1:21" customFormat="1">
      <c r="A39" s="163" t="s">
        <v>2189</v>
      </c>
      <c r="B39" s="100">
        <v>4.84</v>
      </c>
      <c r="C39" s="100">
        <v>20.53</v>
      </c>
      <c r="D39" s="100">
        <v>15.96</v>
      </c>
      <c r="E39" s="100">
        <v>8.42</v>
      </c>
      <c r="F39" s="152" t="s">
        <v>15</v>
      </c>
      <c r="G39" s="100">
        <v>91.9</v>
      </c>
      <c r="H39" s="100">
        <v>33.630000000000003</v>
      </c>
      <c r="I39" s="100">
        <v>10.74</v>
      </c>
      <c r="J39" s="100">
        <v>0.12</v>
      </c>
      <c r="K39" s="100">
        <v>129.4</v>
      </c>
      <c r="L39" s="100">
        <v>26.42</v>
      </c>
      <c r="M39" s="100">
        <v>59.91</v>
      </c>
      <c r="N39" s="100">
        <v>55</v>
      </c>
      <c r="O39" s="100">
        <v>0</v>
      </c>
      <c r="P39" s="100">
        <v>0.87</v>
      </c>
      <c r="Q39" s="100">
        <v>28.05</v>
      </c>
      <c r="R39" s="6"/>
      <c r="S39" s="6"/>
      <c r="T39" s="156"/>
      <c r="U39" s="6"/>
    </row>
    <row r="40" spans="1:21" customFormat="1">
      <c r="A40" s="163" t="s">
        <v>2190</v>
      </c>
      <c r="B40" s="100">
        <v>4.93</v>
      </c>
      <c r="C40" s="100">
        <v>19.920000000000002</v>
      </c>
      <c r="D40" s="100">
        <v>15.71</v>
      </c>
      <c r="E40" s="100">
        <v>8.81</v>
      </c>
      <c r="F40" s="152" t="s">
        <v>15</v>
      </c>
      <c r="G40" s="100">
        <v>84.21</v>
      </c>
      <c r="H40" s="100">
        <v>35.950000000000003</v>
      </c>
      <c r="I40" s="100">
        <v>10.72</v>
      </c>
      <c r="J40" s="100">
        <v>0.18</v>
      </c>
      <c r="K40" s="100">
        <v>148.27000000000001</v>
      </c>
      <c r="L40" s="100">
        <v>26.74</v>
      </c>
      <c r="M40" s="100">
        <v>58.72</v>
      </c>
      <c r="N40" s="100">
        <v>54.9</v>
      </c>
      <c r="O40" s="100">
        <v>0</v>
      </c>
      <c r="P40" s="100">
        <v>0.87</v>
      </c>
      <c r="Q40" s="100">
        <v>28.07</v>
      </c>
      <c r="R40" s="6"/>
      <c r="S40" s="6"/>
      <c r="T40" s="156"/>
      <c r="U40" s="6"/>
    </row>
    <row r="41" spans="1:21" customFormat="1">
      <c r="A41" s="163" t="s">
        <v>2191</v>
      </c>
      <c r="B41" s="100">
        <v>5</v>
      </c>
      <c r="C41" s="100">
        <v>20.25</v>
      </c>
      <c r="D41" s="100">
        <v>15.94</v>
      </c>
      <c r="E41" s="100">
        <v>8.5500000000000007</v>
      </c>
      <c r="F41" s="152" t="s">
        <v>15</v>
      </c>
      <c r="G41" s="100">
        <v>81.41</v>
      </c>
      <c r="H41" s="100">
        <v>35.979999999999997</v>
      </c>
      <c r="I41" s="100">
        <v>10.73</v>
      </c>
      <c r="J41" s="100">
        <v>0.26</v>
      </c>
      <c r="K41" s="100">
        <v>130.38999999999999</v>
      </c>
      <c r="L41" s="100">
        <v>27.38</v>
      </c>
      <c r="M41" s="100">
        <v>56.24</v>
      </c>
      <c r="N41" s="100">
        <v>99.9</v>
      </c>
      <c r="O41" s="100">
        <v>0</v>
      </c>
      <c r="P41" s="100">
        <v>0.86</v>
      </c>
      <c r="Q41" s="100">
        <v>28.08</v>
      </c>
      <c r="R41" s="6"/>
      <c r="S41" s="6"/>
      <c r="T41" s="156"/>
      <c r="U41" s="6"/>
    </row>
    <row r="42" spans="1:21" customFormat="1">
      <c r="A42" s="163" t="s">
        <v>2192</v>
      </c>
      <c r="B42" s="100">
        <v>5.07</v>
      </c>
      <c r="C42" s="100">
        <v>20.010000000000002</v>
      </c>
      <c r="D42" s="100">
        <v>15.87</v>
      </c>
      <c r="E42" s="100">
        <v>8.6999999999999993</v>
      </c>
      <c r="F42" s="152" t="s">
        <v>15</v>
      </c>
      <c r="G42" s="100">
        <v>81.41</v>
      </c>
      <c r="H42" s="100">
        <v>35.979999999999997</v>
      </c>
      <c r="I42" s="100">
        <v>10.7</v>
      </c>
      <c r="J42" s="100">
        <v>0.13</v>
      </c>
      <c r="K42" s="100">
        <v>183.69</v>
      </c>
      <c r="L42" s="100">
        <v>28.33</v>
      </c>
      <c r="M42" s="100">
        <v>52.48</v>
      </c>
      <c r="N42" s="100">
        <v>113.1</v>
      </c>
      <c r="O42" s="100">
        <v>0</v>
      </c>
      <c r="P42" s="100">
        <v>0.86</v>
      </c>
      <c r="Q42" s="100">
        <v>28.07</v>
      </c>
      <c r="R42" s="6"/>
      <c r="S42" s="6"/>
      <c r="T42" s="156"/>
      <c r="U42" s="6"/>
    </row>
    <row r="43" spans="1:21" customFormat="1">
      <c r="A43" s="163" t="s">
        <v>2193</v>
      </c>
      <c r="B43" s="100">
        <v>5.12</v>
      </c>
      <c r="C43" s="100">
        <v>18.829999999999998</v>
      </c>
      <c r="D43" s="100">
        <v>15.29</v>
      </c>
      <c r="E43" s="100">
        <v>8.91</v>
      </c>
      <c r="F43" s="152" t="s">
        <v>15</v>
      </c>
      <c r="G43" s="100">
        <v>81.41</v>
      </c>
      <c r="H43" s="100">
        <v>35.979999999999997</v>
      </c>
      <c r="I43" s="100">
        <v>10.71</v>
      </c>
      <c r="J43" s="100">
        <v>0.13</v>
      </c>
      <c r="K43" s="100">
        <v>125.71</v>
      </c>
      <c r="L43" s="100">
        <v>28.54</v>
      </c>
      <c r="M43" s="100">
        <v>50.82</v>
      </c>
      <c r="N43" s="100">
        <v>100.5</v>
      </c>
      <c r="O43" s="100">
        <v>0</v>
      </c>
      <c r="P43" s="100">
        <v>0.85</v>
      </c>
      <c r="Q43" s="100">
        <v>28.06</v>
      </c>
      <c r="R43" s="6"/>
      <c r="S43" s="6"/>
      <c r="T43" s="156"/>
      <c r="U43" s="6"/>
    </row>
    <row r="44" spans="1:21" customFormat="1">
      <c r="A44" s="163" t="s">
        <v>2194</v>
      </c>
      <c r="B44" s="100">
        <v>5.09</v>
      </c>
      <c r="C44" s="100">
        <v>19.03</v>
      </c>
      <c r="D44" s="100">
        <v>15.37</v>
      </c>
      <c r="E44" s="100">
        <v>9.2100000000000009</v>
      </c>
      <c r="F44" s="152" t="s">
        <v>15</v>
      </c>
      <c r="G44" s="100">
        <v>83.57</v>
      </c>
      <c r="H44" s="100">
        <v>34.53</v>
      </c>
      <c r="I44" s="100">
        <v>10.72</v>
      </c>
      <c r="J44" s="100">
        <v>0.15</v>
      </c>
      <c r="K44" s="100">
        <v>183.06</v>
      </c>
      <c r="L44" s="100">
        <v>29.33</v>
      </c>
      <c r="M44" s="100">
        <v>48.24</v>
      </c>
      <c r="N44" s="100">
        <v>120.6</v>
      </c>
      <c r="O44" s="100">
        <v>0</v>
      </c>
      <c r="P44" s="100">
        <v>0.87</v>
      </c>
      <c r="Q44" s="100">
        <v>28.06</v>
      </c>
      <c r="R44" s="6"/>
      <c r="S44" s="6"/>
      <c r="T44" s="156"/>
      <c r="U44" s="6"/>
    </row>
    <row r="45" spans="1:21" customFormat="1">
      <c r="A45" s="163" t="s">
        <v>2195</v>
      </c>
      <c r="B45" s="100">
        <v>5.07</v>
      </c>
      <c r="C45" s="100">
        <v>19.12</v>
      </c>
      <c r="D45" s="100">
        <v>15.41</v>
      </c>
      <c r="E45" s="100">
        <v>9</v>
      </c>
      <c r="F45" s="152" t="s">
        <v>15</v>
      </c>
      <c r="G45" s="100">
        <v>84.35</v>
      </c>
      <c r="H45" s="100">
        <v>34.5</v>
      </c>
      <c r="I45" s="100">
        <v>10.74</v>
      </c>
      <c r="J45" s="100">
        <v>0.34</v>
      </c>
      <c r="K45" s="100">
        <v>274.5</v>
      </c>
      <c r="L45" s="100">
        <v>29.11</v>
      </c>
      <c r="M45" s="100">
        <v>48.46</v>
      </c>
      <c r="N45" s="100">
        <v>153.80000000000001</v>
      </c>
      <c r="O45" s="100">
        <v>0</v>
      </c>
      <c r="P45" s="100">
        <v>0.87</v>
      </c>
      <c r="Q45" s="100">
        <v>28.07</v>
      </c>
      <c r="R45" s="6"/>
      <c r="S45" s="6"/>
      <c r="T45" s="156"/>
      <c r="U45" s="6"/>
    </row>
    <row r="46" spans="1:21" customFormat="1">
      <c r="A46" s="163" t="s">
        <v>2196</v>
      </c>
      <c r="B46" s="100">
        <v>4.95</v>
      </c>
      <c r="C46" s="100">
        <v>18.27</v>
      </c>
      <c r="D46" s="100">
        <v>14.87</v>
      </c>
      <c r="E46" s="100">
        <v>8.94</v>
      </c>
      <c r="F46" s="152" t="s">
        <v>15</v>
      </c>
      <c r="G46" s="100">
        <v>84.35</v>
      </c>
      <c r="H46" s="100">
        <v>34.5</v>
      </c>
      <c r="I46" s="100">
        <v>10.74</v>
      </c>
      <c r="J46" s="100">
        <v>0.53</v>
      </c>
      <c r="K46" s="100">
        <v>260.88</v>
      </c>
      <c r="L46" s="100">
        <v>29.97</v>
      </c>
      <c r="M46" s="100">
        <v>45.2</v>
      </c>
      <c r="N46" s="100">
        <v>184.2</v>
      </c>
      <c r="O46" s="100">
        <v>0</v>
      </c>
      <c r="P46" s="100">
        <v>0.86</v>
      </c>
      <c r="Q46" s="100">
        <v>28.05</v>
      </c>
      <c r="R46" s="6"/>
      <c r="S46" s="6"/>
      <c r="T46" s="156"/>
      <c r="U46" s="6"/>
    </row>
    <row r="47" spans="1:21" customFormat="1">
      <c r="A47" s="163" t="s">
        <v>2197</v>
      </c>
      <c r="B47" s="100">
        <v>5.51</v>
      </c>
      <c r="C47" s="100">
        <v>20.23</v>
      </c>
      <c r="D47" s="100">
        <v>16.34</v>
      </c>
      <c r="E47" s="100">
        <v>9.3800000000000008</v>
      </c>
      <c r="F47" s="152" t="s">
        <v>15</v>
      </c>
      <c r="G47" s="100">
        <v>84.35</v>
      </c>
      <c r="H47" s="100">
        <v>34.5</v>
      </c>
      <c r="I47" s="100">
        <v>10.77</v>
      </c>
      <c r="J47" s="100">
        <v>0.88</v>
      </c>
      <c r="K47" s="100">
        <v>254.79</v>
      </c>
      <c r="L47" s="100">
        <v>31.03</v>
      </c>
      <c r="M47" s="100">
        <v>42.03</v>
      </c>
      <c r="N47" s="100">
        <v>226.6</v>
      </c>
      <c r="O47" s="100">
        <v>0</v>
      </c>
      <c r="P47" s="100">
        <v>0.88</v>
      </c>
      <c r="Q47" s="100">
        <v>28.03</v>
      </c>
      <c r="R47" s="6"/>
      <c r="S47" s="6"/>
      <c r="T47" s="156"/>
      <c r="U47" s="6"/>
    </row>
    <row r="48" spans="1:21" customFormat="1">
      <c r="A48" s="163" t="s">
        <v>2198</v>
      </c>
      <c r="B48" s="100">
        <v>7.8</v>
      </c>
      <c r="C48" s="100">
        <v>22.6</v>
      </c>
      <c r="D48" s="100">
        <v>19.41</v>
      </c>
      <c r="E48" s="100">
        <v>12.58</v>
      </c>
      <c r="F48" s="152" t="s">
        <v>15</v>
      </c>
      <c r="G48" s="100">
        <v>86.44</v>
      </c>
      <c r="H48" s="100">
        <v>41.84</v>
      </c>
      <c r="I48" s="100">
        <v>10.75</v>
      </c>
      <c r="J48" s="100">
        <v>0.77</v>
      </c>
      <c r="K48" s="100">
        <v>258.17</v>
      </c>
      <c r="L48" s="100">
        <v>31.71</v>
      </c>
      <c r="M48" s="100">
        <v>40.22</v>
      </c>
      <c r="N48" s="100">
        <v>156.69999999999999</v>
      </c>
      <c r="O48" s="100">
        <v>0</v>
      </c>
      <c r="P48" s="100">
        <v>1.08</v>
      </c>
      <c r="Q48" s="100">
        <v>28.07</v>
      </c>
      <c r="R48" s="6"/>
      <c r="S48" s="6"/>
      <c r="T48" s="156"/>
      <c r="U48" s="6"/>
    </row>
    <row r="49" spans="1:21" customFormat="1">
      <c r="A49" s="163" t="s">
        <v>2199</v>
      </c>
      <c r="B49" s="100">
        <v>6.58</v>
      </c>
      <c r="C49" s="100">
        <v>21.73</v>
      </c>
      <c r="D49" s="100">
        <v>17.98</v>
      </c>
      <c r="E49" s="100">
        <v>8.1</v>
      </c>
      <c r="F49" s="152" t="s">
        <v>15</v>
      </c>
      <c r="G49" s="100">
        <v>87.25</v>
      </c>
      <c r="H49" s="100">
        <v>42.06</v>
      </c>
      <c r="I49" s="100">
        <v>12.59</v>
      </c>
      <c r="J49" s="100">
        <v>0.62</v>
      </c>
      <c r="K49" s="100">
        <v>246.49</v>
      </c>
      <c r="L49" s="100">
        <v>30.86</v>
      </c>
      <c r="M49" s="100">
        <v>42.35</v>
      </c>
      <c r="N49" s="100">
        <v>143.5</v>
      </c>
      <c r="O49" s="100">
        <v>0</v>
      </c>
      <c r="P49" s="100">
        <v>1.06</v>
      </c>
      <c r="Q49" s="100">
        <v>28.09</v>
      </c>
      <c r="R49" s="6"/>
      <c r="S49" s="6"/>
      <c r="T49" s="156"/>
      <c r="U49" s="6"/>
    </row>
    <row r="50" spans="1:21" customFormat="1">
      <c r="A50" s="163" t="s">
        <v>2200</v>
      </c>
      <c r="B50" s="100">
        <v>5.78</v>
      </c>
      <c r="C50" s="100">
        <v>19.71</v>
      </c>
      <c r="D50" s="100">
        <v>16.28</v>
      </c>
      <c r="E50" s="100">
        <v>9.98</v>
      </c>
      <c r="F50" s="152" t="s">
        <v>15</v>
      </c>
      <c r="G50" s="100">
        <v>87.25</v>
      </c>
      <c r="H50" s="100">
        <v>42.06</v>
      </c>
      <c r="I50" s="100">
        <v>14.95</v>
      </c>
      <c r="J50" s="100">
        <v>0.5</v>
      </c>
      <c r="K50" s="100">
        <v>243.94</v>
      </c>
      <c r="L50" s="100">
        <v>31.75</v>
      </c>
      <c r="M50" s="100">
        <v>40.25</v>
      </c>
      <c r="N50" s="100">
        <v>167.4</v>
      </c>
      <c r="O50" s="100">
        <v>0</v>
      </c>
      <c r="P50" s="100">
        <v>1.02</v>
      </c>
      <c r="Q50" s="100">
        <v>28.08</v>
      </c>
      <c r="R50" s="6"/>
      <c r="S50" s="6"/>
      <c r="T50" s="156"/>
      <c r="U50" s="6"/>
    </row>
    <row r="51" spans="1:21" customFormat="1">
      <c r="A51" s="163" t="s">
        <v>2201</v>
      </c>
      <c r="B51" s="100">
        <v>5.8</v>
      </c>
      <c r="C51" s="100">
        <v>20.100000000000001</v>
      </c>
      <c r="D51" s="100">
        <v>16.510000000000002</v>
      </c>
      <c r="E51" s="100">
        <v>10.45</v>
      </c>
      <c r="F51" s="152" t="s">
        <v>15</v>
      </c>
      <c r="G51" s="100">
        <v>87.25</v>
      </c>
      <c r="H51" s="100">
        <v>42.06</v>
      </c>
      <c r="I51" s="100">
        <v>13.74</v>
      </c>
      <c r="J51" s="100">
        <v>0.87</v>
      </c>
      <c r="K51" s="100">
        <v>254.97</v>
      </c>
      <c r="L51" s="100">
        <v>32.700000000000003</v>
      </c>
      <c r="M51" s="100">
        <v>37.32</v>
      </c>
      <c r="N51" s="100">
        <v>264.39999999999998</v>
      </c>
      <c r="O51" s="100">
        <v>0</v>
      </c>
      <c r="P51" s="100">
        <v>1.1100000000000001</v>
      </c>
      <c r="Q51" s="100">
        <v>28.07</v>
      </c>
      <c r="R51" s="6"/>
      <c r="S51" s="6"/>
      <c r="T51" s="156"/>
      <c r="U51" s="6"/>
    </row>
    <row r="52" spans="1:21" customFormat="1">
      <c r="A52" s="163" t="s">
        <v>2202</v>
      </c>
      <c r="B52" s="100">
        <v>5.39</v>
      </c>
      <c r="C52" s="100">
        <v>19.149999999999999</v>
      </c>
      <c r="D52" s="100">
        <v>15.68</v>
      </c>
      <c r="E52" s="100">
        <v>9.92</v>
      </c>
      <c r="F52" s="152" t="s">
        <v>15</v>
      </c>
      <c r="G52" s="100">
        <v>100.95</v>
      </c>
      <c r="H52" s="100">
        <v>57.36</v>
      </c>
      <c r="I52" s="100">
        <v>13.85</v>
      </c>
      <c r="J52" s="100">
        <v>0.86</v>
      </c>
      <c r="K52" s="100">
        <v>255.39</v>
      </c>
      <c r="L52" s="100">
        <v>32.44</v>
      </c>
      <c r="M52" s="100">
        <v>38.479999999999997</v>
      </c>
      <c r="N52" s="100">
        <v>169.5</v>
      </c>
      <c r="O52" s="100">
        <v>0</v>
      </c>
      <c r="P52" s="100">
        <v>1.01</v>
      </c>
      <c r="Q52" s="100">
        <v>28.06</v>
      </c>
      <c r="R52" s="6"/>
      <c r="S52" s="6"/>
      <c r="T52" s="156"/>
      <c r="U52" s="6"/>
    </row>
    <row r="53" spans="1:21" customFormat="1">
      <c r="A53" s="163" t="s">
        <v>2203</v>
      </c>
      <c r="B53" s="100">
        <v>5.0999999999999996</v>
      </c>
      <c r="C53" s="100">
        <v>18.940000000000001</v>
      </c>
      <c r="D53" s="100">
        <v>15.34</v>
      </c>
      <c r="E53" s="100">
        <v>9.67</v>
      </c>
      <c r="F53" s="152" t="s">
        <v>15</v>
      </c>
      <c r="G53" s="100">
        <v>106.22</v>
      </c>
      <c r="H53" s="100">
        <v>57.73</v>
      </c>
      <c r="I53" s="100">
        <v>14.64</v>
      </c>
      <c r="J53" s="100">
        <v>0.74</v>
      </c>
      <c r="K53" s="100">
        <v>250.64</v>
      </c>
      <c r="L53" s="100">
        <v>32.549999999999997</v>
      </c>
      <c r="M53" s="100">
        <v>38.57</v>
      </c>
      <c r="N53" s="100">
        <v>257.2</v>
      </c>
      <c r="O53" s="100">
        <v>0</v>
      </c>
      <c r="P53" s="100">
        <v>1.05</v>
      </c>
      <c r="Q53" s="100">
        <v>28.05</v>
      </c>
      <c r="R53" s="6"/>
      <c r="S53" s="6"/>
      <c r="T53" s="156"/>
      <c r="U53" s="6"/>
    </row>
    <row r="54" spans="1:21" customFormat="1">
      <c r="A54" s="163" t="s">
        <v>2204</v>
      </c>
      <c r="B54" s="100">
        <v>4.8499999999999996</v>
      </c>
      <c r="C54" s="100">
        <v>19.54</v>
      </c>
      <c r="D54" s="100">
        <v>15.45</v>
      </c>
      <c r="E54" s="100">
        <v>9.18</v>
      </c>
      <c r="F54" s="152" t="s">
        <v>15</v>
      </c>
      <c r="G54" s="100">
        <v>106.22</v>
      </c>
      <c r="H54" s="100">
        <v>57.73</v>
      </c>
      <c r="I54" s="100">
        <v>14.16</v>
      </c>
      <c r="J54" s="100">
        <v>1.1499999999999999</v>
      </c>
      <c r="K54" s="100">
        <v>255.59</v>
      </c>
      <c r="L54" s="100">
        <v>33.15</v>
      </c>
      <c r="M54" s="100">
        <v>36.33</v>
      </c>
      <c r="N54" s="100">
        <v>332.8</v>
      </c>
      <c r="O54" s="100">
        <v>0</v>
      </c>
      <c r="P54" s="100">
        <v>1.04</v>
      </c>
      <c r="Q54" s="100">
        <v>28.04</v>
      </c>
      <c r="R54" s="6"/>
      <c r="S54" s="6"/>
      <c r="T54" s="156"/>
      <c r="U54" s="6"/>
    </row>
    <row r="55" spans="1:21" customFormat="1">
      <c r="A55" s="163" t="s">
        <v>2205</v>
      </c>
      <c r="B55" s="100">
        <v>4.6100000000000003</v>
      </c>
      <c r="C55" s="100">
        <v>19.28</v>
      </c>
      <c r="D55" s="100">
        <v>15.12</v>
      </c>
      <c r="E55" s="100">
        <v>9.36</v>
      </c>
      <c r="F55" s="152" t="s">
        <v>15</v>
      </c>
      <c r="G55" s="100">
        <v>106.22</v>
      </c>
      <c r="H55" s="100">
        <v>57.73</v>
      </c>
      <c r="I55" s="100">
        <v>13.89</v>
      </c>
      <c r="J55" s="100">
        <v>0.95</v>
      </c>
      <c r="K55" s="100">
        <v>264.54000000000002</v>
      </c>
      <c r="L55" s="100">
        <v>33.99</v>
      </c>
      <c r="M55" s="100">
        <v>33.6</v>
      </c>
      <c r="N55" s="100">
        <v>306.3</v>
      </c>
      <c r="O55" s="100">
        <v>0</v>
      </c>
      <c r="P55" s="100">
        <v>1.01</v>
      </c>
      <c r="Q55" s="100">
        <v>28.04</v>
      </c>
      <c r="R55" s="6"/>
      <c r="S55" s="6"/>
      <c r="T55" s="156"/>
      <c r="U55" s="6"/>
    </row>
    <row r="56" spans="1:21" customFormat="1">
      <c r="A56" s="163" t="s">
        <v>2206</v>
      </c>
      <c r="B56" s="100">
        <v>4.3899999999999997</v>
      </c>
      <c r="C56" s="100">
        <v>18.600000000000001</v>
      </c>
      <c r="D56" s="100">
        <v>14.58</v>
      </c>
      <c r="E56" s="100">
        <v>9.39</v>
      </c>
      <c r="F56" s="152" t="s">
        <v>15</v>
      </c>
      <c r="G56" s="100">
        <v>88.68</v>
      </c>
      <c r="H56" s="100">
        <v>36.770000000000003</v>
      </c>
      <c r="I56" s="100">
        <v>13.72</v>
      </c>
      <c r="J56" s="100">
        <v>0.9</v>
      </c>
      <c r="K56" s="100">
        <v>260.47000000000003</v>
      </c>
      <c r="L56" s="100">
        <v>34.14</v>
      </c>
      <c r="M56" s="100">
        <v>32.64</v>
      </c>
      <c r="N56" s="100">
        <v>322</v>
      </c>
      <c r="O56" s="100">
        <v>0</v>
      </c>
      <c r="P56" s="100">
        <v>0.98</v>
      </c>
      <c r="Q56" s="100">
        <v>28.04</v>
      </c>
      <c r="R56" s="6"/>
      <c r="S56" s="6"/>
      <c r="T56" s="156"/>
      <c r="U56" s="6"/>
    </row>
    <row r="57" spans="1:21" customFormat="1">
      <c r="A57" s="163" t="s">
        <v>2207</v>
      </c>
      <c r="B57" s="100">
        <v>4.24</v>
      </c>
      <c r="C57" s="100">
        <v>18.61</v>
      </c>
      <c r="D57" s="100">
        <v>14.47</v>
      </c>
      <c r="E57" s="100">
        <v>9.08</v>
      </c>
      <c r="F57" s="152" t="s">
        <v>15</v>
      </c>
      <c r="G57" s="100">
        <v>82.3</v>
      </c>
      <c r="H57" s="100">
        <v>36.44</v>
      </c>
      <c r="I57" s="100">
        <v>13.29</v>
      </c>
      <c r="J57" s="100">
        <v>0.93</v>
      </c>
      <c r="K57" s="100">
        <v>252.75</v>
      </c>
      <c r="L57" s="100">
        <v>34.71</v>
      </c>
      <c r="M57" s="100">
        <v>31.75</v>
      </c>
      <c r="N57" s="100">
        <v>337.4</v>
      </c>
      <c r="O57" s="100">
        <v>0</v>
      </c>
      <c r="P57" s="100">
        <v>0.95</v>
      </c>
      <c r="Q57" s="100">
        <v>28.02</v>
      </c>
      <c r="R57" s="6"/>
      <c r="S57" s="6"/>
      <c r="T57" s="156"/>
      <c r="U57" s="6"/>
    </row>
    <row r="58" spans="1:21" customFormat="1">
      <c r="A58" s="163" t="s">
        <v>2208</v>
      </c>
      <c r="B58" s="100">
        <v>4.07</v>
      </c>
      <c r="C58" s="100">
        <v>18.36</v>
      </c>
      <c r="D58" s="100">
        <v>14.2</v>
      </c>
      <c r="E58" s="100">
        <v>8.91</v>
      </c>
      <c r="F58" s="152" t="s">
        <v>15</v>
      </c>
      <c r="G58" s="100">
        <v>82.3</v>
      </c>
      <c r="H58" s="100">
        <v>36.44</v>
      </c>
      <c r="I58" s="100">
        <v>12.9</v>
      </c>
      <c r="J58" s="100">
        <v>0.89</v>
      </c>
      <c r="K58" s="100">
        <v>254.87</v>
      </c>
      <c r="L58" s="100">
        <v>35.24</v>
      </c>
      <c r="M58" s="100">
        <v>28.44</v>
      </c>
      <c r="N58" s="100">
        <v>338.3</v>
      </c>
      <c r="O58" s="100">
        <v>0</v>
      </c>
      <c r="P58" s="100">
        <v>0.91</v>
      </c>
      <c r="Q58" s="100">
        <v>28.02</v>
      </c>
      <c r="R58" s="6"/>
      <c r="S58" s="6"/>
      <c r="T58" s="156"/>
      <c r="U58" s="6"/>
    </row>
    <row r="59" spans="1:21" customFormat="1">
      <c r="A59" s="163" t="s">
        <v>2209</v>
      </c>
      <c r="B59" s="100">
        <v>3.88</v>
      </c>
      <c r="C59" s="100">
        <v>17.95</v>
      </c>
      <c r="D59" s="100">
        <v>13.84</v>
      </c>
      <c r="E59" s="100">
        <v>8.3800000000000008</v>
      </c>
      <c r="F59" s="152" t="s">
        <v>15</v>
      </c>
      <c r="G59" s="100">
        <v>82.3</v>
      </c>
      <c r="H59" s="100">
        <v>36.44</v>
      </c>
      <c r="I59" s="100">
        <v>12.72</v>
      </c>
      <c r="J59" s="100">
        <v>1.06</v>
      </c>
      <c r="K59" s="100">
        <v>266.60000000000002</v>
      </c>
      <c r="L59" s="100">
        <v>35.51</v>
      </c>
      <c r="M59" s="100">
        <v>27.35</v>
      </c>
      <c r="N59" s="100">
        <v>344.9</v>
      </c>
      <c r="O59" s="100">
        <v>0</v>
      </c>
      <c r="P59" s="100">
        <v>0.86</v>
      </c>
      <c r="Q59" s="100">
        <v>28.02</v>
      </c>
      <c r="R59" s="6"/>
      <c r="S59" s="6"/>
      <c r="T59" s="156"/>
      <c r="U59" s="6"/>
    </row>
    <row r="60" spans="1:21" customFormat="1">
      <c r="A60" s="163" t="s">
        <v>2210</v>
      </c>
      <c r="B60" s="100">
        <v>3.79</v>
      </c>
      <c r="C60" s="100">
        <v>17.690000000000001</v>
      </c>
      <c r="D60" s="100">
        <v>13.63</v>
      </c>
      <c r="E60" s="100">
        <v>8.82</v>
      </c>
      <c r="F60" s="152" t="s">
        <v>15</v>
      </c>
      <c r="G60" s="100">
        <v>67.59</v>
      </c>
      <c r="H60" s="100">
        <v>24.88</v>
      </c>
      <c r="I60" s="100">
        <v>12.25</v>
      </c>
      <c r="J60" s="100">
        <v>1.21</v>
      </c>
      <c r="K60" s="100">
        <v>270.29000000000002</v>
      </c>
      <c r="L60" s="100">
        <v>35.78</v>
      </c>
      <c r="M60" s="100">
        <v>27.15</v>
      </c>
      <c r="N60" s="100">
        <v>311.5</v>
      </c>
      <c r="O60" s="100">
        <v>0</v>
      </c>
      <c r="P60" s="100">
        <v>0.81</v>
      </c>
      <c r="Q60" s="100">
        <v>28.01</v>
      </c>
      <c r="R60" s="6"/>
      <c r="S60" s="6"/>
      <c r="T60" s="156"/>
      <c r="U60" s="6"/>
    </row>
    <row r="61" spans="1:21" customFormat="1">
      <c r="A61" s="163" t="s">
        <v>2211</v>
      </c>
      <c r="B61" s="100">
        <v>3.72</v>
      </c>
      <c r="C61" s="100">
        <v>17.52</v>
      </c>
      <c r="D61" s="100">
        <v>13.49</v>
      </c>
      <c r="E61" s="100">
        <v>8.66</v>
      </c>
      <c r="F61" s="152" t="s">
        <v>15</v>
      </c>
      <c r="G61" s="100">
        <v>62.24</v>
      </c>
      <c r="H61" s="100">
        <v>24.7</v>
      </c>
      <c r="I61" s="100">
        <v>11.66</v>
      </c>
      <c r="J61" s="100">
        <v>1.06</v>
      </c>
      <c r="K61" s="100">
        <v>258.14</v>
      </c>
      <c r="L61" s="100">
        <v>35.380000000000003</v>
      </c>
      <c r="M61" s="100">
        <v>27.81</v>
      </c>
      <c r="N61" s="100">
        <v>315.3</v>
      </c>
      <c r="O61" s="100">
        <v>0</v>
      </c>
      <c r="P61" s="100">
        <v>0.79</v>
      </c>
      <c r="Q61" s="100">
        <v>28.02</v>
      </c>
      <c r="R61" s="6"/>
      <c r="S61" s="6"/>
      <c r="T61" s="156"/>
      <c r="U61" s="6"/>
    </row>
    <row r="62" spans="1:21" customFormat="1">
      <c r="A62" s="163" t="s">
        <v>2212</v>
      </c>
      <c r="B62" s="100">
        <v>3.67</v>
      </c>
      <c r="C62" s="100">
        <v>17.05</v>
      </c>
      <c r="D62" s="100">
        <v>13.2</v>
      </c>
      <c r="E62" s="100">
        <v>8.2799999999999994</v>
      </c>
      <c r="F62" s="152" t="s">
        <v>15</v>
      </c>
      <c r="G62" s="100">
        <v>62.24</v>
      </c>
      <c r="H62" s="100">
        <v>24.7</v>
      </c>
      <c r="I62" s="100">
        <v>11.19</v>
      </c>
      <c r="J62" s="100">
        <v>1.06</v>
      </c>
      <c r="K62" s="100">
        <v>263.77999999999997</v>
      </c>
      <c r="L62" s="100">
        <v>35.950000000000003</v>
      </c>
      <c r="M62" s="100">
        <v>26.98</v>
      </c>
      <c r="N62" s="100">
        <v>359.9</v>
      </c>
      <c r="O62" s="100">
        <v>0</v>
      </c>
      <c r="P62" s="100">
        <v>0.74</v>
      </c>
      <c r="Q62" s="100">
        <v>28.02</v>
      </c>
      <c r="R62" s="6"/>
      <c r="S62" s="6"/>
      <c r="T62" s="156"/>
      <c r="U62" s="6"/>
    </row>
    <row r="63" spans="1:21" customFormat="1">
      <c r="A63" s="163" t="s">
        <v>2213</v>
      </c>
      <c r="B63" s="100">
        <v>3.65</v>
      </c>
      <c r="C63" s="100">
        <v>16.89</v>
      </c>
      <c r="D63" s="100">
        <v>13.1</v>
      </c>
      <c r="E63" s="100">
        <v>8.35</v>
      </c>
      <c r="F63" s="152" t="s">
        <v>15</v>
      </c>
      <c r="G63" s="100">
        <v>62.24</v>
      </c>
      <c r="H63" s="100">
        <v>24.7</v>
      </c>
      <c r="I63" s="100">
        <v>10.8</v>
      </c>
      <c r="J63" s="100">
        <v>1.05</v>
      </c>
      <c r="K63" s="100">
        <v>264.7</v>
      </c>
      <c r="L63" s="100">
        <v>35.75</v>
      </c>
      <c r="M63" s="100">
        <v>27.28</v>
      </c>
      <c r="N63" s="100">
        <v>220.2</v>
      </c>
      <c r="O63" s="100">
        <v>0</v>
      </c>
      <c r="P63" s="100">
        <v>0.71</v>
      </c>
      <c r="Q63" s="100">
        <v>28</v>
      </c>
      <c r="R63" s="6"/>
      <c r="S63" s="6"/>
      <c r="T63" s="156"/>
      <c r="U63" s="6"/>
    </row>
    <row r="64" spans="1:21" customFormat="1">
      <c r="A64" s="163" t="s">
        <v>2214</v>
      </c>
      <c r="B64" s="100">
        <v>3.61</v>
      </c>
      <c r="C64" s="100">
        <v>16.690000000000001</v>
      </c>
      <c r="D64" s="100">
        <v>12.96</v>
      </c>
      <c r="E64" s="100">
        <v>8.5</v>
      </c>
      <c r="F64" s="152" t="s">
        <v>15</v>
      </c>
      <c r="G64" s="100">
        <v>56.13</v>
      </c>
      <c r="H64" s="100">
        <v>20.079999999999998</v>
      </c>
      <c r="I64" s="100">
        <v>10.3</v>
      </c>
      <c r="J64" s="100">
        <v>1.01</v>
      </c>
      <c r="K64" s="100">
        <v>267.49</v>
      </c>
      <c r="L64" s="100">
        <v>35.19</v>
      </c>
      <c r="M64" s="100">
        <v>28.27</v>
      </c>
      <c r="N64" s="100">
        <v>172.5</v>
      </c>
      <c r="O64" s="100">
        <v>0</v>
      </c>
      <c r="P64" s="100">
        <v>0.68</v>
      </c>
      <c r="Q64" s="100">
        <v>28.01</v>
      </c>
      <c r="R64" s="6"/>
      <c r="S64" s="6"/>
      <c r="T64" s="156"/>
      <c r="U64" s="6"/>
    </row>
    <row r="65" spans="1:21" customFormat="1">
      <c r="A65" s="163" t="s">
        <v>2215</v>
      </c>
      <c r="B65" s="100">
        <v>3.6</v>
      </c>
      <c r="C65" s="100">
        <v>16.21</v>
      </c>
      <c r="D65" s="100">
        <v>12.71</v>
      </c>
      <c r="E65" s="100">
        <v>8.67</v>
      </c>
      <c r="F65" s="152" t="s">
        <v>15</v>
      </c>
      <c r="G65" s="100">
        <v>53.91</v>
      </c>
      <c r="H65" s="100">
        <v>20.010000000000002</v>
      </c>
      <c r="I65" s="100">
        <v>9.92</v>
      </c>
      <c r="J65" s="100">
        <v>0.39</v>
      </c>
      <c r="K65" s="100">
        <v>228.51</v>
      </c>
      <c r="L65" s="100">
        <v>34.94</v>
      </c>
      <c r="M65" s="100">
        <v>29</v>
      </c>
      <c r="N65" s="100">
        <v>191.7</v>
      </c>
      <c r="O65" s="100">
        <v>0</v>
      </c>
      <c r="P65" s="100">
        <v>0.6</v>
      </c>
      <c r="Q65" s="100">
        <v>28.01</v>
      </c>
      <c r="R65" s="6"/>
      <c r="S65" s="6"/>
      <c r="T65" s="156"/>
      <c r="U65" s="6"/>
    </row>
    <row r="66" spans="1:21" customFormat="1">
      <c r="A66" s="163" t="s">
        <v>2216</v>
      </c>
      <c r="B66" s="100">
        <v>3.61</v>
      </c>
      <c r="C66" s="100">
        <v>15.5</v>
      </c>
      <c r="D66" s="100">
        <v>12.35</v>
      </c>
      <c r="E66" s="100">
        <v>8.75</v>
      </c>
      <c r="F66" s="152" t="s">
        <v>15</v>
      </c>
      <c r="G66" s="100">
        <v>53.91</v>
      </c>
      <c r="H66" s="100">
        <v>20.010000000000002</v>
      </c>
      <c r="I66" s="100">
        <v>9.5</v>
      </c>
      <c r="J66" s="100">
        <v>0.78</v>
      </c>
      <c r="K66" s="100">
        <v>245.83</v>
      </c>
      <c r="L66" s="100">
        <v>36.03</v>
      </c>
      <c r="M66" s="100">
        <v>27.89</v>
      </c>
      <c r="N66" s="100">
        <v>293.3</v>
      </c>
      <c r="O66" s="100">
        <v>0</v>
      </c>
      <c r="P66" s="100">
        <v>0.6</v>
      </c>
      <c r="Q66" s="100">
        <v>28.01</v>
      </c>
      <c r="R66" s="6"/>
      <c r="S66" s="6"/>
      <c r="T66" s="156"/>
      <c r="U66" s="6"/>
    </row>
    <row r="67" spans="1:21" customFormat="1">
      <c r="A67" s="163" t="s">
        <v>2217</v>
      </c>
      <c r="B67" s="100">
        <v>3.6</v>
      </c>
      <c r="C67" s="100">
        <v>15.59</v>
      </c>
      <c r="D67" s="100">
        <v>12.38</v>
      </c>
      <c r="E67" s="100">
        <v>8.9499999999999993</v>
      </c>
      <c r="F67" s="152" t="s">
        <v>15</v>
      </c>
      <c r="G67" s="100">
        <v>53.91</v>
      </c>
      <c r="H67" s="100">
        <v>20.010000000000002</v>
      </c>
      <c r="I67" s="100">
        <v>8.99</v>
      </c>
      <c r="J67" s="100">
        <v>0.63</v>
      </c>
      <c r="K67" s="100">
        <v>252.76</v>
      </c>
      <c r="L67" s="100">
        <v>35.090000000000003</v>
      </c>
      <c r="M67" s="100">
        <v>29.84</v>
      </c>
      <c r="N67" s="100">
        <v>116.7</v>
      </c>
      <c r="O67" s="100">
        <v>0</v>
      </c>
      <c r="P67" s="100">
        <v>0.6</v>
      </c>
      <c r="Q67" s="100">
        <v>28.02</v>
      </c>
      <c r="R67" s="6"/>
      <c r="S67" s="6"/>
      <c r="T67" s="156"/>
      <c r="U67" s="6"/>
    </row>
    <row r="68" spans="1:21" customFormat="1">
      <c r="A68" s="163" t="s">
        <v>2218</v>
      </c>
      <c r="B68" s="100">
        <v>3.62</v>
      </c>
      <c r="C68" s="100">
        <v>15.05</v>
      </c>
      <c r="D68" s="100">
        <v>12.11</v>
      </c>
      <c r="E68" s="100">
        <v>9.0399999999999991</v>
      </c>
      <c r="F68" s="152" t="s">
        <v>15</v>
      </c>
      <c r="G68" s="100">
        <v>46.53</v>
      </c>
      <c r="H68" s="100">
        <v>21.77</v>
      </c>
      <c r="I68" s="100">
        <v>8.6</v>
      </c>
      <c r="J68" s="100">
        <v>0.44</v>
      </c>
      <c r="K68" s="100">
        <v>260.56</v>
      </c>
      <c r="L68" s="100">
        <v>34.61</v>
      </c>
      <c r="M68" s="100">
        <v>30.64</v>
      </c>
      <c r="N68" s="100">
        <v>53.2</v>
      </c>
      <c r="O68" s="100">
        <v>0</v>
      </c>
      <c r="P68" s="100">
        <v>0.54</v>
      </c>
      <c r="Q68" s="100">
        <v>28</v>
      </c>
      <c r="R68" s="6"/>
      <c r="S68" s="6"/>
      <c r="T68" s="156"/>
      <c r="U68" s="6"/>
    </row>
    <row r="69" spans="1:21" customFormat="1">
      <c r="A69" s="163" t="s">
        <v>2219</v>
      </c>
      <c r="B69" s="100">
        <v>3.66</v>
      </c>
      <c r="C69" s="100">
        <v>15.47</v>
      </c>
      <c r="D69" s="100">
        <v>12.37</v>
      </c>
      <c r="E69" s="100">
        <v>9.16</v>
      </c>
      <c r="F69" s="152" t="s">
        <v>15</v>
      </c>
      <c r="G69" s="100">
        <v>43.84</v>
      </c>
      <c r="H69" s="100">
        <v>21.8</v>
      </c>
      <c r="I69" s="100">
        <v>8.59</v>
      </c>
      <c r="J69" s="100">
        <v>0.7</v>
      </c>
      <c r="K69" s="100">
        <v>285.88</v>
      </c>
      <c r="L69" s="100">
        <v>33.81</v>
      </c>
      <c r="M69" s="100">
        <v>32.049999999999997</v>
      </c>
      <c r="N69" s="100">
        <v>21</v>
      </c>
      <c r="O69" s="100">
        <v>0</v>
      </c>
      <c r="P69" s="100">
        <v>0.55000000000000004</v>
      </c>
      <c r="Q69" s="100">
        <v>28</v>
      </c>
      <c r="R69" s="6"/>
      <c r="S69" s="6"/>
      <c r="T69" s="156"/>
      <c r="U69" s="6"/>
    </row>
    <row r="70" spans="1:21" customFormat="1">
      <c r="A70" s="163" t="s">
        <v>2220</v>
      </c>
      <c r="B70" s="100">
        <v>4.05</v>
      </c>
      <c r="C70" s="100">
        <v>16.739999999999998</v>
      </c>
      <c r="D70" s="100">
        <v>13.35</v>
      </c>
      <c r="E70" s="100">
        <v>8.84</v>
      </c>
      <c r="F70" s="152" t="s">
        <v>15</v>
      </c>
      <c r="G70" s="100">
        <v>43.84</v>
      </c>
      <c r="H70" s="100">
        <v>21.8</v>
      </c>
      <c r="I70" s="100">
        <v>8.59</v>
      </c>
      <c r="J70" s="100">
        <v>0.36</v>
      </c>
      <c r="K70" s="100">
        <v>271.13</v>
      </c>
      <c r="L70" s="100">
        <v>33.19</v>
      </c>
      <c r="M70" s="100">
        <v>34.93</v>
      </c>
      <c r="N70" s="100">
        <v>12.4</v>
      </c>
      <c r="O70" s="100">
        <v>0</v>
      </c>
      <c r="P70" s="100">
        <v>0.56000000000000005</v>
      </c>
      <c r="Q70" s="100">
        <v>27.99</v>
      </c>
      <c r="R70" s="6"/>
      <c r="S70" s="6"/>
      <c r="T70" s="156"/>
      <c r="U70" s="6"/>
    </row>
    <row r="71" spans="1:21" customFormat="1">
      <c r="A71" s="163" t="s">
        <v>2221</v>
      </c>
      <c r="B71" s="100">
        <v>3.82</v>
      </c>
      <c r="C71" s="100">
        <v>16.829999999999998</v>
      </c>
      <c r="D71" s="100">
        <v>13.21</v>
      </c>
      <c r="E71" s="100">
        <v>8.7899999999999991</v>
      </c>
      <c r="F71" s="152" t="s">
        <v>15</v>
      </c>
      <c r="G71" s="100">
        <v>43.84</v>
      </c>
      <c r="H71" s="100">
        <v>21.8</v>
      </c>
      <c r="I71" s="100">
        <v>8.59</v>
      </c>
      <c r="J71" s="100">
        <v>0.8</v>
      </c>
      <c r="K71" s="100">
        <v>243.84</v>
      </c>
      <c r="L71" s="100">
        <v>27.19</v>
      </c>
      <c r="M71" s="100">
        <v>69.790000000000006</v>
      </c>
      <c r="N71" s="100">
        <v>34</v>
      </c>
      <c r="O71" s="100">
        <v>0.6</v>
      </c>
      <c r="P71" s="100">
        <v>0.54</v>
      </c>
      <c r="Q71" s="100">
        <v>28</v>
      </c>
      <c r="R71" s="6"/>
      <c r="S71" s="6"/>
      <c r="T71" s="156"/>
      <c r="U71" s="6"/>
    </row>
    <row r="72" spans="1:21" customFormat="1">
      <c r="A72" s="163" t="s">
        <v>2222</v>
      </c>
      <c r="B72" s="100">
        <v>3.75</v>
      </c>
      <c r="C72" s="100">
        <v>16.989999999999998</v>
      </c>
      <c r="D72" s="100">
        <v>13.23</v>
      </c>
      <c r="E72" s="100">
        <v>8.86</v>
      </c>
      <c r="F72" s="152" t="s">
        <v>15</v>
      </c>
      <c r="G72" s="100">
        <v>63.94</v>
      </c>
      <c r="H72" s="100">
        <v>21.04</v>
      </c>
      <c r="I72" s="100">
        <v>8.59</v>
      </c>
      <c r="J72" s="100">
        <v>0.32</v>
      </c>
      <c r="K72" s="100">
        <v>122.89</v>
      </c>
      <c r="L72" s="100">
        <v>24.05</v>
      </c>
      <c r="M72" s="100">
        <v>83.62</v>
      </c>
      <c r="N72" s="100">
        <v>55.7</v>
      </c>
      <c r="O72" s="100">
        <v>0</v>
      </c>
      <c r="P72" s="100">
        <v>0.54</v>
      </c>
      <c r="Q72" s="100">
        <v>28</v>
      </c>
      <c r="R72" s="6"/>
      <c r="S72" s="6"/>
      <c r="T72" s="156"/>
      <c r="U72" s="6"/>
    </row>
    <row r="73" spans="1:21" customFormat="1">
      <c r="A73" s="163" t="s">
        <v>2223</v>
      </c>
      <c r="B73" s="100">
        <v>3.73</v>
      </c>
      <c r="C73" s="100">
        <v>16.940000000000001</v>
      </c>
      <c r="D73" s="100">
        <v>13.19</v>
      </c>
      <c r="E73" s="100">
        <v>8.73</v>
      </c>
      <c r="F73" s="152" t="s">
        <v>15</v>
      </c>
      <c r="G73" s="100">
        <v>71.25</v>
      </c>
      <c r="H73" s="100">
        <v>21.02</v>
      </c>
      <c r="I73" s="100">
        <v>8.59</v>
      </c>
      <c r="J73" s="100">
        <v>0.63</v>
      </c>
      <c r="K73" s="100">
        <v>73.2</v>
      </c>
      <c r="L73" s="100">
        <v>24.93</v>
      </c>
      <c r="M73" s="100">
        <v>75.349999999999994</v>
      </c>
      <c r="N73" s="100">
        <v>70.400000000000006</v>
      </c>
      <c r="O73" s="100">
        <v>0</v>
      </c>
      <c r="P73" s="100">
        <v>0.54</v>
      </c>
      <c r="Q73" s="100">
        <v>28.02</v>
      </c>
      <c r="R73" s="6"/>
      <c r="S73" s="6"/>
      <c r="T73" s="156"/>
      <c r="U73" s="6"/>
    </row>
    <row r="74" spans="1:21" customFormat="1">
      <c r="A74" s="163" t="s">
        <v>2224</v>
      </c>
      <c r="B74" s="100">
        <v>4.07</v>
      </c>
      <c r="C74" s="100">
        <v>17.55</v>
      </c>
      <c r="D74" s="100">
        <v>13.78</v>
      </c>
      <c r="E74" s="100">
        <v>8.77</v>
      </c>
      <c r="F74" s="152" t="s">
        <v>15</v>
      </c>
      <c r="G74" s="100">
        <v>71.25</v>
      </c>
      <c r="H74" s="100">
        <v>21.02</v>
      </c>
      <c r="I74" s="100">
        <v>8.59</v>
      </c>
      <c r="J74" s="100">
        <v>0.38</v>
      </c>
      <c r="K74" s="100">
        <v>96.61</v>
      </c>
      <c r="L74" s="100">
        <v>26.17</v>
      </c>
      <c r="M74" s="100">
        <v>71.349999999999994</v>
      </c>
      <c r="N74" s="100">
        <v>76.7</v>
      </c>
      <c r="O74" s="100">
        <v>0</v>
      </c>
      <c r="P74" s="100">
        <v>0.54</v>
      </c>
      <c r="Q74" s="100">
        <v>28.01</v>
      </c>
      <c r="R74" s="6"/>
      <c r="S74" s="6"/>
      <c r="T74" s="156"/>
      <c r="U74" s="6"/>
    </row>
    <row r="75" spans="1:21" customFormat="1">
      <c r="A75" s="163" t="s">
        <v>2225</v>
      </c>
      <c r="B75" s="100">
        <v>4.24</v>
      </c>
      <c r="C75" s="100">
        <v>18.04</v>
      </c>
      <c r="D75" s="100">
        <v>14.17</v>
      </c>
      <c r="E75" s="100">
        <v>8.6199999999999992</v>
      </c>
      <c r="F75" s="152" t="s">
        <v>15</v>
      </c>
      <c r="G75" s="100">
        <v>71.25</v>
      </c>
      <c r="H75" s="100">
        <v>21.02</v>
      </c>
      <c r="I75" s="100">
        <v>8.59</v>
      </c>
      <c r="J75" s="100">
        <v>0.37</v>
      </c>
      <c r="K75" s="100">
        <v>173.43</v>
      </c>
      <c r="L75" s="100">
        <v>26.69</v>
      </c>
      <c r="M75" s="100">
        <v>73.64</v>
      </c>
      <c r="N75" s="100">
        <v>63.1</v>
      </c>
      <c r="O75" s="100">
        <v>0</v>
      </c>
      <c r="P75" s="100">
        <v>0.52</v>
      </c>
      <c r="Q75" s="100">
        <v>28.02</v>
      </c>
      <c r="R75" s="6"/>
      <c r="S75" s="6"/>
      <c r="T75" s="156"/>
      <c r="U75" s="6"/>
    </row>
    <row r="76" spans="1:21" customFormat="1">
      <c r="A76" s="163" t="s">
        <v>2226</v>
      </c>
      <c r="B76" s="100">
        <v>4.29</v>
      </c>
      <c r="C76" s="100">
        <v>18.399999999999999</v>
      </c>
      <c r="D76" s="100">
        <v>14.41</v>
      </c>
      <c r="E76" s="100">
        <v>8.76</v>
      </c>
      <c r="F76" s="152" t="s">
        <v>15</v>
      </c>
      <c r="G76" s="100">
        <v>61.75</v>
      </c>
      <c r="H76" s="100">
        <v>17.899999999999999</v>
      </c>
      <c r="I76" s="100">
        <v>8.59</v>
      </c>
      <c r="J76" s="100">
        <v>0.28000000000000003</v>
      </c>
      <c r="K76" s="100">
        <v>203.22</v>
      </c>
      <c r="L76" s="100">
        <v>26.44</v>
      </c>
      <c r="M76" s="100">
        <v>76.42</v>
      </c>
      <c r="N76" s="100">
        <v>54.9</v>
      </c>
      <c r="O76" s="100">
        <v>0</v>
      </c>
      <c r="P76" s="100">
        <v>0.52</v>
      </c>
      <c r="Q76" s="100">
        <v>28.03</v>
      </c>
      <c r="R76" s="6"/>
      <c r="S76" s="6"/>
      <c r="T76" s="156"/>
      <c r="U76" s="6"/>
    </row>
    <row r="77" spans="1:21" customFormat="1">
      <c r="A77" s="163" t="s">
        <v>2227</v>
      </c>
      <c r="B77" s="100">
        <v>4.38</v>
      </c>
      <c r="C77" s="100">
        <v>18.420000000000002</v>
      </c>
      <c r="D77" s="100">
        <v>14.48</v>
      </c>
      <c r="E77" s="100">
        <v>8.93</v>
      </c>
      <c r="F77" s="152" t="s">
        <v>15</v>
      </c>
      <c r="G77" s="100">
        <v>58.3</v>
      </c>
      <c r="H77" s="100">
        <v>17.829999999999998</v>
      </c>
      <c r="I77" s="100">
        <v>8.59</v>
      </c>
      <c r="J77" s="100">
        <v>0.25</v>
      </c>
      <c r="K77" s="100">
        <v>202.47</v>
      </c>
      <c r="L77" s="100">
        <v>26.29</v>
      </c>
      <c r="M77" s="100">
        <v>78.12</v>
      </c>
      <c r="N77" s="100">
        <v>50</v>
      </c>
      <c r="O77" s="100">
        <v>0</v>
      </c>
      <c r="P77" s="100">
        <v>0.51</v>
      </c>
      <c r="Q77" s="100">
        <v>28.04</v>
      </c>
      <c r="R77" s="6"/>
      <c r="S77" s="6"/>
      <c r="T77" s="156"/>
      <c r="U77" s="6"/>
    </row>
    <row r="78" spans="1:21" customFormat="1">
      <c r="A78" s="163" t="s">
        <v>2228</v>
      </c>
      <c r="B78" s="100">
        <v>4.53</v>
      </c>
      <c r="C78" s="100">
        <v>17.420000000000002</v>
      </c>
      <c r="D78" s="100">
        <v>14.09</v>
      </c>
      <c r="E78" s="100">
        <v>8.75</v>
      </c>
      <c r="F78" s="152" t="s">
        <v>15</v>
      </c>
      <c r="G78" s="100">
        <v>58.3</v>
      </c>
      <c r="H78" s="100">
        <v>17.829999999999998</v>
      </c>
      <c r="I78" s="100">
        <v>8.59</v>
      </c>
      <c r="J78" s="100">
        <v>0.2</v>
      </c>
      <c r="K78" s="100">
        <v>208.83</v>
      </c>
      <c r="L78" s="100">
        <v>26.39</v>
      </c>
      <c r="M78" s="100">
        <v>76.63</v>
      </c>
      <c r="N78" s="100">
        <v>36.6</v>
      </c>
      <c r="O78" s="100">
        <v>0</v>
      </c>
      <c r="P78" s="100">
        <v>0.52</v>
      </c>
      <c r="Q78" s="100">
        <v>28.03</v>
      </c>
      <c r="R78" s="6"/>
      <c r="S78" s="6"/>
      <c r="T78" s="156"/>
      <c r="U78" s="6"/>
    </row>
    <row r="79" spans="1:21" customFormat="1">
      <c r="A79" s="163" t="s">
        <v>2229</v>
      </c>
      <c r="B79" s="100">
        <v>4.7699999999999996</v>
      </c>
      <c r="C79" s="100">
        <v>15.89</v>
      </c>
      <c r="D79" s="100">
        <v>13.48</v>
      </c>
      <c r="E79" s="100">
        <v>9.01</v>
      </c>
      <c r="F79" s="152" t="s">
        <v>15</v>
      </c>
      <c r="G79" s="100">
        <v>58.3</v>
      </c>
      <c r="H79" s="100">
        <v>17.829999999999998</v>
      </c>
      <c r="I79" s="100">
        <v>8.59</v>
      </c>
      <c r="J79" s="100">
        <v>0.19</v>
      </c>
      <c r="K79" s="100">
        <v>165.33</v>
      </c>
      <c r="L79" s="100">
        <v>26.47</v>
      </c>
      <c r="M79" s="100">
        <v>77.63</v>
      </c>
      <c r="N79" s="100">
        <v>26.1</v>
      </c>
      <c r="O79" s="100">
        <v>0</v>
      </c>
      <c r="P79" s="100">
        <v>0.51</v>
      </c>
      <c r="Q79" s="100">
        <v>28.04</v>
      </c>
      <c r="R79" s="6"/>
      <c r="S79" s="6"/>
      <c r="T79" s="156"/>
      <c r="U79" s="6"/>
    </row>
    <row r="80" spans="1:21" customFormat="1">
      <c r="A80" s="163" t="s">
        <v>2230</v>
      </c>
      <c r="B80" s="100">
        <v>4.99</v>
      </c>
      <c r="C80" s="100">
        <v>16.59</v>
      </c>
      <c r="D80" s="100">
        <v>14.02</v>
      </c>
      <c r="E80" s="100">
        <v>9.2100000000000009</v>
      </c>
      <c r="F80" s="152" t="s">
        <v>15</v>
      </c>
      <c r="G80" s="100">
        <v>42.02</v>
      </c>
      <c r="H80" s="100">
        <v>13.61</v>
      </c>
      <c r="I80" s="100">
        <v>8.59</v>
      </c>
      <c r="J80" s="100">
        <v>0.34</v>
      </c>
      <c r="K80" s="100">
        <v>176.71</v>
      </c>
      <c r="L80" s="100">
        <v>26.38</v>
      </c>
      <c r="M80" s="100">
        <v>78.36</v>
      </c>
      <c r="N80" s="100">
        <v>17.3</v>
      </c>
      <c r="O80" s="100">
        <v>0</v>
      </c>
      <c r="P80" s="100">
        <v>0.51</v>
      </c>
      <c r="Q80" s="100">
        <v>28.04</v>
      </c>
      <c r="R80" s="6"/>
      <c r="S80" s="6"/>
      <c r="T80" s="156"/>
      <c r="U80" s="6"/>
    </row>
    <row r="81" spans="1:21" customFormat="1">
      <c r="A81" s="163" t="s">
        <v>2231</v>
      </c>
      <c r="B81" s="100">
        <v>5.24</v>
      </c>
      <c r="C81" s="100">
        <v>16.7</v>
      </c>
      <c r="D81" s="100">
        <v>14.28</v>
      </c>
      <c r="E81" s="100">
        <v>7.08</v>
      </c>
      <c r="F81" s="152" t="s">
        <v>15</v>
      </c>
      <c r="G81" s="100">
        <v>36.090000000000003</v>
      </c>
      <c r="H81" s="100">
        <v>13.55</v>
      </c>
      <c r="I81" s="100">
        <v>8.59</v>
      </c>
      <c r="J81" s="100">
        <v>0.25</v>
      </c>
      <c r="K81" s="100">
        <v>196.81</v>
      </c>
      <c r="L81" s="100">
        <v>26.02</v>
      </c>
      <c r="M81" s="100">
        <v>80.25</v>
      </c>
      <c r="N81" s="100">
        <v>9</v>
      </c>
      <c r="O81" s="100">
        <v>0</v>
      </c>
      <c r="P81" s="100">
        <v>0.5</v>
      </c>
      <c r="Q81" s="100">
        <v>28.04</v>
      </c>
      <c r="R81" s="6"/>
      <c r="S81" s="6"/>
      <c r="T81" s="156"/>
      <c r="U81" s="6"/>
    </row>
    <row r="82" spans="1:21" customFormat="1">
      <c r="A82" s="163" t="s">
        <v>2232</v>
      </c>
      <c r="B82" s="100">
        <v>5.37</v>
      </c>
      <c r="C82" s="100">
        <v>16.72</v>
      </c>
      <c r="D82" s="100">
        <v>14.39</v>
      </c>
      <c r="E82" s="100">
        <v>8.11</v>
      </c>
      <c r="F82" s="152" t="s">
        <v>15</v>
      </c>
      <c r="G82" s="100">
        <v>36.090000000000003</v>
      </c>
      <c r="H82" s="100">
        <v>13.55</v>
      </c>
      <c r="I82" s="100">
        <v>8.59</v>
      </c>
      <c r="J82" s="100">
        <v>0.13</v>
      </c>
      <c r="K82" s="100">
        <v>189.1</v>
      </c>
      <c r="L82" s="100">
        <v>26.17</v>
      </c>
      <c r="M82" s="100">
        <v>80.650000000000006</v>
      </c>
      <c r="N82" s="100">
        <v>6.7</v>
      </c>
      <c r="O82" s="100">
        <v>0</v>
      </c>
      <c r="P82" s="100">
        <v>0.49</v>
      </c>
      <c r="Q82" s="100">
        <v>28.05</v>
      </c>
      <c r="R82" s="6"/>
      <c r="S82" s="6"/>
      <c r="T82" s="156"/>
      <c r="U82" s="6"/>
    </row>
    <row r="83" spans="1:21" customFormat="1">
      <c r="A83" s="163" t="s">
        <v>2233</v>
      </c>
      <c r="B83" s="100">
        <v>5.64</v>
      </c>
      <c r="C83" s="100">
        <v>16.920000000000002</v>
      </c>
      <c r="D83" s="100">
        <v>14.72</v>
      </c>
      <c r="E83" s="100">
        <v>8.19</v>
      </c>
      <c r="F83" s="152" t="s">
        <v>15</v>
      </c>
      <c r="G83" s="100">
        <v>36.090000000000003</v>
      </c>
      <c r="H83" s="100">
        <v>13.55</v>
      </c>
      <c r="I83" s="100">
        <v>8.59</v>
      </c>
      <c r="J83" s="100">
        <v>0.37</v>
      </c>
      <c r="K83" s="100">
        <v>185.53</v>
      </c>
      <c r="L83" s="100">
        <v>25.93</v>
      </c>
      <c r="M83" s="100">
        <v>83.91</v>
      </c>
      <c r="N83" s="100">
        <v>6.9</v>
      </c>
      <c r="O83" s="100">
        <v>0</v>
      </c>
      <c r="P83" s="100">
        <v>0.51</v>
      </c>
      <c r="Q83" s="100">
        <v>28.06</v>
      </c>
      <c r="R83" s="6"/>
      <c r="S83" s="6"/>
      <c r="T83" s="156"/>
      <c r="U83" s="6"/>
    </row>
    <row r="84" spans="1:21" customFormat="1">
      <c r="A84" s="163" t="s">
        <v>2234</v>
      </c>
      <c r="B84" s="100">
        <v>5.8</v>
      </c>
      <c r="C84" s="100">
        <v>16.89</v>
      </c>
      <c r="D84" s="100">
        <v>14.83</v>
      </c>
      <c r="E84" s="100">
        <v>7.9</v>
      </c>
      <c r="F84" s="152" t="s">
        <v>15</v>
      </c>
      <c r="G84" s="100">
        <v>31.91</v>
      </c>
      <c r="H84" s="100">
        <v>9.7899999999999991</v>
      </c>
      <c r="I84" s="100">
        <v>8.59</v>
      </c>
      <c r="J84" s="100">
        <v>0.21</v>
      </c>
      <c r="K84" s="100">
        <v>204.85</v>
      </c>
      <c r="L84" s="100">
        <v>25.84</v>
      </c>
      <c r="M84" s="100">
        <v>86.18</v>
      </c>
      <c r="N84" s="100">
        <v>6.5</v>
      </c>
      <c r="O84" s="100">
        <v>0</v>
      </c>
      <c r="P84" s="100">
        <v>0.5</v>
      </c>
      <c r="Q84" s="100">
        <v>28.09</v>
      </c>
      <c r="R84" s="6"/>
      <c r="S84" s="6"/>
      <c r="T84" s="156"/>
      <c r="U84" s="6"/>
    </row>
    <row r="85" spans="1:21" customFormat="1">
      <c r="A85" s="163" t="s">
        <v>2235</v>
      </c>
      <c r="B85" s="100">
        <v>6.12</v>
      </c>
      <c r="C85" s="100">
        <v>17.170000000000002</v>
      </c>
      <c r="D85" s="100">
        <v>15.23</v>
      </c>
      <c r="E85" s="100">
        <v>7.96</v>
      </c>
      <c r="F85" s="152" t="s">
        <v>15</v>
      </c>
      <c r="G85" s="100">
        <v>30.39</v>
      </c>
      <c r="H85" s="100">
        <v>9.73</v>
      </c>
      <c r="I85" s="100">
        <v>8.59</v>
      </c>
      <c r="J85" s="100">
        <v>0.22</v>
      </c>
      <c r="K85" s="100">
        <v>207.59</v>
      </c>
      <c r="L85" s="100">
        <v>25.7</v>
      </c>
      <c r="M85" s="100">
        <v>88.24</v>
      </c>
      <c r="N85" s="100">
        <v>6.6</v>
      </c>
      <c r="O85" s="100">
        <v>0</v>
      </c>
      <c r="P85" s="100">
        <v>0.51</v>
      </c>
      <c r="Q85" s="100">
        <v>28.1</v>
      </c>
      <c r="R85" s="6"/>
      <c r="S85" s="6"/>
      <c r="T85" s="156"/>
      <c r="U85" s="6"/>
    </row>
    <row r="86" spans="1:21" customFormat="1">
      <c r="A86" s="163" t="s">
        <v>2236</v>
      </c>
      <c r="B86" s="100">
        <v>6.57</v>
      </c>
      <c r="C86" s="100">
        <v>17.559999999999999</v>
      </c>
      <c r="D86" s="100">
        <v>15.79</v>
      </c>
      <c r="E86" s="100">
        <v>8.43</v>
      </c>
      <c r="F86" s="152" t="s">
        <v>15</v>
      </c>
      <c r="G86" s="100">
        <v>30.39</v>
      </c>
      <c r="H86" s="100">
        <v>9.73</v>
      </c>
      <c r="I86" s="100">
        <v>8.59</v>
      </c>
      <c r="J86" s="100">
        <v>0.18</v>
      </c>
      <c r="K86" s="100">
        <v>179.48</v>
      </c>
      <c r="L86" s="100">
        <v>25.67</v>
      </c>
      <c r="M86" s="100">
        <v>89.64</v>
      </c>
      <c r="N86" s="100">
        <v>6.3</v>
      </c>
      <c r="O86" s="100">
        <v>0</v>
      </c>
      <c r="P86" s="100">
        <v>0.54</v>
      </c>
      <c r="Q86" s="100">
        <v>28.1</v>
      </c>
      <c r="R86" s="6"/>
      <c r="S86" s="6"/>
      <c r="T86" s="156"/>
      <c r="U86" s="6"/>
    </row>
    <row r="87" spans="1:21" customFormat="1">
      <c r="A87" s="163" t="s">
        <v>2237</v>
      </c>
      <c r="B87" s="100">
        <v>6.93</v>
      </c>
      <c r="C87" s="100">
        <v>17.75</v>
      </c>
      <c r="D87" s="100">
        <v>16.18</v>
      </c>
      <c r="E87" s="100">
        <v>8.74</v>
      </c>
      <c r="F87" s="152" t="s">
        <v>15</v>
      </c>
      <c r="G87" s="100">
        <v>30.39</v>
      </c>
      <c r="H87" s="100">
        <v>9.73</v>
      </c>
      <c r="I87" s="100">
        <v>8.59</v>
      </c>
      <c r="J87" s="100">
        <v>0.21</v>
      </c>
      <c r="K87" s="100">
        <v>180.49</v>
      </c>
      <c r="L87" s="100">
        <v>25.82</v>
      </c>
      <c r="M87" s="100">
        <v>85.94</v>
      </c>
      <c r="N87" s="100">
        <v>6.3</v>
      </c>
      <c r="O87" s="100">
        <v>0</v>
      </c>
      <c r="P87" s="100">
        <v>0.54</v>
      </c>
      <c r="Q87" s="100">
        <v>28.12</v>
      </c>
      <c r="R87" s="6"/>
      <c r="S87" s="6"/>
      <c r="T87" s="156"/>
      <c r="U87" s="6"/>
    </row>
    <row r="88" spans="1:21" customFormat="1">
      <c r="A88" s="163" t="s">
        <v>2238</v>
      </c>
      <c r="B88" s="100">
        <v>7.24</v>
      </c>
      <c r="C88" s="100">
        <v>17.95</v>
      </c>
      <c r="D88" s="100">
        <v>16.54</v>
      </c>
      <c r="E88" s="100">
        <v>8.17</v>
      </c>
      <c r="F88" s="152" t="s">
        <v>15</v>
      </c>
      <c r="G88" s="100">
        <v>40.479999999999997</v>
      </c>
      <c r="H88" s="100">
        <v>22.91</v>
      </c>
      <c r="I88" s="100">
        <v>8.59</v>
      </c>
      <c r="J88" s="100">
        <v>0.19</v>
      </c>
      <c r="K88" s="100">
        <v>207.76</v>
      </c>
      <c r="L88" s="100">
        <v>25.55</v>
      </c>
      <c r="M88" s="100">
        <v>80.63</v>
      </c>
      <c r="N88" s="100">
        <v>6.5</v>
      </c>
      <c r="O88" s="100">
        <v>0</v>
      </c>
      <c r="P88" s="100">
        <v>0.54</v>
      </c>
      <c r="Q88" s="100">
        <v>28.13</v>
      </c>
      <c r="R88" s="6"/>
      <c r="S88" s="6"/>
      <c r="T88" s="156"/>
      <c r="U88" s="6"/>
    </row>
    <row r="89" spans="1:21" customFormat="1">
      <c r="A89" s="163" t="s">
        <v>2239</v>
      </c>
      <c r="B89" s="100">
        <v>7.63</v>
      </c>
      <c r="C89" s="100">
        <v>18.34</v>
      </c>
      <c r="D89" s="100">
        <v>17.05</v>
      </c>
      <c r="E89" s="100">
        <v>8.5399999999999991</v>
      </c>
      <c r="F89" s="152" t="s">
        <v>15</v>
      </c>
      <c r="G89" s="100">
        <v>44.14</v>
      </c>
      <c r="H89" s="100">
        <v>23.12</v>
      </c>
      <c r="I89" s="100">
        <v>8.59</v>
      </c>
      <c r="J89" s="100">
        <v>0.22</v>
      </c>
      <c r="K89" s="100">
        <v>217.19</v>
      </c>
      <c r="L89" s="100">
        <v>25.48</v>
      </c>
      <c r="M89" s="100">
        <v>77.2</v>
      </c>
      <c r="N89" s="100">
        <v>6.6</v>
      </c>
      <c r="O89" s="100">
        <v>0</v>
      </c>
      <c r="P89" s="100">
        <v>0.55000000000000004</v>
      </c>
      <c r="Q89" s="100">
        <v>28.14</v>
      </c>
      <c r="R89" s="6"/>
      <c r="S89" s="6"/>
      <c r="T89" s="156"/>
      <c r="U89" s="6"/>
    </row>
    <row r="90" spans="1:21" customFormat="1">
      <c r="A90" s="163" t="s">
        <v>2240</v>
      </c>
      <c r="B90" s="100">
        <v>7.87</v>
      </c>
      <c r="C90" s="100">
        <v>18.2</v>
      </c>
      <c r="D90" s="100">
        <v>17.170000000000002</v>
      </c>
      <c r="E90" s="100">
        <v>8.4700000000000006</v>
      </c>
      <c r="F90" s="152" t="s">
        <v>15</v>
      </c>
      <c r="G90" s="100">
        <v>44.14</v>
      </c>
      <c r="H90" s="100">
        <v>23.12</v>
      </c>
      <c r="I90" s="100">
        <v>8.59</v>
      </c>
      <c r="J90" s="100">
        <v>0.22</v>
      </c>
      <c r="K90" s="100">
        <v>247.59</v>
      </c>
      <c r="L90" s="100">
        <v>26.11</v>
      </c>
      <c r="M90" s="100">
        <v>64.040000000000006</v>
      </c>
      <c r="N90" s="100">
        <v>5.9</v>
      </c>
      <c r="O90" s="100">
        <v>0</v>
      </c>
      <c r="P90" s="100">
        <v>0.56000000000000005</v>
      </c>
      <c r="Q90" s="100">
        <v>28.16</v>
      </c>
      <c r="R90" s="6"/>
      <c r="S90" s="6"/>
      <c r="T90" s="156"/>
      <c r="U90" s="6"/>
    </row>
    <row r="91" spans="1:21" customFormat="1">
      <c r="A91" s="163" t="s">
        <v>2241</v>
      </c>
      <c r="B91" s="100">
        <v>7.94</v>
      </c>
      <c r="C91" s="100">
        <v>17.61</v>
      </c>
      <c r="D91" s="100">
        <v>16.920000000000002</v>
      </c>
      <c r="E91" s="100">
        <v>8.5399999999999991</v>
      </c>
      <c r="F91" s="152" t="s">
        <v>15</v>
      </c>
      <c r="G91" s="100">
        <v>44.14</v>
      </c>
      <c r="H91" s="100">
        <v>23.12</v>
      </c>
      <c r="I91" s="100">
        <v>8.59</v>
      </c>
      <c r="J91" s="100">
        <v>0.26</v>
      </c>
      <c r="K91" s="100">
        <v>237.52</v>
      </c>
      <c r="L91" s="100">
        <v>26.44</v>
      </c>
      <c r="M91" s="100">
        <v>60.19</v>
      </c>
      <c r="N91" s="100">
        <v>6.4</v>
      </c>
      <c r="O91" s="100">
        <v>0</v>
      </c>
      <c r="P91" s="100">
        <v>0.55000000000000004</v>
      </c>
      <c r="Q91" s="100">
        <v>28.17</v>
      </c>
      <c r="R91" s="6"/>
      <c r="S91" s="6"/>
      <c r="T91" s="156"/>
      <c r="U91" s="6"/>
    </row>
    <row r="92" spans="1:21" customFormat="1">
      <c r="A92" s="163" t="s">
        <v>2242</v>
      </c>
      <c r="B92" s="100">
        <v>7.97</v>
      </c>
      <c r="C92" s="100">
        <v>17.36</v>
      </c>
      <c r="D92" s="100">
        <v>16.82</v>
      </c>
      <c r="E92" s="100">
        <v>8.36</v>
      </c>
      <c r="F92" s="152" t="s">
        <v>15</v>
      </c>
      <c r="G92" s="100">
        <v>37.770000000000003</v>
      </c>
      <c r="H92" s="100">
        <v>18.41</v>
      </c>
      <c r="I92" s="100">
        <v>8.59</v>
      </c>
      <c r="J92" s="100">
        <v>0.24</v>
      </c>
      <c r="K92" s="100">
        <v>241.52</v>
      </c>
      <c r="L92" s="100">
        <v>26.25</v>
      </c>
      <c r="M92" s="100">
        <v>61.25</v>
      </c>
      <c r="N92" s="100">
        <v>6.7</v>
      </c>
      <c r="O92" s="100">
        <v>0</v>
      </c>
      <c r="P92" s="100">
        <v>0.54</v>
      </c>
      <c r="Q92" s="100">
        <v>28.16</v>
      </c>
      <c r="R92" s="6"/>
      <c r="S92" s="6"/>
      <c r="T92" s="156"/>
      <c r="U92" s="6"/>
    </row>
    <row r="93" spans="1:21" customFormat="1">
      <c r="A93" s="163" t="s">
        <v>2243</v>
      </c>
      <c r="B93" s="100">
        <v>8.02</v>
      </c>
      <c r="C93" s="100">
        <v>17.559999999999999</v>
      </c>
      <c r="D93" s="100">
        <v>16.96</v>
      </c>
      <c r="E93" s="100">
        <v>8.6199999999999992</v>
      </c>
      <c r="F93" s="152" t="s">
        <v>15</v>
      </c>
      <c r="G93" s="100">
        <v>35.450000000000003</v>
      </c>
      <c r="H93" s="100">
        <v>18.34</v>
      </c>
      <c r="I93" s="100">
        <v>8.59</v>
      </c>
      <c r="J93" s="100">
        <v>0.22</v>
      </c>
      <c r="K93" s="100">
        <v>249.77</v>
      </c>
      <c r="L93" s="100">
        <v>25.95</v>
      </c>
      <c r="M93" s="100">
        <v>63.08</v>
      </c>
      <c r="N93" s="100">
        <v>6.9</v>
      </c>
      <c r="O93" s="100">
        <v>0</v>
      </c>
      <c r="P93" s="100">
        <v>0.54</v>
      </c>
      <c r="Q93" s="100">
        <v>28.16</v>
      </c>
      <c r="R93" s="6"/>
      <c r="S93" s="6"/>
      <c r="T93" s="156"/>
      <c r="U93" s="6"/>
    </row>
    <row r="94" spans="1:21" customFormat="1">
      <c r="A94" s="163" t="s">
        <v>2244</v>
      </c>
      <c r="B94" s="100">
        <v>8.02</v>
      </c>
      <c r="C94" s="100">
        <v>17.739999999999998</v>
      </c>
      <c r="D94" s="100">
        <v>17.05</v>
      </c>
      <c r="E94" s="100">
        <v>8.89</v>
      </c>
      <c r="F94" s="152" t="s">
        <v>15</v>
      </c>
      <c r="G94" s="100">
        <v>35.450000000000003</v>
      </c>
      <c r="H94" s="100">
        <v>18.34</v>
      </c>
      <c r="I94" s="100">
        <v>8.59</v>
      </c>
      <c r="J94" s="100">
        <v>0.2</v>
      </c>
      <c r="K94" s="100">
        <v>245.57</v>
      </c>
      <c r="L94" s="100">
        <v>25.78</v>
      </c>
      <c r="M94" s="100">
        <v>64.62</v>
      </c>
      <c r="N94" s="100">
        <v>6.7</v>
      </c>
      <c r="O94" s="100">
        <v>0</v>
      </c>
      <c r="P94" s="100">
        <v>0.56000000000000005</v>
      </c>
      <c r="Q94" s="100">
        <v>28.16</v>
      </c>
      <c r="R94" s="6"/>
      <c r="S94" s="6"/>
      <c r="T94" s="156"/>
      <c r="U94" s="6"/>
    </row>
    <row r="95" spans="1:21" customFormat="1">
      <c r="A95" s="163" t="s">
        <v>2245</v>
      </c>
      <c r="B95" s="100">
        <v>8.1</v>
      </c>
      <c r="C95" s="100">
        <v>17.899999999999999</v>
      </c>
      <c r="D95" s="100">
        <v>17.2</v>
      </c>
      <c r="E95" s="100">
        <v>8.6</v>
      </c>
      <c r="F95" s="152" t="s">
        <v>15</v>
      </c>
      <c r="G95" s="100">
        <v>35.450000000000003</v>
      </c>
      <c r="H95" s="100">
        <v>18.34</v>
      </c>
      <c r="I95" s="100">
        <v>8.59</v>
      </c>
      <c r="J95" s="100">
        <v>0.22</v>
      </c>
      <c r="K95" s="100">
        <v>227.94</v>
      </c>
      <c r="L95" s="100">
        <v>25.51</v>
      </c>
      <c r="M95" s="100">
        <v>67.17</v>
      </c>
      <c r="N95" s="100">
        <v>6.7</v>
      </c>
      <c r="O95" s="100">
        <v>0</v>
      </c>
      <c r="P95" s="100">
        <v>0.56999999999999995</v>
      </c>
      <c r="Q95" s="100">
        <v>28.17</v>
      </c>
      <c r="R95" s="6"/>
      <c r="S95" s="6"/>
      <c r="T95" s="156"/>
      <c r="U95" s="6"/>
    </row>
    <row r="96" spans="1:21" customFormat="1">
      <c r="A96" s="163" t="s">
        <v>2246</v>
      </c>
      <c r="B96" s="100">
        <v>8.15</v>
      </c>
      <c r="C96" s="100">
        <v>17.95</v>
      </c>
      <c r="D96" s="100">
        <v>17.260000000000002</v>
      </c>
      <c r="E96" s="100">
        <v>8.89</v>
      </c>
      <c r="F96" s="152" t="s">
        <v>15</v>
      </c>
      <c r="G96" s="100">
        <v>39.44</v>
      </c>
      <c r="H96" s="100">
        <v>21.8</v>
      </c>
      <c r="I96" s="100">
        <v>8.59</v>
      </c>
      <c r="J96" s="100">
        <v>0.3</v>
      </c>
      <c r="K96" s="100">
        <v>222.71</v>
      </c>
      <c r="L96" s="100">
        <v>25.5</v>
      </c>
      <c r="M96" s="100">
        <v>67.819999999999993</v>
      </c>
      <c r="N96" s="100">
        <v>6.6</v>
      </c>
      <c r="O96" s="100">
        <v>0</v>
      </c>
      <c r="P96" s="100">
        <v>0.56999999999999995</v>
      </c>
      <c r="Q96" s="100">
        <v>28.17</v>
      </c>
      <c r="R96" s="6"/>
      <c r="S96" s="6"/>
      <c r="T96" s="156"/>
      <c r="U96" s="6"/>
    </row>
    <row r="97" spans="1:28" customFormat="1">
      <c r="A97" s="163" t="s">
        <v>2247</v>
      </c>
      <c r="B97" s="100">
        <v>8.06</v>
      </c>
      <c r="C97" s="100">
        <v>18.87</v>
      </c>
      <c r="D97" s="100">
        <v>17.670000000000002</v>
      </c>
      <c r="E97" s="100">
        <v>8.4499999999999993</v>
      </c>
      <c r="F97" s="152" t="s">
        <v>15</v>
      </c>
      <c r="G97" s="100">
        <v>40.89</v>
      </c>
      <c r="H97" s="100">
        <v>21.86</v>
      </c>
      <c r="I97" s="100">
        <v>8.59</v>
      </c>
      <c r="J97" s="100">
        <v>0.3</v>
      </c>
      <c r="K97" s="100">
        <v>240.09</v>
      </c>
      <c r="L97" s="100">
        <v>25.51</v>
      </c>
      <c r="M97" s="100">
        <v>66.88</v>
      </c>
      <c r="N97" s="100">
        <v>6.6</v>
      </c>
      <c r="O97" s="100">
        <v>0</v>
      </c>
      <c r="P97" s="100">
        <v>0.57999999999999996</v>
      </c>
      <c r="Q97" s="100">
        <v>28.17</v>
      </c>
      <c r="R97" s="6"/>
      <c r="S97" s="6"/>
      <c r="T97" s="156"/>
      <c r="U97" s="6"/>
    </row>
    <row r="98" spans="1:28" customFormat="1">
      <c r="A98" s="163" t="s">
        <v>2248</v>
      </c>
      <c r="B98" s="100">
        <v>7.58</v>
      </c>
      <c r="C98" s="100">
        <v>19.12</v>
      </c>
      <c r="D98" s="100">
        <v>17.420000000000002</v>
      </c>
      <c r="E98" s="100">
        <v>8.6</v>
      </c>
      <c r="F98" s="152" t="s">
        <v>15</v>
      </c>
      <c r="G98" s="100">
        <v>40.89</v>
      </c>
      <c r="H98" s="100">
        <v>21.86</v>
      </c>
      <c r="I98" s="100">
        <v>8.59</v>
      </c>
      <c r="J98" s="100">
        <v>0.28999999999999998</v>
      </c>
      <c r="K98" s="100">
        <v>236.23</v>
      </c>
      <c r="L98" s="100">
        <v>25.21</v>
      </c>
      <c r="M98" s="100">
        <v>67.08</v>
      </c>
      <c r="N98" s="100">
        <v>6.8</v>
      </c>
      <c r="O98" s="100">
        <v>0</v>
      </c>
      <c r="P98" s="100">
        <v>0.57999999999999996</v>
      </c>
      <c r="Q98" s="100">
        <v>28.13</v>
      </c>
      <c r="R98" s="6"/>
      <c r="S98" s="6"/>
      <c r="T98" s="156"/>
      <c r="U98" s="6"/>
    </row>
    <row r="99" spans="1:28" customFormat="1">
      <c r="A99" s="163" t="s">
        <v>2249</v>
      </c>
      <c r="B99" s="100">
        <v>7.04</v>
      </c>
      <c r="C99" s="100">
        <v>19.28</v>
      </c>
      <c r="D99" s="100">
        <v>17.07</v>
      </c>
      <c r="E99" s="100">
        <v>8.4</v>
      </c>
      <c r="F99" s="152" t="s">
        <v>15</v>
      </c>
      <c r="G99" s="100">
        <v>40.89</v>
      </c>
      <c r="H99" s="100">
        <v>21.86</v>
      </c>
      <c r="I99" s="100">
        <v>8.59</v>
      </c>
      <c r="J99" s="100">
        <v>0.18</v>
      </c>
      <c r="K99" s="100">
        <v>232.39</v>
      </c>
      <c r="L99" s="100">
        <v>24.96</v>
      </c>
      <c r="M99" s="100">
        <v>66.36</v>
      </c>
      <c r="N99" s="100">
        <v>6.6</v>
      </c>
      <c r="O99" s="100">
        <v>0</v>
      </c>
      <c r="P99" s="100">
        <v>0.56000000000000005</v>
      </c>
      <c r="Q99" s="100">
        <v>28.11</v>
      </c>
      <c r="R99" s="6"/>
      <c r="S99" s="6"/>
      <c r="T99" s="156"/>
      <c r="U99" s="6"/>
    </row>
    <row r="100" spans="1:28" customFormat="1">
      <c r="A100" s="163" t="s">
        <v>2250</v>
      </c>
      <c r="B100" s="100">
        <v>6.53</v>
      </c>
      <c r="C100" s="100">
        <v>19.46</v>
      </c>
      <c r="D100" s="100">
        <v>16.760000000000002</v>
      </c>
      <c r="E100" s="100">
        <v>8.39</v>
      </c>
      <c r="F100" s="152" t="s">
        <v>15</v>
      </c>
      <c r="G100" s="100">
        <v>30.58</v>
      </c>
      <c r="H100" s="100">
        <v>17.72</v>
      </c>
      <c r="I100" s="100">
        <v>8.59</v>
      </c>
      <c r="J100" s="100">
        <v>0.21</v>
      </c>
      <c r="K100" s="100">
        <v>233.38</v>
      </c>
      <c r="L100" s="100">
        <v>24.57</v>
      </c>
      <c r="M100" s="100">
        <v>67.010000000000005</v>
      </c>
      <c r="N100" s="100">
        <v>6.7</v>
      </c>
      <c r="O100" s="100">
        <v>0</v>
      </c>
      <c r="P100" s="100">
        <v>0.55000000000000004</v>
      </c>
      <c r="Q100" s="100">
        <v>28.11</v>
      </c>
      <c r="R100" s="6"/>
      <c r="S100" s="6"/>
      <c r="T100" s="156"/>
      <c r="U100" s="6"/>
      <c r="AB100" s="161"/>
    </row>
    <row r="101" spans="1:28" customFormat="1">
      <c r="A101" s="163" t="s">
        <v>2251</v>
      </c>
      <c r="B101" s="100">
        <v>6.17</v>
      </c>
      <c r="C101" s="100">
        <v>19.53</v>
      </c>
      <c r="D101" s="100">
        <v>16.510000000000002</v>
      </c>
      <c r="E101" s="100">
        <v>8.34</v>
      </c>
      <c r="F101" s="152" t="s">
        <v>15</v>
      </c>
      <c r="G101" s="100">
        <v>26.83</v>
      </c>
      <c r="H101" s="100">
        <v>17.63</v>
      </c>
      <c r="I101" s="100">
        <v>8.59</v>
      </c>
      <c r="J101" s="100">
        <v>0.18</v>
      </c>
      <c r="K101" s="100">
        <v>217.44</v>
      </c>
      <c r="L101" s="100">
        <v>24.25</v>
      </c>
      <c r="M101" s="100">
        <v>68.069999999999993</v>
      </c>
      <c r="N101" s="100">
        <v>6.6</v>
      </c>
      <c r="O101" s="100">
        <v>0</v>
      </c>
      <c r="P101" s="100">
        <v>0.53</v>
      </c>
      <c r="Q101" s="100">
        <v>28.11</v>
      </c>
      <c r="R101" s="6"/>
      <c r="S101" s="6"/>
      <c r="T101" s="156"/>
      <c r="U101" s="6"/>
    </row>
    <row r="102" spans="1:28" customFormat="1">
      <c r="A102" s="163" t="s">
        <v>2252</v>
      </c>
      <c r="B102" s="100">
        <v>5.89</v>
      </c>
      <c r="C102" s="100">
        <v>19.47</v>
      </c>
      <c r="D102" s="100">
        <v>16.239999999999998</v>
      </c>
      <c r="E102" s="100">
        <v>8.07</v>
      </c>
      <c r="F102" s="152" t="s">
        <v>15</v>
      </c>
      <c r="G102" s="100">
        <v>26.83</v>
      </c>
      <c r="H102" s="100">
        <v>17.63</v>
      </c>
      <c r="I102" s="100">
        <v>8.59</v>
      </c>
      <c r="J102" s="100">
        <v>0.16</v>
      </c>
      <c r="K102" s="100">
        <v>227.7</v>
      </c>
      <c r="L102" s="100">
        <v>24.02</v>
      </c>
      <c r="M102" s="100">
        <v>69.27</v>
      </c>
      <c r="N102" s="100">
        <v>6.4</v>
      </c>
      <c r="O102" s="100">
        <v>0</v>
      </c>
      <c r="P102" s="100">
        <v>0.53</v>
      </c>
      <c r="Q102" s="100">
        <v>28.09</v>
      </c>
      <c r="R102" s="6"/>
      <c r="S102" s="6"/>
      <c r="T102" s="156"/>
      <c r="U102" s="6"/>
    </row>
    <row r="103" spans="1:28" customFormat="1">
      <c r="A103" s="163" t="s">
        <v>2253</v>
      </c>
      <c r="B103" s="100">
        <v>5.61</v>
      </c>
      <c r="C103" s="100">
        <v>19.41</v>
      </c>
      <c r="D103" s="100">
        <v>15.99</v>
      </c>
      <c r="E103" s="100">
        <v>8.25</v>
      </c>
      <c r="F103" s="152" t="s">
        <v>15</v>
      </c>
      <c r="G103" s="100">
        <v>26.83</v>
      </c>
      <c r="H103" s="100">
        <v>17.63</v>
      </c>
      <c r="I103" s="100">
        <v>8.59</v>
      </c>
      <c r="J103" s="100">
        <v>0.1</v>
      </c>
      <c r="K103" s="100">
        <v>141.5</v>
      </c>
      <c r="L103" s="100">
        <v>23.79</v>
      </c>
      <c r="M103" s="100">
        <v>70.459999999999994</v>
      </c>
      <c r="N103" s="100">
        <v>6.4</v>
      </c>
      <c r="O103" s="100">
        <v>0</v>
      </c>
      <c r="P103" s="100">
        <v>0.51</v>
      </c>
      <c r="Q103" s="100">
        <v>28.09</v>
      </c>
      <c r="R103" s="6"/>
      <c r="S103" s="6"/>
      <c r="T103" s="156"/>
      <c r="U103" s="6"/>
    </row>
    <row r="104" spans="1:28" customFormat="1">
      <c r="A104" s="163" t="s">
        <v>2254</v>
      </c>
      <c r="B104" s="100">
        <v>5.43</v>
      </c>
      <c r="C104" s="100">
        <v>19.440000000000001</v>
      </c>
      <c r="D104" s="100">
        <v>15.86</v>
      </c>
      <c r="E104" s="100">
        <v>8.4600000000000009</v>
      </c>
      <c r="F104" s="152" t="s">
        <v>15</v>
      </c>
      <c r="G104" s="100">
        <v>23.03</v>
      </c>
      <c r="H104" s="100">
        <v>12.81</v>
      </c>
      <c r="I104" s="100">
        <v>8.59</v>
      </c>
      <c r="J104" s="100">
        <v>0.14000000000000001</v>
      </c>
      <c r="K104" s="100">
        <v>143.38</v>
      </c>
      <c r="L104" s="100">
        <v>23.8</v>
      </c>
      <c r="M104" s="100">
        <v>71.02</v>
      </c>
      <c r="N104" s="100">
        <v>6.3</v>
      </c>
      <c r="O104" s="100">
        <v>0</v>
      </c>
      <c r="P104" s="100">
        <v>0.49</v>
      </c>
      <c r="Q104" s="100">
        <v>28.07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3.6</v>
      </c>
      <c r="C106" s="158">
        <f>MIN(C9:C104)</f>
        <v>15.05</v>
      </c>
      <c r="D106" s="158">
        <f t="shared" ref="D106:Q106" si="0">MIN(D9:D104)</f>
        <v>12.11</v>
      </c>
      <c r="E106" s="158">
        <f t="shared" si="0"/>
        <v>7.08</v>
      </c>
      <c r="F106" s="158">
        <f t="shared" si="0"/>
        <v>0</v>
      </c>
      <c r="G106" s="158">
        <f t="shared" si="0"/>
        <v>23.03</v>
      </c>
      <c r="H106" s="158">
        <f t="shared" si="0"/>
        <v>9.73</v>
      </c>
      <c r="I106" s="158">
        <f t="shared" si="0"/>
        <v>8.59</v>
      </c>
      <c r="J106" s="158">
        <f t="shared" si="0"/>
        <v>0.1</v>
      </c>
      <c r="K106" s="158">
        <f t="shared" si="0"/>
        <v>14.32</v>
      </c>
      <c r="L106" s="158">
        <f t="shared" si="0"/>
        <v>23.79</v>
      </c>
      <c r="M106" s="158">
        <f t="shared" si="0"/>
        <v>26.98</v>
      </c>
      <c r="N106" s="158">
        <f t="shared" si="0"/>
        <v>4.9000000000000004</v>
      </c>
      <c r="O106" s="158">
        <f t="shared" si="0"/>
        <v>0</v>
      </c>
      <c r="P106" s="158">
        <f t="shared" si="0"/>
        <v>0.49</v>
      </c>
      <c r="Q106" s="158">
        <f t="shared" si="0"/>
        <v>27.99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9.25</v>
      </c>
      <c r="C107" s="157">
        <f t="shared" ref="C107:Q107" si="1">MAX(C9:C104)</f>
        <v>22.6</v>
      </c>
      <c r="D107" s="157">
        <f t="shared" si="1"/>
        <v>19.41</v>
      </c>
      <c r="E107" s="157">
        <f t="shared" si="1"/>
        <v>12.58</v>
      </c>
      <c r="F107" s="157">
        <f t="shared" si="1"/>
        <v>0</v>
      </c>
      <c r="G107" s="157">
        <f t="shared" si="1"/>
        <v>106.22</v>
      </c>
      <c r="H107" s="157">
        <f t="shared" si="1"/>
        <v>57.73</v>
      </c>
      <c r="I107" s="157">
        <f t="shared" si="1"/>
        <v>14.95</v>
      </c>
      <c r="J107" s="157">
        <f t="shared" si="1"/>
        <v>1.21</v>
      </c>
      <c r="K107" s="157">
        <f t="shared" si="1"/>
        <v>349.18</v>
      </c>
      <c r="L107" s="157">
        <f t="shared" si="1"/>
        <v>36.03</v>
      </c>
      <c r="M107" s="157">
        <f t="shared" si="1"/>
        <v>89.64</v>
      </c>
      <c r="N107" s="157">
        <f t="shared" si="1"/>
        <v>359.9</v>
      </c>
      <c r="O107" s="157">
        <f t="shared" si="1"/>
        <v>0.6</v>
      </c>
      <c r="P107" s="157">
        <f t="shared" si="1"/>
        <v>1.1100000000000001</v>
      </c>
      <c r="Q107" s="157">
        <f t="shared" si="1"/>
        <v>28.17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5.9785416666666658</v>
      </c>
      <c r="C108" s="158">
        <f t="shared" ref="C108:Q108" si="2">AVERAGE(C9:C104)</f>
        <v>18.765208333333337</v>
      </c>
      <c r="D108" s="158">
        <f t="shared" si="2"/>
        <v>15.949375000000005</v>
      </c>
      <c r="E108" s="158">
        <f t="shared" si="2"/>
        <v>8.9391666666666687</v>
      </c>
      <c r="F108" s="158" t="e">
        <f t="shared" si="2"/>
        <v>#DIV/0!</v>
      </c>
      <c r="G108" s="158">
        <f t="shared" si="2"/>
        <v>64.024895833333332</v>
      </c>
      <c r="H108" s="158">
        <f t="shared" si="2"/>
        <v>26.432291666666675</v>
      </c>
      <c r="I108" s="158">
        <f t="shared" si="2"/>
        <v>10.327708333333346</v>
      </c>
      <c r="J108" s="158">
        <f t="shared" si="2"/>
        <v>0.47572916666666654</v>
      </c>
      <c r="K108" s="158">
        <f t="shared" si="2"/>
        <v>185.44635416666668</v>
      </c>
      <c r="L108" s="158">
        <f t="shared" si="2"/>
        <v>28.188541666666691</v>
      </c>
      <c r="M108" s="158">
        <f t="shared" si="2"/>
        <v>54.767187499999984</v>
      </c>
      <c r="N108" s="158">
        <f t="shared" si="2"/>
        <v>75.840624999999989</v>
      </c>
      <c r="O108" s="158">
        <f t="shared" si="2"/>
        <v>6.2499999999999995E-3</v>
      </c>
      <c r="P108" s="158">
        <f t="shared" si="2"/>
        <v>0.74458333333333337</v>
      </c>
      <c r="Q108" s="158">
        <f t="shared" si="2"/>
        <v>28.084062499999998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1.6300035383666336</v>
      </c>
      <c r="C109" s="158">
        <f t="shared" ref="C109:Q109" si="3">STDEV(C9:C104)</f>
        <v>1.9272631148949881</v>
      </c>
      <c r="D109" s="158">
        <f t="shared" si="3"/>
        <v>1.8416084574431275</v>
      </c>
      <c r="E109" s="158">
        <f t="shared" si="3"/>
        <v>0.7757816657942207</v>
      </c>
      <c r="F109" s="158" t="e">
        <f t="shared" si="3"/>
        <v>#DIV/0!</v>
      </c>
      <c r="G109" s="158">
        <f t="shared" si="3"/>
        <v>21.437098585827989</v>
      </c>
      <c r="H109" s="158">
        <f t="shared" si="3"/>
        <v>10.205325490996948</v>
      </c>
      <c r="I109" s="158">
        <f t="shared" si="3"/>
        <v>1.6815371909538777</v>
      </c>
      <c r="J109" s="158">
        <f t="shared" si="3"/>
        <v>0.31645984127587345</v>
      </c>
      <c r="K109" s="158">
        <f t="shared" si="3"/>
        <v>78.416223537839414</v>
      </c>
      <c r="L109" s="158">
        <f t="shared" si="3"/>
        <v>3.6007241900735627</v>
      </c>
      <c r="M109" s="158">
        <f t="shared" si="3"/>
        <v>17.225243391642294</v>
      </c>
      <c r="N109" s="158">
        <f t="shared" si="3"/>
        <v>106.72426506324356</v>
      </c>
      <c r="O109" s="158">
        <f t="shared" si="3"/>
        <v>6.1237243569579457E-2</v>
      </c>
      <c r="P109" s="158">
        <f t="shared" si="3"/>
        <v>0.18517653975920839</v>
      </c>
      <c r="Q109" s="158">
        <f t="shared" si="3"/>
        <v>5.4879353322106861E-2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93" activePane="bottomRight" state="frozen"/>
      <selection pane="topRight"/>
      <selection pane="bottomLeft"/>
      <selection pane="bottomRight" activeCell="K115" sqref="K115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22/03/2025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2255</v>
      </c>
      <c r="B9" s="100">
        <v>5.49</v>
      </c>
      <c r="C9" s="100">
        <v>19.59</v>
      </c>
      <c r="D9" s="100">
        <v>15.99</v>
      </c>
      <c r="E9" s="100">
        <v>8.1999999999999993</v>
      </c>
      <c r="F9" s="152" t="s">
        <v>15</v>
      </c>
      <c r="G9" s="100">
        <v>21.65</v>
      </c>
      <c r="H9" s="100">
        <v>12.73</v>
      </c>
      <c r="I9" s="151" t="s">
        <v>8</v>
      </c>
      <c r="J9" s="100">
        <v>0.15</v>
      </c>
      <c r="K9" s="100">
        <v>134.91</v>
      </c>
      <c r="L9" s="100">
        <v>23.71</v>
      </c>
      <c r="M9" s="100">
        <v>71.75</v>
      </c>
      <c r="N9" s="100">
        <v>6.3</v>
      </c>
      <c r="O9" s="100">
        <v>0</v>
      </c>
      <c r="P9" s="100">
        <v>0.49</v>
      </c>
      <c r="Q9" s="100">
        <v>28.06</v>
      </c>
      <c r="R9" s="6"/>
      <c r="S9" s="6"/>
      <c r="T9" s="156"/>
      <c r="U9" s="6"/>
    </row>
    <row r="10" spans="1:21" customFormat="1">
      <c r="A10" s="163" t="s">
        <v>2256</v>
      </c>
      <c r="B10" s="100">
        <v>5.36</v>
      </c>
      <c r="C10" s="100">
        <v>19.329999999999998</v>
      </c>
      <c r="D10" s="100">
        <v>15.75</v>
      </c>
      <c r="E10" s="100">
        <v>8.23</v>
      </c>
      <c r="F10" s="152" t="s">
        <v>15</v>
      </c>
      <c r="G10" s="100">
        <v>21.65</v>
      </c>
      <c r="H10" s="100">
        <v>12.73</v>
      </c>
      <c r="I10" s="151" t="s">
        <v>8</v>
      </c>
      <c r="J10" s="100">
        <v>0.19</v>
      </c>
      <c r="K10" s="100">
        <v>145.96</v>
      </c>
      <c r="L10" s="100">
        <v>23.67</v>
      </c>
      <c r="M10" s="100">
        <v>71.97</v>
      </c>
      <c r="N10" s="100">
        <v>6</v>
      </c>
      <c r="O10" s="100">
        <v>0</v>
      </c>
      <c r="P10" s="100">
        <v>0.48</v>
      </c>
      <c r="Q10" s="100">
        <v>28.05</v>
      </c>
      <c r="R10" s="6"/>
      <c r="S10" s="6"/>
      <c r="T10" s="156"/>
      <c r="U10" s="6"/>
    </row>
    <row r="11" spans="1:21" customFormat="1">
      <c r="A11" s="163" t="s">
        <v>2257</v>
      </c>
      <c r="B11" s="100">
        <v>5.3</v>
      </c>
      <c r="C11" s="100">
        <v>19.22</v>
      </c>
      <c r="D11" s="100">
        <v>15.65</v>
      </c>
      <c r="E11" s="100">
        <v>8</v>
      </c>
      <c r="F11" s="152" t="s">
        <v>15</v>
      </c>
      <c r="G11" s="100">
        <v>21.65</v>
      </c>
      <c r="H11" s="100">
        <v>12.73</v>
      </c>
      <c r="I11" s="151" t="s">
        <v>8</v>
      </c>
      <c r="J11" s="100">
        <v>0.2</v>
      </c>
      <c r="K11" s="100">
        <v>161.57</v>
      </c>
      <c r="L11" s="100">
        <v>23.55</v>
      </c>
      <c r="M11" s="100">
        <v>72.52</v>
      </c>
      <c r="N11" s="100">
        <v>6.4</v>
      </c>
      <c r="O11" s="100">
        <v>0</v>
      </c>
      <c r="P11" s="100">
        <v>0.48</v>
      </c>
      <c r="Q11" s="100">
        <v>28.06</v>
      </c>
      <c r="R11" s="6"/>
      <c r="S11" s="6"/>
      <c r="T11" s="156"/>
      <c r="U11" s="6"/>
    </row>
    <row r="12" spans="1:21" customFormat="1">
      <c r="A12" s="163" t="s">
        <v>2258</v>
      </c>
      <c r="B12" s="100">
        <v>5.29</v>
      </c>
      <c r="C12" s="100">
        <v>19.21</v>
      </c>
      <c r="D12" s="100">
        <v>15.63</v>
      </c>
      <c r="E12" s="100">
        <v>8.44</v>
      </c>
      <c r="F12" s="152" t="s">
        <v>15</v>
      </c>
      <c r="G12" s="100">
        <v>19.82</v>
      </c>
      <c r="H12" s="100">
        <v>11.88</v>
      </c>
      <c r="I12" s="151" t="s">
        <v>8</v>
      </c>
      <c r="J12" s="100">
        <v>0.25</v>
      </c>
      <c r="K12" s="100">
        <v>185.23</v>
      </c>
      <c r="L12" s="100">
        <v>23.12</v>
      </c>
      <c r="M12" s="100">
        <v>74.7</v>
      </c>
      <c r="N12" s="100">
        <v>6.7</v>
      </c>
      <c r="O12" s="100">
        <v>0</v>
      </c>
      <c r="P12" s="100">
        <v>0.47</v>
      </c>
      <c r="Q12" s="100">
        <v>28.05</v>
      </c>
      <c r="R12" s="6"/>
      <c r="S12" s="6"/>
      <c r="T12" s="156"/>
      <c r="U12" s="6"/>
    </row>
    <row r="13" spans="1:21" customFormat="1">
      <c r="A13" s="163" t="s">
        <v>2259</v>
      </c>
      <c r="B13" s="100">
        <v>5.31</v>
      </c>
      <c r="C13" s="100">
        <v>19.04</v>
      </c>
      <c r="D13" s="100">
        <v>15.56</v>
      </c>
      <c r="E13" s="100">
        <v>8.06</v>
      </c>
      <c r="F13" s="152" t="s">
        <v>15</v>
      </c>
      <c r="G13" s="100">
        <v>19.16</v>
      </c>
      <c r="H13" s="100">
        <v>11.87</v>
      </c>
      <c r="I13" s="151" t="s">
        <v>8</v>
      </c>
      <c r="J13" s="100">
        <v>0.16</v>
      </c>
      <c r="K13" s="100">
        <v>196.01</v>
      </c>
      <c r="L13" s="100">
        <v>22.88</v>
      </c>
      <c r="M13" s="100">
        <v>75.89</v>
      </c>
      <c r="N13" s="100">
        <v>6.4</v>
      </c>
      <c r="O13" s="100">
        <v>0</v>
      </c>
      <c r="P13" s="100">
        <v>0.46</v>
      </c>
      <c r="Q13" s="100">
        <v>28.07</v>
      </c>
      <c r="R13" s="6"/>
      <c r="S13" s="6"/>
      <c r="T13" s="156"/>
      <c r="U13" s="6"/>
    </row>
    <row r="14" spans="1:21" customFormat="1">
      <c r="A14" s="163" t="s">
        <v>2260</v>
      </c>
      <c r="B14" s="100">
        <v>5.36</v>
      </c>
      <c r="C14" s="100">
        <v>18.850000000000001</v>
      </c>
      <c r="D14" s="100">
        <v>15.49</v>
      </c>
      <c r="E14" s="100">
        <v>8.1999999999999993</v>
      </c>
      <c r="F14" s="152" t="s">
        <v>15</v>
      </c>
      <c r="G14" s="100">
        <v>19.16</v>
      </c>
      <c r="H14" s="100">
        <v>11.87</v>
      </c>
      <c r="I14" s="151" t="s">
        <v>8</v>
      </c>
      <c r="J14" s="100">
        <v>0.16</v>
      </c>
      <c r="K14" s="100">
        <v>218.53</v>
      </c>
      <c r="L14" s="100">
        <v>22.68</v>
      </c>
      <c r="M14" s="100">
        <v>77.849999999999994</v>
      </c>
      <c r="N14" s="100">
        <v>6.4</v>
      </c>
      <c r="O14" s="100">
        <v>0</v>
      </c>
      <c r="P14" s="100">
        <v>0.46</v>
      </c>
      <c r="Q14" s="100">
        <v>28.04</v>
      </c>
      <c r="R14" s="6"/>
      <c r="S14" s="6"/>
      <c r="T14" s="156"/>
      <c r="U14" s="6"/>
    </row>
    <row r="15" spans="1:21" customFormat="1">
      <c r="A15" s="163" t="s">
        <v>2261</v>
      </c>
      <c r="B15" s="100">
        <v>5.44</v>
      </c>
      <c r="C15" s="100">
        <v>18.75</v>
      </c>
      <c r="D15" s="100">
        <v>15.51</v>
      </c>
      <c r="E15" s="100">
        <v>8.06</v>
      </c>
      <c r="F15" s="152" t="s">
        <v>15</v>
      </c>
      <c r="G15" s="100">
        <v>19.16</v>
      </c>
      <c r="H15" s="100">
        <v>11.87</v>
      </c>
      <c r="I15" s="151" t="s">
        <v>8</v>
      </c>
      <c r="J15" s="100">
        <v>0.22</v>
      </c>
      <c r="K15" s="100">
        <v>226.8</v>
      </c>
      <c r="L15" s="100">
        <v>22.68</v>
      </c>
      <c r="M15" s="100">
        <v>78.209999999999994</v>
      </c>
      <c r="N15" s="100">
        <v>6.3</v>
      </c>
      <c r="O15" s="100">
        <v>0</v>
      </c>
      <c r="P15" s="100">
        <v>0.45</v>
      </c>
      <c r="Q15" s="100">
        <v>28.05</v>
      </c>
      <c r="R15" s="6"/>
      <c r="S15" s="6"/>
      <c r="T15" s="156"/>
      <c r="U15" s="6"/>
    </row>
    <row r="16" spans="1:21" customFormat="1">
      <c r="A16" s="163" t="s">
        <v>2262</v>
      </c>
      <c r="B16" s="100">
        <v>5.51</v>
      </c>
      <c r="C16" s="100">
        <v>19.010000000000002</v>
      </c>
      <c r="D16" s="100">
        <v>15.7</v>
      </c>
      <c r="E16" s="100">
        <v>8.19</v>
      </c>
      <c r="F16" s="152" t="s">
        <v>15</v>
      </c>
      <c r="G16" s="100">
        <v>20.76</v>
      </c>
      <c r="H16" s="100">
        <v>11.87</v>
      </c>
      <c r="I16" s="151" t="s">
        <v>8</v>
      </c>
      <c r="J16" s="100">
        <v>0.28000000000000003</v>
      </c>
      <c r="K16" s="100">
        <v>234.3</v>
      </c>
      <c r="L16" s="100">
        <v>22.62</v>
      </c>
      <c r="M16" s="100">
        <v>78.34</v>
      </c>
      <c r="N16" s="100">
        <v>6.2</v>
      </c>
      <c r="O16" s="100">
        <v>0</v>
      </c>
      <c r="P16" s="100">
        <v>0.44</v>
      </c>
      <c r="Q16" s="100">
        <v>28.04</v>
      </c>
      <c r="R16" s="6"/>
      <c r="S16" s="6"/>
      <c r="T16" s="156"/>
      <c r="U16" s="6"/>
    </row>
    <row r="17" spans="1:21" customFormat="1">
      <c r="A17" s="163" t="s">
        <v>2263</v>
      </c>
      <c r="B17" s="100">
        <v>5.63</v>
      </c>
      <c r="C17" s="100">
        <v>18.760000000000002</v>
      </c>
      <c r="D17" s="100">
        <v>15.67</v>
      </c>
      <c r="E17" s="100">
        <v>7.04</v>
      </c>
      <c r="F17" s="152" t="s">
        <v>15</v>
      </c>
      <c r="G17" s="100">
        <v>21.34</v>
      </c>
      <c r="H17" s="100">
        <v>11.87</v>
      </c>
      <c r="I17" s="151" t="s">
        <v>8</v>
      </c>
      <c r="J17" s="100">
        <v>0.46</v>
      </c>
      <c r="K17" s="100">
        <v>330.28</v>
      </c>
      <c r="L17" s="100">
        <v>22.76</v>
      </c>
      <c r="M17" s="100">
        <v>76.989999999999995</v>
      </c>
      <c r="N17" s="100">
        <v>6.1</v>
      </c>
      <c r="O17" s="100">
        <v>0</v>
      </c>
      <c r="P17" s="100">
        <v>0.44</v>
      </c>
      <c r="Q17" s="100">
        <v>28.05</v>
      </c>
      <c r="R17" s="6"/>
      <c r="S17" s="6"/>
      <c r="T17" s="156"/>
      <c r="U17" s="6"/>
    </row>
    <row r="18" spans="1:21" customFormat="1">
      <c r="A18" s="163" t="s">
        <v>2264</v>
      </c>
      <c r="B18" s="100">
        <v>5.87</v>
      </c>
      <c r="C18" s="100">
        <v>19.16</v>
      </c>
      <c r="D18" s="100">
        <v>16.07</v>
      </c>
      <c r="E18" s="100">
        <v>7.86</v>
      </c>
      <c r="F18" s="152" t="s">
        <v>15</v>
      </c>
      <c r="G18" s="100">
        <v>21.34</v>
      </c>
      <c r="H18" s="100">
        <v>11.87</v>
      </c>
      <c r="I18" s="151" t="s">
        <v>8</v>
      </c>
      <c r="J18" s="100">
        <v>0.25</v>
      </c>
      <c r="K18" s="100">
        <v>255.56</v>
      </c>
      <c r="L18" s="100">
        <v>22.9</v>
      </c>
      <c r="M18" s="100">
        <v>76.290000000000006</v>
      </c>
      <c r="N18" s="100">
        <v>6.2</v>
      </c>
      <c r="O18" s="100">
        <v>0</v>
      </c>
      <c r="P18" s="100">
        <v>0.44</v>
      </c>
      <c r="Q18" s="100">
        <v>28.07</v>
      </c>
      <c r="R18" s="6"/>
      <c r="S18" s="6"/>
      <c r="T18" s="156"/>
      <c r="U18" s="6"/>
    </row>
    <row r="19" spans="1:21" customFormat="1">
      <c r="A19" s="163" t="s">
        <v>2265</v>
      </c>
      <c r="B19" s="100">
        <v>6.13</v>
      </c>
      <c r="C19" s="100">
        <v>19.23</v>
      </c>
      <c r="D19" s="100">
        <v>16.309999999999999</v>
      </c>
      <c r="E19" s="100">
        <v>8.0399999999999991</v>
      </c>
      <c r="F19" s="152" t="s">
        <v>15</v>
      </c>
      <c r="G19" s="100">
        <v>21.34</v>
      </c>
      <c r="H19" s="100">
        <v>11.87</v>
      </c>
      <c r="I19" s="151" t="s">
        <v>8</v>
      </c>
      <c r="J19" s="100">
        <v>0.42</v>
      </c>
      <c r="K19" s="100">
        <v>17.149999999999999</v>
      </c>
      <c r="L19" s="100">
        <v>22.82</v>
      </c>
      <c r="M19" s="100">
        <v>76.150000000000006</v>
      </c>
      <c r="N19" s="100">
        <v>6.3</v>
      </c>
      <c r="O19" s="100">
        <v>0</v>
      </c>
      <c r="P19" s="100">
        <v>0.43</v>
      </c>
      <c r="Q19" s="100">
        <v>28.08</v>
      </c>
      <c r="R19" s="6"/>
      <c r="S19" s="6"/>
      <c r="T19" s="156"/>
      <c r="U19" s="6"/>
    </row>
    <row r="20" spans="1:21" customFormat="1">
      <c r="A20" s="163" t="s">
        <v>2266</v>
      </c>
      <c r="B20" s="100">
        <v>6.47</v>
      </c>
      <c r="C20" s="100">
        <v>19.41</v>
      </c>
      <c r="D20" s="100">
        <v>16.68</v>
      </c>
      <c r="E20" s="100">
        <v>8.3699999999999992</v>
      </c>
      <c r="F20" s="152" t="s">
        <v>15</v>
      </c>
      <c r="G20" s="100">
        <v>21.98</v>
      </c>
      <c r="H20" s="100">
        <v>14.36</v>
      </c>
      <c r="I20" s="151" t="s">
        <v>8</v>
      </c>
      <c r="J20" s="100">
        <v>0.13</v>
      </c>
      <c r="K20" s="100">
        <v>168.97</v>
      </c>
      <c r="L20" s="100">
        <v>22.83</v>
      </c>
      <c r="M20" s="100">
        <v>76.319999999999993</v>
      </c>
      <c r="N20" s="100">
        <v>6.4</v>
      </c>
      <c r="O20" s="100">
        <v>0</v>
      </c>
      <c r="P20" s="100">
        <v>0.42</v>
      </c>
      <c r="Q20" s="100">
        <v>28.08</v>
      </c>
      <c r="R20" s="6"/>
      <c r="S20" s="6"/>
      <c r="T20" s="156"/>
      <c r="U20" s="6"/>
    </row>
    <row r="21" spans="1:21" customFormat="1">
      <c r="A21" s="163" t="s">
        <v>2267</v>
      </c>
      <c r="B21" s="100">
        <v>6.83</v>
      </c>
      <c r="C21" s="100">
        <v>18.45</v>
      </c>
      <c r="D21" s="100">
        <v>16.47</v>
      </c>
      <c r="E21" s="100">
        <v>8.5299999999999994</v>
      </c>
      <c r="F21" s="152" t="s">
        <v>15</v>
      </c>
      <c r="G21" s="100">
        <v>22.23</v>
      </c>
      <c r="H21" s="100">
        <v>14.43</v>
      </c>
      <c r="I21" s="151" t="s">
        <v>8</v>
      </c>
      <c r="J21" s="100">
        <v>0.17</v>
      </c>
      <c r="K21" s="100">
        <v>151.4</v>
      </c>
      <c r="L21" s="100">
        <v>22.59</v>
      </c>
      <c r="M21" s="100">
        <v>78.010000000000005</v>
      </c>
      <c r="N21" s="100">
        <v>6.5</v>
      </c>
      <c r="O21" s="100">
        <v>0</v>
      </c>
      <c r="P21" s="100">
        <v>0.42</v>
      </c>
      <c r="Q21" s="100">
        <v>28.1</v>
      </c>
      <c r="R21" s="6"/>
      <c r="S21" s="6"/>
      <c r="T21" s="156"/>
      <c r="U21" s="6"/>
    </row>
    <row r="22" spans="1:21" customFormat="1">
      <c r="A22" s="163" t="s">
        <v>2268</v>
      </c>
      <c r="B22" s="100">
        <v>7.28</v>
      </c>
      <c r="C22" s="100">
        <v>18.32</v>
      </c>
      <c r="D22" s="100">
        <v>16.760000000000002</v>
      </c>
      <c r="E22" s="100">
        <v>8.32</v>
      </c>
      <c r="F22" s="152" t="s">
        <v>15</v>
      </c>
      <c r="G22" s="100">
        <v>22.23</v>
      </c>
      <c r="H22" s="100">
        <v>14.43</v>
      </c>
      <c r="I22" s="151" t="s">
        <v>8</v>
      </c>
      <c r="J22" s="100">
        <v>0.15</v>
      </c>
      <c r="K22" s="100">
        <v>122.26</v>
      </c>
      <c r="L22" s="100">
        <v>22.46</v>
      </c>
      <c r="M22" s="100">
        <v>78.27</v>
      </c>
      <c r="N22" s="100">
        <v>6.4</v>
      </c>
      <c r="O22" s="100">
        <v>0</v>
      </c>
      <c r="P22" s="100">
        <v>0.42</v>
      </c>
      <c r="Q22" s="100">
        <v>28.13</v>
      </c>
      <c r="R22" s="6"/>
      <c r="S22" s="6"/>
      <c r="T22" s="156"/>
      <c r="U22" s="6"/>
    </row>
    <row r="23" spans="1:21" customFormat="1">
      <c r="A23" s="163" t="s">
        <v>2269</v>
      </c>
      <c r="B23" s="100">
        <v>7.74</v>
      </c>
      <c r="C23" s="100">
        <v>18.34</v>
      </c>
      <c r="D23" s="100">
        <v>17.14</v>
      </c>
      <c r="E23" s="100">
        <v>8.39</v>
      </c>
      <c r="F23" s="152" t="s">
        <v>15</v>
      </c>
      <c r="G23" s="100">
        <v>22.23</v>
      </c>
      <c r="H23" s="100">
        <v>14.43</v>
      </c>
      <c r="I23" s="151" t="s">
        <v>8</v>
      </c>
      <c r="J23" s="100">
        <v>0.18</v>
      </c>
      <c r="K23" s="100">
        <v>169.48</v>
      </c>
      <c r="L23" s="100">
        <v>21.96</v>
      </c>
      <c r="M23" s="100">
        <v>81.13</v>
      </c>
      <c r="N23" s="100">
        <v>6.7</v>
      </c>
      <c r="O23" s="100">
        <v>0</v>
      </c>
      <c r="P23" s="100">
        <v>0.43</v>
      </c>
      <c r="Q23" s="100">
        <v>28.16</v>
      </c>
      <c r="R23" s="6"/>
      <c r="S23" s="6"/>
      <c r="T23" s="156"/>
      <c r="U23" s="6"/>
    </row>
    <row r="24" spans="1:21" customFormat="1">
      <c r="A24" s="163" t="s">
        <v>2270</v>
      </c>
      <c r="B24" s="100">
        <v>8.2200000000000006</v>
      </c>
      <c r="C24" s="100">
        <v>18.64</v>
      </c>
      <c r="D24" s="100">
        <v>17.68</v>
      </c>
      <c r="E24" s="100">
        <v>8.59</v>
      </c>
      <c r="F24" s="152" t="s">
        <v>15</v>
      </c>
      <c r="G24" s="100">
        <v>21.29</v>
      </c>
      <c r="H24" s="100">
        <v>11.94</v>
      </c>
      <c r="I24" s="151" t="s">
        <v>8</v>
      </c>
      <c r="J24" s="100">
        <v>0.13</v>
      </c>
      <c r="K24" s="100">
        <v>175.44</v>
      </c>
      <c r="L24" s="100">
        <v>21.91</v>
      </c>
      <c r="M24" s="100">
        <v>81.5</v>
      </c>
      <c r="N24" s="100">
        <v>6.3</v>
      </c>
      <c r="O24" s="100">
        <v>0</v>
      </c>
      <c r="P24" s="100">
        <v>0.43</v>
      </c>
      <c r="Q24" s="100">
        <v>28.16</v>
      </c>
      <c r="R24" s="6"/>
      <c r="S24" s="6"/>
      <c r="T24" s="156"/>
      <c r="U24" s="6"/>
    </row>
    <row r="25" spans="1:21" customFormat="1">
      <c r="A25" s="163" t="s">
        <v>2271</v>
      </c>
      <c r="B25" s="100">
        <v>8.64</v>
      </c>
      <c r="C25" s="100">
        <v>18.14</v>
      </c>
      <c r="D25" s="100">
        <v>17.760000000000002</v>
      </c>
      <c r="E25" s="100">
        <v>8.57</v>
      </c>
      <c r="F25" s="152" t="s">
        <v>15</v>
      </c>
      <c r="G25" s="100">
        <v>20.93</v>
      </c>
      <c r="H25" s="100">
        <v>11.87</v>
      </c>
      <c r="I25" s="151" t="s">
        <v>8</v>
      </c>
      <c r="J25" s="100">
        <v>0.15</v>
      </c>
      <c r="K25" s="100">
        <v>132.59</v>
      </c>
      <c r="L25" s="100">
        <v>22.06</v>
      </c>
      <c r="M25" s="100">
        <v>81.010000000000005</v>
      </c>
      <c r="N25" s="100">
        <v>6.2</v>
      </c>
      <c r="O25" s="100">
        <v>0</v>
      </c>
      <c r="P25" s="100">
        <v>0.42</v>
      </c>
      <c r="Q25" s="100">
        <v>28.15</v>
      </c>
      <c r="R25" s="6"/>
      <c r="S25" s="6"/>
      <c r="T25" s="156"/>
      <c r="U25" s="6"/>
    </row>
    <row r="26" spans="1:21" customFormat="1">
      <c r="A26" s="163" t="s">
        <v>2272</v>
      </c>
      <c r="B26" s="100">
        <v>9.01</v>
      </c>
      <c r="C26" s="100">
        <v>18.309999999999999</v>
      </c>
      <c r="D26" s="100">
        <v>18.14</v>
      </c>
      <c r="E26" s="100">
        <v>8.51</v>
      </c>
      <c r="F26" s="152" t="s">
        <v>15</v>
      </c>
      <c r="G26" s="100">
        <v>20.93</v>
      </c>
      <c r="H26" s="100">
        <v>11.87</v>
      </c>
      <c r="I26" s="151" t="s">
        <v>8</v>
      </c>
      <c r="J26" s="100">
        <v>0.12</v>
      </c>
      <c r="K26" s="100">
        <v>140.91</v>
      </c>
      <c r="L26" s="100">
        <v>22.36</v>
      </c>
      <c r="M26" s="100">
        <v>79.67</v>
      </c>
      <c r="N26" s="100">
        <v>6.3</v>
      </c>
      <c r="O26" s="100">
        <v>0</v>
      </c>
      <c r="P26" s="100">
        <v>0.43</v>
      </c>
      <c r="Q26" s="100">
        <v>28.18</v>
      </c>
      <c r="R26" s="6"/>
      <c r="S26" s="6"/>
      <c r="T26" s="156"/>
      <c r="U26" s="6"/>
    </row>
    <row r="27" spans="1:21" customFormat="1">
      <c r="A27" s="163" t="s">
        <v>2273</v>
      </c>
      <c r="B27" s="100">
        <v>9.34</v>
      </c>
      <c r="C27" s="100">
        <v>18.3</v>
      </c>
      <c r="D27" s="100">
        <v>18.41</v>
      </c>
      <c r="E27" s="100">
        <v>8.14</v>
      </c>
      <c r="F27" s="152" t="s">
        <v>15</v>
      </c>
      <c r="G27" s="100">
        <v>20.93</v>
      </c>
      <c r="H27" s="100">
        <v>11.87</v>
      </c>
      <c r="I27" s="151" t="s">
        <v>8</v>
      </c>
      <c r="J27" s="100">
        <v>0.37</v>
      </c>
      <c r="K27" s="100">
        <v>73.09</v>
      </c>
      <c r="L27" s="100">
        <v>22.47</v>
      </c>
      <c r="M27" s="100">
        <v>77.7</v>
      </c>
      <c r="N27" s="100">
        <v>6.2</v>
      </c>
      <c r="O27" s="100">
        <v>0</v>
      </c>
      <c r="P27" s="100">
        <v>0.44</v>
      </c>
      <c r="Q27" s="100">
        <v>28.18</v>
      </c>
      <c r="R27" s="6"/>
      <c r="S27" s="6"/>
      <c r="T27" s="156"/>
      <c r="U27" s="6"/>
    </row>
    <row r="28" spans="1:21" customFormat="1">
      <c r="A28" s="163" t="s">
        <v>2274</v>
      </c>
      <c r="B28" s="100">
        <v>9.75</v>
      </c>
      <c r="C28" s="100">
        <v>18.739999999999998</v>
      </c>
      <c r="D28" s="100">
        <v>18.96</v>
      </c>
      <c r="E28" s="100">
        <v>8.76</v>
      </c>
      <c r="F28" s="152" t="s">
        <v>15</v>
      </c>
      <c r="G28" s="100">
        <v>22.65</v>
      </c>
      <c r="H28" s="100">
        <v>13.35</v>
      </c>
      <c r="I28" s="151" t="s">
        <v>8</v>
      </c>
      <c r="J28" s="100">
        <v>0.36</v>
      </c>
      <c r="K28" s="100">
        <v>83.38</v>
      </c>
      <c r="L28" s="100">
        <v>22.67</v>
      </c>
      <c r="M28" s="100">
        <v>77.22</v>
      </c>
      <c r="N28" s="100">
        <v>6.2</v>
      </c>
      <c r="O28" s="100">
        <v>0</v>
      </c>
      <c r="P28" s="100">
        <v>0.43</v>
      </c>
      <c r="Q28" s="100">
        <v>28.2</v>
      </c>
      <c r="R28" s="6"/>
      <c r="S28" s="6"/>
      <c r="T28" s="156"/>
      <c r="U28" s="6"/>
    </row>
    <row r="29" spans="1:21" customFormat="1">
      <c r="A29" s="163" t="s">
        <v>2275</v>
      </c>
      <c r="B29" s="100">
        <v>10.18</v>
      </c>
      <c r="C29" s="100">
        <v>18.46</v>
      </c>
      <c r="D29" s="100">
        <v>19.16</v>
      </c>
      <c r="E29" s="100">
        <v>8.61</v>
      </c>
      <c r="F29" s="152" t="s">
        <v>15</v>
      </c>
      <c r="G29" s="100">
        <v>23.27</v>
      </c>
      <c r="H29" s="100">
        <v>13.42</v>
      </c>
      <c r="I29" s="151" t="s">
        <v>8</v>
      </c>
      <c r="J29" s="100">
        <v>0.13</v>
      </c>
      <c r="K29" s="100">
        <v>165.27</v>
      </c>
      <c r="L29" s="100">
        <v>22.63</v>
      </c>
      <c r="M29" s="100">
        <v>78.010000000000005</v>
      </c>
      <c r="N29" s="100">
        <v>6.5</v>
      </c>
      <c r="O29" s="100">
        <v>0</v>
      </c>
      <c r="P29" s="100">
        <v>0.43</v>
      </c>
      <c r="Q29" s="100">
        <v>28.22</v>
      </c>
      <c r="R29" s="6"/>
      <c r="S29" s="6"/>
      <c r="T29" s="156"/>
      <c r="U29" s="6"/>
    </row>
    <row r="30" spans="1:21" customFormat="1">
      <c r="A30" s="163" t="s">
        <v>2276</v>
      </c>
      <c r="B30" s="100">
        <v>10.53</v>
      </c>
      <c r="C30" s="100">
        <v>18.07</v>
      </c>
      <c r="D30" s="100">
        <v>19.23</v>
      </c>
      <c r="E30" s="100">
        <v>8.3000000000000007</v>
      </c>
      <c r="F30" s="152" t="s">
        <v>15</v>
      </c>
      <c r="G30" s="100">
        <v>23.27</v>
      </c>
      <c r="H30" s="100">
        <v>13.42</v>
      </c>
      <c r="I30" s="151" t="s">
        <v>8</v>
      </c>
      <c r="J30" s="100">
        <v>0.2</v>
      </c>
      <c r="K30" s="100">
        <v>136</v>
      </c>
      <c r="L30" s="100">
        <v>22.28</v>
      </c>
      <c r="M30" s="100">
        <v>80.09</v>
      </c>
      <c r="N30" s="100">
        <v>6.5</v>
      </c>
      <c r="O30" s="100">
        <v>0</v>
      </c>
      <c r="P30" s="100">
        <v>0.43</v>
      </c>
      <c r="Q30" s="100">
        <v>28.24</v>
      </c>
      <c r="R30" s="6"/>
      <c r="S30" s="6"/>
      <c r="T30" s="156"/>
      <c r="U30" s="6"/>
    </row>
    <row r="31" spans="1:21" customFormat="1">
      <c r="A31" s="163" t="s">
        <v>2277</v>
      </c>
      <c r="B31" s="100">
        <v>10.82</v>
      </c>
      <c r="C31" s="100">
        <v>18.010000000000002</v>
      </c>
      <c r="D31" s="100">
        <v>19.440000000000001</v>
      </c>
      <c r="E31" s="100">
        <v>8.1199999999999992</v>
      </c>
      <c r="F31" s="152" t="s">
        <v>15</v>
      </c>
      <c r="G31" s="100">
        <v>23.27</v>
      </c>
      <c r="H31" s="100">
        <v>13.42</v>
      </c>
      <c r="I31" s="151" t="s">
        <v>8</v>
      </c>
      <c r="J31" s="100">
        <v>0.17</v>
      </c>
      <c r="K31" s="100">
        <v>168.25</v>
      </c>
      <c r="L31" s="100">
        <v>22.2</v>
      </c>
      <c r="M31" s="100">
        <v>79.81</v>
      </c>
      <c r="N31" s="100">
        <v>6.5</v>
      </c>
      <c r="O31" s="100">
        <v>0</v>
      </c>
      <c r="P31" s="100">
        <v>0.43</v>
      </c>
      <c r="Q31" s="100">
        <v>28.25</v>
      </c>
      <c r="R31" s="6"/>
      <c r="S31" s="6"/>
      <c r="T31" s="156"/>
      <c r="U31" s="6"/>
    </row>
    <row r="32" spans="1:21" customFormat="1">
      <c r="A32" s="163" t="s">
        <v>2278</v>
      </c>
      <c r="B32" s="100">
        <v>11.11</v>
      </c>
      <c r="C32" s="100">
        <v>18.5</v>
      </c>
      <c r="D32" s="100">
        <v>19.93</v>
      </c>
      <c r="E32" s="100">
        <v>8.27</v>
      </c>
      <c r="F32" s="152" t="s">
        <v>15</v>
      </c>
      <c r="G32" s="100">
        <v>26.95</v>
      </c>
      <c r="H32" s="100">
        <v>11.68</v>
      </c>
      <c r="I32" s="151" t="s">
        <v>8</v>
      </c>
      <c r="J32" s="100">
        <v>0.18</v>
      </c>
      <c r="K32" s="100">
        <v>161.82</v>
      </c>
      <c r="L32" s="100">
        <v>22.1</v>
      </c>
      <c r="M32" s="100">
        <v>79.72</v>
      </c>
      <c r="N32" s="100">
        <v>7.2</v>
      </c>
      <c r="O32" s="100">
        <v>0</v>
      </c>
      <c r="P32" s="100">
        <v>0.43</v>
      </c>
      <c r="Q32" s="100">
        <v>28.26</v>
      </c>
      <c r="R32" s="6"/>
      <c r="S32" s="6"/>
      <c r="T32" s="156"/>
      <c r="U32" s="6"/>
    </row>
    <row r="33" spans="1:21" customFormat="1">
      <c r="A33" s="163" t="s">
        <v>2279</v>
      </c>
      <c r="B33" s="100">
        <v>11.45</v>
      </c>
      <c r="C33" s="100">
        <v>18.260000000000002</v>
      </c>
      <c r="D33" s="100">
        <v>20.07</v>
      </c>
      <c r="E33" s="100">
        <v>8.39</v>
      </c>
      <c r="F33" s="152" t="s">
        <v>15</v>
      </c>
      <c r="G33" s="100">
        <v>28.36</v>
      </c>
      <c r="H33" s="100">
        <v>11.63</v>
      </c>
      <c r="I33" s="151" t="s">
        <v>8</v>
      </c>
      <c r="J33" s="100">
        <v>0.97</v>
      </c>
      <c r="K33" s="100">
        <v>54.28</v>
      </c>
      <c r="L33" s="100">
        <v>22.2</v>
      </c>
      <c r="M33" s="100">
        <v>79.23</v>
      </c>
      <c r="N33" s="100">
        <v>9.8000000000000007</v>
      </c>
      <c r="O33" s="100">
        <v>0</v>
      </c>
      <c r="P33" s="100">
        <v>0.44</v>
      </c>
      <c r="Q33" s="100">
        <v>28.26</v>
      </c>
      <c r="R33" s="6"/>
      <c r="S33" s="6"/>
      <c r="T33" s="156"/>
      <c r="U33" s="6"/>
    </row>
    <row r="34" spans="1:21" customFormat="1">
      <c r="A34" s="163" t="s">
        <v>2280</v>
      </c>
      <c r="B34" s="100">
        <v>11.96</v>
      </c>
      <c r="C34" s="100">
        <v>18.41</v>
      </c>
      <c r="D34" s="100">
        <v>20.56</v>
      </c>
      <c r="E34" s="100">
        <v>8.32</v>
      </c>
      <c r="F34" s="152" t="s">
        <v>15</v>
      </c>
      <c r="G34" s="100">
        <v>28.36</v>
      </c>
      <c r="H34" s="100">
        <v>11.63</v>
      </c>
      <c r="I34" s="151" t="s">
        <v>8</v>
      </c>
      <c r="J34" s="100">
        <v>0.78</v>
      </c>
      <c r="K34" s="100">
        <v>72.790000000000006</v>
      </c>
      <c r="L34" s="100">
        <v>22.25</v>
      </c>
      <c r="M34" s="100">
        <v>80.91</v>
      </c>
      <c r="N34" s="100">
        <v>18.399999999999999</v>
      </c>
      <c r="O34" s="100">
        <v>0</v>
      </c>
      <c r="P34" s="100">
        <v>0.44</v>
      </c>
      <c r="Q34" s="100">
        <v>28.27</v>
      </c>
      <c r="R34" s="6"/>
      <c r="S34" s="6"/>
      <c r="T34" s="156"/>
      <c r="U34" s="6"/>
    </row>
    <row r="35" spans="1:21" customFormat="1">
      <c r="A35" s="163" t="s">
        <v>2281</v>
      </c>
      <c r="B35" s="100">
        <v>12.36</v>
      </c>
      <c r="C35" s="100">
        <v>18.25</v>
      </c>
      <c r="D35" s="100">
        <v>20.8</v>
      </c>
      <c r="E35" s="100">
        <v>8.4700000000000006</v>
      </c>
      <c r="F35" s="152" t="s">
        <v>15</v>
      </c>
      <c r="G35" s="100">
        <v>28.36</v>
      </c>
      <c r="H35" s="100">
        <v>11.63</v>
      </c>
      <c r="I35" s="151" t="s">
        <v>8</v>
      </c>
      <c r="J35" s="100">
        <v>0.85</v>
      </c>
      <c r="K35" s="100">
        <v>69.930000000000007</v>
      </c>
      <c r="L35" s="100">
        <v>22.34</v>
      </c>
      <c r="M35" s="100">
        <v>82.26</v>
      </c>
      <c r="N35" s="100">
        <v>36.799999999999997</v>
      </c>
      <c r="O35" s="100">
        <v>0</v>
      </c>
      <c r="P35" s="100">
        <v>0.45</v>
      </c>
      <c r="Q35" s="100">
        <v>28.29</v>
      </c>
      <c r="R35" s="6"/>
      <c r="S35" s="6"/>
      <c r="T35" s="156"/>
      <c r="U35" s="6"/>
    </row>
    <row r="36" spans="1:21" customFormat="1">
      <c r="A36" s="163" t="s">
        <v>2282</v>
      </c>
      <c r="B36" s="100">
        <v>12.71</v>
      </c>
      <c r="C36" s="100">
        <v>18.34</v>
      </c>
      <c r="D36" s="100">
        <v>21.12</v>
      </c>
      <c r="E36" s="100">
        <v>8.6300000000000008</v>
      </c>
      <c r="F36" s="152" t="s">
        <v>15</v>
      </c>
      <c r="G36" s="100">
        <v>27.7</v>
      </c>
      <c r="H36" s="100">
        <v>13.74</v>
      </c>
      <c r="I36" s="151" t="s">
        <v>8</v>
      </c>
      <c r="J36" s="100">
        <v>0.6</v>
      </c>
      <c r="K36" s="100">
        <v>72.900000000000006</v>
      </c>
      <c r="L36" s="100">
        <v>22.5</v>
      </c>
      <c r="M36" s="100">
        <v>82.61</v>
      </c>
      <c r="N36" s="100">
        <v>57</v>
      </c>
      <c r="O36" s="100">
        <v>0</v>
      </c>
      <c r="P36" s="100">
        <v>0.45</v>
      </c>
      <c r="Q36" s="100">
        <v>28.29</v>
      </c>
      <c r="R36" s="6"/>
      <c r="S36" s="6"/>
      <c r="T36" s="156"/>
      <c r="U36" s="6"/>
    </row>
    <row r="37" spans="1:21" customFormat="1">
      <c r="A37" s="163" t="s">
        <v>2283</v>
      </c>
      <c r="B37" s="100">
        <v>12.92</v>
      </c>
      <c r="C37" s="100">
        <v>18.420000000000002</v>
      </c>
      <c r="D37" s="100">
        <v>21.34</v>
      </c>
      <c r="E37" s="100">
        <v>8.64</v>
      </c>
      <c r="F37" s="152" t="s">
        <v>15</v>
      </c>
      <c r="G37" s="100">
        <v>27.46</v>
      </c>
      <c r="H37" s="100">
        <v>13.81</v>
      </c>
      <c r="I37" s="151" t="s">
        <v>8</v>
      </c>
      <c r="J37" s="100">
        <v>0.6</v>
      </c>
      <c r="K37" s="100">
        <v>85.18</v>
      </c>
      <c r="L37" s="100">
        <v>22.87</v>
      </c>
      <c r="M37" s="100">
        <v>80.59</v>
      </c>
      <c r="N37" s="100">
        <v>70.599999999999994</v>
      </c>
      <c r="O37" s="100">
        <v>0</v>
      </c>
      <c r="P37" s="100">
        <v>0.45</v>
      </c>
      <c r="Q37" s="100">
        <v>28.33</v>
      </c>
      <c r="R37" s="6"/>
      <c r="S37" s="6"/>
      <c r="T37" s="156"/>
      <c r="U37" s="6"/>
    </row>
    <row r="38" spans="1:21" customFormat="1">
      <c r="A38" s="163" t="s">
        <v>2284</v>
      </c>
      <c r="B38" s="100">
        <v>13.01</v>
      </c>
      <c r="C38" s="100">
        <v>18</v>
      </c>
      <c r="D38" s="100">
        <v>21.19</v>
      </c>
      <c r="E38" s="100">
        <v>8.52</v>
      </c>
      <c r="F38" s="152" t="s">
        <v>15</v>
      </c>
      <c r="G38" s="100">
        <v>27.46</v>
      </c>
      <c r="H38" s="100">
        <v>13.81</v>
      </c>
      <c r="I38" s="151" t="s">
        <v>8</v>
      </c>
      <c r="J38" s="100">
        <v>0.71</v>
      </c>
      <c r="K38" s="100">
        <v>74.760000000000005</v>
      </c>
      <c r="L38" s="100">
        <v>23.12</v>
      </c>
      <c r="M38" s="100">
        <v>79.36</v>
      </c>
      <c r="N38" s="100">
        <v>83.1</v>
      </c>
      <c r="O38" s="100">
        <v>0</v>
      </c>
      <c r="P38" s="100">
        <v>0.46</v>
      </c>
      <c r="Q38" s="100">
        <v>28.32</v>
      </c>
      <c r="R38" s="6"/>
      <c r="S38" s="6"/>
      <c r="T38" s="156"/>
      <c r="U38" s="6"/>
    </row>
    <row r="39" spans="1:21" customFormat="1">
      <c r="A39" s="163" t="s">
        <v>2285</v>
      </c>
      <c r="B39" s="100">
        <v>13.06</v>
      </c>
      <c r="C39" s="100">
        <v>18.190000000000001</v>
      </c>
      <c r="D39" s="100">
        <v>21.33</v>
      </c>
      <c r="E39" s="100">
        <v>8.2799999999999994</v>
      </c>
      <c r="F39" s="152" t="s">
        <v>15</v>
      </c>
      <c r="G39" s="100">
        <v>27.46</v>
      </c>
      <c r="H39" s="100">
        <v>13.81</v>
      </c>
      <c r="I39" s="151" t="s">
        <v>8</v>
      </c>
      <c r="J39" s="100">
        <v>0.44</v>
      </c>
      <c r="K39" s="100">
        <v>83.23</v>
      </c>
      <c r="L39" s="100">
        <v>23.64</v>
      </c>
      <c r="M39" s="100">
        <v>77.87</v>
      </c>
      <c r="N39" s="100">
        <v>103.9</v>
      </c>
      <c r="O39" s="100">
        <v>0</v>
      </c>
      <c r="P39" s="100">
        <v>0.47</v>
      </c>
      <c r="Q39" s="100">
        <v>28.32</v>
      </c>
      <c r="R39" s="6"/>
      <c r="S39" s="6"/>
      <c r="T39" s="156"/>
      <c r="U39" s="6"/>
    </row>
    <row r="40" spans="1:21" customFormat="1">
      <c r="A40" s="163" t="s">
        <v>2286</v>
      </c>
      <c r="B40" s="100">
        <v>13.02</v>
      </c>
      <c r="C40" s="100">
        <v>17.899999999999999</v>
      </c>
      <c r="D40" s="100">
        <v>21.14</v>
      </c>
      <c r="E40" s="100">
        <v>8.59</v>
      </c>
      <c r="F40" s="152" t="s">
        <v>15</v>
      </c>
      <c r="G40" s="100">
        <v>29.57</v>
      </c>
      <c r="H40" s="100">
        <v>13.98</v>
      </c>
      <c r="I40" s="151" t="s">
        <v>8</v>
      </c>
      <c r="J40" s="100">
        <v>0.19</v>
      </c>
      <c r="K40" s="100">
        <v>100.45</v>
      </c>
      <c r="L40" s="100">
        <v>24.59</v>
      </c>
      <c r="M40" s="100">
        <v>72.97</v>
      </c>
      <c r="N40" s="100">
        <v>149.30000000000001</v>
      </c>
      <c r="O40" s="100">
        <v>0</v>
      </c>
      <c r="P40" s="100">
        <v>0.48</v>
      </c>
      <c r="Q40" s="100">
        <v>28.32</v>
      </c>
      <c r="R40" s="6"/>
      <c r="S40" s="6"/>
      <c r="T40" s="156"/>
      <c r="U40" s="6"/>
    </row>
    <row r="41" spans="1:21" customFormat="1">
      <c r="A41" s="163" t="s">
        <v>2287</v>
      </c>
      <c r="B41" s="100">
        <v>12.55</v>
      </c>
      <c r="C41" s="100">
        <v>18.16</v>
      </c>
      <c r="D41" s="100">
        <v>20.9</v>
      </c>
      <c r="E41" s="100">
        <v>8.02</v>
      </c>
      <c r="F41" s="152" t="s">
        <v>15</v>
      </c>
      <c r="G41" s="100">
        <v>30.34</v>
      </c>
      <c r="H41" s="100">
        <v>13.99</v>
      </c>
      <c r="I41" s="151" t="s">
        <v>8</v>
      </c>
      <c r="J41" s="100">
        <v>0.37</v>
      </c>
      <c r="K41" s="100">
        <v>98.8</v>
      </c>
      <c r="L41" s="100">
        <v>25.44</v>
      </c>
      <c r="M41" s="100">
        <v>68.510000000000005</v>
      </c>
      <c r="N41" s="100">
        <v>214.5</v>
      </c>
      <c r="O41" s="100">
        <v>0</v>
      </c>
      <c r="P41" s="100">
        <v>0.49</v>
      </c>
      <c r="Q41" s="100">
        <v>28.28</v>
      </c>
      <c r="R41" s="6"/>
      <c r="S41" s="6"/>
      <c r="T41" s="156"/>
      <c r="U41" s="6"/>
    </row>
    <row r="42" spans="1:21" customFormat="1">
      <c r="A42" s="163" t="s">
        <v>2288</v>
      </c>
      <c r="B42" s="100">
        <v>11.74</v>
      </c>
      <c r="C42" s="100">
        <v>18.61</v>
      </c>
      <c r="D42" s="100">
        <v>20.49</v>
      </c>
      <c r="E42" s="100">
        <v>8.2799999999999994</v>
      </c>
      <c r="F42" s="152" t="s">
        <v>15</v>
      </c>
      <c r="G42" s="100">
        <v>30.34</v>
      </c>
      <c r="H42" s="100">
        <v>13.99</v>
      </c>
      <c r="I42" s="151" t="s">
        <v>8</v>
      </c>
      <c r="J42" s="100">
        <v>0.38</v>
      </c>
      <c r="K42" s="100">
        <v>96.5</v>
      </c>
      <c r="L42" s="100">
        <v>26.17</v>
      </c>
      <c r="M42" s="100">
        <v>64.88</v>
      </c>
      <c r="N42" s="100">
        <v>154.6</v>
      </c>
      <c r="O42" s="100">
        <v>0</v>
      </c>
      <c r="P42" s="100">
        <v>0.48</v>
      </c>
      <c r="Q42" s="100">
        <v>28.27</v>
      </c>
      <c r="R42" s="6"/>
      <c r="S42" s="6"/>
      <c r="T42" s="156"/>
      <c r="U42" s="6"/>
    </row>
    <row r="43" spans="1:21" customFormat="1">
      <c r="A43" s="163" t="s">
        <v>2289</v>
      </c>
      <c r="B43" s="100">
        <v>10.83</v>
      </c>
      <c r="C43" s="100">
        <v>19.25</v>
      </c>
      <c r="D43" s="100">
        <v>20.09</v>
      </c>
      <c r="E43" s="100">
        <v>7.77</v>
      </c>
      <c r="F43" s="152" t="s">
        <v>15</v>
      </c>
      <c r="G43" s="100">
        <v>30.34</v>
      </c>
      <c r="H43" s="100">
        <v>13.99</v>
      </c>
      <c r="I43" s="151" t="s">
        <v>8</v>
      </c>
      <c r="J43" s="100">
        <v>0.39</v>
      </c>
      <c r="K43" s="100">
        <v>106.22</v>
      </c>
      <c r="L43" s="100">
        <v>26.74</v>
      </c>
      <c r="M43" s="100">
        <v>62.69</v>
      </c>
      <c r="N43" s="100">
        <v>237.7</v>
      </c>
      <c r="O43" s="100">
        <v>0</v>
      </c>
      <c r="P43" s="100">
        <v>0.48</v>
      </c>
      <c r="Q43" s="100">
        <v>28.24</v>
      </c>
      <c r="R43" s="6"/>
      <c r="S43" s="6"/>
      <c r="T43" s="156"/>
      <c r="U43" s="6"/>
    </row>
    <row r="44" spans="1:21" customFormat="1">
      <c r="A44" s="163" t="s">
        <v>2290</v>
      </c>
      <c r="B44" s="100">
        <v>9.98</v>
      </c>
      <c r="C44" s="100">
        <v>19.64</v>
      </c>
      <c r="D44" s="100">
        <v>19.61</v>
      </c>
      <c r="E44" s="100">
        <v>7.96</v>
      </c>
      <c r="F44" s="152" t="s">
        <v>15</v>
      </c>
      <c r="G44" s="100">
        <v>30.89</v>
      </c>
      <c r="H44" s="100">
        <v>17.54</v>
      </c>
      <c r="I44" s="151" t="s">
        <v>8</v>
      </c>
      <c r="J44" s="100">
        <v>0.41</v>
      </c>
      <c r="K44" s="100">
        <v>153.94999999999999</v>
      </c>
      <c r="L44" s="100">
        <v>27.69</v>
      </c>
      <c r="M44" s="100">
        <v>59.52</v>
      </c>
      <c r="N44" s="100">
        <v>357.5</v>
      </c>
      <c r="O44" s="100">
        <v>0</v>
      </c>
      <c r="P44" s="100">
        <v>0.47</v>
      </c>
      <c r="Q44" s="100">
        <v>28.23</v>
      </c>
      <c r="R44" s="6"/>
      <c r="S44" s="6"/>
      <c r="T44" s="156"/>
      <c r="U44" s="6"/>
    </row>
    <row r="45" spans="1:21" customFormat="1">
      <c r="A45" s="163" t="s">
        <v>2291</v>
      </c>
      <c r="B45" s="100">
        <v>9.16</v>
      </c>
      <c r="C45" s="100">
        <v>19.920000000000002</v>
      </c>
      <c r="D45" s="100">
        <v>19.11</v>
      </c>
      <c r="E45" s="100">
        <v>7.94</v>
      </c>
      <c r="F45" s="152" t="s">
        <v>15</v>
      </c>
      <c r="G45" s="100">
        <v>31.09</v>
      </c>
      <c r="H45" s="100">
        <v>17.59</v>
      </c>
      <c r="I45" s="151" t="s">
        <v>8</v>
      </c>
      <c r="J45" s="100">
        <v>0.46</v>
      </c>
      <c r="K45" s="100">
        <v>131.31</v>
      </c>
      <c r="L45" s="100">
        <v>28.11</v>
      </c>
      <c r="M45" s="100">
        <v>57.93</v>
      </c>
      <c r="N45" s="100">
        <v>316</v>
      </c>
      <c r="O45" s="100">
        <v>0</v>
      </c>
      <c r="P45" s="100">
        <v>0.46</v>
      </c>
      <c r="Q45" s="100">
        <v>28.19</v>
      </c>
      <c r="R45" s="6"/>
      <c r="S45" s="6"/>
      <c r="T45" s="156"/>
      <c r="U45" s="6"/>
    </row>
    <row r="46" spans="1:21" customFormat="1">
      <c r="A46" s="163" t="s">
        <v>2292</v>
      </c>
      <c r="B46" s="100">
        <v>8.32</v>
      </c>
      <c r="C46" s="100">
        <v>20.04</v>
      </c>
      <c r="D46" s="100">
        <v>18.489999999999998</v>
      </c>
      <c r="E46" s="100">
        <v>8.06</v>
      </c>
      <c r="F46" s="152" t="s">
        <v>15</v>
      </c>
      <c r="G46" s="100">
        <v>31.09</v>
      </c>
      <c r="H46" s="100">
        <v>17.59</v>
      </c>
      <c r="I46" s="151" t="s">
        <v>8</v>
      </c>
      <c r="J46" s="100">
        <v>0.53</v>
      </c>
      <c r="K46" s="100">
        <v>107.09</v>
      </c>
      <c r="L46" s="100">
        <v>28.84</v>
      </c>
      <c r="M46" s="100">
        <v>54.98</v>
      </c>
      <c r="N46" s="100">
        <v>460.2</v>
      </c>
      <c r="O46" s="100">
        <v>0</v>
      </c>
      <c r="P46" s="100">
        <v>0.46</v>
      </c>
      <c r="Q46" s="100">
        <v>28.15</v>
      </c>
      <c r="R46" s="6"/>
      <c r="S46" s="6"/>
      <c r="T46" s="156"/>
      <c r="U46" s="6"/>
    </row>
    <row r="47" spans="1:21" customFormat="1">
      <c r="A47" s="163" t="s">
        <v>2293</v>
      </c>
      <c r="B47" s="100">
        <v>7.5</v>
      </c>
      <c r="C47" s="100">
        <v>20.09</v>
      </c>
      <c r="D47" s="100">
        <v>17.86</v>
      </c>
      <c r="E47" s="100">
        <v>7.72</v>
      </c>
      <c r="F47" s="152" t="s">
        <v>15</v>
      </c>
      <c r="G47" s="100">
        <v>31.09</v>
      </c>
      <c r="H47" s="100">
        <v>17.59</v>
      </c>
      <c r="I47" s="151" t="s">
        <v>8</v>
      </c>
      <c r="J47" s="100">
        <v>0.18</v>
      </c>
      <c r="K47" s="100">
        <v>38.79</v>
      </c>
      <c r="L47" s="100">
        <v>29.12</v>
      </c>
      <c r="M47" s="100">
        <v>53.51</v>
      </c>
      <c r="N47" s="100">
        <v>487</v>
      </c>
      <c r="O47" s="100">
        <v>0</v>
      </c>
      <c r="P47" s="100">
        <v>0.46</v>
      </c>
      <c r="Q47" s="100">
        <v>28.13</v>
      </c>
      <c r="R47" s="6"/>
      <c r="S47" s="6"/>
      <c r="T47" s="156"/>
      <c r="U47" s="6"/>
    </row>
    <row r="48" spans="1:21" customFormat="1">
      <c r="A48" s="163" t="s">
        <v>2294</v>
      </c>
      <c r="B48" s="100">
        <v>6.74</v>
      </c>
      <c r="C48" s="100">
        <v>20.68</v>
      </c>
      <c r="D48" s="100">
        <v>17.559999999999999</v>
      </c>
      <c r="E48" s="100">
        <v>8.24</v>
      </c>
      <c r="F48" s="152" t="s">
        <v>15</v>
      </c>
      <c r="G48" s="100">
        <v>31.11</v>
      </c>
      <c r="H48" s="100">
        <v>13.79</v>
      </c>
      <c r="I48" s="151" t="s">
        <v>8</v>
      </c>
      <c r="J48" s="100">
        <v>0.21</v>
      </c>
      <c r="K48" s="100">
        <v>219.36</v>
      </c>
      <c r="L48" s="100">
        <v>29.53</v>
      </c>
      <c r="M48" s="100">
        <v>50.96</v>
      </c>
      <c r="N48" s="100">
        <v>547.6</v>
      </c>
      <c r="O48" s="100">
        <v>0</v>
      </c>
      <c r="P48" s="100">
        <v>0.45</v>
      </c>
      <c r="Q48" s="100">
        <v>28.13</v>
      </c>
      <c r="R48" s="6"/>
      <c r="S48" s="6"/>
      <c r="T48" s="156"/>
      <c r="U48" s="6"/>
    </row>
    <row r="49" spans="1:21" customFormat="1">
      <c r="A49" s="163" t="s">
        <v>2295</v>
      </c>
      <c r="B49" s="100">
        <v>6.1</v>
      </c>
      <c r="C49" s="100">
        <v>20.75</v>
      </c>
      <c r="D49" s="100">
        <v>17.079999999999998</v>
      </c>
      <c r="E49" s="100">
        <v>6.85</v>
      </c>
      <c r="F49" s="152" t="s">
        <v>15</v>
      </c>
      <c r="G49" s="100">
        <v>31.12</v>
      </c>
      <c r="H49" s="100">
        <v>13.73</v>
      </c>
      <c r="I49" s="151" t="s">
        <v>8</v>
      </c>
      <c r="J49" s="100">
        <v>0.44</v>
      </c>
      <c r="K49" s="100">
        <v>9.73</v>
      </c>
      <c r="L49" s="100">
        <v>29.71</v>
      </c>
      <c r="M49" s="100">
        <v>50.35</v>
      </c>
      <c r="N49" s="100">
        <v>523.29999999999995</v>
      </c>
      <c r="O49" s="100">
        <v>0</v>
      </c>
      <c r="P49" s="100">
        <v>0.46</v>
      </c>
      <c r="Q49" s="100">
        <v>28.1</v>
      </c>
      <c r="R49" s="6"/>
      <c r="S49" s="6"/>
      <c r="T49" s="156"/>
      <c r="U49" s="6"/>
    </row>
    <row r="50" spans="1:21" customFormat="1">
      <c r="A50" s="163" t="s">
        <v>2296</v>
      </c>
      <c r="B50" s="100">
        <v>5.61</v>
      </c>
      <c r="C50" s="100">
        <v>20.37</v>
      </c>
      <c r="D50" s="100">
        <v>16.5</v>
      </c>
      <c r="E50" s="100">
        <v>8.0399999999999991</v>
      </c>
      <c r="F50" s="152" t="s">
        <v>15</v>
      </c>
      <c r="G50" s="100">
        <v>31.12</v>
      </c>
      <c r="H50" s="100">
        <v>13.73</v>
      </c>
      <c r="I50" s="151" t="s">
        <v>8</v>
      </c>
      <c r="J50" s="100">
        <v>0.26</v>
      </c>
      <c r="K50" s="100">
        <v>219.71</v>
      </c>
      <c r="L50" s="100">
        <v>30.68</v>
      </c>
      <c r="M50" s="100">
        <v>47.6</v>
      </c>
      <c r="N50" s="100">
        <v>447.9</v>
      </c>
      <c r="O50" s="100">
        <v>0</v>
      </c>
      <c r="P50" s="100">
        <v>0.45</v>
      </c>
      <c r="Q50" s="100">
        <v>28.1</v>
      </c>
      <c r="R50" s="6"/>
      <c r="S50" s="6"/>
      <c r="T50" s="156"/>
      <c r="U50" s="6"/>
    </row>
    <row r="51" spans="1:21" customFormat="1">
      <c r="A51" s="163" t="s">
        <v>2297</v>
      </c>
      <c r="B51" s="100">
        <v>5.09</v>
      </c>
      <c r="C51" s="100">
        <v>19.86</v>
      </c>
      <c r="D51" s="100">
        <v>15.8</v>
      </c>
      <c r="E51" s="100">
        <v>7.64</v>
      </c>
      <c r="F51" s="152" t="s">
        <v>15</v>
      </c>
      <c r="G51" s="100">
        <v>31.12</v>
      </c>
      <c r="H51" s="100">
        <v>13.73</v>
      </c>
      <c r="I51" s="151" t="s">
        <v>8</v>
      </c>
      <c r="J51" s="100">
        <v>0.75</v>
      </c>
      <c r="K51" s="100">
        <v>250.22</v>
      </c>
      <c r="L51" s="100">
        <v>30.83</v>
      </c>
      <c r="M51" s="100">
        <v>46.61</v>
      </c>
      <c r="N51" s="100">
        <v>632.79999999999995</v>
      </c>
      <c r="O51" s="100">
        <v>0</v>
      </c>
      <c r="P51" s="100">
        <v>0.46</v>
      </c>
      <c r="Q51" s="100">
        <v>28.07</v>
      </c>
      <c r="R51" s="6"/>
      <c r="S51" s="6"/>
      <c r="T51" s="156"/>
      <c r="U51" s="6"/>
    </row>
    <row r="52" spans="1:21" customFormat="1">
      <c r="A52" s="163" t="s">
        <v>2298</v>
      </c>
      <c r="B52" s="100">
        <v>4.6100000000000003</v>
      </c>
      <c r="C52" s="100">
        <v>20.440000000000001</v>
      </c>
      <c r="D52" s="100">
        <v>15.73</v>
      </c>
      <c r="E52" s="100">
        <v>7.79</v>
      </c>
      <c r="F52" s="152" t="s">
        <v>15</v>
      </c>
      <c r="G52" s="100">
        <v>30.54</v>
      </c>
      <c r="H52" s="100">
        <v>12.65</v>
      </c>
      <c r="I52" s="151" t="s">
        <v>8</v>
      </c>
      <c r="J52" s="100">
        <v>0.51</v>
      </c>
      <c r="K52" s="100">
        <v>257.3</v>
      </c>
      <c r="L52" s="100">
        <v>30.82</v>
      </c>
      <c r="M52" s="100">
        <v>46.12</v>
      </c>
      <c r="N52" s="100">
        <v>648</v>
      </c>
      <c r="O52" s="100">
        <v>0</v>
      </c>
      <c r="P52" s="100">
        <v>0.43</v>
      </c>
      <c r="Q52" s="100">
        <v>28.05</v>
      </c>
      <c r="R52" s="6"/>
      <c r="S52" s="6"/>
      <c r="T52" s="156"/>
      <c r="U52" s="6"/>
    </row>
    <row r="53" spans="1:21" customFormat="1">
      <c r="A53" s="163" t="s">
        <v>2299</v>
      </c>
      <c r="B53" s="100">
        <v>4.29</v>
      </c>
      <c r="C53" s="100">
        <v>20.36</v>
      </c>
      <c r="D53" s="100">
        <v>15.43</v>
      </c>
      <c r="E53" s="100">
        <v>8.01</v>
      </c>
      <c r="F53" s="152" t="s">
        <v>15</v>
      </c>
      <c r="G53" s="100">
        <v>30.34</v>
      </c>
      <c r="H53" s="100">
        <v>12.62</v>
      </c>
      <c r="I53" s="151" t="s">
        <v>8</v>
      </c>
      <c r="J53" s="100">
        <v>0.87</v>
      </c>
      <c r="K53" s="100">
        <v>265.08999999999997</v>
      </c>
      <c r="L53" s="100">
        <v>31.27</v>
      </c>
      <c r="M53" s="100">
        <v>45</v>
      </c>
      <c r="N53" s="100">
        <v>639.79999999999995</v>
      </c>
      <c r="O53" s="100">
        <v>0</v>
      </c>
      <c r="P53" s="100">
        <v>0.43</v>
      </c>
      <c r="Q53" s="100">
        <v>28.04</v>
      </c>
      <c r="R53" s="6"/>
      <c r="S53" s="6"/>
      <c r="T53" s="156"/>
      <c r="U53" s="6"/>
    </row>
    <row r="54" spans="1:21" customFormat="1">
      <c r="A54" s="163" t="s">
        <v>2300</v>
      </c>
      <c r="B54" s="100">
        <v>4.0999999999999996</v>
      </c>
      <c r="C54" s="100">
        <v>19.88</v>
      </c>
      <c r="D54" s="100">
        <v>15.03</v>
      </c>
      <c r="E54" s="100">
        <v>8.23</v>
      </c>
      <c r="F54" s="152" t="s">
        <v>15</v>
      </c>
      <c r="G54" s="100">
        <v>30.34</v>
      </c>
      <c r="H54" s="100">
        <v>12.62</v>
      </c>
      <c r="I54" s="151" t="s">
        <v>8</v>
      </c>
      <c r="J54" s="100">
        <v>0.91</v>
      </c>
      <c r="K54" s="100">
        <v>272.26</v>
      </c>
      <c r="L54" s="100">
        <v>31.62</v>
      </c>
      <c r="M54" s="100">
        <v>44.31</v>
      </c>
      <c r="N54" s="100">
        <v>688.2</v>
      </c>
      <c r="O54" s="100">
        <v>0</v>
      </c>
      <c r="P54" s="100">
        <v>0.46</v>
      </c>
      <c r="Q54" s="100">
        <v>28.04</v>
      </c>
      <c r="R54" s="6"/>
      <c r="S54" s="6"/>
      <c r="T54" s="156"/>
      <c r="U54" s="6"/>
    </row>
    <row r="55" spans="1:21" customFormat="1">
      <c r="A55" s="163" t="s">
        <v>2301</v>
      </c>
      <c r="B55" s="100">
        <v>3.95</v>
      </c>
      <c r="C55" s="100">
        <v>19.579999999999998</v>
      </c>
      <c r="D55" s="100">
        <v>14.75</v>
      </c>
      <c r="E55" s="100">
        <v>7.88</v>
      </c>
      <c r="F55" s="152" t="s">
        <v>15</v>
      </c>
      <c r="G55" s="100">
        <v>30.34</v>
      </c>
      <c r="H55" s="100">
        <v>12.62</v>
      </c>
      <c r="I55" s="151" t="s">
        <v>8</v>
      </c>
      <c r="J55" s="100">
        <v>0.81</v>
      </c>
      <c r="K55" s="100">
        <v>261.14999999999998</v>
      </c>
      <c r="L55" s="100">
        <v>31.92</v>
      </c>
      <c r="M55" s="100">
        <v>43.97</v>
      </c>
      <c r="N55" s="100">
        <v>684.9</v>
      </c>
      <c r="O55" s="100">
        <v>0</v>
      </c>
      <c r="P55" s="100">
        <v>0.46</v>
      </c>
      <c r="Q55" s="100">
        <v>28.02</v>
      </c>
      <c r="R55" s="6"/>
      <c r="S55" s="6"/>
      <c r="T55" s="156"/>
      <c r="U55" s="6"/>
    </row>
    <row r="56" spans="1:21" customFormat="1">
      <c r="A56" s="163" t="s">
        <v>2302</v>
      </c>
      <c r="B56" s="100">
        <v>3.87</v>
      </c>
      <c r="C56" s="100">
        <v>19.61</v>
      </c>
      <c r="D56" s="100">
        <v>14.7</v>
      </c>
      <c r="E56" s="100">
        <v>8.0299999999999994</v>
      </c>
      <c r="F56" s="152" t="s">
        <v>15</v>
      </c>
      <c r="G56" s="100">
        <v>31.45</v>
      </c>
      <c r="H56" s="100">
        <v>12.4</v>
      </c>
      <c r="I56" s="151" t="s">
        <v>8</v>
      </c>
      <c r="J56" s="100">
        <v>0.76</v>
      </c>
      <c r="K56" s="100">
        <v>283.97000000000003</v>
      </c>
      <c r="L56" s="100">
        <v>31.82</v>
      </c>
      <c r="M56" s="100">
        <v>44.32</v>
      </c>
      <c r="N56" s="100">
        <v>779.1</v>
      </c>
      <c r="O56" s="100">
        <v>0</v>
      </c>
      <c r="P56" s="100">
        <v>0.46</v>
      </c>
      <c r="Q56" s="100">
        <v>28.03</v>
      </c>
      <c r="R56" s="6"/>
      <c r="S56" s="6"/>
      <c r="T56" s="156"/>
      <c r="U56" s="6"/>
    </row>
    <row r="57" spans="1:21" customFormat="1">
      <c r="A57" s="163" t="s">
        <v>2303</v>
      </c>
      <c r="B57" s="100">
        <v>3.8</v>
      </c>
      <c r="C57" s="100">
        <v>19.149999999999999</v>
      </c>
      <c r="D57" s="100">
        <v>14.4</v>
      </c>
      <c r="E57" s="100">
        <v>8.0299999999999994</v>
      </c>
      <c r="F57" s="152" t="s">
        <v>15</v>
      </c>
      <c r="G57" s="100">
        <v>31.86</v>
      </c>
      <c r="H57" s="100">
        <v>12.39</v>
      </c>
      <c r="I57" s="151" t="s">
        <v>8</v>
      </c>
      <c r="J57" s="100">
        <v>0.4</v>
      </c>
      <c r="K57" s="100">
        <v>243.65</v>
      </c>
      <c r="L57" s="100">
        <v>32.69</v>
      </c>
      <c r="M57" s="100">
        <v>42.19</v>
      </c>
      <c r="N57" s="100">
        <v>743.4</v>
      </c>
      <c r="O57" s="100">
        <v>0</v>
      </c>
      <c r="P57" s="100">
        <v>0.47</v>
      </c>
      <c r="Q57" s="100">
        <v>28.01</v>
      </c>
      <c r="R57" s="6"/>
      <c r="S57" s="6"/>
      <c r="T57" s="156"/>
      <c r="U57" s="6"/>
    </row>
    <row r="58" spans="1:21" customFormat="1">
      <c r="A58" s="163" t="s">
        <v>2304</v>
      </c>
      <c r="B58" s="100">
        <v>3.73</v>
      </c>
      <c r="C58" s="100">
        <v>18.010000000000002</v>
      </c>
      <c r="D58" s="100">
        <v>13.76</v>
      </c>
      <c r="E58" s="100">
        <v>7.84</v>
      </c>
      <c r="F58" s="152" t="s">
        <v>15</v>
      </c>
      <c r="G58" s="100">
        <v>31.86</v>
      </c>
      <c r="H58" s="100">
        <v>12.39</v>
      </c>
      <c r="I58" s="151" t="s">
        <v>8</v>
      </c>
      <c r="J58" s="100">
        <v>0.84</v>
      </c>
      <c r="K58" s="100">
        <v>277.3</v>
      </c>
      <c r="L58" s="100">
        <v>32.64</v>
      </c>
      <c r="M58" s="100">
        <v>42.24</v>
      </c>
      <c r="N58" s="100">
        <v>709.9</v>
      </c>
      <c r="O58" s="100">
        <v>0</v>
      </c>
      <c r="P58" s="100">
        <v>0.48</v>
      </c>
      <c r="Q58" s="100">
        <v>28.01</v>
      </c>
      <c r="R58" s="6"/>
      <c r="S58" s="6"/>
      <c r="T58" s="156"/>
      <c r="U58" s="6"/>
    </row>
    <row r="59" spans="1:21" customFormat="1">
      <c r="A59" s="163" t="s">
        <v>2305</v>
      </c>
      <c r="B59" s="100">
        <v>3.75</v>
      </c>
      <c r="C59" s="100">
        <v>18.91</v>
      </c>
      <c r="D59" s="100">
        <v>14.24</v>
      </c>
      <c r="E59" s="100">
        <v>8.0500000000000007</v>
      </c>
      <c r="F59" s="152" t="s">
        <v>15</v>
      </c>
      <c r="G59" s="100">
        <v>31.86</v>
      </c>
      <c r="H59" s="100">
        <v>12.39</v>
      </c>
      <c r="I59" s="151" t="s">
        <v>8</v>
      </c>
      <c r="J59" s="100">
        <v>0.44</v>
      </c>
      <c r="K59" s="100">
        <v>0.17</v>
      </c>
      <c r="L59" s="100">
        <v>32.46</v>
      </c>
      <c r="M59" s="100">
        <v>42.13</v>
      </c>
      <c r="N59" s="100">
        <v>542.5</v>
      </c>
      <c r="O59" s="100">
        <v>0</v>
      </c>
      <c r="P59" s="100">
        <v>0.51</v>
      </c>
      <c r="Q59" s="100">
        <v>28.01</v>
      </c>
      <c r="R59" s="6"/>
      <c r="S59" s="6"/>
      <c r="T59" s="156"/>
      <c r="U59" s="6"/>
    </row>
    <row r="60" spans="1:21" customFormat="1">
      <c r="A60" s="163" t="s">
        <v>2306</v>
      </c>
      <c r="B60" s="100">
        <v>3.69</v>
      </c>
      <c r="C60" s="100">
        <v>20.100000000000001</v>
      </c>
      <c r="D60" s="100">
        <v>14.81</v>
      </c>
      <c r="E60" s="100">
        <v>8.3000000000000007</v>
      </c>
      <c r="F60" s="152" t="s">
        <v>15</v>
      </c>
      <c r="G60" s="100">
        <v>34.51</v>
      </c>
      <c r="H60" s="100">
        <v>14.79</v>
      </c>
      <c r="I60" s="151" t="s">
        <v>8</v>
      </c>
      <c r="J60" s="100">
        <v>0.49</v>
      </c>
      <c r="K60" s="100">
        <v>251.71</v>
      </c>
      <c r="L60" s="100">
        <v>32.81</v>
      </c>
      <c r="M60" s="100">
        <v>41.48</v>
      </c>
      <c r="N60" s="100">
        <v>726.9</v>
      </c>
      <c r="O60" s="100">
        <v>0</v>
      </c>
      <c r="P60" s="100">
        <v>0.53</v>
      </c>
      <c r="Q60" s="100">
        <v>28.01</v>
      </c>
      <c r="R60" s="6"/>
      <c r="S60" s="6"/>
      <c r="T60" s="156"/>
      <c r="U60" s="6"/>
    </row>
    <row r="61" spans="1:21" customFormat="1">
      <c r="A61" s="163" t="s">
        <v>2307</v>
      </c>
      <c r="B61" s="100">
        <v>3.74</v>
      </c>
      <c r="C61" s="100">
        <v>18.059999999999999</v>
      </c>
      <c r="D61" s="100">
        <v>13.79</v>
      </c>
      <c r="E61" s="100">
        <v>9.17</v>
      </c>
      <c r="F61" s="152" t="s">
        <v>15</v>
      </c>
      <c r="G61" s="100">
        <v>35.47</v>
      </c>
      <c r="H61" s="100">
        <v>14.83</v>
      </c>
      <c r="I61" s="151" t="s">
        <v>8</v>
      </c>
      <c r="J61" s="100">
        <v>0.55000000000000004</v>
      </c>
      <c r="K61" s="100">
        <v>261.20999999999998</v>
      </c>
      <c r="L61" s="100">
        <v>33.65</v>
      </c>
      <c r="M61" s="100">
        <v>39.24</v>
      </c>
      <c r="N61" s="100">
        <v>671.2</v>
      </c>
      <c r="O61" s="100">
        <v>0</v>
      </c>
      <c r="P61" s="100">
        <v>0.55000000000000004</v>
      </c>
      <c r="Q61" s="100">
        <v>28.01</v>
      </c>
      <c r="R61" s="6"/>
      <c r="S61" s="6"/>
      <c r="T61" s="156"/>
      <c r="U61" s="6"/>
    </row>
    <row r="62" spans="1:21" customFormat="1">
      <c r="A62" s="163" t="s">
        <v>2308</v>
      </c>
      <c r="B62" s="100">
        <v>3.84</v>
      </c>
      <c r="C62" s="100">
        <v>16.84</v>
      </c>
      <c r="D62" s="100">
        <v>13.23</v>
      </c>
      <c r="E62" s="100">
        <v>8.76</v>
      </c>
      <c r="F62" s="152" t="s">
        <v>15</v>
      </c>
      <c r="G62" s="100">
        <v>35.47</v>
      </c>
      <c r="H62" s="100">
        <v>14.83</v>
      </c>
      <c r="I62" s="151" t="s">
        <v>8</v>
      </c>
      <c r="J62" s="100">
        <v>0.37</v>
      </c>
      <c r="K62" s="100">
        <v>287.2</v>
      </c>
      <c r="L62" s="100">
        <v>33.57</v>
      </c>
      <c r="M62" s="100">
        <v>38.78</v>
      </c>
      <c r="N62" s="100">
        <v>618.20000000000005</v>
      </c>
      <c r="O62" s="100">
        <v>0</v>
      </c>
      <c r="P62" s="100">
        <v>0.56999999999999995</v>
      </c>
      <c r="Q62" s="100">
        <v>28.02</v>
      </c>
      <c r="R62" s="6"/>
      <c r="S62" s="6"/>
      <c r="T62" s="156"/>
      <c r="U62" s="6"/>
    </row>
    <row r="63" spans="1:21" customFormat="1">
      <c r="A63" s="163" t="s">
        <v>2309</v>
      </c>
      <c r="B63" s="100">
        <v>3.86</v>
      </c>
      <c r="C63" s="100">
        <v>15.66</v>
      </c>
      <c r="D63" s="100">
        <v>12.63</v>
      </c>
      <c r="E63" s="100">
        <v>8.91</v>
      </c>
      <c r="F63" s="152" t="s">
        <v>15</v>
      </c>
      <c r="G63" s="100">
        <v>35.47</v>
      </c>
      <c r="H63" s="100">
        <v>14.83</v>
      </c>
      <c r="I63" s="151" t="s">
        <v>8</v>
      </c>
      <c r="J63" s="100">
        <v>0.34</v>
      </c>
      <c r="K63" s="100">
        <v>246.44</v>
      </c>
      <c r="L63" s="100">
        <v>34.4</v>
      </c>
      <c r="M63" s="100">
        <v>36.520000000000003</v>
      </c>
      <c r="N63" s="100">
        <v>538.79999999999995</v>
      </c>
      <c r="O63" s="100">
        <v>0</v>
      </c>
      <c r="P63" s="100">
        <v>0.56999999999999995</v>
      </c>
      <c r="Q63" s="100">
        <v>28.03</v>
      </c>
      <c r="R63" s="6"/>
      <c r="S63" s="6"/>
      <c r="T63" s="156"/>
      <c r="U63" s="6"/>
    </row>
    <row r="64" spans="1:21" customFormat="1">
      <c r="A64" s="163" t="s">
        <v>2310</v>
      </c>
      <c r="B64" s="100">
        <v>3.85</v>
      </c>
      <c r="C64" s="100">
        <v>14.57</v>
      </c>
      <c r="D64" s="100">
        <v>12.05</v>
      </c>
      <c r="E64" s="100">
        <v>8.9499999999999993</v>
      </c>
      <c r="F64" s="152" t="s">
        <v>15</v>
      </c>
      <c r="G64" s="100">
        <v>36.130000000000003</v>
      </c>
      <c r="H64" s="100">
        <v>17.05</v>
      </c>
      <c r="I64" s="151" t="s">
        <v>8</v>
      </c>
      <c r="J64" s="100">
        <v>0.19</v>
      </c>
      <c r="K64" s="100">
        <v>198.88</v>
      </c>
      <c r="L64" s="100">
        <v>33.96</v>
      </c>
      <c r="M64" s="100">
        <v>37.520000000000003</v>
      </c>
      <c r="N64" s="100">
        <v>455.1</v>
      </c>
      <c r="O64" s="100">
        <v>0</v>
      </c>
      <c r="P64" s="100">
        <v>0.57999999999999996</v>
      </c>
      <c r="Q64" s="100">
        <v>28.02</v>
      </c>
      <c r="R64" s="6"/>
      <c r="S64" s="6"/>
      <c r="T64" s="156"/>
      <c r="U64" s="6"/>
    </row>
    <row r="65" spans="1:21" customFormat="1">
      <c r="A65" s="163" t="s">
        <v>2311</v>
      </c>
      <c r="B65" s="100">
        <v>3.87</v>
      </c>
      <c r="C65" s="100">
        <v>14.36</v>
      </c>
      <c r="D65" s="100">
        <v>11.96</v>
      </c>
      <c r="E65" s="100">
        <v>8.67</v>
      </c>
      <c r="F65" s="152" t="s">
        <v>15</v>
      </c>
      <c r="G65" s="100">
        <v>36.369999999999997</v>
      </c>
      <c r="H65" s="100">
        <v>17.09</v>
      </c>
      <c r="I65" s="151" t="s">
        <v>8</v>
      </c>
      <c r="J65" s="100">
        <v>0.27</v>
      </c>
      <c r="K65" s="100">
        <v>96.22</v>
      </c>
      <c r="L65" s="100">
        <v>34.6</v>
      </c>
      <c r="M65" s="100">
        <v>35.94</v>
      </c>
      <c r="N65" s="100">
        <v>593.70000000000005</v>
      </c>
      <c r="O65" s="100">
        <v>0</v>
      </c>
      <c r="P65" s="100">
        <v>0.63</v>
      </c>
      <c r="Q65" s="100">
        <v>28</v>
      </c>
      <c r="R65" s="6"/>
      <c r="S65" s="6"/>
      <c r="T65" s="156"/>
      <c r="U65" s="6"/>
    </row>
    <row r="66" spans="1:21" customFormat="1">
      <c r="A66" s="163" t="s">
        <v>2312</v>
      </c>
      <c r="B66" s="100">
        <v>3.84</v>
      </c>
      <c r="C66" s="100">
        <v>14.02</v>
      </c>
      <c r="D66" s="100">
        <v>11.76</v>
      </c>
      <c r="E66" s="100">
        <v>8.7200000000000006</v>
      </c>
      <c r="F66" s="152" t="s">
        <v>15</v>
      </c>
      <c r="G66" s="100">
        <v>36.369999999999997</v>
      </c>
      <c r="H66" s="100">
        <v>17.09</v>
      </c>
      <c r="I66" s="151" t="s">
        <v>8</v>
      </c>
      <c r="J66" s="100">
        <v>0.22</v>
      </c>
      <c r="K66" s="100">
        <v>216.15</v>
      </c>
      <c r="L66" s="100">
        <v>34.97</v>
      </c>
      <c r="M66" s="100">
        <v>34.04</v>
      </c>
      <c r="N66" s="100">
        <v>603.6</v>
      </c>
      <c r="O66" s="100">
        <v>0</v>
      </c>
      <c r="P66" s="100">
        <v>0.65</v>
      </c>
      <c r="Q66" s="100">
        <v>28.01</v>
      </c>
      <c r="R66" s="6"/>
      <c r="S66" s="6"/>
      <c r="T66" s="156"/>
      <c r="U66" s="6"/>
    </row>
    <row r="67" spans="1:21" customFormat="1">
      <c r="A67" s="163" t="s">
        <v>2313</v>
      </c>
      <c r="B67" s="100">
        <v>3.81</v>
      </c>
      <c r="C67" s="100">
        <v>13.7</v>
      </c>
      <c r="D67" s="100">
        <v>11.57</v>
      </c>
      <c r="E67" s="100">
        <v>8.66</v>
      </c>
      <c r="F67" s="152" t="s">
        <v>15</v>
      </c>
      <c r="G67" s="100">
        <v>36.369999999999997</v>
      </c>
      <c r="H67" s="100">
        <v>17.09</v>
      </c>
      <c r="I67" s="151" t="s">
        <v>8</v>
      </c>
      <c r="J67" s="100">
        <v>0.21</v>
      </c>
      <c r="K67" s="100">
        <v>252.29</v>
      </c>
      <c r="L67" s="100">
        <v>35.200000000000003</v>
      </c>
      <c r="M67" s="100">
        <v>33.53</v>
      </c>
      <c r="N67" s="100">
        <v>501.2</v>
      </c>
      <c r="O67" s="100">
        <v>0</v>
      </c>
      <c r="P67" s="100">
        <v>0.64</v>
      </c>
      <c r="Q67" s="100">
        <v>28</v>
      </c>
      <c r="R67" s="6"/>
      <c r="S67" s="6"/>
      <c r="T67" s="156"/>
      <c r="U67" s="6"/>
    </row>
    <row r="68" spans="1:21" customFormat="1">
      <c r="A68" s="163" t="s">
        <v>2314</v>
      </c>
      <c r="B68" s="100">
        <v>3.9</v>
      </c>
      <c r="C68" s="100">
        <v>13.86</v>
      </c>
      <c r="D68" s="100">
        <v>11.72</v>
      </c>
      <c r="E68" s="100">
        <v>9.14</v>
      </c>
      <c r="F68" s="152" t="s">
        <v>15</v>
      </c>
      <c r="G68" s="100">
        <v>37.159999999999997</v>
      </c>
      <c r="H68" s="100">
        <v>15.93</v>
      </c>
      <c r="I68" s="151" t="s">
        <v>8</v>
      </c>
      <c r="J68" s="100">
        <v>0.48</v>
      </c>
      <c r="K68" s="100">
        <v>299.83</v>
      </c>
      <c r="L68" s="100">
        <v>35.049999999999997</v>
      </c>
      <c r="M68" s="100">
        <v>32.380000000000003</v>
      </c>
      <c r="N68" s="100">
        <v>375.5</v>
      </c>
      <c r="O68" s="100">
        <v>0</v>
      </c>
      <c r="P68" s="100">
        <v>0.66</v>
      </c>
      <c r="Q68" s="100">
        <v>28</v>
      </c>
      <c r="R68" s="6"/>
      <c r="S68" s="6"/>
      <c r="T68" s="156"/>
      <c r="U68" s="6"/>
    </row>
    <row r="69" spans="1:21" customFormat="1">
      <c r="A69" s="163" t="s">
        <v>2315</v>
      </c>
      <c r="B69" s="100">
        <v>3.83</v>
      </c>
      <c r="C69" s="100">
        <v>13.67</v>
      </c>
      <c r="D69" s="100">
        <v>11.57</v>
      </c>
      <c r="E69" s="100">
        <v>8.98</v>
      </c>
      <c r="F69" s="152" t="s">
        <v>15</v>
      </c>
      <c r="G69" s="100">
        <v>37.450000000000003</v>
      </c>
      <c r="H69" s="100">
        <v>15.91</v>
      </c>
      <c r="I69" s="151" t="s">
        <v>8</v>
      </c>
      <c r="J69" s="100">
        <v>0.41</v>
      </c>
      <c r="K69" s="100">
        <v>253.81</v>
      </c>
      <c r="L69" s="100">
        <v>34.5</v>
      </c>
      <c r="M69" s="100">
        <v>32.549999999999997</v>
      </c>
      <c r="N69" s="100">
        <v>413.1</v>
      </c>
      <c r="O69" s="100">
        <v>0</v>
      </c>
      <c r="P69" s="100">
        <v>0.67</v>
      </c>
      <c r="Q69" s="100">
        <v>28</v>
      </c>
      <c r="R69" s="6"/>
      <c r="S69" s="6"/>
      <c r="T69" s="156"/>
      <c r="U69" s="6"/>
    </row>
    <row r="70" spans="1:21" customFormat="1">
      <c r="A70" s="163" t="s">
        <v>2316</v>
      </c>
      <c r="B70" s="100">
        <v>3.75</v>
      </c>
      <c r="C70" s="100">
        <v>13.42</v>
      </c>
      <c r="D70" s="100">
        <v>11.37</v>
      </c>
      <c r="E70" s="100">
        <v>9.2799999999999994</v>
      </c>
      <c r="F70" s="152" t="s">
        <v>15</v>
      </c>
      <c r="G70" s="100">
        <v>37.450000000000003</v>
      </c>
      <c r="H70" s="100">
        <v>15.91</v>
      </c>
      <c r="I70" s="151" t="s">
        <v>8</v>
      </c>
      <c r="J70" s="100">
        <v>0.19</v>
      </c>
      <c r="K70" s="100">
        <v>199.47</v>
      </c>
      <c r="L70" s="100">
        <v>34.33</v>
      </c>
      <c r="M70" s="100">
        <v>32.96</v>
      </c>
      <c r="N70" s="100">
        <v>301.10000000000002</v>
      </c>
      <c r="O70" s="100">
        <v>0</v>
      </c>
      <c r="P70" s="100">
        <v>0.67</v>
      </c>
      <c r="Q70" s="100">
        <v>27.99</v>
      </c>
      <c r="R70" s="6"/>
      <c r="S70" s="6"/>
      <c r="T70" s="156"/>
      <c r="U70" s="6"/>
    </row>
    <row r="71" spans="1:21" customFormat="1">
      <c r="A71" s="163" t="s">
        <v>2317</v>
      </c>
      <c r="B71" s="100">
        <v>3.76</v>
      </c>
      <c r="C71" s="100">
        <v>13.16</v>
      </c>
      <c r="D71" s="100">
        <v>11.24</v>
      </c>
      <c r="E71" s="100">
        <v>10.36</v>
      </c>
      <c r="F71" s="152" t="s">
        <v>15</v>
      </c>
      <c r="G71" s="100">
        <v>37.450000000000003</v>
      </c>
      <c r="H71" s="100">
        <v>15.91</v>
      </c>
      <c r="I71" s="151" t="s">
        <v>8</v>
      </c>
      <c r="J71" s="100">
        <v>0.42</v>
      </c>
      <c r="K71" s="100">
        <v>356.42</v>
      </c>
      <c r="L71" s="100">
        <v>34.49</v>
      </c>
      <c r="M71" s="100">
        <v>29.76</v>
      </c>
      <c r="N71" s="100">
        <v>353.7</v>
      </c>
      <c r="O71" s="100">
        <v>0</v>
      </c>
      <c r="P71" s="100">
        <v>0.67</v>
      </c>
      <c r="Q71" s="100">
        <v>27.99</v>
      </c>
      <c r="R71" s="6"/>
      <c r="S71" s="6"/>
      <c r="T71" s="156"/>
      <c r="U71" s="6"/>
    </row>
    <row r="72" spans="1:21" customFormat="1">
      <c r="A72" s="163" t="s">
        <v>2318</v>
      </c>
      <c r="B72" s="100">
        <v>3.95</v>
      </c>
      <c r="C72" s="100">
        <v>14.44</v>
      </c>
      <c r="D72" s="100">
        <v>12.06</v>
      </c>
      <c r="E72" s="100">
        <v>12.79</v>
      </c>
      <c r="F72" s="152" t="s">
        <v>15</v>
      </c>
      <c r="G72" s="100">
        <v>36.78</v>
      </c>
      <c r="H72" s="100">
        <v>20.170000000000002</v>
      </c>
      <c r="I72" s="151" t="s">
        <v>8</v>
      </c>
      <c r="J72" s="100">
        <v>0.6</v>
      </c>
      <c r="K72" s="100">
        <v>0.36</v>
      </c>
      <c r="L72" s="100">
        <v>34.43</v>
      </c>
      <c r="M72" s="100">
        <v>28.54</v>
      </c>
      <c r="N72" s="100">
        <v>292.60000000000002</v>
      </c>
      <c r="O72" s="100">
        <v>0</v>
      </c>
      <c r="P72" s="100">
        <v>0.69</v>
      </c>
      <c r="Q72" s="100">
        <v>27.99</v>
      </c>
      <c r="R72" s="6"/>
      <c r="S72" s="6"/>
      <c r="T72" s="156"/>
      <c r="U72" s="6"/>
    </row>
    <row r="73" spans="1:21" customFormat="1">
      <c r="A73" s="163" t="s">
        <v>2319</v>
      </c>
      <c r="B73" s="100">
        <v>3.92</v>
      </c>
      <c r="C73" s="100">
        <v>14.79</v>
      </c>
      <c r="D73" s="100">
        <v>12.23</v>
      </c>
      <c r="E73" s="100">
        <v>11.38</v>
      </c>
      <c r="F73" s="152" t="s">
        <v>15</v>
      </c>
      <c r="G73" s="100">
        <v>36.53</v>
      </c>
      <c r="H73" s="100">
        <v>20.239999999999998</v>
      </c>
      <c r="I73" s="151" t="s">
        <v>8</v>
      </c>
      <c r="J73" s="100">
        <v>0.43</v>
      </c>
      <c r="K73" s="100">
        <v>307</v>
      </c>
      <c r="L73" s="100">
        <v>34.11</v>
      </c>
      <c r="M73" s="100">
        <v>28.89</v>
      </c>
      <c r="N73" s="100">
        <v>150.30000000000001</v>
      </c>
      <c r="O73" s="100">
        <v>0</v>
      </c>
      <c r="P73" s="100">
        <v>0.69</v>
      </c>
      <c r="Q73" s="100">
        <v>28</v>
      </c>
      <c r="R73" s="6"/>
      <c r="S73" s="6"/>
      <c r="T73" s="156"/>
      <c r="U73" s="6"/>
    </row>
    <row r="74" spans="1:21" customFormat="1">
      <c r="A74" s="163" t="s">
        <v>2320</v>
      </c>
      <c r="B74" s="100">
        <v>3.75</v>
      </c>
      <c r="C74" s="100">
        <v>13.65</v>
      </c>
      <c r="D74" s="100">
        <v>11.49</v>
      </c>
      <c r="E74" s="100">
        <v>12.6</v>
      </c>
      <c r="F74" s="152" t="s">
        <v>15</v>
      </c>
      <c r="G74" s="100">
        <v>36.53</v>
      </c>
      <c r="H74" s="100">
        <v>20.239999999999998</v>
      </c>
      <c r="I74" s="151" t="s">
        <v>8</v>
      </c>
      <c r="J74" s="100">
        <v>0.4</v>
      </c>
      <c r="K74" s="100">
        <v>253.8</v>
      </c>
      <c r="L74" s="100">
        <v>33.68</v>
      </c>
      <c r="M74" s="100">
        <v>30.18</v>
      </c>
      <c r="N74" s="100">
        <v>137.30000000000001</v>
      </c>
      <c r="O74" s="100">
        <v>0</v>
      </c>
      <c r="P74" s="100">
        <v>0.7</v>
      </c>
      <c r="Q74" s="100">
        <v>28.01</v>
      </c>
      <c r="R74" s="6"/>
      <c r="S74" s="6"/>
      <c r="T74" s="156"/>
      <c r="U74" s="6"/>
    </row>
    <row r="75" spans="1:21" customFormat="1">
      <c r="A75" s="163" t="s">
        <v>2321</v>
      </c>
      <c r="B75" s="100">
        <v>3.67</v>
      </c>
      <c r="C75" s="100">
        <v>13.28</v>
      </c>
      <c r="D75" s="100">
        <v>11.23</v>
      </c>
      <c r="E75" s="100">
        <v>13.01</v>
      </c>
      <c r="F75" s="152" t="s">
        <v>15</v>
      </c>
      <c r="G75" s="100">
        <v>36.53</v>
      </c>
      <c r="H75" s="100">
        <v>20.239999999999998</v>
      </c>
      <c r="I75" s="151" t="s">
        <v>8</v>
      </c>
      <c r="J75" s="100">
        <v>0.37</v>
      </c>
      <c r="K75" s="100">
        <v>183.28</v>
      </c>
      <c r="L75" s="100">
        <v>33.68</v>
      </c>
      <c r="M75" s="100">
        <v>30.54</v>
      </c>
      <c r="N75" s="100">
        <v>138.19999999999999</v>
      </c>
      <c r="O75" s="100">
        <v>0</v>
      </c>
      <c r="P75" s="100">
        <v>0.71</v>
      </c>
      <c r="Q75" s="100">
        <v>28.02</v>
      </c>
      <c r="R75" s="6"/>
      <c r="S75" s="6"/>
      <c r="T75" s="156"/>
      <c r="U75" s="6"/>
    </row>
    <row r="76" spans="1:21" customFormat="1">
      <c r="A76" s="163" t="s">
        <v>2322</v>
      </c>
      <c r="B76" s="100">
        <v>3.59</v>
      </c>
      <c r="C76" s="100">
        <v>12.02</v>
      </c>
      <c r="D76" s="100">
        <v>10.51</v>
      </c>
      <c r="E76" s="100">
        <v>15.59</v>
      </c>
      <c r="F76" s="152" t="s">
        <v>15</v>
      </c>
      <c r="G76" s="100">
        <v>43.84</v>
      </c>
      <c r="H76" s="100">
        <v>18.899999999999999</v>
      </c>
      <c r="I76" s="151" t="s">
        <v>8</v>
      </c>
      <c r="J76" s="100">
        <v>0.17</v>
      </c>
      <c r="K76" s="100">
        <v>221.5</v>
      </c>
      <c r="L76" s="100">
        <v>33.57</v>
      </c>
      <c r="M76" s="100">
        <v>29.93</v>
      </c>
      <c r="N76" s="100">
        <v>86.4</v>
      </c>
      <c r="O76" s="100">
        <v>0</v>
      </c>
      <c r="P76" s="100">
        <v>0.73</v>
      </c>
      <c r="Q76" s="100">
        <v>28</v>
      </c>
      <c r="R76" s="6"/>
      <c r="S76" s="6"/>
      <c r="T76" s="156"/>
      <c r="U76" s="6"/>
    </row>
    <row r="77" spans="1:21" customFormat="1">
      <c r="A77" s="163" t="s">
        <v>2323</v>
      </c>
      <c r="B77" s="100">
        <v>3.63</v>
      </c>
      <c r="C77" s="100">
        <v>12.94</v>
      </c>
      <c r="D77" s="100">
        <v>11.02</v>
      </c>
      <c r="E77" s="100">
        <v>13.99</v>
      </c>
      <c r="F77" s="152" t="s">
        <v>15</v>
      </c>
      <c r="G77" s="100">
        <v>46.64</v>
      </c>
      <c r="H77" s="100">
        <v>18.86</v>
      </c>
      <c r="I77" s="151" t="s">
        <v>8</v>
      </c>
      <c r="J77" s="100">
        <v>0.13</v>
      </c>
      <c r="K77" s="100">
        <v>155.62</v>
      </c>
      <c r="L77" s="100">
        <v>33.14</v>
      </c>
      <c r="M77" s="100">
        <v>31.19</v>
      </c>
      <c r="N77" s="100">
        <v>62.4</v>
      </c>
      <c r="O77" s="100">
        <v>0</v>
      </c>
      <c r="P77" s="100">
        <v>0.74</v>
      </c>
      <c r="Q77" s="100">
        <v>28.01</v>
      </c>
      <c r="R77" s="6"/>
      <c r="S77" s="6"/>
      <c r="T77" s="156"/>
      <c r="U77" s="6"/>
    </row>
    <row r="78" spans="1:21" customFormat="1">
      <c r="A78" s="163" t="s">
        <v>2324</v>
      </c>
      <c r="B78" s="100">
        <v>3.63</v>
      </c>
      <c r="C78" s="100">
        <v>13.83</v>
      </c>
      <c r="D78" s="100">
        <v>11.49</v>
      </c>
      <c r="E78" s="100">
        <v>14.81</v>
      </c>
      <c r="F78" s="152" t="s">
        <v>15</v>
      </c>
      <c r="G78" s="100">
        <v>46.64</v>
      </c>
      <c r="H78" s="100">
        <v>18.86</v>
      </c>
      <c r="I78" s="151" t="s">
        <v>8</v>
      </c>
      <c r="J78" s="100">
        <v>0.23</v>
      </c>
      <c r="K78" s="100">
        <v>177.91</v>
      </c>
      <c r="L78" s="100">
        <v>32.33</v>
      </c>
      <c r="M78" s="100">
        <v>34.06</v>
      </c>
      <c r="N78" s="100">
        <v>36.1</v>
      </c>
      <c r="O78" s="100">
        <v>0</v>
      </c>
      <c r="P78" s="100">
        <v>0.73</v>
      </c>
      <c r="Q78" s="100">
        <v>27.99</v>
      </c>
      <c r="R78" s="6"/>
      <c r="S78" s="6"/>
      <c r="T78" s="156"/>
      <c r="U78" s="6"/>
    </row>
    <row r="79" spans="1:21" customFormat="1">
      <c r="A79" s="163" t="s">
        <v>2325</v>
      </c>
      <c r="B79" s="100">
        <v>3.64</v>
      </c>
      <c r="C79" s="100">
        <v>12.89</v>
      </c>
      <c r="D79" s="100">
        <v>11</v>
      </c>
      <c r="E79" s="100">
        <v>12.88</v>
      </c>
      <c r="F79" s="152" t="s">
        <v>15</v>
      </c>
      <c r="G79" s="100">
        <v>46.64</v>
      </c>
      <c r="H79" s="100">
        <v>18.86</v>
      </c>
      <c r="I79" s="151" t="s">
        <v>8</v>
      </c>
      <c r="J79" s="100">
        <v>0.14000000000000001</v>
      </c>
      <c r="K79" s="100">
        <v>199.66</v>
      </c>
      <c r="L79" s="100">
        <v>31.63</v>
      </c>
      <c r="M79" s="100">
        <v>36.619999999999997</v>
      </c>
      <c r="N79" s="100">
        <v>28.5</v>
      </c>
      <c r="O79" s="100">
        <v>0</v>
      </c>
      <c r="P79" s="100">
        <v>0.73</v>
      </c>
      <c r="Q79" s="100">
        <v>27.99</v>
      </c>
      <c r="R79" s="6"/>
      <c r="S79" s="6"/>
      <c r="T79" s="156"/>
      <c r="U79" s="6"/>
    </row>
    <row r="80" spans="1:21" customFormat="1">
      <c r="A80" s="163" t="s">
        <v>2326</v>
      </c>
      <c r="B80" s="100">
        <v>3.58</v>
      </c>
      <c r="C80" s="100">
        <v>13.15</v>
      </c>
      <c r="D80" s="100">
        <v>11.09</v>
      </c>
      <c r="E80" s="100">
        <v>11.61</v>
      </c>
      <c r="F80" s="152" t="s">
        <v>15</v>
      </c>
      <c r="G80" s="100">
        <v>50.66</v>
      </c>
      <c r="H80" s="100">
        <v>17.260000000000002</v>
      </c>
      <c r="I80" s="151" t="s">
        <v>8</v>
      </c>
      <c r="J80" s="100">
        <v>0.16</v>
      </c>
      <c r="K80" s="100">
        <v>214.43</v>
      </c>
      <c r="L80" s="100">
        <v>31.32</v>
      </c>
      <c r="M80" s="100">
        <v>37.409999999999997</v>
      </c>
      <c r="N80" s="100">
        <v>21.3</v>
      </c>
      <c r="O80" s="100">
        <v>0</v>
      </c>
      <c r="P80" s="100">
        <v>0.75</v>
      </c>
      <c r="Q80" s="100">
        <v>27.98</v>
      </c>
      <c r="R80" s="6"/>
      <c r="S80" s="6"/>
      <c r="T80" s="156"/>
      <c r="U80" s="6"/>
    </row>
    <row r="81" spans="1:21" customFormat="1">
      <c r="A81" s="163" t="s">
        <v>2327</v>
      </c>
      <c r="B81" s="100">
        <v>3.55</v>
      </c>
      <c r="C81" s="100">
        <v>13.85</v>
      </c>
      <c r="D81" s="100">
        <v>11.43</v>
      </c>
      <c r="E81" s="100">
        <v>8.39</v>
      </c>
      <c r="F81" s="152" t="s">
        <v>15</v>
      </c>
      <c r="G81" s="100">
        <v>52.12</v>
      </c>
      <c r="H81" s="100">
        <v>17.23</v>
      </c>
      <c r="I81" s="151" t="s">
        <v>8</v>
      </c>
      <c r="J81" s="100">
        <v>0.14000000000000001</v>
      </c>
      <c r="K81" s="100">
        <v>163.49</v>
      </c>
      <c r="L81" s="100">
        <v>30.95</v>
      </c>
      <c r="M81" s="100">
        <v>38.35</v>
      </c>
      <c r="N81" s="100">
        <v>10.1</v>
      </c>
      <c r="O81" s="100">
        <v>0</v>
      </c>
      <c r="P81" s="100">
        <v>0.75</v>
      </c>
      <c r="Q81" s="100">
        <v>27.99</v>
      </c>
      <c r="R81" s="6"/>
      <c r="S81" s="6"/>
      <c r="T81" s="156"/>
      <c r="U81" s="6"/>
    </row>
    <row r="82" spans="1:21" customFormat="1">
      <c r="A82" s="163" t="s">
        <v>2328</v>
      </c>
      <c r="B82" s="100">
        <v>3.53</v>
      </c>
      <c r="C82" s="100">
        <v>14.33</v>
      </c>
      <c r="D82" s="100">
        <v>11.67</v>
      </c>
      <c r="E82" s="100">
        <v>10.72</v>
      </c>
      <c r="F82" s="152" t="s">
        <v>15</v>
      </c>
      <c r="G82" s="100">
        <v>52.12</v>
      </c>
      <c r="H82" s="100">
        <v>17.23</v>
      </c>
      <c r="I82" s="151" t="s">
        <v>8</v>
      </c>
      <c r="J82" s="100">
        <v>0.19</v>
      </c>
      <c r="K82" s="100">
        <v>218.41</v>
      </c>
      <c r="L82" s="100">
        <v>30.12</v>
      </c>
      <c r="M82" s="100">
        <v>41.48</v>
      </c>
      <c r="N82" s="100">
        <v>7.1</v>
      </c>
      <c r="O82" s="100">
        <v>0</v>
      </c>
      <c r="P82" s="100">
        <v>0.76</v>
      </c>
      <c r="Q82" s="100">
        <v>27.99</v>
      </c>
      <c r="R82" s="6"/>
      <c r="S82" s="6"/>
      <c r="T82" s="156"/>
      <c r="U82" s="6"/>
    </row>
    <row r="83" spans="1:21" customFormat="1">
      <c r="A83" s="163" t="s">
        <v>2329</v>
      </c>
      <c r="B83" s="100">
        <v>3.54</v>
      </c>
      <c r="C83" s="100">
        <v>14.93</v>
      </c>
      <c r="D83" s="100">
        <v>11.99</v>
      </c>
      <c r="E83" s="100">
        <v>9.9499999999999993</v>
      </c>
      <c r="F83" s="152" t="s">
        <v>15</v>
      </c>
      <c r="G83" s="100">
        <v>52.12</v>
      </c>
      <c r="H83" s="100">
        <v>17.23</v>
      </c>
      <c r="I83" s="151" t="s">
        <v>8</v>
      </c>
      <c r="J83" s="100">
        <v>0.15</v>
      </c>
      <c r="K83" s="100">
        <v>199.95</v>
      </c>
      <c r="L83" s="100">
        <v>29.52</v>
      </c>
      <c r="M83" s="100">
        <v>44.27</v>
      </c>
      <c r="N83" s="100">
        <v>6.5</v>
      </c>
      <c r="O83" s="100">
        <v>0</v>
      </c>
      <c r="P83" s="100">
        <v>0.78</v>
      </c>
      <c r="Q83" s="100">
        <v>28.01</v>
      </c>
      <c r="R83" s="6"/>
      <c r="S83" s="6"/>
      <c r="T83" s="156"/>
      <c r="U83" s="6"/>
    </row>
    <row r="84" spans="1:21" customFormat="1">
      <c r="A84" s="163" t="s">
        <v>2330</v>
      </c>
      <c r="B84" s="100">
        <v>3.58</v>
      </c>
      <c r="C84" s="100">
        <v>15.52</v>
      </c>
      <c r="D84" s="100">
        <v>12.33</v>
      </c>
      <c r="E84" s="100">
        <v>9.74</v>
      </c>
      <c r="F84" s="152" t="s">
        <v>15</v>
      </c>
      <c r="G84" s="100">
        <v>56.41</v>
      </c>
      <c r="H84" s="100">
        <v>21.3</v>
      </c>
      <c r="I84" s="151" t="s">
        <v>8</v>
      </c>
      <c r="J84" s="100">
        <v>0.23</v>
      </c>
      <c r="K84" s="100">
        <v>92.28</v>
      </c>
      <c r="L84" s="100">
        <v>29.63</v>
      </c>
      <c r="M84" s="100">
        <v>46.08</v>
      </c>
      <c r="N84" s="100">
        <v>6</v>
      </c>
      <c r="O84" s="100">
        <v>0</v>
      </c>
      <c r="P84" s="100">
        <v>0.76</v>
      </c>
      <c r="Q84" s="100">
        <v>28</v>
      </c>
      <c r="R84" s="6"/>
      <c r="S84" s="6"/>
      <c r="T84" s="156"/>
      <c r="U84" s="6"/>
    </row>
    <row r="85" spans="1:21" customFormat="1">
      <c r="A85" s="163" t="s">
        <v>2331</v>
      </c>
      <c r="B85" s="100">
        <v>5.21</v>
      </c>
      <c r="C85" s="100">
        <v>19</v>
      </c>
      <c r="D85" s="100">
        <v>15.45</v>
      </c>
      <c r="E85" s="100">
        <v>9.77</v>
      </c>
      <c r="F85" s="152" t="s">
        <v>15</v>
      </c>
      <c r="G85" s="100">
        <v>57.97</v>
      </c>
      <c r="H85" s="100">
        <v>21.37</v>
      </c>
      <c r="I85" s="151" t="s">
        <v>8</v>
      </c>
      <c r="J85" s="100">
        <v>1.19</v>
      </c>
      <c r="K85" s="100">
        <v>57.61</v>
      </c>
      <c r="L85" s="100">
        <v>30.07</v>
      </c>
      <c r="M85" s="100">
        <v>45.35</v>
      </c>
      <c r="N85" s="100">
        <v>5.2</v>
      </c>
      <c r="O85" s="100">
        <v>0</v>
      </c>
      <c r="P85" s="100">
        <v>0.79</v>
      </c>
      <c r="Q85" s="100">
        <v>28</v>
      </c>
      <c r="R85" s="6"/>
      <c r="S85" s="6"/>
      <c r="T85" s="156"/>
      <c r="U85" s="6"/>
    </row>
    <row r="86" spans="1:21" customFormat="1">
      <c r="A86" s="163" t="s">
        <v>2332</v>
      </c>
      <c r="B86" s="100">
        <v>4.88</v>
      </c>
      <c r="C86" s="100">
        <v>19.989999999999998</v>
      </c>
      <c r="D86" s="100">
        <v>15.71</v>
      </c>
      <c r="E86" s="100">
        <v>9.64</v>
      </c>
      <c r="F86" s="152" t="s">
        <v>15</v>
      </c>
      <c r="G86" s="100">
        <v>57.97</v>
      </c>
      <c r="H86" s="100">
        <v>21.37</v>
      </c>
      <c r="I86" s="151" t="s">
        <v>8</v>
      </c>
      <c r="J86" s="100">
        <v>1.37</v>
      </c>
      <c r="K86" s="100">
        <v>61.23</v>
      </c>
      <c r="L86" s="100">
        <v>29.9</v>
      </c>
      <c r="M86" s="100">
        <v>49.32</v>
      </c>
      <c r="N86" s="100">
        <v>6.5</v>
      </c>
      <c r="O86" s="100">
        <v>0</v>
      </c>
      <c r="P86" s="100">
        <v>0.78</v>
      </c>
      <c r="Q86" s="100">
        <v>28.02</v>
      </c>
      <c r="R86" s="6"/>
      <c r="S86" s="6"/>
      <c r="T86" s="156"/>
      <c r="U86" s="6"/>
    </row>
    <row r="87" spans="1:21" customFormat="1">
      <c r="A87" s="163" t="s">
        <v>2333</v>
      </c>
      <c r="B87" s="100">
        <v>4.13</v>
      </c>
      <c r="C87" s="100">
        <v>18.53</v>
      </c>
      <c r="D87" s="100">
        <v>14.34</v>
      </c>
      <c r="E87" s="100">
        <v>9.35</v>
      </c>
      <c r="F87" s="152" t="s">
        <v>15</v>
      </c>
      <c r="G87" s="100">
        <v>57.97</v>
      </c>
      <c r="H87" s="100">
        <v>21.37</v>
      </c>
      <c r="I87" s="151" t="s">
        <v>8</v>
      </c>
      <c r="J87" s="100">
        <v>1.02</v>
      </c>
      <c r="K87" s="100">
        <v>63.73</v>
      </c>
      <c r="L87" s="100">
        <v>29.47</v>
      </c>
      <c r="M87" s="100">
        <v>53.93</v>
      </c>
      <c r="N87" s="100">
        <v>6.8</v>
      </c>
      <c r="O87" s="100">
        <v>0</v>
      </c>
      <c r="P87" s="100">
        <v>0.77</v>
      </c>
      <c r="Q87" s="100">
        <v>28</v>
      </c>
      <c r="R87" s="6"/>
      <c r="S87" s="6"/>
      <c r="T87" s="156"/>
      <c r="U87" s="6"/>
    </row>
    <row r="88" spans="1:21" customFormat="1">
      <c r="A88" s="163" t="s">
        <v>2334</v>
      </c>
      <c r="B88" s="100">
        <v>3.85</v>
      </c>
      <c r="C88" s="100">
        <v>18.5</v>
      </c>
      <c r="D88" s="100">
        <v>14.11</v>
      </c>
      <c r="E88" s="100">
        <v>9.24</v>
      </c>
      <c r="F88" s="152" t="s">
        <v>15</v>
      </c>
      <c r="G88" s="100">
        <v>59</v>
      </c>
      <c r="H88" s="100">
        <v>26.26</v>
      </c>
      <c r="I88" s="151" t="s">
        <v>8</v>
      </c>
      <c r="J88" s="100">
        <v>0.84</v>
      </c>
      <c r="K88" s="100">
        <v>68.11</v>
      </c>
      <c r="L88" s="100">
        <v>29.29</v>
      </c>
      <c r="M88" s="100">
        <v>54.79</v>
      </c>
      <c r="N88" s="100">
        <v>6.4</v>
      </c>
      <c r="O88" s="100">
        <v>0</v>
      </c>
      <c r="P88" s="100">
        <v>0.76</v>
      </c>
      <c r="Q88" s="100">
        <v>28.01</v>
      </c>
      <c r="R88" s="6"/>
      <c r="S88" s="6"/>
      <c r="T88" s="156"/>
      <c r="U88" s="6"/>
    </row>
    <row r="89" spans="1:21" customFormat="1">
      <c r="A89" s="163" t="s">
        <v>2335</v>
      </c>
      <c r="B89" s="100">
        <v>3.76</v>
      </c>
      <c r="C89" s="100">
        <v>18.53</v>
      </c>
      <c r="D89" s="100">
        <v>14.05</v>
      </c>
      <c r="E89" s="100">
        <v>9.07</v>
      </c>
      <c r="F89" s="152" t="s">
        <v>15</v>
      </c>
      <c r="G89" s="100">
        <v>59.37</v>
      </c>
      <c r="H89" s="100">
        <v>26.34</v>
      </c>
      <c r="I89" s="151" t="s">
        <v>8</v>
      </c>
      <c r="J89" s="100">
        <v>0.79</v>
      </c>
      <c r="K89" s="100">
        <v>62.07</v>
      </c>
      <c r="L89" s="100">
        <v>29.08</v>
      </c>
      <c r="M89" s="100">
        <v>55.6</v>
      </c>
      <c r="N89" s="100">
        <v>6.5</v>
      </c>
      <c r="O89" s="100">
        <v>0</v>
      </c>
      <c r="P89" s="100">
        <v>0.76</v>
      </c>
      <c r="Q89" s="100">
        <v>28</v>
      </c>
      <c r="R89" s="6"/>
      <c r="S89" s="6"/>
      <c r="T89" s="156"/>
      <c r="U89" s="6"/>
    </row>
    <row r="90" spans="1:21" customFormat="1">
      <c r="A90" s="163" t="s">
        <v>2336</v>
      </c>
      <c r="B90" s="100">
        <v>3.73</v>
      </c>
      <c r="C90" s="100">
        <v>18.75</v>
      </c>
      <c r="D90" s="100">
        <v>14.14</v>
      </c>
      <c r="E90" s="100">
        <v>9.1999999999999993</v>
      </c>
      <c r="F90" s="152" t="s">
        <v>15</v>
      </c>
      <c r="G90" s="100">
        <v>59.37</v>
      </c>
      <c r="H90" s="100">
        <v>26.34</v>
      </c>
      <c r="I90" s="151" t="s">
        <v>8</v>
      </c>
      <c r="J90" s="100">
        <v>0.67</v>
      </c>
      <c r="K90" s="100">
        <v>70.03</v>
      </c>
      <c r="L90" s="100">
        <v>28.88</v>
      </c>
      <c r="M90" s="100">
        <v>56.45</v>
      </c>
      <c r="N90" s="100">
        <v>6.5</v>
      </c>
      <c r="O90" s="100">
        <v>0</v>
      </c>
      <c r="P90" s="100">
        <v>0.76</v>
      </c>
      <c r="Q90" s="100">
        <v>28.02</v>
      </c>
      <c r="R90" s="6"/>
      <c r="S90" s="6"/>
      <c r="T90" s="156"/>
      <c r="U90" s="6"/>
    </row>
    <row r="91" spans="1:21" customFormat="1">
      <c r="A91" s="163" t="s">
        <v>2337</v>
      </c>
      <c r="B91" s="100">
        <v>3.76</v>
      </c>
      <c r="C91" s="100">
        <v>18.8</v>
      </c>
      <c r="D91" s="100">
        <v>14.19</v>
      </c>
      <c r="E91" s="100">
        <v>9.25</v>
      </c>
      <c r="F91" s="152" t="s">
        <v>15</v>
      </c>
      <c r="G91" s="100">
        <v>59.37</v>
      </c>
      <c r="H91" s="100">
        <v>26.34</v>
      </c>
      <c r="I91" s="151" t="s">
        <v>8</v>
      </c>
      <c r="J91" s="100">
        <v>0.88</v>
      </c>
      <c r="K91" s="100">
        <v>68</v>
      </c>
      <c r="L91" s="100">
        <v>28.62</v>
      </c>
      <c r="M91" s="100">
        <v>57.59</v>
      </c>
      <c r="N91" s="100">
        <v>6.5</v>
      </c>
      <c r="O91" s="100">
        <v>0</v>
      </c>
      <c r="P91" s="100">
        <v>0.75</v>
      </c>
      <c r="Q91" s="100">
        <v>28</v>
      </c>
      <c r="R91" s="6"/>
      <c r="S91" s="6"/>
      <c r="T91" s="156"/>
      <c r="U91" s="6"/>
    </row>
    <row r="92" spans="1:21" customFormat="1">
      <c r="A92" s="163" t="s">
        <v>2338</v>
      </c>
      <c r="B92" s="100">
        <v>3.8</v>
      </c>
      <c r="C92" s="100">
        <v>18.93</v>
      </c>
      <c r="D92" s="100">
        <v>14.29</v>
      </c>
      <c r="E92" s="100">
        <v>9.2799999999999994</v>
      </c>
      <c r="F92" s="152" t="s">
        <v>15</v>
      </c>
      <c r="G92" s="100">
        <v>55.7</v>
      </c>
      <c r="H92" s="100">
        <v>22.71</v>
      </c>
      <c r="I92" s="151" t="s">
        <v>8</v>
      </c>
      <c r="J92" s="100">
        <v>0.85</v>
      </c>
      <c r="K92" s="100">
        <v>69.92</v>
      </c>
      <c r="L92" s="100">
        <v>28.34</v>
      </c>
      <c r="M92" s="100">
        <v>58.85</v>
      </c>
      <c r="N92" s="100">
        <v>6.4</v>
      </c>
      <c r="O92" s="100">
        <v>0</v>
      </c>
      <c r="P92" s="100">
        <v>0.75</v>
      </c>
      <c r="Q92" s="100">
        <v>28.02</v>
      </c>
      <c r="R92" s="6"/>
      <c r="S92" s="6"/>
      <c r="T92" s="156"/>
      <c r="U92" s="6"/>
    </row>
    <row r="93" spans="1:21" customFormat="1">
      <c r="A93" s="163" t="s">
        <v>2339</v>
      </c>
      <c r="B93" s="100">
        <v>3.81</v>
      </c>
      <c r="C93" s="100">
        <v>19.11</v>
      </c>
      <c r="D93" s="100">
        <v>14.39</v>
      </c>
      <c r="E93" s="100">
        <v>9.19</v>
      </c>
      <c r="F93" s="152" t="s">
        <v>15</v>
      </c>
      <c r="G93" s="100">
        <v>54.37</v>
      </c>
      <c r="H93" s="100">
        <v>22.66</v>
      </c>
      <c r="I93" s="151" t="s">
        <v>8</v>
      </c>
      <c r="J93" s="100">
        <v>0.66</v>
      </c>
      <c r="K93" s="100">
        <v>71.27</v>
      </c>
      <c r="L93" s="100">
        <v>28.09</v>
      </c>
      <c r="M93" s="100">
        <v>59.93</v>
      </c>
      <c r="N93" s="100">
        <v>6.4</v>
      </c>
      <c r="O93" s="100">
        <v>0</v>
      </c>
      <c r="P93" s="100">
        <v>0.74</v>
      </c>
      <c r="Q93" s="100">
        <v>28.03</v>
      </c>
      <c r="R93" s="6"/>
      <c r="S93" s="6"/>
      <c r="T93" s="156"/>
      <c r="U93" s="6"/>
    </row>
    <row r="94" spans="1:21" customFormat="1">
      <c r="A94" s="163" t="s">
        <v>2340</v>
      </c>
      <c r="B94" s="100">
        <v>3.87</v>
      </c>
      <c r="C94" s="100">
        <v>19.11</v>
      </c>
      <c r="D94" s="100">
        <v>14.44</v>
      </c>
      <c r="E94" s="100">
        <v>9.15</v>
      </c>
      <c r="F94" s="152" t="s">
        <v>15</v>
      </c>
      <c r="G94" s="100">
        <v>54.37</v>
      </c>
      <c r="H94" s="100">
        <v>22.66</v>
      </c>
      <c r="I94" s="151" t="s">
        <v>8</v>
      </c>
      <c r="J94" s="100">
        <v>0.59</v>
      </c>
      <c r="K94" s="100">
        <v>71.58</v>
      </c>
      <c r="L94" s="100">
        <v>27.93</v>
      </c>
      <c r="M94" s="100">
        <v>60.75</v>
      </c>
      <c r="N94" s="100">
        <v>6.3</v>
      </c>
      <c r="O94" s="100">
        <v>0</v>
      </c>
      <c r="P94" s="100">
        <v>0.73</v>
      </c>
      <c r="Q94" s="100">
        <v>28.02</v>
      </c>
      <c r="R94" s="6"/>
      <c r="S94" s="6"/>
      <c r="T94" s="156"/>
      <c r="U94" s="6"/>
    </row>
    <row r="95" spans="1:21" customFormat="1">
      <c r="A95" s="163" t="s">
        <v>2341</v>
      </c>
      <c r="B95" s="100">
        <v>3.93</v>
      </c>
      <c r="C95" s="100">
        <v>19.45</v>
      </c>
      <c r="D95" s="100">
        <v>14.67</v>
      </c>
      <c r="E95" s="100">
        <v>9.16</v>
      </c>
      <c r="F95" s="152" t="s">
        <v>15</v>
      </c>
      <c r="G95" s="100">
        <v>54.37</v>
      </c>
      <c r="H95" s="100">
        <v>22.66</v>
      </c>
      <c r="I95" s="151" t="s">
        <v>8</v>
      </c>
      <c r="J95" s="100">
        <v>0.56999999999999995</v>
      </c>
      <c r="K95" s="100">
        <v>69.63</v>
      </c>
      <c r="L95" s="100">
        <v>27.68</v>
      </c>
      <c r="M95" s="100">
        <v>61.72</v>
      </c>
      <c r="N95" s="100">
        <v>6.3</v>
      </c>
      <c r="O95" s="100">
        <v>0</v>
      </c>
      <c r="P95" s="100">
        <v>0.74</v>
      </c>
      <c r="Q95" s="100">
        <v>28.01</v>
      </c>
      <c r="R95" s="6"/>
      <c r="S95" s="6"/>
      <c r="T95" s="156"/>
      <c r="U95" s="6"/>
    </row>
    <row r="96" spans="1:21" customFormat="1">
      <c r="A96" s="163" t="s">
        <v>2342</v>
      </c>
      <c r="B96" s="100">
        <v>4.01</v>
      </c>
      <c r="C96" s="100">
        <v>19.86</v>
      </c>
      <c r="D96" s="100">
        <v>14.94</v>
      </c>
      <c r="E96" s="100">
        <v>8.83</v>
      </c>
      <c r="F96" s="152" t="s">
        <v>15</v>
      </c>
      <c r="G96" s="100">
        <v>53.29</v>
      </c>
      <c r="H96" s="100">
        <v>22.4</v>
      </c>
      <c r="I96" s="151" t="s">
        <v>8</v>
      </c>
      <c r="J96" s="100">
        <v>0.72</v>
      </c>
      <c r="K96" s="100">
        <v>68.55</v>
      </c>
      <c r="L96" s="100">
        <v>27.5</v>
      </c>
      <c r="M96" s="100">
        <v>62.31</v>
      </c>
      <c r="N96" s="100">
        <v>6.3</v>
      </c>
      <c r="O96" s="100">
        <v>0</v>
      </c>
      <c r="P96" s="100">
        <v>0.73</v>
      </c>
      <c r="Q96" s="100">
        <v>28.03</v>
      </c>
      <c r="R96" s="6"/>
      <c r="S96" s="6"/>
      <c r="T96" s="156"/>
      <c r="U96" s="6"/>
    </row>
    <row r="97" spans="1:28" customFormat="1">
      <c r="A97" s="163" t="s">
        <v>2343</v>
      </c>
      <c r="B97" s="100">
        <v>4.0999999999999996</v>
      </c>
      <c r="C97" s="100">
        <v>19.87</v>
      </c>
      <c r="D97" s="100">
        <v>15.02</v>
      </c>
      <c r="E97" s="100">
        <v>9.1999999999999993</v>
      </c>
      <c r="F97" s="152" t="s">
        <v>15</v>
      </c>
      <c r="G97" s="100">
        <v>52.9</v>
      </c>
      <c r="H97" s="100">
        <v>22.4</v>
      </c>
      <c r="I97" s="151" t="s">
        <v>8</v>
      </c>
      <c r="J97" s="100">
        <v>0.72</v>
      </c>
      <c r="K97" s="100">
        <v>71.319999999999993</v>
      </c>
      <c r="L97" s="100">
        <v>27.34</v>
      </c>
      <c r="M97" s="100">
        <v>63.06</v>
      </c>
      <c r="N97" s="100">
        <v>6.3</v>
      </c>
      <c r="O97" s="100">
        <v>0</v>
      </c>
      <c r="P97" s="100">
        <v>0.73</v>
      </c>
      <c r="Q97" s="100">
        <v>28.02</v>
      </c>
      <c r="R97" s="6"/>
      <c r="S97" s="6"/>
      <c r="T97" s="156"/>
      <c r="U97" s="6"/>
    </row>
    <row r="98" spans="1:28" customFormat="1">
      <c r="A98" s="163" t="s">
        <v>2344</v>
      </c>
      <c r="B98" s="100">
        <v>4.08</v>
      </c>
      <c r="C98" s="100">
        <v>20.03</v>
      </c>
      <c r="D98" s="100">
        <v>15.09</v>
      </c>
      <c r="E98" s="100">
        <v>9.27</v>
      </c>
      <c r="F98" s="152" t="s">
        <v>15</v>
      </c>
      <c r="G98" s="100">
        <v>52.9</v>
      </c>
      <c r="H98" s="100">
        <v>22.4</v>
      </c>
      <c r="I98" s="151" t="s">
        <v>8</v>
      </c>
      <c r="J98" s="100">
        <v>1.17</v>
      </c>
      <c r="K98" s="100">
        <v>69.27</v>
      </c>
      <c r="L98" s="100">
        <v>27.05</v>
      </c>
      <c r="M98" s="100">
        <v>64.14</v>
      </c>
      <c r="N98" s="100">
        <v>6.5</v>
      </c>
      <c r="O98" s="100">
        <v>0</v>
      </c>
      <c r="P98" s="100">
        <v>0.73</v>
      </c>
      <c r="Q98" s="100">
        <v>28.02</v>
      </c>
      <c r="R98" s="6"/>
      <c r="S98" s="6"/>
      <c r="T98" s="156"/>
      <c r="U98" s="6"/>
    </row>
    <row r="99" spans="1:28" customFormat="1">
      <c r="A99" s="163" t="s">
        <v>2345</v>
      </c>
      <c r="B99" s="100">
        <v>4.05</v>
      </c>
      <c r="C99" s="100">
        <v>19.93</v>
      </c>
      <c r="D99" s="100">
        <v>15.01</v>
      </c>
      <c r="E99" s="100">
        <v>8.93</v>
      </c>
      <c r="F99" s="152" t="s">
        <v>15</v>
      </c>
      <c r="G99" s="100">
        <v>52.9</v>
      </c>
      <c r="H99" s="100">
        <v>22.4</v>
      </c>
      <c r="I99" s="151" t="s">
        <v>8</v>
      </c>
      <c r="J99" s="100">
        <v>1.17</v>
      </c>
      <c r="K99" s="100">
        <v>67.959999999999994</v>
      </c>
      <c r="L99" s="100">
        <v>26.82</v>
      </c>
      <c r="M99" s="100">
        <v>65.260000000000005</v>
      </c>
      <c r="N99" s="100">
        <v>6.6</v>
      </c>
      <c r="O99" s="100">
        <v>0</v>
      </c>
      <c r="P99" s="100">
        <v>0.72</v>
      </c>
      <c r="Q99" s="100">
        <v>28.02</v>
      </c>
      <c r="R99" s="6"/>
      <c r="S99" s="6"/>
      <c r="T99" s="156"/>
      <c r="U99" s="6"/>
    </row>
    <row r="100" spans="1:28" customFormat="1">
      <c r="A100" s="163" t="s">
        <v>2346</v>
      </c>
      <c r="B100" s="100">
        <v>4.18</v>
      </c>
      <c r="C100" s="100">
        <v>19.43</v>
      </c>
      <c r="D100" s="100">
        <v>14.85</v>
      </c>
      <c r="E100" s="100">
        <v>9.15</v>
      </c>
      <c r="F100" s="152" t="s">
        <v>15</v>
      </c>
      <c r="G100" s="100">
        <v>49.77</v>
      </c>
      <c r="H100" s="100">
        <v>20.88</v>
      </c>
      <c r="I100" s="151" t="s">
        <v>8</v>
      </c>
      <c r="J100" s="100">
        <v>0.89</v>
      </c>
      <c r="K100" s="100">
        <v>71.87</v>
      </c>
      <c r="L100" s="100">
        <v>26.59</v>
      </c>
      <c r="M100" s="100">
        <v>66.11</v>
      </c>
      <c r="N100" s="100">
        <v>6.5</v>
      </c>
      <c r="O100" s="100">
        <v>0</v>
      </c>
      <c r="P100" s="100">
        <v>0.72</v>
      </c>
      <c r="Q100" s="100">
        <v>28.03</v>
      </c>
      <c r="R100" s="6"/>
      <c r="S100" s="6"/>
      <c r="T100" s="156"/>
      <c r="U100" s="6"/>
      <c r="AB100" s="161"/>
    </row>
    <row r="101" spans="1:28" customFormat="1">
      <c r="A101" s="163" t="s">
        <v>2347</v>
      </c>
      <c r="B101" s="100">
        <v>4.38</v>
      </c>
      <c r="C101" s="100">
        <v>19.57</v>
      </c>
      <c r="D101" s="100">
        <v>15.09</v>
      </c>
      <c r="E101" s="100">
        <v>9.36</v>
      </c>
      <c r="F101" s="152" t="s">
        <v>15</v>
      </c>
      <c r="G101" s="100">
        <v>48.64</v>
      </c>
      <c r="H101" s="100">
        <v>20.84</v>
      </c>
      <c r="I101" s="151" t="s">
        <v>8</v>
      </c>
      <c r="J101" s="100">
        <v>0.66</v>
      </c>
      <c r="K101" s="100">
        <v>76.010000000000005</v>
      </c>
      <c r="L101" s="100">
        <v>26.48</v>
      </c>
      <c r="M101" s="100">
        <v>66.099999999999994</v>
      </c>
      <c r="N101" s="100">
        <v>6.4</v>
      </c>
      <c r="O101" s="100">
        <v>0</v>
      </c>
      <c r="P101" s="100">
        <v>0.71</v>
      </c>
      <c r="Q101" s="100">
        <v>28.04</v>
      </c>
      <c r="R101" s="6"/>
      <c r="S101" s="6"/>
      <c r="T101" s="156"/>
      <c r="U101" s="6"/>
    </row>
    <row r="102" spans="1:28" customFormat="1">
      <c r="A102" s="163" t="s">
        <v>2348</v>
      </c>
      <c r="B102" s="100">
        <v>4.6100000000000003</v>
      </c>
      <c r="C102" s="100">
        <v>18.57</v>
      </c>
      <c r="D102" s="100">
        <v>14.75</v>
      </c>
      <c r="E102" s="100">
        <v>9.26</v>
      </c>
      <c r="F102" s="152" t="s">
        <v>15</v>
      </c>
      <c r="G102" s="100">
        <v>48.64</v>
      </c>
      <c r="H102" s="100">
        <v>20.84</v>
      </c>
      <c r="I102" s="151" t="s">
        <v>8</v>
      </c>
      <c r="J102" s="100">
        <v>0.86</v>
      </c>
      <c r="K102" s="100">
        <v>69.87</v>
      </c>
      <c r="L102" s="100">
        <v>26.31</v>
      </c>
      <c r="M102" s="100">
        <v>66.540000000000006</v>
      </c>
      <c r="N102" s="100">
        <v>6.3</v>
      </c>
      <c r="O102" s="100">
        <v>0</v>
      </c>
      <c r="P102" s="100">
        <v>0.7</v>
      </c>
      <c r="Q102" s="100">
        <v>28.05</v>
      </c>
      <c r="R102" s="6"/>
      <c r="S102" s="6"/>
      <c r="T102" s="156"/>
      <c r="U102" s="6"/>
    </row>
    <row r="103" spans="1:28" customFormat="1">
      <c r="A103" s="163" t="s">
        <v>2349</v>
      </c>
      <c r="B103" s="100">
        <v>4.78</v>
      </c>
      <c r="C103" s="100">
        <v>18.2</v>
      </c>
      <c r="D103" s="100">
        <v>14.69</v>
      </c>
      <c r="E103" s="100">
        <v>8.89</v>
      </c>
      <c r="F103" s="152" t="s">
        <v>15</v>
      </c>
      <c r="G103" s="100">
        <v>48.64</v>
      </c>
      <c r="H103" s="100">
        <v>20.84</v>
      </c>
      <c r="I103" s="151" t="s">
        <v>8</v>
      </c>
      <c r="J103" s="100">
        <v>0.98</v>
      </c>
      <c r="K103" s="100">
        <v>69.180000000000007</v>
      </c>
      <c r="L103" s="100">
        <v>26.18</v>
      </c>
      <c r="M103" s="100">
        <v>67.08</v>
      </c>
      <c r="N103" s="100">
        <v>6.3</v>
      </c>
      <c r="O103" s="100">
        <v>0</v>
      </c>
      <c r="P103" s="100">
        <v>0.69</v>
      </c>
      <c r="Q103" s="100">
        <v>28.05</v>
      </c>
      <c r="R103" s="6"/>
      <c r="S103" s="6"/>
      <c r="T103" s="156"/>
      <c r="U103" s="6"/>
    </row>
    <row r="104" spans="1:28" customFormat="1">
      <c r="A104" s="163" t="s">
        <v>2350</v>
      </c>
      <c r="B104" s="100">
        <v>4.95</v>
      </c>
      <c r="C104" s="100">
        <v>18.64</v>
      </c>
      <c r="D104" s="100">
        <v>15.06</v>
      </c>
      <c r="E104" s="100">
        <v>9.14</v>
      </c>
      <c r="F104" s="152" t="s">
        <v>15</v>
      </c>
      <c r="G104" s="100">
        <v>46.42</v>
      </c>
      <c r="H104" s="100">
        <v>17.739999999999998</v>
      </c>
      <c r="I104" s="151" t="s">
        <v>8</v>
      </c>
      <c r="J104" s="100">
        <v>1</v>
      </c>
      <c r="K104" s="100">
        <v>63.34</v>
      </c>
      <c r="L104" s="100">
        <v>25.95</v>
      </c>
      <c r="M104" s="100">
        <v>68.28</v>
      </c>
      <c r="N104" s="100">
        <v>6.4</v>
      </c>
      <c r="O104" s="100">
        <v>0</v>
      </c>
      <c r="P104" s="100">
        <v>0.7</v>
      </c>
      <c r="Q104" s="100">
        <v>28.05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3.53</v>
      </c>
      <c r="C106" s="158">
        <f>MIN(C9:C104)</f>
        <v>12.02</v>
      </c>
      <c r="D106" s="158">
        <f t="shared" ref="D106:Q106" si="0">MIN(D9:D104)</f>
        <v>10.51</v>
      </c>
      <c r="E106" s="158">
        <f t="shared" si="0"/>
        <v>6.85</v>
      </c>
      <c r="F106" s="158">
        <f t="shared" si="0"/>
        <v>0</v>
      </c>
      <c r="G106" s="158">
        <f t="shared" si="0"/>
        <v>19.16</v>
      </c>
      <c r="H106" s="158">
        <f t="shared" si="0"/>
        <v>11.63</v>
      </c>
      <c r="I106" s="158">
        <f t="shared" si="0"/>
        <v>0</v>
      </c>
      <c r="J106" s="158">
        <f t="shared" si="0"/>
        <v>0.12</v>
      </c>
      <c r="K106" s="158">
        <f t="shared" si="0"/>
        <v>0.17</v>
      </c>
      <c r="L106" s="158">
        <f t="shared" si="0"/>
        <v>21.91</v>
      </c>
      <c r="M106" s="158">
        <f t="shared" si="0"/>
        <v>28.54</v>
      </c>
      <c r="N106" s="158">
        <f t="shared" si="0"/>
        <v>5.2</v>
      </c>
      <c r="O106" s="158">
        <f t="shared" si="0"/>
        <v>0</v>
      </c>
      <c r="P106" s="158">
        <f t="shared" si="0"/>
        <v>0.42</v>
      </c>
      <c r="Q106" s="158">
        <f t="shared" si="0"/>
        <v>27.98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13.06</v>
      </c>
      <c r="C107" s="157">
        <f t="shared" ref="C107:Q107" si="1">MAX(C9:C104)</f>
        <v>20.75</v>
      </c>
      <c r="D107" s="157">
        <f t="shared" si="1"/>
        <v>21.34</v>
      </c>
      <c r="E107" s="157">
        <f t="shared" si="1"/>
        <v>15.59</v>
      </c>
      <c r="F107" s="157">
        <f t="shared" si="1"/>
        <v>0</v>
      </c>
      <c r="G107" s="157">
        <f t="shared" si="1"/>
        <v>59.37</v>
      </c>
      <c r="H107" s="157">
        <f t="shared" si="1"/>
        <v>26.34</v>
      </c>
      <c r="I107" s="157">
        <f t="shared" si="1"/>
        <v>0</v>
      </c>
      <c r="J107" s="157">
        <f t="shared" si="1"/>
        <v>1.37</v>
      </c>
      <c r="K107" s="157">
        <f t="shared" si="1"/>
        <v>356.42</v>
      </c>
      <c r="L107" s="157">
        <f t="shared" si="1"/>
        <v>35.200000000000003</v>
      </c>
      <c r="M107" s="157">
        <f t="shared" si="1"/>
        <v>82.61</v>
      </c>
      <c r="N107" s="157">
        <f t="shared" si="1"/>
        <v>779.1</v>
      </c>
      <c r="O107" s="157">
        <f t="shared" si="1"/>
        <v>0</v>
      </c>
      <c r="P107" s="157">
        <f t="shared" si="1"/>
        <v>0.79</v>
      </c>
      <c r="Q107" s="157">
        <f t="shared" si="1"/>
        <v>28.33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6.0415624999999977</v>
      </c>
      <c r="C108" s="158">
        <f t="shared" ref="C108:Q108" si="2">AVERAGE(C9:C104)</f>
        <v>17.841249999999999</v>
      </c>
      <c r="D108" s="158">
        <f t="shared" si="2"/>
        <v>15.517604166666667</v>
      </c>
      <c r="E108" s="158">
        <f t="shared" si="2"/>
        <v>9.0178125000000016</v>
      </c>
      <c r="F108" s="158" t="e">
        <f t="shared" si="2"/>
        <v>#DIV/0!</v>
      </c>
      <c r="G108" s="158">
        <f t="shared" si="2"/>
        <v>35.888749999999973</v>
      </c>
      <c r="H108" s="158">
        <f t="shared" si="2"/>
        <v>16.288854166666667</v>
      </c>
      <c r="I108" s="158" t="e">
        <f t="shared" si="2"/>
        <v>#DIV/0!</v>
      </c>
      <c r="J108" s="158">
        <f t="shared" si="2"/>
        <v>0.47208333333333341</v>
      </c>
      <c r="K108" s="158">
        <f t="shared" si="2"/>
        <v>151.34500000000003</v>
      </c>
      <c r="L108" s="158">
        <f t="shared" si="2"/>
        <v>27.94510416666667</v>
      </c>
      <c r="M108" s="158">
        <f t="shared" si="2"/>
        <v>57.793125000000032</v>
      </c>
      <c r="N108" s="158">
        <f t="shared" si="2"/>
        <v>184.99270833333333</v>
      </c>
      <c r="O108" s="158">
        <f t="shared" si="2"/>
        <v>0</v>
      </c>
      <c r="P108" s="158">
        <f t="shared" si="2"/>
        <v>0.57010416666666652</v>
      </c>
      <c r="Q108" s="158">
        <f t="shared" si="2"/>
        <v>28.08260416666668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2.9976370793027232</v>
      </c>
      <c r="C109" s="158">
        <f t="shared" ref="C109:Q109" si="3">STDEV(C9:C104)</f>
        <v>2.297612147197035</v>
      </c>
      <c r="D109" s="158">
        <f t="shared" si="3"/>
        <v>2.9807910447049175</v>
      </c>
      <c r="E109" s="158">
        <f t="shared" si="3"/>
        <v>1.5401067653523841</v>
      </c>
      <c r="F109" s="158" t="e">
        <f t="shared" si="3"/>
        <v>#DIV/0!</v>
      </c>
      <c r="G109" s="158">
        <f t="shared" si="3"/>
        <v>12.473792927574273</v>
      </c>
      <c r="H109" s="158">
        <f t="shared" si="3"/>
        <v>4.1103215061320828</v>
      </c>
      <c r="I109" s="158" t="e">
        <f t="shared" si="3"/>
        <v>#DIV/0!</v>
      </c>
      <c r="J109" s="158">
        <f t="shared" si="3"/>
        <v>0.30669689019639618</v>
      </c>
      <c r="K109" s="158">
        <f t="shared" si="3"/>
        <v>84.948879760898365</v>
      </c>
      <c r="L109" s="158">
        <f t="shared" si="3"/>
        <v>4.3915715913174536</v>
      </c>
      <c r="M109" s="158">
        <f t="shared" si="3"/>
        <v>17.616343028861642</v>
      </c>
      <c r="N109" s="158">
        <f t="shared" si="3"/>
        <v>251.06808438928181</v>
      </c>
      <c r="O109" s="158">
        <f t="shared" si="3"/>
        <v>0</v>
      </c>
      <c r="P109" s="158">
        <f t="shared" si="3"/>
        <v>0.1344501065092592</v>
      </c>
      <c r="Q109" s="158">
        <f t="shared" si="3"/>
        <v>0.1004856082040624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>COUNT(I9:I104)+96</f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87" activePane="bottomRight" state="frozen"/>
      <selection pane="topRight"/>
      <selection pane="bottomLeft"/>
      <selection pane="bottomRight" activeCell="H114" sqref="H11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23/03/2025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2351</v>
      </c>
      <c r="B9" s="100">
        <v>5.32</v>
      </c>
      <c r="C9" s="100">
        <v>18.68</v>
      </c>
      <c r="D9" s="100">
        <v>15.38</v>
      </c>
      <c r="E9" s="100">
        <v>9.49</v>
      </c>
      <c r="F9" s="152" t="s">
        <v>15</v>
      </c>
      <c r="G9" s="100">
        <v>45.61</v>
      </c>
      <c r="H9" s="100">
        <v>17.690000000000001</v>
      </c>
      <c r="I9" s="151" t="s">
        <v>8</v>
      </c>
      <c r="J9" s="100">
        <v>0.93</v>
      </c>
      <c r="K9" s="100">
        <v>57.42</v>
      </c>
      <c r="L9" s="100">
        <v>25.77</v>
      </c>
      <c r="M9" s="100">
        <v>69.28</v>
      </c>
      <c r="N9" s="100">
        <v>6.4</v>
      </c>
      <c r="O9" s="100">
        <v>0</v>
      </c>
      <c r="P9" s="100">
        <v>0.69</v>
      </c>
      <c r="Q9" s="100">
        <v>28.05</v>
      </c>
      <c r="R9" s="6"/>
      <c r="S9" s="6"/>
      <c r="T9" s="156"/>
      <c r="U9" s="6"/>
    </row>
    <row r="10" spans="1:21" customFormat="1">
      <c r="A10" s="163" t="s">
        <v>2352</v>
      </c>
      <c r="B10" s="100">
        <v>5.56</v>
      </c>
      <c r="C10" s="100">
        <v>18.3</v>
      </c>
      <c r="D10" s="100">
        <v>15.37</v>
      </c>
      <c r="E10" s="100">
        <v>9.23</v>
      </c>
      <c r="F10" s="152" t="s">
        <v>15</v>
      </c>
      <c r="G10" s="100">
        <v>45.61</v>
      </c>
      <c r="H10" s="100">
        <v>17.690000000000001</v>
      </c>
      <c r="I10" s="151" t="s">
        <v>8</v>
      </c>
      <c r="J10" s="100">
        <v>0.54</v>
      </c>
      <c r="K10" s="100">
        <v>55.09</v>
      </c>
      <c r="L10" s="100">
        <v>25.74</v>
      </c>
      <c r="M10" s="100">
        <v>68.430000000000007</v>
      </c>
      <c r="N10" s="100">
        <v>6.3</v>
      </c>
      <c r="O10" s="100">
        <v>0</v>
      </c>
      <c r="P10" s="100">
        <v>0.69</v>
      </c>
      <c r="Q10" s="100">
        <v>28.07</v>
      </c>
      <c r="R10" s="6"/>
      <c r="S10" s="6"/>
      <c r="T10" s="156"/>
      <c r="U10" s="6"/>
    </row>
    <row r="11" spans="1:21" customFormat="1">
      <c r="A11" s="163" t="s">
        <v>2353</v>
      </c>
      <c r="B11" s="100">
        <v>5.9</v>
      </c>
      <c r="C11" s="100">
        <v>18.149999999999999</v>
      </c>
      <c r="D11" s="100">
        <v>15.56</v>
      </c>
      <c r="E11" s="100">
        <v>9.07</v>
      </c>
      <c r="F11" s="152" t="s">
        <v>15</v>
      </c>
      <c r="G11" s="100">
        <v>45.61</v>
      </c>
      <c r="H11" s="100">
        <v>17.690000000000001</v>
      </c>
      <c r="I11" s="151" t="s">
        <v>8</v>
      </c>
      <c r="J11" s="100">
        <v>0.77</v>
      </c>
      <c r="K11" s="100">
        <v>67.92</v>
      </c>
      <c r="L11" s="100">
        <v>25.79</v>
      </c>
      <c r="M11" s="100">
        <v>67.739999999999995</v>
      </c>
      <c r="N11" s="100">
        <v>6.1</v>
      </c>
      <c r="O11" s="100">
        <v>0</v>
      </c>
      <c r="P11" s="100">
        <v>0.68</v>
      </c>
      <c r="Q11" s="100">
        <v>28.08</v>
      </c>
      <c r="R11" s="6"/>
      <c r="S11" s="6"/>
      <c r="T11" s="156"/>
      <c r="U11" s="6"/>
    </row>
    <row r="12" spans="1:21" customFormat="1">
      <c r="A12" s="163" t="s">
        <v>2354</v>
      </c>
      <c r="B12" s="100">
        <v>5.97</v>
      </c>
      <c r="C12" s="100">
        <v>18.28</v>
      </c>
      <c r="D12" s="100">
        <v>15.69</v>
      </c>
      <c r="E12" s="100">
        <v>9.3699999999999992</v>
      </c>
      <c r="F12" s="152" t="s">
        <v>15</v>
      </c>
      <c r="G12" s="100">
        <v>44.53</v>
      </c>
      <c r="H12" s="100">
        <v>17.72</v>
      </c>
      <c r="I12" s="151" t="s">
        <v>8</v>
      </c>
      <c r="J12" s="100">
        <v>0.66</v>
      </c>
      <c r="K12" s="100">
        <v>69.209999999999994</v>
      </c>
      <c r="L12" s="100">
        <v>25.82</v>
      </c>
      <c r="M12" s="100">
        <v>67.28</v>
      </c>
      <c r="N12" s="100">
        <v>6.3</v>
      </c>
      <c r="O12" s="100">
        <v>0</v>
      </c>
      <c r="P12" s="100">
        <v>0.69</v>
      </c>
      <c r="Q12" s="100">
        <v>28.07</v>
      </c>
      <c r="R12" s="6"/>
      <c r="S12" s="6"/>
      <c r="T12" s="156"/>
      <c r="U12" s="6"/>
    </row>
    <row r="13" spans="1:21" customFormat="1">
      <c r="A13" s="163" t="s">
        <v>2355</v>
      </c>
      <c r="B13" s="100">
        <v>6.1</v>
      </c>
      <c r="C13" s="100">
        <v>17.93</v>
      </c>
      <c r="D13" s="100">
        <v>15.61</v>
      </c>
      <c r="E13" s="100">
        <v>9.32</v>
      </c>
      <c r="F13" s="152" t="s">
        <v>15</v>
      </c>
      <c r="G13" s="100">
        <v>44.14</v>
      </c>
      <c r="H13" s="100">
        <v>17.72</v>
      </c>
      <c r="I13" s="151" t="s">
        <v>8</v>
      </c>
      <c r="J13" s="100">
        <v>0.87</v>
      </c>
      <c r="K13" s="100">
        <v>62.48</v>
      </c>
      <c r="L13" s="100">
        <v>25.76</v>
      </c>
      <c r="M13" s="100">
        <v>67.44</v>
      </c>
      <c r="N13" s="100">
        <v>6.4</v>
      </c>
      <c r="O13" s="100">
        <v>0</v>
      </c>
      <c r="P13" s="100">
        <v>0.68</v>
      </c>
      <c r="Q13" s="100">
        <v>28.1</v>
      </c>
      <c r="R13" s="6"/>
      <c r="S13" s="6"/>
      <c r="T13" s="156"/>
      <c r="U13" s="6"/>
    </row>
    <row r="14" spans="1:21" customFormat="1">
      <c r="A14" s="163" t="s">
        <v>2356</v>
      </c>
      <c r="B14" s="100">
        <v>6.22</v>
      </c>
      <c r="C14" s="100">
        <v>18.13</v>
      </c>
      <c r="D14" s="100">
        <v>15.81</v>
      </c>
      <c r="E14" s="100">
        <v>9.3699999999999992</v>
      </c>
      <c r="F14" s="152" t="s">
        <v>15</v>
      </c>
      <c r="G14" s="100">
        <v>44.14</v>
      </c>
      <c r="H14" s="100">
        <v>17.72</v>
      </c>
      <c r="I14" s="151" t="s">
        <v>8</v>
      </c>
      <c r="J14" s="100">
        <v>0.81</v>
      </c>
      <c r="K14" s="100">
        <v>71.55</v>
      </c>
      <c r="L14" s="100">
        <v>25.73</v>
      </c>
      <c r="M14" s="100">
        <v>67.48</v>
      </c>
      <c r="N14" s="100">
        <v>6.5</v>
      </c>
      <c r="O14" s="100">
        <v>0</v>
      </c>
      <c r="P14" s="100">
        <v>0.68</v>
      </c>
      <c r="Q14" s="100">
        <v>28.1</v>
      </c>
      <c r="R14" s="6"/>
      <c r="S14" s="6"/>
      <c r="T14" s="156"/>
      <c r="U14" s="6"/>
    </row>
    <row r="15" spans="1:21" customFormat="1">
      <c r="A15" s="163" t="s">
        <v>2357</v>
      </c>
      <c r="B15" s="100">
        <v>6.28</v>
      </c>
      <c r="C15" s="100">
        <v>18.010000000000002</v>
      </c>
      <c r="D15" s="100">
        <v>15.8</v>
      </c>
      <c r="E15" s="100">
        <v>9.2100000000000009</v>
      </c>
      <c r="F15" s="152" t="s">
        <v>15</v>
      </c>
      <c r="G15" s="100">
        <v>44.14</v>
      </c>
      <c r="H15" s="100">
        <v>17.72</v>
      </c>
      <c r="I15" s="151" t="s">
        <v>8</v>
      </c>
      <c r="J15" s="100">
        <v>0.68</v>
      </c>
      <c r="K15" s="100">
        <v>76.150000000000006</v>
      </c>
      <c r="L15" s="100">
        <v>25.61</v>
      </c>
      <c r="M15" s="100">
        <v>68.16</v>
      </c>
      <c r="N15" s="100">
        <v>6.5</v>
      </c>
      <c r="O15" s="100">
        <v>0</v>
      </c>
      <c r="P15" s="100">
        <v>0.68</v>
      </c>
      <c r="Q15" s="100">
        <v>28.08</v>
      </c>
      <c r="R15" s="6"/>
      <c r="S15" s="6"/>
      <c r="T15" s="156"/>
      <c r="U15" s="6"/>
    </row>
    <row r="16" spans="1:21" customFormat="1">
      <c r="A16" s="163" t="s">
        <v>2358</v>
      </c>
      <c r="B16" s="100">
        <v>6.3</v>
      </c>
      <c r="C16" s="100">
        <v>18.41</v>
      </c>
      <c r="D16" s="100">
        <v>16.02</v>
      </c>
      <c r="E16" s="100">
        <v>9.09</v>
      </c>
      <c r="F16" s="152" t="s">
        <v>15</v>
      </c>
      <c r="G16" s="100">
        <v>44.37</v>
      </c>
      <c r="H16" s="100">
        <v>21.36</v>
      </c>
      <c r="I16" s="151" t="s">
        <v>8</v>
      </c>
      <c r="J16" s="100">
        <v>0.96</v>
      </c>
      <c r="K16" s="100">
        <v>65.319999999999993</v>
      </c>
      <c r="L16" s="100">
        <v>25.32</v>
      </c>
      <c r="M16" s="100">
        <v>69.73</v>
      </c>
      <c r="N16" s="100">
        <v>6.7</v>
      </c>
      <c r="O16" s="100">
        <v>0</v>
      </c>
      <c r="P16" s="100">
        <v>0.68</v>
      </c>
      <c r="Q16" s="100">
        <v>28.07</v>
      </c>
      <c r="R16" s="6"/>
      <c r="S16" s="6"/>
      <c r="T16" s="156"/>
      <c r="U16" s="6"/>
    </row>
    <row r="17" spans="1:21" customFormat="1">
      <c r="A17" s="163" t="s">
        <v>2359</v>
      </c>
      <c r="B17" s="100">
        <v>6.46</v>
      </c>
      <c r="C17" s="100">
        <v>17.79</v>
      </c>
      <c r="D17" s="100">
        <v>15.82</v>
      </c>
      <c r="E17" s="100">
        <v>7.81</v>
      </c>
      <c r="F17" s="152" t="s">
        <v>15</v>
      </c>
      <c r="G17" s="100">
        <v>44.45</v>
      </c>
      <c r="H17" s="100">
        <v>21.48</v>
      </c>
      <c r="I17" s="151" t="s">
        <v>8</v>
      </c>
      <c r="J17" s="100">
        <v>0.82</v>
      </c>
      <c r="K17" s="100">
        <v>63.94</v>
      </c>
      <c r="L17" s="100">
        <v>25.19</v>
      </c>
      <c r="M17" s="100">
        <v>70.319999999999993</v>
      </c>
      <c r="N17" s="100">
        <v>6.6</v>
      </c>
      <c r="O17" s="100">
        <v>0</v>
      </c>
      <c r="P17" s="100">
        <v>0.68</v>
      </c>
      <c r="Q17" s="100">
        <v>28.1</v>
      </c>
      <c r="R17" s="6"/>
      <c r="S17" s="6"/>
      <c r="T17" s="156"/>
      <c r="U17" s="6"/>
    </row>
    <row r="18" spans="1:21" customFormat="1">
      <c r="A18" s="163" t="s">
        <v>2360</v>
      </c>
      <c r="B18" s="100">
        <v>6.54</v>
      </c>
      <c r="C18" s="100">
        <v>17.57</v>
      </c>
      <c r="D18" s="100">
        <v>15.78</v>
      </c>
      <c r="E18" s="100">
        <v>8.82</v>
      </c>
      <c r="F18" s="152" t="s">
        <v>15</v>
      </c>
      <c r="G18" s="100">
        <v>44.45</v>
      </c>
      <c r="H18" s="100">
        <v>21.48</v>
      </c>
      <c r="I18" s="151" t="s">
        <v>8</v>
      </c>
      <c r="J18" s="100">
        <v>1.03</v>
      </c>
      <c r="K18" s="100">
        <v>56.3</v>
      </c>
      <c r="L18" s="100">
        <v>25.1</v>
      </c>
      <c r="M18" s="100">
        <v>70.84</v>
      </c>
      <c r="N18" s="100">
        <v>6.5</v>
      </c>
      <c r="O18" s="100">
        <v>0</v>
      </c>
      <c r="P18" s="100">
        <v>0.67</v>
      </c>
      <c r="Q18" s="100">
        <v>28.09</v>
      </c>
      <c r="R18" s="6"/>
      <c r="S18" s="6"/>
      <c r="T18" s="156"/>
      <c r="U18" s="6"/>
    </row>
    <row r="19" spans="1:21" customFormat="1">
      <c r="A19" s="163" t="s">
        <v>2361</v>
      </c>
      <c r="B19" s="100">
        <v>6.67</v>
      </c>
      <c r="C19" s="100">
        <v>17.600000000000001</v>
      </c>
      <c r="D19" s="100">
        <v>15.89</v>
      </c>
      <c r="E19" s="100">
        <v>8.3000000000000007</v>
      </c>
      <c r="F19" s="152" t="s">
        <v>15</v>
      </c>
      <c r="G19" s="100">
        <v>44.45</v>
      </c>
      <c r="H19" s="100">
        <v>21.48</v>
      </c>
      <c r="I19" s="151" t="s">
        <v>8</v>
      </c>
      <c r="J19" s="100">
        <v>0.86</v>
      </c>
      <c r="K19" s="100">
        <v>71.7</v>
      </c>
      <c r="L19" s="100">
        <v>25.1</v>
      </c>
      <c r="M19" s="100">
        <v>70.92</v>
      </c>
      <c r="N19" s="100">
        <v>6.7</v>
      </c>
      <c r="O19" s="100">
        <v>0</v>
      </c>
      <c r="P19" s="100">
        <v>0.66</v>
      </c>
      <c r="Q19" s="100">
        <v>28.11</v>
      </c>
      <c r="R19" s="6"/>
      <c r="S19" s="6"/>
      <c r="T19" s="156"/>
      <c r="U19" s="6"/>
    </row>
    <row r="20" spans="1:21" customFormat="1">
      <c r="A20" s="163" t="s">
        <v>2362</v>
      </c>
      <c r="B20" s="100">
        <v>6.7</v>
      </c>
      <c r="C20" s="100">
        <v>17.829999999999998</v>
      </c>
      <c r="D20" s="100">
        <v>16.04</v>
      </c>
      <c r="E20" s="100">
        <v>8.49</v>
      </c>
      <c r="F20" s="152" t="s">
        <v>15</v>
      </c>
      <c r="G20" s="100">
        <v>42.2</v>
      </c>
      <c r="H20" s="100">
        <v>14.71</v>
      </c>
      <c r="I20" s="151" t="s">
        <v>8</v>
      </c>
      <c r="J20" s="100">
        <v>0.78</v>
      </c>
      <c r="K20" s="100">
        <v>70.28</v>
      </c>
      <c r="L20" s="100">
        <v>24.96</v>
      </c>
      <c r="M20" s="100">
        <v>71.92</v>
      </c>
      <c r="N20" s="100">
        <v>6.7</v>
      </c>
      <c r="O20" s="100">
        <v>0</v>
      </c>
      <c r="P20" s="100">
        <v>0.67</v>
      </c>
      <c r="Q20" s="100">
        <v>28.11</v>
      </c>
      <c r="R20" s="6"/>
      <c r="S20" s="6"/>
      <c r="T20" s="156"/>
      <c r="U20" s="6"/>
    </row>
    <row r="21" spans="1:21" customFormat="1">
      <c r="A21" s="163" t="s">
        <v>2363</v>
      </c>
      <c r="B21" s="100">
        <v>6.83</v>
      </c>
      <c r="C21" s="100">
        <v>17.46</v>
      </c>
      <c r="D21" s="100">
        <v>15.95</v>
      </c>
      <c r="E21" s="100">
        <v>8.8800000000000008</v>
      </c>
      <c r="F21" s="152" t="s">
        <v>15</v>
      </c>
      <c r="G21" s="100">
        <v>41.38</v>
      </c>
      <c r="H21" s="100">
        <v>14.5</v>
      </c>
      <c r="I21" s="151" t="s">
        <v>8</v>
      </c>
      <c r="J21" s="100">
        <v>0.77</v>
      </c>
      <c r="K21" s="100">
        <v>77.06</v>
      </c>
      <c r="L21" s="100">
        <v>24.9</v>
      </c>
      <c r="M21" s="100">
        <v>72.760000000000005</v>
      </c>
      <c r="N21" s="100">
        <v>6.9</v>
      </c>
      <c r="O21" s="100">
        <v>0</v>
      </c>
      <c r="P21" s="100">
        <v>0.66</v>
      </c>
      <c r="Q21" s="100">
        <v>28.1</v>
      </c>
      <c r="R21" s="6"/>
      <c r="S21" s="6"/>
      <c r="T21" s="156"/>
      <c r="U21" s="6"/>
    </row>
    <row r="22" spans="1:21" customFormat="1">
      <c r="A22" s="163" t="s">
        <v>2364</v>
      </c>
      <c r="B22" s="100">
        <v>6.91</v>
      </c>
      <c r="C22" s="100">
        <v>17.63</v>
      </c>
      <c r="D22" s="100">
        <v>16.100000000000001</v>
      </c>
      <c r="E22" s="100">
        <v>8.9499999999999993</v>
      </c>
      <c r="F22" s="152" t="s">
        <v>15</v>
      </c>
      <c r="G22" s="100">
        <v>41.38</v>
      </c>
      <c r="H22" s="100">
        <v>14.5</v>
      </c>
      <c r="I22" s="151" t="s">
        <v>8</v>
      </c>
      <c r="J22" s="100">
        <v>0.47</v>
      </c>
      <c r="K22" s="100">
        <v>88.09</v>
      </c>
      <c r="L22" s="100">
        <v>24.74</v>
      </c>
      <c r="M22" s="100">
        <v>74.489999999999995</v>
      </c>
      <c r="N22" s="100">
        <v>6.7</v>
      </c>
      <c r="O22" s="100">
        <v>0</v>
      </c>
      <c r="P22" s="100">
        <v>0.67</v>
      </c>
      <c r="Q22" s="100">
        <v>28.1</v>
      </c>
      <c r="R22" s="6"/>
      <c r="S22" s="6"/>
      <c r="T22" s="156"/>
      <c r="U22" s="6"/>
    </row>
    <row r="23" spans="1:21" customFormat="1">
      <c r="A23" s="163" t="s">
        <v>2365</v>
      </c>
      <c r="B23" s="100">
        <v>6.93</v>
      </c>
      <c r="C23" s="100">
        <v>17.64</v>
      </c>
      <c r="D23" s="100">
        <v>16.13</v>
      </c>
      <c r="E23" s="100">
        <v>8.82</v>
      </c>
      <c r="F23" s="152" t="s">
        <v>15</v>
      </c>
      <c r="G23" s="100">
        <v>41.38</v>
      </c>
      <c r="H23" s="100">
        <v>14.5</v>
      </c>
      <c r="I23" s="151" t="s">
        <v>8</v>
      </c>
      <c r="J23" s="100">
        <v>0.32</v>
      </c>
      <c r="K23" s="100">
        <v>119.09</v>
      </c>
      <c r="L23" s="100">
        <v>24.61</v>
      </c>
      <c r="M23" s="100">
        <v>75.3</v>
      </c>
      <c r="N23" s="100">
        <v>6.6</v>
      </c>
      <c r="O23" s="100">
        <v>0</v>
      </c>
      <c r="P23" s="100">
        <v>0.67</v>
      </c>
      <c r="Q23" s="100">
        <v>28.1</v>
      </c>
      <c r="R23" s="6"/>
      <c r="S23" s="6"/>
      <c r="T23" s="156"/>
      <c r="U23" s="6"/>
    </row>
    <row r="24" spans="1:21" customFormat="1">
      <c r="A24" s="163" t="s">
        <v>2366</v>
      </c>
      <c r="B24" s="100">
        <v>6.88</v>
      </c>
      <c r="C24" s="100">
        <v>18.07</v>
      </c>
      <c r="D24" s="100">
        <v>16.309999999999999</v>
      </c>
      <c r="E24" s="100">
        <v>8.3699999999999992</v>
      </c>
      <c r="F24" s="152" t="s">
        <v>15</v>
      </c>
      <c r="G24" s="100">
        <v>38.78</v>
      </c>
      <c r="H24" s="100">
        <v>19.93</v>
      </c>
      <c r="I24" s="151" t="s">
        <v>8</v>
      </c>
      <c r="J24" s="100">
        <v>0.31</v>
      </c>
      <c r="K24" s="100">
        <v>98.95</v>
      </c>
      <c r="L24" s="100">
        <v>24.48</v>
      </c>
      <c r="M24" s="100">
        <v>75.680000000000007</v>
      </c>
      <c r="N24" s="100">
        <v>6.6</v>
      </c>
      <c r="O24" s="100">
        <v>0</v>
      </c>
      <c r="P24" s="100">
        <v>0.67</v>
      </c>
      <c r="Q24" s="100">
        <v>28.11</v>
      </c>
      <c r="R24" s="6"/>
      <c r="S24" s="6"/>
      <c r="T24" s="156"/>
      <c r="U24" s="6"/>
    </row>
    <row r="25" spans="1:21" customFormat="1">
      <c r="A25" s="163" t="s">
        <v>2367</v>
      </c>
      <c r="B25" s="100">
        <v>6.71</v>
      </c>
      <c r="C25" s="100">
        <v>18.07</v>
      </c>
      <c r="D25" s="100">
        <v>16.170000000000002</v>
      </c>
      <c r="E25" s="100">
        <v>8.56</v>
      </c>
      <c r="F25" s="152" t="s">
        <v>15</v>
      </c>
      <c r="G25" s="100">
        <v>37.840000000000003</v>
      </c>
      <c r="H25" s="100">
        <v>20.100000000000001</v>
      </c>
      <c r="I25" s="151" t="s">
        <v>8</v>
      </c>
      <c r="J25" s="100">
        <v>0.36</v>
      </c>
      <c r="K25" s="100">
        <v>111.45</v>
      </c>
      <c r="L25" s="100">
        <v>24.3</v>
      </c>
      <c r="M25" s="100">
        <v>76.75</v>
      </c>
      <c r="N25" s="100">
        <v>6.5</v>
      </c>
      <c r="O25" s="100">
        <v>0</v>
      </c>
      <c r="P25" s="100">
        <v>0.67</v>
      </c>
      <c r="Q25" s="100">
        <v>28.1</v>
      </c>
      <c r="R25" s="6"/>
      <c r="S25" s="6"/>
      <c r="T25" s="156"/>
      <c r="U25" s="6"/>
    </row>
    <row r="26" spans="1:21" customFormat="1">
      <c r="A26" s="163" t="s">
        <v>2368</v>
      </c>
      <c r="B26" s="100">
        <v>6.57</v>
      </c>
      <c r="C26" s="100">
        <v>18.14</v>
      </c>
      <c r="D26" s="100">
        <v>16.09</v>
      </c>
      <c r="E26" s="100">
        <v>8.42</v>
      </c>
      <c r="F26" s="152" t="s">
        <v>15</v>
      </c>
      <c r="G26" s="100">
        <v>37.840000000000003</v>
      </c>
      <c r="H26" s="100">
        <v>20.100000000000001</v>
      </c>
      <c r="I26" s="151" t="s">
        <v>8</v>
      </c>
      <c r="J26" s="100">
        <v>0.48</v>
      </c>
      <c r="K26" s="100">
        <v>82.91</v>
      </c>
      <c r="L26" s="100">
        <v>24.08</v>
      </c>
      <c r="M26" s="100">
        <v>78.37</v>
      </c>
      <c r="N26" s="100">
        <v>6.5</v>
      </c>
      <c r="O26" s="100">
        <v>0</v>
      </c>
      <c r="P26" s="100">
        <v>0.66</v>
      </c>
      <c r="Q26" s="100">
        <v>28.11</v>
      </c>
      <c r="R26" s="6"/>
      <c r="S26" s="6"/>
      <c r="T26" s="156"/>
      <c r="U26" s="6"/>
    </row>
    <row r="27" spans="1:21" customFormat="1">
      <c r="A27" s="163" t="s">
        <v>2369</v>
      </c>
      <c r="B27" s="100">
        <v>6.51</v>
      </c>
      <c r="C27" s="100">
        <v>18.079999999999998</v>
      </c>
      <c r="D27" s="100">
        <v>16.010000000000002</v>
      </c>
      <c r="E27" s="100">
        <v>8.2100000000000009</v>
      </c>
      <c r="F27" s="152" t="s">
        <v>15</v>
      </c>
      <c r="G27" s="100">
        <v>37.840000000000003</v>
      </c>
      <c r="H27" s="100">
        <v>20.100000000000001</v>
      </c>
      <c r="I27" s="151" t="s">
        <v>8</v>
      </c>
      <c r="J27" s="100">
        <v>0.18</v>
      </c>
      <c r="K27" s="100">
        <v>138.26</v>
      </c>
      <c r="L27" s="100">
        <v>24.02</v>
      </c>
      <c r="M27" s="100">
        <v>79.209999999999994</v>
      </c>
      <c r="N27" s="100">
        <v>6.3</v>
      </c>
      <c r="O27" s="100">
        <v>0</v>
      </c>
      <c r="P27" s="100">
        <v>0.64</v>
      </c>
      <c r="Q27" s="100">
        <v>28.1</v>
      </c>
      <c r="R27" s="6"/>
      <c r="S27" s="6"/>
      <c r="T27" s="156"/>
      <c r="U27" s="6"/>
    </row>
    <row r="28" spans="1:21" customFormat="1">
      <c r="A28" s="163" t="s">
        <v>2370</v>
      </c>
      <c r="B28" s="100">
        <v>6.5</v>
      </c>
      <c r="C28" s="100">
        <v>18.34</v>
      </c>
      <c r="D28" s="100">
        <v>16.149999999999999</v>
      </c>
      <c r="E28" s="100">
        <v>8.11</v>
      </c>
      <c r="F28" s="152" t="s">
        <v>15</v>
      </c>
      <c r="G28" s="100">
        <v>33.5</v>
      </c>
      <c r="H28" s="100">
        <v>16.66</v>
      </c>
      <c r="I28" s="151" t="s">
        <v>8</v>
      </c>
      <c r="J28" s="100">
        <v>0.15</v>
      </c>
      <c r="K28" s="100">
        <v>137.63</v>
      </c>
      <c r="L28" s="100">
        <v>23.91</v>
      </c>
      <c r="M28" s="100">
        <v>79.91</v>
      </c>
      <c r="N28" s="100">
        <v>6.3</v>
      </c>
      <c r="O28" s="100">
        <v>0</v>
      </c>
      <c r="P28" s="100">
        <v>0.63</v>
      </c>
      <c r="Q28" s="100">
        <v>28.1</v>
      </c>
      <c r="R28" s="6"/>
      <c r="S28" s="6"/>
      <c r="T28" s="156"/>
      <c r="U28" s="6"/>
    </row>
    <row r="29" spans="1:21" customFormat="1">
      <c r="A29" s="163" t="s">
        <v>2371</v>
      </c>
      <c r="B29" s="100">
        <v>6.62</v>
      </c>
      <c r="C29" s="100">
        <v>18.489999999999998</v>
      </c>
      <c r="D29" s="100">
        <v>16.329999999999998</v>
      </c>
      <c r="E29" s="100">
        <v>8.02</v>
      </c>
      <c r="F29" s="152" t="s">
        <v>15</v>
      </c>
      <c r="G29" s="100">
        <v>31.92</v>
      </c>
      <c r="H29" s="100">
        <v>16.48</v>
      </c>
      <c r="I29" s="151" t="s">
        <v>8</v>
      </c>
      <c r="J29" s="100">
        <v>0.46</v>
      </c>
      <c r="K29" s="100">
        <v>59.01</v>
      </c>
      <c r="L29" s="100">
        <v>23.74</v>
      </c>
      <c r="M29" s="100">
        <v>80.569999999999993</v>
      </c>
      <c r="N29" s="100">
        <v>6.4</v>
      </c>
      <c r="O29" s="100">
        <v>0</v>
      </c>
      <c r="P29" s="100">
        <v>0.63</v>
      </c>
      <c r="Q29" s="100">
        <v>28.1</v>
      </c>
      <c r="R29" s="6"/>
      <c r="S29" s="6"/>
      <c r="T29" s="156"/>
      <c r="U29" s="6"/>
    </row>
    <row r="30" spans="1:21" customFormat="1">
      <c r="A30" s="163" t="s">
        <v>2372</v>
      </c>
      <c r="B30" s="100">
        <v>6.94</v>
      </c>
      <c r="C30" s="100">
        <v>18.489999999999998</v>
      </c>
      <c r="D30" s="100">
        <v>16.57</v>
      </c>
      <c r="E30" s="100">
        <v>8.01</v>
      </c>
      <c r="F30" s="152" t="s">
        <v>15</v>
      </c>
      <c r="G30" s="100">
        <v>31.92</v>
      </c>
      <c r="H30" s="100">
        <v>16.48</v>
      </c>
      <c r="I30" s="151" t="s">
        <v>8</v>
      </c>
      <c r="J30" s="100">
        <v>0.74</v>
      </c>
      <c r="K30" s="100">
        <v>55.75</v>
      </c>
      <c r="L30" s="100">
        <v>23.4</v>
      </c>
      <c r="M30" s="100">
        <v>81.97</v>
      </c>
      <c r="N30" s="100">
        <v>6.6</v>
      </c>
      <c r="O30" s="100">
        <v>0</v>
      </c>
      <c r="P30" s="100">
        <v>0.62</v>
      </c>
      <c r="Q30" s="100">
        <v>28.11</v>
      </c>
      <c r="R30" s="6"/>
      <c r="S30" s="6"/>
      <c r="T30" s="156"/>
      <c r="U30" s="6"/>
    </row>
    <row r="31" spans="1:21" customFormat="1">
      <c r="A31" s="163" t="s">
        <v>2373</v>
      </c>
      <c r="B31" s="100">
        <v>7.17</v>
      </c>
      <c r="C31" s="100">
        <v>18.54</v>
      </c>
      <c r="D31" s="100">
        <v>16.79</v>
      </c>
      <c r="E31" s="100">
        <v>8.26</v>
      </c>
      <c r="F31" s="152" t="s">
        <v>15</v>
      </c>
      <c r="G31" s="100">
        <v>31.92</v>
      </c>
      <c r="H31" s="100">
        <v>16.48</v>
      </c>
      <c r="I31" s="151" t="s">
        <v>8</v>
      </c>
      <c r="J31" s="100">
        <v>0.37</v>
      </c>
      <c r="K31" s="100">
        <v>74.97</v>
      </c>
      <c r="L31" s="100">
        <v>23.55</v>
      </c>
      <c r="M31" s="100">
        <v>80.790000000000006</v>
      </c>
      <c r="N31" s="100">
        <v>6.4</v>
      </c>
      <c r="O31" s="100">
        <v>0</v>
      </c>
      <c r="P31" s="100">
        <v>0.62</v>
      </c>
      <c r="Q31" s="100">
        <v>28.14</v>
      </c>
      <c r="R31" s="6"/>
      <c r="S31" s="6"/>
      <c r="T31" s="156"/>
      <c r="U31" s="6"/>
    </row>
    <row r="32" spans="1:21" customFormat="1">
      <c r="A32" s="163" t="s">
        <v>2374</v>
      </c>
      <c r="B32" s="100">
        <v>7.36</v>
      </c>
      <c r="C32" s="100">
        <v>18.7</v>
      </c>
      <c r="D32" s="100">
        <v>17.03</v>
      </c>
      <c r="E32" s="100">
        <v>8.23</v>
      </c>
      <c r="F32" s="152" t="s">
        <v>15</v>
      </c>
      <c r="G32" s="100">
        <v>31.63</v>
      </c>
      <c r="H32" s="100">
        <v>14.65</v>
      </c>
      <c r="I32" s="151" t="s">
        <v>8</v>
      </c>
      <c r="J32" s="100">
        <v>0.61</v>
      </c>
      <c r="K32" s="100">
        <v>63.62</v>
      </c>
      <c r="L32" s="100">
        <v>23.49</v>
      </c>
      <c r="M32" s="100">
        <v>80.88</v>
      </c>
      <c r="N32" s="100">
        <v>7.4</v>
      </c>
      <c r="O32" s="100">
        <v>0</v>
      </c>
      <c r="P32" s="100">
        <v>0.61</v>
      </c>
      <c r="Q32" s="100">
        <v>28.12</v>
      </c>
      <c r="R32" s="6"/>
      <c r="S32" s="6"/>
      <c r="T32" s="156"/>
      <c r="U32" s="6"/>
    </row>
    <row r="33" spans="1:21" customFormat="1">
      <c r="A33" s="163" t="s">
        <v>2375</v>
      </c>
      <c r="B33" s="100">
        <v>7.65</v>
      </c>
      <c r="C33" s="100">
        <v>18.690000000000001</v>
      </c>
      <c r="D33" s="100">
        <v>17.25</v>
      </c>
      <c r="E33" s="100">
        <v>8.5</v>
      </c>
      <c r="F33" s="152" t="s">
        <v>15</v>
      </c>
      <c r="G33" s="100">
        <v>31.52</v>
      </c>
      <c r="H33" s="100">
        <v>14.63</v>
      </c>
      <c r="I33" s="151" t="s">
        <v>8</v>
      </c>
      <c r="J33" s="100">
        <v>0.63</v>
      </c>
      <c r="K33" s="100">
        <v>54.72</v>
      </c>
      <c r="L33" s="100">
        <v>23.24</v>
      </c>
      <c r="M33" s="100">
        <v>81.8</v>
      </c>
      <c r="N33" s="100">
        <v>10.9</v>
      </c>
      <c r="O33" s="100">
        <v>0</v>
      </c>
      <c r="P33" s="100">
        <v>0.61</v>
      </c>
      <c r="Q33" s="100">
        <v>28.12</v>
      </c>
      <c r="R33" s="6"/>
      <c r="S33" s="6"/>
      <c r="T33" s="156"/>
      <c r="U33" s="6"/>
    </row>
    <row r="34" spans="1:21" customFormat="1">
      <c r="A34" s="163" t="s">
        <v>2376</v>
      </c>
      <c r="B34" s="100">
        <v>8.1300000000000008</v>
      </c>
      <c r="C34" s="100">
        <v>18.86</v>
      </c>
      <c r="D34" s="100">
        <v>17.72</v>
      </c>
      <c r="E34" s="100">
        <v>8.06</v>
      </c>
      <c r="F34" s="152" t="s">
        <v>15</v>
      </c>
      <c r="G34" s="100">
        <v>31.52</v>
      </c>
      <c r="H34" s="100">
        <v>14.63</v>
      </c>
      <c r="I34" s="151" t="s">
        <v>8</v>
      </c>
      <c r="J34" s="100">
        <v>0.63</v>
      </c>
      <c r="K34" s="100">
        <v>75.91</v>
      </c>
      <c r="L34" s="100">
        <v>23.27</v>
      </c>
      <c r="M34" s="100">
        <v>81.459999999999994</v>
      </c>
      <c r="N34" s="100">
        <v>18.399999999999999</v>
      </c>
      <c r="O34" s="100">
        <v>0</v>
      </c>
      <c r="P34" s="100">
        <v>0.61</v>
      </c>
      <c r="Q34" s="100">
        <v>28.14</v>
      </c>
      <c r="R34" s="6"/>
      <c r="S34" s="6"/>
      <c r="T34" s="156"/>
      <c r="U34" s="6"/>
    </row>
    <row r="35" spans="1:21" customFormat="1">
      <c r="A35" s="163" t="s">
        <v>2377</v>
      </c>
      <c r="B35" s="100">
        <v>8.43</v>
      </c>
      <c r="C35" s="100">
        <v>18.850000000000001</v>
      </c>
      <c r="D35" s="100">
        <v>17.96</v>
      </c>
      <c r="E35" s="100">
        <v>8.2899999999999991</v>
      </c>
      <c r="F35" s="152" t="s">
        <v>15</v>
      </c>
      <c r="G35" s="100">
        <v>31.52</v>
      </c>
      <c r="H35" s="100">
        <v>14.63</v>
      </c>
      <c r="I35" s="151" t="s">
        <v>8</v>
      </c>
      <c r="J35" s="100">
        <v>0.48</v>
      </c>
      <c r="K35" s="100">
        <v>73.92</v>
      </c>
      <c r="L35" s="100">
        <v>23.3</v>
      </c>
      <c r="M35" s="100">
        <v>81.27</v>
      </c>
      <c r="N35" s="100">
        <v>38.299999999999997</v>
      </c>
      <c r="O35" s="100">
        <v>0</v>
      </c>
      <c r="P35" s="100">
        <v>0.61</v>
      </c>
      <c r="Q35" s="100">
        <v>28.15</v>
      </c>
      <c r="R35" s="6"/>
      <c r="S35" s="6"/>
      <c r="T35" s="156"/>
      <c r="U35" s="6"/>
    </row>
    <row r="36" spans="1:21" customFormat="1">
      <c r="A36" s="163" t="s">
        <v>2378</v>
      </c>
      <c r="B36" s="100">
        <v>8.68</v>
      </c>
      <c r="C36" s="100">
        <v>18.98</v>
      </c>
      <c r="D36" s="100">
        <v>18.23</v>
      </c>
      <c r="E36" s="100">
        <v>8.1</v>
      </c>
      <c r="F36" s="152" t="s">
        <v>15</v>
      </c>
      <c r="G36" s="100">
        <v>31.27</v>
      </c>
      <c r="H36" s="100">
        <v>17.82</v>
      </c>
      <c r="I36" s="151" t="s">
        <v>8</v>
      </c>
      <c r="J36" s="100">
        <v>0.78</v>
      </c>
      <c r="K36" s="100">
        <v>69.56</v>
      </c>
      <c r="L36" s="100">
        <v>23.55</v>
      </c>
      <c r="M36" s="100">
        <v>80.47</v>
      </c>
      <c r="N36" s="100">
        <v>65.400000000000006</v>
      </c>
      <c r="O36" s="100">
        <v>0</v>
      </c>
      <c r="P36" s="100">
        <v>0.61</v>
      </c>
      <c r="Q36" s="100">
        <v>28.17</v>
      </c>
      <c r="R36" s="6"/>
      <c r="S36" s="6"/>
      <c r="T36" s="156"/>
      <c r="U36" s="6"/>
    </row>
    <row r="37" spans="1:21" customFormat="1">
      <c r="A37" s="163" t="s">
        <v>2379</v>
      </c>
      <c r="B37" s="100">
        <v>8.85</v>
      </c>
      <c r="C37" s="100">
        <v>19</v>
      </c>
      <c r="D37" s="100">
        <v>18.37</v>
      </c>
      <c r="E37" s="100">
        <v>8.11</v>
      </c>
      <c r="F37" s="152" t="s">
        <v>15</v>
      </c>
      <c r="G37" s="100">
        <v>31.18</v>
      </c>
      <c r="H37" s="100">
        <v>17.920000000000002</v>
      </c>
      <c r="I37" s="151" t="s">
        <v>8</v>
      </c>
      <c r="J37" s="100">
        <v>0.95</v>
      </c>
      <c r="K37" s="100">
        <v>63.25</v>
      </c>
      <c r="L37" s="100">
        <v>23.71</v>
      </c>
      <c r="M37" s="100">
        <v>79.2</v>
      </c>
      <c r="N37" s="100">
        <v>70.3</v>
      </c>
      <c r="O37" s="100">
        <v>0</v>
      </c>
      <c r="P37" s="100">
        <v>0.61</v>
      </c>
      <c r="Q37" s="100">
        <v>28.17</v>
      </c>
      <c r="R37" s="6"/>
      <c r="S37" s="6"/>
      <c r="T37" s="156"/>
      <c r="U37" s="6"/>
    </row>
    <row r="38" spans="1:21" customFormat="1">
      <c r="A38" s="163" t="s">
        <v>2380</v>
      </c>
      <c r="B38" s="100">
        <v>8.9499999999999993</v>
      </c>
      <c r="C38" s="100">
        <v>19.23</v>
      </c>
      <c r="D38" s="100">
        <v>18.579999999999998</v>
      </c>
      <c r="E38" s="100">
        <v>8.1199999999999992</v>
      </c>
      <c r="F38" s="152" t="s">
        <v>15</v>
      </c>
      <c r="G38" s="100">
        <v>31.18</v>
      </c>
      <c r="H38" s="100">
        <v>17.920000000000002</v>
      </c>
      <c r="I38" s="151" t="s">
        <v>8</v>
      </c>
      <c r="J38" s="100">
        <v>0.78</v>
      </c>
      <c r="K38" s="100">
        <v>68.099999999999994</v>
      </c>
      <c r="L38" s="100">
        <v>24.09</v>
      </c>
      <c r="M38" s="100">
        <v>76.55</v>
      </c>
      <c r="N38" s="100">
        <v>76.099999999999994</v>
      </c>
      <c r="O38" s="100">
        <v>0</v>
      </c>
      <c r="P38" s="100">
        <v>0.61</v>
      </c>
      <c r="Q38" s="100">
        <v>28.18</v>
      </c>
      <c r="R38" s="6"/>
      <c r="S38" s="6"/>
      <c r="T38" s="156"/>
      <c r="U38" s="6"/>
    </row>
    <row r="39" spans="1:21" customFormat="1">
      <c r="A39" s="163" t="s">
        <v>2381</v>
      </c>
      <c r="B39" s="100">
        <v>8.86</v>
      </c>
      <c r="C39" s="100">
        <v>20.23</v>
      </c>
      <c r="D39" s="100">
        <v>19.03</v>
      </c>
      <c r="E39" s="100">
        <v>8.02</v>
      </c>
      <c r="F39" s="152" t="s">
        <v>15</v>
      </c>
      <c r="G39" s="100">
        <v>31.18</v>
      </c>
      <c r="H39" s="100">
        <v>17.920000000000002</v>
      </c>
      <c r="I39" s="151" t="s">
        <v>8</v>
      </c>
      <c r="J39" s="100">
        <v>0.39</v>
      </c>
      <c r="K39" s="100">
        <v>59.26</v>
      </c>
      <c r="L39" s="100">
        <v>24.16</v>
      </c>
      <c r="M39" s="100">
        <v>76.2</v>
      </c>
      <c r="N39" s="100">
        <v>59.9</v>
      </c>
      <c r="O39" s="100">
        <v>0</v>
      </c>
      <c r="P39" s="100">
        <v>0.62</v>
      </c>
      <c r="Q39" s="100">
        <v>28.17</v>
      </c>
      <c r="R39" s="6"/>
      <c r="S39" s="6"/>
      <c r="T39" s="156"/>
      <c r="U39" s="6"/>
    </row>
    <row r="40" spans="1:21" customFormat="1">
      <c r="A40" s="163" t="s">
        <v>2382</v>
      </c>
      <c r="B40" s="100">
        <v>9.25</v>
      </c>
      <c r="C40" s="100">
        <v>20.81</v>
      </c>
      <c r="D40" s="100">
        <v>19.64</v>
      </c>
      <c r="E40" s="100">
        <v>8.74</v>
      </c>
      <c r="F40" s="152" t="s">
        <v>15</v>
      </c>
      <c r="G40" s="100">
        <v>32.18</v>
      </c>
      <c r="H40" s="100">
        <v>14.58</v>
      </c>
      <c r="I40" s="151" t="s">
        <v>8</v>
      </c>
      <c r="J40" s="100">
        <v>0.18</v>
      </c>
      <c r="K40" s="100">
        <v>198.29</v>
      </c>
      <c r="L40" s="100">
        <v>24.21</v>
      </c>
      <c r="M40" s="100">
        <v>76.290000000000006</v>
      </c>
      <c r="N40" s="100">
        <v>37.200000000000003</v>
      </c>
      <c r="O40" s="100">
        <v>0</v>
      </c>
      <c r="P40" s="100">
        <v>0.63</v>
      </c>
      <c r="Q40" s="100">
        <v>28.15</v>
      </c>
      <c r="R40" s="6"/>
      <c r="S40" s="6"/>
      <c r="T40" s="156"/>
      <c r="U40" s="6"/>
    </row>
    <row r="41" spans="1:21" customFormat="1">
      <c r="A41" s="163" t="s">
        <v>2383</v>
      </c>
      <c r="B41" s="100">
        <v>9.44</v>
      </c>
      <c r="C41" s="100">
        <v>18.239999999999998</v>
      </c>
      <c r="D41" s="100">
        <v>18.45</v>
      </c>
      <c r="E41" s="100">
        <v>7.85</v>
      </c>
      <c r="F41" s="152" t="s">
        <v>15</v>
      </c>
      <c r="G41" s="100">
        <v>32.54</v>
      </c>
      <c r="H41" s="100">
        <v>14.53</v>
      </c>
      <c r="I41" s="151" t="s">
        <v>8</v>
      </c>
      <c r="J41" s="100">
        <v>0.71</v>
      </c>
      <c r="K41" s="100">
        <v>72.28</v>
      </c>
      <c r="L41" s="100">
        <v>24.58</v>
      </c>
      <c r="M41" s="100">
        <v>73.95</v>
      </c>
      <c r="N41" s="100">
        <v>67.900000000000006</v>
      </c>
      <c r="O41" s="100">
        <v>0</v>
      </c>
      <c r="P41" s="100">
        <v>0.62</v>
      </c>
      <c r="Q41" s="100">
        <v>28.17</v>
      </c>
      <c r="R41" s="6"/>
      <c r="S41" s="6"/>
      <c r="T41" s="156"/>
      <c r="U41" s="6"/>
    </row>
    <row r="42" spans="1:21" customFormat="1">
      <c r="A42" s="163" t="s">
        <v>2384</v>
      </c>
      <c r="B42" s="100">
        <v>9.48</v>
      </c>
      <c r="C42" s="100">
        <v>19.28</v>
      </c>
      <c r="D42" s="100">
        <v>19.03</v>
      </c>
      <c r="E42" s="100">
        <v>7.84</v>
      </c>
      <c r="F42" s="152" t="s">
        <v>15</v>
      </c>
      <c r="G42" s="100">
        <v>32.54</v>
      </c>
      <c r="H42" s="100">
        <v>14.53</v>
      </c>
      <c r="I42" s="151" t="s">
        <v>8</v>
      </c>
      <c r="J42" s="100">
        <v>0.74</v>
      </c>
      <c r="K42" s="100">
        <v>67.489999999999995</v>
      </c>
      <c r="L42" s="100">
        <v>24.56</v>
      </c>
      <c r="M42" s="100">
        <v>74.27</v>
      </c>
      <c r="N42" s="100">
        <v>92.3</v>
      </c>
      <c r="O42" s="100">
        <v>0</v>
      </c>
      <c r="P42" s="100">
        <v>0.6</v>
      </c>
      <c r="Q42" s="100">
        <v>28.21</v>
      </c>
      <c r="R42" s="6"/>
      <c r="S42" s="6"/>
      <c r="T42" s="156"/>
      <c r="U42" s="6"/>
    </row>
    <row r="43" spans="1:21" customFormat="1">
      <c r="A43" s="163" t="s">
        <v>2385</v>
      </c>
      <c r="B43" s="100">
        <v>9.86</v>
      </c>
      <c r="C43" s="100">
        <v>19.89</v>
      </c>
      <c r="D43" s="100">
        <v>19.649999999999999</v>
      </c>
      <c r="E43" s="100">
        <v>8.15</v>
      </c>
      <c r="F43" s="152" t="s">
        <v>15</v>
      </c>
      <c r="G43" s="100">
        <v>32.54</v>
      </c>
      <c r="H43" s="100">
        <v>14.53</v>
      </c>
      <c r="I43" s="151" t="s">
        <v>8</v>
      </c>
      <c r="J43" s="100">
        <v>1.1399999999999999</v>
      </c>
      <c r="K43" s="100">
        <v>48.74</v>
      </c>
      <c r="L43" s="100">
        <v>24.61</v>
      </c>
      <c r="M43" s="100">
        <v>74.2</v>
      </c>
      <c r="N43" s="100">
        <v>96.5</v>
      </c>
      <c r="O43" s="100">
        <v>0</v>
      </c>
      <c r="P43" s="100">
        <v>0.6</v>
      </c>
      <c r="Q43" s="100">
        <v>28.21</v>
      </c>
      <c r="R43" s="6"/>
      <c r="S43" s="6"/>
      <c r="T43" s="156"/>
      <c r="U43" s="6"/>
    </row>
    <row r="44" spans="1:21" customFormat="1">
      <c r="A44" s="163" t="s">
        <v>2386</v>
      </c>
      <c r="B44" s="100">
        <v>10.3</v>
      </c>
      <c r="C44" s="100">
        <v>18.11</v>
      </c>
      <c r="D44" s="100">
        <v>19.07</v>
      </c>
      <c r="E44" s="100">
        <v>8.14</v>
      </c>
      <c r="F44" s="152" t="s">
        <v>15</v>
      </c>
      <c r="G44" s="100">
        <v>30.87</v>
      </c>
      <c r="H44" s="100">
        <v>15.65</v>
      </c>
      <c r="I44" s="151" t="s">
        <v>8</v>
      </c>
      <c r="J44" s="100">
        <v>0.67</v>
      </c>
      <c r="K44" s="100">
        <v>53.29</v>
      </c>
      <c r="L44" s="100">
        <v>24.8</v>
      </c>
      <c r="M44" s="100">
        <v>73.02</v>
      </c>
      <c r="N44" s="100">
        <v>90.7</v>
      </c>
      <c r="O44" s="100">
        <v>0</v>
      </c>
      <c r="P44" s="100">
        <v>0.61</v>
      </c>
      <c r="Q44" s="100">
        <v>28.21</v>
      </c>
      <c r="R44" s="6"/>
      <c r="S44" s="6"/>
      <c r="T44" s="156"/>
      <c r="U44" s="6"/>
    </row>
    <row r="45" spans="1:21" customFormat="1">
      <c r="A45" s="163" t="s">
        <v>2387</v>
      </c>
      <c r="B45" s="100">
        <v>10.75</v>
      </c>
      <c r="C45" s="100">
        <v>17.920000000000002</v>
      </c>
      <c r="D45" s="100">
        <v>19.329999999999998</v>
      </c>
      <c r="E45" s="100">
        <v>8.32</v>
      </c>
      <c r="F45" s="152" t="s">
        <v>15</v>
      </c>
      <c r="G45" s="100">
        <v>30.27</v>
      </c>
      <c r="H45" s="100">
        <v>15.67</v>
      </c>
      <c r="I45" s="151" t="s">
        <v>8</v>
      </c>
      <c r="J45" s="100">
        <v>0.23</v>
      </c>
      <c r="K45" s="100">
        <v>185.18</v>
      </c>
      <c r="L45" s="100">
        <v>25.25</v>
      </c>
      <c r="M45" s="100">
        <v>70.75</v>
      </c>
      <c r="N45" s="100">
        <v>125.1</v>
      </c>
      <c r="O45" s="100">
        <v>0</v>
      </c>
      <c r="P45" s="100">
        <v>0.6</v>
      </c>
      <c r="Q45" s="100">
        <v>28.23</v>
      </c>
      <c r="R45" s="6"/>
      <c r="S45" s="6"/>
      <c r="T45" s="156"/>
      <c r="U45" s="6"/>
    </row>
    <row r="46" spans="1:21" customFormat="1">
      <c r="A46" s="163" t="s">
        <v>2388</v>
      </c>
      <c r="B46" s="100">
        <v>10.94</v>
      </c>
      <c r="C46" s="100">
        <v>17.48</v>
      </c>
      <c r="D46" s="100">
        <v>19.260000000000002</v>
      </c>
      <c r="E46" s="100">
        <v>7.99</v>
      </c>
      <c r="F46" s="152" t="s">
        <v>15</v>
      </c>
      <c r="G46" s="100">
        <v>30.27</v>
      </c>
      <c r="H46" s="100">
        <v>15.67</v>
      </c>
      <c r="I46" s="151" t="s">
        <v>8</v>
      </c>
      <c r="J46" s="100">
        <v>0.19</v>
      </c>
      <c r="K46" s="100">
        <v>51.13</v>
      </c>
      <c r="L46" s="100">
        <v>25.79</v>
      </c>
      <c r="M46" s="100">
        <v>68.22</v>
      </c>
      <c r="N46" s="100">
        <v>129.4</v>
      </c>
      <c r="O46" s="100">
        <v>0</v>
      </c>
      <c r="P46" s="100">
        <v>0.6</v>
      </c>
      <c r="Q46" s="100">
        <v>28.26</v>
      </c>
      <c r="R46" s="6"/>
      <c r="S46" s="6"/>
      <c r="T46" s="156"/>
      <c r="U46" s="6"/>
    </row>
    <row r="47" spans="1:21" customFormat="1">
      <c r="A47" s="163" t="s">
        <v>2389</v>
      </c>
      <c r="B47" s="100">
        <v>11.07</v>
      </c>
      <c r="C47" s="100">
        <v>16.95</v>
      </c>
      <c r="D47" s="100">
        <v>19.079999999999998</v>
      </c>
      <c r="E47" s="100">
        <v>8.42</v>
      </c>
      <c r="F47" s="152" t="s">
        <v>15</v>
      </c>
      <c r="G47" s="100">
        <v>30.27</v>
      </c>
      <c r="H47" s="100">
        <v>15.67</v>
      </c>
      <c r="I47" s="151" t="s">
        <v>8</v>
      </c>
      <c r="J47" s="100">
        <v>0.12</v>
      </c>
      <c r="K47" s="100">
        <v>159.99</v>
      </c>
      <c r="L47" s="100">
        <v>26.02</v>
      </c>
      <c r="M47" s="100">
        <v>68.510000000000005</v>
      </c>
      <c r="N47" s="100">
        <v>251.3</v>
      </c>
      <c r="O47" s="100">
        <v>0</v>
      </c>
      <c r="P47" s="100">
        <v>0.59</v>
      </c>
      <c r="Q47" s="100">
        <v>28.23</v>
      </c>
      <c r="R47" s="6"/>
      <c r="S47" s="6"/>
      <c r="T47" s="156"/>
      <c r="U47" s="6"/>
    </row>
    <row r="48" spans="1:21" customFormat="1">
      <c r="A48" s="163" t="s">
        <v>2390</v>
      </c>
      <c r="B48" s="100">
        <v>11.09</v>
      </c>
      <c r="C48" s="100">
        <v>17.23</v>
      </c>
      <c r="D48" s="100">
        <v>19.25</v>
      </c>
      <c r="E48" s="100">
        <v>8.41</v>
      </c>
      <c r="F48" s="152" t="s">
        <v>15</v>
      </c>
      <c r="G48" s="100">
        <v>34.61</v>
      </c>
      <c r="H48" s="100">
        <v>17.28</v>
      </c>
      <c r="I48" s="151" t="s">
        <v>8</v>
      </c>
      <c r="J48" s="100">
        <v>0.64</v>
      </c>
      <c r="K48" s="100">
        <v>61.13</v>
      </c>
      <c r="L48" s="100">
        <v>26.7</v>
      </c>
      <c r="M48" s="100">
        <v>65.94</v>
      </c>
      <c r="N48" s="100">
        <v>247</v>
      </c>
      <c r="O48" s="100">
        <v>0</v>
      </c>
      <c r="P48" s="100">
        <v>0.6</v>
      </c>
      <c r="Q48" s="100">
        <v>28.24</v>
      </c>
      <c r="R48" s="6"/>
      <c r="S48" s="6"/>
      <c r="T48" s="156"/>
      <c r="U48" s="6"/>
    </row>
    <row r="49" spans="1:21" customFormat="1">
      <c r="A49" s="163" t="s">
        <v>2391</v>
      </c>
      <c r="B49" s="100">
        <v>11.1</v>
      </c>
      <c r="C49" s="100">
        <v>17.62</v>
      </c>
      <c r="D49" s="100">
        <v>19.46</v>
      </c>
      <c r="E49" s="100">
        <v>7.77</v>
      </c>
      <c r="F49" s="152" t="s">
        <v>15</v>
      </c>
      <c r="G49" s="100">
        <v>36.18</v>
      </c>
      <c r="H49" s="100">
        <v>17.309999999999999</v>
      </c>
      <c r="I49" s="151" t="s">
        <v>8</v>
      </c>
      <c r="J49" s="100">
        <v>0.53</v>
      </c>
      <c r="K49" s="100">
        <v>60.91</v>
      </c>
      <c r="L49" s="100">
        <v>27.26</v>
      </c>
      <c r="M49" s="100">
        <v>63.64</v>
      </c>
      <c r="N49" s="100">
        <v>400.2</v>
      </c>
      <c r="O49" s="100">
        <v>0</v>
      </c>
      <c r="P49" s="100">
        <v>0.61</v>
      </c>
      <c r="Q49" s="100">
        <v>28.24</v>
      </c>
      <c r="R49" s="6"/>
      <c r="S49" s="6"/>
      <c r="T49" s="156"/>
      <c r="U49" s="6"/>
    </row>
    <row r="50" spans="1:21" customFormat="1">
      <c r="A50" s="163" t="s">
        <v>2392</v>
      </c>
      <c r="B50" s="100">
        <v>11.16</v>
      </c>
      <c r="C50" s="100">
        <v>15.67</v>
      </c>
      <c r="D50" s="100">
        <v>18.489999999999998</v>
      </c>
      <c r="E50" s="100">
        <v>8.7100000000000009</v>
      </c>
      <c r="F50" s="152" t="s">
        <v>15</v>
      </c>
      <c r="G50" s="100">
        <v>36.18</v>
      </c>
      <c r="H50" s="100">
        <v>17.309999999999999</v>
      </c>
      <c r="I50" s="151" t="s">
        <v>8</v>
      </c>
      <c r="J50" s="100">
        <v>0.32</v>
      </c>
      <c r="K50" s="100">
        <v>8.36</v>
      </c>
      <c r="L50" s="100">
        <v>28.34</v>
      </c>
      <c r="M50" s="100">
        <v>59.03</v>
      </c>
      <c r="N50" s="100">
        <v>262.3</v>
      </c>
      <c r="O50" s="100">
        <v>0</v>
      </c>
      <c r="P50" s="100">
        <v>0.59</v>
      </c>
      <c r="Q50" s="100">
        <v>28.23</v>
      </c>
      <c r="R50" s="6"/>
      <c r="S50" s="6"/>
      <c r="T50" s="156"/>
      <c r="U50" s="6"/>
    </row>
    <row r="51" spans="1:21" customFormat="1">
      <c r="A51" s="163" t="s">
        <v>2393</v>
      </c>
      <c r="B51" s="100">
        <v>10.89</v>
      </c>
      <c r="C51" s="100">
        <v>16.66</v>
      </c>
      <c r="D51" s="100">
        <v>18.79</v>
      </c>
      <c r="E51" s="100">
        <v>8.82</v>
      </c>
      <c r="F51" s="152" t="s">
        <v>15</v>
      </c>
      <c r="G51" s="100">
        <v>36.18</v>
      </c>
      <c r="H51" s="100">
        <v>17.309999999999999</v>
      </c>
      <c r="I51" s="151" t="s">
        <v>8</v>
      </c>
      <c r="J51" s="100">
        <v>0.45</v>
      </c>
      <c r="K51" s="100">
        <v>68.45</v>
      </c>
      <c r="L51" s="100">
        <v>28.68</v>
      </c>
      <c r="M51" s="100">
        <v>57.2</v>
      </c>
      <c r="N51" s="100">
        <v>372.3</v>
      </c>
      <c r="O51" s="100">
        <v>0</v>
      </c>
      <c r="P51" s="100">
        <v>0.6</v>
      </c>
      <c r="Q51" s="100">
        <v>28.23</v>
      </c>
      <c r="R51" s="6"/>
      <c r="S51" s="6"/>
      <c r="T51" s="156"/>
      <c r="U51" s="6"/>
    </row>
    <row r="52" spans="1:21" customFormat="1">
      <c r="A52" s="163" t="s">
        <v>2394</v>
      </c>
      <c r="B52" s="100">
        <v>10.44</v>
      </c>
      <c r="C52" s="100">
        <v>16.260000000000002</v>
      </c>
      <c r="D52" s="100">
        <v>18.22</v>
      </c>
      <c r="E52" s="100">
        <v>8.84</v>
      </c>
      <c r="F52" s="152" t="s">
        <v>15</v>
      </c>
      <c r="G52" s="100">
        <v>35.44</v>
      </c>
      <c r="H52" s="100">
        <v>16.71</v>
      </c>
      <c r="I52" s="151" t="s">
        <v>8</v>
      </c>
      <c r="J52" s="100">
        <v>7.0000000000000007E-2</v>
      </c>
      <c r="K52" s="100">
        <v>202.12</v>
      </c>
      <c r="L52" s="100">
        <v>28.99</v>
      </c>
      <c r="M52" s="100">
        <v>55.31</v>
      </c>
      <c r="N52" s="100">
        <v>243.5</v>
      </c>
      <c r="O52" s="100">
        <v>0</v>
      </c>
      <c r="P52" s="100">
        <v>0.6</v>
      </c>
      <c r="Q52" s="100">
        <v>28.21</v>
      </c>
      <c r="R52" s="6"/>
      <c r="S52" s="6"/>
      <c r="T52" s="156"/>
      <c r="U52" s="6"/>
    </row>
    <row r="53" spans="1:21" customFormat="1">
      <c r="A53" s="163" t="s">
        <v>2395</v>
      </c>
      <c r="B53" s="100">
        <v>10.26</v>
      </c>
      <c r="C53" s="100">
        <v>17.62</v>
      </c>
      <c r="D53" s="100">
        <v>18.78</v>
      </c>
      <c r="E53" s="100">
        <v>8.93</v>
      </c>
      <c r="F53" s="152" t="s">
        <v>15</v>
      </c>
      <c r="G53" s="100">
        <v>35.17</v>
      </c>
      <c r="H53" s="100">
        <v>16.690000000000001</v>
      </c>
      <c r="I53" s="151" t="s">
        <v>8</v>
      </c>
      <c r="J53" s="100">
        <v>0.33</v>
      </c>
      <c r="K53" s="100">
        <v>343.17</v>
      </c>
      <c r="L53" s="100">
        <v>30.02</v>
      </c>
      <c r="M53" s="100">
        <v>52.13</v>
      </c>
      <c r="N53" s="100">
        <v>615.5</v>
      </c>
      <c r="O53" s="100">
        <v>0</v>
      </c>
      <c r="P53" s="100">
        <v>0.6</v>
      </c>
      <c r="Q53" s="100">
        <v>28.2</v>
      </c>
      <c r="R53" s="6"/>
      <c r="S53" s="6"/>
      <c r="T53" s="156"/>
      <c r="U53" s="6"/>
    </row>
    <row r="54" spans="1:21" customFormat="1">
      <c r="A54" s="163" t="s">
        <v>2396</v>
      </c>
      <c r="B54" s="100">
        <v>9.7899999999999991</v>
      </c>
      <c r="C54" s="100">
        <v>15.33</v>
      </c>
      <c r="D54" s="100">
        <v>17.21</v>
      </c>
      <c r="E54" s="100">
        <v>9.08</v>
      </c>
      <c r="F54" s="152" t="s">
        <v>15</v>
      </c>
      <c r="G54" s="100">
        <v>35.17</v>
      </c>
      <c r="H54" s="100">
        <v>16.690000000000001</v>
      </c>
      <c r="I54" s="151" t="s">
        <v>8</v>
      </c>
      <c r="J54" s="100">
        <v>0.64</v>
      </c>
      <c r="K54" s="100">
        <v>71.59</v>
      </c>
      <c r="L54" s="100">
        <v>30.96</v>
      </c>
      <c r="M54" s="100">
        <v>48.45</v>
      </c>
      <c r="N54" s="100">
        <v>674</v>
      </c>
      <c r="O54" s="100">
        <v>0</v>
      </c>
      <c r="P54" s="100">
        <v>0.6</v>
      </c>
      <c r="Q54" s="100">
        <v>28.2</v>
      </c>
      <c r="R54" s="6"/>
      <c r="S54" s="6"/>
      <c r="T54" s="156"/>
      <c r="U54" s="6"/>
    </row>
    <row r="55" spans="1:21" customFormat="1">
      <c r="A55" s="163" t="s">
        <v>2397</v>
      </c>
      <c r="B55" s="100">
        <v>9.2100000000000009</v>
      </c>
      <c r="C55" s="100">
        <v>16.36</v>
      </c>
      <c r="D55" s="100">
        <v>17.29</v>
      </c>
      <c r="E55" s="100">
        <v>9.34</v>
      </c>
      <c r="F55" s="152" t="s">
        <v>15</v>
      </c>
      <c r="G55" s="100">
        <v>35.17</v>
      </c>
      <c r="H55" s="100">
        <v>16.690000000000001</v>
      </c>
      <c r="I55" s="151" t="s">
        <v>8</v>
      </c>
      <c r="J55" s="100">
        <v>0.41</v>
      </c>
      <c r="K55" s="100">
        <v>36.31</v>
      </c>
      <c r="L55" s="100">
        <v>31.74</v>
      </c>
      <c r="M55" s="100">
        <v>46.51</v>
      </c>
      <c r="N55" s="100">
        <v>622.29999999999995</v>
      </c>
      <c r="O55" s="100">
        <v>0</v>
      </c>
      <c r="P55" s="100">
        <v>0.61</v>
      </c>
      <c r="Q55" s="100">
        <v>28.18</v>
      </c>
      <c r="R55" s="6"/>
      <c r="S55" s="6"/>
      <c r="T55" s="156"/>
      <c r="U55" s="6"/>
    </row>
    <row r="56" spans="1:21" customFormat="1">
      <c r="A56" s="163" t="s">
        <v>2398</v>
      </c>
      <c r="B56" s="100">
        <v>8.6199999999999992</v>
      </c>
      <c r="C56" s="100">
        <v>18.41</v>
      </c>
      <c r="D56" s="100">
        <v>17.88</v>
      </c>
      <c r="E56" s="100">
        <v>9.9700000000000006</v>
      </c>
      <c r="F56" s="152" t="s">
        <v>15</v>
      </c>
      <c r="G56" s="100">
        <v>37.17</v>
      </c>
      <c r="H56" s="100">
        <v>18.43</v>
      </c>
      <c r="I56" s="151" t="s">
        <v>8</v>
      </c>
      <c r="J56" s="100">
        <v>0.64</v>
      </c>
      <c r="K56" s="100">
        <v>238.46</v>
      </c>
      <c r="L56" s="100">
        <v>32.5</v>
      </c>
      <c r="M56" s="100">
        <v>44.65</v>
      </c>
      <c r="N56" s="100">
        <v>687.9</v>
      </c>
      <c r="O56" s="100">
        <v>0</v>
      </c>
      <c r="P56" s="100">
        <v>0.61</v>
      </c>
      <c r="Q56" s="100">
        <v>28.17</v>
      </c>
      <c r="R56" s="6"/>
      <c r="S56" s="6"/>
      <c r="T56" s="156"/>
      <c r="U56" s="6"/>
    </row>
    <row r="57" spans="1:21" customFormat="1">
      <c r="A57" s="163" t="s">
        <v>2399</v>
      </c>
      <c r="B57" s="100">
        <v>7.76</v>
      </c>
      <c r="C57" s="100">
        <v>16.07</v>
      </c>
      <c r="D57" s="100">
        <v>15.97</v>
      </c>
      <c r="E57" s="100">
        <v>9.98</v>
      </c>
      <c r="F57" s="152" t="s">
        <v>15</v>
      </c>
      <c r="G57" s="100">
        <v>37.9</v>
      </c>
      <c r="H57" s="100">
        <v>18.45</v>
      </c>
      <c r="I57" s="151" t="s">
        <v>8</v>
      </c>
      <c r="J57" s="100">
        <v>0.46</v>
      </c>
      <c r="K57" s="100">
        <v>275.66000000000003</v>
      </c>
      <c r="L57" s="100">
        <v>32.65</v>
      </c>
      <c r="M57" s="100">
        <v>43.5</v>
      </c>
      <c r="N57" s="100">
        <v>693.1</v>
      </c>
      <c r="O57" s="100">
        <v>0</v>
      </c>
      <c r="P57" s="100">
        <v>0.61</v>
      </c>
      <c r="Q57" s="100">
        <v>28.13</v>
      </c>
      <c r="R57" s="6"/>
      <c r="S57" s="6"/>
      <c r="T57" s="156"/>
      <c r="U57" s="6"/>
    </row>
    <row r="58" spans="1:21" customFormat="1">
      <c r="A58" s="163" t="s">
        <v>2400</v>
      </c>
      <c r="B58" s="100">
        <v>6.89</v>
      </c>
      <c r="C58" s="100">
        <v>15.04</v>
      </c>
      <c r="D58" s="100">
        <v>14.73</v>
      </c>
      <c r="E58" s="100">
        <v>10.18</v>
      </c>
      <c r="F58" s="152" t="s">
        <v>15</v>
      </c>
      <c r="G58" s="100">
        <v>37.9</v>
      </c>
      <c r="H58" s="100">
        <v>18.45</v>
      </c>
      <c r="I58" s="151" t="s">
        <v>8</v>
      </c>
      <c r="J58" s="100">
        <v>0.7</v>
      </c>
      <c r="K58" s="100">
        <v>272.82</v>
      </c>
      <c r="L58" s="100">
        <v>33.08</v>
      </c>
      <c r="M58" s="100">
        <v>42.39</v>
      </c>
      <c r="N58" s="100">
        <v>656.6</v>
      </c>
      <c r="O58" s="100">
        <v>0</v>
      </c>
      <c r="P58" s="100">
        <v>0.61</v>
      </c>
      <c r="Q58" s="100">
        <v>28.11</v>
      </c>
      <c r="R58" s="6"/>
      <c r="S58" s="6"/>
      <c r="T58" s="156"/>
      <c r="U58" s="6"/>
    </row>
    <row r="59" spans="1:21" customFormat="1">
      <c r="A59" s="163" t="s">
        <v>2401</v>
      </c>
      <c r="B59" s="100">
        <v>6.28</v>
      </c>
      <c r="C59" s="100">
        <v>15.12</v>
      </c>
      <c r="D59" s="100">
        <v>14.29</v>
      </c>
      <c r="E59" s="100">
        <v>10.78</v>
      </c>
      <c r="F59" s="152" t="s">
        <v>15</v>
      </c>
      <c r="G59" s="100">
        <v>37.9</v>
      </c>
      <c r="H59" s="100">
        <v>18.45</v>
      </c>
      <c r="I59" s="151" t="s">
        <v>8</v>
      </c>
      <c r="J59" s="100">
        <v>0.68</v>
      </c>
      <c r="K59" s="100">
        <v>264.05</v>
      </c>
      <c r="L59" s="100">
        <v>33.07</v>
      </c>
      <c r="M59" s="100">
        <v>42.11</v>
      </c>
      <c r="N59" s="100">
        <v>693.8</v>
      </c>
      <c r="O59" s="100">
        <v>0</v>
      </c>
      <c r="P59" s="100">
        <v>0.61</v>
      </c>
      <c r="Q59" s="100">
        <v>28.08</v>
      </c>
      <c r="R59" s="6"/>
      <c r="S59" s="6"/>
      <c r="T59" s="156"/>
      <c r="U59" s="6"/>
    </row>
    <row r="60" spans="1:21" customFormat="1">
      <c r="A60" s="163" t="s">
        <v>2402</v>
      </c>
      <c r="B60" s="100">
        <v>5.75</v>
      </c>
      <c r="C60" s="100">
        <v>14.8</v>
      </c>
      <c r="D60" s="100">
        <v>13.7</v>
      </c>
      <c r="E60" s="100">
        <v>11.03</v>
      </c>
      <c r="F60" s="152" t="s">
        <v>15</v>
      </c>
      <c r="G60" s="100">
        <v>44.95</v>
      </c>
      <c r="H60" s="100">
        <v>21.51</v>
      </c>
      <c r="I60" s="151" t="s">
        <v>8</v>
      </c>
      <c r="J60" s="100">
        <v>0.8</v>
      </c>
      <c r="K60" s="100">
        <v>320.45</v>
      </c>
      <c r="L60" s="100">
        <v>33.17</v>
      </c>
      <c r="M60" s="100">
        <v>41.1</v>
      </c>
      <c r="N60" s="100">
        <v>606.1</v>
      </c>
      <c r="O60" s="100">
        <v>0</v>
      </c>
      <c r="P60" s="100">
        <v>0.62</v>
      </c>
      <c r="Q60" s="100">
        <v>28.07</v>
      </c>
      <c r="R60" s="6"/>
      <c r="S60" s="6"/>
      <c r="T60" s="156"/>
      <c r="U60" s="6"/>
    </row>
    <row r="61" spans="1:21" customFormat="1">
      <c r="A61" s="163" t="s">
        <v>2403</v>
      </c>
      <c r="B61" s="100">
        <v>5.34</v>
      </c>
      <c r="C61" s="100">
        <v>14.99</v>
      </c>
      <c r="D61" s="100">
        <v>13.47</v>
      </c>
      <c r="E61" s="100">
        <v>10.74</v>
      </c>
      <c r="F61" s="152" t="s">
        <v>15</v>
      </c>
      <c r="G61" s="100">
        <v>47.52</v>
      </c>
      <c r="H61" s="100">
        <v>21.56</v>
      </c>
      <c r="I61" s="151" t="s">
        <v>8</v>
      </c>
      <c r="J61" s="100">
        <v>0.83</v>
      </c>
      <c r="K61" s="100">
        <v>308.49</v>
      </c>
      <c r="L61" s="100">
        <v>33.229999999999997</v>
      </c>
      <c r="M61" s="100">
        <v>41.57</v>
      </c>
      <c r="N61" s="100">
        <v>519.6</v>
      </c>
      <c r="O61" s="100">
        <v>0</v>
      </c>
      <c r="P61" s="100">
        <v>0.62</v>
      </c>
      <c r="Q61" s="100">
        <v>28.04</v>
      </c>
      <c r="R61" s="6"/>
      <c r="S61" s="6"/>
      <c r="T61" s="156"/>
      <c r="U61" s="6"/>
    </row>
    <row r="62" spans="1:21" customFormat="1">
      <c r="A62" s="163" t="s">
        <v>2404</v>
      </c>
      <c r="B62" s="100">
        <v>4.8899999999999997</v>
      </c>
      <c r="C62" s="100">
        <v>15.18</v>
      </c>
      <c r="D62" s="100">
        <v>13.2</v>
      </c>
      <c r="E62" s="100">
        <v>9.4700000000000006</v>
      </c>
      <c r="F62" s="152" t="s">
        <v>15</v>
      </c>
      <c r="G62" s="100">
        <v>47.52</v>
      </c>
      <c r="H62" s="100">
        <v>21.56</v>
      </c>
      <c r="I62" s="151" t="s">
        <v>8</v>
      </c>
      <c r="J62" s="100">
        <v>0.14000000000000001</v>
      </c>
      <c r="K62" s="100">
        <v>227.05</v>
      </c>
      <c r="L62" s="100">
        <v>33.75</v>
      </c>
      <c r="M62" s="100">
        <v>39.6</v>
      </c>
      <c r="N62" s="100">
        <v>447.4</v>
      </c>
      <c r="O62" s="100">
        <v>0</v>
      </c>
      <c r="P62" s="100">
        <v>0.62</v>
      </c>
      <c r="Q62" s="100">
        <v>28.03</v>
      </c>
      <c r="R62" s="6"/>
      <c r="S62" s="6"/>
      <c r="T62" s="156"/>
      <c r="U62" s="6"/>
    </row>
    <row r="63" spans="1:21" customFormat="1">
      <c r="A63" s="163" t="s">
        <v>2405</v>
      </c>
      <c r="B63" s="100">
        <v>4.59</v>
      </c>
      <c r="C63" s="100">
        <v>16.36</v>
      </c>
      <c r="D63" s="100">
        <v>13.58</v>
      </c>
      <c r="E63" s="100">
        <v>9.24</v>
      </c>
      <c r="F63" s="152" t="s">
        <v>15</v>
      </c>
      <c r="G63" s="100">
        <v>47.52</v>
      </c>
      <c r="H63" s="100">
        <v>21.56</v>
      </c>
      <c r="I63" s="151" t="s">
        <v>8</v>
      </c>
      <c r="J63" s="100">
        <v>0.5</v>
      </c>
      <c r="K63" s="100">
        <v>342.57</v>
      </c>
      <c r="L63" s="100">
        <v>33.94</v>
      </c>
      <c r="M63" s="100">
        <v>38.270000000000003</v>
      </c>
      <c r="N63" s="100">
        <v>562</v>
      </c>
      <c r="O63" s="100">
        <v>0</v>
      </c>
      <c r="P63" s="100">
        <v>0.62</v>
      </c>
      <c r="Q63" s="100">
        <v>27.99</v>
      </c>
      <c r="R63" s="6"/>
      <c r="S63" s="6"/>
      <c r="T63" s="156"/>
      <c r="U63" s="6"/>
    </row>
    <row r="64" spans="1:21" customFormat="1">
      <c r="A64" s="163" t="s">
        <v>2406</v>
      </c>
      <c r="B64" s="100">
        <v>4.37</v>
      </c>
      <c r="C64" s="100">
        <v>16.45</v>
      </c>
      <c r="D64" s="100">
        <v>13.45</v>
      </c>
      <c r="E64" s="100">
        <v>9.5399999999999991</v>
      </c>
      <c r="F64" s="152" t="s">
        <v>15</v>
      </c>
      <c r="G64" s="100">
        <v>50.09</v>
      </c>
      <c r="H64" s="100">
        <v>22.61</v>
      </c>
      <c r="I64" s="151" t="s">
        <v>8</v>
      </c>
      <c r="J64" s="100">
        <v>0.49</v>
      </c>
      <c r="K64" s="100">
        <v>259.54000000000002</v>
      </c>
      <c r="L64" s="100">
        <v>34.47</v>
      </c>
      <c r="M64" s="100">
        <v>37.61</v>
      </c>
      <c r="N64" s="100">
        <v>563.20000000000005</v>
      </c>
      <c r="O64" s="100">
        <v>0</v>
      </c>
      <c r="P64" s="100">
        <v>0.61</v>
      </c>
      <c r="Q64" s="100">
        <v>28.01</v>
      </c>
      <c r="R64" s="6"/>
      <c r="S64" s="6"/>
      <c r="T64" s="156"/>
      <c r="U64" s="6"/>
    </row>
    <row r="65" spans="1:21" customFormat="1">
      <c r="A65" s="163" t="s">
        <v>2407</v>
      </c>
      <c r="B65" s="100">
        <v>4.2300000000000004</v>
      </c>
      <c r="C65" s="100">
        <v>16.39</v>
      </c>
      <c r="D65" s="100">
        <v>13.3</v>
      </c>
      <c r="E65" s="100">
        <v>9.3000000000000007</v>
      </c>
      <c r="F65" s="152" t="s">
        <v>15</v>
      </c>
      <c r="G65" s="100">
        <v>51.02</v>
      </c>
      <c r="H65" s="100">
        <v>22.63</v>
      </c>
      <c r="I65" s="151" t="s">
        <v>8</v>
      </c>
      <c r="J65" s="100">
        <v>0.43</v>
      </c>
      <c r="K65" s="100">
        <v>321.48</v>
      </c>
      <c r="L65" s="100">
        <v>34.47</v>
      </c>
      <c r="M65" s="100">
        <v>37.270000000000003</v>
      </c>
      <c r="N65" s="100">
        <v>578.79999999999995</v>
      </c>
      <c r="O65" s="100">
        <v>0</v>
      </c>
      <c r="P65" s="100">
        <v>0.63</v>
      </c>
      <c r="Q65" s="100">
        <v>28</v>
      </c>
      <c r="R65" s="6"/>
      <c r="S65" s="6"/>
      <c r="T65" s="156"/>
      <c r="U65" s="6"/>
    </row>
    <row r="66" spans="1:21" customFormat="1">
      <c r="A66" s="163" t="s">
        <v>2408</v>
      </c>
      <c r="B66" s="100">
        <v>4.1900000000000004</v>
      </c>
      <c r="C66" s="100">
        <v>16.600000000000001</v>
      </c>
      <c r="D66" s="100">
        <v>13.38</v>
      </c>
      <c r="E66" s="100">
        <v>9.64</v>
      </c>
      <c r="F66" s="152" t="s">
        <v>15</v>
      </c>
      <c r="G66" s="100">
        <v>51.02</v>
      </c>
      <c r="H66" s="100">
        <v>22.63</v>
      </c>
      <c r="I66" s="151" t="s">
        <v>8</v>
      </c>
      <c r="J66" s="100">
        <v>0.2</v>
      </c>
      <c r="K66" s="100">
        <v>5.75</v>
      </c>
      <c r="L66" s="100">
        <v>35.22</v>
      </c>
      <c r="M66" s="100">
        <v>30.71</v>
      </c>
      <c r="N66" s="100">
        <v>513.70000000000005</v>
      </c>
      <c r="O66" s="100">
        <v>0</v>
      </c>
      <c r="P66" s="100">
        <v>0.64</v>
      </c>
      <c r="Q66" s="100">
        <v>27.99</v>
      </c>
      <c r="R66" s="6"/>
      <c r="S66" s="6"/>
      <c r="T66" s="156"/>
      <c r="U66" s="6"/>
    </row>
    <row r="67" spans="1:21" customFormat="1">
      <c r="A67" s="163" t="s">
        <v>2409</v>
      </c>
      <c r="B67" s="100">
        <v>4.28</v>
      </c>
      <c r="C67" s="100">
        <v>17.05</v>
      </c>
      <c r="D67" s="100">
        <v>13.69</v>
      </c>
      <c r="E67" s="100">
        <v>9.4600000000000009</v>
      </c>
      <c r="F67" s="152" t="s">
        <v>15</v>
      </c>
      <c r="G67" s="100">
        <v>51.02</v>
      </c>
      <c r="H67" s="100">
        <v>22.63</v>
      </c>
      <c r="I67" s="151" t="s">
        <v>8</v>
      </c>
      <c r="J67" s="100">
        <v>0.67</v>
      </c>
      <c r="K67" s="100">
        <v>342.93</v>
      </c>
      <c r="L67" s="100">
        <v>35.24</v>
      </c>
      <c r="M67" s="100">
        <v>27.62</v>
      </c>
      <c r="N67" s="100">
        <v>515.70000000000005</v>
      </c>
      <c r="O67" s="100">
        <v>0</v>
      </c>
      <c r="P67" s="100">
        <v>0.63</v>
      </c>
      <c r="Q67" s="100">
        <v>28.01</v>
      </c>
      <c r="R67" s="6"/>
      <c r="S67" s="6"/>
      <c r="T67" s="156"/>
      <c r="U67" s="6"/>
    </row>
    <row r="68" spans="1:21" customFormat="1">
      <c r="A68" s="163" t="s">
        <v>2410</v>
      </c>
      <c r="B68" s="100">
        <v>4.3</v>
      </c>
      <c r="C68" s="100">
        <v>17.73</v>
      </c>
      <c r="D68" s="100">
        <v>14.06</v>
      </c>
      <c r="E68" s="100">
        <v>9.4499999999999993</v>
      </c>
      <c r="F68" s="152" t="s">
        <v>15</v>
      </c>
      <c r="G68" s="100">
        <v>48.28</v>
      </c>
      <c r="H68" s="100">
        <v>20.100000000000001</v>
      </c>
      <c r="I68" s="151" t="s">
        <v>8</v>
      </c>
      <c r="J68" s="100">
        <v>0.86</v>
      </c>
      <c r="K68" s="100">
        <v>341.08</v>
      </c>
      <c r="L68" s="100">
        <v>34.86</v>
      </c>
      <c r="M68" s="100">
        <v>27.33</v>
      </c>
      <c r="N68" s="100">
        <v>371.9</v>
      </c>
      <c r="O68" s="100">
        <v>0</v>
      </c>
      <c r="P68" s="100">
        <v>0.62</v>
      </c>
      <c r="Q68" s="100">
        <v>28.01</v>
      </c>
      <c r="R68" s="6"/>
      <c r="S68" s="6"/>
      <c r="T68" s="156"/>
      <c r="U68" s="6"/>
    </row>
    <row r="69" spans="1:21" customFormat="1">
      <c r="A69" s="163" t="s">
        <v>2411</v>
      </c>
      <c r="B69" s="100">
        <v>4.3</v>
      </c>
      <c r="C69" s="100">
        <v>18.11</v>
      </c>
      <c r="D69" s="100">
        <v>14.26</v>
      </c>
      <c r="E69" s="100">
        <v>9.27</v>
      </c>
      <c r="F69" s="152" t="s">
        <v>15</v>
      </c>
      <c r="G69" s="100">
        <v>47.29</v>
      </c>
      <c r="H69" s="100">
        <v>20.059999999999999</v>
      </c>
      <c r="I69" s="151" t="s">
        <v>8</v>
      </c>
      <c r="J69" s="100">
        <v>0.56999999999999995</v>
      </c>
      <c r="K69" s="100">
        <v>25.93</v>
      </c>
      <c r="L69" s="100">
        <v>34.25</v>
      </c>
      <c r="M69" s="100">
        <v>27.86</v>
      </c>
      <c r="N69" s="100">
        <v>255</v>
      </c>
      <c r="O69" s="100">
        <v>0</v>
      </c>
      <c r="P69" s="100">
        <v>0.62</v>
      </c>
      <c r="Q69" s="100">
        <v>28.02</v>
      </c>
      <c r="R69" s="6"/>
      <c r="S69" s="6"/>
      <c r="T69" s="156"/>
      <c r="U69" s="6"/>
    </row>
    <row r="70" spans="1:21" customFormat="1">
      <c r="A70" s="163" t="s">
        <v>2412</v>
      </c>
      <c r="B70" s="100">
        <v>4.32</v>
      </c>
      <c r="C70" s="100">
        <v>18.510000000000002</v>
      </c>
      <c r="D70" s="100">
        <v>14.49</v>
      </c>
      <c r="E70" s="100">
        <v>9.34</v>
      </c>
      <c r="F70" s="152" t="s">
        <v>15</v>
      </c>
      <c r="G70" s="100">
        <v>47.29</v>
      </c>
      <c r="H70" s="100">
        <v>20.059999999999999</v>
      </c>
      <c r="I70" s="151" t="s">
        <v>8</v>
      </c>
      <c r="J70" s="100">
        <v>1.02</v>
      </c>
      <c r="K70" s="100">
        <v>58.79</v>
      </c>
      <c r="L70" s="100">
        <v>34.11</v>
      </c>
      <c r="M70" s="100">
        <v>27.41</v>
      </c>
      <c r="N70" s="100">
        <v>210.7</v>
      </c>
      <c r="O70" s="100">
        <v>0</v>
      </c>
      <c r="P70" s="100">
        <v>0.62</v>
      </c>
      <c r="Q70" s="100">
        <v>28</v>
      </c>
      <c r="R70" s="6"/>
      <c r="S70" s="6"/>
      <c r="T70" s="156"/>
      <c r="U70" s="6"/>
    </row>
    <row r="71" spans="1:21" customFormat="1">
      <c r="A71" s="163" t="s">
        <v>2413</v>
      </c>
      <c r="B71" s="100">
        <v>4.38</v>
      </c>
      <c r="C71" s="100">
        <v>18.22</v>
      </c>
      <c r="D71" s="100">
        <v>14.38</v>
      </c>
      <c r="E71" s="100">
        <v>9.9</v>
      </c>
      <c r="F71" s="152" t="s">
        <v>15</v>
      </c>
      <c r="G71" s="100">
        <v>47.29</v>
      </c>
      <c r="H71" s="100">
        <v>20.059999999999999</v>
      </c>
      <c r="I71" s="151" t="s">
        <v>8</v>
      </c>
      <c r="J71" s="100">
        <v>0.64</v>
      </c>
      <c r="K71" s="100">
        <v>28.68</v>
      </c>
      <c r="L71" s="100">
        <v>34.21</v>
      </c>
      <c r="M71" s="100">
        <v>27.11</v>
      </c>
      <c r="N71" s="100">
        <v>186.3</v>
      </c>
      <c r="O71" s="100">
        <v>0</v>
      </c>
      <c r="P71" s="100">
        <v>0.62</v>
      </c>
      <c r="Q71" s="100">
        <v>28.01</v>
      </c>
      <c r="R71" s="6"/>
      <c r="S71" s="6"/>
      <c r="T71" s="156"/>
      <c r="U71" s="6"/>
    </row>
    <row r="72" spans="1:21" customFormat="1">
      <c r="A72" s="163" t="s">
        <v>2414</v>
      </c>
      <c r="B72" s="100">
        <v>4.46</v>
      </c>
      <c r="C72" s="100">
        <v>18.63</v>
      </c>
      <c r="D72" s="100">
        <v>14.66</v>
      </c>
      <c r="E72" s="100">
        <v>10.57</v>
      </c>
      <c r="F72" s="152" t="s">
        <v>15</v>
      </c>
      <c r="G72" s="100">
        <v>48.25</v>
      </c>
      <c r="H72" s="100">
        <v>20.22</v>
      </c>
      <c r="I72" s="151" t="s">
        <v>8</v>
      </c>
      <c r="J72" s="100">
        <v>1.1000000000000001</v>
      </c>
      <c r="K72" s="100">
        <v>52.09</v>
      </c>
      <c r="L72" s="100">
        <v>33.71</v>
      </c>
      <c r="M72" s="100">
        <v>26.55</v>
      </c>
      <c r="N72" s="100">
        <v>140</v>
      </c>
      <c r="O72" s="100">
        <v>0</v>
      </c>
      <c r="P72" s="100">
        <v>0.61</v>
      </c>
      <c r="Q72" s="100">
        <v>28.01</v>
      </c>
      <c r="R72" s="6"/>
      <c r="S72" s="6"/>
      <c r="T72" s="156"/>
      <c r="U72" s="6"/>
    </row>
    <row r="73" spans="1:21" customFormat="1">
      <c r="A73" s="163" t="s">
        <v>2415</v>
      </c>
      <c r="B73" s="100">
        <v>4.4400000000000004</v>
      </c>
      <c r="C73" s="100">
        <v>18.739999999999998</v>
      </c>
      <c r="D73" s="100">
        <v>14.7</v>
      </c>
      <c r="E73" s="100">
        <v>10.45</v>
      </c>
      <c r="F73" s="152" t="s">
        <v>15</v>
      </c>
      <c r="G73" s="100">
        <v>48.6</v>
      </c>
      <c r="H73" s="100">
        <v>20.22</v>
      </c>
      <c r="I73" s="151" t="s">
        <v>8</v>
      </c>
      <c r="J73" s="100">
        <v>1.1100000000000001</v>
      </c>
      <c r="K73" s="100">
        <v>54.72</v>
      </c>
      <c r="L73" s="100">
        <v>33.69</v>
      </c>
      <c r="M73" s="100">
        <v>25.59</v>
      </c>
      <c r="N73" s="100">
        <v>87.6</v>
      </c>
      <c r="O73" s="100">
        <v>0</v>
      </c>
      <c r="P73" s="100">
        <v>0.61</v>
      </c>
      <c r="Q73" s="100">
        <v>28.01</v>
      </c>
      <c r="R73" s="6"/>
      <c r="S73" s="6"/>
      <c r="T73" s="156"/>
      <c r="U73" s="6"/>
    </row>
    <row r="74" spans="1:21" customFormat="1">
      <c r="A74" s="163" t="s">
        <v>2416</v>
      </c>
      <c r="B74" s="100">
        <v>4.57</v>
      </c>
      <c r="C74" s="100">
        <v>19.28</v>
      </c>
      <c r="D74" s="100">
        <v>15.09</v>
      </c>
      <c r="E74" s="100">
        <v>11.44</v>
      </c>
      <c r="F74" s="152" t="s">
        <v>15</v>
      </c>
      <c r="G74" s="100">
        <v>48.6</v>
      </c>
      <c r="H74" s="100">
        <v>20.22</v>
      </c>
      <c r="I74" s="151" t="s">
        <v>8</v>
      </c>
      <c r="J74" s="100">
        <v>1.1499999999999999</v>
      </c>
      <c r="K74" s="100">
        <v>48.54</v>
      </c>
      <c r="L74" s="100">
        <v>33.4</v>
      </c>
      <c r="M74" s="100">
        <v>25.59</v>
      </c>
      <c r="N74" s="100">
        <v>92</v>
      </c>
      <c r="O74" s="100">
        <v>0</v>
      </c>
      <c r="P74" s="100">
        <v>0.61</v>
      </c>
      <c r="Q74" s="100">
        <v>28</v>
      </c>
      <c r="R74" s="6"/>
      <c r="S74" s="6"/>
      <c r="T74" s="156"/>
      <c r="U74" s="6"/>
    </row>
    <row r="75" spans="1:21" customFormat="1">
      <c r="A75" s="163" t="s">
        <v>2417</v>
      </c>
      <c r="B75" s="100">
        <v>4.7300000000000004</v>
      </c>
      <c r="C75" s="100">
        <v>19.96</v>
      </c>
      <c r="D75" s="100">
        <v>15.58</v>
      </c>
      <c r="E75" s="100">
        <v>10.73</v>
      </c>
      <c r="F75" s="152" t="s">
        <v>15</v>
      </c>
      <c r="G75" s="100">
        <v>48.6</v>
      </c>
      <c r="H75" s="100">
        <v>20.22</v>
      </c>
      <c r="I75" s="151" t="s">
        <v>8</v>
      </c>
      <c r="J75" s="100">
        <v>1.01</v>
      </c>
      <c r="K75" s="100">
        <v>50.6</v>
      </c>
      <c r="L75" s="100">
        <v>33.450000000000003</v>
      </c>
      <c r="M75" s="100">
        <v>25.6</v>
      </c>
      <c r="N75" s="100">
        <v>127.9</v>
      </c>
      <c r="O75" s="100">
        <v>0</v>
      </c>
      <c r="P75" s="100">
        <v>0.61</v>
      </c>
      <c r="Q75" s="100">
        <v>28.02</v>
      </c>
      <c r="R75" s="6"/>
      <c r="S75" s="6"/>
      <c r="T75" s="156"/>
      <c r="U75" s="6"/>
    </row>
    <row r="76" spans="1:21" customFormat="1">
      <c r="A76" s="163" t="s">
        <v>2418</v>
      </c>
      <c r="B76" s="100">
        <v>4.8099999999999996</v>
      </c>
      <c r="C76" s="100">
        <v>20.21</v>
      </c>
      <c r="D76" s="100">
        <v>15.77</v>
      </c>
      <c r="E76" s="100">
        <v>12.46</v>
      </c>
      <c r="F76" s="152" t="s">
        <v>15</v>
      </c>
      <c r="G76" s="100">
        <v>44.58</v>
      </c>
      <c r="H76" s="100">
        <v>19.09</v>
      </c>
      <c r="I76" s="151" t="s">
        <v>8</v>
      </c>
      <c r="J76" s="100">
        <v>1.02</v>
      </c>
      <c r="K76" s="100">
        <v>60.1</v>
      </c>
      <c r="L76" s="100">
        <v>33.520000000000003</v>
      </c>
      <c r="M76" s="100">
        <v>25.42</v>
      </c>
      <c r="N76" s="100">
        <v>92.8</v>
      </c>
      <c r="O76" s="100">
        <v>0</v>
      </c>
      <c r="P76" s="100">
        <v>0.62</v>
      </c>
      <c r="Q76" s="100">
        <v>28.02</v>
      </c>
      <c r="R76" s="6"/>
      <c r="S76" s="6"/>
      <c r="T76" s="156"/>
      <c r="U76" s="6"/>
    </row>
    <row r="77" spans="1:21" customFormat="1">
      <c r="A77" s="163" t="s">
        <v>2419</v>
      </c>
      <c r="B77" s="100">
        <v>4.66</v>
      </c>
      <c r="C77" s="100">
        <v>20.36</v>
      </c>
      <c r="D77" s="100">
        <v>15.72</v>
      </c>
      <c r="E77" s="100">
        <v>12.94</v>
      </c>
      <c r="F77" s="152" t="s">
        <v>15</v>
      </c>
      <c r="G77" s="100">
        <v>43.11</v>
      </c>
      <c r="H77" s="100">
        <v>19.059999999999999</v>
      </c>
      <c r="I77" s="151" t="s">
        <v>8</v>
      </c>
      <c r="J77" s="100">
        <v>0.57999999999999996</v>
      </c>
      <c r="K77" s="100">
        <v>68.91</v>
      </c>
      <c r="L77" s="100">
        <v>33.479999999999997</v>
      </c>
      <c r="M77" s="100">
        <v>25.64</v>
      </c>
      <c r="N77" s="100">
        <v>68.400000000000006</v>
      </c>
      <c r="O77" s="100">
        <v>0</v>
      </c>
      <c r="P77" s="100">
        <v>0.62</v>
      </c>
      <c r="Q77" s="100">
        <v>28.03</v>
      </c>
      <c r="R77" s="6"/>
      <c r="S77" s="6"/>
      <c r="T77" s="156"/>
      <c r="U77" s="6"/>
    </row>
    <row r="78" spans="1:21" customFormat="1">
      <c r="A78" s="163" t="s">
        <v>2420</v>
      </c>
      <c r="B78" s="100">
        <v>4.4000000000000004</v>
      </c>
      <c r="C78" s="100">
        <v>18.98</v>
      </c>
      <c r="D78" s="100">
        <v>14.8</v>
      </c>
      <c r="E78" s="100">
        <v>12.16</v>
      </c>
      <c r="F78" s="152" t="s">
        <v>15</v>
      </c>
      <c r="G78" s="100">
        <v>43.11</v>
      </c>
      <c r="H78" s="100">
        <v>19.059999999999999</v>
      </c>
      <c r="I78" s="151" t="s">
        <v>8</v>
      </c>
      <c r="J78" s="100">
        <v>0.28000000000000003</v>
      </c>
      <c r="K78" s="100">
        <v>175.17</v>
      </c>
      <c r="L78" s="100">
        <v>33.020000000000003</v>
      </c>
      <c r="M78" s="100">
        <v>28.04</v>
      </c>
      <c r="N78" s="100">
        <v>48.3</v>
      </c>
      <c r="O78" s="100">
        <v>0</v>
      </c>
      <c r="P78" s="100">
        <v>0.59</v>
      </c>
      <c r="Q78" s="100">
        <v>28.02</v>
      </c>
      <c r="R78" s="6"/>
      <c r="S78" s="6"/>
      <c r="T78" s="156"/>
      <c r="U78" s="6"/>
    </row>
    <row r="79" spans="1:21" customFormat="1">
      <c r="A79" s="163" t="s">
        <v>2421</v>
      </c>
      <c r="B79" s="100">
        <v>4.29</v>
      </c>
      <c r="C79" s="100">
        <v>18.32</v>
      </c>
      <c r="D79" s="100">
        <v>14.36</v>
      </c>
      <c r="E79" s="100">
        <v>11.69</v>
      </c>
      <c r="F79" s="152" t="s">
        <v>15</v>
      </c>
      <c r="G79" s="100">
        <v>43.11</v>
      </c>
      <c r="H79" s="100">
        <v>19.059999999999999</v>
      </c>
      <c r="I79" s="151" t="s">
        <v>8</v>
      </c>
      <c r="J79" s="100">
        <v>0.32</v>
      </c>
      <c r="K79" s="100">
        <v>169.35</v>
      </c>
      <c r="L79" s="100">
        <v>32.130000000000003</v>
      </c>
      <c r="M79" s="100">
        <v>30.02</v>
      </c>
      <c r="N79" s="100">
        <v>32.5</v>
      </c>
      <c r="O79" s="100">
        <v>0</v>
      </c>
      <c r="P79" s="100">
        <v>0.59</v>
      </c>
      <c r="Q79" s="100">
        <v>28.02</v>
      </c>
      <c r="R79" s="6"/>
      <c r="S79" s="6"/>
      <c r="T79" s="156"/>
      <c r="U79" s="6"/>
    </row>
    <row r="80" spans="1:21" customFormat="1">
      <c r="A80" s="163" t="s">
        <v>2422</v>
      </c>
      <c r="B80" s="100">
        <v>4.2</v>
      </c>
      <c r="C80" s="100">
        <v>18</v>
      </c>
      <c r="D80" s="100">
        <v>14.13</v>
      </c>
      <c r="E80" s="100">
        <v>11.48</v>
      </c>
      <c r="F80" s="152" t="s">
        <v>15</v>
      </c>
      <c r="G80" s="100">
        <v>41.56</v>
      </c>
      <c r="H80" s="100">
        <v>18.260000000000002</v>
      </c>
      <c r="I80" s="151" t="s">
        <v>8</v>
      </c>
      <c r="J80" s="100">
        <v>0.2</v>
      </c>
      <c r="K80" s="100">
        <v>182.58</v>
      </c>
      <c r="L80" s="100">
        <v>31.2</v>
      </c>
      <c r="M80" s="100">
        <v>33.450000000000003</v>
      </c>
      <c r="N80" s="100">
        <v>18.5</v>
      </c>
      <c r="O80" s="100">
        <v>0</v>
      </c>
      <c r="P80" s="100">
        <v>0.59</v>
      </c>
      <c r="Q80" s="100">
        <v>28.02</v>
      </c>
      <c r="R80" s="6"/>
      <c r="S80" s="6"/>
      <c r="T80" s="156"/>
      <c r="U80" s="6"/>
    </row>
    <row r="81" spans="1:21" customFormat="1">
      <c r="A81" s="163" t="s">
        <v>2423</v>
      </c>
      <c r="B81" s="100">
        <v>4.22</v>
      </c>
      <c r="C81" s="100">
        <v>17.75</v>
      </c>
      <c r="D81" s="100">
        <v>14.01</v>
      </c>
      <c r="E81" s="100">
        <v>9.17</v>
      </c>
      <c r="F81" s="152" t="s">
        <v>15</v>
      </c>
      <c r="G81" s="100">
        <v>40.99</v>
      </c>
      <c r="H81" s="100">
        <v>18.239999999999998</v>
      </c>
      <c r="I81" s="151" t="s">
        <v>8</v>
      </c>
      <c r="J81" s="100">
        <v>0.24</v>
      </c>
      <c r="K81" s="100">
        <v>169.12</v>
      </c>
      <c r="L81" s="100">
        <v>30.45</v>
      </c>
      <c r="M81" s="100">
        <v>35.99</v>
      </c>
      <c r="N81" s="100">
        <v>9.6999999999999993</v>
      </c>
      <c r="O81" s="100">
        <v>0</v>
      </c>
      <c r="P81" s="100">
        <v>0.6</v>
      </c>
      <c r="Q81" s="100">
        <v>28.02</v>
      </c>
      <c r="R81" s="6"/>
      <c r="S81" s="6"/>
      <c r="T81" s="156"/>
      <c r="U81" s="6"/>
    </row>
    <row r="82" spans="1:21" customFormat="1">
      <c r="A82" s="163" t="s">
        <v>2424</v>
      </c>
      <c r="B82" s="100">
        <v>4.3</v>
      </c>
      <c r="C82" s="100">
        <v>18.2</v>
      </c>
      <c r="D82" s="100">
        <v>14.31</v>
      </c>
      <c r="E82" s="100">
        <v>11.58</v>
      </c>
      <c r="F82" s="152" t="s">
        <v>15</v>
      </c>
      <c r="G82" s="100">
        <v>40.99</v>
      </c>
      <c r="H82" s="100">
        <v>18.239999999999998</v>
      </c>
      <c r="I82" s="151" t="s">
        <v>8</v>
      </c>
      <c r="J82" s="100">
        <v>0.22</v>
      </c>
      <c r="K82" s="100">
        <v>166.42</v>
      </c>
      <c r="L82" s="100">
        <v>29.73</v>
      </c>
      <c r="M82" s="100">
        <v>38.42</v>
      </c>
      <c r="N82" s="100">
        <v>7</v>
      </c>
      <c r="O82" s="100">
        <v>0</v>
      </c>
      <c r="P82" s="100">
        <v>0.6</v>
      </c>
      <c r="Q82" s="100">
        <v>28.01</v>
      </c>
      <c r="R82" s="6"/>
      <c r="S82" s="6"/>
      <c r="T82" s="156"/>
      <c r="U82" s="6"/>
    </row>
    <row r="83" spans="1:21" customFormat="1">
      <c r="A83" s="163" t="s">
        <v>2425</v>
      </c>
      <c r="B83" s="100">
        <v>4.46</v>
      </c>
      <c r="C83" s="100">
        <v>16.04</v>
      </c>
      <c r="D83" s="100">
        <v>13.31</v>
      </c>
      <c r="E83" s="100">
        <v>13.08</v>
      </c>
      <c r="F83" s="152" t="s">
        <v>15</v>
      </c>
      <c r="G83" s="100">
        <v>40.99</v>
      </c>
      <c r="H83" s="100">
        <v>18.239999999999998</v>
      </c>
      <c r="I83" s="151" t="s">
        <v>8</v>
      </c>
      <c r="J83" s="100">
        <v>0.22</v>
      </c>
      <c r="K83" s="100">
        <v>167.92</v>
      </c>
      <c r="L83" s="100">
        <v>29.1</v>
      </c>
      <c r="M83" s="100">
        <v>38.6</v>
      </c>
      <c r="N83" s="100">
        <v>6.5</v>
      </c>
      <c r="O83" s="100">
        <v>0</v>
      </c>
      <c r="P83" s="100">
        <v>0.62</v>
      </c>
      <c r="Q83" s="100">
        <v>28.04</v>
      </c>
      <c r="R83" s="6"/>
      <c r="S83" s="6"/>
      <c r="T83" s="156"/>
      <c r="U83" s="6"/>
    </row>
    <row r="84" spans="1:21" customFormat="1">
      <c r="A84" s="163" t="s">
        <v>2426</v>
      </c>
      <c r="B84" s="100">
        <v>4.6500000000000004</v>
      </c>
      <c r="C84" s="100">
        <v>16.239999999999998</v>
      </c>
      <c r="D84" s="100">
        <v>13.56</v>
      </c>
      <c r="E84" s="100">
        <v>13.19</v>
      </c>
      <c r="F84" s="152" t="s">
        <v>15</v>
      </c>
      <c r="G84" s="100">
        <v>44.26</v>
      </c>
      <c r="H84" s="100">
        <v>17.82</v>
      </c>
      <c r="I84" s="151" t="s">
        <v>8</v>
      </c>
      <c r="J84" s="100">
        <v>0.2</v>
      </c>
      <c r="K84" s="100">
        <v>177.36</v>
      </c>
      <c r="L84" s="100">
        <v>28.71</v>
      </c>
      <c r="M84" s="100">
        <v>38.409999999999997</v>
      </c>
      <c r="N84" s="100">
        <v>6.5</v>
      </c>
      <c r="O84" s="100">
        <v>0</v>
      </c>
      <c r="P84" s="100">
        <v>0.61</v>
      </c>
      <c r="Q84" s="100">
        <v>28.03</v>
      </c>
      <c r="R84" s="6"/>
      <c r="S84" s="6"/>
      <c r="T84" s="156"/>
      <c r="U84" s="6"/>
    </row>
    <row r="85" spans="1:21" customFormat="1">
      <c r="A85" s="163" t="s">
        <v>2427</v>
      </c>
      <c r="B85" s="100">
        <v>4.96</v>
      </c>
      <c r="C85" s="100">
        <v>18.079999999999998</v>
      </c>
      <c r="D85" s="100">
        <v>14.78</v>
      </c>
      <c r="E85" s="100">
        <v>11.36</v>
      </c>
      <c r="F85" s="152" t="s">
        <v>15</v>
      </c>
      <c r="G85" s="100">
        <v>45.44</v>
      </c>
      <c r="H85" s="100">
        <v>17.809999999999999</v>
      </c>
      <c r="I85" s="151" t="s">
        <v>8</v>
      </c>
      <c r="J85" s="100">
        <v>0.21</v>
      </c>
      <c r="K85" s="100">
        <v>187.02</v>
      </c>
      <c r="L85" s="100">
        <v>28.12</v>
      </c>
      <c r="M85" s="100">
        <v>42.55</v>
      </c>
      <c r="N85" s="100">
        <v>6.5</v>
      </c>
      <c r="O85" s="100">
        <v>0</v>
      </c>
      <c r="P85" s="100">
        <v>0.63</v>
      </c>
      <c r="Q85" s="100">
        <v>28.05</v>
      </c>
      <c r="R85" s="6"/>
      <c r="S85" s="6"/>
      <c r="T85" s="156"/>
      <c r="U85" s="6"/>
    </row>
    <row r="86" spans="1:21" customFormat="1">
      <c r="A86" s="163" t="s">
        <v>2428</v>
      </c>
      <c r="B86" s="100">
        <v>5.31</v>
      </c>
      <c r="C86" s="100">
        <v>18.149999999999999</v>
      </c>
      <c r="D86" s="100">
        <v>15.09</v>
      </c>
      <c r="E86" s="100">
        <v>10.44</v>
      </c>
      <c r="F86" s="152" t="s">
        <v>15</v>
      </c>
      <c r="G86" s="100">
        <v>45.44</v>
      </c>
      <c r="H86" s="100">
        <v>17.809999999999999</v>
      </c>
      <c r="I86" s="151" t="s">
        <v>8</v>
      </c>
      <c r="J86" s="100">
        <v>0.2</v>
      </c>
      <c r="K86" s="100">
        <v>190.8</v>
      </c>
      <c r="L86" s="100">
        <v>27.42</v>
      </c>
      <c r="M86" s="100">
        <v>47.08</v>
      </c>
      <c r="N86" s="100">
        <v>6.7</v>
      </c>
      <c r="O86" s="100">
        <v>0</v>
      </c>
      <c r="P86" s="100">
        <v>0.63</v>
      </c>
      <c r="Q86" s="100">
        <v>28.05</v>
      </c>
      <c r="R86" s="6"/>
      <c r="S86" s="6"/>
      <c r="T86" s="156"/>
      <c r="U86" s="6"/>
    </row>
    <row r="87" spans="1:21" customFormat="1">
      <c r="A87" s="163" t="s">
        <v>2429</v>
      </c>
      <c r="B87" s="100">
        <v>5.59</v>
      </c>
      <c r="C87" s="100">
        <v>17.95</v>
      </c>
      <c r="D87" s="100">
        <v>15.21</v>
      </c>
      <c r="E87" s="100">
        <v>10.31</v>
      </c>
      <c r="F87" s="152" t="s">
        <v>15</v>
      </c>
      <c r="G87" s="100">
        <v>45.44</v>
      </c>
      <c r="H87" s="100">
        <v>17.809999999999999</v>
      </c>
      <c r="I87" s="151" t="s">
        <v>8</v>
      </c>
      <c r="J87" s="100">
        <v>0.21</v>
      </c>
      <c r="K87" s="100">
        <v>178.69</v>
      </c>
      <c r="L87" s="100">
        <v>27.24</v>
      </c>
      <c r="M87" s="100">
        <v>44.77</v>
      </c>
      <c r="N87" s="100">
        <v>6.1</v>
      </c>
      <c r="O87" s="100">
        <v>0</v>
      </c>
      <c r="P87" s="100">
        <v>0.64</v>
      </c>
      <c r="Q87" s="100">
        <v>28.05</v>
      </c>
      <c r="R87" s="6"/>
      <c r="S87" s="6"/>
      <c r="T87" s="156"/>
      <c r="U87" s="6"/>
    </row>
    <row r="88" spans="1:21" customFormat="1">
      <c r="A88" s="163" t="s">
        <v>2430</v>
      </c>
      <c r="B88" s="100">
        <v>5.75</v>
      </c>
      <c r="C88" s="100">
        <v>18.09</v>
      </c>
      <c r="D88" s="100">
        <v>15.42</v>
      </c>
      <c r="E88" s="100">
        <v>9.92</v>
      </c>
      <c r="F88" s="152" t="s">
        <v>15</v>
      </c>
      <c r="G88" s="100">
        <v>50.48</v>
      </c>
      <c r="H88" s="100">
        <v>20.8</v>
      </c>
      <c r="I88" s="151" t="s">
        <v>8</v>
      </c>
      <c r="J88" s="100">
        <v>0.18</v>
      </c>
      <c r="K88" s="100">
        <v>201.1</v>
      </c>
      <c r="L88" s="100">
        <v>26.99</v>
      </c>
      <c r="M88" s="100">
        <v>44.97</v>
      </c>
      <c r="N88" s="100">
        <v>6.3</v>
      </c>
      <c r="O88" s="100">
        <v>0</v>
      </c>
      <c r="P88" s="100">
        <v>0.64</v>
      </c>
      <c r="Q88" s="100">
        <v>28.07</v>
      </c>
      <c r="R88" s="6"/>
      <c r="S88" s="6"/>
      <c r="T88" s="156"/>
      <c r="U88" s="6"/>
    </row>
    <row r="89" spans="1:21" customFormat="1">
      <c r="A89" s="163" t="s">
        <v>2431</v>
      </c>
      <c r="B89" s="100">
        <v>6.12</v>
      </c>
      <c r="C89" s="100">
        <v>18.02</v>
      </c>
      <c r="D89" s="100">
        <v>15.67</v>
      </c>
      <c r="E89" s="100">
        <v>9.49</v>
      </c>
      <c r="F89" s="152" t="s">
        <v>15</v>
      </c>
      <c r="G89" s="100">
        <v>52.31</v>
      </c>
      <c r="H89" s="100">
        <v>20.85</v>
      </c>
      <c r="I89" s="151" t="s">
        <v>8</v>
      </c>
      <c r="J89" s="100">
        <v>0.13</v>
      </c>
      <c r="K89" s="100">
        <v>174.93</v>
      </c>
      <c r="L89" s="100">
        <v>26.8</v>
      </c>
      <c r="M89" s="100">
        <v>47.46</v>
      </c>
      <c r="N89" s="100">
        <v>6.1</v>
      </c>
      <c r="O89" s="100">
        <v>0</v>
      </c>
      <c r="P89" s="100">
        <v>0.65</v>
      </c>
      <c r="Q89" s="100">
        <v>28.07</v>
      </c>
      <c r="R89" s="6"/>
      <c r="S89" s="6"/>
      <c r="T89" s="156"/>
      <c r="U89" s="6"/>
    </row>
    <row r="90" spans="1:21" customFormat="1">
      <c r="A90" s="163" t="s">
        <v>2432</v>
      </c>
      <c r="B90" s="100">
        <v>6.5</v>
      </c>
      <c r="C90" s="100">
        <v>18.16</v>
      </c>
      <c r="D90" s="100">
        <v>16.05</v>
      </c>
      <c r="E90" s="100">
        <v>9.64</v>
      </c>
      <c r="F90" s="152" t="s">
        <v>15</v>
      </c>
      <c r="G90" s="100">
        <v>52.31</v>
      </c>
      <c r="H90" s="100">
        <v>20.85</v>
      </c>
      <c r="I90" s="151" t="s">
        <v>8</v>
      </c>
      <c r="J90" s="100">
        <v>0.14000000000000001</v>
      </c>
      <c r="K90" s="100">
        <v>207.22</v>
      </c>
      <c r="L90" s="100">
        <v>26.57</v>
      </c>
      <c r="M90" s="100">
        <v>50.46</v>
      </c>
      <c r="N90" s="100">
        <v>6.3</v>
      </c>
      <c r="O90" s="100">
        <v>0</v>
      </c>
      <c r="P90" s="100">
        <v>0.66</v>
      </c>
      <c r="Q90" s="100">
        <v>28.08</v>
      </c>
      <c r="R90" s="6"/>
      <c r="S90" s="6"/>
      <c r="T90" s="156"/>
      <c r="U90" s="6"/>
    </row>
    <row r="91" spans="1:21" customFormat="1">
      <c r="A91" s="163" t="s">
        <v>2433</v>
      </c>
      <c r="B91" s="100">
        <v>6.82</v>
      </c>
      <c r="C91" s="100">
        <v>18.059999999999999</v>
      </c>
      <c r="D91" s="100">
        <v>16.260000000000002</v>
      </c>
      <c r="E91" s="100">
        <v>9.49</v>
      </c>
      <c r="F91" s="152" t="s">
        <v>15</v>
      </c>
      <c r="G91" s="100">
        <v>52.31</v>
      </c>
      <c r="H91" s="100">
        <v>20.85</v>
      </c>
      <c r="I91" s="151" t="s">
        <v>8</v>
      </c>
      <c r="J91" s="100">
        <v>0.15</v>
      </c>
      <c r="K91" s="100">
        <v>146.25</v>
      </c>
      <c r="L91" s="100">
        <v>26.22</v>
      </c>
      <c r="M91" s="100">
        <v>52.85</v>
      </c>
      <c r="N91" s="100">
        <v>6.2</v>
      </c>
      <c r="O91" s="100">
        <v>0</v>
      </c>
      <c r="P91" s="100">
        <v>0.66</v>
      </c>
      <c r="Q91" s="100">
        <v>28.1</v>
      </c>
      <c r="R91" s="6"/>
      <c r="S91" s="6"/>
      <c r="T91" s="156"/>
      <c r="U91" s="6"/>
    </row>
    <row r="92" spans="1:21" customFormat="1">
      <c r="A92" s="163" t="s">
        <v>2434</v>
      </c>
      <c r="B92" s="100">
        <v>7.09</v>
      </c>
      <c r="C92" s="100">
        <v>18.41</v>
      </c>
      <c r="D92" s="100">
        <v>16.649999999999999</v>
      </c>
      <c r="E92" s="100">
        <v>9.75</v>
      </c>
      <c r="F92" s="152" t="s">
        <v>15</v>
      </c>
      <c r="G92" s="100">
        <v>60.29</v>
      </c>
      <c r="H92" s="100">
        <v>21.84</v>
      </c>
      <c r="I92" s="151" t="s">
        <v>8</v>
      </c>
      <c r="J92" s="100">
        <v>0.15</v>
      </c>
      <c r="K92" s="100">
        <v>186.73</v>
      </c>
      <c r="L92" s="100">
        <v>26.2</v>
      </c>
      <c r="M92" s="100">
        <v>54.82</v>
      </c>
      <c r="N92" s="100">
        <v>6</v>
      </c>
      <c r="O92" s="100">
        <v>0</v>
      </c>
      <c r="P92" s="100">
        <v>0.68</v>
      </c>
      <c r="Q92" s="100">
        <v>28.09</v>
      </c>
      <c r="R92" s="6"/>
      <c r="S92" s="6"/>
      <c r="T92" s="156"/>
      <c r="U92" s="6"/>
    </row>
    <row r="93" spans="1:21" customFormat="1">
      <c r="A93" s="163" t="s">
        <v>2435</v>
      </c>
      <c r="B93" s="100">
        <v>7.38</v>
      </c>
      <c r="C93" s="100">
        <v>18.45</v>
      </c>
      <c r="D93" s="100">
        <v>16.91</v>
      </c>
      <c r="E93" s="100">
        <v>9.86</v>
      </c>
      <c r="F93" s="152" t="s">
        <v>15</v>
      </c>
      <c r="G93" s="100">
        <v>63.19</v>
      </c>
      <c r="H93" s="100">
        <v>21.85</v>
      </c>
      <c r="I93" s="151" t="s">
        <v>8</v>
      </c>
      <c r="J93" s="100">
        <v>0.14000000000000001</v>
      </c>
      <c r="K93" s="100">
        <v>154.77000000000001</v>
      </c>
      <c r="L93" s="100">
        <v>26.06</v>
      </c>
      <c r="M93" s="100">
        <v>55.98</v>
      </c>
      <c r="N93" s="100">
        <v>6</v>
      </c>
      <c r="O93" s="100">
        <v>0</v>
      </c>
      <c r="P93" s="100">
        <v>0.69</v>
      </c>
      <c r="Q93" s="100">
        <v>28.11</v>
      </c>
      <c r="R93" s="6"/>
      <c r="S93" s="6"/>
      <c r="T93" s="156"/>
      <c r="U93" s="6"/>
    </row>
    <row r="94" spans="1:21" customFormat="1">
      <c r="A94" s="163" t="s">
        <v>2436</v>
      </c>
      <c r="B94" s="100">
        <v>8.75</v>
      </c>
      <c r="C94" s="100">
        <v>20.66</v>
      </c>
      <c r="D94" s="100">
        <v>19.16</v>
      </c>
      <c r="E94" s="100">
        <v>10</v>
      </c>
      <c r="F94" s="152" t="s">
        <v>15</v>
      </c>
      <c r="G94" s="100">
        <v>63.19</v>
      </c>
      <c r="H94" s="100">
        <v>21.85</v>
      </c>
      <c r="I94" s="151" t="s">
        <v>8</v>
      </c>
      <c r="J94" s="100">
        <v>0.55000000000000004</v>
      </c>
      <c r="K94" s="100">
        <v>68.63</v>
      </c>
      <c r="L94" s="100">
        <v>26.46</v>
      </c>
      <c r="M94" s="100">
        <v>57.78</v>
      </c>
      <c r="N94" s="100">
        <v>5.4</v>
      </c>
      <c r="O94" s="100">
        <v>0</v>
      </c>
      <c r="P94" s="100">
        <v>0.73</v>
      </c>
      <c r="Q94" s="100">
        <v>28.13</v>
      </c>
      <c r="R94" s="6"/>
      <c r="S94" s="6"/>
      <c r="T94" s="156"/>
      <c r="U94" s="6"/>
    </row>
    <row r="95" spans="1:21" customFormat="1">
      <c r="A95" s="163" t="s">
        <v>2437</v>
      </c>
      <c r="B95" s="100">
        <v>9.8000000000000007</v>
      </c>
      <c r="C95" s="100">
        <v>21.24</v>
      </c>
      <c r="D95" s="100">
        <v>20.309999999999999</v>
      </c>
      <c r="E95" s="100">
        <v>10.19</v>
      </c>
      <c r="F95" s="152" t="s">
        <v>15</v>
      </c>
      <c r="G95" s="100">
        <v>63.19</v>
      </c>
      <c r="H95" s="100">
        <v>21.85</v>
      </c>
      <c r="I95" s="151" t="s">
        <v>8</v>
      </c>
      <c r="J95" s="100">
        <v>0.25</v>
      </c>
      <c r="K95" s="100">
        <v>87.69</v>
      </c>
      <c r="L95" s="100">
        <v>26.9</v>
      </c>
      <c r="M95" s="100">
        <v>58.31</v>
      </c>
      <c r="N95" s="100">
        <v>5.8</v>
      </c>
      <c r="O95" s="100">
        <v>0</v>
      </c>
      <c r="P95" s="100">
        <v>0.74</v>
      </c>
      <c r="Q95" s="100">
        <v>28.15</v>
      </c>
      <c r="R95" s="6"/>
      <c r="S95" s="6"/>
      <c r="T95" s="156"/>
      <c r="U95" s="6"/>
    </row>
    <row r="96" spans="1:21" customFormat="1">
      <c r="A96" s="163" t="s">
        <v>2438</v>
      </c>
      <c r="B96" s="100">
        <v>9.1199999999999992</v>
      </c>
      <c r="C96" s="100">
        <v>20.21</v>
      </c>
      <c r="D96" s="100">
        <v>19.23</v>
      </c>
      <c r="E96" s="100">
        <v>9.83</v>
      </c>
      <c r="F96" s="152" t="s">
        <v>15</v>
      </c>
      <c r="G96" s="100">
        <v>64.150000000000006</v>
      </c>
      <c r="H96" s="100">
        <v>29.08</v>
      </c>
      <c r="I96" s="151" t="s">
        <v>8</v>
      </c>
      <c r="J96" s="100">
        <v>0.14000000000000001</v>
      </c>
      <c r="K96" s="100">
        <v>173.55</v>
      </c>
      <c r="L96" s="100">
        <v>26.17</v>
      </c>
      <c r="M96" s="100">
        <v>61.7</v>
      </c>
      <c r="N96" s="100">
        <v>6.6</v>
      </c>
      <c r="O96" s="100">
        <v>0</v>
      </c>
      <c r="P96" s="100">
        <v>0.74</v>
      </c>
      <c r="Q96" s="100">
        <v>28.19</v>
      </c>
      <c r="R96" s="6"/>
      <c r="S96" s="6"/>
      <c r="T96" s="156"/>
      <c r="U96" s="6"/>
    </row>
    <row r="97" spans="1:28" customFormat="1">
      <c r="A97" s="163" t="s">
        <v>2439</v>
      </c>
      <c r="B97" s="100">
        <v>9.42</v>
      </c>
      <c r="C97" s="100">
        <v>19.47</v>
      </c>
      <c r="D97" s="100">
        <v>19.07</v>
      </c>
      <c r="E97" s="100">
        <v>9.98</v>
      </c>
      <c r="F97" s="152" t="s">
        <v>15</v>
      </c>
      <c r="G97" s="100">
        <v>64.5</v>
      </c>
      <c r="H97" s="100">
        <v>29.19</v>
      </c>
      <c r="I97" s="151" t="s">
        <v>8</v>
      </c>
      <c r="J97" s="100">
        <v>0.17</v>
      </c>
      <c r="K97" s="100">
        <v>171.49</v>
      </c>
      <c r="L97" s="100">
        <v>25.94</v>
      </c>
      <c r="M97" s="100">
        <v>63.68</v>
      </c>
      <c r="N97" s="100">
        <v>6.3</v>
      </c>
      <c r="O97" s="100">
        <v>0</v>
      </c>
      <c r="P97" s="100">
        <v>0.74</v>
      </c>
      <c r="Q97" s="100">
        <v>28.18</v>
      </c>
      <c r="R97" s="6"/>
      <c r="S97" s="6"/>
      <c r="T97" s="156"/>
      <c r="U97" s="6"/>
    </row>
    <row r="98" spans="1:28" customFormat="1">
      <c r="A98" s="163" t="s">
        <v>2440</v>
      </c>
      <c r="B98" s="100">
        <v>9.7899999999999991</v>
      </c>
      <c r="C98" s="100">
        <v>19.100000000000001</v>
      </c>
      <c r="D98" s="100">
        <v>19.18</v>
      </c>
      <c r="E98" s="100">
        <v>9.77</v>
      </c>
      <c r="F98" s="152" t="s">
        <v>15</v>
      </c>
      <c r="G98" s="100">
        <v>64.5</v>
      </c>
      <c r="H98" s="100">
        <v>29.19</v>
      </c>
      <c r="I98" s="151" t="s">
        <v>8</v>
      </c>
      <c r="J98" s="100">
        <v>0.14000000000000001</v>
      </c>
      <c r="K98" s="100">
        <v>222.32</v>
      </c>
      <c r="L98" s="100">
        <v>25.53</v>
      </c>
      <c r="M98" s="100">
        <v>65.91</v>
      </c>
      <c r="N98" s="100">
        <v>6.4</v>
      </c>
      <c r="O98" s="100">
        <v>0</v>
      </c>
      <c r="P98" s="100">
        <v>0.74</v>
      </c>
      <c r="Q98" s="100">
        <v>28.18</v>
      </c>
      <c r="R98" s="6"/>
      <c r="S98" s="6"/>
      <c r="T98" s="156"/>
      <c r="U98" s="6"/>
    </row>
    <row r="99" spans="1:28" customFormat="1">
      <c r="A99" s="163" t="s">
        <v>2441</v>
      </c>
      <c r="B99" s="100">
        <v>9.85</v>
      </c>
      <c r="C99" s="100">
        <v>18.55</v>
      </c>
      <c r="D99" s="100">
        <v>18.940000000000001</v>
      </c>
      <c r="E99" s="100">
        <v>9.8699999999999992</v>
      </c>
      <c r="F99" s="152" t="s">
        <v>15</v>
      </c>
      <c r="G99" s="100">
        <v>64.5</v>
      </c>
      <c r="H99" s="100">
        <v>29.19</v>
      </c>
      <c r="I99" s="151" t="s">
        <v>8</v>
      </c>
      <c r="J99" s="100">
        <v>0.14000000000000001</v>
      </c>
      <c r="K99" s="100">
        <v>224.13</v>
      </c>
      <c r="L99" s="100">
        <v>25.41</v>
      </c>
      <c r="M99" s="100">
        <v>66.650000000000006</v>
      </c>
      <c r="N99" s="100">
        <v>6.2</v>
      </c>
      <c r="O99" s="100">
        <v>0</v>
      </c>
      <c r="P99" s="100">
        <v>0.74</v>
      </c>
      <c r="Q99" s="100">
        <v>28.19</v>
      </c>
      <c r="R99" s="6"/>
      <c r="S99" s="6"/>
      <c r="T99" s="156"/>
      <c r="U99" s="6"/>
    </row>
    <row r="100" spans="1:28" customFormat="1">
      <c r="A100" s="163" t="s">
        <v>2442</v>
      </c>
      <c r="B100" s="100">
        <v>9.86</v>
      </c>
      <c r="C100" s="100">
        <v>19.39</v>
      </c>
      <c r="D100" s="100">
        <v>19.39</v>
      </c>
      <c r="E100" s="100">
        <v>9.94</v>
      </c>
      <c r="F100" s="152" t="s">
        <v>15</v>
      </c>
      <c r="G100" s="100">
        <v>66.2</v>
      </c>
      <c r="H100" s="100">
        <v>27.69</v>
      </c>
      <c r="I100" s="151" t="s">
        <v>8</v>
      </c>
      <c r="J100" s="100">
        <v>0.11</v>
      </c>
      <c r="K100" s="100">
        <v>217.76</v>
      </c>
      <c r="L100" s="100">
        <v>25.5</v>
      </c>
      <c r="M100" s="100">
        <v>66.14</v>
      </c>
      <c r="N100" s="100">
        <v>6</v>
      </c>
      <c r="O100" s="100">
        <v>0</v>
      </c>
      <c r="P100" s="100">
        <v>0.75</v>
      </c>
      <c r="Q100" s="100">
        <v>28.21</v>
      </c>
      <c r="R100" s="6"/>
      <c r="S100" s="6"/>
      <c r="T100" s="156"/>
      <c r="U100" s="6"/>
      <c r="AB100" s="161"/>
    </row>
    <row r="101" spans="1:28" customFormat="1">
      <c r="A101" s="163" t="s">
        <v>2443</v>
      </c>
      <c r="B101" s="100">
        <v>10.220000000000001</v>
      </c>
      <c r="C101" s="100">
        <v>18.29</v>
      </c>
      <c r="D101" s="100">
        <v>19.11</v>
      </c>
      <c r="E101" s="100">
        <v>9.89</v>
      </c>
      <c r="F101" s="152" t="s">
        <v>15</v>
      </c>
      <c r="G101" s="100">
        <v>66.819999999999993</v>
      </c>
      <c r="H101" s="100">
        <v>27.65</v>
      </c>
      <c r="I101" s="151" t="s">
        <v>8</v>
      </c>
      <c r="J101" s="100">
        <v>0.46</v>
      </c>
      <c r="K101" s="100">
        <v>51.82</v>
      </c>
      <c r="L101" s="100">
        <v>25.78</v>
      </c>
      <c r="M101" s="100">
        <v>65</v>
      </c>
      <c r="N101" s="100">
        <v>5.6</v>
      </c>
      <c r="O101" s="100">
        <v>0</v>
      </c>
      <c r="P101" s="100">
        <v>0.77</v>
      </c>
      <c r="Q101" s="100">
        <v>28.21</v>
      </c>
      <c r="R101" s="6"/>
      <c r="S101" s="6"/>
      <c r="T101" s="156"/>
      <c r="U101" s="6"/>
    </row>
    <row r="102" spans="1:28" customFormat="1">
      <c r="A102" s="163" t="s">
        <v>2444</v>
      </c>
      <c r="B102" s="100">
        <v>11</v>
      </c>
      <c r="C102" s="100">
        <v>19.04</v>
      </c>
      <c r="D102" s="100">
        <v>20.12</v>
      </c>
      <c r="E102" s="100">
        <v>9.6300000000000008</v>
      </c>
      <c r="F102" s="152" t="s">
        <v>15</v>
      </c>
      <c r="G102" s="100">
        <v>66.819999999999993</v>
      </c>
      <c r="H102" s="100">
        <v>27.65</v>
      </c>
      <c r="I102" s="151" t="s">
        <v>8</v>
      </c>
      <c r="J102" s="100">
        <v>0.55000000000000004</v>
      </c>
      <c r="K102" s="100">
        <v>53.37</v>
      </c>
      <c r="L102" s="100">
        <v>26.24</v>
      </c>
      <c r="M102" s="100">
        <v>62.08</v>
      </c>
      <c r="N102" s="100">
        <v>5.7</v>
      </c>
      <c r="O102" s="100">
        <v>0</v>
      </c>
      <c r="P102" s="100">
        <v>0.77</v>
      </c>
      <c r="Q102" s="100">
        <v>28.21</v>
      </c>
      <c r="R102" s="6"/>
      <c r="S102" s="6"/>
      <c r="T102" s="156"/>
      <c r="U102" s="6"/>
    </row>
    <row r="103" spans="1:28" customFormat="1">
      <c r="A103" s="163" t="s">
        <v>2445</v>
      </c>
      <c r="B103" s="100">
        <v>11.91</v>
      </c>
      <c r="C103" s="100">
        <v>20.51</v>
      </c>
      <c r="D103" s="100">
        <v>21.62</v>
      </c>
      <c r="E103" s="100">
        <v>9.42</v>
      </c>
      <c r="F103" s="152" t="s">
        <v>15</v>
      </c>
      <c r="G103" s="100">
        <v>66.819999999999993</v>
      </c>
      <c r="H103" s="100">
        <v>27.65</v>
      </c>
      <c r="I103" s="151" t="s">
        <v>8</v>
      </c>
      <c r="J103" s="100">
        <v>0.5</v>
      </c>
      <c r="K103" s="100">
        <v>36.47</v>
      </c>
      <c r="L103" s="100">
        <v>26.18</v>
      </c>
      <c r="M103" s="100">
        <v>59.74</v>
      </c>
      <c r="N103" s="100">
        <v>6.1</v>
      </c>
      <c r="O103" s="100">
        <v>0</v>
      </c>
      <c r="P103" s="100">
        <v>0.79</v>
      </c>
      <c r="Q103" s="100">
        <v>28.24</v>
      </c>
      <c r="R103" s="6"/>
      <c r="S103" s="6"/>
      <c r="T103" s="156"/>
      <c r="U103" s="6"/>
    </row>
    <row r="104" spans="1:28" customFormat="1">
      <c r="A104" s="163" t="s">
        <v>2446</v>
      </c>
      <c r="B104" s="100">
        <v>13.99</v>
      </c>
      <c r="C104" s="100">
        <v>22.13</v>
      </c>
      <c r="D104" s="100">
        <v>24.13</v>
      </c>
      <c r="E104" s="100">
        <v>9.41</v>
      </c>
      <c r="F104" s="152" t="s">
        <v>15</v>
      </c>
      <c r="G104" s="100">
        <v>66.599999999999994</v>
      </c>
      <c r="H104" s="100">
        <v>24.56</v>
      </c>
      <c r="I104" s="151" t="s">
        <v>8</v>
      </c>
      <c r="J104" s="100">
        <v>0.34</v>
      </c>
      <c r="K104" s="100">
        <v>52.08</v>
      </c>
      <c r="L104" s="100">
        <v>25.96</v>
      </c>
      <c r="M104" s="100">
        <v>58.92</v>
      </c>
      <c r="N104" s="100">
        <v>6.3</v>
      </c>
      <c r="O104" s="100">
        <v>0</v>
      </c>
      <c r="P104" s="100">
        <v>0.79</v>
      </c>
      <c r="Q104" s="100">
        <v>28.25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4.1900000000000004</v>
      </c>
      <c r="C106" s="158">
        <f>MIN(C9:C104)</f>
        <v>14.8</v>
      </c>
      <c r="D106" s="158">
        <f t="shared" ref="D106:Q106" si="0">MIN(D9:D104)</f>
        <v>13.2</v>
      </c>
      <c r="E106" s="158">
        <f t="shared" si="0"/>
        <v>7.77</v>
      </c>
      <c r="F106" s="158">
        <f t="shared" si="0"/>
        <v>0</v>
      </c>
      <c r="G106" s="158">
        <f t="shared" si="0"/>
        <v>30.27</v>
      </c>
      <c r="H106" s="158">
        <f t="shared" si="0"/>
        <v>14.5</v>
      </c>
      <c r="I106" s="158">
        <f t="shared" si="0"/>
        <v>0</v>
      </c>
      <c r="J106" s="158">
        <f t="shared" si="0"/>
        <v>7.0000000000000007E-2</v>
      </c>
      <c r="K106" s="158">
        <f t="shared" si="0"/>
        <v>5.75</v>
      </c>
      <c r="L106" s="158">
        <f t="shared" si="0"/>
        <v>23.24</v>
      </c>
      <c r="M106" s="158">
        <f t="shared" si="0"/>
        <v>25.42</v>
      </c>
      <c r="N106" s="158">
        <f t="shared" si="0"/>
        <v>5.4</v>
      </c>
      <c r="O106" s="158">
        <f t="shared" si="0"/>
        <v>0</v>
      </c>
      <c r="P106" s="158">
        <f t="shared" si="0"/>
        <v>0.59</v>
      </c>
      <c r="Q106" s="158">
        <f t="shared" si="0"/>
        <v>27.99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13.99</v>
      </c>
      <c r="C107" s="157">
        <f t="shared" ref="C107:Q107" si="1">MAX(C9:C104)</f>
        <v>22.13</v>
      </c>
      <c r="D107" s="157">
        <f t="shared" si="1"/>
        <v>24.13</v>
      </c>
      <c r="E107" s="157">
        <f t="shared" si="1"/>
        <v>13.19</v>
      </c>
      <c r="F107" s="157">
        <f t="shared" si="1"/>
        <v>0</v>
      </c>
      <c r="G107" s="157">
        <f t="shared" si="1"/>
        <v>66.819999999999993</v>
      </c>
      <c r="H107" s="157">
        <f t="shared" si="1"/>
        <v>29.19</v>
      </c>
      <c r="I107" s="157">
        <f t="shared" si="1"/>
        <v>0</v>
      </c>
      <c r="J107" s="157">
        <f t="shared" si="1"/>
        <v>1.1499999999999999</v>
      </c>
      <c r="K107" s="157">
        <f t="shared" si="1"/>
        <v>343.17</v>
      </c>
      <c r="L107" s="157">
        <f t="shared" si="1"/>
        <v>35.24</v>
      </c>
      <c r="M107" s="157">
        <f t="shared" si="1"/>
        <v>81.97</v>
      </c>
      <c r="N107" s="157">
        <f t="shared" si="1"/>
        <v>693.8</v>
      </c>
      <c r="O107" s="157">
        <f t="shared" si="1"/>
        <v>0</v>
      </c>
      <c r="P107" s="157">
        <f t="shared" si="1"/>
        <v>0.79</v>
      </c>
      <c r="Q107" s="157">
        <f t="shared" si="1"/>
        <v>28.26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7.2129166666666658</v>
      </c>
      <c r="C108" s="158">
        <f t="shared" ref="C108:Q108" si="2">AVERAGE(C9:C104)</f>
        <v>18.096875000000001</v>
      </c>
      <c r="D108" s="158">
        <f t="shared" si="2"/>
        <v>16.590312500000003</v>
      </c>
      <c r="E108" s="158">
        <f t="shared" si="2"/>
        <v>9.4518750000000047</v>
      </c>
      <c r="F108" s="158" t="e">
        <f t="shared" si="2"/>
        <v>#DIV/0!</v>
      </c>
      <c r="G108" s="158">
        <f t="shared" si="2"/>
        <v>43.946979166666672</v>
      </c>
      <c r="H108" s="158">
        <f t="shared" si="2"/>
        <v>19.332812499999992</v>
      </c>
      <c r="I108" s="158" t="e">
        <f t="shared" si="2"/>
        <v>#DIV/0!</v>
      </c>
      <c r="J108" s="158">
        <f t="shared" si="2"/>
        <v>0.51125000000000032</v>
      </c>
      <c r="K108" s="158">
        <f t="shared" si="2"/>
        <v>127.19510416666667</v>
      </c>
      <c r="L108" s="158">
        <f t="shared" si="2"/>
        <v>27.900416666666661</v>
      </c>
      <c r="M108" s="158">
        <f t="shared" si="2"/>
        <v>56.779895833333342</v>
      </c>
      <c r="N108" s="158">
        <f t="shared" si="2"/>
        <v>143.18541666666667</v>
      </c>
      <c r="O108" s="158">
        <f t="shared" si="2"/>
        <v>0</v>
      </c>
      <c r="P108" s="158">
        <f t="shared" si="2"/>
        <v>0.64385416666666673</v>
      </c>
      <c r="Q108" s="158">
        <f t="shared" si="2"/>
        <v>28.109895833333344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2.3493698669919612</v>
      </c>
      <c r="C109" s="158">
        <f t="shared" ref="C109:Q109" si="3">STDEV(C9:C104)</f>
        <v>1.3968892602003775</v>
      </c>
      <c r="D109" s="158">
        <f t="shared" si="3"/>
        <v>2.1784235986143612</v>
      </c>
      <c r="E109" s="158">
        <f t="shared" si="3"/>
        <v>1.2290735171364546</v>
      </c>
      <c r="F109" s="158" t="e">
        <f t="shared" si="3"/>
        <v>#DIV/0!</v>
      </c>
      <c r="G109" s="158">
        <f t="shared" si="3"/>
        <v>10.389792371137711</v>
      </c>
      <c r="H109" s="158">
        <f t="shared" si="3"/>
        <v>3.6408505955629242</v>
      </c>
      <c r="I109" s="158" t="e">
        <f t="shared" si="3"/>
        <v>#DIV/0!</v>
      </c>
      <c r="J109" s="158">
        <f t="shared" si="3"/>
        <v>0.29679782237816471</v>
      </c>
      <c r="K109" s="158">
        <f t="shared" si="3"/>
        <v>88.419360109052448</v>
      </c>
      <c r="L109" s="158">
        <f t="shared" si="3"/>
        <v>3.8085067986138541</v>
      </c>
      <c r="M109" s="158">
        <f t="shared" si="3"/>
        <v>18.202106731439539</v>
      </c>
      <c r="N109" s="158">
        <f t="shared" si="3"/>
        <v>216.26483617092055</v>
      </c>
      <c r="O109" s="158">
        <f t="shared" si="3"/>
        <v>0</v>
      </c>
      <c r="P109" s="158">
        <f t="shared" si="3"/>
        <v>4.9318936080782916E-2</v>
      </c>
      <c r="Q109" s="158">
        <f t="shared" si="3"/>
        <v>7.5734922649804873E-2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>COUNT(I9:I104)+96</f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I111" sqref="I1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24/03/2025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2447</v>
      </c>
      <c r="B9" s="100">
        <v>12.64</v>
      </c>
      <c r="C9" s="100">
        <v>21.63</v>
      </c>
      <c r="D9" s="100">
        <v>22.79</v>
      </c>
      <c r="E9" s="100">
        <v>9.3800000000000008</v>
      </c>
      <c r="F9" s="152" t="s">
        <v>15</v>
      </c>
      <c r="G9" s="100">
        <v>66.52</v>
      </c>
      <c r="H9" s="100">
        <v>24.51</v>
      </c>
      <c r="I9" s="100">
        <v>0</v>
      </c>
      <c r="J9" s="100">
        <v>0.65</v>
      </c>
      <c r="K9" s="100">
        <v>60.11</v>
      </c>
      <c r="L9" s="100">
        <v>25.99</v>
      </c>
      <c r="M9" s="100">
        <v>57.36</v>
      </c>
      <c r="N9" s="100">
        <v>6.1</v>
      </c>
      <c r="O9" s="100">
        <v>0</v>
      </c>
      <c r="P9" s="100">
        <v>0.79</v>
      </c>
      <c r="Q9" s="100">
        <v>28.26</v>
      </c>
      <c r="R9" s="6"/>
      <c r="S9" s="6"/>
      <c r="T9" s="156"/>
      <c r="U9" s="6"/>
    </row>
    <row r="10" spans="1:21" customFormat="1">
      <c r="A10" s="163" t="s">
        <v>2448</v>
      </c>
      <c r="B10" s="100">
        <v>12.83</v>
      </c>
      <c r="C10" s="100">
        <v>21.78</v>
      </c>
      <c r="D10" s="100">
        <v>23.02</v>
      </c>
      <c r="E10" s="100">
        <v>9.32</v>
      </c>
      <c r="F10" s="152" t="s">
        <v>15</v>
      </c>
      <c r="G10" s="100">
        <v>66.52</v>
      </c>
      <c r="H10" s="100">
        <v>24.51</v>
      </c>
      <c r="I10" s="100">
        <v>0</v>
      </c>
      <c r="J10" s="100">
        <v>1.1599999999999999</v>
      </c>
      <c r="K10" s="100">
        <v>54.99</v>
      </c>
      <c r="L10" s="100">
        <v>25.81</v>
      </c>
      <c r="M10" s="100">
        <v>57.1</v>
      </c>
      <c r="N10" s="100">
        <v>6.2</v>
      </c>
      <c r="O10" s="100">
        <v>0</v>
      </c>
      <c r="P10" s="100">
        <v>0.79</v>
      </c>
      <c r="Q10" s="100">
        <v>28.3</v>
      </c>
      <c r="R10" s="6"/>
      <c r="S10" s="6"/>
      <c r="T10" s="156"/>
      <c r="U10" s="6"/>
    </row>
    <row r="11" spans="1:21" customFormat="1">
      <c r="A11" s="163" t="s">
        <v>2449</v>
      </c>
      <c r="B11" s="100">
        <v>12.87</v>
      </c>
      <c r="C11" s="100">
        <v>21.86</v>
      </c>
      <c r="D11" s="100">
        <v>23.1</v>
      </c>
      <c r="E11" s="100">
        <v>9.2899999999999991</v>
      </c>
      <c r="F11" s="152" t="s">
        <v>15</v>
      </c>
      <c r="G11" s="100">
        <v>66.52</v>
      </c>
      <c r="H11" s="100">
        <v>24.51</v>
      </c>
      <c r="I11" s="100">
        <v>0</v>
      </c>
      <c r="J11" s="100">
        <v>0.83</v>
      </c>
      <c r="K11" s="100">
        <v>65.81</v>
      </c>
      <c r="L11" s="100">
        <v>25.58</v>
      </c>
      <c r="M11" s="100">
        <v>59.52</v>
      </c>
      <c r="N11" s="100">
        <v>6.5</v>
      </c>
      <c r="O11" s="100">
        <v>0</v>
      </c>
      <c r="P11" s="100">
        <v>0.79</v>
      </c>
      <c r="Q11" s="100">
        <v>28.3</v>
      </c>
      <c r="R11" s="6"/>
      <c r="S11" s="6"/>
      <c r="T11" s="156"/>
      <c r="U11" s="6"/>
    </row>
    <row r="12" spans="1:21" customFormat="1">
      <c r="A12" s="163" t="s">
        <v>2450</v>
      </c>
      <c r="B12" s="100">
        <v>12.38</v>
      </c>
      <c r="C12" s="100">
        <v>22.11</v>
      </c>
      <c r="D12" s="100">
        <v>22.83</v>
      </c>
      <c r="E12" s="100">
        <v>9.51</v>
      </c>
      <c r="F12" s="152" t="s">
        <v>15</v>
      </c>
      <c r="G12" s="100">
        <v>67.94</v>
      </c>
      <c r="H12" s="100">
        <v>23.29</v>
      </c>
      <c r="I12" s="100">
        <v>0</v>
      </c>
      <c r="J12" s="100">
        <v>0.54</v>
      </c>
      <c r="K12" s="100">
        <v>74.28</v>
      </c>
      <c r="L12" s="100">
        <v>25.56</v>
      </c>
      <c r="M12" s="100">
        <v>61.97</v>
      </c>
      <c r="N12" s="100">
        <v>6.3</v>
      </c>
      <c r="O12" s="100">
        <v>0</v>
      </c>
      <c r="P12" s="100">
        <v>0.78</v>
      </c>
      <c r="Q12" s="100">
        <v>28.31</v>
      </c>
      <c r="R12" s="6"/>
      <c r="S12" s="6"/>
      <c r="T12" s="156"/>
      <c r="U12" s="6"/>
    </row>
    <row r="13" spans="1:21" customFormat="1">
      <c r="A13" s="163" t="s">
        <v>2451</v>
      </c>
      <c r="B13" s="100">
        <v>11.87</v>
      </c>
      <c r="C13" s="100">
        <v>21.92</v>
      </c>
      <c r="D13" s="100">
        <v>22.32</v>
      </c>
      <c r="E13" s="100">
        <v>9.3699999999999992</v>
      </c>
      <c r="F13" s="152" t="s">
        <v>15</v>
      </c>
      <c r="G13" s="100">
        <v>68.459999999999994</v>
      </c>
      <c r="H13" s="100">
        <v>23.27</v>
      </c>
      <c r="I13" s="151" t="s">
        <v>8</v>
      </c>
      <c r="J13" s="100">
        <v>0.57999999999999996</v>
      </c>
      <c r="K13" s="100">
        <v>75.73</v>
      </c>
      <c r="L13" s="100">
        <v>25.54</v>
      </c>
      <c r="M13" s="100">
        <v>63.91</v>
      </c>
      <c r="N13" s="100">
        <v>6.2</v>
      </c>
      <c r="O13" s="100">
        <v>0</v>
      </c>
      <c r="P13" s="100">
        <v>0.76</v>
      </c>
      <c r="Q13" s="100">
        <v>28.29</v>
      </c>
      <c r="R13" s="6"/>
      <c r="S13" s="6"/>
      <c r="T13" s="156"/>
      <c r="U13" s="6"/>
    </row>
    <row r="14" spans="1:21" customFormat="1">
      <c r="A14" s="163" t="s">
        <v>2452</v>
      </c>
      <c r="B14" s="100">
        <v>11.15</v>
      </c>
      <c r="C14" s="100">
        <v>21.93</v>
      </c>
      <c r="D14" s="100">
        <v>21.75</v>
      </c>
      <c r="E14" s="100">
        <v>9.34</v>
      </c>
      <c r="F14" s="152" t="s">
        <v>15</v>
      </c>
      <c r="G14" s="100">
        <v>68.459999999999994</v>
      </c>
      <c r="H14" s="100">
        <v>23.27</v>
      </c>
      <c r="I14" s="151" t="s">
        <v>8</v>
      </c>
      <c r="J14" s="100">
        <v>0.76</v>
      </c>
      <c r="K14" s="100">
        <v>69.790000000000006</v>
      </c>
      <c r="L14" s="100">
        <v>25.47</v>
      </c>
      <c r="M14" s="100">
        <v>65.94</v>
      </c>
      <c r="N14" s="100">
        <v>6.1</v>
      </c>
      <c r="O14" s="100">
        <v>0</v>
      </c>
      <c r="P14" s="100">
        <v>0.76</v>
      </c>
      <c r="Q14" s="100">
        <v>28.26</v>
      </c>
      <c r="R14" s="6"/>
      <c r="S14" s="6"/>
      <c r="T14" s="156"/>
      <c r="U14" s="6"/>
    </row>
    <row r="15" spans="1:21" customFormat="1">
      <c r="A15" s="163" t="s">
        <v>2453</v>
      </c>
      <c r="B15" s="100">
        <v>10.49</v>
      </c>
      <c r="C15" s="100">
        <v>21.69</v>
      </c>
      <c r="D15" s="100">
        <v>21.1</v>
      </c>
      <c r="E15" s="100">
        <v>9.25</v>
      </c>
      <c r="F15" s="152" t="s">
        <v>15</v>
      </c>
      <c r="G15" s="100">
        <v>68.459999999999994</v>
      </c>
      <c r="H15" s="100">
        <v>23.27</v>
      </c>
      <c r="I15" s="151" t="s">
        <v>8</v>
      </c>
      <c r="J15" s="100">
        <v>0.62</v>
      </c>
      <c r="K15" s="100">
        <v>72.88</v>
      </c>
      <c r="L15" s="100">
        <v>25.31</v>
      </c>
      <c r="M15" s="100">
        <v>67.989999999999995</v>
      </c>
      <c r="N15" s="100">
        <v>6.3</v>
      </c>
      <c r="O15" s="100">
        <v>0</v>
      </c>
      <c r="P15" s="100">
        <v>0.75</v>
      </c>
      <c r="Q15" s="100">
        <v>28.24</v>
      </c>
      <c r="R15" s="6"/>
      <c r="S15" s="6"/>
      <c r="T15" s="156"/>
      <c r="U15" s="6"/>
    </row>
    <row r="16" spans="1:21" customFormat="1">
      <c r="A16" s="163" t="s">
        <v>2454</v>
      </c>
      <c r="B16" s="100">
        <v>9.8699999999999992</v>
      </c>
      <c r="C16" s="100">
        <v>21.84</v>
      </c>
      <c r="D16" s="100">
        <v>20.68</v>
      </c>
      <c r="E16" s="100">
        <v>8.94</v>
      </c>
      <c r="F16" s="152" t="s">
        <v>15</v>
      </c>
      <c r="G16" s="100">
        <v>65.319999999999993</v>
      </c>
      <c r="H16" s="100">
        <v>22.85</v>
      </c>
      <c r="I16" s="151" t="s">
        <v>8</v>
      </c>
      <c r="J16" s="100">
        <v>0.6</v>
      </c>
      <c r="K16" s="100">
        <v>74.37</v>
      </c>
      <c r="L16" s="100">
        <v>25.19</v>
      </c>
      <c r="M16" s="100">
        <v>68.94</v>
      </c>
      <c r="N16" s="100">
        <v>6.3</v>
      </c>
      <c r="O16" s="100">
        <v>0</v>
      </c>
      <c r="P16" s="100">
        <v>0.74</v>
      </c>
      <c r="Q16" s="100">
        <v>28.2</v>
      </c>
      <c r="R16" s="6"/>
      <c r="S16" s="6"/>
      <c r="T16" s="156"/>
      <c r="U16" s="6"/>
    </row>
    <row r="17" spans="1:21" customFormat="1">
      <c r="A17" s="163" t="s">
        <v>2455</v>
      </c>
      <c r="B17" s="100">
        <v>9.36</v>
      </c>
      <c r="C17" s="100">
        <v>21.58</v>
      </c>
      <c r="D17" s="100">
        <v>20.13</v>
      </c>
      <c r="E17" s="100">
        <v>6.69</v>
      </c>
      <c r="F17" s="152" t="s">
        <v>15</v>
      </c>
      <c r="G17" s="100">
        <v>64.11</v>
      </c>
      <c r="H17" s="100">
        <v>22.83</v>
      </c>
      <c r="I17" s="151" t="s">
        <v>8</v>
      </c>
      <c r="J17" s="100">
        <v>0.38</v>
      </c>
      <c r="K17" s="100">
        <v>84.73</v>
      </c>
      <c r="L17" s="100">
        <v>24.98</v>
      </c>
      <c r="M17" s="100">
        <v>70.11</v>
      </c>
      <c r="N17" s="100">
        <v>6.3</v>
      </c>
      <c r="O17" s="100">
        <v>0</v>
      </c>
      <c r="P17" s="100">
        <v>0.74</v>
      </c>
      <c r="Q17" s="100">
        <v>28.2</v>
      </c>
      <c r="R17" s="6"/>
      <c r="S17" s="6"/>
      <c r="T17" s="156"/>
      <c r="U17" s="6"/>
    </row>
    <row r="18" spans="1:21" customFormat="1">
      <c r="A18" s="163" t="s">
        <v>2456</v>
      </c>
      <c r="B18" s="100">
        <v>8.82</v>
      </c>
      <c r="C18" s="100">
        <v>21.46</v>
      </c>
      <c r="D18" s="100">
        <v>19.63</v>
      </c>
      <c r="E18" s="100">
        <v>8.08</v>
      </c>
      <c r="F18" s="152" t="s">
        <v>15</v>
      </c>
      <c r="G18" s="100">
        <v>64.11</v>
      </c>
      <c r="H18" s="100">
        <v>22.83</v>
      </c>
      <c r="I18" s="151" t="s">
        <v>8</v>
      </c>
      <c r="J18" s="100">
        <v>0.26</v>
      </c>
      <c r="K18" s="100">
        <v>111.15</v>
      </c>
      <c r="L18" s="100">
        <v>24.96</v>
      </c>
      <c r="M18" s="100">
        <v>70.989999999999995</v>
      </c>
      <c r="N18" s="100">
        <v>6.2</v>
      </c>
      <c r="O18" s="100">
        <v>0</v>
      </c>
      <c r="P18" s="100">
        <v>0.72</v>
      </c>
      <c r="Q18" s="100">
        <v>28.18</v>
      </c>
      <c r="R18" s="6"/>
      <c r="S18" s="6"/>
      <c r="T18" s="156"/>
      <c r="U18" s="6"/>
    </row>
    <row r="19" spans="1:21" customFormat="1">
      <c r="A19" s="163" t="s">
        <v>2457</v>
      </c>
      <c r="B19" s="100">
        <v>8.39</v>
      </c>
      <c r="C19" s="100">
        <v>21.17</v>
      </c>
      <c r="D19" s="100">
        <v>19.14</v>
      </c>
      <c r="E19" s="100">
        <v>7.78</v>
      </c>
      <c r="F19" s="152" t="s">
        <v>15</v>
      </c>
      <c r="G19" s="100">
        <v>64.11</v>
      </c>
      <c r="H19" s="100">
        <v>22.83</v>
      </c>
      <c r="I19" s="151" t="s">
        <v>8</v>
      </c>
      <c r="J19" s="100">
        <v>0.7</v>
      </c>
      <c r="K19" s="100">
        <v>67.59</v>
      </c>
      <c r="L19" s="100">
        <v>24.8</v>
      </c>
      <c r="M19" s="100">
        <v>72.58</v>
      </c>
      <c r="N19" s="100">
        <v>6.3</v>
      </c>
      <c r="O19" s="100">
        <v>0</v>
      </c>
      <c r="P19" s="100">
        <v>0.71</v>
      </c>
      <c r="Q19" s="100">
        <v>28.16</v>
      </c>
      <c r="R19" s="6"/>
      <c r="S19" s="6"/>
      <c r="T19" s="156"/>
      <c r="U19" s="6"/>
    </row>
    <row r="20" spans="1:21" customFormat="1">
      <c r="A20" s="163" t="s">
        <v>2458</v>
      </c>
      <c r="B20" s="100">
        <v>8.06</v>
      </c>
      <c r="C20" s="100">
        <v>21.41</v>
      </c>
      <c r="D20" s="100">
        <v>19</v>
      </c>
      <c r="E20" s="100">
        <v>7.66</v>
      </c>
      <c r="F20" s="152" t="s">
        <v>15</v>
      </c>
      <c r="G20" s="100">
        <v>57.85</v>
      </c>
      <c r="H20" s="100">
        <v>22.42</v>
      </c>
      <c r="I20" s="151" t="s">
        <v>8</v>
      </c>
      <c r="J20" s="100">
        <v>0.76</v>
      </c>
      <c r="K20" s="100">
        <v>72.36</v>
      </c>
      <c r="L20" s="100">
        <v>24.42</v>
      </c>
      <c r="M20" s="100">
        <v>74.47</v>
      </c>
      <c r="N20" s="100">
        <v>6.4</v>
      </c>
      <c r="O20" s="100">
        <v>0</v>
      </c>
      <c r="P20" s="100">
        <v>0.71</v>
      </c>
      <c r="Q20" s="100">
        <v>28.14</v>
      </c>
      <c r="R20" s="6"/>
      <c r="S20" s="6"/>
      <c r="T20" s="156"/>
      <c r="U20" s="6"/>
    </row>
    <row r="21" spans="1:21" customFormat="1">
      <c r="A21" s="163" t="s">
        <v>2459</v>
      </c>
      <c r="B21" s="100">
        <v>7.77</v>
      </c>
      <c r="C21" s="100">
        <v>21.05</v>
      </c>
      <c r="D21" s="100">
        <v>18.579999999999998</v>
      </c>
      <c r="E21" s="100">
        <v>7.81</v>
      </c>
      <c r="F21" s="152" t="s">
        <v>15</v>
      </c>
      <c r="G21" s="100">
        <v>55.44</v>
      </c>
      <c r="H21" s="100">
        <v>22.4</v>
      </c>
      <c r="I21" s="151" t="s">
        <v>8</v>
      </c>
      <c r="J21" s="100">
        <v>0.64</v>
      </c>
      <c r="K21" s="100">
        <v>73.569999999999993</v>
      </c>
      <c r="L21" s="100">
        <v>24.24</v>
      </c>
      <c r="M21" s="100">
        <v>74.599999999999994</v>
      </c>
      <c r="N21" s="100">
        <v>6.4</v>
      </c>
      <c r="O21" s="100">
        <v>0</v>
      </c>
      <c r="P21" s="100">
        <v>0.7</v>
      </c>
      <c r="Q21" s="100">
        <v>28.14</v>
      </c>
      <c r="R21" s="6"/>
      <c r="S21" s="6"/>
      <c r="T21" s="156"/>
      <c r="U21" s="6"/>
    </row>
    <row r="22" spans="1:21" customFormat="1">
      <c r="A22" s="163" t="s">
        <v>2460</v>
      </c>
      <c r="B22" s="100">
        <v>7.55</v>
      </c>
      <c r="C22" s="100">
        <v>20.77</v>
      </c>
      <c r="D22" s="100">
        <v>18.260000000000002</v>
      </c>
      <c r="E22" s="100">
        <v>7.91</v>
      </c>
      <c r="F22" s="152" t="s">
        <v>15</v>
      </c>
      <c r="G22" s="100">
        <v>55.44</v>
      </c>
      <c r="H22" s="100">
        <v>22.4</v>
      </c>
      <c r="I22" s="151" t="s">
        <v>8</v>
      </c>
      <c r="J22" s="100">
        <v>0.66</v>
      </c>
      <c r="K22" s="100">
        <v>73.63</v>
      </c>
      <c r="L22" s="100">
        <v>24.01</v>
      </c>
      <c r="M22" s="100">
        <v>75.680000000000007</v>
      </c>
      <c r="N22" s="100">
        <v>6.4</v>
      </c>
      <c r="O22" s="100">
        <v>0</v>
      </c>
      <c r="P22" s="100">
        <v>0.69</v>
      </c>
      <c r="Q22" s="100">
        <v>28.15</v>
      </c>
      <c r="R22" s="6"/>
      <c r="S22" s="6"/>
      <c r="T22" s="156"/>
      <c r="U22" s="6"/>
    </row>
    <row r="23" spans="1:21" customFormat="1">
      <c r="A23" s="163" t="s">
        <v>2461</v>
      </c>
      <c r="B23" s="100">
        <v>7.45</v>
      </c>
      <c r="C23" s="100">
        <v>20.65</v>
      </c>
      <c r="D23" s="100">
        <v>18.11</v>
      </c>
      <c r="E23" s="100">
        <v>7.73</v>
      </c>
      <c r="F23" s="152" t="s">
        <v>15</v>
      </c>
      <c r="G23" s="100">
        <v>55.44</v>
      </c>
      <c r="H23" s="100">
        <v>22.4</v>
      </c>
      <c r="I23" s="151" t="s">
        <v>8</v>
      </c>
      <c r="J23" s="100">
        <v>0.49</v>
      </c>
      <c r="K23" s="100">
        <v>69.2</v>
      </c>
      <c r="L23" s="100">
        <v>23.82</v>
      </c>
      <c r="M23" s="100">
        <v>76.75</v>
      </c>
      <c r="N23" s="100">
        <v>6.4</v>
      </c>
      <c r="O23" s="100">
        <v>0</v>
      </c>
      <c r="P23" s="100">
        <v>0.69</v>
      </c>
      <c r="Q23" s="100">
        <v>28.14</v>
      </c>
      <c r="R23" s="6"/>
      <c r="S23" s="6"/>
      <c r="T23" s="156"/>
      <c r="U23" s="6"/>
    </row>
    <row r="24" spans="1:21" customFormat="1">
      <c r="A24" s="163" t="s">
        <v>2462</v>
      </c>
      <c r="B24" s="100">
        <v>7.57</v>
      </c>
      <c r="C24" s="100">
        <v>20.94</v>
      </c>
      <c r="D24" s="100">
        <v>18.36</v>
      </c>
      <c r="E24" s="100">
        <v>7.87</v>
      </c>
      <c r="F24" s="152" t="s">
        <v>15</v>
      </c>
      <c r="G24" s="100">
        <v>46.89</v>
      </c>
      <c r="H24" s="100">
        <v>20.97</v>
      </c>
      <c r="I24" s="151" t="s">
        <v>8</v>
      </c>
      <c r="J24" s="100">
        <v>0.59</v>
      </c>
      <c r="K24" s="100">
        <v>72.58</v>
      </c>
      <c r="L24" s="100">
        <v>23.69</v>
      </c>
      <c r="M24" s="100">
        <v>77.239999999999995</v>
      </c>
      <c r="N24" s="100">
        <v>6.3</v>
      </c>
      <c r="O24" s="100">
        <v>0</v>
      </c>
      <c r="P24" s="100">
        <v>0.68</v>
      </c>
      <c r="Q24" s="100">
        <v>28.12</v>
      </c>
      <c r="R24" s="6"/>
      <c r="S24" s="6"/>
      <c r="T24" s="156"/>
      <c r="U24" s="6"/>
    </row>
    <row r="25" spans="1:21" customFormat="1">
      <c r="A25" s="163" t="s">
        <v>2463</v>
      </c>
      <c r="B25" s="100">
        <v>7.76</v>
      </c>
      <c r="C25" s="100">
        <v>21.16</v>
      </c>
      <c r="D25" s="100">
        <v>18.63</v>
      </c>
      <c r="E25" s="100">
        <v>7.86</v>
      </c>
      <c r="F25" s="152" t="s">
        <v>15</v>
      </c>
      <c r="G25" s="100">
        <v>43.78</v>
      </c>
      <c r="H25" s="100">
        <v>20.92</v>
      </c>
      <c r="I25" s="151" t="s">
        <v>8</v>
      </c>
      <c r="J25" s="100">
        <v>0.42</v>
      </c>
      <c r="K25" s="100">
        <v>69.87</v>
      </c>
      <c r="L25" s="100">
        <v>23.53</v>
      </c>
      <c r="M25" s="100">
        <v>77.63</v>
      </c>
      <c r="N25" s="100">
        <v>6.3</v>
      </c>
      <c r="O25" s="100">
        <v>0</v>
      </c>
      <c r="P25" s="100">
        <v>0.67</v>
      </c>
      <c r="Q25" s="100">
        <v>28.13</v>
      </c>
      <c r="R25" s="6"/>
      <c r="S25" s="6"/>
      <c r="T25" s="156"/>
      <c r="U25" s="6"/>
    </row>
    <row r="26" spans="1:21" customFormat="1">
      <c r="A26" s="163" t="s">
        <v>2464</v>
      </c>
      <c r="B26" s="100">
        <v>8.2200000000000006</v>
      </c>
      <c r="C26" s="100">
        <v>20.73</v>
      </c>
      <c r="D26" s="100">
        <v>18.78</v>
      </c>
      <c r="E26" s="100">
        <v>7.86</v>
      </c>
      <c r="F26" s="152" t="s">
        <v>15</v>
      </c>
      <c r="G26" s="100">
        <v>43.78</v>
      </c>
      <c r="H26" s="100">
        <v>20.92</v>
      </c>
      <c r="I26" s="151" t="s">
        <v>8</v>
      </c>
      <c r="J26" s="100">
        <v>0.37</v>
      </c>
      <c r="K26" s="100">
        <v>71.510000000000005</v>
      </c>
      <c r="L26" s="100">
        <v>23.48</v>
      </c>
      <c r="M26" s="100">
        <v>77.599999999999994</v>
      </c>
      <c r="N26" s="100">
        <v>6.2</v>
      </c>
      <c r="O26" s="100">
        <v>0</v>
      </c>
      <c r="P26" s="100">
        <v>0.66</v>
      </c>
      <c r="Q26" s="100">
        <v>28.16</v>
      </c>
      <c r="R26" s="6"/>
      <c r="S26" s="6"/>
      <c r="T26" s="156"/>
      <c r="U26" s="6"/>
    </row>
    <row r="27" spans="1:21" customFormat="1">
      <c r="A27" s="163" t="s">
        <v>2465</v>
      </c>
      <c r="B27" s="100">
        <v>8.65</v>
      </c>
      <c r="C27" s="100">
        <v>20.03</v>
      </c>
      <c r="D27" s="100">
        <v>18.760000000000002</v>
      </c>
      <c r="E27" s="100">
        <v>7.85</v>
      </c>
      <c r="F27" s="152" t="s">
        <v>15</v>
      </c>
      <c r="G27" s="100">
        <v>43.78</v>
      </c>
      <c r="H27" s="100">
        <v>20.92</v>
      </c>
      <c r="I27" s="151" t="s">
        <v>8</v>
      </c>
      <c r="J27" s="100">
        <v>0.13</v>
      </c>
      <c r="K27" s="100">
        <v>126.29</v>
      </c>
      <c r="L27" s="100">
        <v>23.31</v>
      </c>
      <c r="M27" s="100">
        <v>78.3</v>
      </c>
      <c r="N27" s="100">
        <v>6.3</v>
      </c>
      <c r="O27" s="100">
        <v>0</v>
      </c>
      <c r="P27" s="100">
        <v>0.66</v>
      </c>
      <c r="Q27" s="100">
        <v>28.18</v>
      </c>
      <c r="R27" s="6"/>
      <c r="S27" s="6"/>
      <c r="T27" s="156"/>
      <c r="U27" s="6"/>
    </row>
    <row r="28" spans="1:21" customFormat="1">
      <c r="A28" s="163" t="s">
        <v>2466</v>
      </c>
      <c r="B28" s="100">
        <v>8.98</v>
      </c>
      <c r="C28" s="100">
        <v>20.420000000000002</v>
      </c>
      <c r="D28" s="100">
        <v>19.23</v>
      </c>
      <c r="E28" s="100">
        <v>8.15</v>
      </c>
      <c r="F28" s="152" t="s">
        <v>15</v>
      </c>
      <c r="G28" s="100">
        <v>37.159999999999997</v>
      </c>
      <c r="H28" s="100">
        <v>18.61</v>
      </c>
      <c r="I28" s="151" t="s">
        <v>8</v>
      </c>
      <c r="J28" s="100">
        <v>0.09</v>
      </c>
      <c r="K28" s="100">
        <v>159.02000000000001</v>
      </c>
      <c r="L28" s="100">
        <v>22.85</v>
      </c>
      <c r="M28" s="100">
        <v>80.91</v>
      </c>
      <c r="N28" s="100">
        <v>6.4</v>
      </c>
      <c r="O28" s="100">
        <v>0</v>
      </c>
      <c r="P28" s="100">
        <v>0.67</v>
      </c>
      <c r="Q28" s="100">
        <v>28.18</v>
      </c>
      <c r="R28" s="6"/>
      <c r="S28" s="6"/>
      <c r="T28" s="156"/>
      <c r="U28" s="6"/>
    </row>
    <row r="29" spans="1:21" customFormat="1">
      <c r="A29" s="163" t="s">
        <v>2467</v>
      </c>
      <c r="B29" s="100">
        <v>9.48</v>
      </c>
      <c r="C29" s="100">
        <v>19.46</v>
      </c>
      <c r="D29" s="100">
        <v>19.12</v>
      </c>
      <c r="E29" s="100">
        <v>8.02</v>
      </c>
      <c r="F29" s="152" t="s">
        <v>15</v>
      </c>
      <c r="G29" s="100">
        <v>34.75</v>
      </c>
      <c r="H29" s="100">
        <v>18.489999999999998</v>
      </c>
      <c r="I29" s="151" t="s">
        <v>8</v>
      </c>
      <c r="J29" s="100">
        <v>7.0000000000000007E-2</v>
      </c>
      <c r="K29" s="100">
        <v>170.63</v>
      </c>
      <c r="L29" s="100">
        <v>22.9</v>
      </c>
      <c r="M29" s="100">
        <v>80.77</v>
      </c>
      <c r="N29" s="100">
        <v>6.2</v>
      </c>
      <c r="O29" s="100">
        <v>0</v>
      </c>
      <c r="P29" s="100">
        <v>0.66</v>
      </c>
      <c r="Q29" s="100">
        <v>28.2</v>
      </c>
      <c r="R29" s="6"/>
      <c r="S29" s="6"/>
      <c r="T29" s="156"/>
      <c r="U29" s="6"/>
    </row>
    <row r="30" spans="1:21" customFormat="1">
      <c r="A30" s="163" t="s">
        <v>2468</v>
      </c>
      <c r="B30" s="100">
        <v>9.8699999999999992</v>
      </c>
      <c r="C30" s="100">
        <v>19.18</v>
      </c>
      <c r="D30" s="100">
        <v>19.29</v>
      </c>
      <c r="E30" s="100">
        <v>8.32</v>
      </c>
      <c r="F30" s="152" t="s">
        <v>15</v>
      </c>
      <c r="G30" s="100">
        <v>34.75</v>
      </c>
      <c r="H30" s="100">
        <v>18.489999999999998</v>
      </c>
      <c r="I30" s="151" t="s">
        <v>8</v>
      </c>
      <c r="J30" s="100">
        <v>0.55000000000000004</v>
      </c>
      <c r="K30" s="100">
        <v>72.760000000000005</v>
      </c>
      <c r="L30" s="100">
        <v>22.89</v>
      </c>
      <c r="M30" s="100">
        <v>81.28</v>
      </c>
      <c r="N30" s="100">
        <v>5.9</v>
      </c>
      <c r="O30" s="100">
        <v>0</v>
      </c>
      <c r="P30" s="100">
        <v>0.66</v>
      </c>
      <c r="Q30" s="100">
        <v>28.21</v>
      </c>
      <c r="R30" s="6"/>
      <c r="S30" s="6"/>
      <c r="T30" s="156"/>
      <c r="U30" s="6"/>
    </row>
    <row r="31" spans="1:21" customFormat="1">
      <c r="A31" s="163" t="s">
        <v>2469</v>
      </c>
      <c r="B31" s="100">
        <v>10.44</v>
      </c>
      <c r="C31" s="100">
        <v>19.03</v>
      </c>
      <c r="D31" s="100">
        <v>19.670000000000002</v>
      </c>
      <c r="E31" s="100">
        <v>8.66</v>
      </c>
      <c r="F31" s="152" t="s">
        <v>15</v>
      </c>
      <c r="G31" s="100">
        <v>34.75</v>
      </c>
      <c r="H31" s="100">
        <v>18.489999999999998</v>
      </c>
      <c r="I31" s="151" t="s">
        <v>8</v>
      </c>
      <c r="J31" s="100">
        <v>0.95</v>
      </c>
      <c r="K31" s="100">
        <v>57.56</v>
      </c>
      <c r="L31" s="100">
        <v>22.9</v>
      </c>
      <c r="M31" s="100">
        <v>80.709999999999994</v>
      </c>
      <c r="N31" s="100">
        <v>6.2</v>
      </c>
      <c r="O31" s="100">
        <v>0</v>
      </c>
      <c r="P31" s="100">
        <v>0.66</v>
      </c>
      <c r="Q31" s="100">
        <v>28.22</v>
      </c>
      <c r="R31" s="6"/>
      <c r="S31" s="6"/>
      <c r="T31" s="156"/>
      <c r="U31" s="6"/>
    </row>
    <row r="32" spans="1:21" customFormat="1">
      <c r="A32" s="163" t="s">
        <v>2470</v>
      </c>
      <c r="B32" s="100">
        <v>11.04</v>
      </c>
      <c r="C32" s="100">
        <v>18.86</v>
      </c>
      <c r="D32" s="100">
        <v>20.059999999999999</v>
      </c>
      <c r="E32" s="100">
        <v>8.36</v>
      </c>
      <c r="F32" s="152" t="s">
        <v>15</v>
      </c>
      <c r="G32" s="100">
        <v>36.76</v>
      </c>
      <c r="H32" s="100">
        <v>18.899999999999999</v>
      </c>
      <c r="I32" s="151" t="s">
        <v>8</v>
      </c>
      <c r="J32" s="100">
        <v>0.65</v>
      </c>
      <c r="K32" s="100">
        <v>52.78</v>
      </c>
      <c r="L32" s="100">
        <v>22.83</v>
      </c>
      <c r="M32" s="100">
        <v>80</v>
      </c>
      <c r="N32" s="100">
        <v>7.6</v>
      </c>
      <c r="O32" s="100">
        <v>0</v>
      </c>
      <c r="P32" s="100">
        <v>0.67</v>
      </c>
      <c r="Q32" s="100">
        <v>28.25</v>
      </c>
      <c r="R32" s="6"/>
      <c r="S32" s="6"/>
      <c r="T32" s="156"/>
      <c r="U32" s="6"/>
    </row>
    <row r="33" spans="1:21" customFormat="1">
      <c r="A33" s="163" t="s">
        <v>2471</v>
      </c>
      <c r="B33" s="100">
        <v>11.86</v>
      </c>
      <c r="C33" s="100">
        <v>18.04</v>
      </c>
      <c r="D33" s="100">
        <v>20.29</v>
      </c>
      <c r="E33" s="100">
        <v>8.35</v>
      </c>
      <c r="F33" s="152" t="s">
        <v>15</v>
      </c>
      <c r="G33" s="100">
        <v>37.5</v>
      </c>
      <c r="H33" s="100">
        <v>18.920000000000002</v>
      </c>
      <c r="I33" s="151" t="s">
        <v>8</v>
      </c>
      <c r="J33" s="100">
        <v>0.87</v>
      </c>
      <c r="K33" s="100">
        <v>54.69</v>
      </c>
      <c r="L33" s="100">
        <v>22.76</v>
      </c>
      <c r="M33" s="100">
        <v>79.22</v>
      </c>
      <c r="N33" s="100">
        <v>13</v>
      </c>
      <c r="O33" s="100">
        <v>0</v>
      </c>
      <c r="P33" s="100">
        <v>0.67</v>
      </c>
      <c r="Q33" s="100">
        <v>28.28</v>
      </c>
      <c r="R33" s="6"/>
      <c r="S33" s="6"/>
      <c r="T33" s="156"/>
      <c r="U33" s="6"/>
    </row>
    <row r="34" spans="1:21" customFormat="1">
      <c r="A34" s="163" t="s">
        <v>2472</v>
      </c>
      <c r="B34" s="100">
        <v>12.46</v>
      </c>
      <c r="C34" s="100">
        <v>18.57</v>
      </c>
      <c r="D34" s="100">
        <v>21.05</v>
      </c>
      <c r="E34" s="100">
        <v>8.58</v>
      </c>
      <c r="F34" s="152" t="s">
        <v>15</v>
      </c>
      <c r="G34" s="100">
        <v>37.5</v>
      </c>
      <c r="H34" s="100">
        <v>18.920000000000002</v>
      </c>
      <c r="I34" s="151" t="s">
        <v>8</v>
      </c>
      <c r="J34" s="100">
        <v>0.89</v>
      </c>
      <c r="K34" s="100">
        <v>47.21</v>
      </c>
      <c r="L34" s="100">
        <v>22.73</v>
      </c>
      <c r="M34" s="100">
        <v>78.63</v>
      </c>
      <c r="N34" s="100">
        <v>23</v>
      </c>
      <c r="O34" s="100">
        <v>0</v>
      </c>
      <c r="P34" s="100">
        <v>0.68</v>
      </c>
      <c r="Q34" s="100">
        <v>28.3</v>
      </c>
      <c r="R34" s="6"/>
      <c r="S34" s="6"/>
      <c r="T34" s="156"/>
      <c r="U34" s="6"/>
    </row>
    <row r="35" spans="1:21" customFormat="1">
      <c r="A35" s="163" t="s">
        <v>2473</v>
      </c>
      <c r="B35" s="100">
        <v>13.13</v>
      </c>
      <c r="C35" s="100">
        <v>18.37</v>
      </c>
      <c r="D35" s="100">
        <v>21.48</v>
      </c>
      <c r="E35" s="100">
        <v>8.44</v>
      </c>
      <c r="F35" s="152" t="s">
        <v>15</v>
      </c>
      <c r="G35" s="100">
        <v>37.5</v>
      </c>
      <c r="H35" s="100">
        <v>18.920000000000002</v>
      </c>
      <c r="I35" s="151" t="s">
        <v>8</v>
      </c>
      <c r="J35" s="100">
        <v>1.07</v>
      </c>
      <c r="K35" s="100">
        <v>57.43</v>
      </c>
      <c r="L35" s="100">
        <v>22.74</v>
      </c>
      <c r="M35" s="100">
        <v>77.86</v>
      </c>
      <c r="N35" s="100">
        <v>35.5</v>
      </c>
      <c r="O35" s="100">
        <v>0</v>
      </c>
      <c r="P35" s="100">
        <v>0.68</v>
      </c>
      <c r="Q35" s="100">
        <v>28.32</v>
      </c>
      <c r="R35" s="6"/>
      <c r="S35" s="6"/>
      <c r="T35" s="156"/>
      <c r="U35" s="6"/>
    </row>
    <row r="36" spans="1:21" customFormat="1">
      <c r="A36" s="163" t="s">
        <v>2474</v>
      </c>
      <c r="B36" s="100">
        <v>13.64</v>
      </c>
      <c r="C36" s="100">
        <v>19.170000000000002</v>
      </c>
      <c r="D36" s="100">
        <v>22.3</v>
      </c>
      <c r="E36" s="100">
        <v>8.65</v>
      </c>
      <c r="F36" s="152" t="s">
        <v>15</v>
      </c>
      <c r="G36" s="100">
        <v>40.22</v>
      </c>
      <c r="H36" s="100">
        <v>18.809999999999999</v>
      </c>
      <c r="I36" s="151" t="s">
        <v>8</v>
      </c>
      <c r="J36" s="100">
        <v>1.35</v>
      </c>
      <c r="K36" s="100">
        <v>59.92</v>
      </c>
      <c r="L36" s="100">
        <v>22.9</v>
      </c>
      <c r="M36" s="100">
        <v>76.55</v>
      </c>
      <c r="N36" s="100">
        <v>48</v>
      </c>
      <c r="O36" s="100">
        <v>0</v>
      </c>
      <c r="P36" s="100">
        <v>0.69</v>
      </c>
      <c r="Q36" s="100">
        <v>28.33</v>
      </c>
      <c r="R36" s="6"/>
      <c r="S36" s="6"/>
      <c r="T36" s="156"/>
      <c r="U36" s="6"/>
    </row>
    <row r="37" spans="1:21" customFormat="1">
      <c r="A37" s="163" t="s">
        <v>2475</v>
      </c>
      <c r="B37" s="100">
        <v>14.26</v>
      </c>
      <c r="C37" s="100">
        <v>18.72</v>
      </c>
      <c r="D37" s="100">
        <v>22.57</v>
      </c>
      <c r="E37" s="100">
        <v>8.3000000000000007</v>
      </c>
      <c r="F37" s="152" t="s">
        <v>15</v>
      </c>
      <c r="G37" s="100">
        <v>41.21</v>
      </c>
      <c r="H37" s="100">
        <v>18.809999999999999</v>
      </c>
      <c r="I37" s="151" t="s">
        <v>8</v>
      </c>
      <c r="J37" s="100">
        <v>1.41</v>
      </c>
      <c r="K37" s="100">
        <v>59.23</v>
      </c>
      <c r="L37" s="100">
        <v>23.17</v>
      </c>
      <c r="M37" s="100">
        <v>75.02</v>
      </c>
      <c r="N37" s="100">
        <v>61</v>
      </c>
      <c r="O37" s="100">
        <v>0</v>
      </c>
      <c r="P37" s="100">
        <v>0.69</v>
      </c>
      <c r="Q37" s="100">
        <v>28.34</v>
      </c>
      <c r="R37" s="6"/>
      <c r="S37" s="6"/>
      <c r="T37" s="156"/>
      <c r="U37" s="6"/>
    </row>
    <row r="38" spans="1:21" customFormat="1">
      <c r="A38" s="163" t="s">
        <v>2476</v>
      </c>
      <c r="B38" s="100">
        <v>14.62</v>
      </c>
      <c r="C38" s="100">
        <v>18.87</v>
      </c>
      <c r="D38" s="100">
        <v>22.93</v>
      </c>
      <c r="E38" s="100">
        <v>8.4600000000000009</v>
      </c>
      <c r="F38" s="152" t="s">
        <v>15</v>
      </c>
      <c r="G38" s="100">
        <v>41.21</v>
      </c>
      <c r="H38" s="100">
        <v>18.809999999999999</v>
      </c>
      <c r="I38" s="151" t="s">
        <v>8</v>
      </c>
      <c r="J38" s="100">
        <v>1.38</v>
      </c>
      <c r="K38" s="100">
        <v>53.84</v>
      </c>
      <c r="L38" s="100">
        <v>23.52</v>
      </c>
      <c r="M38" s="100">
        <v>73.33</v>
      </c>
      <c r="N38" s="100">
        <v>73.400000000000006</v>
      </c>
      <c r="O38" s="100">
        <v>0</v>
      </c>
      <c r="P38" s="100">
        <v>0.7</v>
      </c>
      <c r="Q38" s="100">
        <v>28.36</v>
      </c>
      <c r="R38" s="6"/>
      <c r="S38" s="6"/>
      <c r="T38" s="156"/>
      <c r="U38" s="6"/>
    </row>
    <row r="39" spans="1:21" customFormat="1">
      <c r="A39" s="163" t="s">
        <v>2477</v>
      </c>
      <c r="B39" s="100">
        <v>14.86</v>
      </c>
      <c r="C39" s="100">
        <v>18.27</v>
      </c>
      <c r="D39" s="100">
        <v>22.81</v>
      </c>
      <c r="E39" s="100">
        <v>8.59</v>
      </c>
      <c r="F39" s="152" t="s">
        <v>15</v>
      </c>
      <c r="G39" s="100">
        <v>41.21</v>
      </c>
      <c r="H39" s="100">
        <v>18.809999999999999</v>
      </c>
      <c r="I39" s="151" t="s">
        <v>8</v>
      </c>
      <c r="J39" s="100">
        <v>1.1000000000000001</v>
      </c>
      <c r="K39" s="100">
        <v>58.47</v>
      </c>
      <c r="L39" s="100">
        <v>23.94</v>
      </c>
      <c r="M39" s="100">
        <v>71.78</v>
      </c>
      <c r="N39" s="100">
        <v>86.8</v>
      </c>
      <c r="O39" s="100">
        <v>0</v>
      </c>
      <c r="P39" s="100">
        <v>0.7</v>
      </c>
      <c r="Q39" s="100">
        <v>28.37</v>
      </c>
      <c r="R39" s="6"/>
      <c r="S39" s="6"/>
      <c r="T39" s="156"/>
      <c r="U39" s="6"/>
    </row>
    <row r="40" spans="1:21" customFormat="1">
      <c r="A40" s="163" t="s">
        <v>2478</v>
      </c>
      <c r="B40" s="100">
        <v>14.99</v>
      </c>
      <c r="C40" s="100">
        <v>18.46</v>
      </c>
      <c r="D40" s="100">
        <v>23.01</v>
      </c>
      <c r="E40" s="100">
        <v>8.39</v>
      </c>
      <c r="F40" s="152" t="s">
        <v>15</v>
      </c>
      <c r="G40" s="100">
        <v>46.35</v>
      </c>
      <c r="H40" s="100">
        <v>18.23</v>
      </c>
      <c r="I40" s="151" t="s">
        <v>8</v>
      </c>
      <c r="J40" s="100">
        <v>1.1000000000000001</v>
      </c>
      <c r="K40" s="100">
        <v>55.64</v>
      </c>
      <c r="L40" s="100">
        <v>24.34</v>
      </c>
      <c r="M40" s="100">
        <v>70.459999999999994</v>
      </c>
      <c r="N40" s="100">
        <v>121.9</v>
      </c>
      <c r="O40" s="100">
        <v>0</v>
      </c>
      <c r="P40" s="100">
        <v>0.7</v>
      </c>
      <c r="Q40" s="100">
        <v>28.38</v>
      </c>
      <c r="R40" s="6"/>
      <c r="S40" s="6"/>
      <c r="T40" s="156"/>
      <c r="U40" s="6"/>
    </row>
    <row r="41" spans="1:21" customFormat="1">
      <c r="A41" s="163" t="s">
        <v>2479</v>
      </c>
      <c r="B41" s="100">
        <v>15.25</v>
      </c>
      <c r="C41" s="100">
        <v>18.02</v>
      </c>
      <c r="D41" s="100">
        <v>23</v>
      </c>
      <c r="E41" s="100">
        <v>8.26</v>
      </c>
      <c r="F41" s="152" t="s">
        <v>15</v>
      </c>
      <c r="G41" s="100">
        <v>48.33</v>
      </c>
      <c r="H41" s="100">
        <v>18.22</v>
      </c>
      <c r="I41" s="151" t="s">
        <v>8</v>
      </c>
      <c r="J41" s="100">
        <v>0.9</v>
      </c>
      <c r="K41" s="100">
        <v>40.74</v>
      </c>
      <c r="L41" s="100">
        <v>25.07</v>
      </c>
      <c r="M41" s="100">
        <v>67.849999999999994</v>
      </c>
      <c r="N41" s="100">
        <v>207.2</v>
      </c>
      <c r="O41" s="100">
        <v>0</v>
      </c>
      <c r="P41" s="100">
        <v>0.7</v>
      </c>
      <c r="Q41" s="100">
        <v>28.39</v>
      </c>
      <c r="R41" s="6"/>
      <c r="S41" s="6"/>
      <c r="T41" s="156"/>
      <c r="U41" s="6"/>
    </row>
    <row r="42" spans="1:21" customFormat="1">
      <c r="A42" s="163" t="s">
        <v>2480</v>
      </c>
      <c r="B42" s="100">
        <v>15.41</v>
      </c>
      <c r="C42" s="100">
        <v>17.95</v>
      </c>
      <c r="D42" s="100">
        <v>23.09</v>
      </c>
      <c r="E42" s="100">
        <v>8.64</v>
      </c>
      <c r="F42" s="152" t="s">
        <v>15</v>
      </c>
      <c r="G42" s="100">
        <v>48.33</v>
      </c>
      <c r="H42" s="100">
        <v>18.22</v>
      </c>
      <c r="I42" s="151" t="s">
        <v>8</v>
      </c>
      <c r="J42" s="100">
        <v>0.99</v>
      </c>
      <c r="K42" s="100">
        <v>53.75</v>
      </c>
      <c r="L42" s="100">
        <v>25.93</v>
      </c>
      <c r="M42" s="100">
        <v>65.42</v>
      </c>
      <c r="N42" s="100">
        <v>164.3</v>
      </c>
      <c r="O42" s="100">
        <v>0</v>
      </c>
      <c r="P42" s="100">
        <v>0.7</v>
      </c>
      <c r="Q42" s="100">
        <v>28.37</v>
      </c>
      <c r="R42" s="6"/>
      <c r="S42" s="6"/>
      <c r="T42" s="156"/>
      <c r="U42" s="6"/>
    </row>
    <row r="43" spans="1:21" customFormat="1">
      <c r="A43" s="163" t="s">
        <v>2481</v>
      </c>
      <c r="B43" s="100">
        <v>15.53</v>
      </c>
      <c r="C43" s="100">
        <v>16.88</v>
      </c>
      <c r="D43" s="100">
        <v>22.62</v>
      </c>
      <c r="E43" s="100">
        <v>7.95</v>
      </c>
      <c r="F43" s="152" t="s">
        <v>15</v>
      </c>
      <c r="G43" s="100">
        <v>48.33</v>
      </c>
      <c r="H43" s="100">
        <v>18.22</v>
      </c>
      <c r="I43" s="151" t="s">
        <v>8</v>
      </c>
      <c r="J43" s="100">
        <v>1.1399999999999999</v>
      </c>
      <c r="K43" s="100">
        <v>54.19</v>
      </c>
      <c r="L43" s="100">
        <v>26.61</v>
      </c>
      <c r="M43" s="100">
        <v>63.31</v>
      </c>
      <c r="N43" s="100">
        <v>205.2</v>
      </c>
      <c r="O43" s="100">
        <v>0</v>
      </c>
      <c r="P43" s="100">
        <v>0.71</v>
      </c>
      <c r="Q43" s="100">
        <v>28.39</v>
      </c>
      <c r="R43" s="6"/>
      <c r="S43" s="6"/>
      <c r="T43" s="156"/>
      <c r="U43" s="6"/>
    </row>
    <row r="44" spans="1:21" customFormat="1">
      <c r="A44" s="163" t="s">
        <v>2482</v>
      </c>
      <c r="B44" s="100">
        <v>15.44</v>
      </c>
      <c r="C44" s="100">
        <v>17.54</v>
      </c>
      <c r="D44" s="100">
        <v>22.9</v>
      </c>
      <c r="E44" s="100">
        <v>8.42</v>
      </c>
      <c r="F44" s="152" t="s">
        <v>15</v>
      </c>
      <c r="G44" s="100">
        <v>52</v>
      </c>
      <c r="H44" s="100">
        <v>20.68</v>
      </c>
      <c r="I44" s="151" t="s">
        <v>8</v>
      </c>
      <c r="J44" s="100">
        <v>1</v>
      </c>
      <c r="K44" s="100">
        <v>57.54</v>
      </c>
      <c r="L44" s="100">
        <v>27.24</v>
      </c>
      <c r="M44" s="100">
        <v>61.49</v>
      </c>
      <c r="N44" s="100">
        <v>331</v>
      </c>
      <c r="O44" s="100">
        <v>0</v>
      </c>
      <c r="P44" s="100">
        <v>0.72</v>
      </c>
      <c r="Q44" s="100">
        <v>28.38</v>
      </c>
      <c r="R44" s="6"/>
      <c r="S44" s="6"/>
      <c r="T44" s="156"/>
      <c r="U44" s="6"/>
    </row>
    <row r="45" spans="1:21" customFormat="1">
      <c r="A45" s="163" t="s">
        <v>2483</v>
      </c>
      <c r="B45" s="100">
        <v>14.6</v>
      </c>
      <c r="C45" s="100">
        <v>17.63</v>
      </c>
      <c r="D45" s="100">
        <v>22.27</v>
      </c>
      <c r="E45" s="100">
        <v>8.0399999999999991</v>
      </c>
      <c r="F45" s="152" t="s">
        <v>15</v>
      </c>
      <c r="G45" s="100">
        <v>53.41</v>
      </c>
      <c r="H45" s="100">
        <v>20.76</v>
      </c>
      <c r="I45" s="151" t="s">
        <v>8</v>
      </c>
      <c r="J45" s="100">
        <v>0.73</v>
      </c>
      <c r="K45" s="100">
        <v>50.2</v>
      </c>
      <c r="L45" s="100">
        <v>28.15</v>
      </c>
      <c r="M45" s="100">
        <v>58.33</v>
      </c>
      <c r="N45" s="100">
        <v>310.8</v>
      </c>
      <c r="O45" s="100">
        <v>0</v>
      </c>
      <c r="P45" s="100">
        <v>0.73</v>
      </c>
      <c r="Q45" s="100">
        <v>28.37</v>
      </c>
      <c r="R45" s="6"/>
      <c r="S45" s="6"/>
      <c r="T45" s="156"/>
      <c r="U45" s="6"/>
    </row>
    <row r="46" spans="1:21" customFormat="1">
      <c r="A46" s="163" t="s">
        <v>2484</v>
      </c>
      <c r="B46" s="100">
        <v>13.44</v>
      </c>
      <c r="C46" s="100">
        <v>18.27</v>
      </c>
      <c r="D46" s="100">
        <v>21.67</v>
      </c>
      <c r="E46" s="100">
        <v>7.72</v>
      </c>
      <c r="F46" s="152" t="s">
        <v>15</v>
      </c>
      <c r="G46" s="100">
        <v>53.41</v>
      </c>
      <c r="H46" s="100">
        <v>20.76</v>
      </c>
      <c r="I46" s="151" t="s">
        <v>8</v>
      </c>
      <c r="J46" s="100">
        <v>0.63</v>
      </c>
      <c r="K46" s="100">
        <v>45.82</v>
      </c>
      <c r="L46" s="100">
        <v>28.89</v>
      </c>
      <c r="M46" s="100">
        <v>55.82</v>
      </c>
      <c r="N46" s="100">
        <v>442</v>
      </c>
      <c r="O46" s="100">
        <v>0</v>
      </c>
      <c r="P46" s="100">
        <v>0.72</v>
      </c>
      <c r="Q46" s="100">
        <v>28.33</v>
      </c>
      <c r="R46" s="6"/>
      <c r="S46" s="6"/>
      <c r="T46" s="156"/>
      <c r="U46" s="6"/>
    </row>
    <row r="47" spans="1:21" customFormat="1">
      <c r="A47" s="163" t="s">
        <v>2485</v>
      </c>
      <c r="B47" s="100">
        <v>13.08</v>
      </c>
      <c r="C47" s="100">
        <v>18.72</v>
      </c>
      <c r="D47" s="100">
        <v>21.62</v>
      </c>
      <c r="E47" s="100">
        <v>7.78</v>
      </c>
      <c r="F47" s="152" t="s">
        <v>15</v>
      </c>
      <c r="G47" s="100">
        <v>53.41</v>
      </c>
      <c r="H47" s="100">
        <v>20.76</v>
      </c>
      <c r="I47" s="151" t="s">
        <v>8</v>
      </c>
      <c r="J47" s="100">
        <v>0.43</v>
      </c>
      <c r="K47" s="100">
        <v>20.399999999999999</v>
      </c>
      <c r="L47" s="100">
        <v>29.67</v>
      </c>
      <c r="M47" s="100">
        <v>53.36</v>
      </c>
      <c r="N47" s="100">
        <v>481.8</v>
      </c>
      <c r="O47" s="100">
        <v>0</v>
      </c>
      <c r="P47" s="100">
        <v>0.73</v>
      </c>
      <c r="Q47" s="100">
        <v>28.29</v>
      </c>
      <c r="R47" s="6"/>
      <c r="S47" s="6"/>
      <c r="T47" s="156"/>
      <c r="U47" s="6"/>
    </row>
    <row r="48" spans="1:21" customFormat="1">
      <c r="A48" s="163" t="s">
        <v>2486</v>
      </c>
      <c r="B48" s="100">
        <v>12.09</v>
      </c>
      <c r="C48" s="100">
        <v>20.92</v>
      </c>
      <c r="D48" s="100">
        <v>21.98</v>
      </c>
      <c r="E48" s="100">
        <v>7.74</v>
      </c>
      <c r="F48" s="152" t="s">
        <v>15</v>
      </c>
      <c r="G48" s="100">
        <v>51.91</v>
      </c>
      <c r="H48" s="100">
        <v>21.47</v>
      </c>
      <c r="I48" s="151" t="s">
        <v>8</v>
      </c>
      <c r="J48" s="100">
        <v>0.57999999999999996</v>
      </c>
      <c r="K48" s="100">
        <v>64</v>
      </c>
      <c r="L48" s="100">
        <v>30.51</v>
      </c>
      <c r="M48" s="100">
        <v>50.7</v>
      </c>
      <c r="N48" s="100">
        <v>525.9</v>
      </c>
      <c r="O48" s="100">
        <v>0</v>
      </c>
      <c r="P48" s="100">
        <v>0.72</v>
      </c>
      <c r="Q48" s="100">
        <v>28.26</v>
      </c>
      <c r="R48" s="6"/>
      <c r="S48" s="6"/>
      <c r="T48" s="156"/>
      <c r="U48" s="6"/>
    </row>
    <row r="49" spans="1:21" customFormat="1">
      <c r="A49" s="163" t="s">
        <v>2487</v>
      </c>
      <c r="B49" s="100">
        <v>10.66</v>
      </c>
      <c r="C49" s="100">
        <v>20.65</v>
      </c>
      <c r="D49" s="100">
        <v>20.68</v>
      </c>
      <c r="E49" s="100">
        <v>7.9</v>
      </c>
      <c r="F49" s="152" t="s">
        <v>15</v>
      </c>
      <c r="G49" s="100">
        <v>51.36</v>
      </c>
      <c r="H49" s="100">
        <v>21.48</v>
      </c>
      <c r="I49" s="151" t="s">
        <v>8</v>
      </c>
      <c r="J49" s="100">
        <v>0.14000000000000001</v>
      </c>
      <c r="K49" s="100">
        <v>225.99</v>
      </c>
      <c r="L49" s="100">
        <v>31.27</v>
      </c>
      <c r="M49" s="100">
        <v>48.81</v>
      </c>
      <c r="N49" s="100">
        <v>515.9</v>
      </c>
      <c r="O49" s="100">
        <v>0</v>
      </c>
      <c r="P49" s="100">
        <v>0.72</v>
      </c>
      <c r="Q49" s="100">
        <v>28.23</v>
      </c>
      <c r="R49" s="6"/>
      <c r="S49" s="6"/>
      <c r="T49" s="156"/>
      <c r="U49" s="6"/>
    </row>
    <row r="50" spans="1:21" customFormat="1">
      <c r="A50" s="163" t="s">
        <v>2488</v>
      </c>
      <c r="B50" s="100">
        <v>9.0399999999999991</v>
      </c>
      <c r="C50" s="100">
        <v>20.399999999999999</v>
      </c>
      <c r="D50" s="100">
        <v>19.260000000000002</v>
      </c>
      <c r="E50" s="100">
        <v>8.5500000000000007</v>
      </c>
      <c r="F50" s="152" t="s">
        <v>15</v>
      </c>
      <c r="G50" s="100">
        <v>51.36</v>
      </c>
      <c r="H50" s="100">
        <v>21.48</v>
      </c>
      <c r="I50" s="151" t="s">
        <v>8</v>
      </c>
      <c r="J50" s="100">
        <v>0.33</v>
      </c>
      <c r="K50" s="100">
        <v>271.33999999999997</v>
      </c>
      <c r="L50" s="100">
        <v>31.46</v>
      </c>
      <c r="M50" s="100">
        <v>48.82</v>
      </c>
      <c r="N50" s="100">
        <v>431</v>
      </c>
      <c r="O50" s="100">
        <v>0</v>
      </c>
      <c r="P50" s="100">
        <v>0.69</v>
      </c>
      <c r="Q50" s="100">
        <v>28.18</v>
      </c>
      <c r="R50" s="6"/>
      <c r="S50" s="6"/>
      <c r="T50" s="156"/>
      <c r="U50" s="6"/>
    </row>
    <row r="51" spans="1:21" customFormat="1">
      <c r="A51" s="163" t="s">
        <v>2489</v>
      </c>
      <c r="B51" s="100">
        <v>7.78</v>
      </c>
      <c r="C51" s="100">
        <v>20.25</v>
      </c>
      <c r="D51" s="100">
        <v>18.170000000000002</v>
      </c>
      <c r="E51" s="100">
        <v>8.7899999999999991</v>
      </c>
      <c r="F51" s="152" t="s">
        <v>15</v>
      </c>
      <c r="G51" s="100">
        <v>51.36</v>
      </c>
      <c r="H51" s="100">
        <v>21.48</v>
      </c>
      <c r="I51" s="151" t="s">
        <v>8</v>
      </c>
      <c r="J51" s="100">
        <v>0.43</v>
      </c>
      <c r="K51" s="100">
        <v>211.68</v>
      </c>
      <c r="L51" s="100">
        <v>31.85</v>
      </c>
      <c r="M51" s="100">
        <v>47.42</v>
      </c>
      <c r="N51" s="100">
        <v>632.9</v>
      </c>
      <c r="O51" s="100">
        <v>0</v>
      </c>
      <c r="P51" s="100">
        <v>0.69</v>
      </c>
      <c r="Q51" s="100">
        <v>28.14</v>
      </c>
      <c r="R51" s="6"/>
      <c r="S51" s="6"/>
      <c r="T51" s="156"/>
      <c r="U51" s="6"/>
    </row>
    <row r="52" spans="1:21" customFormat="1">
      <c r="A52" s="163" t="s">
        <v>2490</v>
      </c>
      <c r="B52" s="100">
        <v>6.63</v>
      </c>
      <c r="C52" s="100">
        <v>19.850000000000001</v>
      </c>
      <c r="D52" s="100">
        <v>17.04</v>
      </c>
      <c r="E52" s="100">
        <v>8.6</v>
      </c>
      <c r="F52" s="152" t="s">
        <v>15</v>
      </c>
      <c r="G52" s="100">
        <v>50.6</v>
      </c>
      <c r="H52" s="100">
        <v>19.23</v>
      </c>
      <c r="I52" s="151" t="s">
        <v>8</v>
      </c>
      <c r="J52" s="100">
        <v>0.33</v>
      </c>
      <c r="K52" s="100">
        <v>260.55</v>
      </c>
      <c r="L52" s="100">
        <v>32.369999999999997</v>
      </c>
      <c r="M52" s="100">
        <v>45.1</v>
      </c>
      <c r="N52" s="100">
        <v>666.8</v>
      </c>
      <c r="O52" s="100">
        <v>0</v>
      </c>
      <c r="P52" s="100">
        <v>0.67</v>
      </c>
      <c r="Q52" s="100">
        <v>28.1</v>
      </c>
      <c r="R52" s="6"/>
      <c r="S52" s="6"/>
      <c r="T52" s="156"/>
      <c r="U52" s="6"/>
    </row>
    <row r="53" spans="1:21" customFormat="1">
      <c r="A53" s="163" t="s">
        <v>2491</v>
      </c>
      <c r="B53" s="100">
        <v>5.82</v>
      </c>
      <c r="C53" s="100">
        <v>19.68</v>
      </c>
      <c r="D53" s="100">
        <v>16.3</v>
      </c>
      <c r="E53" s="100">
        <v>8.68</v>
      </c>
      <c r="F53" s="152" t="s">
        <v>15</v>
      </c>
      <c r="G53" s="100">
        <v>50.32</v>
      </c>
      <c r="H53" s="100">
        <v>19.170000000000002</v>
      </c>
      <c r="I53" s="151" t="s">
        <v>8</v>
      </c>
      <c r="J53" s="100">
        <v>0.72</v>
      </c>
      <c r="K53" s="100">
        <v>308.14999999999998</v>
      </c>
      <c r="L53" s="100">
        <v>32.33</v>
      </c>
      <c r="M53" s="100">
        <v>43.81</v>
      </c>
      <c r="N53" s="100">
        <v>655.6</v>
      </c>
      <c r="O53" s="100">
        <v>0</v>
      </c>
      <c r="P53" s="100">
        <v>0.65</v>
      </c>
      <c r="Q53" s="100">
        <v>28.08</v>
      </c>
      <c r="R53" s="6"/>
      <c r="S53" s="6"/>
      <c r="T53" s="156"/>
      <c r="U53" s="6"/>
    </row>
    <row r="54" spans="1:21" customFormat="1">
      <c r="A54" s="163" t="s">
        <v>2492</v>
      </c>
      <c r="B54" s="100">
        <v>5.52</v>
      </c>
      <c r="C54" s="100">
        <v>19.45</v>
      </c>
      <c r="D54" s="100">
        <v>15.94</v>
      </c>
      <c r="E54" s="100">
        <v>8.82</v>
      </c>
      <c r="F54" s="152" t="s">
        <v>15</v>
      </c>
      <c r="G54" s="100">
        <v>50.32</v>
      </c>
      <c r="H54" s="100">
        <v>19.170000000000002</v>
      </c>
      <c r="I54" s="151" t="s">
        <v>8</v>
      </c>
      <c r="J54" s="100">
        <v>0.43</v>
      </c>
      <c r="K54" s="100">
        <v>32.85</v>
      </c>
      <c r="L54" s="100">
        <v>32.78</v>
      </c>
      <c r="M54" s="100">
        <v>42.56</v>
      </c>
      <c r="N54" s="100">
        <v>706.5</v>
      </c>
      <c r="O54" s="100">
        <v>0</v>
      </c>
      <c r="P54" s="100">
        <v>0.65</v>
      </c>
      <c r="Q54" s="100">
        <v>28.06</v>
      </c>
      <c r="R54" s="6"/>
      <c r="S54" s="6"/>
      <c r="T54" s="156"/>
      <c r="U54" s="6"/>
    </row>
    <row r="55" spans="1:21" customFormat="1">
      <c r="A55" s="163" t="s">
        <v>2493</v>
      </c>
      <c r="B55" s="100">
        <v>4.96</v>
      </c>
      <c r="C55" s="100">
        <v>19.32</v>
      </c>
      <c r="D55" s="100">
        <v>15.42</v>
      </c>
      <c r="E55" s="100">
        <v>8.74</v>
      </c>
      <c r="F55" s="152" t="s">
        <v>15</v>
      </c>
      <c r="G55" s="100">
        <v>50.32</v>
      </c>
      <c r="H55" s="100">
        <v>19.170000000000002</v>
      </c>
      <c r="I55" s="151" t="s">
        <v>8</v>
      </c>
      <c r="J55" s="100">
        <v>0.5</v>
      </c>
      <c r="K55" s="100">
        <v>212.97</v>
      </c>
      <c r="L55" s="100">
        <v>33.75</v>
      </c>
      <c r="M55" s="100">
        <v>40.119999999999997</v>
      </c>
      <c r="N55" s="100">
        <v>657.7</v>
      </c>
      <c r="O55" s="100">
        <v>0</v>
      </c>
      <c r="P55" s="100">
        <v>0.65</v>
      </c>
      <c r="Q55" s="100">
        <v>28.05</v>
      </c>
      <c r="R55" s="6"/>
      <c r="S55" s="6"/>
      <c r="T55" s="156"/>
      <c r="U55" s="6"/>
    </row>
    <row r="56" spans="1:21" customFormat="1">
      <c r="A56" s="163" t="s">
        <v>2494</v>
      </c>
      <c r="B56" s="100">
        <v>4.54</v>
      </c>
      <c r="C56" s="100">
        <v>19.75</v>
      </c>
      <c r="D56" s="100">
        <v>15.31</v>
      </c>
      <c r="E56" s="100">
        <v>8.65</v>
      </c>
      <c r="F56" s="152" t="s">
        <v>15</v>
      </c>
      <c r="G56" s="100">
        <v>46.14</v>
      </c>
      <c r="H56" s="100">
        <v>18.52</v>
      </c>
      <c r="I56" s="151" t="s">
        <v>8</v>
      </c>
      <c r="J56" s="100">
        <v>-0.56000000000000005</v>
      </c>
      <c r="K56" s="100">
        <v>0.04</v>
      </c>
      <c r="L56" s="100">
        <v>33.869999999999997</v>
      </c>
      <c r="M56" s="100">
        <v>39.200000000000003</v>
      </c>
      <c r="N56" s="100">
        <v>764.9</v>
      </c>
      <c r="O56" s="100">
        <v>0</v>
      </c>
      <c r="P56" s="100">
        <v>0.64</v>
      </c>
      <c r="Q56" s="100">
        <v>28.02</v>
      </c>
      <c r="R56" s="6"/>
      <c r="S56" s="6"/>
      <c r="T56" s="156"/>
      <c r="U56" s="6"/>
    </row>
    <row r="57" spans="1:21" customFormat="1">
      <c r="A57" s="163" t="s">
        <v>2495</v>
      </c>
      <c r="B57" s="100">
        <v>3.98</v>
      </c>
      <c r="C57" s="100">
        <v>15.39</v>
      </c>
      <c r="D57" s="100">
        <v>12.68</v>
      </c>
      <c r="E57" s="100">
        <v>8.14</v>
      </c>
      <c r="F57" s="152" t="s">
        <v>15</v>
      </c>
      <c r="G57" s="100">
        <v>44.62</v>
      </c>
      <c r="H57" s="100">
        <v>18.5</v>
      </c>
      <c r="I57" s="151" t="s">
        <v>8</v>
      </c>
      <c r="J57" s="100">
        <v>0.21</v>
      </c>
      <c r="K57" s="100">
        <v>89.48</v>
      </c>
      <c r="L57" s="100">
        <v>34.950000000000003</v>
      </c>
      <c r="M57" s="100">
        <v>36.58</v>
      </c>
      <c r="N57" s="100">
        <v>787.9</v>
      </c>
      <c r="O57" s="100">
        <v>0</v>
      </c>
      <c r="P57" s="100">
        <v>0.59</v>
      </c>
      <c r="Q57" s="100">
        <v>28</v>
      </c>
      <c r="R57" s="6"/>
      <c r="S57" s="6"/>
      <c r="T57" s="156"/>
      <c r="U57" s="6"/>
    </row>
    <row r="58" spans="1:21" customFormat="1">
      <c r="A58" s="163" t="s">
        <v>2496</v>
      </c>
      <c r="B58" s="100">
        <v>3.76</v>
      </c>
      <c r="C58" s="100">
        <v>12.36</v>
      </c>
      <c r="D58" s="100">
        <v>10.82</v>
      </c>
      <c r="E58" s="100">
        <v>8.1199999999999992</v>
      </c>
      <c r="F58" s="152" t="s">
        <v>15</v>
      </c>
      <c r="G58" s="100">
        <v>44.62</v>
      </c>
      <c r="H58" s="100">
        <v>18.5</v>
      </c>
      <c r="I58" s="100">
        <v>3.02</v>
      </c>
      <c r="J58" s="100">
        <v>1.01</v>
      </c>
      <c r="K58" s="100">
        <v>51.21</v>
      </c>
      <c r="L58" s="100">
        <v>34.51</v>
      </c>
      <c r="M58" s="100">
        <v>36.659999999999997</v>
      </c>
      <c r="N58" s="100">
        <v>586.20000000000005</v>
      </c>
      <c r="O58" s="100">
        <v>0</v>
      </c>
      <c r="P58" s="100">
        <v>0.57999999999999996</v>
      </c>
      <c r="Q58" s="100">
        <v>28.04</v>
      </c>
      <c r="R58" s="6"/>
      <c r="S58" s="6"/>
      <c r="T58" s="156"/>
      <c r="U58" s="6"/>
    </row>
    <row r="59" spans="1:21" customFormat="1">
      <c r="A59" s="163" t="s">
        <v>2497</v>
      </c>
      <c r="B59" s="100">
        <v>3.75</v>
      </c>
      <c r="C59" s="100">
        <v>11</v>
      </c>
      <c r="D59" s="100">
        <v>10.11</v>
      </c>
      <c r="E59" s="100">
        <v>8.49</v>
      </c>
      <c r="F59" s="152" t="s">
        <v>15</v>
      </c>
      <c r="G59" s="100">
        <v>44.62</v>
      </c>
      <c r="H59" s="100">
        <v>18.5</v>
      </c>
      <c r="I59" s="100">
        <v>6.63</v>
      </c>
      <c r="J59" s="100">
        <v>0.2</v>
      </c>
      <c r="K59" s="100">
        <v>91.84</v>
      </c>
      <c r="L59" s="100">
        <v>33.47</v>
      </c>
      <c r="M59" s="100">
        <v>35.74</v>
      </c>
      <c r="N59" s="100">
        <v>220.1</v>
      </c>
      <c r="O59" s="100">
        <v>0</v>
      </c>
      <c r="P59" s="100">
        <v>0.55000000000000004</v>
      </c>
      <c r="Q59" s="100">
        <v>28.05</v>
      </c>
      <c r="R59" s="6"/>
      <c r="S59" s="6"/>
      <c r="T59" s="156"/>
      <c r="U59" s="6"/>
    </row>
    <row r="60" spans="1:21" customFormat="1">
      <c r="A60" s="163" t="s">
        <v>2498</v>
      </c>
      <c r="B60" s="100">
        <v>3.74</v>
      </c>
      <c r="C60" s="100">
        <v>11.32</v>
      </c>
      <c r="D60" s="100">
        <v>10.27</v>
      </c>
      <c r="E60" s="100">
        <v>8.76</v>
      </c>
      <c r="F60" s="152" t="s">
        <v>15</v>
      </c>
      <c r="G60" s="100">
        <v>42.14</v>
      </c>
      <c r="H60" s="100">
        <v>16.399999999999999</v>
      </c>
      <c r="I60" s="100">
        <v>5.61</v>
      </c>
      <c r="J60" s="100">
        <v>0.21</v>
      </c>
      <c r="K60" s="100">
        <v>322.16000000000003</v>
      </c>
      <c r="L60" s="100">
        <v>33.49</v>
      </c>
      <c r="M60" s="100">
        <v>32.76</v>
      </c>
      <c r="N60" s="100">
        <v>184.3</v>
      </c>
      <c r="O60" s="100">
        <v>0</v>
      </c>
      <c r="P60" s="100">
        <v>0.53</v>
      </c>
      <c r="Q60" s="100">
        <v>28.06</v>
      </c>
      <c r="R60" s="6"/>
      <c r="S60" s="6"/>
      <c r="T60" s="156"/>
      <c r="U60" s="6"/>
    </row>
    <row r="61" spans="1:21" customFormat="1">
      <c r="A61" s="163" t="s">
        <v>2499</v>
      </c>
      <c r="B61" s="100">
        <v>5.28</v>
      </c>
      <c r="C61" s="100">
        <v>15.05</v>
      </c>
      <c r="D61" s="100">
        <v>13.45</v>
      </c>
      <c r="E61" s="100">
        <v>9.0399999999999991</v>
      </c>
      <c r="F61" s="152" t="s">
        <v>15</v>
      </c>
      <c r="G61" s="100">
        <v>41.18</v>
      </c>
      <c r="H61" s="100">
        <v>16.329999999999998</v>
      </c>
      <c r="I61" s="100">
        <v>4.99</v>
      </c>
      <c r="J61" s="100">
        <v>0.88</v>
      </c>
      <c r="K61" s="100">
        <v>46.93</v>
      </c>
      <c r="L61" s="100">
        <v>33.979999999999997</v>
      </c>
      <c r="M61" s="100">
        <v>29.03</v>
      </c>
      <c r="N61" s="100">
        <v>600.6</v>
      </c>
      <c r="O61" s="100">
        <v>0</v>
      </c>
      <c r="P61" s="100">
        <v>0.54</v>
      </c>
      <c r="Q61" s="100">
        <v>28.08</v>
      </c>
      <c r="R61" s="6"/>
      <c r="S61" s="6"/>
      <c r="T61" s="156"/>
      <c r="U61" s="6"/>
    </row>
    <row r="62" spans="1:21" customFormat="1">
      <c r="A62" s="163" t="s">
        <v>2500</v>
      </c>
      <c r="B62" s="100">
        <v>4.4800000000000004</v>
      </c>
      <c r="C62" s="100">
        <v>14.31</v>
      </c>
      <c r="D62" s="100">
        <v>12.42</v>
      </c>
      <c r="E62" s="100">
        <v>9.41</v>
      </c>
      <c r="F62" s="152" t="s">
        <v>15</v>
      </c>
      <c r="G62" s="100">
        <v>41.18</v>
      </c>
      <c r="H62" s="100">
        <v>16.329999999999998</v>
      </c>
      <c r="I62" s="100">
        <v>4.8099999999999996</v>
      </c>
      <c r="J62" s="100">
        <v>0.9</v>
      </c>
      <c r="K62" s="100">
        <v>27.75</v>
      </c>
      <c r="L62" s="100">
        <v>35.090000000000003</v>
      </c>
      <c r="M62" s="100">
        <v>21.42</v>
      </c>
      <c r="N62" s="100">
        <v>687.7</v>
      </c>
      <c r="O62" s="100">
        <v>0</v>
      </c>
      <c r="P62" s="100">
        <v>0.52</v>
      </c>
      <c r="Q62" s="100">
        <v>28.09</v>
      </c>
      <c r="R62" s="6"/>
      <c r="S62" s="6"/>
      <c r="T62" s="156"/>
      <c r="U62" s="6"/>
    </row>
    <row r="63" spans="1:21" customFormat="1">
      <c r="A63" s="163" t="s">
        <v>2501</v>
      </c>
      <c r="B63" s="100">
        <v>5.28</v>
      </c>
      <c r="C63" s="100">
        <v>14.62</v>
      </c>
      <c r="D63" s="100">
        <v>13.23</v>
      </c>
      <c r="E63" s="100">
        <v>11.86</v>
      </c>
      <c r="F63" s="152" t="s">
        <v>15</v>
      </c>
      <c r="G63" s="100">
        <v>41.18</v>
      </c>
      <c r="H63" s="100">
        <v>16.329999999999998</v>
      </c>
      <c r="I63" s="100">
        <v>4.68</v>
      </c>
      <c r="J63" s="100">
        <v>0.96</v>
      </c>
      <c r="K63" s="100">
        <v>27.05</v>
      </c>
      <c r="L63" s="100">
        <v>35.799999999999997</v>
      </c>
      <c r="M63" s="100">
        <v>23.82</v>
      </c>
      <c r="N63" s="100">
        <v>630.4</v>
      </c>
      <c r="O63" s="100">
        <v>0</v>
      </c>
      <c r="P63" s="100">
        <v>0.53</v>
      </c>
      <c r="Q63" s="100">
        <v>28.07</v>
      </c>
      <c r="R63" s="6"/>
      <c r="S63" s="6"/>
      <c r="T63" s="156"/>
      <c r="U63" s="6"/>
    </row>
    <row r="64" spans="1:21" customFormat="1">
      <c r="A64" s="163" t="s">
        <v>2502</v>
      </c>
      <c r="B64" s="100">
        <v>4.07</v>
      </c>
      <c r="C64" s="100">
        <v>15.89</v>
      </c>
      <c r="D64" s="100">
        <v>12.92</v>
      </c>
      <c r="E64" s="100">
        <v>16.45</v>
      </c>
      <c r="F64" s="152" t="s">
        <v>15</v>
      </c>
      <c r="G64" s="100">
        <v>41.58</v>
      </c>
      <c r="H64" s="100">
        <v>15.03</v>
      </c>
      <c r="I64" s="100">
        <v>4.4800000000000004</v>
      </c>
      <c r="J64" s="100">
        <v>1.1200000000000001</v>
      </c>
      <c r="K64" s="100">
        <v>58.29</v>
      </c>
      <c r="L64" s="100">
        <v>35.28</v>
      </c>
      <c r="M64" s="100">
        <v>27.11</v>
      </c>
      <c r="N64" s="100">
        <v>604.29999999999995</v>
      </c>
      <c r="O64" s="100">
        <v>0</v>
      </c>
      <c r="P64" s="100">
        <v>0.56000000000000005</v>
      </c>
      <c r="Q64" s="100">
        <v>28.06</v>
      </c>
      <c r="R64" s="6"/>
      <c r="S64" s="6"/>
      <c r="T64" s="156"/>
      <c r="U64" s="6"/>
    </row>
    <row r="65" spans="1:21" customFormat="1">
      <c r="A65" s="163" t="s">
        <v>2503</v>
      </c>
      <c r="B65" s="100">
        <v>3.84</v>
      </c>
      <c r="C65" s="100">
        <v>18.73</v>
      </c>
      <c r="D65" s="100">
        <v>14.21</v>
      </c>
      <c r="E65" s="100">
        <v>13.41</v>
      </c>
      <c r="F65" s="152" t="s">
        <v>15</v>
      </c>
      <c r="G65" s="100">
        <v>41.73</v>
      </c>
      <c r="H65" s="100">
        <v>14.99</v>
      </c>
      <c r="I65" s="100">
        <v>4.58</v>
      </c>
      <c r="J65" s="100">
        <v>1.06</v>
      </c>
      <c r="K65" s="100">
        <v>61.63</v>
      </c>
      <c r="L65" s="100">
        <v>35.659999999999997</v>
      </c>
      <c r="M65" s="100">
        <v>22.51</v>
      </c>
      <c r="N65" s="100">
        <v>577.1</v>
      </c>
      <c r="O65" s="100">
        <v>0</v>
      </c>
      <c r="P65" s="100">
        <v>0.55000000000000004</v>
      </c>
      <c r="Q65" s="100">
        <v>28.08</v>
      </c>
      <c r="R65" s="6"/>
      <c r="S65" s="6"/>
      <c r="T65" s="156"/>
      <c r="U65" s="6"/>
    </row>
    <row r="66" spans="1:21" customFormat="1">
      <c r="A66" s="163" t="s">
        <v>2504</v>
      </c>
      <c r="B66" s="100">
        <v>4.2</v>
      </c>
      <c r="C66" s="100">
        <v>19.78</v>
      </c>
      <c r="D66" s="100">
        <v>15.05</v>
      </c>
      <c r="E66" s="100">
        <v>13.22</v>
      </c>
      <c r="F66" s="152" t="s">
        <v>15</v>
      </c>
      <c r="G66" s="100">
        <v>41.73</v>
      </c>
      <c r="H66" s="100">
        <v>14.99</v>
      </c>
      <c r="I66" s="100">
        <v>5.04</v>
      </c>
      <c r="J66" s="100">
        <v>1.1100000000000001</v>
      </c>
      <c r="K66" s="100">
        <v>32.79</v>
      </c>
      <c r="L66" s="100">
        <v>35.78</v>
      </c>
      <c r="M66" s="100">
        <v>19.48</v>
      </c>
      <c r="N66" s="100">
        <v>565.20000000000005</v>
      </c>
      <c r="O66" s="100">
        <v>0</v>
      </c>
      <c r="P66" s="100">
        <v>0.59</v>
      </c>
      <c r="Q66" s="100">
        <v>28.08</v>
      </c>
      <c r="R66" s="6"/>
      <c r="S66" s="6"/>
      <c r="T66" s="156"/>
      <c r="U66" s="6"/>
    </row>
    <row r="67" spans="1:21" customFormat="1">
      <c r="A67" s="163" t="s">
        <v>2505</v>
      </c>
      <c r="B67" s="100">
        <v>4.79</v>
      </c>
      <c r="C67" s="100">
        <v>18.98</v>
      </c>
      <c r="D67" s="100">
        <v>15.11</v>
      </c>
      <c r="E67" s="100">
        <v>17.97</v>
      </c>
      <c r="F67" s="152" t="s">
        <v>15</v>
      </c>
      <c r="G67" s="100">
        <v>41.73</v>
      </c>
      <c r="H67" s="100">
        <v>14.99</v>
      </c>
      <c r="I67" s="100">
        <v>5.1100000000000003</v>
      </c>
      <c r="J67" s="100">
        <v>0.69</v>
      </c>
      <c r="K67" s="100">
        <v>313.95</v>
      </c>
      <c r="L67" s="100">
        <v>35.74</v>
      </c>
      <c r="M67" s="100">
        <v>18.71</v>
      </c>
      <c r="N67" s="100">
        <v>527.1</v>
      </c>
      <c r="O67" s="100">
        <v>0</v>
      </c>
      <c r="P67" s="100">
        <v>0.59</v>
      </c>
      <c r="Q67" s="100">
        <v>28.08</v>
      </c>
      <c r="R67" s="6"/>
      <c r="S67" s="6"/>
      <c r="T67" s="156"/>
      <c r="U67" s="6"/>
    </row>
    <row r="68" spans="1:21" customFormat="1">
      <c r="A68" s="163" t="s">
        <v>2506</v>
      </c>
      <c r="B68" s="100">
        <v>4.32</v>
      </c>
      <c r="C68" s="100">
        <v>17.510000000000002</v>
      </c>
      <c r="D68" s="100">
        <v>13.96</v>
      </c>
      <c r="E68" s="100">
        <v>16.13</v>
      </c>
      <c r="F68" s="152" t="s">
        <v>15</v>
      </c>
      <c r="G68" s="100">
        <v>43.81</v>
      </c>
      <c r="H68" s="100">
        <v>17</v>
      </c>
      <c r="I68" s="100">
        <v>5</v>
      </c>
      <c r="J68" s="100">
        <v>0.34</v>
      </c>
      <c r="K68" s="100">
        <v>329.63</v>
      </c>
      <c r="L68" s="100">
        <v>35.380000000000003</v>
      </c>
      <c r="M68" s="100">
        <v>17.52</v>
      </c>
      <c r="N68" s="100">
        <v>362.8</v>
      </c>
      <c r="O68" s="100">
        <v>0</v>
      </c>
      <c r="P68" s="100">
        <v>0.55000000000000004</v>
      </c>
      <c r="Q68" s="100">
        <v>28.08</v>
      </c>
      <c r="R68" s="6"/>
      <c r="S68" s="6"/>
      <c r="T68" s="156"/>
      <c r="U68" s="6"/>
    </row>
    <row r="69" spans="1:21" customFormat="1">
      <c r="A69" s="163" t="s">
        <v>2507</v>
      </c>
      <c r="B69" s="100">
        <v>4.0599999999999996</v>
      </c>
      <c r="C69" s="100">
        <v>15.74</v>
      </c>
      <c r="D69" s="100">
        <v>12.83</v>
      </c>
      <c r="E69" s="100">
        <v>13.96</v>
      </c>
      <c r="F69" s="152" t="s">
        <v>15</v>
      </c>
      <c r="G69" s="100">
        <v>44.6</v>
      </c>
      <c r="H69" s="100">
        <v>17.059999999999999</v>
      </c>
      <c r="I69" s="100">
        <v>3.87</v>
      </c>
      <c r="J69" s="100">
        <v>0.72</v>
      </c>
      <c r="K69" s="100">
        <v>351.51</v>
      </c>
      <c r="L69" s="100">
        <v>35.67</v>
      </c>
      <c r="M69" s="100">
        <v>18.309999999999999</v>
      </c>
      <c r="N69" s="100">
        <v>455.3</v>
      </c>
      <c r="O69" s="100">
        <v>0</v>
      </c>
      <c r="P69" s="100">
        <v>0.56000000000000005</v>
      </c>
      <c r="Q69" s="100">
        <v>28.08</v>
      </c>
      <c r="R69" s="6"/>
      <c r="S69" s="6"/>
      <c r="T69" s="156"/>
      <c r="U69" s="6"/>
    </row>
    <row r="70" spans="1:21" customFormat="1">
      <c r="A70" s="163" t="s">
        <v>2508</v>
      </c>
      <c r="B70" s="100">
        <v>3.9</v>
      </c>
      <c r="C70" s="100">
        <v>17.559999999999999</v>
      </c>
      <c r="D70" s="100">
        <v>13.65</v>
      </c>
      <c r="E70" s="100">
        <v>9.57</v>
      </c>
      <c r="F70" s="152" t="s">
        <v>15</v>
      </c>
      <c r="G70" s="100">
        <v>44.6</v>
      </c>
      <c r="H70" s="100">
        <v>17.059999999999999</v>
      </c>
      <c r="I70" s="100">
        <v>3.67</v>
      </c>
      <c r="J70" s="100">
        <v>0.97</v>
      </c>
      <c r="K70" s="100">
        <v>13.78</v>
      </c>
      <c r="L70" s="100">
        <v>34.99</v>
      </c>
      <c r="M70" s="100">
        <v>19.41</v>
      </c>
      <c r="N70" s="100">
        <v>348.6</v>
      </c>
      <c r="O70" s="100">
        <v>0</v>
      </c>
      <c r="P70" s="100">
        <v>0.6</v>
      </c>
      <c r="Q70" s="100">
        <v>28.06</v>
      </c>
      <c r="R70" s="6"/>
      <c r="S70" s="6"/>
      <c r="T70" s="156"/>
      <c r="U70" s="6"/>
    </row>
    <row r="71" spans="1:21" customFormat="1">
      <c r="A71" s="163" t="s">
        <v>2509</v>
      </c>
      <c r="B71" s="100">
        <v>4.25</v>
      </c>
      <c r="C71" s="100">
        <v>20.02</v>
      </c>
      <c r="D71" s="100">
        <v>15.22</v>
      </c>
      <c r="E71" s="100">
        <v>13.18</v>
      </c>
      <c r="F71" s="152" t="s">
        <v>15</v>
      </c>
      <c r="G71" s="100">
        <v>44.6</v>
      </c>
      <c r="H71" s="100">
        <v>17.059999999999999</v>
      </c>
      <c r="I71" s="100">
        <v>3.88</v>
      </c>
      <c r="J71" s="100">
        <v>0.99</v>
      </c>
      <c r="K71" s="100">
        <v>337.25</v>
      </c>
      <c r="L71" s="100">
        <v>35</v>
      </c>
      <c r="M71" s="100">
        <v>19.46</v>
      </c>
      <c r="N71" s="100">
        <v>366</v>
      </c>
      <c r="O71" s="100">
        <v>0</v>
      </c>
      <c r="P71" s="100">
        <v>0.59</v>
      </c>
      <c r="Q71" s="100">
        <v>28.05</v>
      </c>
      <c r="R71" s="6"/>
      <c r="S71" s="6"/>
      <c r="T71" s="156"/>
      <c r="U71" s="6"/>
    </row>
    <row r="72" spans="1:21" customFormat="1">
      <c r="A72" s="163" t="s">
        <v>2510</v>
      </c>
      <c r="B72" s="100">
        <v>4.26</v>
      </c>
      <c r="C72" s="100">
        <v>16.420000000000002</v>
      </c>
      <c r="D72" s="100">
        <v>13.35</v>
      </c>
      <c r="E72" s="100">
        <v>15.73</v>
      </c>
      <c r="F72" s="152" t="s">
        <v>15</v>
      </c>
      <c r="G72" s="100">
        <v>43.6</v>
      </c>
      <c r="H72" s="100">
        <v>17.010000000000002</v>
      </c>
      <c r="I72" s="100">
        <v>5.28</v>
      </c>
      <c r="J72" s="100">
        <v>1.1299999999999999</v>
      </c>
      <c r="K72" s="100">
        <v>327.31</v>
      </c>
      <c r="L72" s="100">
        <v>34.869999999999997</v>
      </c>
      <c r="M72" s="100">
        <v>18.89</v>
      </c>
      <c r="N72" s="100">
        <v>359.1</v>
      </c>
      <c r="O72" s="100">
        <v>0</v>
      </c>
      <c r="P72" s="100">
        <v>0.55000000000000004</v>
      </c>
      <c r="Q72" s="100">
        <v>28.08</v>
      </c>
      <c r="R72" s="6"/>
      <c r="S72" s="6"/>
      <c r="T72" s="156"/>
      <c r="U72" s="6"/>
    </row>
    <row r="73" spans="1:21" customFormat="1">
      <c r="A73" s="163" t="s">
        <v>2511</v>
      </c>
      <c r="B73" s="100">
        <v>3.97</v>
      </c>
      <c r="C73" s="100">
        <v>13.86</v>
      </c>
      <c r="D73" s="100">
        <v>11.78</v>
      </c>
      <c r="E73" s="100">
        <v>13.92</v>
      </c>
      <c r="F73" s="152" t="s">
        <v>15</v>
      </c>
      <c r="G73" s="100">
        <v>43.23</v>
      </c>
      <c r="H73" s="100">
        <v>17.010000000000002</v>
      </c>
      <c r="I73" s="100">
        <v>4</v>
      </c>
      <c r="J73" s="100">
        <v>0.88</v>
      </c>
      <c r="K73" s="100">
        <v>337.35</v>
      </c>
      <c r="L73" s="100">
        <v>34.71</v>
      </c>
      <c r="M73" s="100">
        <v>19.73</v>
      </c>
      <c r="N73" s="100">
        <v>150.9</v>
      </c>
      <c r="O73" s="100">
        <v>0</v>
      </c>
      <c r="P73" s="100">
        <v>0.52</v>
      </c>
      <c r="Q73" s="100">
        <v>28.07</v>
      </c>
      <c r="R73" s="6"/>
      <c r="S73" s="6"/>
      <c r="T73" s="156"/>
      <c r="U73" s="6"/>
    </row>
    <row r="74" spans="1:21" customFormat="1">
      <c r="A74" s="163" t="s">
        <v>2512</v>
      </c>
      <c r="B74" s="100">
        <v>3.84</v>
      </c>
      <c r="C74" s="100">
        <v>13.71</v>
      </c>
      <c r="D74" s="100">
        <v>11.59</v>
      </c>
      <c r="E74" s="100">
        <v>12.29</v>
      </c>
      <c r="F74" s="152" t="s">
        <v>15</v>
      </c>
      <c r="G74" s="100">
        <v>43.23</v>
      </c>
      <c r="H74" s="100">
        <v>17.010000000000002</v>
      </c>
      <c r="I74" s="100">
        <v>3.73</v>
      </c>
      <c r="J74" s="100">
        <v>1.07</v>
      </c>
      <c r="K74" s="100">
        <v>14.12</v>
      </c>
      <c r="L74" s="100">
        <v>34.270000000000003</v>
      </c>
      <c r="M74" s="100">
        <v>21.15</v>
      </c>
      <c r="N74" s="100">
        <v>115.7</v>
      </c>
      <c r="O74" s="100">
        <v>0</v>
      </c>
      <c r="P74" s="100">
        <v>0.53</v>
      </c>
      <c r="Q74" s="100">
        <v>28.06</v>
      </c>
      <c r="R74" s="6"/>
      <c r="S74" s="6"/>
      <c r="T74" s="156"/>
      <c r="U74" s="6"/>
    </row>
    <row r="75" spans="1:21" customFormat="1">
      <c r="A75" s="163" t="s">
        <v>2513</v>
      </c>
      <c r="B75" s="100">
        <v>4.6500000000000004</v>
      </c>
      <c r="C75" s="100">
        <v>17.809999999999999</v>
      </c>
      <c r="D75" s="100">
        <v>14.39</v>
      </c>
      <c r="E75" s="100">
        <v>14.71</v>
      </c>
      <c r="F75" s="152" t="s">
        <v>15</v>
      </c>
      <c r="G75" s="100">
        <v>43.23</v>
      </c>
      <c r="H75" s="100">
        <v>17.010000000000002</v>
      </c>
      <c r="I75" s="100">
        <v>3.8</v>
      </c>
      <c r="J75" s="100">
        <v>0.84</v>
      </c>
      <c r="K75" s="100">
        <v>13.41</v>
      </c>
      <c r="L75" s="100">
        <v>34.15</v>
      </c>
      <c r="M75" s="100">
        <v>21.3</v>
      </c>
      <c r="N75" s="100">
        <v>135.80000000000001</v>
      </c>
      <c r="O75" s="100">
        <v>0</v>
      </c>
      <c r="P75" s="100">
        <v>0.55000000000000004</v>
      </c>
      <c r="Q75" s="100">
        <v>28.08</v>
      </c>
      <c r="R75" s="6"/>
      <c r="S75" s="6"/>
      <c r="T75" s="156"/>
      <c r="U75" s="6"/>
    </row>
    <row r="76" spans="1:21" customFormat="1">
      <c r="A76" s="163" t="s">
        <v>2514</v>
      </c>
      <c r="B76" s="100">
        <v>4.57</v>
      </c>
      <c r="C76" s="100">
        <v>16.670000000000002</v>
      </c>
      <c r="D76" s="100">
        <v>13.72</v>
      </c>
      <c r="E76" s="100">
        <v>16.46</v>
      </c>
      <c r="F76" s="152" t="s">
        <v>15</v>
      </c>
      <c r="G76" s="100">
        <v>46.72</v>
      </c>
      <c r="H76" s="100">
        <v>19.13</v>
      </c>
      <c r="I76" s="100">
        <v>4.8</v>
      </c>
      <c r="J76" s="100">
        <v>0.92</v>
      </c>
      <c r="K76" s="100">
        <v>313.8</v>
      </c>
      <c r="L76" s="100">
        <v>33.97</v>
      </c>
      <c r="M76" s="100">
        <v>21.5</v>
      </c>
      <c r="N76" s="100">
        <v>92.8</v>
      </c>
      <c r="O76" s="100">
        <v>0</v>
      </c>
      <c r="P76" s="100">
        <v>0.54</v>
      </c>
      <c r="Q76" s="100">
        <v>28.08</v>
      </c>
      <c r="R76" s="6"/>
      <c r="S76" s="6"/>
      <c r="T76" s="156"/>
      <c r="U76" s="6"/>
    </row>
    <row r="77" spans="1:21" customFormat="1">
      <c r="A77" s="163" t="s">
        <v>2515</v>
      </c>
      <c r="B77" s="100">
        <v>4.24</v>
      </c>
      <c r="C77" s="100">
        <v>17.739999999999998</v>
      </c>
      <c r="D77" s="100">
        <v>14.02</v>
      </c>
      <c r="E77" s="100">
        <v>9.93</v>
      </c>
      <c r="F77" s="152" t="s">
        <v>15</v>
      </c>
      <c r="G77" s="100">
        <v>47.99</v>
      </c>
      <c r="H77" s="100">
        <v>19.23</v>
      </c>
      <c r="I77" s="100">
        <v>4.84</v>
      </c>
      <c r="J77" s="100">
        <v>0.63</v>
      </c>
      <c r="K77" s="100">
        <v>341.27</v>
      </c>
      <c r="L77" s="100">
        <v>33.659999999999997</v>
      </c>
      <c r="M77" s="100">
        <v>21.9</v>
      </c>
      <c r="N77" s="100">
        <v>62.4</v>
      </c>
      <c r="O77" s="100">
        <v>0</v>
      </c>
      <c r="P77" s="100">
        <v>0.56000000000000005</v>
      </c>
      <c r="Q77" s="100">
        <v>28.08</v>
      </c>
      <c r="R77" s="6"/>
      <c r="S77" s="6"/>
      <c r="T77" s="156"/>
      <c r="U77" s="6"/>
    </row>
    <row r="78" spans="1:21" customFormat="1">
      <c r="A78" s="163" t="s">
        <v>2516</v>
      </c>
      <c r="B78" s="100">
        <v>4.92</v>
      </c>
      <c r="C78" s="100">
        <v>21.02</v>
      </c>
      <c r="D78" s="100">
        <v>16.28</v>
      </c>
      <c r="E78" s="100">
        <v>9.9700000000000006</v>
      </c>
      <c r="F78" s="152" t="s">
        <v>15</v>
      </c>
      <c r="G78" s="100">
        <v>47.99</v>
      </c>
      <c r="H78" s="100">
        <v>19.23</v>
      </c>
      <c r="I78" s="100">
        <v>4.59</v>
      </c>
      <c r="J78" s="100">
        <v>0.62</v>
      </c>
      <c r="K78" s="100">
        <v>20.49</v>
      </c>
      <c r="L78" s="100">
        <v>33.35</v>
      </c>
      <c r="M78" s="100">
        <v>21.07</v>
      </c>
      <c r="N78" s="100">
        <v>43.9</v>
      </c>
      <c r="O78" s="100">
        <v>0</v>
      </c>
      <c r="P78" s="100">
        <v>0.56999999999999995</v>
      </c>
      <c r="Q78" s="100">
        <v>28.08</v>
      </c>
      <c r="R78" s="6"/>
      <c r="S78" s="6"/>
      <c r="T78" s="156"/>
      <c r="U78" s="6"/>
    </row>
    <row r="79" spans="1:21" customFormat="1">
      <c r="A79" s="163" t="s">
        <v>2517</v>
      </c>
      <c r="B79" s="100">
        <v>5.07</v>
      </c>
      <c r="C79" s="100">
        <v>20.48</v>
      </c>
      <c r="D79" s="100">
        <v>16.12</v>
      </c>
      <c r="E79" s="100">
        <v>9.69</v>
      </c>
      <c r="F79" s="152" t="s">
        <v>15</v>
      </c>
      <c r="G79" s="100">
        <v>47.99</v>
      </c>
      <c r="H79" s="100">
        <v>19.23</v>
      </c>
      <c r="I79" s="100">
        <v>3.81</v>
      </c>
      <c r="J79" s="100">
        <v>0.46</v>
      </c>
      <c r="K79" s="100">
        <v>24.7</v>
      </c>
      <c r="L79" s="100">
        <v>32.94</v>
      </c>
      <c r="M79" s="100">
        <v>20.149999999999999</v>
      </c>
      <c r="N79" s="100">
        <v>29.7</v>
      </c>
      <c r="O79" s="100">
        <v>0</v>
      </c>
      <c r="P79" s="100">
        <v>0.57999999999999996</v>
      </c>
      <c r="Q79" s="100">
        <v>28.09</v>
      </c>
      <c r="R79" s="6"/>
      <c r="S79" s="6"/>
      <c r="T79" s="156"/>
      <c r="U79" s="6"/>
    </row>
    <row r="80" spans="1:21" customFormat="1">
      <c r="A80" s="163" t="s">
        <v>2518</v>
      </c>
      <c r="B80" s="100">
        <v>6.84</v>
      </c>
      <c r="C80" s="100">
        <v>22.55</v>
      </c>
      <c r="D80" s="100">
        <v>18.62</v>
      </c>
      <c r="E80" s="100">
        <v>11.77</v>
      </c>
      <c r="F80" s="152" t="s">
        <v>15</v>
      </c>
      <c r="G80" s="100">
        <v>46.73</v>
      </c>
      <c r="H80" s="100">
        <v>16.850000000000001</v>
      </c>
      <c r="I80" s="100">
        <v>4.72</v>
      </c>
      <c r="J80" s="100">
        <v>0.56999999999999995</v>
      </c>
      <c r="K80" s="100">
        <v>43.24</v>
      </c>
      <c r="L80" s="100">
        <v>32.479999999999997</v>
      </c>
      <c r="M80" s="100">
        <v>19.63</v>
      </c>
      <c r="N80" s="100">
        <v>17.3</v>
      </c>
      <c r="O80" s="100">
        <v>0</v>
      </c>
      <c r="P80" s="100">
        <v>0.59</v>
      </c>
      <c r="Q80" s="100">
        <v>28.1</v>
      </c>
      <c r="R80" s="6"/>
      <c r="S80" s="6"/>
      <c r="T80" s="156"/>
      <c r="U80" s="6"/>
    </row>
    <row r="81" spans="1:21" customFormat="1">
      <c r="A81" s="163" t="s">
        <v>2519</v>
      </c>
      <c r="B81" s="100">
        <v>10.14</v>
      </c>
      <c r="C81" s="100">
        <v>24.86</v>
      </c>
      <c r="D81" s="100">
        <v>22.47</v>
      </c>
      <c r="E81" s="100">
        <v>12.18</v>
      </c>
      <c r="F81" s="152" t="s">
        <v>15</v>
      </c>
      <c r="G81" s="100">
        <v>46.27</v>
      </c>
      <c r="H81" s="100">
        <v>16.78</v>
      </c>
      <c r="I81" s="100">
        <v>4.87</v>
      </c>
      <c r="J81" s="100">
        <v>0.52</v>
      </c>
      <c r="K81" s="100">
        <v>53.23</v>
      </c>
      <c r="L81" s="100">
        <v>32.04</v>
      </c>
      <c r="M81" s="100">
        <v>20.37</v>
      </c>
      <c r="N81" s="100">
        <v>9.4</v>
      </c>
      <c r="O81" s="100">
        <v>0</v>
      </c>
      <c r="P81" s="100">
        <v>0.64</v>
      </c>
      <c r="Q81" s="100">
        <v>28.11</v>
      </c>
      <c r="R81" s="6"/>
      <c r="S81" s="6"/>
      <c r="T81" s="156"/>
      <c r="U81" s="6"/>
    </row>
    <row r="82" spans="1:21" customFormat="1">
      <c r="A82" s="163" t="s">
        <v>2520</v>
      </c>
      <c r="B82" s="100">
        <v>9.17</v>
      </c>
      <c r="C82" s="100">
        <v>26.14</v>
      </c>
      <c r="D82" s="100">
        <v>22.36</v>
      </c>
      <c r="E82" s="100">
        <v>13.27</v>
      </c>
      <c r="F82" s="152" t="s">
        <v>15</v>
      </c>
      <c r="G82" s="100">
        <v>46.27</v>
      </c>
      <c r="H82" s="100">
        <v>16.78</v>
      </c>
      <c r="I82" s="100">
        <v>4.7699999999999996</v>
      </c>
      <c r="J82" s="100">
        <v>0.57999999999999996</v>
      </c>
      <c r="K82" s="100">
        <v>51.98</v>
      </c>
      <c r="L82" s="100">
        <v>31.53</v>
      </c>
      <c r="M82" s="100">
        <v>21.21</v>
      </c>
      <c r="N82" s="100">
        <v>6.4</v>
      </c>
      <c r="O82" s="100">
        <v>0</v>
      </c>
      <c r="P82" s="100">
        <v>0.67</v>
      </c>
      <c r="Q82" s="100">
        <v>28.13</v>
      </c>
      <c r="R82" s="6"/>
      <c r="S82" s="6"/>
      <c r="T82" s="156"/>
      <c r="U82" s="6"/>
    </row>
    <row r="83" spans="1:21" customFormat="1">
      <c r="A83" s="163" t="s">
        <v>2521</v>
      </c>
      <c r="B83" s="100">
        <v>9.51</v>
      </c>
      <c r="C83" s="100">
        <v>28.18</v>
      </c>
      <c r="D83" s="100">
        <v>23.71</v>
      </c>
      <c r="E83" s="100">
        <v>12.03</v>
      </c>
      <c r="F83" s="152" t="s">
        <v>15</v>
      </c>
      <c r="G83" s="100">
        <v>46.27</v>
      </c>
      <c r="H83" s="100">
        <v>16.78</v>
      </c>
      <c r="I83" s="100">
        <v>5.41</v>
      </c>
      <c r="J83" s="100">
        <v>0.45</v>
      </c>
      <c r="K83" s="100">
        <v>44.25</v>
      </c>
      <c r="L83" s="100">
        <v>30.94</v>
      </c>
      <c r="M83" s="100">
        <v>22.01</v>
      </c>
      <c r="N83" s="100">
        <v>5.8</v>
      </c>
      <c r="O83" s="100">
        <v>0</v>
      </c>
      <c r="P83" s="100">
        <v>0.68</v>
      </c>
      <c r="Q83" s="100">
        <v>28.15</v>
      </c>
      <c r="R83" s="6"/>
      <c r="S83" s="6"/>
      <c r="T83" s="156"/>
      <c r="U83" s="6"/>
    </row>
    <row r="84" spans="1:21" customFormat="1">
      <c r="A84" s="163" t="s">
        <v>2522</v>
      </c>
      <c r="B84" s="100">
        <v>10.68</v>
      </c>
      <c r="C84" s="100">
        <v>30.12</v>
      </c>
      <c r="D84" s="100">
        <v>25.66</v>
      </c>
      <c r="E84" s="100">
        <v>9.83</v>
      </c>
      <c r="F84" s="152" t="s">
        <v>15</v>
      </c>
      <c r="G84" s="100">
        <v>50.65</v>
      </c>
      <c r="H84" s="100">
        <v>18.57</v>
      </c>
      <c r="I84" s="100">
        <v>5.74</v>
      </c>
      <c r="J84" s="100">
        <v>0.6</v>
      </c>
      <c r="K84" s="100">
        <v>46.1</v>
      </c>
      <c r="L84" s="100">
        <v>30.56</v>
      </c>
      <c r="M84" s="100">
        <v>22.12</v>
      </c>
      <c r="N84" s="100">
        <v>5.7</v>
      </c>
      <c r="O84" s="100">
        <v>0</v>
      </c>
      <c r="P84" s="100">
        <v>0.69</v>
      </c>
      <c r="Q84" s="100">
        <v>28.18</v>
      </c>
      <c r="R84" s="6"/>
      <c r="S84" s="6"/>
      <c r="T84" s="156"/>
      <c r="U84" s="6"/>
    </row>
    <row r="85" spans="1:21" customFormat="1">
      <c r="A85" s="163" t="s">
        <v>2523</v>
      </c>
      <c r="B85" s="100">
        <v>10.27</v>
      </c>
      <c r="C85" s="100">
        <v>29.39</v>
      </c>
      <c r="D85" s="100">
        <v>24.94</v>
      </c>
      <c r="E85" s="100">
        <v>8.67</v>
      </c>
      <c r="F85" s="152" t="s">
        <v>15</v>
      </c>
      <c r="G85" s="100">
        <v>52.24</v>
      </c>
      <c r="H85" s="100">
        <v>18.59</v>
      </c>
      <c r="I85" s="100">
        <v>5.89</v>
      </c>
      <c r="J85" s="100">
        <v>0.48</v>
      </c>
      <c r="K85" s="100">
        <v>66.78</v>
      </c>
      <c r="L85" s="100">
        <v>30.18</v>
      </c>
      <c r="M85" s="100">
        <v>23.36</v>
      </c>
      <c r="N85" s="100">
        <v>6.1</v>
      </c>
      <c r="O85" s="100">
        <v>0</v>
      </c>
      <c r="P85" s="100">
        <v>0.72</v>
      </c>
      <c r="Q85" s="100">
        <v>28.22</v>
      </c>
      <c r="R85" s="6"/>
      <c r="S85" s="6"/>
      <c r="T85" s="156"/>
      <c r="U85" s="6"/>
    </row>
    <row r="86" spans="1:21" customFormat="1">
      <c r="A86" s="163" t="s">
        <v>2524</v>
      </c>
      <c r="B86" s="100">
        <v>8.5399999999999991</v>
      </c>
      <c r="C86" s="100">
        <v>27.82</v>
      </c>
      <c r="D86" s="100">
        <v>22.73</v>
      </c>
      <c r="E86" s="100">
        <v>8.18</v>
      </c>
      <c r="F86" s="152" t="s">
        <v>15</v>
      </c>
      <c r="G86" s="100">
        <v>52.24</v>
      </c>
      <c r="H86" s="100">
        <v>18.59</v>
      </c>
      <c r="I86" s="100">
        <v>5.97</v>
      </c>
      <c r="J86" s="100">
        <v>0.3</v>
      </c>
      <c r="K86" s="100">
        <v>159.47999999999999</v>
      </c>
      <c r="L86" s="100">
        <v>28.96</v>
      </c>
      <c r="M86" s="100">
        <v>28.1</v>
      </c>
      <c r="N86" s="100">
        <v>6.8</v>
      </c>
      <c r="O86" s="100">
        <v>0</v>
      </c>
      <c r="P86" s="100">
        <v>0.72</v>
      </c>
      <c r="Q86" s="100">
        <v>28.21</v>
      </c>
      <c r="R86" s="6"/>
      <c r="S86" s="6"/>
      <c r="T86" s="156"/>
      <c r="U86" s="6"/>
    </row>
    <row r="87" spans="1:21" customFormat="1">
      <c r="A87" s="163" t="s">
        <v>2525</v>
      </c>
      <c r="B87" s="100">
        <v>8.09</v>
      </c>
      <c r="C87" s="100">
        <v>26.92</v>
      </c>
      <c r="D87" s="100">
        <v>21.9</v>
      </c>
      <c r="E87" s="100">
        <v>8.1300000000000008</v>
      </c>
      <c r="F87" s="152" t="s">
        <v>15</v>
      </c>
      <c r="G87" s="100">
        <v>52.24</v>
      </c>
      <c r="H87" s="100">
        <v>18.59</v>
      </c>
      <c r="I87" s="100">
        <v>6.51</v>
      </c>
      <c r="J87" s="100">
        <v>0.27</v>
      </c>
      <c r="K87" s="100">
        <v>168.79</v>
      </c>
      <c r="L87" s="100">
        <v>27.98</v>
      </c>
      <c r="M87" s="100">
        <v>29.9</v>
      </c>
      <c r="N87" s="100">
        <v>6.4</v>
      </c>
      <c r="O87" s="100">
        <v>0</v>
      </c>
      <c r="P87" s="100">
        <v>0.74</v>
      </c>
      <c r="Q87" s="100">
        <v>28.22</v>
      </c>
      <c r="R87" s="6"/>
      <c r="S87" s="6"/>
      <c r="T87" s="156"/>
      <c r="U87" s="6"/>
    </row>
    <row r="88" spans="1:21" customFormat="1">
      <c r="A88" s="163" t="s">
        <v>2526</v>
      </c>
      <c r="B88" s="100">
        <v>8.17</v>
      </c>
      <c r="C88" s="100">
        <v>26.68</v>
      </c>
      <c r="D88" s="100">
        <v>21.84</v>
      </c>
      <c r="E88" s="100">
        <v>8</v>
      </c>
      <c r="F88" s="152" t="s">
        <v>15</v>
      </c>
      <c r="G88" s="100">
        <v>64.42</v>
      </c>
      <c r="H88" s="100">
        <v>23.74</v>
      </c>
      <c r="I88" s="100">
        <v>7.64</v>
      </c>
      <c r="J88" s="100">
        <v>0.18</v>
      </c>
      <c r="K88" s="100">
        <v>112.28</v>
      </c>
      <c r="L88" s="100">
        <v>27.68</v>
      </c>
      <c r="M88" s="100">
        <v>30.97</v>
      </c>
      <c r="N88" s="100">
        <v>5.8</v>
      </c>
      <c r="O88" s="100">
        <v>0</v>
      </c>
      <c r="P88" s="100">
        <v>0.76</v>
      </c>
      <c r="Q88" s="100">
        <v>28.24</v>
      </c>
      <c r="R88" s="6"/>
      <c r="S88" s="6"/>
      <c r="T88" s="156"/>
      <c r="U88" s="6"/>
    </row>
    <row r="89" spans="1:21" customFormat="1">
      <c r="A89" s="163" t="s">
        <v>2527</v>
      </c>
      <c r="B89" s="100">
        <v>8.99</v>
      </c>
      <c r="C89" s="100">
        <v>27.61</v>
      </c>
      <c r="D89" s="100">
        <v>22.99</v>
      </c>
      <c r="E89" s="100">
        <v>7.71</v>
      </c>
      <c r="F89" s="152" t="s">
        <v>15</v>
      </c>
      <c r="G89" s="100">
        <v>68.849999999999994</v>
      </c>
      <c r="H89" s="100">
        <v>23.82</v>
      </c>
      <c r="I89" s="100">
        <v>8.74</v>
      </c>
      <c r="J89" s="100">
        <v>0.25</v>
      </c>
      <c r="K89" s="100">
        <v>155.04</v>
      </c>
      <c r="L89" s="100">
        <v>27.57</v>
      </c>
      <c r="M89" s="100">
        <v>33.22</v>
      </c>
      <c r="N89" s="100">
        <v>6</v>
      </c>
      <c r="O89" s="100">
        <v>0</v>
      </c>
      <c r="P89" s="100">
        <v>0.79</v>
      </c>
      <c r="Q89" s="100">
        <v>28.23</v>
      </c>
      <c r="R89" s="6"/>
      <c r="S89" s="6"/>
      <c r="T89" s="156"/>
      <c r="U89" s="6"/>
    </row>
    <row r="90" spans="1:21" customFormat="1">
      <c r="A90" s="163" t="s">
        <v>2528</v>
      </c>
      <c r="B90" s="100">
        <v>8.94</v>
      </c>
      <c r="C90" s="100">
        <v>26.25</v>
      </c>
      <c r="D90" s="100">
        <v>22.23</v>
      </c>
      <c r="E90" s="100">
        <v>7.63</v>
      </c>
      <c r="F90" s="152" t="s">
        <v>15</v>
      </c>
      <c r="G90" s="100">
        <v>68.849999999999994</v>
      </c>
      <c r="H90" s="100">
        <v>23.82</v>
      </c>
      <c r="I90" s="100">
        <v>9.41</v>
      </c>
      <c r="J90" s="100">
        <v>0.34</v>
      </c>
      <c r="K90" s="100">
        <v>200.17</v>
      </c>
      <c r="L90" s="100">
        <v>25.9</v>
      </c>
      <c r="M90" s="100">
        <v>39.53</v>
      </c>
      <c r="N90" s="100">
        <v>6.6</v>
      </c>
      <c r="O90" s="100">
        <v>0</v>
      </c>
      <c r="P90" s="100">
        <v>0.8</v>
      </c>
      <c r="Q90" s="100">
        <v>28.25</v>
      </c>
      <c r="R90" s="6"/>
      <c r="S90" s="6"/>
      <c r="T90" s="156"/>
      <c r="U90" s="6"/>
    </row>
    <row r="91" spans="1:21" customFormat="1">
      <c r="A91" s="163" t="s">
        <v>2529</v>
      </c>
      <c r="B91" s="100">
        <v>8.94</v>
      </c>
      <c r="C91" s="100">
        <v>25.45</v>
      </c>
      <c r="D91" s="100">
        <v>21.82</v>
      </c>
      <c r="E91" s="100">
        <v>7.99</v>
      </c>
      <c r="F91" s="152" t="s">
        <v>15</v>
      </c>
      <c r="G91" s="100">
        <v>68.849999999999994</v>
      </c>
      <c r="H91" s="100">
        <v>23.82</v>
      </c>
      <c r="I91" s="100">
        <v>9.99</v>
      </c>
      <c r="J91" s="100">
        <v>0.28000000000000003</v>
      </c>
      <c r="K91" s="100">
        <v>197.94</v>
      </c>
      <c r="L91" s="100">
        <v>25.11</v>
      </c>
      <c r="M91" s="100">
        <v>41.94</v>
      </c>
      <c r="N91" s="100">
        <v>6.4</v>
      </c>
      <c r="O91" s="100">
        <v>0</v>
      </c>
      <c r="P91" s="100">
        <v>0.8</v>
      </c>
      <c r="Q91" s="100">
        <v>28.24</v>
      </c>
      <c r="R91" s="6"/>
      <c r="S91" s="6"/>
      <c r="T91" s="156"/>
      <c r="U91" s="6"/>
    </row>
    <row r="92" spans="1:21" customFormat="1">
      <c r="A92" s="163" t="s">
        <v>2530</v>
      </c>
      <c r="B92" s="100">
        <v>8.83</v>
      </c>
      <c r="C92" s="100">
        <v>24.74</v>
      </c>
      <c r="D92" s="100">
        <v>21.35</v>
      </c>
      <c r="E92" s="100">
        <v>8.2100000000000009</v>
      </c>
      <c r="F92" s="152" t="s">
        <v>15</v>
      </c>
      <c r="G92" s="100">
        <v>79.45</v>
      </c>
      <c r="H92" s="100">
        <v>25.46</v>
      </c>
      <c r="I92" s="100">
        <v>10.26</v>
      </c>
      <c r="J92" s="100">
        <v>0.25</v>
      </c>
      <c r="K92" s="100">
        <v>203.63</v>
      </c>
      <c r="L92" s="100">
        <v>24.81</v>
      </c>
      <c r="M92" s="100">
        <v>40.549999999999997</v>
      </c>
      <c r="N92" s="100">
        <v>5.9</v>
      </c>
      <c r="O92" s="100">
        <v>0</v>
      </c>
      <c r="P92" s="100">
        <v>0.81</v>
      </c>
      <c r="Q92" s="100">
        <v>28.23</v>
      </c>
      <c r="R92" s="6"/>
      <c r="S92" s="6"/>
      <c r="T92" s="156"/>
      <c r="U92" s="6"/>
    </row>
    <row r="93" spans="1:21" customFormat="1">
      <c r="A93" s="163" t="s">
        <v>2531</v>
      </c>
      <c r="B93" s="100">
        <v>8.67</v>
      </c>
      <c r="C93" s="100">
        <v>24</v>
      </c>
      <c r="D93" s="100">
        <v>20.84</v>
      </c>
      <c r="E93" s="100">
        <v>7.79</v>
      </c>
      <c r="F93" s="152" t="s">
        <v>15</v>
      </c>
      <c r="G93" s="100">
        <v>83.3</v>
      </c>
      <c r="H93" s="100">
        <v>25.51</v>
      </c>
      <c r="I93" s="100">
        <v>10.3</v>
      </c>
      <c r="J93" s="100">
        <v>0.34</v>
      </c>
      <c r="K93" s="100">
        <v>253.09</v>
      </c>
      <c r="L93" s="100">
        <v>24.72</v>
      </c>
      <c r="M93" s="100">
        <v>41.7</v>
      </c>
      <c r="N93" s="100">
        <v>5.8</v>
      </c>
      <c r="O93" s="100">
        <v>0</v>
      </c>
      <c r="P93" s="100">
        <v>0.81</v>
      </c>
      <c r="Q93" s="100">
        <v>28.26</v>
      </c>
      <c r="R93" s="6"/>
      <c r="S93" s="6"/>
      <c r="T93" s="156"/>
      <c r="U93" s="6"/>
    </row>
    <row r="94" spans="1:21" customFormat="1">
      <c r="A94" s="163" t="s">
        <v>2532</v>
      </c>
      <c r="B94" s="100">
        <v>8.57</v>
      </c>
      <c r="C94" s="100">
        <v>23.59</v>
      </c>
      <c r="D94" s="100">
        <v>20.55</v>
      </c>
      <c r="E94" s="100">
        <v>7.78</v>
      </c>
      <c r="F94" s="152" t="s">
        <v>15</v>
      </c>
      <c r="G94" s="100">
        <v>83.3</v>
      </c>
      <c r="H94" s="100">
        <v>25.51</v>
      </c>
      <c r="I94" s="100">
        <v>10.220000000000001</v>
      </c>
      <c r="J94" s="100">
        <v>0.18</v>
      </c>
      <c r="K94" s="100">
        <v>190.94</v>
      </c>
      <c r="L94" s="100">
        <v>24.69</v>
      </c>
      <c r="M94" s="100">
        <v>43.4</v>
      </c>
      <c r="N94" s="100">
        <v>5.6</v>
      </c>
      <c r="O94" s="100">
        <v>0</v>
      </c>
      <c r="P94" s="100">
        <v>0.81</v>
      </c>
      <c r="Q94" s="100">
        <v>28.24</v>
      </c>
      <c r="R94" s="6"/>
      <c r="S94" s="6"/>
      <c r="T94" s="156"/>
      <c r="U94" s="6"/>
    </row>
    <row r="95" spans="1:21" customFormat="1">
      <c r="A95" s="163" t="s">
        <v>2533</v>
      </c>
      <c r="B95" s="100">
        <v>8.4499999999999993</v>
      </c>
      <c r="C95" s="100">
        <v>23.24</v>
      </c>
      <c r="D95" s="100">
        <v>20.27</v>
      </c>
      <c r="E95" s="100">
        <v>8.06</v>
      </c>
      <c r="F95" s="152" t="s">
        <v>15</v>
      </c>
      <c r="G95" s="100">
        <v>83.3</v>
      </c>
      <c r="H95" s="100">
        <v>25.51</v>
      </c>
      <c r="I95" s="100">
        <v>10.09</v>
      </c>
      <c r="J95" s="100">
        <v>0.2</v>
      </c>
      <c r="K95" s="100">
        <v>183.47</v>
      </c>
      <c r="L95" s="100">
        <v>24.74</v>
      </c>
      <c r="M95" s="100">
        <v>41.74</v>
      </c>
      <c r="N95" s="100">
        <v>5.6</v>
      </c>
      <c r="O95" s="100">
        <v>0</v>
      </c>
      <c r="P95" s="100">
        <v>0.82</v>
      </c>
      <c r="Q95" s="100">
        <v>28.21</v>
      </c>
      <c r="R95" s="6"/>
      <c r="S95" s="6"/>
      <c r="T95" s="156"/>
      <c r="U95" s="6"/>
    </row>
    <row r="96" spans="1:21" customFormat="1">
      <c r="A96" s="163" t="s">
        <v>2534</v>
      </c>
      <c r="B96" s="100">
        <v>8.3699999999999992</v>
      </c>
      <c r="C96" s="100">
        <v>23.01</v>
      </c>
      <c r="D96" s="100">
        <v>20.079999999999998</v>
      </c>
      <c r="E96" s="100">
        <v>7.96</v>
      </c>
      <c r="F96" s="152" t="s">
        <v>15</v>
      </c>
      <c r="G96" s="100">
        <v>82.91</v>
      </c>
      <c r="H96" s="100">
        <v>25.49</v>
      </c>
      <c r="I96" s="100">
        <v>10.050000000000001</v>
      </c>
      <c r="J96" s="100">
        <v>0.28000000000000003</v>
      </c>
      <c r="K96" s="100">
        <v>159.54</v>
      </c>
      <c r="L96" s="100">
        <v>24.88</v>
      </c>
      <c r="M96" s="100">
        <v>42.09</v>
      </c>
      <c r="N96" s="100">
        <v>5.7</v>
      </c>
      <c r="O96" s="100">
        <v>0</v>
      </c>
      <c r="P96" s="100">
        <v>0.83</v>
      </c>
      <c r="Q96" s="100">
        <v>28.21</v>
      </c>
      <c r="R96" s="6"/>
      <c r="S96" s="6"/>
      <c r="T96" s="156"/>
      <c r="U96" s="6"/>
    </row>
    <row r="97" spans="1:28" customFormat="1">
      <c r="A97" s="163" t="s">
        <v>2535</v>
      </c>
      <c r="B97" s="100">
        <v>8.5</v>
      </c>
      <c r="C97" s="100">
        <v>22.74</v>
      </c>
      <c r="D97" s="100">
        <v>20.05</v>
      </c>
      <c r="E97" s="100">
        <v>8.07</v>
      </c>
      <c r="F97" s="152" t="s">
        <v>15</v>
      </c>
      <c r="G97" s="100">
        <v>82.77</v>
      </c>
      <c r="H97" s="100">
        <v>25.49</v>
      </c>
      <c r="I97" s="100">
        <v>10.039999999999999</v>
      </c>
      <c r="J97" s="100">
        <v>0.08</v>
      </c>
      <c r="K97" s="100">
        <v>218.47</v>
      </c>
      <c r="L97" s="100">
        <v>24.69</v>
      </c>
      <c r="M97" s="100">
        <v>40.68</v>
      </c>
      <c r="N97" s="100">
        <v>5.6</v>
      </c>
      <c r="O97" s="100">
        <v>0</v>
      </c>
      <c r="P97" s="100">
        <v>0.85</v>
      </c>
      <c r="Q97" s="100">
        <v>28.22</v>
      </c>
      <c r="R97" s="6"/>
      <c r="S97" s="6"/>
      <c r="T97" s="156"/>
      <c r="U97" s="6"/>
    </row>
    <row r="98" spans="1:28" customFormat="1">
      <c r="A98" s="163" t="s">
        <v>2536</v>
      </c>
      <c r="B98" s="100">
        <v>10.119999999999999</v>
      </c>
      <c r="C98" s="100">
        <v>23.12</v>
      </c>
      <c r="D98" s="100">
        <v>21.54</v>
      </c>
      <c r="E98" s="100">
        <v>8.02</v>
      </c>
      <c r="F98" s="152" t="s">
        <v>15</v>
      </c>
      <c r="G98" s="100">
        <v>82.77</v>
      </c>
      <c r="H98" s="100">
        <v>25.49</v>
      </c>
      <c r="I98" s="100">
        <v>10.119999999999999</v>
      </c>
      <c r="J98" s="100">
        <v>0.33</v>
      </c>
      <c r="K98" s="100">
        <v>201.39</v>
      </c>
      <c r="L98" s="100">
        <v>24.56</v>
      </c>
      <c r="M98" s="100">
        <v>43.7</v>
      </c>
      <c r="N98" s="100">
        <v>6.1</v>
      </c>
      <c r="O98" s="100">
        <v>0</v>
      </c>
      <c r="P98" s="100">
        <v>0.86</v>
      </c>
      <c r="Q98" s="100">
        <v>28.26</v>
      </c>
      <c r="R98" s="6"/>
      <c r="S98" s="6"/>
      <c r="T98" s="156"/>
      <c r="U98" s="6"/>
    </row>
    <row r="99" spans="1:28" customFormat="1">
      <c r="A99" s="163" t="s">
        <v>2537</v>
      </c>
      <c r="B99" s="100">
        <v>11.1</v>
      </c>
      <c r="C99" s="100">
        <v>22.96</v>
      </c>
      <c r="D99" s="100">
        <v>22.25</v>
      </c>
      <c r="E99" s="100">
        <v>8.0299999999999994</v>
      </c>
      <c r="F99" s="152" t="s">
        <v>15</v>
      </c>
      <c r="G99" s="100">
        <v>82.77</v>
      </c>
      <c r="H99" s="100">
        <v>25.49</v>
      </c>
      <c r="I99" s="100">
        <v>10.210000000000001</v>
      </c>
      <c r="J99" s="100">
        <v>0.2</v>
      </c>
      <c r="K99" s="100">
        <v>159.86000000000001</v>
      </c>
      <c r="L99" s="100">
        <v>23.79</v>
      </c>
      <c r="M99" s="100">
        <v>46.8</v>
      </c>
      <c r="N99" s="100">
        <v>6.1</v>
      </c>
      <c r="O99" s="100">
        <v>0</v>
      </c>
      <c r="P99" s="100">
        <v>0.88</v>
      </c>
      <c r="Q99" s="100">
        <v>28.31</v>
      </c>
      <c r="R99" s="6"/>
      <c r="S99" s="6"/>
      <c r="T99" s="156"/>
      <c r="U99" s="6"/>
    </row>
    <row r="100" spans="1:28" customFormat="1">
      <c r="A100" s="163" t="s">
        <v>2538</v>
      </c>
      <c r="B100" s="100">
        <v>11.25</v>
      </c>
      <c r="C100" s="100">
        <v>22.73</v>
      </c>
      <c r="D100" s="100">
        <v>22.25</v>
      </c>
      <c r="E100" s="100">
        <v>7.97</v>
      </c>
      <c r="F100" s="152" t="s">
        <v>15</v>
      </c>
      <c r="G100" s="100">
        <v>88.09</v>
      </c>
      <c r="H100" s="100">
        <v>29.26</v>
      </c>
      <c r="I100" s="100">
        <v>10.29</v>
      </c>
      <c r="J100" s="100">
        <v>0.22</v>
      </c>
      <c r="K100" s="100">
        <v>217.67</v>
      </c>
      <c r="L100" s="100">
        <v>23.97</v>
      </c>
      <c r="M100" s="100">
        <v>44.2</v>
      </c>
      <c r="N100" s="100">
        <v>5.6</v>
      </c>
      <c r="O100" s="100">
        <v>0</v>
      </c>
      <c r="P100" s="100">
        <v>0.87</v>
      </c>
      <c r="Q100" s="100">
        <v>28.31</v>
      </c>
      <c r="R100" s="6"/>
      <c r="S100" s="6"/>
      <c r="T100" s="156"/>
      <c r="U100" s="6"/>
      <c r="AB100" s="161"/>
    </row>
    <row r="101" spans="1:28" customFormat="1">
      <c r="A101" s="163" t="s">
        <v>2539</v>
      </c>
      <c r="B101" s="100">
        <v>11.69</v>
      </c>
      <c r="C101" s="100">
        <v>22.77</v>
      </c>
      <c r="D101" s="100">
        <v>22.62</v>
      </c>
      <c r="E101" s="100">
        <v>8.1300000000000008</v>
      </c>
      <c r="F101" s="152" t="s">
        <v>15</v>
      </c>
      <c r="G101" s="100">
        <v>90.02</v>
      </c>
      <c r="H101" s="100">
        <v>29.35</v>
      </c>
      <c r="I101" s="100">
        <v>10.210000000000001</v>
      </c>
      <c r="J101" s="100">
        <v>0.15</v>
      </c>
      <c r="K101" s="100">
        <v>157.41999999999999</v>
      </c>
      <c r="L101" s="100">
        <v>23.85</v>
      </c>
      <c r="M101" s="100">
        <v>45.16</v>
      </c>
      <c r="N101" s="100">
        <v>5.8</v>
      </c>
      <c r="O101" s="100">
        <v>0</v>
      </c>
      <c r="P101" s="100">
        <v>0.88</v>
      </c>
      <c r="Q101" s="100">
        <v>28.32</v>
      </c>
      <c r="R101" s="6"/>
      <c r="S101" s="6"/>
      <c r="T101" s="156"/>
      <c r="U101" s="6"/>
    </row>
    <row r="102" spans="1:28" customFormat="1">
      <c r="A102" s="163" t="s">
        <v>2540</v>
      </c>
      <c r="B102" s="100">
        <v>12.82</v>
      </c>
      <c r="C102" s="100">
        <v>23.12</v>
      </c>
      <c r="D102" s="100">
        <v>23.71</v>
      </c>
      <c r="E102" s="100">
        <v>8.11</v>
      </c>
      <c r="F102" s="152" t="s">
        <v>15</v>
      </c>
      <c r="G102" s="100">
        <v>90.02</v>
      </c>
      <c r="H102" s="100">
        <v>29.35</v>
      </c>
      <c r="I102" s="100">
        <v>10.19</v>
      </c>
      <c r="J102" s="100">
        <v>0.32</v>
      </c>
      <c r="K102" s="100">
        <v>195.18</v>
      </c>
      <c r="L102" s="100">
        <v>23.99</v>
      </c>
      <c r="M102" s="100">
        <v>44.65</v>
      </c>
      <c r="N102" s="100">
        <v>5.6</v>
      </c>
      <c r="O102" s="100">
        <v>0</v>
      </c>
      <c r="P102" s="100">
        <v>0.88</v>
      </c>
      <c r="Q102" s="100">
        <v>28.35</v>
      </c>
      <c r="R102" s="6"/>
      <c r="S102" s="6"/>
      <c r="T102" s="156"/>
      <c r="U102" s="6"/>
    </row>
    <row r="103" spans="1:28" customFormat="1">
      <c r="A103" s="163" t="s">
        <v>2541</v>
      </c>
      <c r="B103" s="100">
        <v>14.08</v>
      </c>
      <c r="C103" s="100">
        <v>23.45</v>
      </c>
      <c r="D103" s="100">
        <v>24.89</v>
      </c>
      <c r="E103" s="100">
        <v>8.16</v>
      </c>
      <c r="F103" s="152" t="s">
        <v>15</v>
      </c>
      <c r="G103" s="100">
        <v>90.02</v>
      </c>
      <c r="H103" s="100">
        <v>29.35</v>
      </c>
      <c r="I103" s="100">
        <v>10.210000000000001</v>
      </c>
      <c r="J103" s="100">
        <v>0.13</v>
      </c>
      <c r="K103" s="100">
        <v>201.75</v>
      </c>
      <c r="L103" s="100">
        <v>22.82</v>
      </c>
      <c r="M103" s="100">
        <v>50.79</v>
      </c>
      <c r="N103" s="100">
        <v>6.5</v>
      </c>
      <c r="O103" s="100">
        <v>0</v>
      </c>
      <c r="P103" s="100">
        <v>0.9</v>
      </c>
      <c r="Q103" s="100">
        <v>28.41</v>
      </c>
      <c r="R103" s="6"/>
      <c r="S103" s="6"/>
      <c r="T103" s="156"/>
      <c r="U103" s="6"/>
    </row>
    <row r="104" spans="1:28" customFormat="1">
      <c r="A104" s="163" t="s">
        <v>2542</v>
      </c>
      <c r="B104" s="100">
        <v>14.7</v>
      </c>
      <c r="C104" s="100">
        <v>23.24</v>
      </c>
      <c r="D104" s="100">
        <v>25.28</v>
      </c>
      <c r="E104" s="100">
        <v>8.41</v>
      </c>
      <c r="F104" s="152" t="s">
        <v>15</v>
      </c>
      <c r="G104" s="100">
        <v>94.43</v>
      </c>
      <c r="H104" s="100">
        <v>29.72</v>
      </c>
      <c r="I104" s="100">
        <v>10.23</v>
      </c>
      <c r="J104" s="100">
        <v>0.2</v>
      </c>
      <c r="K104" s="100">
        <v>138.56</v>
      </c>
      <c r="L104" s="100">
        <v>23.11</v>
      </c>
      <c r="M104" s="100">
        <v>48.1</v>
      </c>
      <c r="N104" s="100">
        <v>5.6</v>
      </c>
      <c r="O104" s="100">
        <v>0</v>
      </c>
      <c r="P104" s="100">
        <v>0.91</v>
      </c>
      <c r="Q104" s="100">
        <v>28.42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3.74</v>
      </c>
      <c r="C106" s="158">
        <f>MIN(C9:C104)</f>
        <v>11</v>
      </c>
      <c r="D106" s="158">
        <f t="shared" ref="D106:Q106" si="0">MIN(D9:D104)</f>
        <v>10.11</v>
      </c>
      <c r="E106" s="158">
        <f t="shared" si="0"/>
        <v>6.69</v>
      </c>
      <c r="F106" s="158">
        <f t="shared" si="0"/>
        <v>0</v>
      </c>
      <c r="G106" s="158">
        <f t="shared" si="0"/>
        <v>34.75</v>
      </c>
      <c r="H106" s="158">
        <f t="shared" si="0"/>
        <v>14.99</v>
      </c>
      <c r="I106" s="158">
        <f t="shared" si="0"/>
        <v>0</v>
      </c>
      <c r="J106" s="158">
        <f t="shared" si="0"/>
        <v>-0.56000000000000005</v>
      </c>
      <c r="K106" s="158">
        <f t="shared" si="0"/>
        <v>0.04</v>
      </c>
      <c r="L106" s="158">
        <f t="shared" si="0"/>
        <v>22.73</v>
      </c>
      <c r="M106" s="158">
        <f t="shared" si="0"/>
        <v>17.52</v>
      </c>
      <c r="N106" s="158">
        <f t="shared" si="0"/>
        <v>5.6</v>
      </c>
      <c r="O106" s="158">
        <f t="shared" si="0"/>
        <v>0</v>
      </c>
      <c r="P106" s="158">
        <f t="shared" si="0"/>
        <v>0.52</v>
      </c>
      <c r="Q106" s="158">
        <f t="shared" si="0"/>
        <v>28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15.53</v>
      </c>
      <c r="C107" s="157">
        <f t="shared" ref="C107:Q107" si="1">MAX(C9:C104)</f>
        <v>30.12</v>
      </c>
      <c r="D107" s="157">
        <f t="shared" si="1"/>
        <v>25.66</v>
      </c>
      <c r="E107" s="157">
        <f t="shared" si="1"/>
        <v>17.97</v>
      </c>
      <c r="F107" s="157">
        <f t="shared" si="1"/>
        <v>0</v>
      </c>
      <c r="G107" s="157">
        <f t="shared" si="1"/>
        <v>94.43</v>
      </c>
      <c r="H107" s="157">
        <f t="shared" si="1"/>
        <v>29.72</v>
      </c>
      <c r="I107" s="157">
        <f t="shared" si="1"/>
        <v>10.3</v>
      </c>
      <c r="J107" s="157">
        <f t="shared" si="1"/>
        <v>1.41</v>
      </c>
      <c r="K107" s="157">
        <f t="shared" si="1"/>
        <v>351.51</v>
      </c>
      <c r="L107" s="157">
        <f t="shared" si="1"/>
        <v>35.799999999999997</v>
      </c>
      <c r="M107" s="157">
        <f t="shared" si="1"/>
        <v>81.28</v>
      </c>
      <c r="N107" s="157">
        <f t="shared" si="1"/>
        <v>787.9</v>
      </c>
      <c r="O107" s="157">
        <f t="shared" si="1"/>
        <v>0</v>
      </c>
      <c r="P107" s="157">
        <f t="shared" si="1"/>
        <v>0.91</v>
      </c>
      <c r="Q107" s="157">
        <f t="shared" si="1"/>
        <v>28.42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8.9351041666666706</v>
      </c>
      <c r="C108" s="158">
        <f t="shared" ref="C108:Q108" si="2">AVERAGE(C9:C104)</f>
        <v>20.386041666666667</v>
      </c>
      <c r="D108" s="158">
        <f t="shared" si="2"/>
        <v>19.168541666666659</v>
      </c>
      <c r="E108" s="158">
        <f t="shared" si="2"/>
        <v>9.4015624999999989</v>
      </c>
      <c r="F108" s="158" t="e">
        <f t="shared" si="2"/>
        <v>#DIV/0!</v>
      </c>
      <c r="G108" s="158">
        <f t="shared" si="2"/>
        <v>54.475416666666682</v>
      </c>
      <c r="H108" s="158">
        <f t="shared" si="2"/>
        <v>20.572499999999987</v>
      </c>
      <c r="I108" s="158">
        <f t="shared" si="2"/>
        <v>6.1235294117647046</v>
      </c>
      <c r="J108" s="158">
        <f t="shared" si="2"/>
        <v>0.5933333333333336</v>
      </c>
      <c r="K108" s="158">
        <f t="shared" si="2"/>
        <v>121.22687500000002</v>
      </c>
      <c r="L108" s="158">
        <f t="shared" si="2"/>
        <v>28.272604166666664</v>
      </c>
      <c r="M108" s="158">
        <f t="shared" si="2"/>
        <v>48.09843750000001</v>
      </c>
      <c r="N108" s="158">
        <f t="shared" si="2"/>
        <v>176.7916666666666</v>
      </c>
      <c r="O108" s="158">
        <f t="shared" si="2"/>
        <v>0</v>
      </c>
      <c r="P108" s="158">
        <f t="shared" si="2"/>
        <v>0.69010416666666685</v>
      </c>
      <c r="Q108" s="158">
        <f t="shared" si="2"/>
        <v>28.196354166666641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3.55642191410697</v>
      </c>
      <c r="C109" s="158">
        <f t="shared" ref="C109:Q109" si="3">STDEV(C9:C104)</f>
        <v>3.7237577170229086</v>
      </c>
      <c r="D109" s="158">
        <f t="shared" si="3"/>
        <v>3.9132288402469682</v>
      </c>
      <c r="E109" s="158">
        <f t="shared" si="3"/>
        <v>2.3652952761592116</v>
      </c>
      <c r="F109" s="158" t="e">
        <f t="shared" si="3"/>
        <v>#DIV/0!</v>
      </c>
      <c r="G109" s="158">
        <f t="shared" si="3"/>
        <v>15.328992957390223</v>
      </c>
      <c r="H109" s="158">
        <f t="shared" si="3"/>
        <v>3.5583523685756697</v>
      </c>
      <c r="I109" s="158">
        <f t="shared" si="3"/>
        <v>3.0762703545230963</v>
      </c>
      <c r="J109" s="158">
        <f t="shared" si="3"/>
        <v>0.35954259440709124</v>
      </c>
      <c r="K109" s="158">
        <f t="shared" si="3"/>
        <v>96.2728066356227</v>
      </c>
      <c r="L109" s="158">
        <f t="shared" si="3"/>
        <v>4.6138754676670617</v>
      </c>
      <c r="M109" s="158">
        <f t="shared" si="3"/>
        <v>21.358073406516727</v>
      </c>
      <c r="N109" s="158">
        <f t="shared" si="3"/>
        <v>244.30438075511552</v>
      </c>
      <c r="O109" s="158">
        <f t="shared" si="3"/>
        <v>0</v>
      </c>
      <c r="P109" s="158">
        <f t="shared" si="3"/>
        <v>9.8349482022199272E-2</v>
      </c>
      <c r="Q109" s="158">
        <f t="shared" si="3"/>
        <v>0.10913169052659746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>COUNT(I9:I104)+45</f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I95" sqref="I95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25/03/2025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2543</v>
      </c>
      <c r="B9" s="100">
        <v>14.96</v>
      </c>
      <c r="C9" s="100">
        <v>24.55</v>
      </c>
      <c r="D9" s="100">
        <v>26.17</v>
      </c>
      <c r="E9" s="100">
        <v>8.26</v>
      </c>
      <c r="F9" s="152" t="s">
        <v>15</v>
      </c>
      <c r="G9" s="100">
        <v>96.03</v>
      </c>
      <c r="H9" s="100">
        <v>29.74</v>
      </c>
      <c r="I9" s="100">
        <v>10.25</v>
      </c>
      <c r="J9" s="100">
        <v>0.13</v>
      </c>
      <c r="K9" s="100">
        <v>140.26</v>
      </c>
      <c r="L9" s="100">
        <v>23.21</v>
      </c>
      <c r="M9" s="100">
        <v>49.65</v>
      </c>
      <c r="N9" s="100">
        <v>5.6</v>
      </c>
      <c r="O9" s="100">
        <v>0</v>
      </c>
      <c r="P9" s="100">
        <v>0.89</v>
      </c>
      <c r="Q9" s="100">
        <v>28.43</v>
      </c>
      <c r="R9" s="6"/>
      <c r="S9" s="6"/>
      <c r="T9" s="156"/>
      <c r="U9" s="6"/>
    </row>
    <row r="10" spans="1:21" customFormat="1">
      <c r="A10" s="163" t="s">
        <v>2544</v>
      </c>
      <c r="B10" s="100">
        <v>15.04</v>
      </c>
      <c r="C10" s="100">
        <v>23.38</v>
      </c>
      <c r="D10" s="100">
        <v>25.63</v>
      </c>
      <c r="E10" s="100">
        <v>8.5500000000000007</v>
      </c>
      <c r="F10" s="152" t="s">
        <v>15</v>
      </c>
      <c r="G10" s="100">
        <v>96.03</v>
      </c>
      <c r="H10" s="100">
        <v>29.74</v>
      </c>
      <c r="I10" s="100">
        <v>10.24</v>
      </c>
      <c r="J10" s="100">
        <v>0.28999999999999998</v>
      </c>
      <c r="K10" s="100">
        <v>251.91</v>
      </c>
      <c r="L10" s="100">
        <v>22.87</v>
      </c>
      <c r="M10" s="100">
        <v>52.41</v>
      </c>
      <c r="N10" s="100">
        <v>5.9</v>
      </c>
      <c r="O10" s="100">
        <v>0</v>
      </c>
      <c r="P10" s="100">
        <v>0.89</v>
      </c>
      <c r="Q10" s="100">
        <v>28.44</v>
      </c>
      <c r="R10" s="6"/>
      <c r="S10" s="6"/>
      <c r="T10" s="156"/>
      <c r="U10" s="6"/>
    </row>
    <row r="11" spans="1:21" customFormat="1">
      <c r="A11" s="163" t="s">
        <v>2545</v>
      </c>
      <c r="B11" s="100">
        <v>15.46</v>
      </c>
      <c r="C11" s="100">
        <v>22.56</v>
      </c>
      <c r="D11" s="100">
        <v>25.53</v>
      </c>
      <c r="E11" s="100">
        <v>8.33</v>
      </c>
      <c r="F11" s="152" t="s">
        <v>15</v>
      </c>
      <c r="G11" s="100">
        <v>96.03</v>
      </c>
      <c r="H11" s="100">
        <v>29.74</v>
      </c>
      <c r="I11" s="100">
        <v>10.18</v>
      </c>
      <c r="J11" s="100">
        <v>0.11</v>
      </c>
      <c r="K11" s="100">
        <v>192.79</v>
      </c>
      <c r="L11" s="100">
        <v>22.87</v>
      </c>
      <c r="M11" s="100">
        <v>51.69</v>
      </c>
      <c r="N11" s="100">
        <v>5.8</v>
      </c>
      <c r="O11" s="100">
        <v>0</v>
      </c>
      <c r="P11" s="100">
        <v>0.88</v>
      </c>
      <c r="Q11" s="100">
        <v>28.46</v>
      </c>
      <c r="R11" s="6"/>
      <c r="S11" s="6"/>
      <c r="T11" s="156"/>
      <c r="U11" s="6"/>
    </row>
    <row r="12" spans="1:21" customFormat="1">
      <c r="A12" s="163" t="s">
        <v>2546</v>
      </c>
      <c r="B12" s="100">
        <v>16.559999999999999</v>
      </c>
      <c r="C12" s="100">
        <v>25.02</v>
      </c>
      <c r="D12" s="100">
        <v>27.7</v>
      </c>
      <c r="E12" s="100">
        <v>8.4499999999999993</v>
      </c>
      <c r="F12" s="152" t="s">
        <v>15</v>
      </c>
      <c r="G12" s="100">
        <v>94.47</v>
      </c>
      <c r="H12" s="100">
        <v>29.16</v>
      </c>
      <c r="I12" s="100">
        <v>10.17</v>
      </c>
      <c r="J12" s="100">
        <v>0.18</v>
      </c>
      <c r="K12" s="100">
        <v>172.87</v>
      </c>
      <c r="L12" s="100">
        <v>22.88</v>
      </c>
      <c r="M12" s="100">
        <v>52.92</v>
      </c>
      <c r="N12" s="100">
        <v>6</v>
      </c>
      <c r="O12" s="100">
        <v>0</v>
      </c>
      <c r="P12" s="100">
        <v>0.89</v>
      </c>
      <c r="Q12" s="100">
        <v>28.52</v>
      </c>
      <c r="R12" s="6"/>
      <c r="S12" s="6"/>
      <c r="T12" s="156"/>
      <c r="U12" s="6"/>
    </row>
    <row r="13" spans="1:21" customFormat="1">
      <c r="A13" s="163" t="s">
        <v>2547</v>
      </c>
      <c r="B13" s="100">
        <v>17.71</v>
      </c>
      <c r="C13" s="100">
        <v>23.94</v>
      </c>
      <c r="D13" s="100">
        <v>28.06</v>
      </c>
      <c r="E13" s="100">
        <v>8.69</v>
      </c>
      <c r="F13" s="152" t="s">
        <v>15</v>
      </c>
      <c r="G13" s="100">
        <v>93.91</v>
      </c>
      <c r="H13" s="100">
        <v>29.15</v>
      </c>
      <c r="I13" s="100">
        <v>10.119999999999999</v>
      </c>
      <c r="J13" s="100">
        <v>0.23</v>
      </c>
      <c r="K13" s="100">
        <v>230.37</v>
      </c>
      <c r="L13" s="100">
        <v>22.48</v>
      </c>
      <c r="M13" s="100">
        <v>54.98</v>
      </c>
      <c r="N13" s="100">
        <v>5.9</v>
      </c>
      <c r="O13" s="100">
        <v>0</v>
      </c>
      <c r="P13" s="100">
        <v>0.88</v>
      </c>
      <c r="Q13" s="100">
        <v>28.55</v>
      </c>
      <c r="R13" s="6"/>
      <c r="S13" s="6"/>
      <c r="T13" s="156"/>
      <c r="U13" s="6"/>
    </row>
    <row r="14" spans="1:21" customFormat="1">
      <c r="A14" s="163" t="s">
        <v>2548</v>
      </c>
      <c r="B14" s="100">
        <v>19.05</v>
      </c>
      <c r="C14" s="100">
        <v>24.82</v>
      </c>
      <c r="D14" s="100">
        <v>29.6</v>
      </c>
      <c r="E14" s="100">
        <v>8.9</v>
      </c>
      <c r="F14" s="152" t="s">
        <v>15</v>
      </c>
      <c r="G14" s="100">
        <v>93.91</v>
      </c>
      <c r="H14" s="100">
        <v>29.15</v>
      </c>
      <c r="I14" s="100">
        <v>10.11</v>
      </c>
      <c r="J14" s="100">
        <v>0.32</v>
      </c>
      <c r="K14" s="100">
        <v>177.78</v>
      </c>
      <c r="L14" s="100">
        <v>22.15</v>
      </c>
      <c r="M14" s="100">
        <v>57.19</v>
      </c>
      <c r="N14" s="100">
        <v>6.4</v>
      </c>
      <c r="O14" s="100">
        <v>0</v>
      </c>
      <c r="P14" s="100">
        <v>0.9</v>
      </c>
      <c r="Q14" s="100">
        <v>28.6</v>
      </c>
      <c r="R14" s="6"/>
      <c r="S14" s="6"/>
      <c r="T14" s="156"/>
      <c r="U14" s="6"/>
    </row>
    <row r="15" spans="1:21" customFormat="1">
      <c r="A15" s="163" t="s">
        <v>2549</v>
      </c>
      <c r="B15" s="100">
        <v>19.989999999999998</v>
      </c>
      <c r="C15" s="100">
        <v>25.28</v>
      </c>
      <c r="D15" s="100">
        <v>30.59</v>
      </c>
      <c r="E15" s="100">
        <v>8.9499999999999993</v>
      </c>
      <c r="F15" s="152" t="s">
        <v>15</v>
      </c>
      <c r="G15" s="100">
        <v>93.91</v>
      </c>
      <c r="H15" s="100">
        <v>29.15</v>
      </c>
      <c r="I15" s="100">
        <v>10.130000000000001</v>
      </c>
      <c r="J15" s="100">
        <v>0.12</v>
      </c>
      <c r="K15" s="100">
        <v>144.31</v>
      </c>
      <c r="L15" s="100">
        <v>21.68</v>
      </c>
      <c r="M15" s="100">
        <v>59.43</v>
      </c>
      <c r="N15" s="100">
        <v>6.2</v>
      </c>
      <c r="O15" s="100">
        <v>0</v>
      </c>
      <c r="P15" s="100">
        <v>0.89</v>
      </c>
      <c r="Q15" s="100">
        <v>28.62</v>
      </c>
      <c r="R15" s="6"/>
      <c r="S15" s="6"/>
      <c r="T15" s="156"/>
      <c r="U15" s="6"/>
    </row>
    <row r="16" spans="1:21" customFormat="1">
      <c r="A16" s="163" t="s">
        <v>2550</v>
      </c>
      <c r="B16" s="100">
        <v>20.329999999999998</v>
      </c>
      <c r="C16" s="100">
        <v>26.32</v>
      </c>
      <c r="D16" s="100">
        <v>31.4</v>
      </c>
      <c r="E16" s="100">
        <v>8.89</v>
      </c>
      <c r="F16" s="152" t="s">
        <v>15</v>
      </c>
      <c r="G16" s="100">
        <v>98</v>
      </c>
      <c r="H16" s="100">
        <v>32.590000000000003</v>
      </c>
      <c r="I16" s="100">
        <v>10.1</v>
      </c>
      <c r="J16" s="100">
        <v>0.06</v>
      </c>
      <c r="K16" s="100">
        <v>336.03</v>
      </c>
      <c r="L16" s="100">
        <v>22.19</v>
      </c>
      <c r="M16" s="100">
        <v>61.32</v>
      </c>
      <c r="N16" s="100">
        <v>5.6</v>
      </c>
      <c r="O16" s="100">
        <v>0</v>
      </c>
      <c r="P16" s="100">
        <v>0.89</v>
      </c>
      <c r="Q16" s="100">
        <v>28.63</v>
      </c>
      <c r="R16" s="6"/>
      <c r="S16" s="6"/>
      <c r="T16" s="156"/>
      <c r="U16" s="6"/>
    </row>
    <row r="17" spans="1:21" customFormat="1">
      <c r="A17" s="163" t="s">
        <v>2551</v>
      </c>
      <c r="B17" s="100">
        <v>20.59</v>
      </c>
      <c r="C17" s="100">
        <v>24.38</v>
      </c>
      <c r="D17" s="100">
        <v>30.6</v>
      </c>
      <c r="E17" s="100">
        <v>7.16</v>
      </c>
      <c r="F17" s="152" t="s">
        <v>15</v>
      </c>
      <c r="G17" s="100">
        <v>99.49</v>
      </c>
      <c r="H17" s="100">
        <v>32.700000000000003</v>
      </c>
      <c r="I17" s="100">
        <v>10.050000000000001</v>
      </c>
      <c r="J17" s="100">
        <v>0.11</v>
      </c>
      <c r="K17" s="100">
        <v>206.02</v>
      </c>
      <c r="L17" s="100">
        <v>22.74</v>
      </c>
      <c r="M17" s="100">
        <v>58.52</v>
      </c>
      <c r="N17" s="100">
        <v>5.5</v>
      </c>
      <c r="O17" s="100">
        <v>0</v>
      </c>
      <c r="P17" s="100">
        <v>0.9</v>
      </c>
      <c r="Q17" s="100">
        <v>28.64</v>
      </c>
      <c r="R17" s="6"/>
      <c r="S17" s="6"/>
      <c r="T17" s="156"/>
      <c r="U17" s="6"/>
    </row>
    <row r="18" spans="1:21" customFormat="1">
      <c r="A18" s="163" t="s">
        <v>2552</v>
      </c>
      <c r="B18" s="100">
        <v>20.77</v>
      </c>
      <c r="C18" s="100">
        <v>24.82</v>
      </c>
      <c r="D18" s="100">
        <v>30.98</v>
      </c>
      <c r="E18" s="100">
        <v>8.2200000000000006</v>
      </c>
      <c r="F18" s="152" t="s">
        <v>15</v>
      </c>
      <c r="G18" s="100">
        <v>99.49</v>
      </c>
      <c r="H18" s="100">
        <v>32.700000000000003</v>
      </c>
      <c r="I18" s="100">
        <v>10.050000000000001</v>
      </c>
      <c r="J18" s="100">
        <v>0.83</v>
      </c>
      <c r="K18" s="100">
        <v>12.78</v>
      </c>
      <c r="L18" s="100">
        <v>22.58</v>
      </c>
      <c r="M18" s="100">
        <v>58</v>
      </c>
      <c r="N18" s="100">
        <v>5.2</v>
      </c>
      <c r="O18" s="100">
        <v>0</v>
      </c>
      <c r="P18" s="100">
        <v>0.89</v>
      </c>
      <c r="Q18" s="100">
        <v>28.65</v>
      </c>
      <c r="R18" s="6"/>
      <c r="S18" s="6"/>
      <c r="T18" s="156"/>
      <c r="U18" s="6"/>
    </row>
    <row r="19" spans="1:21" customFormat="1">
      <c r="A19" s="163" t="s">
        <v>2553</v>
      </c>
      <c r="B19" s="100">
        <v>20.85</v>
      </c>
      <c r="C19" s="100">
        <v>24.28</v>
      </c>
      <c r="D19" s="100">
        <v>30.76</v>
      </c>
      <c r="E19" s="100">
        <v>8.27</v>
      </c>
      <c r="F19" s="152" t="s">
        <v>15</v>
      </c>
      <c r="G19" s="100">
        <v>99.49</v>
      </c>
      <c r="H19" s="100">
        <v>32.700000000000003</v>
      </c>
      <c r="I19" s="100">
        <v>10</v>
      </c>
      <c r="J19" s="100">
        <v>1.05</v>
      </c>
      <c r="K19" s="100">
        <v>36.58</v>
      </c>
      <c r="L19" s="100">
        <v>23.34</v>
      </c>
      <c r="M19" s="100">
        <v>51.94</v>
      </c>
      <c r="N19" s="100">
        <v>5</v>
      </c>
      <c r="O19" s="100">
        <v>0</v>
      </c>
      <c r="P19" s="100">
        <v>0.89</v>
      </c>
      <c r="Q19" s="100">
        <v>28.65</v>
      </c>
      <c r="R19" s="6"/>
      <c r="S19" s="6"/>
      <c r="T19" s="156"/>
      <c r="U19" s="6"/>
    </row>
    <row r="20" spans="1:21" customFormat="1">
      <c r="A20" s="163" t="s">
        <v>2554</v>
      </c>
      <c r="B20" s="100">
        <v>20.76</v>
      </c>
      <c r="C20" s="100">
        <v>25.86</v>
      </c>
      <c r="D20" s="100">
        <v>31.51</v>
      </c>
      <c r="E20" s="100">
        <v>8.52</v>
      </c>
      <c r="F20" s="152" t="s">
        <v>15</v>
      </c>
      <c r="G20" s="100">
        <v>98.39</v>
      </c>
      <c r="H20" s="100">
        <v>34.340000000000003</v>
      </c>
      <c r="I20" s="100">
        <v>9.93</v>
      </c>
      <c r="J20" s="100">
        <v>0.82</v>
      </c>
      <c r="K20" s="100">
        <v>49.97</v>
      </c>
      <c r="L20" s="100">
        <v>23.38</v>
      </c>
      <c r="M20" s="100">
        <v>50.95</v>
      </c>
      <c r="N20" s="100">
        <v>5.9</v>
      </c>
      <c r="O20" s="100">
        <v>0</v>
      </c>
      <c r="P20" s="100">
        <v>0.89</v>
      </c>
      <c r="Q20" s="100">
        <v>28.64</v>
      </c>
      <c r="R20" s="6"/>
      <c r="S20" s="6"/>
      <c r="T20" s="156"/>
      <c r="U20" s="6"/>
    </row>
    <row r="21" spans="1:21" customFormat="1">
      <c r="A21" s="163" t="s">
        <v>2555</v>
      </c>
      <c r="B21" s="100">
        <v>20.77</v>
      </c>
      <c r="C21" s="100">
        <v>24.35</v>
      </c>
      <c r="D21" s="100">
        <v>30.73</v>
      </c>
      <c r="E21" s="100">
        <v>8.5</v>
      </c>
      <c r="F21" s="152" t="s">
        <v>15</v>
      </c>
      <c r="G21" s="100">
        <v>97.98</v>
      </c>
      <c r="H21" s="100">
        <v>34.39</v>
      </c>
      <c r="I21" s="100">
        <v>9.93</v>
      </c>
      <c r="J21" s="100">
        <v>0.81</v>
      </c>
      <c r="K21" s="100">
        <v>50.01</v>
      </c>
      <c r="L21" s="100">
        <v>23.51</v>
      </c>
      <c r="M21" s="100">
        <v>50.36</v>
      </c>
      <c r="N21" s="100">
        <v>5.7</v>
      </c>
      <c r="O21" s="100">
        <v>0</v>
      </c>
      <c r="P21" s="100">
        <v>0.89</v>
      </c>
      <c r="Q21" s="100">
        <v>28.64</v>
      </c>
      <c r="R21" s="6"/>
      <c r="S21" s="6"/>
      <c r="T21" s="156"/>
      <c r="U21" s="6"/>
    </row>
    <row r="22" spans="1:21" customFormat="1">
      <c r="A22" s="163" t="s">
        <v>2556</v>
      </c>
      <c r="B22" s="100">
        <v>20.66</v>
      </c>
      <c r="C22" s="100">
        <v>24.09</v>
      </c>
      <c r="D22" s="100">
        <v>30.5</v>
      </c>
      <c r="E22" s="100">
        <v>8.49</v>
      </c>
      <c r="F22" s="152" t="s">
        <v>15</v>
      </c>
      <c r="G22" s="100">
        <v>97.98</v>
      </c>
      <c r="H22" s="100">
        <v>34.39</v>
      </c>
      <c r="I22" s="100">
        <v>9.92</v>
      </c>
      <c r="J22" s="100">
        <v>0.14000000000000001</v>
      </c>
      <c r="K22" s="100">
        <v>51.41</v>
      </c>
      <c r="L22" s="100">
        <v>23.36</v>
      </c>
      <c r="M22" s="100">
        <v>51.05</v>
      </c>
      <c r="N22" s="100">
        <v>6.3</v>
      </c>
      <c r="O22" s="100">
        <v>0</v>
      </c>
      <c r="P22" s="100">
        <v>0.89</v>
      </c>
      <c r="Q22" s="100">
        <v>28.63</v>
      </c>
      <c r="R22" s="6"/>
      <c r="S22" s="6"/>
      <c r="T22" s="156"/>
      <c r="U22" s="6"/>
    </row>
    <row r="23" spans="1:21" customFormat="1">
      <c r="A23" s="163" t="s">
        <v>2557</v>
      </c>
      <c r="B23" s="100">
        <v>20.45</v>
      </c>
      <c r="C23" s="100">
        <v>24.3</v>
      </c>
      <c r="D23" s="100">
        <v>30.45</v>
      </c>
      <c r="E23" s="100">
        <v>8.64</v>
      </c>
      <c r="F23" s="152" t="s">
        <v>15</v>
      </c>
      <c r="G23" s="100">
        <v>97.98</v>
      </c>
      <c r="H23" s="100">
        <v>34.39</v>
      </c>
      <c r="I23" s="100">
        <v>9.89</v>
      </c>
      <c r="J23" s="100">
        <v>0.2</v>
      </c>
      <c r="K23" s="100">
        <v>190.81</v>
      </c>
      <c r="L23" s="100">
        <v>22.3</v>
      </c>
      <c r="M23" s="100">
        <v>55.88</v>
      </c>
      <c r="N23" s="100">
        <v>6.9</v>
      </c>
      <c r="O23" s="100">
        <v>0</v>
      </c>
      <c r="P23" s="100">
        <v>0.89</v>
      </c>
      <c r="Q23" s="100">
        <v>28.63</v>
      </c>
      <c r="R23" s="6"/>
      <c r="S23" s="6"/>
      <c r="T23" s="156"/>
      <c r="U23" s="6"/>
    </row>
    <row r="24" spans="1:21" customFormat="1">
      <c r="A24" s="163" t="s">
        <v>2558</v>
      </c>
      <c r="B24" s="100">
        <v>20.149999999999999</v>
      </c>
      <c r="C24" s="100">
        <v>24.91</v>
      </c>
      <c r="D24" s="100">
        <v>30.52</v>
      </c>
      <c r="E24" s="100">
        <v>8.64</v>
      </c>
      <c r="F24" s="152" t="s">
        <v>15</v>
      </c>
      <c r="G24" s="100">
        <v>91.9</v>
      </c>
      <c r="H24" s="100">
        <v>31.75</v>
      </c>
      <c r="I24" s="100">
        <v>9.84</v>
      </c>
      <c r="J24" s="100">
        <v>0.27</v>
      </c>
      <c r="K24" s="100">
        <v>208.46</v>
      </c>
      <c r="L24" s="100">
        <v>21.36</v>
      </c>
      <c r="M24" s="100">
        <v>59.72</v>
      </c>
      <c r="N24" s="100">
        <v>6.8</v>
      </c>
      <c r="O24" s="100">
        <v>0</v>
      </c>
      <c r="P24" s="100">
        <v>0.89</v>
      </c>
      <c r="Q24" s="100">
        <v>28.63</v>
      </c>
      <c r="R24" s="6"/>
      <c r="S24" s="6"/>
      <c r="T24" s="156"/>
      <c r="U24" s="6"/>
    </row>
    <row r="25" spans="1:21" customFormat="1">
      <c r="A25" s="163" t="s">
        <v>2559</v>
      </c>
      <c r="B25" s="100">
        <v>19.7</v>
      </c>
      <c r="C25" s="100">
        <v>23.77</v>
      </c>
      <c r="D25" s="100">
        <v>29.57</v>
      </c>
      <c r="E25" s="100">
        <v>8.48</v>
      </c>
      <c r="F25" s="152" t="s">
        <v>15</v>
      </c>
      <c r="G25" s="100">
        <v>89.56</v>
      </c>
      <c r="H25" s="100">
        <v>31.67</v>
      </c>
      <c r="I25" s="100">
        <v>9.82</v>
      </c>
      <c r="J25" s="100">
        <v>0.24</v>
      </c>
      <c r="K25" s="100">
        <v>198.98</v>
      </c>
      <c r="L25" s="100">
        <v>20.93</v>
      </c>
      <c r="M25" s="100">
        <v>61.4</v>
      </c>
      <c r="N25" s="100">
        <v>6.3</v>
      </c>
      <c r="O25" s="100">
        <v>0</v>
      </c>
      <c r="P25" s="100">
        <v>0.88</v>
      </c>
      <c r="Q25" s="100">
        <v>28.62</v>
      </c>
      <c r="R25" s="6"/>
      <c r="S25" s="6"/>
      <c r="T25" s="156"/>
      <c r="U25" s="6"/>
    </row>
    <row r="26" spans="1:21" customFormat="1">
      <c r="A26" s="163" t="s">
        <v>2560</v>
      </c>
      <c r="B26" s="100">
        <v>19.190000000000001</v>
      </c>
      <c r="C26" s="100">
        <v>23.05</v>
      </c>
      <c r="D26" s="100">
        <v>28.78</v>
      </c>
      <c r="E26" s="100">
        <v>8.43</v>
      </c>
      <c r="F26" s="152" t="s">
        <v>15</v>
      </c>
      <c r="G26" s="100">
        <v>89.56</v>
      </c>
      <c r="H26" s="100">
        <v>31.67</v>
      </c>
      <c r="I26" s="100">
        <v>9.75</v>
      </c>
      <c r="J26" s="100">
        <v>0.12</v>
      </c>
      <c r="K26" s="100">
        <v>202.33</v>
      </c>
      <c r="L26" s="100">
        <v>20.97</v>
      </c>
      <c r="M26" s="100">
        <v>61.25</v>
      </c>
      <c r="N26" s="100">
        <v>6</v>
      </c>
      <c r="O26" s="100">
        <v>0</v>
      </c>
      <c r="P26" s="100">
        <v>0.88</v>
      </c>
      <c r="Q26" s="100">
        <v>28.6</v>
      </c>
      <c r="R26" s="6"/>
      <c r="S26" s="6"/>
      <c r="T26" s="156"/>
      <c r="U26" s="6"/>
    </row>
    <row r="27" spans="1:21" customFormat="1">
      <c r="A27" s="163" t="s">
        <v>2561</v>
      </c>
      <c r="B27" s="100">
        <v>18.45</v>
      </c>
      <c r="C27" s="100">
        <v>24.58</v>
      </c>
      <c r="D27" s="100">
        <v>28.99</v>
      </c>
      <c r="E27" s="100">
        <v>8.5399999999999991</v>
      </c>
      <c r="F27" s="152" t="s">
        <v>15</v>
      </c>
      <c r="G27" s="100">
        <v>89.56</v>
      </c>
      <c r="H27" s="100">
        <v>31.67</v>
      </c>
      <c r="I27" s="100">
        <v>9.75</v>
      </c>
      <c r="J27" s="100">
        <v>0.24</v>
      </c>
      <c r="K27" s="100">
        <v>206.3</v>
      </c>
      <c r="L27" s="100">
        <v>21.05</v>
      </c>
      <c r="M27" s="100">
        <v>61.51</v>
      </c>
      <c r="N27" s="100">
        <v>5.8</v>
      </c>
      <c r="O27" s="100">
        <v>0</v>
      </c>
      <c r="P27" s="100">
        <v>0.89</v>
      </c>
      <c r="Q27" s="100">
        <v>28.57</v>
      </c>
      <c r="R27" s="6"/>
      <c r="S27" s="6"/>
      <c r="T27" s="156"/>
      <c r="U27" s="6"/>
    </row>
    <row r="28" spans="1:21" customFormat="1">
      <c r="A28" s="163" t="s">
        <v>2562</v>
      </c>
      <c r="B28" s="100">
        <v>17.57</v>
      </c>
      <c r="C28" s="100">
        <v>24.71</v>
      </c>
      <c r="D28" s="100">
        <v>28.35</v>
      </c>
      <c r="E28" s="100">
        <v>8.5299999999999994</v>
      </c>
      <c r="F28" s="152" t="s">
        <v>15</v>
      </c>
      <c r="G28" s="100">
        <v>82.41</v>
      </c>
      <c r="H28" s="100">
        <v>30.07</v>
      </c>
      <c r="I28" s="100">
        <v>9.7100000000000009</v>
      </c>
      <c r="J28" s="100">
        <v>0.15</v>
      </c>
      <c r="K28" s="100">
        <v>172.68</v>
      </c>
      <c r="L28" s="100">
        <v>20.49</v>
      </c>
      <c r="M28" s="100">
        <v>64.34</v>
      </c>
      <c r="N28" s="100">
        <v>6.3</v>
      </c>
      <c r="O28" s="100">
        <v>0</v>
      </c>
      <c r="P28" s="100">
        <v>0.88</v>
      </c>
      <c r="Q28" s="100">
        <v>28.53</v>
      </c>
      <c r="R28" s="6"/>
      <c r="S28" s="6"/>
      <c r="T28" s="156"/>
      <c r="U28" s="6"/>
    </row>
    <row r="29" spans="1:21" customFormat="1">
      <c r="A29" s="163" t="s">
        <v>2563</v>
      </c>
      <c r="B29" s="100">
        <v>16.77</v>
      </c>
      <c r="C29" s="100">
        <v>24.23</v>
      </c>
      <c r="D29" s="100">
        <v>27.46</v>
      </c>
      <c r="E29" s="100">
        <v>8.35</v>
      </c>
      <c r="F29" s="152" t="s">
        <v>15</v>
      </c>
      <c r="G29" s="100">
        <v>79.66</v>
      </c>
      <c r="H29" s="100">
        <v>30</v>
      </c>
      <c r="I29" s="100">
        <v>9.61</v>
      </c>
      <c r="J29" s="100">
        <v>0.19</v>
      </c>
      <c r="K29" s="100">
        <v>178.68</v>
      </c>
      <c r="L29" s="100">
        <v>20.86</v>
      </c>
      <c r="M29" s="100">
        <v>63.08</v>
      </c>
      <c r="N29" s="100">
        <v>5.8</v>
      </c>
      <c r="O29" s="100">
        <v>0</v>
      </c>
      <c r="P29" s="100">
        <v>0.87</v>
      </c>
      <c r="Q29" s="100">
        <v>28.51</v>
      </c>
      <c r="R29" s="6"/>
      <c r="S29" s="6"/>
      <c r="T29" s="156"/>
      <c r="U29" s="6"/>
    </row>
    <row r="30" spans="1:21" customFormat="1">
      <c r="A30" s="163" t="s">
        <v>2564</v>
      </c>
      <c r="B30" s="100">
        <v>16.02</v>
      </c>
      <c r="C30" s="100">
        <v>23.88</v>
      </c>
      <c r="D30" s="100">
        <v>26.67</v>
      </c>
      <c r="E30" s="100">
        <v>8.2200000000000006</v>
      </c>
      <c r="F30" s="152" t="s">
        <v>15</v>
      </c>
      <c r="G30" s="100">
        <v>79.66</v>
      </c>
      <c r="H30" s="100">
        <v>30</v>
      </c>
      <c r="I30" s="100">
        <v>9.52</v>
      </c>
      <c r="J30" s="100">
        <v>0.14000000000000001</v>
      </c>
      <c r="K30" s="100">
        <v>166.52</v>
      </c>
      <c r="L30" s="100">
        <v>20.78</v>
      </c>
      <c r="M30" s="100">
        <v>64.13</v>
      </c>
      <c r="N30" s="100">
        <v>6.1</v>
      </c>
      <c r="O30" s="100">
        <v>0</v>
      </c>
      <c r="P30" s="100">
        <v>0.87</v>
      </c>
      <c r="Q30" s="100">
        <v>28.47</v>
      </c>
      <c r="R30" s="6"/>
      <c r="S30" s="6"/>
      <c r="T30" s="156"/>
      <c r="U30" s="6"/>
    </row>
    <row r="31" spans="1:21" customFormat="1">
      <c r="A31" s="163" t="s">
        <v>2565</v>
      </c>
      <c r="B31" s="100">
        <v>15.33</v>
      </c>
      <c r="C31" s="100">
        <v>23.45</v>
      </c>
      <c r="D31" s="100">
        <v>25.89</v>
      </c>
      <c r="E31" s="100">
        <v>8.15</v>
      </c>
      <c r="F31" s="152" t="s">
        <v>15</v>
      </c>
      <c r="G31" s="100">
        <v>79.66</v>
      </c>
      <c r="H31" s="100">
        <v>30</v>
      </c>
      <c r="I31" s="100">
        <v>9.5</v>
      </c>
      <c r="J31" s="100">
        <v>0.14000000000000001</v>
      </c>
      <c r="K31" s="100">
        <v>197.27</v>
      </c>
      <c r="L31" s="100">
        <v>20.52</v>
      </c>
      <c r="M31" s="100">
        <v>66.17</v>
      </c>
      <c r="N31" s="100">
        <v>6.2</v>
      </c>
      <c r="O31" s="100">
        <v>0</v>
      </c>
      <c r="P31" s="100">
        <v>0.87</v>
      </c>
      <c r="Q31" s="100">
        <v>28.46</v>
      </c>
      <c r="R31" s="6"/>
      <c r="S31" s="6"/>
      <c r="T31" s="156"/>
      <c r="U31" s="6"/>
    </row>
    <row r="32" spans="1:21" customFormat="1">
      <c r="A32" s="163" t="s">
        <v>2566</v>
      </c>
      <c r="B32" s="100">
        <v>14.7</v>
      </c>
      <c r="C32" s="100">
        <v>23.09</v>
      </c>
      <c r="D32" s="100">
        <v>25.2</v>
      </c>
      <c r="E32" s="100">
        <v>7.96</v>
      </c>
      <c r="F32" s="152" t="s">
        <v>15</v>
      </c>
      <c r="G32" s="100">
        <v>73</v>
      </c>
      <c r="H32" s="100">
        <v>27.01</v>
      </c>
      <c r="I32" s="100">
        <v>9.4</v>
      </c>
      <c r="J32" s="100">
        <v>0.18</v>
      </c>
      <c r="K32" s="100">
        <v>174.45</v>
      </c>
      <c r="L32" s="100">
        <v>20.41</v>
      </c>
      <c r="M32" s="100">
        <v>67.400000000000006</v>
      </c>
      <c r="N32" s="100">
        <v>7.6</v>
      </c>
      <c r="O32" s="100">
        <v>0</v>
      </c>
      <c r="P32" s="100">
        <v>0.86</v>
      </c>
      <c r="Q32" s="100">
        <v>28.44</v>
      </c>
      <c r="R32" s="6"/>
      <c r="S32" s="6"/>
      <c r="T32" s="156"/>
      <c r="U32" s="6"/>
    </row>
    <row r="33" spans="1:21" customFormat="1">
      <c r="A33" s="163" t="s">
        <v>2567</v>
      </c>
      <c r="B33" s="100">
        <v>14.31</v>
      </c>
      <c r="C33" s="100">
        <v>22.73</v>
      </c>
      <c r="D33" s="100">
        <v>24.7</v>
      </c>
      <c r="E33" s="100">
        <v>7.95</v>
      </c>
      <c r="F33" s="152" t="s">
        <v>15</v>
      </c>
      <c r="G33" s="100">
        <v>70.58</v>
      </c>
      <c r="H33" s="100">
        <v>26.92</v>
      </c>
      <c r="I33" s="100">
        <v>9.3699999999999992</v>
      </c>
      <c r="J33" s="100">
        <v>0.22</v>
      </c>
      <c r="K33" s="100">
        <v>166.86</v>
      </c>
      <c r="L33" s="100">
        <v>20.45</v>
      </c>
      <c r="M33" s="100">
        <v>68.08</v>
      </c>
      <c r="N33" s="100">
        <v>13.7</v>
      </c>
      <c r="O33" s="100">
        <v>0</v>
      </c>
      <c r="P33" s="100">
        <v>0.86</v>
      </c>
      <c r="Q33" s="100">
        <v>28.41</v>
      </c>
      <c r="R33" s="6"/>
      <c r="S33" s="6"/>
      <c r="T33" s="156"/>
      <c r="U33" s="6"/>
    </row>
    <row r="34" spans="1:21" customFormat="1">
      <c r="A34" s="163" t="s">
        <v>2568</v>
      </c>
      <c r="B34" s="100">
        <v>13.98</v>
      </c>
      <c r="C34" s="100">
        <v>22.48</v>
      </c>
      <c r="D34" s="100">
        <v>24.31</v>
      </c>
      <c r="E34" s="100">
        <v>8.31</v>
      </c>
      <c r="F34" s="152" t="s">
        <v>15</v>
      </c>
      <c r="G34" s="100">
        <v>70.58</v>
      </c>
      <c r="H34" s="100">
        <v>26.92</v>
      </c>
      <c r="I34" s="100">
        <v>9.4</v>
      </c>
      <c r="J34" s="100">
        <v>0.24</v>
      </c>
      <c r="K34" s="100">
        <v>156.35</v>
      </c>
      <c r="L34" s="100">
        <v>20.8</v>
      </c>
      <c r="M34" s="100">
        <v>67.209999999999994</v>
      </c>
      <c r="N34" s="100">
        <v>23.9</v>
      </c>
      <c r="O34" s="100">
        <v>0</v>
      </c>
      <c r="P34" s="100">
        <v>0.87</v>
      </c>
      <c r="Q34" s="100">
        <v>28.41</v>
      </c>
      <c r="R34" s="6"/>
      <c r="S34" s="6"/>
      <c r="T34" s="156"/>
      <c r="U34" s="6"/>
    </row>
    <row r="35" spans="1:21" customFormat="1">
      <c r="A35" s="163" t="s">
        <v>2569</v>
      </c>
      <c r="B35" s="100">
        <v>13.78</v>
      </c>
      <c r="C35" s="100">
        <v>22.39</v>
      </c>
      <c r="D35" s="100">
        <v>24.1</v>
      </c>
      <c r="E35" s="100">
        <v>7.8</v>
      </c>
      <c r="F35" s="152" t="s">
        <v>15</v>
      </c>
      <c r="G35" s="100">
        <v>70.58</v>
      </c>
      <c r="H35" s="100">
        <v>26.92</v>
      </c>
      <c r="I35" s="100">
        <v>9.43</v>
      </c>
      <c r="J35" s="100">
        <v>0.26</v>
      </c>
      <c r="K35" s="100">
        <v>184.42</v>
      </c>
      <c r="L35" s="100">
        <v>20.88</v>
      </c>
      <c r="M35" s="100">
        <v>68.36</v>
      </c>
      <c r="N35" s="100">
        <v>35.5</v>
      </c>
      <c r="O35" s="100">
        <v>0</v>
      </c>
      <c r="P35" s="100">
        <v>0.88</v>
      </c>
      <c r="Q35" s="100">
        <v>28.41</v>
      </c>
      <c r="R35" s="6"/>
      <c r="S35" s="6"/>
      <c r="T35" s="156"/>
      <c r="U35" s="6"/>
    </row>
    <row r="36" spans="1:21" customFormat="1">
      <c r="A36" s="163" t="s">
        <v>2570</v>
      </c>
      <c r="B36" s="100">
        <v>13.68</v>
      </c>
      <c r="C36" s="100">
        <v>22.14</v>
      </c>
      <c r="D36" s="100">
        <v>23.89</v>
      </c>
      <c r="E36" s="100">
        <v>7.86</v>
      </c>
      <c r="F36" s="152" t="s">
        <v>15</v>
      </c>
      <c r="G36" s="100">
        <v>81.8</v>
      </c>
      <c r="H36" s="100">
        <v>27.98</v>
      </c>
      <c r="I36" s="100">
        <v>9.44</v>
      </c>
      <c r="J36" s="100">
        <v>0.28999999999999998</v>
      </c>
      <c r="K36" s="100">
        <v>182.27</v>
      </c>
      <c r="L36" s="100">
        <v>21.18</v>
      </c>
      <c r="M36" s="100">
        <v>67.180000000000007</v>
      </c>
      <c r="N36" s="100">
        <v>46.2</v>
      </c>
      <c r="O36" s="100">
        <v>0</v>
      </c>
      <c r="P36" s="100">
        <v>0.88</v>
      </c>
      <c r="Q36" s="100">
        <v>28.4</v>
      </c>
      <c r="R36" s="6"/>
      <c r="S36" s="6"/>
      <c r="T36" s="156"/>
      <c r="U36" s="6"/>
    </row>
    <row r="37" spans="1:21" customFormat="1">
      <c r="A37" s="163" t="s">
        <v>2571</v>
      </c>
      <c r="B37" s="100">
        <v>13.56</v>
      </c>
      <c r="C37" s="100">
        <v>21.93</v>
      </c>
      <c r="D37" s="100">
        <v>23.69</v>
      </c>
      <c r="E37" s="100">
        <v>7.57</v>
      </c>
      <c r="F37" s="152" t="s">
        <v>15</v>
      </c>
      <c r="G37" s="100">
        <v>85.88</v>
      </c>
      <c r="H37" s="100">
        <v>28.01</v>
      </c>
      <c r="I37" s="100">
        <v>9.5500000000000007</v>
      </c>
      <c r="J37" s="100">
        <v>0.41</v>
      </c>
      <c r="K37" s="100">
        <v>161.93</v>
      </c>
      <c r="L37" s="100">
        <v>22.27</v>
      </c>
      <c r="M37" s="100">
        <v>63.8</v>
      </c>
      <c r="N37" s="100">
        <v>55.7</v>
      </c>
      <c r="O37" s="100">
        <v>0</v>
      </c>
      <c r="P37" s="100">
        <v>0.88</v>
      </c>
      <c r="Q37" s="100">
        <v>28.38</v>
      </c>
      <c r="R37" s="6"/>
      <c r="S37" s="6"/>
      <c r="T37" s="156"/>
      <c r="U37" s="6"/>
    </row>
    <row r="38" spans="1:21" customFormat="1">
      <c r="A38" s="163" t="s">
        <v>2572</v>
      </c>
      <c r="B38" s="100">
        <v>13.47</v>
      </c>
      <c r="C38" s="100">
        <v>21.87</v>
      </c>
      <c r="D38" s="100">
        <v>23.58</v>
      </c>
      <c r="E38" s="100">
        <v>7.95</v>
      </c>
      <c r="F38" s="152" t="s">
        <v>15</v>
      </c>
      <c r="G38" s="100">
        <v>85.88</v>
      </c>
      <c r="H38" s="100">
        <v>28.01</v>
      </c>
      <c r="I38" s="100">
        <v>9.6199999999999992</v>
      </c>
      <c r="J38" s="100">
        <v>0.28999999999999998</v>
      </c>
      <c r="K38" s="100">
        <v>77</v>
      </c>
      <c r="L38" s="100">
        <v>23.55</v>
      </c>
      <c r="M38" s="100">
        <v>58.39</v>
      </c>
      <c r="N38" s="100">
        <v>65.5</v>
      </c>
      <c r="O38" s="100">
        <v>0</v>
      </c>
      <c r="P38" s="100">
        <v>0.9</v>
      </c>
      <c r="Q38" s="100">
        <v>28.39</v>
      </c>
      <c r="R38" s="6"/>
      <c r="S38" s="6"/>
      <c r="T38" s="156"/>
      <c r="U38" s="6"/>
    </row>
    <row r="39" spans="1:21" customFormat="1">
      <c r="A39" s="163" t="s">
        <v>2573</v>
      </c>
      <c r="B39" s="100">
        <v>13.84</v>
      </c>
      <c r="C39" s="100">
        <v>22.38</v>
      </c>
      <c r="D39" s="100">
        <v>24.14</v>
      </c>
      <c r="E39" s="100">
        <v>7.76</v>
      </c>
      <c r="F39" s="152" t="s">
        <v>15</v>
      </c>
      <c r="G39" s="100">
        <v>85.88</v>
      </c>
      <c r="H39" s="100">
        <v>28.01</v>
      </c>
      <c r="I39" s="100">
        <v>9.75</v>
      </c>
      <c r="J39" s="100">
        <v>0.44</v>
      </c>
      <c r="K39" s="100">
        <v>45.43</v>
      </c>
      <c r="L39" s="100">
        <v>24.77</v>
      </c>
      <c r="M39" s="100">
        <v>51.38</v>
      </c>
      <c r="N39" s="100">
        <v>76.400000000000006</v>
      </c>
      <c r="O39" s="100">
        <v>0</v>
      </c>
      <c r="P39" s="100">
        <v>0.92</v>
      </c>
      <c r="Q39" s="100">
        <v>28.39</v>
      </c>
      <c r="R39" s="6"/>
      <c r="S39" s="6"/>
      <c r="T39" s="156"/>
      <c r="U39" s="6"/>
    </row>
    <row r="40" spans="1:21" customFormat="1">
      <c r="A40" s="163" t="s">
        <v>2574</v>
      </c>
      <c r="B40" s="100">
        <v>14.11</v>
      </c>
      <c r="C40" s="100">
        <v>23.29</v>
      </c>
      <c r="D40" s="100">
        <v>24.83</v>
      </c>
      <c r="E40" s="100">
        <v>7.85</v>
      </c>
      <c r="F40" s="152" t="s">
        <v>15</v>
      </c>
      <c r="G40" s="100">
        <v>101.16</v>
      </c>
      <c r="H40" s="100">
        <v>37.729999999999997</v>
      </c>
      <c r="I40" s="100">
        <v>9.9</v>
      </c>
      <c r="J40" s="100">
        <v>0.2</v>
      </c>
      <c r="K40" s="100">
        <v>302.33</v>
      </c>
      <c r="L40" s="100">
        <v>25.76</v>
      </c>
      <c r="M40" s="100">
        <v>47.49</v>
      </c>
      <c r="N40" s="100">
        <v>116.8</v>
      </c>
      <c r="O40" s="100">
        <v>0</v>
      </c>
      <c r="P40" s="100">
        <v>0.95</v>
      </c>
      <c r="Q40" s="100">
        <v>28.41</v>
      </c>
      <c r="R40" s="6"/>
      <c r="S40" s="6"/>
      <c r="T40" s="156"/>
      <c r="U40" s="6"/>
    </row>
    <row r="41" spans="1:21" customFormat="1">
      <c r="A41" s="163" t="s">
        <v>2575</v>
      </c>
      <c r="B41" s="100">
        <v>13.73</v>
      </c>
      <c r="C41" s="100">
        <v>23.78</v>
      </c>
      <c r="D41" s="100">
        <v>24.78</v>
      </c>
      <c r="E41" s="100">
        <v>7.97</v>
      </c>
      <c r="F41" s="152" t="s">
        <v>15</v>
      </c>
      <c r="G41" s="100">
        <v>106.72</v>
      </c>
      <c r="H41" s="100">
        <v>37.880000000000003</v>
      </c>
      <c r="I41" s="100">
        <v>10.210000000000001</v>
      </c>
      <c r="J41" s="100">
        <v>0.27</v>
      </c>
      <c r="K41" s="100">
        <v>88.46</v>
      </c>
      <c r="L41" s="100">
        <v>27.29</v>
      </c>
      <c r="M41" s="100">
        <v>41.64</v>
      </c>
      <c r="N41" s="100">
        <v>230.8</v>
      </c>
      <c r="O41" s="100">
        <v>0</v>
      </c>
      <c r="P41" s="100">
        <v>0.95</v>
      </c>
      <c r="Q41" s="100">
        <v>28.42</v>
      </c>
      <c r="R41" s="6"/>
      <c r="S41" s="6"/>
      <c r="T41" s="156"/>
      <c r="U41" s="6"/>
    </row>
    <row r="42" spans="1:21" customFormat="1">
      <c r="A42" s="163" t="s">
        <v>2576</v>
      </c>
      <c r="B42" s="100">
        <v>12.81</v>
      </c>
      <c r="C42" s="100">
        <v>24.27</v>
      </c>
      <c r="D42" s="100">
        <v>24.3</v>
      </c>
      <c r="E42" s="100">
        <v>8.1300000000000008</v>
      </c>
      <c r="F42" s="152" t="s">
        <v>15</v>
      </c>
      <c r="G42" s="100">
        <v>106.72</v>
      </c>
      <c r="H42" s="100">
        <v>37.880000000000003</v>
      </c>
      <c r="I42" s="100">
        <v>10.61</v>
      </c>
      <c r="J42" s="100">
        <v>0.35</v>
      </c>
      <c r="K42" s="100">
        <v>70.7</v>
      </c>
      <c r="L42" s="100">
        <v>28.57</v>
      </c>
      <c r="M42" s="100">
        <v>38.92</v>
      </c>
      <c r="N42" s="100">
        <v>168.2</v>
      </c>
      <c r="O42" s="100">
        <v>0</v>
      </c>
      <c r="P42" s="100">
        <v>0.95</v>
      </c>
      <c r="Q42" s="100">
        <v>28.39</v>
      </c>
      <c r="R42" s="6"/>
      <c r="S42" s="6"/>
      <c r="T42" s="156"/>
      <c r="U42" s="6"/>
    </row>
    <row r="43" spans="1:21" customFormat="1">
      <c r="A43" s="163" t="s">
        <v>2577</v>
      </c>
      <c r="B43" s="100">
        <v>11.68</v>
      </c>
      <c r="C43" s="100">
        <v>24.97</v>
      </c>
      <c r="D43" s="100">
        <v>23.76</v>
      </c>
      <c r="E43" s="100">
        <v>8.27</v>
      </c>
      <c r="F43" s="152" t="s">
        <v>15</v>
      </c>
      <c r="G43" s="100">
        <v>106.72</v>
      </c>
      <c r="H43" s="100">
        <v>37.880000000000003</v>
      </c>
      <c r="I43" s="100">
        <v>10.71</v>
      </c>
      <c r="J43" s="100">
        <v>0.47</v>
      </c>
      <c r="K43" s="100">
        <v>91.44</v>
      </c>
      <c r="L43" s="100">
        <v>29.39</v>
      </c>
      <c r="M43" s="100">
        <v>37.159999999999997</v>
      </c>
      <c r="N43" s="100">
        <v>189.4</v>
      </c>
      <c r="O43" s="100">
        <v>0</v>
      </c>
      <c r="P43" s="100">
        <v>0.96</v>
      </c>
      <c r="Q43" s="100">
        <v>28.36</v>
      </c>
      <c r="R43" s="6"/>
      <c r="S43" s="6"/>
      <c r="T43" s="156"/>
      <c r="U43" s="6"/>
    </row>
    <row r="44" spans="1:21" customFormat="1">
      <c r="A44" s="163" t="s">
        <v>2578</v>
      </c>
      <c r="B44" s="100">
        <v>10.39</v>
      </c>
      <c r="C44" s="100">
        <v>25.7</v>
      </c>
      <c r="D44" s="100">
        <v>23.11</v>
      </c>
      <c r="E44" s="100">
        <v>8.35</v>
      </c>
      <c r="F44" s="152" t="s">
        <v>15</v>
      </c>
      <c r="G44" s="100">
        <v>113.37</v>
      </c>
      <c r="H44" s="100">
        <v>41.24</v>
      </c>
      <c r="I44" s="100">
        <v>10.76</v>
      </c>
      <c r="J44" s="100">
        <v>0.79</v>
      </c>
      <c r="K44" s="100">
        <v>78.78</v>
      </c>
      <c r="L44" s="100">
        <v>29.97</v>
      </c>
      <c r="M44" s="100">
        <v>36.159999999999997</v>
      </c>
      <c r="N44" s="100">
        <v>352</v>
      </c>
      <c r="O44" s="100">
        <v>0</v>
      </c>
      <c r="P44" s="100">
        <v>0.94</v>
      </c>
      <c r="Q44" s="100">
        <v>28.3</v>
      </c>
      <c r="R44" s="6"/>
      <c r="S44" s="6"/>
      <c r="T44" s="156"/>
      <c r="U44" s="6"/>
    </row>
    <row r="45" spans="1:21" customFormat="1">
      <c r="A45" s="163" t="s">
        <v>2579</v>
      </c>
      <c r="B45" s="100">
        <v>8.9700000000000006</v>
      </c>
      <c r="C45" s="100">
        <v>26.17</v>
      </c>
      <c r="D45" s="100">
        <v>22.22</v>
      </c>
      <c r="E45" s="100">
        <v>8.56</v>
      </c>
      <c r="F45" s="152" t="s">
        <v>15</v>
      </c>
      <c r="G45" s="100">
        <v>115.78</v>
      </c>
      <c r="H45" s="100">
        <v>41.35</v>
      </c>
      <c r="I45" s="100">
        <v>10.77</v>
      </c>
      <c r="J45" s="100">
        <v>0.55000000000000004</v>
      </c>
      <c r="K45" s="100">
        <v>71.150000000000006</v>
      </c>
      <c r="L45" s="100">
        <v>30.55</v>
      </c>
      <c r="M45" s="100">
        <v>34.479999999999997</v>
      </c>
      <c r="N45" s="100">
        <v>326.7</v>
      </c>
      <c r="O45" s="100">
        <v>0</v>
      </c>
      <c r="P45" s="100">
        <v>0.93</v>
      </c>
      <c r="Q45" s="100">
        <v>28.25</v>
      </c>
      <c r="R45" s="6"/>
      <c r="S45" s="6"/>
      <c r="T45" s="156"/>
      <c r="U45" s="6"/>
    </row>
    <row r="46" spans="1:21" customFormat="1">
      <c r="A46" s="163" t="s">
        <v>2580</v>
      </c>
      <c r="B46" s="100">
        <v>7.54</v>
      </c>
      <c r="C46" s="100">
        <v>26.39</v>
      </c>
      <c r="D46" s="100">
        <v>21.19</v>
      </c>
      <c r="E46" s="100">
        <v>8.2100000000000009</v>
      </c>
      <c r="F46" s="152" t="s">
        <v>15</v>
      </c>
      <c r="G46" s="100">
        <v>115.78</v>
      </c>
      <c r="H46" s="100">
        <v>41.35</v>
      </c>
      <c r="I46" s="100">
        <v>10.68</v>
      </c>
      <c r="J46" s="100">
        <v>0.18</v>
      </c>
      <c r="K46" s="100">
        <v>111.41</v>
      </c>
      <c r="L46" s="100">
        <v>31.18</v>
      </c>
      <c r="M46" s="100">
        <v>34.380000000000003</v>
      </c>
      <c r="N46" s="100">
        <v>491.8</v>
      </c>
      <c r="O46" s="100">
        <v>0</v>
      </c>
      <c r="P46" s="100">
        <v>0.91</v>
      </c>
      <c r="Q46" s="100">
        <v>28.22</v>
      </c>
      <c r="R46" s="6"/>
      <c r="S46" s="6"/>
      <c r="T46" s="156"/>
      <c r="U46" s="6"/>
    </row>
    <row r="47" spans="1:21" customFormat="1">
      <c r="A47" s="163" t="s">
        <v>2581</v>
      </c>
      <c r="B47" s="100">
        <v>6.42</v>
      </c>
      <c r="C47" s="100">
        <v>26.51</v>
      </c>
      <c r="D47" s="100">
        <v>20.350000000000001</v>
      </c>
      <c r="E47" s="100">
        <v>8.86</v>
      </c>
      <c r="F47" s="152" t="s">
        <v>15</v>
      </c>
      <c r="G47" s="100">
        <v>115.78</v>
      </c>
      <c r="H47" s="100">
        <v>41.35</v>
      </c>
      <c r="I47" s="100">
        <v>10.51</v>
      </c>
      <c r="J47" s="100">
        <v>0.27</v>
      </c>
      <c r="K47" s="100">
        <v>131.34</v>
      </c>
      <c r="L47" s="100">
        <v>31.8</v>
      </c>
      <c r="M47" s="100">
        <v>32.75</v>
      </c>
      <c r="N47" s="100">
        <v>539.79999999999995</v>
      </c>
      <c r="O47" s="100">
        <v>0</v>
      </c>
      <c r="P47" s="100">
        <v>0.91</v>
      </c>
      <c r="Q47" s="100">
        <v>28.2</v>
      </c>
      <c r="R47" s="6"/>
      <c r="S47" s="6"/>
      <c r="T47" s="156"/>
      <c r="U47" s="6"/>
    </row>
    <row r="48" spans="1:21" customFormat="1">
      <c r="A48" s="163" t="s">
        <v>2582</v>
      </c>
      <c r="B48" s="100">
        <v>5.87</v>
      </c>
      <c r="C48" s="100">
        <v>25.88</v>
      </c>
      <c r="D48" s="100">
        <v>19.579999999999998</v>
      </c>
      <c r="E48" s="100">
        <v>9.24</v>
      </c>
      <c r="F48" s="152" t="s">
        <v>15</v>
      </c>
      <c r="G48" s="100">
        <v>107.98</v>
      </c>
      <c r="H48" s="100">
        <v>42.26</v>
      </c>
      <c r="I48" s="100">
        <v>10.4</v>
      </c>
      <c r="J48" s="100">
        <v>0.25</v>
      </c>
      <c r="K48" s="100">
        <v>151.1</v>
      </c>
      <c r="L48" s="100">
        <v>32.57</v>
      </c>
      <c r="M48" s="100">
        <v>30.25</v>
      </c>
      <c r="N48" s="100">
        <v>585.20000000000005</v>
      </c>
      <c r="O48" s="100">
        <v>0</v>
      </c>
      <c r="P48" s="100">
        <v>0.91</v>
      </c>
      <c r="Q48" s="100">
        <v>28.18</v>
      </c>
      <c r="R48" s="6"/>
      <c r="S48" s="6"/>
      <c r="T48" s="156"/>
      <c r="U48" s="6"/>
    </row>
    <row r="49" spans="1:21" customFormat="1">
      <c r="A49" s="163" t="s">
        <v>2583</v>
      </c>
      <c r="B49" s="100">
        <v>5.55</v>
      </c>
      <c r="C49" s="100">
        <v>25.16</v>
      </c>
      <c r="D49" s="100">
        <v>18.95</v>
      </c>
      <c r="E49" s="100">
        <v>8.67</v>
      </c>
      <c r="F49" s="152" t="s">
        <v>15</v>
      </c>
      <c r="G49" s="100">
        <v>105.14</v>
      </c>
      <c r="H49" s="100">
        <v>42.29</v>
      </c>
      <c r="I49" s="100">
        <v>10.220000000000001</v>
      </c>
      <c r="J49" s="100">
        <v>0.56999999999999995</v>
      </c>
      <c r="K49" s="100">
        <v>86.05</v>
      </c>
      <c r="L49" s="100">
        <v>33.090000000000003</v>
      </c>
      <c r="M49" s="100">
        <v>29.05</v>
      </c>
      <c r="N49" s="100">
        <v>561.20000000000005</v>
      </c>
      <c r="O49" s="100">
        <v>0</v>
      </c>
      <c r="P49" s="100">
        <v>0.89</v>
      </c>
      <c r="Q49" s="100">
        <v>28.17</v>
      </c>
      <c r="R49" s="6"/>
      <c r="S49" s="6"/>
      <c r="T49" s="156"/>
      <c r="U49" s="6"/>
    </row>
    <row r="50" spans="1:21" customFormat="1">
      <c r="A50" s="163" t="s">
        <v>2584</v>
      </c>
      <c r="B50" s="100">
        <v>5.18</v>
      </c>
      <c r="C50" s="100">
        <v>23.09</v>
      </c>
      <c r="D50" s="100">
        <v>17.559999999999999</v>
      </c>
      <c r="E50" s="100">
        <v>11.31</v>
      </c>
      <c r="F50" s="152" t="s">
        <v>15</v>
      </c>
      <c r="G50" s="100">
        <v>105.14</v>
      </c>
      <c r="H50" s="100">
        <v>42.29</v>
      </c>
      <c r="I50" s="100">
        <v>10.07</v>
      </c>
      <c r="J50" s="100">
        <v>0.34</v>
      </c>
      <c r="K50" s="100">
        <v>135.08000000000001</v>
      </c>
      <c r="L50" s="100">
        <v>33.65</v>
      </c>
      <c r="M50" s="100">
        <v>27.59</v>
      </c>
      <c r="N50" s="100">
        <v>455.5</v>
      </c>
      <c r="O50" s="100">
        <v>0</v>
      </c>
      <c r="P50" s="100">
        <v>0.86</v>
      </c>
      <c r="Q50" s="100">
        <v>28.17</v>
      </c>
      <c r="R50" s="6"/>
      <c r="S50" s="6"/>
      <c r="T50" s="156"/>
      <c r="U50" s="6"/>
    </row>
    <row r="51" spans="1:21" customFormat="1">
      <c r="A51" s="163" t="s">
        <v>2585</v>
      </c>
      <c r="B51" s="100">
        <v>4.87</v>
      </c>
      <c r="C51" s="100">
        <v>21.42</v>
      </c>
      <c r="D51" s="100">
        <v>16.45</v>
      </c>
      <c r="E51" s="100">
        <v>11.13</v>
      </c>
      <c r="F51" s="152" t="s">
        <v>15</v>
      </c>
      <c r="G51" s="100">
        <v>105.14</v>
      </c>
      <c r="H51" s="100">
        <v>42.29</v>
      </c>
      <c r="I51" s="100">
        <v>9.9600000000000009</v>
      </c>
      <c r="J51" s="100">
        <v>0.13</v>
      </c>
      <c r="K51" s="100">
        <v>48.34</v>
      </c>
      <c r="L51" s="100">
        <v>33.799999999999997</v>
      </c>
      <c r="M51" s="100">
        <v>26.36</v>
      </c>
      <c r="N51" s="100">
        <v>700.3</v>
      </c>
      <c r="O51" s="100">
        <v>0</v>
      </c>
      <c r="P51" s="100">
        <v>0.85</v>
      </c>
      <c r="Q51" s="100">
        <v>28.13</v>
      </c>
      <c r="R51" s="6"/>
      <c r="S51" s="6"/>
      <c r="T51" s="156"/>
      <c r="U51" s="6"/>
    </row>
    <row r="52" spans="1:21" customFormat="1">
      <c r="A52" s="163" t="s">
        <v>2586</v>
      </c>
      <c r="B52" s="100">
        <v>4.5999999999999996</v>
      </c>
      <c r="C52" s="100">
        <v>20</v>
      </c>
      <c r="D52" s="100">
        <v>15.49</v>
      </c>
      <c r="E52" s="100">
        <v>12.89</v>
      </c>
      <c r="F52" s="152" t="s">
        <v>15</v>
      </c>
      <c r="G52" s="100">
        <v>90.91</v>
      </c>
      <c r="H52" s="100">
        <v>37.840000000000003</v>
      </c>
      <c r="I52" s="100">
        <v>9.58</v>
      </c>
      <c r="J52" s="100">
        <v>0.36</v>
      </c>
      <c r="K52" s="100">
        <v>172.62</v>
      </c>
      <c r="L52" s="100">
        <v>34.76</v>
      </c>
      <c r="M52" s="100">
        <v>23.05</v>
      </c>
      <c r="N52" s="100">
        <v>741.5</v>
      </c>
      <c r="O52" s="100">
        <v>0</v>
      </c>
      <c r="P52" s="100">
        <v>0.82</v>
      </c>
      <c r="Q52" s="100">
        <v>28.11</v>
      </c>
      <c r="R52" s="6"/>
      <c r="S52" s="6"/>
      <c r="T52" s="156"/>
      <c r="U52" s="6"/>
    </row>
    <row r="53" spans="1:21" customFormat="1">
      <c r="A53" s="163" t="s">
        <v>2587</v>
      </c>
      <c r="B53" s="100">
        <v>4.47</v>
      </c>
      <c r="C53" s="100">
        <v>20.09</v>
      </c>
      <c r="D53" s="100">
        <v>15.43</v>
      </c>
      <c r="E53" s="100">
        <v>11.36</v>
      </c>
      <c r="F53" s="152" t="s">
        <v>15</v>
      </c>
      <c r="G53" s="100">
        <v>85.43</v>
      </c>
      <c r="H53" s="100">
        <v>37.729999999999997</v>
      </c>
      <c r="I53" s="100">
        <v>9.43</v>
      </c>
      <c r="J53" s="100">
        <v>0.92</v>
      </c>
      <c r="K53" s="100">
        <v>271.45999999999998</v>
      </c>
      <c r="L53" s="100">
        <v>33.89</v>
      </c>
      <c r="M53" s="100">
        <v>23.97</v>
      </c>
      <c r="N53" s="100">
        <v>717.1</v>
      </c>
      <c r="O53" s="100">
        <v>0</v>
      </c>
      <c r="P53" s="100">
        <v>0.82</v>
      </c>
      <c r="Q53" s="100">
        <v>28.1</v>
      </c>
      <c r="R53" s="6"/>
      <c r="S53" s="6"/>
      <c r="T53" s="156"/>
      <c r="U53" s="6"/>
    </row>
    <row r="54" spans="1:21" customFormat="1">
      <c r="A54" s="163" t="s">
        <v>2588</v>
      </c>
      <c r="B54" s="100">
        <v>4.26</v>
      </c>
      <c r="C54" s="100">
        <v>20.260000000000002</v>
      </c>
      <c r="D54" s="100">
        <v>15.35</v>
      </c>
      <c r="E54" s="100">
        <v>12.68</v>
      </c>
      <c r="F54" s="152" t="s">
        <v>15</v>
      </c>
      <c r="G54" s="100">
        <v>85.43</v>
      </c>
      <c r="H54" s="100">
        <v>37.729999999999997</v>
      </c>
      <c r="I54" s="100">
        <v>9.0299999999999994</v>
      </c>
      <c r="J54" s="100">
        <v>0.11</v>
      </c>
      <c r="K54" s="100">
        <v>90.25</v>
      </c>
      <c r="L54" s="100">
        <v>35.42</v>
      </c>
      <c r="M54" s="100">
        <v>20.51</v>
      </c>
      <c r="N54" s="100">
        <v>765.2</v>
      </c>
      <c r="O54" s="100">
        <v>0</v>
      </c>
      <c r="P54" s="100">
        <v>0.8</v>
      </c>
      <c r="Q54" s="100">
        <v>28.09</v>
      </c>
      <c r="R54" s="6"/>
      <c r="S54" s="6"/>
      <c r="T54" s="156"/>
      <c r="U54" s="6"/>
    </row>
    <row r="55" spans="1:21" customFormat="1">
      <c r="A55" s="163" t="s">
        <v>2589</v>
      </c>
      <c r="B55" s="100">
        <v>4.12</v>
      </c>
      <c r="C55" s="100">
        <v>20.16</v>
      </c>
      <c r="D55" s="100">
        <v>15.19</v>
      </c>
      <c r="E55" s="100">
        <v>12.06</v>
      </c>
      <c r="F55" s="152" t="s">
        <v>15</v>
      </c>
      <c r="G55" s="100">
        <v>85.43</v>
      </c>
      <c r="H55" s="100">
        <v>37.729999999999997</v>
      </c>
      <c r="I55" s="100">
        <v>9.15</v>
      </c>
      <c r="J55" s="100">
        <v>0.25</v>
      </c>
      <c r="K55" s="100">
        <v>159.88999999999999</v>
      </c>
      <c r="L55" s="100">
        <v>35.94</v>
      </c>
      <c r="M55" s="100">
        <v>19.600000000000001</v>
      </c>
      <c r="N55" s="100">
        <v>680.4</v>
      </c>
      <c r="O55" s="100">
        <v>0</v>
      </c>
      <c r="P55" s="100">
        <v>0.77</v>
      </c>
      <c r="Q55" s="100">
        <v>28.1</v>
      </c>
      <c r="R55" s="6"/>
      <c r="S55" s="6"/>
      <c r="T55" s="156"/>
      <c r="U55" s="6"/>
    </row>
    <row r="56" spans="1:21" customFormat="1">
      <c r="A56" s="163" t="s">
        <v>2590</v>
      </c>
      <c r="B56" s="100">
        <v>4.07</v>
      </c>
      <c r="C56" s="100">
        <v>19.670000000000002</v>
      </c>
      <c r="D56" s="100">
        <v>14.89</v>
      </c>
      <c r="E56" s="100">
        <v>13.37</v>
      </c>
      <c r="F56" s="152" t="s">
        <v>15</v>
      </c>
      <c r="G56" s="100">
        <v>72.709999999999994</v>
      </c>
      <c r="H56" s="100">
        <v>30.58</v>
      </c>
      <c r="I56" s="100">
        <v>8.81</v>
      </c>
      <c r="J56" s="100">
        <v>0.2</v>
      </c>
      <c r="K56" s="100">
        <v>334.14</v>
      </c>
      <c r="L56" s="100">
        <v>35.99</v>
      </c>
      <c r="M56" s="100">
        <v>19.54</v>
      </c>
      <c r="N56" s="100">
        <v>789.5</v>
      </c>
      <c r="O56" s="100">
        <v>0</v>
      </c>
      <c r="P56" s="100">
        <v>0.75</v>
      </c>
      <c r="Q56" s="100">
        <v>28.1</v>
      </c>
      <c r="R56" s="6"/>
      <c r="S56" s="6"/>
      <c r="T56" s="156"/>
      <c r="U56" s="6"/>
    </row>
    <row r="57" spans="1:21" customFormat="1">
      <c r="A57" s="163" t="s">
        <v>2591</v>
      </c>
      <c r="B57" s="100">
        <v>4.08</v>
      </c>
      <c r="C57" s="100">
        <v>19.63</v>
      </c>
      <c r="D57" s="100">
        <v>14.87</v>
      </c>
      <c r="E57" s="100">
        <v>11.45</v>
      </c>
      <c r="F57" s="152" t="s">
        <v>15</v>
      </c>
      <c r="G57" s="100">
        <v>68.09</v>
      </c>
      <c r="H57" s="100">
        <v>30.36</v>
      </c>
      <c r="I57" s="100">
        <v>8.6</v>
      </c>
      <c r="J57" s="100">
        <v>0.08</v>
      </c>
      <c r="K57" s="100">
        <v>150.80000000000001</v>
      </c>
      <c r="L57" s="100">
        <v>36.119999999999997</v>
      </c>
      <c r="M57" s="100">
        <v>19.09</v>
      </c>
      <c r="N57" s="100">
        <v>784.9</v>
      </c>
      <c r="O57" s="100">
        <v>0</v>
      </c>
      <c r="P57" s="100">
        <v>0.75</v>
      </c>
      <c r="Q57" s="100">
        <v>28.08</v>
      </c>
      <c r="R57" s="6"/>
      <c r="S57" s="6"/>
      <c r="T57" s="156"/>
      <c r="U57" s="6"/>
    </row>
    <row r="58" spans="1:21" customFormat="1">
      <c r="A58" s="163" t="s">
        <v>2592</v>
      </c>
      <c r="B58" s="100">
        <v>4.04</v>
      </c>
      <c r="C58" s="100">
        <v>19.34</v>
      </c>
      <c r="D58" s="100">
        <v>14.69</v>
      </c>
      <c r="E58" s="100">
        <v>12.27</v>
      </c>
      <c r="F58" s="152" t="s">
        <v>15</v>
      </c>
      <c r="G58" s="100">
        <v>68.09</v>
      </c>
      <c r="H58" s="100">
        <v>30.36</v>
      </c>
      <c r="I58" s="100">
        <v>8.24</v>
      </c>
      <c r="J58" s="100">
        <v>0.8</v>
      </c>
      <c r="K58" s="100">
        <v>320.02999999999997</v>
      </c>
      <c r="L58" s="100">
        <v>36.01</v>
      </c>
      <c r="M58" s="100">
        <v>18.079999999999998</v>
      </c>
      <c r="N58" s="100">
        <v>796.1</v>
      </c>
      <c r="O58" s="100">
        <v>0</v>
      </c>
      <c r="P58" s="100">
        <v>0.73</v>
      </c>
      <c r="Q58" s="100">
        <v>28.08</v>
      </c>
      <c r="R58" s="6"/>
      <c r="S58" s="6"/>
      <c r="T58" s="156"/>
      <c r="U58" s="6"/>
    </row>
    <row r="59" spans="1:21" customFormat="1">
      <c r="A59" s="163" t="s">
        <v>2593</v>
      </c>
      <c r="B59" s="100">
        <v>4.07</v>
      </c>
      <c r="C59" s="100">
        <v>19.45</v>
      </c>
      <c r="D59" s="100">
        <v>14.78</v>
      </c>
      <c r="E59" s="100">
        <v>11.69</v>
      </c>
      <c r="F59" s="152" t="s">
        <v>15</v>
      </c>
      <c r="G59" s="100">
        <v>68.09</v>
      </c>
      <c r="H59" s="100">
        <v>30.36</v>
      </c>
      <c r="I59" s="100">
        <v>8.32</v>
      </c>
      <c r="J59" s="100">
        <v>0.36</v>
      </c>
      <c r="K59" s="100">
        <v>102.83</v>
      </c>
      <c r="L59" s="100">
        <v>36.799999999999997</v>
      </c>
      <c r="M59" s="100">
        <v>16.899999999999999</v>
      </c>
      <c r="N59" s="100">
        <v>771.5</v>
      </c>
      <c r="O59" s="100">
        <v>0</v>
      </c>
      <c r="P59" s="100">
        <v>0.73</v>
      </c>
      <c r="Q59" s="100">
        <v>28.09</v>
      </c>
      <c r="R59" s="6"/>
      <c r="S59" s="6"/>
      <c r="T59" s="156"/>
      <c r="U59" s="6"/>
    </row>
    <row r="60" spans="1:21" customFormat="1">
      <c r="A60" s="163" t="s">
        <v>2594</v>
      </c>
      <c r="B60" s="100">
        <v>4.04</v>
      </c>
      <c r="C60" s="100">
        <v>19.27</v>
      </c>
      <c r="D60" s="100">
        <v>14.66</v>
      </c>
      <c r="E60" s="100">
        <v>13.18</v>
      </c>
      <c r="F60" s="152" t="s">
        <v>15</v>
      </c>
      <c r="G60" s="100">
        <v>63.82</v>
      </c>
      <c r="H60" s="100">
        <v>32.74</v>
      </c>
      <c r="I60" s="100">
        <v>8.1</v>
      </c>
      <c r="J60" s="100">
        <v>0.42</v>
      </c>
      <c r="K60" s="100">
        <v>71.989999999999995</v>
      </c>
      <c r="L60" s="100">
        <v>36.729999999999997</v>
      </c>
      <c r="M60" s="100">
        <v>16.82</v>
      </c>
      <c r="N60" s="100">
        <v>727</v>
      </c>
      <c r="O60" s="100">
        <v>0</v>
      </c>
      <c r="P60" s="100">
        <v>0.72</v>
      </c>
      <c r="Q60" s="100">
        <v>28.09</v>
      </c>
      <c r="R60" s="6"/>
      <c r="S60" s="6"/>
      <c r="T60" s="156"/>
      <c r="U60" s="6"/>
    </row>
    <row r="61" spans="1:21" customFormat="1">
      <c r="A61" s="163" t="s">
        <v>2595</v>
      </c>
      <c r="B61" s="100">
        <v>4.04</v>
      </c>
      <c r="C61" s="100">
        <v>19.010000000000002</v>
      </c>
      <c r="D61" s="100">
        <v>14.52</v>
      </c>
      <c r="E61" s="100">
        <v>13.08</v>
      </c>
      <c r="F61" s="152" t="s">
        <v>15</v>
      </c>
      <c r="G61" s="100">
        <v>62.27</v>
      </c>
      <c r="H61" s="100">
        <v>32.81</v>
      </c>
      <c r="I61" s="100">
        <v>8.1199999999999992</v>
      </c>
      <c r="J61" s="100">
        <v>0.41</v>
      </c>
      <c r="K61" s="100">
        <v>229.63</v>
      </c>
      <c r="L61" s="100">
        <v>36.729999999999997</v>
      </c>
      <c r="M61" s="100">
        <v>16.760000000000002</v>
      </c>
      <c r="N61" s="100">
        <v>677.3</v>
      </c>
      <c r="O61" s="100">
        <v>0</v>
      </c>
      <c r="P61" s="100">
        <v>0.72</v>
      </c>
      <c r="Q61" s="100">
        <v>28.08</v>
      </c>
      <c r="R61" s="6"/>
      <c r="S61" s="6"/>
      <c r="T61" s="156"/>
      <c r="U61" s="6"/>
    </row>
    <row r="62" spans="1:21" customFormat="1">
      <c r="A62" s="163" t="s">
        <v>2596</v>
      </c>
      <c r="B62" s="100">
        <v>3.96</v>
      </c>
      <c r="C62" s="100">
        <v>18.98</v>
      </c>
      <c r="D62" s="100">
        <v>14.45</v>
      </c>
      <c r="E62" s="100">
        <v>12.14</v>
      </c>
      <c r="F62" s="152" t="s">
        <v>15</v>
      </c>
      <c r="G62" s="100">
        <v>62.27</v>
      </c>
      <c r="H62" s="100">
        <v>32.81</v>
      </c>
      <c r="I62" s="100">
        <v>7.8</v>
      </c>
      <c r="J62" s="100">
        <v>0.89</v>
      </c>
      <c r="K62" s="100">
        <v>300.45999999999998</v>
      </c>
      <c r="L62" s="100">
        <v>36.33</v>
      </c>
      <c r="M62" s="100">
        <v>16.46</v>
      </c>
      <c r="N62" s="100">
        <v>628.5</v>
      </c>
      <c r="O62" s="100">
        <v>0</v>
      </c>
      <c r="P62" s="100">
        <v>0.71</v>
      </c>
      <c r="Q62" s="100">
        <v>28.08</v>
      </c>
      <c r="R62" s="6"/>
      <c r="S62" s="6"/>
      <c r="T62" s="156"/>
      <c r="U62" s="6"/>
    </row>
    <row r="63" spans="1:21" customFormat="1">
      <c r="A63" s="163" t="s">
        <v>2597</v>
      </c>
      <c r="B63" s="100">
        <v>3.82</v>
      </c>
      <c r="C63" s="100">
        <v>18.62</v>
      </c>
      <c r="D63" s="100">
        <v>14.14</v>
      </c>
      <c r="E63" s="100">
        <v>14.63</v>
      </c>
      <c r="F63" s="152" t="s">
        <v>15</v>
      </c>
      <c r="G63" s="100">
        <v>62.27</v>
      </c>
      <c r="H63" s="100">
        <v>32.81</v>
      </c>
      <c r="I63" s="100">
        <v>7.82</v>
      </c>
      <c r="J63" s="100">
        <v>0.39</v>
      </c>
      <c r="K63" s="100">
        <v>95.82</v>
      </c>
      <c r="L63" s="100">
        <v>37.630000000000003</v>
      </c>
      <c r="M63" s="100">
        <v>15.35</v>
      </c>
      <c r="N63" s="100">
        <v>571.79999999999995</v>
      </c>
      <c r="O63" s="100">
        <v>0</v>
      </c>
      <c r="P63" s="100">
        <v>0.69</v>
      </c>
      <c r="Q63" s="100">
        <v>28.07</v>
      </c>
      <c r="R63" s="6"/>
      <c r="S63" s="6"/>
      <c r="T63" s="156"/>
      <c r="U63" s="6"/>
    </row>
    <row r="64" spans="1:21" customFormat="1">
      <c r="A64" s="163" t="s">
        <v>2598</v>
      </c>
      <c r="B64" s="100">
        <v>3.85</v>
      </c>
      <c r="C64" s="100">
        <v>18.579999999999998</v>
      </c>
      <c r="D64" s="100">
        <v>14.14</v>
      </c>
      <c r="E64" s="100">
        <v>20.87</v>
      </c>
      <c r="F64" s="152" t="s">
        <v>15</v>
      </c>
      <c r="G64" s="100">
        <v>63.42</v>
      </c>
      <c r="H64" s="100">
        <v>33.61</v>
      </c>
      <c r="I64" s="100">
        <v>7.77</v>
      </c>
      <c r="J64" s="100">
        <v>0.48</v>
      </c>
      <c r="K64" s="100">
        <v>333.45</v>
      </c>
      <c r="L64" s="100">
        <v>37.18</v>
      </c>
      <c r="M64" s="100">
        <v>15.69</v>
      </c>
      <c r="N64" s="100">
        <v>556.6</v>
      </c>
      <c r="O64" s="100">
        <v>0</v>
      </c>
      <c r="P64" s="100">
        <v>0.69</v>
      </c>
      <c r="Q64" s="100">
        <v>28.07</v>
      </c>
      <c r="R64" s="6"/>
      <c r="S64" s="6"/>
      <c r="T64" s="156"/>
      <c r="U64" s="6"/>
    </row>
    <row r="65" spans="1:21" customFormat="1">
      <c r="A65" s="163" t="s">
        <v>2599</v>
      </c>
      <c r="B65" s="100">
        <v>3.85</v>
      </c>
      <c r="C65" s="100">
        <v>18.989999999999998</v>
      </c>
      <c r="D65" s="100">
        <v>14.36</v>
      </c>
      <c r="E65" s="100">
        <v>13.94</v>
      </c>
      <c r="F65" s="152" t="s">
        <v>15</v>
      </c>
      <c r="G65" s="100">
        <v>63.84</v>
      </c>
      <c r="H65" s="100">
        <v>33.630000000000003</v>
      </c>
      <c r="I65" s="100">
        <v>7.57</v>
      </c>
      <c r="J65" s="100">
        <v>0.84</v>
      </c>
      <c r="K65" s="100">
        <v>310.27</v>
      </c>
      <c r="L65" s="100">
        <v>36.68</v>
      </c>
      <c r="M65" s="100">
        <v>15.93</v>
      </c>
      <c r="N65" s="100">
        <v>543.5</v>
      </c>
      <c r="O65" s="100">
        <v>0</v>
      </c>
      <c r="P65" s="100">
        <v>0.67</v>
      </c>
      <c r="Q65" s="100">
        <v>28.07</v>
      </c>
      <c r="R65" s="6"/>
      <c r="S65" s="6"/>
      <c r="T65" s="156"/>
      <c r="U65" s="6"/>
    </row>
    <row r="66" spans="1:21" customFormat="1">
      <c r="A66" s="163" t="s">
        <v>2600</v>
      </c>
      <c r="B66" s="100">
        <v>3.74</v>
      </c>
      <c r="C66" s="100">
        <v>18.899999999999999</v>
      </c>
      <c r="D66" s="100">
        <v>14.22</v>
      </c>
      <c r="E66" s="100">
        <v>12.79</v>
      </c>
      <c r="F66" s="152" t="s">
        <v>15</v>
      </c>
      <c r="G66" s="100">
        <v>63.84</v>
      </c>
      <c r="H66" s="100">
        <v>33.630000000000003</v>
      </c>
      <c r="I66" s="100">
        <v>7.43</v>
      </c>
      <c r="J66" s="100">
        <v>0.56000000000000005</v>
      </c>
      <c r="K66" s="100">
        <v>267.35000000000002</v>
      </c>
      <c r="L66" s="100">
        <v>37.07</v>
      </c>
      <c r="M66" s="100">
        <v>15.23</v>
      </c>
      <c r="N66" s="100">
        <v>516.5</v>
      </c>
      <c r="O66" s="100">
        <v>0</v>
      </c>
      <c r="P66" s="100">
        <v>0.69</v>
      </c>
      <c r="Q66" s="100">
        <v>28.08</v>
      </c>
      <c r="R66" s="6"/>
      <c r="S66" s="6"/>
      <c r="T66" s="156"/>
      <c r="U66" s="6"/>
    </row>
    <row r="67" spans="1:21" customFormat="1">
      <c r="A67" s="163" t="s">
        <v>2601</v>
      </c>
      <c r="B67" s="100">
        <v>3.56</v>
      </c>
      <c r="C67" s="100">
        <v>18.37</v>
      </c>
      <c r="D67" s="100">
        <v>13.8</v>
      </c>
      <c r="E67" s="100">
        <v>13.82</v>
      </c>
      <c r="F67" s="152" t="s">
        <v>15</v>
      </c>
      <c r="G67" s="100">
        <v>63.84</v>
      </c>
      <c r="H67" s="100">
        <v>33.630000000000003</v>
      </c>
      <c r="I67" s="100">
        <v>7.63</v>
      </c>
      <c r="J67" s="100">
        <v>0.39</v>
      </c>
      <c r="K67" s="100">
        <v>249.78</v>
      </c>
      <c r="L67" s="100">
        <v>37.11</v>
      </c>
      <c r="M67" s="100">
        <v>14.96</v>
      </c>
      <c r="N67" s="100">
        <v>487</v>
      </c>
      <c r="O67" s="100">
        <v>0</v>
      </c>
      <c r="P67" s="100">
        <v>0.67</v>
      </c>
      <c r="Q67" s="100">
        <v>28.08</v>
      </c>
      <c r="R67" s="6"/>
      <c r="S67" s="6"/>
      <c r="T67" s="156"/>
      <c r="U67" s="6"/>
    </row>
    <row r="68" spans="1:21" customFormat="1">
      <c r="A68" s="163" t="s">
        <v>2602</v>
      </c>
      <c r="B68" s="100">
        <v>3.46</v>
      </c>
      <c r="C68" s="100">
        <v>17.73</v>
      </c>
      <c r="D68" s="100">
        <v>13.39</v>
      </c>
      <c r="E68" s="100">
        <v>16.29</v>
      </c>
      <c r="F68" s="152" t="s">
        <v>15</v>
      </c>
      <c r="G68" s="100">
        <v>69.739999999999995</v>
      </c>
      <c r="H68" s="100">
        <v>33.19</v>
      </c>
      <c r="I68" s="100">
        <v>7.47</v>
      </c>
      <c r="J68" s="100">
        <v>0.15</v>
      </c>
      <c r="K68" s="100">
        <v>336.89</v>
      </c>
      <c r="L68" s="100">
        <v>37.14</v>
      </c>
      <c r="M68" s="100">
        <v>13.2</v>
      </c>
      <c r="N68" s="100">
        <v>332.1</v>
      </c>
      <c r="O68" s="100">
        <v>0</v>
      </c>
      <c r="P68" s="100">
        <v>0.65</v>
      </c>
      <c r="Q68" s="100">
        <v>28.08</v>
      </c>
      <c r="R68" s="6"/>
      <c r="S68" s="6"/>
      <c r="T68" s="156"/>
      <c r="U68" s="6"/>
    </row>
    <row r="69" spans="1:21" customFormat="1">
      <c r="A69" s="163" t="s">
        <v>2603</v>
      </c>
      <c r="B69" s="100">
        <v>3.96</v>
      </c>
      <c r="C69" s="100">
        <v>20.29</v>
      </c>
      <c r="D69" s="100">
        <v>15.12</v>
      </c>
      <c r="E69" s="100">
        <v>17.649999999999999</v>
      </c>
      <c r="F69" s="152" t="s">
        <v>15</v>
      </c>
      <c r="G69" s="100">
        <v>71.89</v>
      </c>
      <c r="H69" s="100">
        <v>33.17</v>
      </c>
      <c r="I69" s="100">
        <v>7.25</v>
      </c>
      <c r="J69" s="100">
        <v>1</v>
      </c>
      <c r="K69" s="100">
        <v>42.19</v>
      </c>
      <c r="L69" s="100">
        <v>36.380000000000003</v>
      </c>
      <c r="M69" s="100">
        <v>13.44</v>
      </c>
      <c r="N69" s="100">
        <v>418.6</v>
      </c>
      <c r="O69" s="100">
        <v>0</v>
      </c>
      <c r="P69" s="100">
        <v>0.64</v>
      </c>
      <c r="Q69" s="100">
        <v>28.09</v>
      </c>
      <c r="R69" s="6"/>
      <c r="S69" s="6"/>
      <c r="T69" s="156"/>
      <c r="U69" s="6"/>
    </row>
    <row r="70" spans="1:21" customFormat="1">
      <c r="A70" s="163" t="s">
        <v>2604</v>
      </c>
      <c r="B70" s="100">
        <v>3.88</v>
      </c>
      <c r="C70" s="100">
        <v>20.91</v>
      </c>
      <c r="D70" s="100">
        <v>15.39</v>
      </c>
      <c r="E70" s="100">
        <v>17.98</v>
      </c>
      <c r="F70" s="152" t="s">
        <v>15</v>
      </c>
      <c r="G70" s="100">
        <v>71.89</v>
      </c>
      <c r="H70" s="100">
        <v>33.17</v>
      </c>
      <c r="I70" s="100">
        <v>7.05</v>
      </c>
      <c r="J70" s="100">
        <v>0.82</v>
      </c>
      <c r="K70" s="100">
        <v>10.68</v>
      </c>
      <c r="L70" s="100">
        <v>36.39</v>
      </c>
      <c r="M70" s="100">
        <v>13.65</v>
      </c>
      <c r="N70" s="100">
        <v>371.2</v>
      </c>
      <c r="O70" s="100">
        <v>0</v>
      </c>
      <c r="P70" s="100">
        <v>0.63</v>
      </c>
      <c r="Q70" s="100">
        <v>28.09</v>
      </c>
      <c r="R70" s="6"/>
      <c r="S70" s="6"/>
      <c r="T70" s="156"/>
      <c r="U70" s="6"/>
    </row>
    <row r="71" spans="1:21" customFormat="1">
      <c r="A71" s="163" t="s">
        <v>2605</v>
      </c>
      <c r="B71" s="100">
        <v>3.63</v>
      </c>
      <c r="C71" s="100">
        <v>19.39</v>
      </c>
      <c r="D71" s="100">
        <v>14.39</v>
      </c>
      <c r="E71" s="100">
        <v>18.63</v>
      </c>
      <c r="F71" s="152" t="s">
        <v>15</v>
      </c>
      <c r="G71" s="100">
        <v>71.89</v>
      </c>
      <c r="H71" s="100">
        <v>33.17</v>
      </c>
      <c r="I71" s="100">
        <v>7.03</v>
      </c>
      <c r="J71" s="100">
        <v>0.21</v>
      </c>
      <c r="K71" s="100">
        <v>209.15</v>
      </c>
      <c r="L71" s="100">
        <v>36.909999999999997</v>
      </c>
      <c r="M71" s="100">
        <v>13.27</v>
      </c>
      <c r="N71" s="100">
        <v>364.1</v>
      </c>
      <c r="O71" s="100">
        <v>0</v>
      </c>
      <c r="P71" s="100">
        <v>0.61</v>
      </c>
      <c r="Q71" s="100">
        <v>28.08</v>
      </c>
      <c r="R71" s="6"/>
      <c r="S71" s="6"/>
      <c r="T71" s="156"/>
      <c r="U71" s="6"/>
    </row>
    <row r="72" spans="1:21" customFormat="1">
      <c r="A72" s="163" t="s">
        <v>2606</v>
      </c>
      <c r="B72" s="100">
        <v>3.5</v>
      </c>
      <c r="C72" s="100">
        <v>18.43</v>
      </c>
      <c r="D72" s="100">
        <v>13.78</v>
      </c>
      <c r="E72" s="100">
        <v>16.510000000000002</v>
      </c>
      <c r="F72" s="152" t="s">
        <v>15</v>
      </c>
      <c r="G72" s="100">
        <v>70.98</v>
      </c>
      <c r="H72" s="100">
        <v>34.58</v>
      </c>
      <c r="I72" s="100">
        <v>6.9</v>
      </c>
      <c r="J72" s="100">
        <v>0.45</v>
      </c>
      <c r="K72" s="100">
        <v>87.59</v>
      </c>
      <c r="L72" s="100">
        <v>37.15</v>
      </c>
      <c r="M72" s="100">
        <v>13.33</v>
      </c>
      <c r="N72" s="100">
        <v>300.3</v>
      </c>
      <c r="O72" s="100">
        <v>0</v>
      </c>
      <c r="P72" s="100">
        <v>0.61</v>
      </c>
      <c r="Q72" s="100">
        <v>28.06</v>
      </c>
      <c r="R72" s="6"/>
      <c r="S72" s="6"/>
      <c r="T72" s="156"/>
      <c r="U72" s="6"/>
    </row>
    <row r="73" spans="1:21" customFormat="1">
      <c r="A73" s="163" t="s">
        <v>2607</v>
      </c>
      <c r="B73" s="100">
        <v>3.43</v>
      </c>
      <c r="C73" s="100">
        <v>17.38</v>
      </c>
      <c r="D73" s="100">
        <v>13.18</v>
      </c>
      <c r="E73" s="100">
        <v>19.850000000000001</v>
      </c>
      <c r="F73" s="152" t="s">
        <v>15</v>
      </c>
      <c r="G73" s="100">
        <v>70.650000000000006</v>
      </c>
      <c r="H73" s="100">
        <v>34.619999999999997</v>
      </c>
      <c r="I73" s="100">
        <v>6.69</v>
      </c>
      <c r="J73" s="100">
        <v>0.25</v>
      </c>
      <c r="K73" s="100">
        <v>189.31</v>
      </c>
      <c r="L73" s="100">
        <v>36.71</v>
      </c>
      <c r="M73" s="100">
        <v>14.51</v>
      </c>
      <c r="N73" s="100">
        <v>140</v>
      </c>
      <c r="O73" s="100">
        <v>0</v>
      </c>
      <c r="P73" s="100">
        <v>0.6</v>
      </c>
      <c r="Q73" s="100">
        <v>28.07</v>
      </c>
      <c r="R73" s="6"/>
      <c r="S73" s="6"/>
      <c r="T73" s="156"/>
      <c r="U73" s="6"/>
    </row>
    <row r="74" spans="1:21" customFormat="1">
      <c r="A74" s="163" t="s">
        <v>2608</v>
      </c>
      <c r="B74" s="100">
        <v>3.34</v>
      </c>
      <c r="C74" s="100">
        <v>15.68</v>
      </c>
      <c r="D74" s="100">
        <v>12.22</v>
      </c>
      <c r="E74" s="100">
        <v>21.65</v>
      </c>
      <c r="F74" s="152" t="s">
        <v>15</v>
      </c>
      <c r="G74" s="100">
        <v>70.650000000000006</v>
      </c>
      <c r="H74" s="100">
        <v>34.619999999999997</v>
      </c>
      <c r="I74" s="100">
        <v>6.64</v>
      </c>
      <c r="J74" s="100">
        <v>0.16</v>
      </c>
      <c r="K74" s="100">
        <v>184.45</v>
      </c>
      <c r="L74" s="100">
        <v>36.159999999999997</v>
      </c>
      <c r="M74" s="100">
        <v>16.41</v>
      </c>
      <c r="N74" s="100">
        <v>110</v>
      </c>
      <c r="O74" s="100">
        <v>0</v>
      </c>
      <c r="P74" s="100">
        <v>0.57999999999999996</v>
      </c>
      <c r="Q74" s="100">
        <v>28.06</v>
      </c>
      <c r="R74" s="6"/>
      <c r="S74" s="6"/>
      <c r="T74" s="156"/>
      <c r="U74" s="6"/>
    </row>
    <row r="75" spans="1:21" customFormat="1">
      <c r="A75" s="163" t="s">
        <v>2609</v>
      </c>
      <c r="B75" s="100">
        <v>3.28</v>
      </c>
      <c r="C75" s="100">
        <v>15.23</v>
      </c>
      <c r="D75" s="100">
        <v>11.94</v>
      </c>
      <c r="E75" s="100">
        <v>23.1</v>
      </c>
      <c r="F75" s="152" t="s">
        <v>15</v>
      </c>
      <c r="G75" s="100">
        <v>70.650000000000006</v>
      </c>
      <c r="H75" s="100">
        <v>34.619999999999997</v>
      </c>
      <c r="I75" s="100">
        <v>6.34</v>
      </c>
      <c r="J75" s="100">
        <v>0.28999999999999998</v>
      </c>
      <c r="K75" s="100">
        <v>222.8</v>
      </c>
      <c r="L75" s="100">
        <v>35.97</v>
      </c>
      <c r="M75" s="100">
        <v>16.82</v>
      </c>
      <c r="N75" s="100">
        <v>111.6</v>
      </c>
      <c r="O75" s="100">
        <v>0</v>
      </c>
      <c r="P75" s="100">
        <v>0.57999999999999996</v>
      </c>
      <c r="Q75" s="100">
        <v>28.07</v>
      </c>
      <c r="R75" s="6"/>
      <c r="S75" s="6"/>
      <c r="T75" s="156"/>
      <c r="U75" s="6"/>
    </row>
    <row r="76" spans="1:21" customFormat="1">
      <c r="A76" s="163" t="s">
        <v>2610</v>
      </c>
      <c r="B76" s="100">
        <v>3.27</v>
      </c>
      <c r="C76" s="100">
        <v>15.02</v>
      </c>
      <c r="D76" s="100">
        <v>11.82</v>
      </c>
      <c r="E76" s="100">
        <v>23.57</v>
      </c>
      <c r="F76" s="152" t="s">
        <v>15</v>
      </c>
      <c r="G76" s="100">
        <v>69.83</v>
      </c>
      <c r="H76" s="100">
        <v>32.29</v>
      </c>
      <c r="I76" s="100">
        <v>6.17</v>
      </c>
      <c r="J76" s="100">
        <v>0.32</v>
      </c>
      <c r="K76" s="100">
        <v>166.58</v>
      </c>
      <c r="L76" s="100">
        <v>35.56</v>
      </c>
      <c r="M76" s="100">
        <v>16.62</v>
      </c>
      <c r="N76" s="100">
        <v>81.8</v>
      </c>
      <c r="O76" s="100">
        <v>0</v>
      </c>
      <c r="P76" s="100">
        <v>0.56999999999999995</v>
      </c>
      <c r="Q76" s="100">
        <v>28.08</v>
      </c>
      <c r="R76" s="6"/>
      <c r="S76" s="6"/>
      <c r="T76" s="156"/>
      <c r="U76" s="6"/>
    </row>
    <row r="77" spans="1:21" customFormat="1">
      <c r="A77" s="163" t="s">
        <v>2611</v>
      </c>
      <c r="B77" s="100">
        <v>3.28</v>
      </c>
      <c r="C77" s="100">
        <v>14.67</v>
      </c>
      <c r="D77" s="100">
        <v>11.64</v>
      </c>
      <c r="E77" s="100">
        <v>22.9</v>
      </c>
      <c r="F77" s="152" t="s">
        <v>15</v>
      </c>
      <c r="G77" s="100">
        <v>69.53</v>
      </c>
      <c r="H77" s="100">
        <v>32.229999999999997</v>
      </c>
      <c r="I77" s="100">
        <v>6.05</v>
      </c>
      <c r="J77" s="100">
        <v>0.25</v>
      </c>
      <c r="K77" s="100">
        <v>186.33</v>
      </c>
      <c r="L77" s="100">
        <v>35.020000000000003</v>
      </c>
      <c r="M77" s="100">
        <v>18.39</v>
      </c>
      <c r="N77" s="100">
        <v>63.3</v>
      </c>
      <c r="O77" s="100">
        <v>0</v>
      </c>
      <c r="P77" s="100">
        <v>0.56999999999999995</v>
      </c>
      <c r="Q77" s="100">
        <v>28.08</v>
      </c>
      <c r="R77" s="6"/>
      <c r="S77" s="6"/>
      <c r="T77" s="156"/>
      <c r="U77" s="6"/>
    </row>
    <row r="78" spans="1:21" customFormat="1">
      <c r="A78" s="163" t="s">
        <v>2612</v>
      </c>
      <c r="B78" s="100">
        <v>3.27</v>
      </c>
      <c r="C78" s="100">
        <v>14.78</v>
      </c>
      <c r="D78" s="100">
        <v>11.7</v>
      </c>
      <c r="E78" s="100">
        <v>21.45</v>
      </c>
      <c r="F78" s="152" t="s">
        <v>15</v>
      </c>
      <c r="G78" s="100">
        <v>69.53</v>
      </c>
      <c r="H78" s="100">
        <v>32.229999999999997</v>
      </c>
      <c r="I78" s="100">
        <v>5.97</v>
      </c>
      <c r="J78" s="100">
        <v>0.16</v>
      </c>
      <c r="K78" s="100">
        <v>202.53</v>
      </c>
      <c r="L78" s="100">
        <v>34.119999999999997</v>
      </c>
      <c r="M78" s="100">
        <v>20.100000000000001</v>
      </c>
      <c r="N78" s="100">
        <v>45.9</v>
      </c>
      <c r="O78" s="100">
        <v>0</v>
      </c>
      <c r="P78" s="100">
        <v>0.57999999999999996</v>
      </c>
      <c r="Q78" s="100">
        <v>28.07</v>
      </c>
      <c r="R78" s="6"/>
      <c r="S78" s="6"/>
      <c r="T78" s="156"/>
      <c r="U78" s="6"/>
    </row>
    <row r="79" spans="1:21" customFormat="1">
      <c r="A79" s="163" t="s">
        <v>2613</v>
      </c>
      <c r="B79" s="100">
        <v>3.26</v>
      </c>
      <c r="C79" s="100">
        <v>14.73</v>
      </c>
      <c r="D79" s="100">
        <v>11.66</v>
      </c>
      <c r="E79" s="100">
        <v>20.53</v>
      </c>
      <c r="F79" s="152" t="s">
        <v>15</v>
      </c>
      <c r="G79" s="100">
        <v>69.53</v>
      </c>
      <c r="H79" s="100">
        <v>32.229999999999997</v>
      </c>
      <c r="I79" s="100">
        <v>5.81</v>
      </c>
      <c r="J79" s="100">
        <v>0.14000000000000001</v>
      </c>
      <c r="K79" s="100">
        <v>214.37</v>
      </c>
      <c r="L79" s="100">
        <v>33.270000000000003</v>
      </c>
      <c r="M79" s="100">
        <v>21.47</v>
      </c>
      <c r="N79" s="100">
        <v>31.9</v>
      </c>
      <c r="O79" s="100">
        <v>0</v>
      </c>
      <c r="P79" s="100">
        <v>0.6</v>
      </c>
      <c r="Q79" s="100">
        <v>28.06</v>
      </c>
      <c r="R79" s="6"/>
      <c r="S79" s="6"/>
      <c r="T79" s="156"/>
      <c r="U79" s="6"/>
    </row>
    <row r="80" spans="1:21" customFormat="1">
      <c r="A80" s="163" t="s">
        <v>2614</v>
      </c>
      <c r="B80" s="100">
        <v>3.26</v>
      </c>
      <c r="C80" s="100">
        <v>14.59</v>
      </c>
      <c r="D80" s="100">
        <v>11.59</v>
      </c>
      <c r="E80" s="100">
        <v>21.25</v>
      </c>
      <c r="F80" s="152" t="s">
        <v>15</v>
      </c>
      <c r="G80" s="100">
        <v>69.59</v>
      </c>
      <c r="H80" s="100">
        <v>33.74</v>
      </c>
      <c r="I80" s="100">
        <v>5.93</v>
      </c>
      <c r="J80" s="100">
        <v>0.2</v>
      </c>
      <c r="K80" s="100">
        <v>156.74</v>
      </c>
      <c r="L80" s="100">
        <v>32.67</v>
      </c>
      <c r="M80" s="100">
        <v>22.37</v>
      </c>
      <c r="N80" s="100">
        <v>18.5</v>
      </c>
      <c r="O80" s="100">
        <v>0</v>
      </c>
      <c r="P80" s="100">
        <v>0.59</v>
      </c>
      <c r="Q80" s="100">
        <v>28.06</v>
      </c>
      <c r="R80" s="6"/>
      <c r="S80" s="6"/>
      <c r="T80" s="156"/>
      <c r="U80" s="6"/>
    </row>
    <row r="81" spans="1:21" customFormat="1">
      <c r="A81" s="163" t="s">
        <v>2615</v>
      </c>
      <c r="B81" s="100">
        <v>3.27</v>
      </c>
      <c r="C81" s="100">
        <v>15.03</v>
      </c>
      <c r="D81" s="100">
        <v>11.83</v>
      </c>
      <c r="E81" s="100">
        <v>13.1</v>
      </c>
      <c r="F81" s="152" t="s">
        <v>15</v>
      </c>
      <c r="G81" s="100">
        <v>69.61</v>
      </c>
      <c r="H81" s="100">
        <v>33.79</v>
      </c>
      <c r="I81" s="100">
        <v>5.89</v>
      </c>
      <c r="J81" s="100">
        <v>0.28999999999999998</v>
      </c>
      <c r="K81" s="100">
        <v>165.71</v>
      </c>
      <c r="L81" s="100">
        <v>32.03</v>
      </c>
      <c r="M81" s="100">
        <v>24.19</v>
      </c>
      <c r="N81" s="100">
        <v>9.6</v>
      </c>
      <c r="O81" s="100">
        <v>0</v>
      </c>
      <c r="P81" s="100">
        <v>0.62</v>
      </c>
      <c r="Q81" s="100">
        <v>28.06</v>
      </c>
      <c r="R81" s="6"/>
      <c r="S81" s="6"/>
      <c r="T81" s="156"/>
      <c r="U81" s="6"/>
    </row>
    <row r="82" spans="1:21" customFormat="1">
      <c r="A82" s="163" t="s">
        <v>2616</v>
      </c>
      <c r="B82" s="100">
        <v>3.3</v>
      </c>
      <c r="C82" s="100">
        <v>15.39</v>
      </c>
      <c r="D82" s="100">
        <v>12.04</v>
      </c>
      <c r="E82" s="100">
        <v>15.63</v>
      </c>
      <c r="F82" s="152" t="s">
        <v>15</v>
      </c>
      <c r="G82" s="100">
        <v>69.61</v>
      </c>
      <c r="H82" s="100">
        <v>33.79</v>
      </c>
      <c r="I82" s="100">
        <v>5.91</v>
      </c>
      <c r="J82" s="100">
        <v>0.28000000000000003</v>
      </c>
      <c r="K82" s="100">
        <v>176.62</v>
      </c>
      <c r="L82" s="100">
        <v>30.89</v>
      </c>
      <c r="M82" s="100">
        <v>28.14</v>
      </c>
      <c r="N82" s="100">
        <v>7.1</v>
      </c>
      <c r="O82" s="100">
        <v>0</v>
      </c>
      <c r="P82" s="100">
        <v>0.63</v>
      </c>
      <c r="Q82" s="100">
        <v>28.06</v>
      </c>
      <c r="R82" s="6"/>
      <c r="S82" s="6"/>
      <c r="T82" s="156"/>
      <c r="U82" s="6"/>
    </row>
    <row r="83" spans="1:21" customFormat="1">
      <c r="A83" s="163" t="s">
        <v>2617</v>
      </c>
      <c r="B83" s="100">
        <v>3.33</v>
      </c>
      <c r="C83" s="100">
        <v>16.100000000000001</v>
      </c>
      <c r="D83" s="100">
        <v>12.43</v>
      </c>
      <c r="E83" s="100">
        <v>13.44</v>
      </c>
      <c r="F83" s="152" t="s">
        <v>15</v>
      </c>
      <c r="G83" s="100">
        <v>69.61</v>
      </c>
      <c r="H83" s="100">
        <v>33.79</v>
      </c>
      <c r="I83" s="100">
        <v>7.15</v>
      </c>
      <c r="J83" s="100">
        <v>0.21</v>
      </c>
      <c r="K83" s="100">
        <v>176.06</v>
      </c>
      <c r="L83" s="100">
        <v>30.07</v>
      </c>
      <c r="M83" s="100">
        <v>29.44</v>
      </c>
      <c r="N83" s="100">
        <v>6.4</v>
      </c>
      <c r="O83" s="100">
        <v>0</v>
      </c>
      <c r="P83" s="100">
        <v>0.65</v>
      </c>
      <c r="Q83" s="100">
        <v>28.07</v>
      </c>
      <c r="R83" s="6"/>
      <c r="S83" s="6"/>
      <c r="T83" s="156"/>
      <c r="U83" s="6"/>
    </row>
    <row r="84" spans="1:21" customFormat="1">
      <c r="A84" s="163" t="s">
        <v>2618</v>
      </c>
      <c r="B84" s="100">
        <v>3.37</v>
      </c>
      <c r="C84" s="100">
        <v>16.34</v>
      </c>
      <c r="D84" s="100">
        <v>12.59</v>
      </c>
      <c r="E84" s="100">
        <v>13.98</v>
      </c>
      <c r="F84" s="152" t="s">
        <v>15</v>
      </c>
      <c r="G84" s="100">
        <v>79.56</v>
      </c>
      <c r="H84" s="100">
        <v>35.200000000000003</v>
      </c>
      <c r="I84" s="100">
        <v>6.58</v>
      </c>
      <c r="J84" s="100">
        <v>0.16</v>
      </c>
      <c r="K84" s="100">
        <v>168.34</v>
      </c>
      <c r="L84" s="100">
        <v>29.67</v>
      </c>
      <c r="M84" s="100">
        <v>29.94</v>
      </c>
      <c r="N84" s="100">
        <v>6</v>
      </c>
      <c r="O84" s="100">
        <v>0</v>
      </c>
      <c r="P84" s="100">
        <v>0.66</v>
      </c>
      <c r="Q84" s="100">
        <v>28.07</v>
      </c>
      <c r="R84" s="6"/>
      <c r="S84" s="6"/>
      <c r="T84" s="156"/>
      <c r="U84" s="6"/>
    </row>
    <row r="85" spans="1:21" customFormat="1">
      <c r="A85" s="163" t="s">
        <v>2619</v>
      </c>
      <c r="B85" s="100">
        <v>3.42</v>
      </c>
      <c r="C85" s="100">
        <v>16.54</v>
      </c>
      <c r="D85" s="100">
        <v>12.74</v>
      </c>
      <c r="E85" s="100">
        <v>11.71</v>
      </c>
      <c r="F85" s="152" t="s">
        <v>15</v>
      </c>
      <c r="G85" s="100">
        <v>83.18</v>
      </c>
      <c r="H85" s="100">
        <v>35.229999999999997</v>
      </c>
      <c r="I85" s="100">
        <v>6.68</v>
      </c>
      <c r="J85" s="100">
        <v>0.2</v>
      </c>
      <c r="K85" s="100">
        <v>182.81</v>
      </c>
      <c r="L85" s="100">
        <v>29.32</v>
      </c>
      <c r="M85" s="100">
        <v>31.2</v>
      </c>
      <c r="N85" s="100">
        <v>5.8</v>
      </c>
      <c r="O85" s="100">
        <v>0</v>
      </c>
      <c r="P85" s="100">
        <v>0.65</v>
      </c>
      <c r="Q85" s="100">
        <v>28.06</v>
      </c>
      <c r="R85" s="6"/>
      <c r="S85" s="6"/>
      <c r="T85" s="156"/>
      <c r="U85" s="6"/>
    </row>
    <row r="86" spans="1:21" customFormat="1">
      <c r="A86" s="163" t="s">
        <v>2620</v>
      </c>
      <c r="B86" s="100">
        <v>3.43</v>
      </c>
      <c r="C86" s="100">
        <v>16.62</v>
      </c>
      <c r="D86" s="100">
        <v>12.78</v>
      </c>
      <c r="E86" s="100">
        <v>11.93</v>
      </c>
      <c r="F86" s="152" t="s">
        <v>15</v>
      </c>
      <c r="G86" s="100">
        <v>83.18</v>
      </c>
      <c r="H86" s="100">
        <v>35.229999999999997</v>
      </c>
      <c r="I86" s="100">
        <v>6.67</v>
      </c>
      <c r="J86" s="100">
        <v>0.13</v>
      </c>
      <c r="K86" s="100">
        <v>194.93</v>
      </c>
      <c r="L86" s="100">
        <v>29</v>
      </c>
      <c r="M86" s="100">
        <v>32.28</v>
      </c>
      <c r="N86" s="100">
        <v>5.8</v>
      </c>
      <c r="O86" s="100">
        <v>0</v>
      </c>
      <c r="P86" s="100">
        <v>0.66</v>
      </c>
      <c r="Q86" s="100">
        <v>28.04</v>
      </c>
      <c r="R86" s="6"/>
      <c r="S86" s="6"/>
      <c r="T86" s="156"/>
      <c r="U86" s="6"/>
    </row>
    <row r="87" spans="1:21" customFormat="1">
      <c r="A87" s="163" t="s">
        <v>2621</v>
      </c>
      <c r="B87" s="100">
        <v>3.54</v>
      </c>
      <c r="C87" s="100">
        <v>16.14</v>
      </c>
      <c r="D87" s="100">
        <v>12.62</v>
      </c>
      <c r="E87" s="100">
        <v>13.54</v>
      </c>
      <c r="F87" s="152" t="s">
        <v>15</v>
      </c>
      <c r="G87" s="100">
        <v>83.18</v>
      </c>
      <c r="H87" s="100">
        <v>35.229999999999997</v>
      </c>
      <c r="I87" s="100">
        <v>6.72</v>
      </c>
      <c r="J87" s="100">
        <v>0.15</v>
      </c>
      <c r="K87" s="100">
        <v>216.99</v>
      </c>
      <c r="L87" s="100">
        <v>28.58</v>
      </c>
      <c r="M87" s="100">
        <v>34.590000000000003</v>
      </c>
      <c r="N87" s="100">
        <v>5.8</v>
      </c>
      <c r="O87" s="100">
        <v>0</v>
      </c>
      <c r="P87" s="100">
        <v>0.68</v>
      </c>
      <c r="Q87" s="100">
        <v>28.06</v>
      </c>
      <c r="R87" s="6"/>
      <c r="S87" s="6"/>
      <c r="T87" s="156"/>
      <c r="U87" s="6"/>
    </row>
    <row r="88" spans="1:21" customFormat="1">
      <c r="A88" s="163" t="s">
        <v>2622</v>
      </c>
      <c r="B88" s="100">
        <v>3.65</v>
      </c>
      <c r="C88" s="100">
        <v>16.059999999999999</v>
      </c>
      <c r="D88" s="100">
        <v>12.67</v>
      </c>
      <c r="E88" s="100">
        <v>13.31</v>
      </c>
      <c r="F88" s="152" t="s">
        <v>15</v>
      </c>
      <c r="G88" s="100">
        <v>85.32</v>
      </c>
      <c r="H88" s="100">
        <v>35.79</v>
      </c>
      <c r="I88" s="100">
        <v>6.87</v>
      </c>
      <c r="J88" s="100">
        <v>0.12</v>
      </c>
      <c r="K88" s="100">
        <v>230.27</v>
      </c>
      <c r="L88" s="100">
        <v>28.06</v>
      </c>
      <c r="M88" s="100">
        <v>36.83</v>
      </c>
      <c r="N88" s="100">
        <v>6</v>
      </c>
      <c r="O88" s="100">
        <v>0</v>
      </c>
      <c r="P88" s="100">
        <v>0.67</v>
      </c>
      <c r="Q88" s="100">
        <v>28.08</v>
      </c>
      <c r="R88" s="6"/>
      <c r="S88" s="6"/>
      <c r="T88" s="156"/>
      <c r="U88" s="6"/>
    </row>
    <row r="89" spans="1:21" customFormat="1">
      <c r="A89" s="163" t="s">
        <v>2623</v>
      </c>
      <c r="B89" s="100">
        <v>3.77</v>
      </c>
      <c r="C89" s="100">
        <v>16.100000000000001</v>
      </c>
      <c r="D89" s="100">
        <v>12.79</v>
      </c>
      <c r="E89" s="100">
        <v>11.52</v>
      </c>
      <c r="F89" s="152" t="s">
        <v>15</v>
      </c>
      <c r="G89" s="100">
        <v>86.09</v>
      </c>
      <c r="H89" s="100">
        <v>35.799999999999997</v>
      </c>
      <c r="I89" s="100">
        <v>6.9</v>
      </c>
      <c r="J89" s="100">
        <v>0.13</v>
      </c>
      <c r="K89" s="100">
        <v>228.17</v>
      </c>
      <c r="L89" s="100">
        <v>27.8</v>
      </c>
      <c r="M89" s="100">
        <v>37.729999999999997</v>
      </c>
      <c r="N89" s="100">
        <v>5.7</v>
      </c>
      <c r="O89" s="100">
        <v>0</v>
      </c>
      <c r="P89" s="100">
        <v>0.67</v>
      </c>
      <c r="Q89" s="100">
        <v>28.08</v>
      </c>
      <c r="R89" s="6"/>
      <c r="S89" s="6"/>
      <c r="T89" s="156"/>
      <c r="U89" s="6"/>
    </row>
    <row r="90" spans="1:21" customFormat="1">
      <c r="A90" s="163" t="s">
        <v>2624</v>
      </c>
      <c r="B90" s="100">
        <v>3.81</v>
      </c>
      <c r="C90" s="100">
        <v>15.5</v>
      </c>
      <c r="D90" s="100">
        <v>12.5</v>
      </c>
      <c r="E90" s="100">
        <v>11.98</v>
      </c>
      <c r="F90" s="152" t="s">
        <v>15</v>
      </c>
      <c r="G90" s="100">
        <v>86.09</v>
      </c>
      <c r="H90" s="100">
        <v>35.799999999999997</v>
      </c>
      <c r="I90" s="100">
        <v>6.95</v>
      </c>
      <c r="J90" s="100">
        <v>0.1</v>
      </c>
      <c r="K90" s="100">
        <v>198.81</v>
      </c>
      <c r="L90" s="100">
        <v>27.71</v>
      </c>
      <c r="M90" s="100">
        <v>37.68</v>
      </c>
      <c r="N90" s="100">
        <v>5.6</v>
      </c>
      <c r="O90" s="100">
        <v>0</v>
      </c>
      <c r="P90" s="100">
        <v>0.67</v>
      </c>
      <c r="Q90" s="100">
        <v>28.09</v>
      </c>
      <c r="R90" s="6"/>
      <c r="S90" s="6"/>
      <c r="T90" s="156"/>
      <c r="U90" s="6"/>
    </row>
    <row r="91" spans="1:21" customFormat="1">
      <c r="A91" s="163" t="s">
        <v>2625</v>
      </c>
      <c r="B91" s="100">
        <v>3.88</v>
      </c>
      <c r="C91" s="100">
        <v>15.54</v>
      </c>
      <c r="D91" s="100">
        <v>12.58</v>
      </c>
      <c r="E91" s="100">
        <v>11.08</v>
      </c>
      <c r="F91" s="152" t="s">
        <v>15</v>
      </c>
      <c r="G91" s="100">
        <v>86.09</v>
      </c>
      <c r="H91" s="100">
        <v>35.799999999999997</v>
      </c>
      <c r="I91" s="100">
        <v>7.13</v>
      </c>
      <c r="J91" s="100">
        <v>0.11</v>
      </c>
      <c r="K91" s="100">
        <v>217.59</v>
      </c>
      <c r="L91" s="100">
        <v>27.61</v>
      </c>
      <c r="M91" s="100">
        <v>38.11</v>
      </c>
      <c r="N91" s="100">
        <v>5.6</v>
      </c>
      <c r="O91" s="100">
        <v>0</v>
      </c>
      <c r="P91" s="100">
        <v>0.68</v>
      </c>
      <c r="Q91" s="100">
        <v>28.1</v>
      </c>
      <c r="R91" s="6"/>
      <c r="S91" s="6"/>
      <c r="T91" s="156"/>
      <c r="U91" s="6"/>
    </row>
    <row r="92" spans="1:21" customFormat="1">
      <c r="A92" s="163" t="s">
        <v>2626</v>
      </c>
      <c r="B92" s="100">
        <v>3.95</v>
      </c>
      <c r="C92" s="100">
        <v>15.82</v>
      </c>
      <c r="D92" s="100">
        <v>12.79</v>
      </c>
      <c r="E92" s="100">
        <v>11.71</v>
      </c>
      <c r="F92" s="152" t="s">
        <v>15</v>
      </c>
      <c r="G92" s="100">
        <v>84.47</v>
      </c>
      <c r="H92" s="100">
        <v>36.89</v>
      </c>
      <c r="I92" s="100">
        <v>7.13</v>
      </c>
      <c r="J92" s="100">
        <v>0.1</v>
      </c>
      <c r="K92" s="100">
        <v>165.17</v>
      </c>
      <c r="L92" s="100">
        <v>27.46</v>
      </c>
      <c r="M92" s="100">
        <v>38.979999999999997</v>
      </c>
      <c r="N92" s="100">
        <v>5.7</v>
      </c>
      <c r="O92" s="100">
        <v>0</v>
      </c>
      <c r="P92" s="100">
        <v>0.69</v>
      </c>
      <c r="Q92" s="100">
        <v>28.09</v>
      </c>
      <c r="R92" s="6"/>
      <c r="S92" s="6"/>
      <c r="T92" s="156"/>
      <c r="U92" s="6"/>
    </row>
    <row r="93" spans="1:21" customFormat="1">
      <c r="A93" s="163" t="s">
        <v>2627</v>
      </c>
      <c r="B93" s="100">
        <v>4.13</v>
      </c>
      <c r="C93" s="100">
        <v>15.97</v>
      </c>
      <c r="D93" s="100">
        <v>13.01</v>
      </c>
      <c r="E93" s="100">
        <v>10.01</v>
      </c>
      <c r="F93" s="152" t="s">
        <v>15</v>
      </c>
      <c r="G93" s="100">
        <v>83.88</v>
      </c>
      <c r="H93" s="100">
        <v>36.909999999999997</v>
      </c>
      <c r="I93" s="100">
        <v>7.2</v>
      </c>
      <c r="J93" s="100">
        <v>0.11</v>
      </c>
      <c r="K93" s="100">
        <v>157.19999999999999</v>
      </c>
      <c r="L93" s="100">
        <v>27.06</v>
      </c>
      <c r="M93" s="100">
        <v>40.19</v>
      </c>
      <c r="N93" s="100">
        <v>5.9</v>
      </c>
      <c r="O93" s="100">
        <v>0</v>
      </c>
      <c r="P93" s="100">
        <v>0.68</v>
      </c>
      <c r="Q93" s="100">
        <v>28.09</v>
      </c>
      <c r="R93" s="6"/>
      <c r="S93" s="6"/>
      <c r="T93" s="156"/>
      <c r="U93" s="6"/>
    </row>
    <row r="94" spans="1:21" customFormat="1">
      <c r="A94" s="163" t="s">
        <v>2628</v>
      </c>
      <c r="B94" s="100">
        <v>4.33</v>
      </c>
      <c r="C94" s="100">
        <v>16.149999999999999</v>
      </c>
      <c r="D94" s="100">
        <v>13.26</v>
      </c>
      <c r="E94" s="100">
        <v>9.5</v>
      </c>
      <c r="F94" s="152" t="s">
        <v>15</v>
      </c>
      <c r="G94" s="100">
        <v>83.88</v>
      </c>
      <c r="H94" s="100">
        <v>36.909999999999997</v>
      </c>
      <c r="I94" s="100">
        <v>7.16</v>
      </c>
      <c r="J94" s="100">
        <v>0.16</v>
      </c>
      <c r="K94" s="100">
        <v>156.88999999999999</v>
      </c>
      <c r="L94" s="100">
        <v>26.61</v>
      </c>
      <c r="M94" s="100">
        <v>42.4</v>
      </c>
      <c r="N94" s="100">
        <v>6</v>
      </c>
      <c r="O94" s="100">
        <v>0</v>
      </c>
      <c r="P94" s="100">
        <v>0.69</v>
      </c>
      <c r="Q94" s="100">
        <v>28.11</v>
      </c>
      <c r="R94" s="6"/>
      <c r="S94" s="6"/>
      <c r="T94" s="156"/>
      <c r="U94" s="6"/>
    </row>
    <row r="95" spans="1:21" customFormat="1">
      <c r="A95" s="163" t="s">
        <v>2629</v>
      </c>
      <c r="B95" s="100">
        <v>4.47</v>
      </c>
      <c r="C95" s="100">
        <v>16.010000000000002</v>
      </c>
      <c r="D95" s="100">
        <v>13.3</v>
      </c>
      <c r="E95" s="100">
        <v>9.18</v>
      </c>
      <c r="F95" s="152" t="s">
        <v>15</v>
      </c>
      <c r="G95" s="100">
        <v>83.88</v>
      </c>
      <c r="H95" s="100">
        <v>36.909999999999997</v>
      </c>
      <c r="I95" s="100">
        <v>7.21</v>
      </c>
      <c r="J95" s="100">
        <v>0.12</v>
      </c>
      <c r="K95" s="100">
        <v>149.22</v>
      </c>
      <c r="L95" s="100">
        <v>26.26</v>
      </c>
      <c r="M95" s="100">
        <v>43.71</v>
      </c>
      <c r="N95" s="100">
        <v>5.8</v>
      </c>
      <c r="O95" s="100">
        <v>0</v>
      </c>
      <c r="P95" s="100">
        <v>0.69</v>
      </c>
      <c r="Q95" s="100">
        <v>28.1</v>
      </c>
      <c r="R95" s="6"/>
      <c r="S95" s="6"/>
      <c r="T95" s="156"/>
      <c r="U95" s="6"/>
    </row>
    <row r="96" spans="1:21" customFormat="1">
      <c r="A96" s="163" t="s">
        <v>2630</v>
      </c>
      <c r="B96" s="100">
        <v>4.53</v>
      </c>
      <c r="C96" s="100">
        <v>15.73</v>
      </c>
      <c r="D96" s="100">
        <v>13.2</v>
      </c>
      <c r="E96" s="100">
        <v>9.5299999999999994</v>
      </c>
      <c r="F96" s="152" t="s">
        <v>15</v>
      </c>
      <c r="G96" s="100">
        <v>81.23</v>
      </c>
      <c r="H96" s="100">
        <v>35.07</v>
      </c>
      <c r="I96" s="100">
        <v>7.26</v>
      </c>
      <c r="J96" s="100">
        <v>0.15</v>
      </c>
      <c r="K96" s="100">
        <v>219.34</v>
      </c>
      <c r="L96" s="100">
        <v>26.04</v>
      </c>
      <c r="M96" s="100">
        <v>42.92</v>
      </c>
      <c r="N96" s="100">
        <v>5.6</v>
      </c>
      <c r="O96" s="100">
        <v>0</v>
      </c>
      <c r="P96" s="100">
        <v>0.71</v>
      </c>
      <c r="Q96" s="100">
        <v>28.12</v>
      </c>
      <c r="R96" s="6"/>
      <c r="S96" s="6"/>
      <c r="T96" s="156"/>
      <c r="U96" s="6"/>
    </row>
    <row r="97" spans="1:28" customFormat="1">
      <c r="A97" s="163" t="s">
        <v>2631</v>
      </c>
      <c r="B97" s="100">
        <v>4.7</v>
      </c>
      <c r="C97" s="100">
        <v>15.7</v>
      </c>
      <c r="D97" s="100">
        <v>13.32</v>
      </c>
      <c r="E97" s="100">
        <v>8.9499999999999993</v>
      </c>
      <c r="F97" s="152" t="s">
        <v>15</v>
      </c>
      <c r="G97" s="100">
        <v>80.27</v>
      </c>
      <c r="H97" s="100">
        <v>35.04</v>
      </c>
      <c r="I97" s="100">
        <v>7.34</v>
      </c>
      <c r="J97" s="100">
        <v>0.2</v>
      </c>
      <c r="K97" s="100">
        <v>151.38999999999999</v>
      </c>
      <c r="L97" s="100">
        <v>25.91</v>
      </c>
      <c r="M97" s="100">
        <v>43.61</v>
      </c>
      <c r="N97" s="100">
        <v>5.8</v>
      </c>
      <c r="O97" s="100">
        <v>0</v>
      </c>
      <c r="P97" s="100">
        <v>0.71</v>
      </c>
      <c r="Q97" s="100">
        <v>28.11</v>
      </c>
      <c r="R97" s="6"/>
      <c r="S97" s="6"/>
      <c r="T97" s="156"/>
      <c r="U97" s="6"/>
    </row>
    <row r="98" spans="1:28" customFormat="1">
      <c r="A98" s="163" t="s">
        <v>2632</v>
      </c>
      <c r="B98" s="100">
        <v>4.84</v>
      </c>
      <c r="C98" s="100">
        <v>15.7</v>
      </c>
      <c r="D98" s="100">
        <v>13.44</v>
      </c>
      <c r="E98" s="100">
        <v>8.7899999999999991</v>
      </c>
      <c r="F98" s="152" t="s">
        <v>15</v>
      </c>
      <c r="G98" s="100">
        <v>80.27</v>
      </c>
      <c r="H98" s="100">
        <v>35.04</v>
      </c>
      <c r="I98" s="100">
        <v>7.33</v>
      </c>
      <c r="J98" s="100">
        <v>0.23</v>
      </c>
      <c r="K98" s="100">
        <v>146.25</v>
      </c>
      <c r="L98" s="100">
        <v>25.67</v>
      </c>
      <c r="M98" s="100">
        <v>44.96</v>
      </c>
      <c r="N98" s="100">
        <v>5.8</v>
      </c>
      <c r="O98" s="100">
        <v>0</v>
      </c>
      <c r="P98" s="100">
        <v>0.71</v>
      </c>
      <c r="Q98" s="100">
        <v>28.1</v>
      </c>
      <c r="R98" s="6"/>
      <c r="S98" s="6"/>
      <c r="T98" s="156"/>
      <c r="U98" s="6"/>
    </row>
    <row r="99" spans="1:28" customFormat="1">
      <c r="A99" s="163" t="s">
        <v>2633</v>
      </c>
      <c r="B99" s="100">
        <v>5.03</v>
      </c>
      <c r="C99" s="100">
        <v>15.75</v>
      </c>
      <c r="D99" s="100">
        <v>13.61</v>
      </c>
      <c r="E99" s="100">
        <v>8.99</v>
      </c>
      <c r="F99" s="152" t="s">
        <v>15</v>
      </c>
      <c r="G99" s="100">
        <v>80.27</v>
      </c>
      <c r="H99" s="100">
        <v>35.04</v>
      </c>
      <c r="I99" s="100">
        <v>7.41</v>
      </c>
      <c r="J99" s="100">
        <v>0.23</v>
      </c>
      <c r="K99" s="100">
        <v>154.16</v>
      </c>
      <c r="L99" s="100">
        <v>25.48</v>
      </c>
      <c r="M99" s="100">
        <v>45.83</v>
      </c>
      <c r="N99" s="100">
        <v>5.9</v>
      </c>
      <c r="O99" s="100">
        <v>0</v>
      </c>
      <c r="P99" s="100">
        <v>0.72</v>
      </c>
      <c r="Q99" s="100">
        <v>28.13</v>
      </c>
      <c r="R99" s="6"/>
      <c r="S99" s="6"/>
      <c r="T99" s="156"/>
      <c r="U99" s="6"/>
    </row>
    <row r="100" spans="1:28" customFormat="1">
      <c r="A100" s="163" t="s">
        <v>2634</v>
      </c>
      <c r="B100" s="100">
        <v>5.0999999999999996</v>
      </c>
      <c r="C100" s="100">
        <v>15.89</v>
      </c>
      <c r="D100" s="100">
        <v>13.74</v>
      </c>
      <c r="E100" s="100">
        <v>9.31</v>
      </c>
      <c r="F100" s="152" t="s">
        <v>15</v>
      </c>
      <c r="G100" s="100">
        <v>76.569999999999993</v>
      </c>
      <c r="H100" s="100">
        <v>36.64</v>
      </c>
      <c r="I100" s="100">
        <v>7.46</v>
      </c>
      <c r="J100" s="100">
        <v>0.2</v>
      </c>
      <c r="K100" s="100">
        <v>163.19</v>
      </c>
      <c r="L100" s="100">
        <v>25.37</v>
      </c>
      <c r="M100" s="100">
        <v>45.51</v>
      </c>
      <c r="N100" s="100">
        <v>5.7</v>
      </c>
      <c r="O100" s="100">
        <v>0</v>
      </c>
      <c r="P100" s="100">
        <v>0.73</v>
      </c>
      <c r="Q100" s="100">
        <v>28.14</v>
      </c>
      <c r="R100" s="6"/>
      <c r="S100" s="6"/>
      <c r="T100" s="156"/>
      <c r="U100" s="6"/>
      <c r="AB100" s="161"/>
    </row>
    <row r="101" spans="1:28" customFormat="1">
      <c r="A101" s="163" t="s">
        <v>2635</v>
      </c>
      <c r="B101" s="100">
        <v>5.35</v>
      </c>
      <c r="C101" s="100">
        <v>15.71</v>
      </c>
      <c r="D101" s="100">
        <v>13.85</v>
      </c>
      <c r="E101" s="100">
        <v>9.11</v>
      </c>
      <c r="F101" s="152" t="s">
        <v>15</v>
      </c>
      <c r="G101" s="100">
        <v>75.22</v>
      </c>
      <c r="H101" s="100">
        <v>36.68</v>
      </c>
      <c r="I101" s="100">
        <v>7.51</v>
      </c>
      <c r="J101" s="100">
        <v>0.16</v>
      </c>
      <c r="K101" s="100">
        <v>164.14</v>
      </c>
      <c r="L101" s="100">
        <v>25.24</v>
      </c>
      <c r="M101" s="100">
        <v>45.08</v>
      </c>
      <c r="N101" s="100">
        <v>5.8</v>
      </c>
      <c r="O101" s="100">
        <v>0</v>
      </c>
      <c r="P101" s="100">
        <v>0.74</v>
      </c>
      <c r="Q101" s="100">
        <v>28.13</v>
      </c>
      <c r="R101" s="6"/>
      <c r="S101" s="6"/>
      <c r="T101" s="156"/>
      <c r="U101" s="6"/>
    </row>
    <row r="102" spans="1:28" customFormat="1">
      <c r="A102" s="163" t="s">
        <v>2636</v>
      </c>
      <c r="B102" s="100">
        <v>5.47</v>
      </c>
      <c r="C102" s="100">
        <v>15.74</v>
      </c>
      <c r="D102" s="100">
        <v>13.96</v>
      </c>
      <c r="E102" s="100">
        <v>9.15</v>
      </c>
      <c r="F102" s="152" t="s">
        <v>15</v>
      </c>
      <c r="G102" s="100">
        <v>75.22</v>
      </c>
      <c r="H102" s="100">
        <v>36.68</v>
      </c>
      <c r="I102" s="100">
        <v>7.56</v>
      </c>
      <c r="J102" s="100">
        <v>0.21</v>
      </c>
      <c r="K102" s="100">
        <v>165.08</v>
      </c>
      <c r="L102" s="100">
        <v>25.24</v>
      </c>
      <c r="M102" s="100">
        <v>44.04</v>
      </c>
      <c r="N102" s="100">
        <v>5.8</v>
      </c>
      <c r="O102" s="100">
        <v>0</v>
      </c>
      <c r="P102" s="100">
        <v>0.73</v>
      </c>
      <c r="Q102" s="100">
        <v>28.13</v>
      </c>
      <c r="R102" s="6"/>
      <c r="S102" s="6"/>
      <c r="T102" s="156"/>
      <c r="U102" s="6"/>
    </row>
    <row r="103" spans="1:28" customFormat="1">
      <c r="A103" s="163" t="s">
        <v>2637</v>
      </c>
      <c r="B103" s="100">
        <v>5.62</v>
      </c>
      <c r="C103" s="100">
        <v>15.86</v>
      </c>
      <c r="D103" s="100">
        <v>14.15</v>
      </c>
      <c r="E103" s="100">
        <v>9.11</v>
      </c>
      <c r="F103" s="152" t="s">
        <v>15</v>
      </c>
      <c r="G103" s="100">
        <v>75.22</v>
      </c>
      <c r="H103" s="100">
        <v>36.68</v>
      </c>
      <c r="I103" s="100">
        <v>7.6</v>
      </c>
      <c r="J103" s="100">
        <v>0.19</v>
      </c>
      <c r="K103" s="100">
        <v>164.44</v>
      </c>
      <c r="L103" s="100">
        <v>24.86</v>
      </c>
      <c r="M103" s="100">
        <v>45.75</v>
      </c>
      <c r="N103" s="100">
        <v>6</v>
      </c>
      <c r="O103" s="100">
        <v>0</v>
      </c>
      <c r="P103" s="100">
        <v>0.73</v>
      </c>
      <c r="Q103" s="100">
        <v>28.15</v>
      </c>
      <c r="R103" s="6"/>
      <c r="S103" s="6"/>
      <c r="T103" s="156"/>
      <c r="U103" s="6"/>
    </row>
    <row r="104" spans="1:28" customFormat="1">
      <c r="A104" s="163" t="s">
        <v>2638</v>
      </c>
      <c r="B104" s="100">
        <v>5.77</v>
      </c>
      <c r="C104" s="100">
        <v>16.18</v>
      </c>
      <c r="D104" s="100">
        <v>14.43</v>
      </c>
      <c r="E104" s="100">
        <v>8.9700000000000006</v>
      </c>
      <c r="F104" s="152" t="s">
        <v>15</v>
      </c>
      <c r="G104" s="100">
        <v>71.180000000000007</v>
      </c>
      <c r="H104" s="100">
        <v>31.85</v>
      </c>
      <c r="I104" s="100">
        <v>7.61</v>
      </c>
      <c r="J104" s="100">
        <v>0.22</v>
      </c>
      <c r="K104" s="100">
        <v>131.63999999999999</v>
      </c>
      <c r="L104" s="100">
        <v>24.56</v>
      </c>
      <c r="M104" s="100">
        <v>47.02</v>
      </c>
      <c r="N104" s="100">
        <v>6</v>
      </c>
      <c r="O104" s="100">
        <v>0</v>
      </c>
      <c r="P104" s="100">
        <v>0.74</v>
      </c>
      <c r="Q104" s="100">
        <v>28.14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3.26</v>
      </c>
      <c r="C106" s="158">
        <f>MIN(C9:C104)</f>
        <v>14.59</v>
      </c>
      <c r="D106" s="158">
        <f t="shared" ref="D106:Q106" si="0">MIN(D9:D104)</f>
        <v>11.59</v>
      </c>
      <c r="E106" s="158">
        <f t="shared" si="0"/>
        <v>7.16</v>
      </c>
      <c r="F106" s="158">
        <f t="shared" si="0"/>
        <v>0</v>
      </c>
      <c r="G106" s="158">
        <f t="shared" si="0"/>
        <v>62.27</v>
      </c>
      <c r="H106" s="158">
        <f t="shared" si="0"/>
        <v>26.92</v>
      </c>
      <c r="I106" s="158">
        <f t="shared" si="0"/>
        <v>5.81</v>
      </c>
      <c r="J106" s="158">
        <f t="shared" si="0"/>
        <v>0.06</v>
      </c>
      <c r="K106" s="158">
        <f t="shared" si="0"/>
        <v>10.68</v>
      </c>
      <c r="L106" s="158">
        <f t="shared" si="0"/>
        <v>20.41</v>
      </c>
      <c r="M106" s="158">
        <f t="shared" si="0"/>
        <v>13.2</v>
      </c>
      <c r="N106" s="158">
        <f t="shared" si="0"/>
        <v>5</v>
      </c>
      <c r="O106" s="158">
        <f t="shared" si="0"/>
        <v>0</v>
      </c>
      <c r="P106" s="158">
        <f t="shared" si="0"/>
        <v>0.56999999999999995</v>
      </c>
      <c r="Q106" s="158">
        <f t="shared" si="0"/>
        <v>28.04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20.85</v>
      </c>
      <c r="C107" s="157">
        <f t="shared" ref="C107:Q107" si="1">MAX(C9:C104)</f>
        <v>26.51</v>
      </c>
      <c r="D107" s="157">
        <f t="shared" si="1"/>
        <v>31.51</v>
      </c>
      <c r="E107" s="157">
        <f t="shared" si="1"/>
        <v>23.57</v>
      </c>
      <c r="F107" s="157">
        <f t="shared" si="1"/>
        <v>0</v>
      </c>
      <c r="G107" s="157">
        <f t="shared" si="1"/>
        <v>115.78</v>
      </c>
      <c r="H107" s="157">
        <f t="shared" si="1"/>
        <v>42.29</v>
      </c>
      <c r="I107" s="157">
        <f t="shared" si="1"/>
        <v>10.77</v>
      </c>
      <c r="J107" s="157">
        <f t="shared" si="1"/>
        <v>1.05</v>
      </c>
      <c r="K107" s="157">
        <f t="shared" si="1"/>
        <v>336.89</v>
      </c>
      <c r="L107" s="157">
        <f t="shared" si="1"/>
        <v>37.630000000000003</v>
      </c>
      <c r="M107" s="157">
        <f t="shared" si="1"/>
        <v>68.36</v>
      </c>
      <c r="N107" s="157">
        <f t="shared" si="1"/>
        <v>796.1</v>
      </c>
      <c r="O107" s="157">
        <f t="shared" si="1"/>
        <v>0</v>
      </c>
      <c r="P107" s="157">
        <f t="shared" si="1"/>
        <v>0.96</v>
      </c>
      <c r="Q107" s="157">
        <f t="shared" si="1"/>
        <v>28.65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8.9272916666666635</v>
      </c>
      <c r="C108" s="158">
        <f t="shared" ref="C108:Q108" si="2">AVERAGE(C9:C104)</f>
        <v>20.2696875</v>
      </c>
      <c r="D108" s="158">
        <f t="shared" si="2"/>
        <v>19.099583333333335</v>
      </c>
      <c r="E108" s="158">
        <f t="shared" si="2"/>
        <v>11.468541666666667</v>
      </c>
      <c r="F108" s="158" t="e">
        <f t="shared" si="2"/>
        <v>#DIV/0!</v>
      </c>
      <c r="G108" s="158">
        <f t="shared" si="2"/>
        <v>83.58177083333338</v>
      </c>
      <c r="H108" s="158">
        <f t="shared" si="2"/>
        <v>33.858749999999979</v>
      </c>
      <c r="I108" s="158">
        <f t="shared" si="2"/>
        <v>8.5131249999999969</v>
      </c>
      <c r="J108" s="158">
        <f t="shared" si="2"/>
        <v>0.30843749999999998</v>
      </c>
      <c r="K108" s="158">
        <f t="shared" si="2"/>
        <v>168.79999999999998</v>
      </c>
      <c r="L108" s="158">
        <f t="shared" si="2"/>
        <v>28.653854166666676</v>
      </c>
      <c r="M108" s="158">
        <f t="shared" si="2"/>
        <v>38.308020833333352</v>
      </c>
      <c r="N108" s="158">
        <f t="shared" si="2"/>
        <v>192.37812499999987</v>
      </c>
      <c r="O108" s="158">
        <f t="shared" si="2"/>
        <v>0</v>
      </c>
      <c r="P108" s="158">
        <f t="shared" si="2"/>
        <v>0.77593749999999961</v>
      </c>
      <c r="Q108" s="158">
        <f t="shared" si="2"/>
        <v>28.251874999999984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6.3993084296033915</v>
      </c>
      <c r="C109" s="158">
        <f t="shared" ref="C109:Q109" si="3">STDEV(C9:C104)</f>
        <v>3.8429693708805805</v>
      </c>
      <c r="D109" s="158">
        <f t="shared" si="3"/>
        <v>6.8173404162383857</v>
      </c>
      <c r="E109" s="158">
        <f t="shared" si="3"/>
        <v>4.2078538045363354</v>
      </c>
      <c r="F109" s="158" t="e">
        <f t="shared" si="3"/>
        <v>#DIV/0!</v>
      </c>
      <c r="G109" s="158">
        <f t="shared" si="3"/>
        <v>14.150606756177392</v>
      </c>
      <c r="H109" s="158">
        <f t="shared" si="3"/>
        <v>3.7714680235464351</v>
      </c>
      <c r="I109" s="158">
        <f t="shared" si="3"/>
        <v>1.5095557467783789</v>
      </c>
      <c r="J109" s="158">
        <f t="shared" si="3"/>
        <v>0.23243030930627478</v>
      </c>
      <c r="K109" s="158">
        <f t="shared" si="3"/>
        <v>73.767324701958785</v>
      </c>
      <c r="L109" s="158">
        <f t="shared" si="3"/>
        <v>5.8610820574166524</v>
      </c>
      <c r="M109" s="158">
        <f t="shared" si="3"/>
        <v>17.49051927367276</v>
      </c>
      <c r="N109" s="158">
        <f t="shared" si="3"/>
        <v>267.93885249127686</v>
      </c>
      <c r="O109" s="158">
        <f t="shared" si="3"/>
        <v>0</v>
      </c>
      <c r="P109" s="158">
        <f t="shared" si="3"/>
        <v>0.11753233037854505</v>
      </c>
      <c r="Q109" s="158">
        <f t="shared" si="3"/>
        <v>0.21116874021053733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88" activePane="bottomRight" state="frozen"/>
      <selection pane="topRight"/>
      <selection pane="bottomLeft"/>
      <selection pane="bottomRight" activeCell="I94" sqref="I9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26/03/2025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2639</v>
      </c>
      <c r="B9" s="100">
        <v>6.38</v>
      </c>
      <c r="C9" s="100">
        <v>16.32</v>
      </c>
      <c r="D9" s="100">
        <v>14.99</v>
      </c>
      <c r="E9" s="100">
        <v>8.77</v>
      </c>
      <c r="F9" s="152" t="s">
        <v>15</v>
      </c>
      <c r="G9" s="100">
        <v>69.709999999999994</v>
      </c>
      <c r="H9" s="100">
        <v>31.77</v>
      </c>
      <c r="I9" s="100">
        <v>7.68</v>
      </c>
      <c r="J9" s="100">
        <v>0.23</v>
      </c>
      <c r="K9" s="100">
        <v>89.91</v>
      </c>
      <c r="L9" s="100">
        <v>25.03</v>
      </c>
      <c r="M9" s="100">
        <v>45.09</v>
      </c>
      <c r="N9" s="100">
        <v>5.4</v>
      </c>
      <c r="O9" s="100">
        <v>0</v>
      </c>
      <c r="P9" s="100">
        <v>0.74</v>
      </c>
      <c r="Q9" s="100">
        <v>28.15</v>
      </c>
      <c r="R9" s="6"/>
      <c r="S9" s="6"/>
      <c r="T9" s="156"/>
      <c r="U9" s="6"/>
    </row>
    <row r="10" spans="1:21" customFormat="1">
      <c r="A10" s="163" t="s">
        <v>2640</v>
      </c>
      <c r="B10" s="100">
        <v>7.49</v>
      </c>
      <c r="C10" s="100">
        <v>18.829999999999998</v>
      </c>
      <c r="D10" s="100">
        <v>17.2</v>
      </c>
      <c r="E10" s="100">
        <v>8.76</v>
      </c>
      <c r="F10" s="152" t="s">
        <v>15</v>
      </c>
      <c r="G10" s="100">
        <v>69.709999999999994</v>
      </c>
      <c r="H10" s="100">
        <v>31.77</v>
      </c>
      <c r="I10" s="100">
        <v>7.68</v>
      </c>
      <c r="J10" s="100">
        <v>0.2</v>
      </c>
      <c r="K10" s="100">
        <v>125.36</v>
      </c>
      <c r="L10" s="100">
        <v>25.16</v>
      </c>
      <c r="M10" s="100">
        <v>46.41</v>
      </c>
      <c r="N10" s="100">
        <v>5.8</v>
      </c>
      <c r="O10" s="100">
        <v>0</v>
      </c>
      <c r="P10" s="100">
        <v>0.76</v>
      </c>
      <c r="Q10" s="100">
        <v>28.18</v>
      </c>
      <c r="R10" s="6"/>
      <c r="S10" s="6"/>
      <c r="T10" s="156"/>
      <c r="U10" s="6"/>
    </row>
    <row r="11" spans="1:21" customFormat="1">
      <c r="A11" s="163" t="s">
        <v>2641</v>
      </c>
      <c r="B11" s="100">
        <v>7.6</v>
      </c>
      <c r="C11" s="100">
        <v>19.440000000000001</v>
      </c>
      <c r="D11" s="100">
        <v>17.600000000000001</v>
      </c>
      <c r="E11" s="100">
        <v>8.61</v>
      </c>
      <c r="F11" s="152" t="s">
        <v>15</v>
      </c>
      <c r="G11" s="100">
        <v>69.709999999999994</v>
      </c>
      <c r="H11" s="100">
        <v>31.77</v>
      </c>
      <c r="I11" s="100">
        <v>7.78</v>
      </c>
      <c r="J11" s="100">
        <v>0.17</v>
      </c>
      <c r="K11" s="100">
        <v>198.45</v>
      </c>
      <c r="L11" s="100">
        <v>24.44</v>
      </c>
      <c r="M11" s="100">
        <v>50</v>
      </c>
      <c r="N11" s="100">
        <v>6.2</v>
      </c>
      <c r="O11" s="100">
        <v>0</v>
      </c>
      <c r="P11" s="100">
        <v>0.76</v>
      </c>
      <c r="Q11" s="100">
        <v>28.2</v>
      </c>
      <c r="R11" s="6"/>
      <c r="S11" s="6"/>
      <c r="T11" s="156"/>
      <c r="U11" s="6"/>
    </row>
    <row r="12" spans="1:21" customFormat="1">
      <c r="A12" s="163" t="s">
        <v>2642</v>
      </c>
      <c r="B12" s="100">
        <v>7.89</v>
      </c>
      <c r="C12" s="100">
        <v>20.260000000000002</v>
      </c>
      <c r="D12" s="100">
        <v>18.260000000000002</v>
      </c>
      <c r="E12" s="100">
        <v>8.7899999999999991</v>
      </c>
      <c r="F12" s="152" t="s">
        <v>15</v>
      </c>
      <c r="G12" s="100">
        <v>75.75</v>
      </c>
      <c r="H12" s="100">
        <v>35.450000000000003</v>
      </c>
      <c r="I12" s="100">
        <v>7.82</v>
      </c>
      <c r="J12" s="100">
        <v>0.19</v>
      </c>
      <c r="K12" s="100">
        <v>178.1</v>
      </c>
      <c r="L12" s="100">
        <v>23.77</v>
      </c>
      <c r="M12" s="100">
        <v>52.46</v>
      </c>
      <c r="N12" s="100">
        <v>6.3</v>
      </c>
      <c r="O12" s="100">
        <v>0</v>
      </c>
      <c r="P12" s="100">
        <v>0.76</v>
      </c>
      <c r="Q12" s="100">
        <v>28.22</v>
      </c>
      <c r="R12" s="6"/>
      <c r="S12" s="6"/>
      <c r="T12" s="156"/>
      <c r="U12" s="6"/>
    </row>
    <row r="13" spans="1:21" customFormat="1">
      <c r="A13" s="163" t="s">
        <v>2643</v>
      </c>
      <c r="B13" s="100">
        <v>8.52</v>
      </c>
      <c r="C13" s="100">
        <v>20.86</v>
      </c>
      <c r="D13" s="100">
        <v>19.079999999999998</v>
      </c>
      <c r="E13" s="100">
        <v>8.64</v>
      </c>
      <c r="F13" s="152" t="s">
        <v>15</v>
      </c>
      <c r="G13" s="100">
        <v>77.95</v>
      </c>
      <c r="H13" s="100">
        <v>35.5</v>
      </c>
      <c r="I13" s="100">
        <v>7.86</v>
      </c>
      <c r="J13" s="100">
        <v>0.15</v>
      </c>
      <c r="K13" s="100">
        <v>210.71</v>
      </c>
      <c r="L13" s="100">
        <v>23.54</v>
      </c>
      <c r="M13" s="100">
        <v>53.28</v>
      </c>
      <c r="N13" s="100">
        <v>5.9</v>
      </c>
      <c r="O13" s="100">
        <v>0</v>
      </c>
      <c r="P13" s="100">
        <v>0.77</v>
      </c>
      <c r="Q13" s="100">
        <v>28.22</v>
      </c>
      <c r="R13" s="6"/>
      <c r="S13" s="6"/>
      <c r="T13" s="156"/>
      <c r="U13" s="6"/>
    </row>
    <row r="14" spans="1:21" customFormat="1">
      <c r="A14" s="163" t="s">
        <v>2644</v>
      </c>
      <c r="B14" s="100">
        <v>9.76</v>
      </c>
      <c r="C14" s="100">
        <v>21.59</v>
      </c>
      <c r="D14" s="100">
        <v>20.46</v>
      </c>
      <c r="E14" s="100">
        <v>8.2799999999999994</v>
      </c>
      <c r="F14" s="152" t="s">
        <v>15</v>
      </c>
      <c r="G14" s="100">
        <v>77.95</v>
      </c>
      <c r="H14" s="100">
        <v>35.5</v>
      </c>
      <c r="I14" s="100">
        <v>7.93</v>
      </c>
      <c r="J14" s="100">
        <v>0.22</v>
      </c>
      <c r="K14" s="100">
        <v>187.36</v>
      </c>
      <c r="L14" s="100">
        <v>23.66</v>
      </c>
      <c r="M14" s="100">
        <v>53.01</v>
      </c>
      <c r="N14" s="100">
        <v>5.8</v>
      </c>
      <c r="O14" s="100">
        <v>0</v>
      </c>
      <c r="P14" s="100">
        <v>0.78</v>
      </c>
      <c r="Q14" s="100">
        <v>28.26</v>
      </c>
      <c r="R14" s="6"/>
      <c r="S14" s="6"/>
      <c r="T14" s="156"/>
      <c r="U14" s="6"/>
    </row>
    <row r="15" spans="1:21" customFormat="1">
      <c r="A15" s="163" t="s">
        <v>2645</v>
      </c>
      <c r="B15" s="100">
        <v>10.6</v>
      </c>
      <c r="C15" s="100">
        <v>22.26</v>
      </c>
      <c r="D15" s="100">
        <v>21.48</v>
      </c>
      <c r="E15" s="100">
        <v>8.43</v>
      </c>
      <c r="F15" s="152" t="s">
        <v>15</v>
      </c>
      <c r="G15" s="100">
        <v>77.95</v>
      </c>
      <c r="H15" s="100">
        <v>35.5</v>
      </c>
      <c r="I15" s="100">
        <v>8.0399999999999991</v>
      </c>
      <c r="J15" s="100">
        <v>0.25</v>
      </c>
      <c r="K15" s="100">
        <v>201.2</v>
      </c>
      <c r="L15" s="100">
        <v>22.92</v>
      </c>
      <c r="M15" s="100">
        <v>56.2</v>
      </c>
      <c r="N15" s="100">
        <v>6.4</v>
      </c>
      <c r="O15" s="100">
        <v>0</v>
      </c>
      <c r="P15" s="100">
        <v>0.78</v>
      </c>
      <c r="Q15" s="100">
        <v>28.3</v>
      </c>
      <c r="R15" s="6"/>
      <c r="S15" s="6"/>
      <c r="T15" s="156"/>
      <c r="U15" s="6"/>
    </row>
    <row r="16" spans="1:21" customFormat="1">
      <c r="A16" s="163" t="s">
        <v>2646</v>
      </c>
      <c r="B16" s="100">
        <v>11.01</v>
      </c>
      <c r="C16" s="100">
        <v>22.39</v>
      </c>
      <c r="D16" s="100">
        <v>21.87</v>
      </c>
      <c r="E16" s="100">
        <v>8.5299999999999994</v>
      </c>
      <c r="F16" s="152" t="s">
        <v>15</v>
      </c>
      <c r="G16" s="100">
        <v>88.99</v>
      </c>
      <c r="H16" s="100">
        <v>36.04</v>
      </c>
      <c r="I16" s="100">
        <v>8.08</v>
      </c>
      <c r="J16" s="100">
        <v>0.05</v>
      </c>
      <c r="K16" s="100">
        <v>14.27</v>
      </c>
      <c r="L16" s="100">
        <v>22.66</v>
      </c>
      <c r="M16" s="100">
        <v>56.73</v>
      </c>
      <c r="N16" s="100">
        <v>5.8</v>
      </c>
      <c r="O16" s="100">
        <v>0</v>
      </c>
      <c r="P16" s="100">
        <v>0.78</v>
      </c>
      <c r="Q16" s="100">
        <v>28.3</v>
      </c>
      <c r="R16" s="6"/>
      <c r="S16" s="6"/>
      <c r="T16" s="156"/>
      <c r="U16" s="6"/>
    </row>
    <row r="17" spans="1:21" customFormat="1">
      <c r="A17" s="163" t="s">
        <v>2647</v>
      </c>
      <c r="B17" s="100">
        <v>11.9</v>
      </c>
      <c r="C17" s="100">
        <v>22.54</v>
      </c>
      <c r="D17" s="100">
        <v>22.67</v>
      </c>
      <c r="E17" s="100">
        <v>8.35</v>
      </c>
      <c r="F17" s="152" t="s">
        <v>15</v>
      </c>
      <c r="G17" s="100">
        <v>93</v>
      </c>
      <c r="H17" s="100">
        <v>36.049999999999997</v>
      </c>
      <c r="I17" s="100">
        <v>8.08</v>
      </c>
      <c r="J17" s="100">
        <v>0.08</v>
      </c>
      <c r="K17" s="100">
        <v>183.16</v>
      </c>
      <c r="L17" s="100">
        <v>23.28</v>
      </c>
      <c r="M17" s="100">
        <v>53.96</v>
      </c>
      <c r="N17" s="100">
        <v>5.5</v>
      </c>
      <c r="O17" s="100">
        <v>0</v>
      </c>
      <c r="P17" s="100">
        <v>0.78</v>
      </c>
      <c r="Q17" s="100">
        <v>28.33</v>
      </c>
      <c r="R17" s="6"/>
      <c r="S17" s="6"/>
      <c r="T17" s="156"/>
      <c r="U17" s="6"/>
    </row>
    <row r="18" spans="1:21" customFormat="1">
      <c r="A18" s="163" t="s">
        <v>2648</v>
      </c>
      <c r="B18" s="100">
        <v>12.93</v>
      </c>
      <c r="C18" s="100">
        <v>22.96</v>
      </c>
      <c r="D18" s="100">
        <v>23.72</v>
      </c>
      <c r="E18" s="100">
        <v>9.4600000000000009</v>
      </c>
      <c r="F18" s="152" t="s">
        <v>15</v>
      </c>
      <c r="G18" s="100">
        <v>93</v>
      </c>
      <c r="H18" s="100">
        <v>36.049999999999997</v>
      </c>
      <c r="I18" s="100">
        <v>8.17</v>
      </c>
      <c r="J18" s="100">
        <v>0.14000000000000001</v>
      </c>
      <c r="K18" s="100">
        <v>103.43</v>
      </c>
      <c r="L18" s="100">
        <v>23.3</v>
      </c>
      <c r="M18" s="100">
        <v>53.72</v>
      </c>
      <c r="N18" s="100">
        <v>5.8</v>
      </c>
      <c r="O18" s="100">
        <v>0</v>
      </c>
      <c r="P18" s="100">
        <v>0.79</v>
      </c>
      <c r="Q18" s="100">
        <v>28.37</v>
      </c>
      <c r="R18" s="6"/>
      <c r="S18" s="6"/>
      <c r="T18" s="156"/>
      <c r="U18" s="6"/>
    </row>
    <row r="19" spans="1:21" customFormat="1">
      <c r="A19" s="163" t="s">
        <v>2649</v>
      </c>
      <c r="B19" s="100">
        <v>13.78</v>
      </c>
      <c r="C19" s="100">
        <v>23.11</v>
      </c>
      <c r="D19" s="100">
        <v>24.47</v>
      </c>
      <c r="E19" s="100">
        <v>9.4600000000000009</v>
      </c>
      <c r="F19" s="152" t="s">
        <v>15</v>
      </c>
      <c r="G19" s="100">
        <v>93</v>
      </c>
      <c r="H19" s="100">
        <v>36.049999999999997</v>
      </c>
      <c r="I19" s="100">
        <v>8.2200000000000006</v>
      </c>
      <c r="J19" s="100">
        <v>0.15</v>
      </c>
      <c r="K19" s="100">
        <v>180.94</v>
      </c>
      <c r="L19" s="100">
        <v>22.93</v>
      </c>
      <c r="M19" s="100">
        <v>55.73</v>
      </c>
      <c r="N19" s="100">
        <v>6</v>
      </c>
      <c r="O19" s="100">
        <v>0</v>
      </c>
      <c r="P19" s="100">
        <v>0.81</v>
      </c>
      <c r="Q19" s="100">
        <v>28.4</v>
      </c>
      <c r="R19" s="6"/>
      <c r="S19" s="6"/>
      <c r="T19" s="156"/>
      <c r="U19" s="6"/>
    </row>
    <row r="20" spans="1:21" customFormat="1">
      <c r="A20" s="163" t="s">
        <v>2650</v>
      </c>
      <c r="B20" s="100">
        <v>14.54</v>
      </c>
      <c r="C20" s="100">
        <v>23.1</v>
      </c>
      <c r="D20" s="100">
        <v>25.08</v>
      </c>
      <c r="E20" s="100">
        <v>9.1199999999999992</v>
      </c>
      <c r="F20" s="152" t="s">
        <v>15</v>
      </c>
      <c r="G20" s="100">
        <v>105.99</v>
      </c>
      <c r="H20" s="100">
        <v>40.33</v>
      </c>
      <c r="I20" s="100">
        <v>8.3000000000000007</v>
      </c>
      <c r="J20" s="100">
        <v>0.13</v>
      </c>
      <c r="K20" s="100">
        <v>207.4</v>
      </c>
      <c r="L20" s="100">
        <v>22.5</v>
      </c>
      <c r="M20" s="100">
        <v>57.44</v>
      </c>
      <c r="N20" s="100">
        <v>6</v>
      </c>
      <c r="O20" s="100">
        <v>0</v>
      </c>
      <c r="P20" s="100">
        <v>0.82</v>
      </c>
      <c r="Q20" s="100">
        <v>28.41</v>
      </c>
      <c r="R20" s="6"/>
      <c r="S20" s="6"/>
      <c r="T20" s="156"/>
      <c r="U20" s="6"/>
    </row>
    <row r="21" spans="1:21" customFormat="1">
      <c r="A21" s="163" t="s">
        <v>2651</v>
      </c>
      <c r="B21" s="100">
        <v>15.37</v>
      </c>
      <c r="C21" s="100">
        <v>23.17</v>
      </c>
      <c r="D21" s="100">
        <v>25.78</v>
      </c>
      <c r="E21" s="100">
        <v>9.4</v>
      </c>
      <c r="F21" s="152" t="s">
        <v>15</v>
      </c>
      <c r="G21" s="100">
        <v>110.99</v>
      </c>
      <c r="H21" s="100">
        <v>40.46</v>
      </c>
      <c r="I21" s="100">
        <v>8.4700000000000006</v>
      </c>
      <c r="J21" s="100">
        <v>0.11</v>
      </c>
      <c r="K21" s="100">
        <v>180.88</v>
      </c>
      <c r="L21" s="100">
        <v>22.53</v>
      </c>
      <c r="M21" s="100">
        <v>57.19</v>
      </c>
      <c r="N21" s="100">
        <v>5.8</v>
      </c>
      <c r="O21" s="100">
        <v>0</v>
      </c>
      <c r="P21" s="100">
        <v>0.84</v>
      </c>
      <c r="Q21" s="100">
        <v>28.44</v>
      </c>
      <c r="R21" s="6"/>
      <c r="S21" s="6"/>
      <c r="T21" s="156"/>
      <c r="U21" s="6"/>
    </row>
    <row r="22" spans="1:21" customFormat="1">
      <c r="A22" s="163" t="s">
        <v>2652</v>
      </c>
      <c r="B22" s="100">
        <v>16.21</v>
      </c>
      <c r="C22" s="100">
        <v>23.25</v>
      </c>
      <c r="D22" s="100">
        <v>26.5</v>
      </c>
      <c r="E22" s="100">
        <v>9.6999999999999993</v>
      </c>
      <c r="F22" s="152" t="s">
        <v>15</v>
      </c>
      <c r="G22" s="100">
        <v>110.99</v>
      </c>
      <c r="H22" s="100">
        <v>40.46</v>
      </c>
      <c r="I22" s="100">
        <v>8.6300000000000008</v>
      </c>
      <c r="J22" s="100">
        <v>0.15</v>
      </c>
      <c r="K22" s="100">
        <v>91.3</v>
      </c>
      <c r="L22" s="100">
        <v>22.83</v>
      </c>
      <c r="M22" s="100">
        <v>55.55</v>
      </c>
      <c r="N22" s="100">
        <v>5.6</v>
      </c>
      <c r="O22" s="100">
        <v>0</v>
      </c>
      <c r="P22" s="100">
        <v>0.86</v>
      </c>
      <c r="Q22" s="100">
        <v>28.46</v>
      </c>
      <c r="R22" s="6"/>
      <c r="S22" s="6"/>
      <c r="T22" s="156"/>
      <c r="U22" s="6"/>
    </row>
    <row r="23" spans="1:21" customFormat="1">
      <c r="A23" s="163" t="s">
        <v>2653</v>
      </c>
      <c r="B23" s="100">
        <v>17.010000000000002</v>
      </c>
      <c r="C23" s="100">
        <v>23.3</v>
      </c>
      <c r="D23" s="100">
        <v>27.16</v>
      </c>
      <c r="E23" s="100">
        <v>9.32</v>
      </c>
      <c r="F23" s="152" t="s">
        <v>15</v>
      </c>
      <c r="G23" s="100">
        <v>110.99</v>
      </c>
      <c r="H23" s="100">
        <v>40.46</v>
      </c>
      <c r="I23" s="100">
        <v>8.83</v>
      </c>
      <c r="J23" s="100">
        <v>0.5</v>
      </c>
      <c r="K23" s="100">
        <v>67.680000000000007</v>
      </c>
      <c r="L23" s="100">
        <v>23.18</v>
      </c>
      <c r="M23" s="100">
        <v>53.51</v>
      </c>
      <c r="N23" s="100">
        <v>5.3</v>
      </c>
      <c r="O23" s="100">
        <v>0</v>
      </c>
      <c r="P23" s="100">
        <v>0.88</v>
      </c>
      <c r="Q23" s="100">
        <v>28.5</v>
      </c>
      <c r="R23" s="6"/>
      <c r="S23" s="6"/>
      <c r="T23" s="156"/>
      <c r="U23" s="6"/>
    </row>
    <row r="24" spans="1:21" customFormat="1">
      <c r="A24" s="163" t="s">
        <v>2654</v>
      </c>
      <c r="B24" s="100">
        <v>17.63</v>
      </c>
      <c r="C24" s="100">
        <v>23.2</v>
      </c>
      <c r="D24" s="100">
        <v>27.61</v>
      </c>
      <c r="E24" s="100">
        <v>9.48</v>
      </c>
      <c r="F24" s="152" t="s">
        <v>15</v>
      </c>
      <c r="G24" s="100">
        <v>116.54</v>
      </c>
      <c r="H24" s="100">
        <v>43.81</v>
      </c>
      <c r="I24" s="100">
        <v>9.08</v>
      </c>
      <c r="J24" s="100">
        <v>0.18</v>
      </c>
      <c r="K24" s="100">
        <v>134.26</v>
      </c>
      <c r="L24" s="100">
        <v>23.03</v>
      </c>
      <c r="M24" s="100">
        <v>55.25</v>
      </c>
      <c r="N24" s="100">
        <v>6.1</v>
      </c>
      <c r="O24" s="100">
        <v>0</v>
      </c>
      <c r="P24" s="100">
        <v>0.9</v>
      </c>
      <c r="Q24" s="100">
        <v>28.51</v>
      </c>
      <c r="R24" s="6"/>
      <c r="S24" s="6"/>
      <c r="T24" s="156"/>
      <c r="U24" s="6"/>
    </row>
    <row r="25" spans="1:21" customFormat="1">
      <c r="A25" s="163" t="s">
        <v>2655</v>
      </c>
      <c r="B25" s="100">
        <v>17.71</v>
      </c>
      <c r="C25" s="100">
        <v>23.04</v>
      </c>
      <c r="D25" s="100">
        <v>27.59</v>
      </c>
      <c r="E25" s="100">
        <v>9.1999999999999993</v>
      </c>
      <c r="F25" s="152" t="s">
        <v>15</v>
      </c>
      <c r="G25" s="100">
        <v>118.56</v>
      </c>
      <c r="H25" s="100">
        <v>43.91</v>
      </c>
      <c r="I25" s="100">
        <v>9.36</v>
      </c>
      <c r="J25" s="100">
        <v>0.26</v>
      </c>
      <c r="K25" s="100">
        <v>190.35</v>
      </c>
      <c r="L25" s="100">
        <v>21.97</v>
      </c>
      <c r="M25" s="100">
        <v>60.03</v>
      </c>
      <c r="N25" s="100">
        <v>6.5</v>
      </c>
      <c r="O25" s="100">
        <v>0</v>
      </c>
      <c r="P25" s="100">
        <v>0.91</v>
      </c>
      <c r="Q25" s="100">
        <v>28.51</v>
      </c>
      <c r="R25" s="6"/>
      <c r="S25" s="6"/>
      <c r="T25" s="156"/>
      <c r="U25" s="6"/>
    </row>
    <row r="26" spans="1:21" customFormat="1">
      <c r="A26" s="163" t="s">
        <v>2656</v>
      </c>
      <c r="B26" s="100">
        <v>17.43</v>
      </c>
      <c r="C26" s="100">
        <v>22.69</v>
      </c>
      <c r="D26" s="100">
        <v>27.18</v>
      </c>
      <c r="E26" s="100">
        <v>9.27</v>
      </c>
      <c r="F26" s="152" t="s">
        <v>15</v>
      </c>
      <c r="G26" s="100">
        <v>118.56</v>
      </c>
      <c r="H26" s="100">
        <v>43.91</v>
      </c>
      <c r="I26" s="100">
        <v>9.57</v>
      </c>
      <c r="J26" s="100">
        <v>0.25</v>
      </c>
      <c r="K26" s="100">
        <v>209.06</v>
      </c>
      <c r="L26" s="100">
        <v>21.22</v>
      </c>
      <c r="M26" s="100">
        <v>63.06</v>
      </c>
      <c r="N26" s="100">
        <v>6.5</v>
      </c>
      <c r="O26" s="100">
        <v>0</v>
      </c>
      <c r="P26" s="100">
        <v>0.94</v>
      </c>
      <c r="Q26" s="100">
        <v>28.53</v>
      </c>
      <c r="R26" s="6"/>
      <c r="S26" s="6"/>
      <c r="T26" s="156"/>
      <c r="U26" s="6"/>
    </row>
    <row r="27" spans="1:21" customFormat="1">
      <c r="A27" s="163" t="s">
        <v>2657</v>
      </c>
      <c r="B27" s="100">
        <v>17.25</v>
      </c>
      <c r="C27" s="100">
        <v>22.66</v>
      </c>
      <c r="D27" s="100">
        <v>27.03</v>
      </c>
      <c r="E27" s="100">
        <v>9.2899999999999991</v>
      </c>
      <c r="F27" s="152" t="s">
        <v>15</v>
      </c>
      <c r="G27" s="100">
        <v>118.56</v>
      </c>
      <c r="H27" s="100">
        <v>43.91</v>
      </c>
      <c r="I27" s="100">
        <v>9.74</v>
      </c>
      <c r="J27" s="100">
        <v>0.16</v>
      </c>
      <c r="K27" s="100">
        <v>209.3</v>
      </c>
      <c r="L27" s="100">
        <v>20.95</v>
      </c>
      <c r="M27" s="100">
        <v>64.150000000000006</v>
      </c>
      <c r="N27" s="100">
        <v>6.3</v>
      </c>
      <c r="O27" s="100">
        <v>0</v>
      </c>
      <c r="P27" s="100">
        <v>0.94</v>
      </c>
      <c r="Q27" s="100">
        <v>28.51</v>
      </c>
      <c r="R27" s="6"/>
      <c r="S27" s="6"/>
      <c r="T27" s="156"/>
      <c r="U27" s="6"/>
    </row>
    <row r="28" spans="1:21" customFormat="1">
      <c r="A28" s="163" t="s">
        <v>2658</v>
      </c>
      <c r="B28" s="100">
        <v>17.079999999999998</v>
      </c>
      <c r="C28" s="100">
        <v>22.35</v>
      </c>
      <c r="D28" s="100">
        <v>26.72</v>
      </c>
      <c r="E28" s="100">
        <v>9.5</v>
      </c>
      <c r="F28" s="152" t="s">
        <v>15</v>
      </c>
      <c r="G28" s="100">
        <v>120.85</v>
      </c>
      <c r="H28" s="100">
        <v>45.75</v>
      </c>
      <c r="I28" s="100">
        <v>9.89</v>
      </c>
      <c r="J28" s="100">
        <v>0.19</v>
      </c>
      <c r="K28" s="100">
        <v>205.75</v>
      </c>
      <c r="L28" s="100">
        <v>20.59</v>
      </c>
      <c r="M28" s="100">
        <v>66.39</v>
      </c>
      <c r="N28" s="100">
        <v>6.1</v>
      </c>
      <c r="O28" s="100">
        <v>0</v>
      </c>
      <c r="P28" s="100">
        <v>0.94</v>
      </c>
      <c r="Q28" s="100">
        <v>28.48</v>
      </c>
      <c r="R28" s="6"/>
      <c r="S28" s="6"/>
      <c r="T28" s="156"/>
      <c r="U28" s="6"/>
    </row>
    <row r="29" spans="1:21" customFormat="1">
      <c r="A29" s="163" t="s">
        <v>2659</v>
      </c>
      <c r="B29" s="100">
        <v>16.87</v>
      </c>
      <c r="C29" s="100">
        <v>21.84</v>
      </c>
      <c r="D29" s="100">
        <v>26.29</v>
      </c>
      <c r="E29" s="100">
        <v>9.09</v>
      </c>
      <c r="F29" s="152" t="s">
        <v>15</v>
      </c>
      <c r="G29" s="100">
        <v>121.74</v>
      </c>
      <c r="H29" s="100">
        <v>45.84</v>
      </c>
      <c r="I29" s="100">
        <v>10.01</v>
      </c>
      <c r="J29" s="100">
        <v>0.23</v>
      </c>
      <c r="K29" s="100">
        <v>157.19999999999999</v>
      </c>
      <c r="L29" s="100">
        <v>20.59</v>
      </c>
      <c r="M29" s="100">
        <v>66.959999999999994</v>
      </c>
      <c r="N29" s="100">
        <v>5.9</v>
      </c>
      <c r="O29" s="100">
        <v>0</v>
      </c>
      <c r="P29" s="100">
        <v>0.94</v>
      </c>
      <c r="Q29" s="100">
        <v>28.47</v>
      </c>
      <c r="R29" s="6"/>
      <c r="S29" s="6"/>
      <c r="T29" s="156"/>
      <c r="U29" s="6"/>
    </row>
    <row r="30" spans="1:21" customFormat="1">
      <c r="A30" s="163" t="s">
        <v>2660</v>
      </c>
      <c r="B30" s="100">
        <v>16.87</v>
      </c>
      <c r="C30" s="100">
        <v>20.5</v>
      </c>
      <c r="D30" s="100">
        <v>25.59</v>
      </c>
      <c r="E30" s="100">
        <v>8.8800000000000008</v>
      </c>
      <c r="F30" s="152" t="s">
        <v>15</v>
      </c>
      <c r="G30" s="100">
        <v>121.74</v>
      </c>
      <c r="H30" s="100">
        <v>45.84</v>
      </c>
      <c r="I30" s="100">
        <v>10.09</v>
      </c>
      <c r="J30" s="100">
        <v>0.21</v>
      </c>
      <c r="K30" s="100">
        <v>178.87</v>
      </c>
      <c r="L30" s="100">
        <v>20.57</v>
      </c>
      <c r="M30" s="100">
        <v>66.2</v>
      </c>
      <c r="N30" s="100">
        <v>5.8</v>
      </c>
      <c r="O30" s="100">
        <v>0</v>
      </c>
      <c r="P30" s="100">
        <v>0.95</v>
      </c>
      <c r="Q30" s="100">
        <v>28.5</v>
      </c>
      <c r="R30" s="6"/>
      <c r="S30" s="6"/>
      <c r="T30" s="156"/>
      <c r="U30" s="6"/>
    </row>
    <row r="31" spans="1:21" customFormat="1">
      <c r="A31" s="163" t="s">
        <v>2661</v>
      </c>
      <c r="B31" s="100">
        <v>16.87</v>
      </c>
      <c r="C31" s="100">
        <v>20.27</v>
      </c>
      <c r="D31" s="100">
        <v>25.48</v>
      </c>
      <c r="E31" s="100">
        <v>9.15</v>
      </c>
      <c r="F31" s="152" t="s">
        <v>15</v>
      </c>
      <c r="G31" s="100">
        <v>121.74</v>
      </c>
      <c r="H31" s="100">
        <v>45.84</v>
      </c>
      <c r="I31" s="100">
        <v>10.14</v>
      </c>
      <c r="J31" s="100">
        <v>0.22</v>
      </c>
      <c r="K31" s="100">
        <v>204.49</v>
      </c>
      <c r="L31" s="100">
        <v>20.21</v>
      </c>
      <c r="M31" s="100">
        <v>67.510000000000005</v>
      </c>
      <c r="N31" s="100">
        <v>6.3</v>
      </c>
      <c r="O31" s="100">
        <v>0</v>
      </c>
      <c r="P31" s="100">
        <v>0.94</v>
      </c>
      <c r="Q31" s="100">
        <v>28.5</v>
      </c>
      <c r="R31" s="6"/>
      <c r="S31" s="6"/>
      <c r="T31" s="156"/>
      <c r="U31" s="6"/>
    </row>
    <row r="32" spans="1:21" customFormat="1">
      <c r="A32" s="163" t="s">
        <v>2662</v>
      </c>
      <c r="B32" s="100">
        <v>16.68</v>
      </c>
      <c r="C32" s="100">
        <v>20.03</v>
      </c>
      <c r="D32" s="100">
        <v>25.19</v>
      </c>
      <c r="E32" s="100">
        <v>8.99</v>
      </c>
      <c r="F32" s="152" t="s">
        <v>15</v>
      </c>
      <c r="G32" s="100">
        <v>108.16</v>
      </c>
      <c r="H32" s="100">
        <v>39.29</v>
      </c>
      <c r="I32" s="100">
        <v>10.14</v>
      </c>
      <c r="J32" s="100">
        <v>0.16</v>
      </c>
      <c r="K32" s="100">
        <v>164.8</v>
      </c>
      <c r="L32" s="100">
        <v>20.010000000000002</v>
      </c>
      <c r="M32" s="100">
        <v>67.77</v>
      </c>
      <c r="N32" s="100">
        <v>7.8</v>
      </c>
      <c r="O32" s="100">
        <v>0</v>
      </c>
      <c r="P32" s="100">
        <v>0.95</v>
      </c>
      <c r="Q32" s="100">
        <v>28.49</v>
      </c>
      <c r="R32" s="6"/>
      <c r="S32" s="6"/>
      <c r="T32" s="156"/>
      <c r="U32" s="6"/>
    </row>
    <row r="33" spans="1:21" customFormat="1">
      <c r="A33" s="163" t="s">
        <v>2663</v>
      </c>
      <c r="B33" s="100">
        <v>16.63</v>
      </c>
      <c r="C33" s="100">
        <v>19.420000000000002</v>
      </c>
      <c r="D33" s="100">
        <v>24.83</v>
      </c>
      <c r="E33" s="100">
        <v>9.3699999999999992</v>
      </c>
      <c r="F33" s="152" t="s">
        <v>15</v>
      </c>
      <c r="G33" s="100">
        <v>103.23</v>
      </c>
      <c r="H33" s="100">
        <v>39.090000000000003</v>
      </c>
      <c r="I33" s="100">
        <v>10.210000000000001</v>
      </c>
      <c r="J33" s="100">
        <v>0.16</v>
      </c>
      <c r="K33" s="100">
        <v>185.3</v>
      </c>
      <c r="L33" s="100">
        <v>20.09</v>
      </c>
      <c r="M33" s="100">
        <v>67.87</v>
      </c>
      <c r="N33" s="100">
        <v>13.4</v>
      </c>
      <c r="O33" s="100">
        <v>0</v>
      </c>
      <c r="P33" s="100">
        <v>0.95</v>
      </c>
      <c r="Q33" s="100">
        <v>28.48</v>
      </c>
      <c r="R33" s="6"/>
      <c r="S33" s="6"/>
      <c r="T33" s="156"/>
      <c r="U33" s="6"/>
    </row>
    <row r="34" spans="1:21" customFormat="1">
      <c r="A34" s="163" t="s">
        <v>2664</v>
      </c>
      <c r="B34" s="100">
        <v>16.64</v>
      </c>
      <c r="C34" s="100">
        <v>19.46</v>
      </c>
      <c r="D34" s="100">
        <v>24.86</v>
      </c>
      <c r="E34" s="100">
        <v>9.15</v>
      </c>
      <c r="F34" s="152" t="s">
        <v>15</v>
      </c>
      <c r="G34" s="100">
        <v>103.23</v>
      </c>
      <c r="H34" s="100">
        <v>39.090000000000003</v>
      </c>
      <c r="I34" s="100">
        <v>10.199999999999999</v>
      </c>
      <c r="J34" s="100">
        <v>0.15</v>
      </c>
      <c r="K34" s="100">
        <v>190.57</v>
      </c>
      <c r="L34" s="100">
        <v>20.29</v>
      </c>
      <c r="M34" s="100">
        <v>68.27</v>
      </c>
      <c r="N34" s="100">
        <v>23</v>
      </c>
      <c r="O34" s="100">
        <v>0</v>
      </c>
      <c r="P34" s="100">
        <v>0.95</v>
      </c>
      <c r="Q34" s="100">
        <v>28.47</v>
      </c>
      <c r="R34" s="6"/>
      <c r="S34" s="6"/>
      <c r="T34" s="156"/>
      <c r="U34" s="6"/>
    </row>
    <row r="35" spans="1:21" customFormat="1">
      <c r="A35" s="163" t="s">
        <v>2665</v>
      </c>
      <c r="B35" s="100">
        <v>16.61</v>
      </c>
      <c r="C35" s="100">
        <v>19.18</v>
      </c>
      <c r="D35" s="100">
        <v>24.69</v>
      </c>
      <c r="E35" s="100">
        <v>9.4700000000000006</v>
      </c>
      <c r="F35" s="152" t="s">
        <v>15</v>
      </c>
      <c r="G35" s="100">
        <v>103.23</v>
      </c>
      <c r="H35" s="100">
        <v>39.090000000000003</v>
      </c>
      <c r="I35" s="100">
        <v>10.24</v>
      </c>
      <c r="J35" s="100">
        <v>0.14000000000000001</v>
      </c>
      <c r="K35" s="100">
        <v>224.09</v>
      </c>
      <c r="L35" s="100">
        <v>20.86</v>
      </c>
      <c r="M35" s="100">
        <v>67.17</v>
      </c>
      <c r="N35" s="100">
        <v>34.1</v>
      </c>
      <c r="O35" s="100">
        <v>0</v>
      </c>
      <c r="P35" s="100">
        <v>0.95</v>
      </c>
      <c r="Q35" s="100">
        <v>28.48</v>
      </c>
      <c r="R35" s="6"/>
      <c r="S35" s="6"/>
      <c r="T35" s="156"/>
      <c r="U35" s="6"/>
    </row>
    <row r="36" spans="1:21" customFormat="1">
      <c r="A36" s="163" t="s">
        <v>2666</v>
      </c>
      <c r="B36" s="100">
        <v>16.66</v>
      </c>
      <c r="C36" s="100">
        <v>19.27</v>
      </c>
      <c r="D36" s="100">
        <v>24.79</v>
      </c>
      <c r="E36" s="100">
        <v>9.26</v>
      </c>
      <c r="F36" s="152" t="s">
        <v>15</v>
      </c>
      <c r="G36" s="100">
        <v>106.39</v>
      </c>
      <c r="H36" s="100">
        <v>42.03</v>
      </c>
      <c r="I36" s="100">
        <v>10.33</v>
      </c>
      <c r="J36" s="100">
        <v>0.12</v>
      </c>
      <c r="K36" s="100">
        <v>156.84</v>
      </c>
      <c r="L36" s="100">
        <v>21.8</v>
      </c>
      <c r="M36" s="100">
        <v>63.95</v>
      </c>
      <c r="N36" s="100">
        <v>45.5</v>
      </c>
      <c r="O36" s="100">
        <v>0</v>
      </c>
      <c r="P36" s="100">
        <v>0.96</v>
      </c>
      <c r="Q36" s="100">
        <v>28.48</v>
      </c>
      <c r="R36" s="6"/>
      <c r="S36" s="6"/>
      <c r="T36" s="156"/>
      <c r="U36" s="6"/>
    </row>
    <row r="37" spans="1:21" customFormat="1">
      <c r="A37" s="163" t="s">
        <v>2667</v>
      </c>
      <c r="B37" s="100">
        <v>17.09</v>
      </c>
      <c r="C37" s="100">
        <v>19.12</v>
      </c>
      <c r="D37" s="100">
        <v>25.05</v>
      </c>
      <c r="E37" s="100">
        <v>9.77</v>
      </c>
      <c r="F37" s="152" t="s">
        <v>15</v>
      </c>
      <c r="G37" s="100">
        <v>107.54</v>
      </c>
      <c r="H37" s="100">
        <v>42.12</v>
      </c>
      <c r="I37" s="100">
        <v>10.41</v>
      </c>
      <c r="J37" s="100">
        <v>0.05</v>
      </c>
      <c r="K37" s="100">
        <v>262.38</v>
      </c>
      <c r="L37" s="100">
        <v>22.66</v>
      </c>
      <c r="M37" s="100">
        <v>61.09</v>
      </c>
      <c r="N37" s="100">
        <v>56.5</v>
      </c>
      <c r="O37" s="100">
        <v>0</v>
      </c>
      <c r="P37" s="100">
        <v>0.96</v>
      </c>
      <c r="Q37" s="100">
        <v>28.48</v>
      </c>
      <c r="R37" s="6"/>
      <c r="S37" s="6"/>
      <c r="T37" s="156"/>
      <c r="U37" s="6"/>
    </row>
    <row r="38" spans="1:21" customFormat="1">
      <c r="A38" s="163" t="s">
        <v>2668</v>
      </c>
      <c r="B38" s="100">
        <v>18.05</v>
      </c>
      <c r="C38" s="100">
        <v>19.420000000000002</v>
      </c>
      <c r="D38" s="100">
        <v>25.97</v>
      </c>
      <c r="E38" s="100">
        <v>9.66</v>
      </c>
      <c r="F38" s="152" t="s">
        <v>15</v>
      </c>
      <c r="G38" s="100">
        <v>107.54</v>
      </c>
      <c r="H38" s="100">
        <v>42.12</v>
      </c>
      <c r="I38" s="100">
        <v>10.49</v>
      </c>
      <c r="J38" s="100">
        <v>0.45</v>
      </c>
      <c r="K38" s="100">
        <v>28.61</v>
      </c>
      <c r="L38" s="100">
        <v>23.94</v>
      </c>
      <c r="M38" s="100">
        <v>53.76</v>
      </c>
      <c r="N38" s="100">
        <v>66.099999999999994</v>
      </c>
      <c r="O38" s="100">
        <v>0</v>
      </c>
      <c r="P38" s="100">
        <v>0.98</v>
      </c>
      <c r="Q38" s="100">
        <v>28.53</v>
      </c>
      <c r="R38" s="6"/>
      <c r="S38" s="6"/>
      <c r="T38" s="156"/>
      <c r="U38" s="6"/>
    </row>
    <row r="39" spans="1:21" customFormat="1">
      <c r="A39" s="163" t="s">
        <v>2669</v>
      </c>
      <c r="B39" s="100">
        <v>18.809999999999999</v>
      </c>
      <c r="C39" s="100">
        <v>19.71</v>
      </c>
      <c r="D39" s="100">
        <v>26.73</v>
      </c>
      <c r="E39" s="100">
        <v>9.43</v>
      </c>
      <c r="F39" s="152" t="s">
        <v>15</v>
      </c>
      <c r="G39" s="100">
        <v>107.54</v>
      </c>
      <c r="H39" s="100">
        <v>42.12</v>
      </c>
      <c r="I39" s="100">
        <v>10.52</v>
      </c>
      <c r="J39" s="100">
        <v>0.55000000000000004</v>
      </c>
      <c r="K39" s="100">
        <v>38.75</v>
      </c>
      <c r="L39" s="100">
        <v>25.05</v>
      </c>
      <c r="M39" s="100">
        <v>48.05</v>
      </c>
      <c r="N39" s="100">
        <v>77.8</v>
      </c>
      <c r="O39" s="100">
        <v>0</v>
      </c>
      <c r="P39" s="100">
        <v>1</v>
      </c>
      <c r="Q39" s="100">
        <v>28.55</v>
      </c>
      <c r="R39" s="6"/>
      <c r="S39" s="6"/>
      <c r="T39" s="156"/>
      <c r="U39" s="6"/>
    </row>
    <row r="40" spans="1:21" customFormat="1">
      <c r="A40" s="163" t="s">
        <v>2670</v>
      </c>
      <c r="B40" s="100">
        <v>19.170000000000002</v>
      </c>
      <c r="C40" s="100">
        <v>20.12</v>
      </c>
      <c r="D40" s="100">
        <v>27.24</v>
      </c>
      <c r="E40" s="100">
        <v>9.84</v>
      </c>
      <c r="F40" s="152" t="s">
        <v>15</v>
      </c>
      <c r="G40" s="100">
        <v>118.05</v>
      </c>
      <c r="H40" s="100">
        <v>47.32</v>
      </c>
      <c r="I40" s="100">
        <v>10.76</v>
      </c>
      <c r="J40" s="100">
        <v>0.75</v>
      </c>
      <c r="K40" s="100">
        <v>42.9</v>
      </c>
      <c r="L40" s="100">
        <v>26.1</v>
      </c>
      <c r="M40" s="100">
        <v>42.8</v>
      </c>
      <c r="N40" s="100">
        <v>114.2</v>
      </c>
      <c r="O40" s="100">
        <v>0</v>
      </c>
      <c r="P40" s="100">
        <v>1.01</v>
      </c>
      <c r="Q40" s="100">
        <v>28.58</v>
      </c>
      <c r="R40" s="6"/>
      <c r="S40" s="6"/>
      <c r="T40" s="156"/>
      <c r="U40" s="6"/>
    </row>
    <row r="41" spans="1:21" customFormat="1">
      <c r="A41" s="163" t="s">
        <v>2671</v>
      </c>
      <c r="B41" s="100">
        <v>19.100000000000001</v>
      </c>
      <c r="C41" s="100">
        <v>19.399999999999999</v>
      </c>
      <c r="D41" s="100">
        <v>26.81</v>
      </c>
      <c r="E41" s="100">
        <v>9.5</v>
      </c>
      <c r="F41" s="152" t="s">
        <v>15</v>
      </c>
      <c r="G41" s="100">
        <v>121.87</v>
      </c>
      <c r="H41" s="100">
        <v>47.4</v>
      </c>
      <c r="I41" s="100">
        <v>10.89</v>
      </c>
      <c r="J41" s="100">
        <v>0.39</v>
      </c>
      <c r="K41" s="100">
        <v>91.58</v>
      </c>
      <c r="L41" s="100">
        <v>27.65</v>
      </c>
      <c r="M41" s="100">
        <v>37.880000000000003</v>
      </c>
      <c r="N41" s="100">
        <v>235.9</v>
      </c>
      <c r="O41" s="100">
        <v>0</v>
      </c>
      <c r="P41" s="100">
        <v>1</v>
      </c>
      <c r="Q41" s="100">
        <v>28.56</v>
      </c>
      <c r="R41" s="6"/>
      <c r="S41" s="6"/>
      <c r="T41" s="156"/>
      <c r="U41" s="6"/>
    </row>
    <row r="42" spans="1:21" customFormat="1">
      <c r="A42" s="163" t="s">
        <v>2672</v>
      </c>
      <c r="B42" s="100">
        <v>18.36</v>
      </c>
      <c r="C42" s="100">
        <v>19.09</v>
      </c>
      <c r="D42" s="100">
        <v>26.04</v>
      </c>
      <c r="E42" s="100">
        <v>10.11</v>
      </c>
      <c r="F42" s="152" t="s">
        <v>15</v>
      </c>
      <c r="G42" s="100">
        <v>121.87</v>
      </c>
      <c r="H42" s="100">
        <v>47.4</v>
      </c>
      <c r="I42" s="100">
        <v>11.05</v>
      </c>
      <c r="J42" s="100">
        <v>0.3</v>
      </c>
      <c r="K42" s="100">
        <v>155.41999999999999</v>
      </c>
      <c r="L42" s="100">
        <v>29.36</v>
      </c>
      <c r="M42" s="100">
        <v>33.700000000000003</v>
      </c>
      <c r="N42" s="100">
        <v>174.1</v>
      </c>
      <c r="O42" s="100">
        <v>0</v>
      </c>
      <c r="P42" s="100">
        <v>1</v>
      </c>
      <c r="Q42" s="100">
        <v>28.56</v>
      </c>
      <c r="R42" s="6"/>
      <c r="S42" s="6"/>
      <c r="T42" s="156"/>
      <c r="U42" s="6"/>
    </row>
    <row r="43" spans="1:21" customFormat="1">
      <c r="A43" s="163" t="s">
        <v>2673</v>
      </c>
      <c r="B43" s="100">
        <v>17.350000000000001</v>
      </c>
      <c r="C43" s="100">
        <v>20.73</v>
      </c>
      <c r="D43" s="100">
        <v>26.09</v>
      </c>
      <c r="E43" s="100">
        <v>10.37</v>
      </c>
      <c r="F43" s="152" t="s">
        <v>15</v>
      </c>
      <c r="G43" s="100">
        <v>121.87</v>
      </c>
      <c r="H43" s="100">
        <v>47.4</v>
      </c>
      <c r="I43" s="100">
        <v>11.19</v>
      </c>
      <c r="J43" s="100">
        <v>0.19</v>
      </c>
      <c r="K43" s="100">
        <v>196.98</v>
      </c>
      <c r="L43" s="100">
        <v>30.58</v>
      </c>
      <c r="M43" s="100">
        <v>31.73</v>
      </c>
      <c r="N43" s="100">
        <v>175.8</v>
      </c>
      <c r="O43" s="100">
        <v>0</v>
      </c>
      <c r="P43" s="100">
        <v>1</v>
      </c>
      <c r="Q43" s="100">
        <v>28.52</v>
      </c>
      <c r="R43" s="6"/>
      <c r="S43" s="6"/>
      <c r="T43" s="156"/>
      <c r="U43" s="6"/>
    </row>
    <row r="44" spans="1:21" customFormat="1">
      <c r="A44" s="163" t="s">
        <v>2674</v>
      </c>
      <c r="B44" s="100">
        <v>15.88</v>
      </c>
      <c r="C44" s="100">
        <v>21.64</v>
      </c>
      <c r="D44" s="100">
        <v>25.39</v>
      </c>
      <c r="E44" s="100">
        <v>11.14</v>
      </c>
      <c r="F44" s="152" t="s">
        <v>15</v>
      </c>
      <c r="G44" s="100">
        <v>122.14</v>
      </c>
      <c r="H44" s="100">
        <v>49.66</v>
      </c>
      <c r="I44" s="100">
        <v>11.27</v>
      </c>
      <c r="J44" s="100">
        <v>0.22</v>
      </c>
      <c r="K44" s="100">
        <v>169.37</v>
      </c>
      <c r="L44" s="100">
        <v>31.62</v>
      </c>
      <c r="M44" s="100">
        <v>29.3</v>
      </c>
      <c r="N44" s="100">
        <v>337.9</v>
      </c>
      <c r="O44" s="100">
        <v>0</v>
      </c>
      <c r="P44" s="100">
        <v>1</v>
      </c>
      <c r="Q44" s="100">
        <v>28.46</v>
      </c>
      <c r="R44" s="6"/>
      <c r="S44" s="6"/>
      <c r="T44" s="156"/>
      <c r="U44" s="6"/>
    </row>
    <row r="45" spans="1:21" customFormat="1">
      <c r="A45" s="163" t="s">
        <v>2675</v>
      </c>
      <c r="B45" s="100">
        <v>14.89</v>
      </c>
      <c r="C45" s="100">
        <v>21.61</v>
      </c>
      <c r="D45" s="100">
        <v>24.58</v>
      </c>
      <c r="E45" s="100">
        <v>10.82</v>
      </c>
      <c r="F45" s="152" t="s">
        <v>15</v>
      </c>
      <c r="G45" s="100">
        <v>122.24</v>
      </c>
      <c r="H45" s="100">
        <v>49.69</v>
      </c>
      <c r="I45" s="100">
        <v>11.25</v>
      </c>
      <c r="J45" s="100">
        <v>0.54</v>
      </c>
      <c r="K45" s="100">
        <v>261.8</v>
      </c>
      <c r="L45" s="100">
        <v>32.1</v>
      </c>
      <c r="M45" s="100">
        <v>27.11</v>
      </c>
      <c r="N45" s="100">
        <v>329.2</v>
      </c>
      <c r="O45" s="100">
        <v>0</v>
      </c>
      <c r="P45" s="100">
        <v>1</v>
      </c>
      <c r="Q45" s="100">
        <v>28.44</v>
      </c>
      <c r="R45" s="6"/>
      <c r="S45" s="6"/>
      <c r="T45" s="156"/>
      <c r="U45" s="6"/>
    </row>
    <row r="46" spans="1:21" customFormat="1">
      <c r="A46" s="163" t="s">
        <v>2676</v>
      </c>
      <c r="B46" s="100">
        <v>13.17</v>
      </c>
      <c r="C46" s="100">
        <v>21.38</v>
      </c>
      <c r="D46" s="100">
        <v>23.08</v>
      </c>
      <c r="E46" s="100">
        <v>10.78</v>
      </c>
      <c r="F46" s="152" t="s">
        <v>15</v>
      </c>
      <c r="G46" s="100">
        <v>122.24</v>
      </c>
      <c r="H46" s="100">
        <v>49.69</v>
      </c>
      <c r="I46" s="100">
        <v>11.11</v>
      </c>
      <c r="J46" s="100">
        <v>0.54</v>
      </c>
      <c r="K46" s="100">
        <v>262.47000000000003</v>
      </c>
      <c r="L46" s="100">
        <v>32.6</v>
      </c>
      <c r="M46" s="100">
        <v>24.1</v>
      </c>
      <c r="N46" s="100">
        <v>497.8</v>
      </c>
      <c r="O46" s="100">
        <v>0</v>
      </c>
      <c r="P46" s="100">
        <v>0.98</v>
      </c>
      <c r="Q46" s="100">
        <v>28.41</v>
      </c>
      <c r="R46" s="6"/>
      <c r="S46" s="6"/>
      <c r="T46" s="156"/>
      <c r="U46" s="6"/>
    </row>
    <row r="47" spans="1:21" customFormat="1">
      <c r="A47" s="163" t="s">
        <v>2677</v>
      </c>
      <c r="B47" s="100">
        <v>11.36</v>
      </c>
      <c r="C47" s="100">
        <v>21.33</v>
      </c>
      <c r="D47" s="100">
        <v>21.6</v>
      </c>
      <c r="E47" s="100">
        <v>10.81</v>
      </c>
      <c r="F47" s="152" t="s">
        <v>15</v>
      </c>
      <c r="G47" s="100">
        <v>122.24</v>
      </c>
      <c r="H47" s="100">
        <v>49.69</v>
      </c>
      <c r="I47" s="100">
        <v>11.14</v>
      </c>
      <c r="J47" s="100">
        <v>0.56999999999999995</v>
      </c>
      <c r="K47" s="100">
        <v>253.38</v>
      </c>
      <c r="L47" s="100">
        <v>33.24</v>
      </c>
      <c r="M47" s="100">
        <v>22.01</v>
      </c>
      <c r="N47" s="100">
        <v>543.6</v>
      </c>
      <c r="O47" s="100">
        <v>0</v>
      </c>
      <c r="P47" s="100">
        <v>0.95</v>
      </c>
      <c r="Q47" s="100">
        <v>28.36</v>
      </c>
      <c r="R47" s="6"/>
      <c r="S47" s="6"/>
      <c r="T47" s="156"/>
      <c r="U47" s="6"/>
    </row>
    <row r="48" spans="1:21" customFormat="1">
      <c r="A48" s="163" t="s">
        <v>2678</v>
      </c>
      <c r="B48" s="100">
        <v>9.51</v>
      </c>
      <c r="C48" s="100">
        <v>21.1</v>
      </c>
      <c r="D48" s="100">
        <v>20</v>
      </c>
      <c r="E48" s="100">
        <v>11.41</v>
      </c>
      <c r="F48" s="152" t="s">
        <v>15</v>
      </c>
      <c r="G48" s="100">
        <v>111.6</v>
      </c>
      <c r="H48" s="100">
        <v>42.7</v>
      </c>
      <c r="I48" s="100">
        <v>10.85</v>
      </c>
      <c r="J48" s="100">
        <v>0.42</v>
      </c>
      <c r="K48" s="100">
        <v>259.14</v>
      </c>
      <c r="L48" s="100">
        <v>33.82</v>
      </c>
      <c r="M48" s="100">
        <v>22.39</v>
      </c>
      <c r="N48" s="100">
        <v>583.29999999999995</v>
      </c>
      <c r="O48" s="100">
        <v>0</v>
      </c>
      <c r="P48" s="100">
        <v>0.92</v>
      </c>
      <c r="Q48" s="100">
        <v>28.3</v>
      </c>
      <c r="R48" s="6"/>
      <c r="S48" s="6"/>
      <c r="T48" s="156"/>
      <c r="U48" s="6"/>
    </row>
    <row r="49" spans="1:21" customFormat="1">
      <c r="A49" s="163" t="s">
        <v>2679</v>
      </c>
      <c r="B49" s="100">
        <v>7.79</v>
      </c>
      <c r="C49" s="100">
        <v>22.16</v>
      </c>
      <c r="D49" s="100">
        <v>19.18</v>
      </c>
      <c r="E49" s="100">
        <v>8.2200000000000006</v>
      </c>
      <c r="F49" s="152" t="s">
        <v>15</v>
      </c>
      <c r="G49" s="100">
        <v>107.73</v>
      </c>
      <c r="H49" s="100">
        <v>42.6</v>
      </c>
      <c r="I49" s="100">
        <v>10.59</v>
      </c>
      <c r="J49" s="100">
        <v>0.56999999999999995</v>
      </c>
      <c r="K49" s="100">
        <v>253.49</v>
      </c>
      <c r="L49" s="100">
        <v>34.35</v>
      </c>
      <c r="M49" s="100">
        <v>22.02</v>
      </c>
      <c r="N49" s="100">
        <v>556.29999999999995</v>
      </c>
      <c r="O49" s="100">
        <v>0</v>
      </c>
      <c r="P49" s="100">
        <v>0.92</v>
      </c>
      <c r="Q49" s="100">
        <v>28.23</v>
      </c>
      <c r="R49" s="6"/>
      <c r="S49" s="6"/>
      <c r="T49" s="156"/>
      <c r="U49" s="6"/>
    </row>
    <row r="50" spans="1:21" customFormat="1">
      <c r="A50" s="163" t="s">
        <v>2680</v>
      </c>
      <c r="B50" s="100">
        <v>5.79</v>
      </c>
      <c r="C50" s="100">
        <v>22.03</v>
      </c>
      <c r="D50" s="100">
        <v>17.510000000000002</v>
      </c>
      <c r="E50" s="100">
        <v>9.49</v>
      </c>
      <c r="F50" s="152" t="s">
        <v>15</v>
      </c>
      <c r="G50" s="100">
        <v>107.73</v>
      </c>
      <c r="H50" s="100">
        <v>42.6</v>
      </c>
      <c r="I50" s="100">
        <v>10.34</v>
      </c>
      <c r="J50" s="100">
        <v>0.02</v>
      </c>
      <c r="K50" s="100">
        <v>296.27</v>
      </c>
      <c r="L50" s="100">
        <v>35.14</v>
      </c>
      <c r="M50" s="100">
        <v>19.329999999999998</v>
      </c>
      <c r="N50" s="100">
        <v>447.3</v>
      </c>
      <c r="O50" s="100">
        <v>0</v>
      </c>
      <c r="P50" s="100">
        <v>0.88</v>
      </c>
      <c r="Q50" s="100">
        <v>28.18</v>
      </c>
      <c r="R50" s="6"/>
      <c r="S50" s="6"/>
      <c r="T50" s="156"/>
      <c r="U50" s="6"/>
    </row>
    <row r="51" spans="1:21" customFormat="1">
      <c r="A51" s="163" t="s">
        <v>2681</v>
      </c>
      <c r="B51" s="100">
        <v>4.7300000000000004</v>
      </c>
      <c r="C51" s="100">
        <v>22.43</v>
      </c>
      <c r="D51" s="100">
        <v>16.86</v>
      </c>
      <c r="E51" s="100">
        <v>10.76</v>
      </c>
      <c r="F51" s="152" t="s">
        <v>15</v>
      </c>
      <c r="G51" s="100">
        <v>107.73</v>
      </c>
      <c r="H51" s="100">
        <v>42.6</v>
      </c>
      <c r="I51" s="100">
        <v>10.35</v>
      </c>
      <c r="J51" s="100">
        <v>0.48</v>
      </c>
      <c r="K51" s="100">
        <v>61.9</v>
      </c>
      <c r="L51" s="100">
        <v>35.880000000000003</v>
      </c>
      <c r="M51" s="100">
        <v>18.12</v>
      </c>
      <c r="N51" s="100">
        <v>666.3</v>
      </c>
      <c r="O51" s="100">
        <v>0</v>
      </c>
      <c r="P51" s="100">
        <v>0.85</v>
      </c>
      <c r="Q51" s="100">
        <v>28.13</v>
      </c>
      <c r="R51" s="6"/>
      <c r="S51" s="6"/>
      <c r="T51" s="156"/>
      <c r="U51" s="6"/>
    </row>
    <row r="52" spans="1:21" customFormat="1">
      <c r="A52" s="163" t="s">
        <v>2682</v>
      </c>
      <c r="B52" s="100">
        <v>3.97</v>
      </c>
      <c r="C52" s="100">
        <v>21.49</v>
      </c>
      <c r="D52" s="100">
        <v>15.77</v>
      </c>
      <c r="E52" s="100">
        <v>10.61</v>
      </c>
      <c r="F52" s="152" t="s">
        <v>15</v>
      </c>
      <c r="G52" s="100">
        <v>95.17</v>
      </c>
      <c r="H52" s="100">
        <v>42.32</v>
      </c>
      <c r="I52" s="100">
        <v>9.9499999999999993</v>
      </c>
      <c r="J52" s="100">
        <v>0.18</v>
      </c>
      <c r="K52" s="100">
        <v>155.38</v>
      </c>
      <c r="L52" s="100">
        <v>36.71</v>
      </c>
      <c r="M52" s="100">
        <v>16.73</v>
      </c>
      <c r="N52" s="100">
        <v>708.7</v>
      </c>
      <c r="O52" s="100">
        <v>0</v>
      </c>
      <c r="P52" s="100">
        <v>0.83</v>
      </c>
      <c r="Q52" s="100">
        <v>28.11</v>
      </c>
      <c r="R52" s="6"/>
      <c r="S52" s="6"/>
      <c r="T52" s="156"/>
      <c r="U52" s="6"/>
    </row>
    <row r="53" spans="1:21" customFormat="1">
      <c r="A53" s="163" t="s">
        <v>2683</v>
      </c>
      <c r="B53" s="100">
        <v>3.67</v>
      </c>
      <c r="C53" s="100">
        <v>20.67</v>
      </c>
      <c r="D53" s="100">
        <v>15.09</v>
      </c>
      <c r="E53" s="100">
        <v>10.33</v>
      </c>
      <c r="F53" s="152" t="s">
        <v>15</v>
      </c>
      <c r="G53" s="100">
        <v>90.61</v>
      </c>
      <c r="H53" s="100">
        <v>42.31</v>
      </c>
      <c r="I53" s="100">
        <v>9.57</v>
      </c>
      <c r="J53" s="100">
        <v>0.27</v>
      </c>
      <c r="K53" s="100">
        <v>207.14</v>
      </c>
      <c r="L53" s="100">
        <v>36.89</v>
      </c>
      <c r="M53" s="100">
        <v>15.66</v>
      </c>
      <c r="N53" s="100">
        <v>674.3</v>
      </c>
      <c r="O53" s="100">
        <v>0</v>
      </c>
      <c r="P53" s="100">
        <v>0.81</v>
      </c>
      <c r="Q53" s="100">
        <v>28.1</v>
      </c>
      <c r="R53" s="6"/>
      <c r="S53" s="6"/>
      <c r="T53" s="156"/>
      <c r="U53" s="6"/>
    </row>
    <row r="54" spans="1:21" customFormat="1">
      <c r="A54" s="163" t="s">
        <v>2684</v>
      </c>
      <c r="B54" s="100">
        <v>3.57</v>
      </c>
      <c r="C54" s="100">
        <v>20.010000000000002</v>
      </c>
      <c r="D54" s="100">
        <v>14.67</v>
      </c>
      <c r="E54" s="100">
        <v>10.050000000000001</v>
      </c>
      <c r="F54" s="152" t="s">
        <v>15</v>
      </c>
      <c r="G54" s="100">
        <v>90.61</v>
      </c>
      <c r="H54" s="100">
        <v>42.31</v>
      </c>
      <c r="I54" s="100">
        <v>9.43</v>
      </c>
      <c r="J54" s="100">
        <v>0.41</v>
      </c>
      <c r="K54" s="100">
        <v>112.9</v>
      </c>
      <c r="L54" s="100">
        <v>37.58</v>
      </c>
      <c r="M54" s="100">
        <v>14.4</v>
      </c>
      <c r="N54" s="100">
        <v>744.6</v>
      </c>
      <c r="O54" s="100">
        <v>0</v>
      </c>
      <c r="P54" s="100">
        <v>0.79</v>
      </c>
      <c r="Q54" s="100">
        <v>28.09</v>
      </c>
      <c r="R54" s="6"/>
      <c r="S54" s="6"/>
      <c r="T54" s="156"/>
      <c r="U54" s="6"/>
    </row>
    <row r="55" spans="1:21" customFormat="1">
      <c r="A55" s="163" t="s">
        <v>2685</v>
      </c>
      <c r="B55" s="100">
        <v>3.55</v>
      </c>
      <c r="C55" s="100">
        <v>19.04</v>
      </c>
      <c r="D55" s="100">
        <v>14.14</v>
      </c>
      <c r="E55" s="100">
        <v>10.23</v>
      </c>
      <c r="F55" s="152" t="s">
        <v>15</v>
      </c>
      <c r="G55" s="100">
        <v>90.61</v>
      </c>
      <c r="H55" s="100">
        <v>42.31</v>
      </c>
      <c r="I55" s="100">
        <v>9.3000000000000007</v>
      </c>
      <c r="J55" s="100">
        <v>0.23</v>
      </c>
      <c r="K55" s="100">
        <v>248.32</v>
      </c>
      <c r="L55" s="100">
        <v>37.57</v>
      </c>
      <c r="M55" s="100">
        <v>15.2</v>
      </c>
      <c r="N55" s="100">
        <v>668.6</v>
      </c>
      <c r="O55" s="100">
        <v>0</v>
      </c>
      <c r="P55" s="100">
        <v>0.75</v>
      </c>
      <c r="Q55" s="100">
        <v>28.09</v>
      </c>
      <c r="R55" s="6"/>
      <c r="S55" s="6"/>
      <c r="T55" s="156"/>
      <c r="U55" s="6"/>
    </row>
    <row r="56" spans="1:21" customFormat="1">
      <c r="A56" s="163" t="s">
        <v>2686</v>
      </c>
      <c r="B56" s="100">
        <v>3.54</v>
      </c>
      <c r="C56" s="100">
        <v>18.46</v>
      </c>
      <c r="D56" s="100">
        <v>13.83</v>
      </c>
      <c r="E56" s="100">
        <v>10.69</v>
      </c>
      <c r="F56" s="152" t="s">
        <v>15</v>
      </c>
      <c r="G56" s="100">
        <v>80.41</v>
      </c>
      <c r="H56" s="100">
        <v>39.83</v>
      </c>
      <c r="I56" s="100">
        <v>9.0299999999999994</v>
      </c>
      <c r="J56" s="100">
        <v>0.56999999999999995</v>
      </c>
      <c r="K56" s="100">
        <v>256.32</v>
      </c>
      <c r="L56" s="100">
        <v>37.28</v>
      </c>
      <c r="M56" s="100">
        <v>15.72</v>
      </c>
      <c r="N56" s="100">
        <v>748.6</v>
      </c>
      <c r="O56" s="100">
        <v>0</v>
      </c>
      <c r="P56" s="100">
        <v>0.74</v>
      </c>
      <c r="Q56" s="100">
        <v>28.07</v>
      </c>
      <c r="R56" s="6"/>
      <c r="S56" s="6"/>
      <c r="T56" s="156"/>
      <c r="U56" s="6"/>
    </row>
    <row r="57" spans="1:21" customFormat="1">
      <c r="A57" s="163" t="s">
        <v>2687</v>
      </c>
      <c r="B57" s="100">
        <v>3.54</v>
      </c>
      <c r="C57" s="100">
        <v>18.309999999999999</v>
      </c>
      <c r="D57" s="100">
        <v>13.76</v>
      </c>
      <c r="E57" s="100">
        <v>9.8800000000000008</v>
      </c>
      <c r="F57" s="152" t="s">
        <v>15</v>
      </c>
      <c r="G57" s="100">
        <v>76.709999999999994</v>
      </c>
      <c r="H57" s="100">
        <v>39.75</v>
      </c>
      <c r="I57" s="100">
        <v>8.6999999999999993</v>
      </c>
      <c r="J57" s="100">
        <v>0.92</v>
      </c>
      <c r="K57" s="100">
        <v>290.11</v>
      </c>
      <c r="L57" s="100">
        <v>37.5</v>
      </c>
      <c r="M57" s="100">
        <v>16.739999999999998</v>
      </c>
      <c r="N57" s="100">
        <v>715.5</v>
      </c>
      <c r="O57" s="100">
        <v>0</v>
      </c>
      <c r="P57" s="100">
        <v>0.75</v>
      </c>
      <c r="Q57" s="100">
        <v>28.07</v>
      </c>
      <c r="R57" s="6"/>
      <c r="S57" s="6"/>
      <c r="T57" s="156"/>
      <c r="U57" s="6"/>
    </row>
    <row r="58" spans="1:21" customFormat="1">
      <c r="A58" s="163" t="s">
        <v>2688</v>
      </c>
      <c r="B58" s="100">
        <v>3.59</v>
      </c>
      <c r="C58" s="100">
        <v>18.12</v>
      </c>
      <c r="D58" s="100">
        <v>13.7</v>
      </c>
      <c r="E58" s="100">
        <v>10.19</v>
      </c>
      <c r="F58" s="152" t="s">
        <v>15</v>
      </c>
      <c r="G58" s="100">
        <v>76.709999999999994</v>
      </c>
      <c r="H58" s="100">
        <v>39.75</v>
      </c>
      <c r="I58" s="100">
        <v>8.48</v>
      </c>
      <c r="J58" s="100">
        <v>0.97</v>
      </c>
      <c r="K58" s="100">
        <v>269.89</v>
      </c>
      <c r="L58" s="100">
        <v>37.380000000000003</v>
      </c>
      <c r="M58" s="100">
        <v>16.690000000000001</v>
      </c>
      <c r="N58" s="100">
        <v>711.6</v>
      </c>
      <c r="O58" s="100">
        <v>0</v>
      </c>
      <c r="P58" s="100">
        <v>0.72</v>
      </c>
      <c r="Q58" s="100">
        <v>28.07</v>
      </c>
      <c r="R58" s="6"/>
      <c r="S58" s="6"/>
      <c r="T58" s="156"/>
      <c r="U58" s="6"/>
    </row>
    <row r="59" spans="1:21" customFormat="1">
      <c r="A59" s="163" t="s">
        <v>2689</v>
      </c>
      <c r="B59" s="100">
        <v>3.51</v>
      </c>
      <c r="C59" s="100">
        <v>17.45</v>
      </c>
      <c r="D59" s="100">
        <v>13.28</v>
      </c>
      <c r="E59" s="100">
        <v>9.89</v>
      </c>
      <c r="F59" s="152" t="s">
        <v>15</v>
      </c>
      <c r="G59" s="100">
        <v>76.709999999999994</v>
      </c>
      <c r="H59" s="100">
        <v>39.75</v>
      </c>
      <c r="I59" s="100">
        <v>8.42</v>
      </c>
      <c r="J59" s="100">
        <v>0.93</v>
      </c>
      <c r="K59" s="100">
        <v>270.3</v>
      </c>
      <c r="L59" s="100">
        <v>37.450000000000003</v>
      </c>
      <c r="M59" s="100">
        <v>15.7</v>
      </c>
      <c r="N59" s="100">
        <v>703</v>
      </c>
      <c r="O59" s="100">
        <v>0</v>
      </c>
      <c r="P59" s="100">
        <v>0.73</v>
      </c>
      <c r="Q59" s="100">
        <v>28.07</v>
      </c>
      <c r="R59" s="6"/>
      <c r="S59" s="6"/>
      <c r="T59" s="156"/>
      <c r="U59" s="6"/>
    </row>
    <row r="60" spans="1:21" customFormat="1">
      <c r="A60" s="163" t="s">
        <v>2690</v>
      </c>
      <c r="B60" s="100">
        <v>3.49</v>
      </c>
      <c r="C60" s="100">
        <v>16.82</v>
      </c>
      <c r="D60" s="100">
        <v>12.94</v>
      </c>
      <c r="E60" s="100">
        <v>10.31</v>
      </c>
      <c r="F60" s="152" t="s">
        <v>15</v>
      </c>
      <c r="G60" s="100">
        <v>67.02</v>
      </c>
      <c r="H60" s="100">
        <v>36.369999999999997</v>
      </c>
      <c r="I60" s="100">
        <v>8.14</v>
      </c>
      <c r="J60" s="100">
        <v>0.59</v>
      </c>
      <c r="K60" s="100">
        <v>269.45999999999998</v>
      </c>
      <c r="L60" s="100">
        <v>37.93</v>
      </c>
      <c r="M60" s="100">
        <v>14.51</v>
      </c>
      <c r="N60" s="100">
        <v>687.1</v>
      </c>
      <c r="O60" s="100">
        <v>0</v>
      </c>
      <c r="P60" s="100">
        <v>0.71</v>
      </c>
      <c r="Q60" s="100">
        <v>28.07</v>
      </c>
      <c r="R60" s="6"/>
      <c r="S60" s="6"/>
      <c r="T60" s="156"/>
      <c r="U60" s="6"/>
    </row>
    <row r="61" spans="1:21" customFormat="1">
      <c r="A61" s="163" t="s">
        <v>2691</v>
      </c>
      <c r="B61" s="100">
        <v>3.47</v>
      </c>
      <c r="C61" s="100">
        <v>16.670000000000002</v>
      </c>
      <c r="D61" s="100">
        <v>12.84</v>
      </c>
      <c r="E61" s="100">
        <v>10.09</v>
      </c>
      <c r="F61" s="152" t="s">
        <v>15</v>
      </c>
      <c r="G61" s="100">
        <v>63.29</v>
      </c>
      <c r="H61" s="100">
        <v>36.32</v>
      </c>
      <c r="I61" s="100">
        <v>8.06</v>
      </c>
      <c r="J61" s="100">
        <v>0.15</v>
      </c>
      <c r="K61" s="100">
        <v>205.58</v>
      </c>
      <c r="L61" s="100">
        <v>38.24</v>
      </c>
      <c r="M61" s="100">
        <v>14.37</v>
      </c>
      <c r="N61" s="100">
        <v>641.4</v>
      </c>
      <c r="O61" s="100">
        <v>0</v>
      </c>
      <c r="P61" s="100">
        <v>0.68</v>
      </c>
      <c r="Q61" s="100">
        <v>28.07</v>
      </c>
      <c r="R61" s="6"/>
      <c r="S61" s="6"/>
      <c r="T61" s="156"/>
      <c r="U61" s="6"/>
    </row>
    <row r="62" spans="1:21" customFormat="1">
      <c r="A62" s="163" t="s">
        <v>2692</v>
      </c>
      <c r="B62" s="100">
        <v>3.44</v>
      </c>
      <c r="C62" s="100">
        <v>15.64</v>
      </c>
      <c r="D62" s="100">
        <v>12.28</v>
      </c>
      <c r="E62" s="100">
        <v>11.57</v>
      </c>
      <c r="F62" s="152" t="s">
        <v>15</v>
      </c>
      <c r="G62" s="100">
        <v>63.29</v>
      </c>
      <c r="H62" s="100">
        <v>36.32</v>
      </c>
      <c r="I62" s="100">
        <v>7.82</v>
      </c>
      <c r="J62" s="100">
        <v>0.32</v>
      </c>
      <c r="K62" s="100">
        <v>214.96</v>
      </c>
      <c r="L62" s="100">
        <v>39.01</v>
      </c>
      <c r="M62" s="100">
        <v>13.43</v>
      </c>
      <c r="N62" s="100">
        <v>599.70000000000005</v>
      </c>
      <c r="O62" s="100">
        <v>0</v>
      </c>
      <c r="P62" s="100">
        <v>0.66</v>
      </c>
      <c r="Q62" s="100">
        <v>28.06</v>
      </c>
      <c r="R62" s="6"/>
      <c r="S62" s="6"/>
      <c r="T62" s="156"/>
      <c r="U62" s="6"/>
    </row>
    <row r="63" spans="1:21" customFormat="1">
      <c r="A63" s="163" t="s">
        <v>2693</v>
      </c>
      <c r="B63" s="100">
        <v>3.45</v>
      </c>
      <c r="C63" s="100">
        <v>15.45</v>
      </c>
      <c r="D63" s="100">
        <v>12.19</v>
      </c>
      <c r="E63" s="100">
        <v>11.44</v>
      </c>
      <c r="F63" s="152" t="s">
        <v>15</v>
      </c>
      <c r="G63" s="100">
        <v>63.29</v>
      </c>
      <c r="H63" s="100">
        <v>36.32</v>
      </c>
      <c r="I63" s="100">
        <v>7.65</v>
      </c>
      <c r="J63" s="100">
        <v>0.01</v>
      </c>
      <c r="K63" s="100">
        <v>273.85000000000002</v>
      </c>
      <c r="L63" s="100">
        <v>39.29</v>
      </c>
      <c r="M63" s="100">
        <v>12.29</v>
      </c>
      <c r="N63" s="100">
        <v>548.1</v>
      </c>
      <c r="O63" s="100">
        <v>0</v>
      </c>
      <c r="P63" s="100">
        <v>0.66</v>
      </c>
      <c r="Q63" s="100">
        <v>28.05</v>
      </c>
      <c r="R63" s="6"/>
      <c r="S63" s="6"/>
      <c r="T63" s="156"/>
      <c r="U63" s="6"/>
    </row>
    <row r="64" spans="1:21" customFormat="1">
      <c r="A64" s="163" t="s">
        <v>2694</v>
      </c>
      <c r="B64" s="100">
        <v>3.64</v>
      </c>
      <c r="C64" s="100">
        <v>16.62</v>
      </c>
      <c r="D64" s="100">
        <v>12.95</v>
      </c>
      <c r="E64" s="100">
        <v>15.88</v>
      </c>
      <c r="F64" s="152" t="s">
        <v>15</v>
      </c>
      <c r="G64" s="100">
        <v>64.38</v>
      </c>
      <c r="H64" s="100">
        <v>35.18</v>
      </c>
      <c r="I64" s="100">
        <v>7.27</v>
      </c>
      <c r="J64" s="100">
        <v>1.03</v>
      </c>
      <c r="K64" s="100">
        <v>337.78</v>
      </c>
      <c r="L64" s="100">
        <v>37.94</v>
      </c>
      <c r="M64" s="100">
        <v>11.3</v>
      </c>
      <c r="N64" s="100">
        <v>589.4</v>
      </c>
      <c r="O64" s="100">
        <v>0</v>
      </c>
      <c r="P64" s="100">
        <v>0.66</v>
      </c>
      <c r="Q64" s="100">
        <v>28.06</v>
      </c>
      <c r="R64" s="6"/>
      <c r="S64" s="6"/>
      <c r="T64" s="156"/>
      <c r="U64" s="6"/>
    </row>
    <row r="65" spans="1:21" customFormat="1">
      <c r="A65" s="163" t="s">
        <v>2695</v>
      </c>
      <c r="B65" s="100">
        <v>3.86</v>
      </c>
      <c r="C65" s="100">
        <v>16.84</v>
      </c>
      <c r="D65" s="100">
        <v>13.24</v>
      </c>
      <c r="E65" s="100">
        <v>14.68</v>
      </c>
      <c r="F65" s="152" t="s">
        <v>15</v>
      </c>
      <c r="G65" s="100">
        <v>64.78</v>
      </c>
      <c r="H65" s="100">
        <v>35.17</v>
      </c>
      <c r="I65" s="100">
        <v>7.25</v>
      </c>
      <c r="J65" s="100">
        <v>1.07</v>
      </c>
      <c r="K65" s="100">
        <v>343.23</v>
      </c>
      <c r="L65" s="100">
        <v>37.869999999999997</v>
      </c>
      <c r="M65" s="100">
        <v>8.75</v>
      </c>
      <c r="N65" s="100">
        <v>577.29999999999995</v>
      </c>
      <c r="O65" s="100">
        <v>0</v>
      </c>
      <c r="P65" s="100">
        <v>0.6</v>
      </c>
      <c r="Q65" s="100">
        <v>28.06</v>
      </c>
      <c r="R65" s="6"/>
      <c r="S65" s="6"/>
      <c r="T65" s="156"/>
      <c r="U65" s="6"/>
    </row>
    <row r="66" spans="1:21" customFormat="1">
      <c r="A66" s="163" t="s">
        <v>2696</v>
      </c>
      <c r="B66" s="100">
        <v>4.0199999999999996</v>
      </c>
      <c r="C66" s="100">
        <v>18.37</v>
      </c>
      <c r="D66" s="100">
        <v>14.17</v>
      </c>
      <c r="E66" s="100">
        <v>14.39</v>
      </c>
      <c r="F66" s="152" t="s">
        <v>15</v>
      </c>
      <c r="G66" s="100">
        <v>64.78</v>
      </c>
      <c r="H66" s="100">
        <v>35.17</v>
      </c>
      <c r="I66" s="100">
        <v>7.1</v>
      </c>
      <c r="J66" s="100">
        <v>0.74</v>
      </c>
      <c r="K66" s="100">
        <v>325.08</v>
      </c>
      <c r="L66" s="100">
        <v>38.22</v>
      </c>
      <c r="M66" s="100">
        <v>8.94</v>
      </c>
      <c r="N66" s="100">
        <v>566.6</v>
      </c>
      <c r="O66" s="100">
        <v>0</v>
      </c>
      <c r="P66" s="100">
        <v>0.63</v>
      </c>
      <c r="Q66" s="100">
        <v>28.06</v>
      </c>
      <c r="R66" s="6"/>
      <c r="S66" s="6"/>
      <c r="T66" s="156"/>
      <c r="U66" s="6"/>
    </row>
    <row r="67" spans="1:21" customFormat="1">
      <c r="A67" s="163" t="s">
        <v>2697</v>
      </c>
      <c r="B67" s="100">
        <v>3.79</v>
      </c>
      <c r="C67" s="100">
        <v>17.93</v>
      </c>
      <c r="D67" s="100">
        <v>13.76</v>
      </c>
      <c r="E67" s="100">
        <v>12.78</v>
      </c>
      <c r="F67" s="152" t="s">
        <v>15</v>
      </c>
      <c r="G67" s="100">
        <v>64.78</v>
      </c>
      <c r="H67" s="100">
        <v>35.17</v>
      </c>
      <c r="I67" s="100">
        <v>6.84</v>
      </c>
      <c r="J67" s="100">
        <v>1.07</v>
      </c>
      <c r="K67" s="100">
        <v>311.20999999999998</v>
      </c>
      <c r="L67" s="100">
        <v>38.08</v>
      </c>
      <c r="M67" s="100">
        <v>9.11</v>
      </c>
      <c r="N67" s="100">
        <v>474.7</v>
      </c>
      <c r="O67" s="100">
        <v>0</v>
      </c>
      <c r="P67" s="100">
        <v>0.64</v>
      </c>
      <c r="Q67" s="100">
        <v>28.07</v>
      </c>
      <c r="R67" s="6"/>
      <c r="S67" s="6"/>
      <c r="T67" s="156"/>
      <c r="U67" s="6"/>
    </row>
    <row r="68" spans="1:21" customFormat="1">
      <c r="A68" s="163" t="s">
        <v>2698</v>
      </c>
      <c r="B68" s="100">
        <v>3.88</v>
      </c>
      <c r="C68" s="100">
        <v>17.940000000000001</v>
      </c>
      <c r="D68" s="100">
        <v>13.83</v>
      </c>
      <c r="E68" s="100">
        <v>11.67</v>
      </c>
      <c r="F68" s="152" t="s">
        <v>15</v>
      </c>
      <c r="G68" s="100">
        <v>67.64</v>
      </c>
      <c r="H68" s="100">
        <v>33.21</v>
      </c>
      <c r="I68" s="100">
        <v>6.72</v>
      </c>
      <c r="J68" s="100">
        <v>0.57999999999999996</v>
      </c>
      <c r="K68" s="100">
        <v>322.93</v>
      </c>
      <c r="L68" s="100">
        <v>37.979999999999997</v>
      </c>
      <c r="M68" s="100">
        <v>8.7899999999999991</v>
      </c>
      <c r="N68" s="100">
        <v>492.5</v>
      </c>
      <c r="O68" s="100">
        <v>0</v>
      </c>
      <c r="P68" s="100">
        <v>0.61</v>
      </c>
      <c r="Q68" s="100">
        <v>28.06</v>
      </c>
      <c r="R68" s="6"/>
      <c r="S68" s="6"/>
      <c r="T68" s="156"/>
      <c r="U68" s="6"/>
    </row>
    <row r="69" spans="1:21" customFormat="1">
      <c r="A69" s="163" t="s">
        <v>2699</v>
      </c>
      <c r="B69" s="100">
        <v>4.57</v>
      </c>
      <c r="C69" s="100">
        <v>18.68</v>
      </c>
      <c r="D69" s="100">
        <v>14.78</v>
      </c>
      <c r="E69" s="100">
        <v>15.88</v>
      </c>
      <c r="F69" s="152" t="s">
        <v>15</v>
      </c>
      <c r="G69" s="100">
        <v>68.680000000000007</v>
      </c>
      <c r="H69" s="100">
        <v>33.18</v>
      </c>
      <c r="I69" s="100">
        <v>6.62</v>
      </c>
      <c r="J69" s="100">
        <v>1.06</v>
      </c>
      <c r="K69" s="100">
        <v>32.79</v>
      </c>
      <c r="L69" s="100">
        <v>38.24</v>
      </c>
      <c r="M69" s="100">
        <v>8.48</v>
      </c>
      <c r="N69" s="100">
        <v>461.8</v>
      </c>
      <c r="O69" s="100">
        <v>0</v>
      </c>
      <c r="P69" s="100">
        <v>0.6</v>
      </c>
      <c r="Q69" s="100">
        <v>28.06</v>
      </c>
      <c r="R69" s="6"/>
      <c r="S69" s="6"/>
      <c r="T69" s="156"/>
      <c r="U69" s="6"/>
    </row>
    <row r="70" spans="1:21" customFormat="1">
      <c r="A70" s="163" t="s">
        <v>2700</v>
      </c>
      <c r="B70" s="100">
        <v>4.26</v>
      </c>
      <c r="C70" s="100">
        <v>18.29</v>
      </c>
      <c r="D70" s="100">
        <v>14.32</v>
      </c>
      <c r="E70" s="100">
        <v>12.28</v>
      </c>
      <c r="F70" s="152" t="s">
        <v>15</v>
      </c>
      <c r="G70" s="100">
        <v>68.680000000000007</v>
      </c>
      <c r="H70" s="100">
        <v>33.18</v>
      </c>
      <c r="I70" s="100">
        <v>6.24</v>
      </c>
      <c r="J70" s="100">
        <v>0.94</v>
      </c>
      <c r="K70" s="100">
        <v>309.37</v>
      </c>
      <c r="L70" s="100">
        <v>38.18</v>
      </c>
      <c r="M70" s="100">
        <v>8.56</v>
      </c>
      <c r="N70" s="100">
        <v>441.8</v>
      </c>
      <c r="O70" s="100">
        <v>0</v>
      </c>
      <c r="P70" s="100">
        <v>0.61</v>
      </c>
      <c r="Q70" s="100">
        <v>28.07</v>
      </c>
      <c r="R70" s="6"/>
      <c r="S70" s="6"/>
      <c r="T70" s="156"/>
      <c r="U70" s="6"/>
    </row>
    <row r="71" spans="1:21" customFormat="1">
      <c r="A71" s="163" t="s">
        <v>2701</v>
      </c>
      <c r="B71" s="100">
        <v>4.2</v>
      </c>
      <c r="C71" s="100">
        <v>18.66</v>
      </c>
      <c r="D71" s="100">
        <v>14.46</v>
      </c>
      <c r="E71" s="100">
        <v>10.59</v>
      </c>
      <c r="F71" s="152" t="s">
        <v>15</v>
      </c>
      <c r="G71" s="100">
        <v>68.680000000000007</v>
      </c>
      <c r="H71" s="100">
        <v>33.18</v>
      </c>
      <c r="I71" s="100">
        <v>5.98</v>
      </c>
      <c r="J71" s="100">
        <v>0.87</v>
      </c>
      <c r="K71" s="100">
        <v>332.93</v>
      </c>
      <c r="L71" s="100">
        <v>38.090000000000003</v>
      </c>
      <c r="M71" s="100">
        <v>8.4700000000000006</v>
      </c>
      <c r="N71" s="100">
        <v>438</v>
      </c>
      <c r="O71" s="100">
        <v>0</v>
      </c>
      <c r="P71" s="100">
        <v>0.6</v>
      </c>
      <c r="Q71" s="100">
        <v>28.06</v>
      </c>
      <c r="R71" s="6"/>
      <c r="S71" s="6"/>
      <c r="T71" s="156"/>
      <c r="U71" s="6"/>
    </row>
    <row r="72" spans="1:21" customFormat="1">
      <c r="A72" s="163" t="s">
        <v>2702</v>
      </c>
      <c r="B72" s="100">
        <v>4.82</v>
      </c>
      <c r="C72" s="100">
        <v>19.09</v>
      </c>
      <c r="D72" s="100">
        <v>15.19</v>
      </c>
      <c r="E72" s="100">
        <v>16.34</v>
      </c>
      <c r="F72" s="152" t="s">
        <v>15</v>
      </c>
      <c r="G72" s="100">
        <v>59.91</v>
      </c>
      <c r="H72" s="100">
        <v>29.56</v>
      </c>
      <c r="I72" s="100">
        <v>6.07</v>
      </c>
      <c r="J72" s="100">
        <v>0.92</v>
      </c>
      <c r="K72" s="100">
        <v>29.45</v>
      </c>
      <c r="L72" s="100">
        <v>38.229999999999997</v>
      </c>
      <c r="M72" s="100">
        <v>8.39</v>
      </c>
      <c r="N72" s="100">
        <v>377.8</v>
      </c>
      <c r="O72" s="100">
        <v>0</v>
      </c>
      <c r="P72" s="100">
        <v>0.56999999999999995</v>
      </c>
      <c r="Q72" s="100">
        <v>28.06</v>
      </c>
      <c r="R72" s="6"/>
      <c r="S72" s="6"/>
      <c r="T72" s="156"/>
      <c r="U72" s="6"/>
    </row>
    <row r="73" spans="1:21" customFormat="1">
      <c r="A73" s="163" t="s">
        <v>2703</v>
      </c>
      <c r="B73" s="100">
        <v>6.27</v>
      </c>
      <c r="C73" s="100">
        <v>23</v>
      </c>
      <c r="D73" s="100">
        <v>18.399999999999999</v>
      </c>
      <c r="E73" s="100">
        <v>13.08</v>
      </c>
      <c r="F73" s="152" t="s">
        <v>15</v>
      </c>
      <c r="G73" s="100">
        <v>56.73</v>
      </c>
      <c r="H73" s="100">
        <v>29.51</v>
      </c>
      <c r="I73" s="100">
        <v>5.89</v>
      </c>
      <c r="J73" s="100">
        <v>0.61</v>
      </c>
      <c r="K73" s="100">
        <v>348.72</v>
      </c>
      <c r="L73" s="100">
        <v>37.89</v>
      </c>
      <c r="M73" s="100">
        <v>8.57</v>
      </c>
      <c r="N73" s="100">
        <v>141</v>
      </c>
      <c r="O73" s="100">
        <v>0</v>
      </c>
      <c r="P73" s="100">
        <v>0.57999999999999996</v>
      </c>
      <c r="Q73" s="100">
        <v>28.07</v>
      </c>
      <c r="R73" s="6"/>
      <c r="S73" s="6"/>
      <c r="T73" s="156"/>
      <c r="U73" s="6"/>
    </row>
    <row r="74" spans="1:21" customFormat="1">
      <c r="A74" s="163" t="s">
        <v>2704</v>
      </c>
      <c r="B74" s="100">
        <v>5.45</v>
      </c>
      <c r="C74" s="100">
        <v>20.66</v>
      </c>
      <c r="D74" s="100">
        <v>16.52</v>
      </c>
      <c r="E74" s="100">
        <v>11.69</v>
      </c>
      <c r="F74" s="152" t="s">
        <v>15</v>
      </c>
      <c r="G74" s="100">
        <v>56.73</v>
      </c>
      <c r="H74" s="100">
        <v>29.51</v>
      </c>
      <c r="I74" s="100">
        <v>5.63</v>
      </c>
      <c r="J74" s="100">
        <v>0.76</v>
      </c>
      <c r="K74" s="100">
        <v>31.24</v>
      </c>
      <c r="L74" s="100">
        <v>37.4</v>
      </c>
      <c r="M74" s="100">
        <v>8.5299999999999994</v>
      </c>
      <c r="N74" s="100">
        <v>108.2</v>
      </c>
      <c r="O74" s="100">
        <v>0</v>
      </c>
      <c r="P74" s="100">
        <v>0.56999999999999995</v>
      </c>
      <c r="Q74" s="100">
        <v>28.09</v>
      </c>
      <c r="R74" s="6"/>
      <c r="S74" s="6"/>
      <c r="T74" s="156"/>
      <c r="U74" s="6"/>
    </row>
    <row r="75" spans="1:21" customFormat="1">
      <c r="A75" s="163" t="s">
        <v>2705</v>
      </c>
      <c r="B75" s="100">
        <v>5.64</v>
      </c>
      <c r="C75" s="100">
        <v>20.76</v>
      </c>
      <c r="D75" s="100">
        <v>16.72</v>
      </c>
      <c r="E75" s="100">
        <v>13.16</v>
      </c>
      <c r="F75" s="152" t="s">
        <v>15</v>
      </c>
      <c r="G75" s="100">
        <v>56.73</v>
      </c>
      <c r="H75" s="100">
        <v>29.51</v>
      </c>
      <c r="I75" s="100">
        <v>5.61</v>
      </c>
      <c r="J75" s="100">
        <v>1.1399999999999999</v>
      </c>
      <c r="K75" s="100">
        <v>43.35</v>
      </c>
      <c r="L75" s="100">
        <v>37.08</v>
      </c>
      <c r="M75" s="100">
        <v>8.85</v>
      </c>
      <c r="N75" s="100">
        <v>120.7</v>
      </c>
      <c r="O75" s="100">
        <v>0</v>
      </c>
      <c r="P75" s="100">
        <v>0.56999999999999995</v>
      </c>
      <c r="Q75" s="100">
        <v>28.09</v>
      </c>
      <c r="R75" s="6"/>
      <c r="S75" s="6"/>
      <c r="T75" s="156"/>
      <c r="U75" s="6"/>
    </row>
    <row r="76" spans="1:21" customFormat="1">
      <c r="A76" s="163" t="s">
        <v>2706</v>
      </c>
      <c r="B76" s="100">
        <v>6.29</v>
      </c>
      <c r="C76" s="100">
        <v>25.29</v>
      </c>
      <c r="D76" s="100">
        <v>19.61</v>
      </c>
      <c r="E76" s="100">
        <v>18.73</v>
      </c>
      <c r="F76" s="152" t="s">
        <v>15</v>
      </c>
      <c r="G76" s="100">
        <v>50.26</v>
      </c>
      <c r="H76" s="100">
        <v>23.27</v>
      </c>
      <c r="I76" s="100">
        <v>5.45</v>
      </c>
      <c r="J76" s="100">
        <v>0.72</v>
      </c>
      <c r="K76" s="100">
        <v>40</v>
      </c>
      <c r="L76" s="100">
        <v>36.93</v>
      </c>
      <c r="M76" s="100">
        <v>9.31</v>
      </c>
      <c r="N76" s="100">
        <v>85</v>
      </c>
      <c r="O76" s="100">
        <v>0</v>
      </c>
      <c r="P76" s="100">
        <v>0.6</v>
      </c>
      <c r="Q76" s="100">
        <v>28.08</v>
      </c>
      <c r="R76" s="6"/>
      <c r="S76" s="6"/>
      <c r="T76" s="156"/>
      <c r="U76" s="6"/>
    </row>
    <row r="77" spans="1:21" customFormat="1">
      <c r="A77" s="163" t="s">
        <v>2707</v>
      </c>
      <c r="B77" s="100">
        <v>6.34</v>
      </c>
      <c r="C77" s="100">
        <v>25.5</v>
      </c>
      <c r="D77" s="100">
        <v>19.760000000000002</v>
      </c>
      <c r="E77" s="100">
        <v>16.260000000000002</v>
      </c>
      <c r="F77" s="152" t="s">
        <v>15</v>
      </c>
      <c r="G77" s="100">
        <v>47.91</v>
      </c>
      <c r="H77" s="100">
        <v>23.12</v>
      </c>
      <c r="I77" s="100">
        <v>5.37</v>
      </c>
      <c r="J77" s="100">
        <v>0.48</v>
      </c>
      <c r="K77" s="100">
        <v>62.67</v>
      </c>
      <c r="L77" s="100">
        <v>36.57</v>
      </c>
      <c r="M77" s="100">
        <v>10.5</v>
      </c>
      <c r="N77" s="100">
        <v>69.099999999999994</v>
      </c>
      <c r="O77" s="100">
        <v>0</v>
      </c>
      <c r="P77" s="100">
        <v>0.6</v>
      </c>
      <c r="Q77" s="100">
        <v>28.07</v>
      </c>
      <c r="R77" s="6"/>
      <c r="S77" s="6"/>
      <c r="T77" s="156"/>
      <c r="U77" s="6"/>
    </row>
    <row r="78" spans="1:21" customFormat="1">
      <c r="A78" s="163" t="s">
        <v>2708</v>
      </c>
      <c r="B78" s="100">
        <v>4.6900000000000004</v>
      </c>
      <c r="C78" s="100">
        <v>21.6</v>
      </c>
      <c r="D78" s="100">
        <v>16.399999999999999</v>
      </c>
      <c r="E78" s="100">
        <v>13.01</v>
      </c>
      <c r="F78" s="152" t="s">
        <v>15</v>
      </c>
      <c r="G78" s="100">
        <v>47.91</v>
      </c>
      <c r="H78" s="100">
        <v>23.12</v>
      </c>
      <c r="I78" s="100">
        <v>5.1100000000000003</v>
      </c>
      <c r="J78" s="100">
        <v>0.25</v>
      </c>
      <c r="K78" s="100">
        <v>85.45</v>
      </c>
      <c r="L78" s="100">
        <v>35.83</v>
      </c>
      <c r="M78" s="100">
        <v>11.99</v>
      </c>
      <c r="N78" s="100">
        <v>46.3</v>
      </c>
      <c r="O78" s="100">
        <v>0</v>
      </c>
      <c r="P78" s="100">
        <v>0.56999999999999995</v>
      </c>
      <c r="Q78" s="100">
        <v>28.08</v>
      </c>
      <c r="R78" s="6"/>
      <c r="S78" s="6"/>
      <c r="T78" s="156"/>
      <c r="U78" s="6"/>
    </row>
    <row r="79" spans="1:21" customFormat="1">
      <c r="A79" s="163" t="s">
        <v>2709</v>
      </c>
      <c r="B79" s="100">
        <v>4.16</v>
      </c>
      <c r="C79" s="100">
        <v>18.63</v>
      </c>
      <c r="D79" s="100">
        <v>14.42</v>
      </c>
      <c r="E79" s="100">
        <v>12.36</v>
      </c>
      <c r="F79" s="152" t="s">
        <v>15</v>
      </c>
      <c r="G79" s="100">
        <v>47.91</v>
      </c>
      <c r="H79" s="100">
        <v>23.12</v>
      </c>
      <c r="I79" s="100">
        <v>5.36</v>
      </c>
      <c r="J79" s="100">
        <v>0.21</v>
      </c>
      <c r="K79" s="100">
        <v>163.46</v>
      </c>
      <c r="L79" s="100">
        <v>34.659999999999997</v>
      </c>
      <c r="M79" s="100">
        <v>14.33</v>
      </c>
      <c r="N79" s="100">
        <v>32.1</v>
      </c>
      <c r="O79" s="100">
        <v>0</v>
      </c>
      <c r="P79" s="100">
        <v>0.56999999999999995</v>
      </c>
      <c r="Q79" s="100">
        <v>28.09</v>
      </c>
      <c r="R79" s="6"/>
      <c r="S79" s="6"/>
      <c r="T79" s="156"/>
      <c r="U79" s="6"/>
    </row>
    <row r="80" spans="1:21" customFormat="1">
      <c r="A80" s="163" t="s">
        <v>2710</v>
      </c>
      <c r="B80" s="100">
        <v>3.86</v>
      </c>
      <c r="C80" s="100">
        <v>18.66</v>
      </c>
      <c r="D80" s="100">
        <v>14.19</v>
      </c>
      <c r="E80" s="100">
        <v>12.56</v>
      </c>
      <c r="F80" s="152" t="s">
        <v>15</v>
      </c>
      <c r="G80" s="100">
        <v>47.95</v>
      </c>
      <c r="H80" s="100">
        <v>19.8</v>
      </c>
      <c r="I80" s="100">
        <v>5.32</v>
      </c>
      <c r="J80" s="100">
        <v>0.28000000000000003</v>
      </c>
      <c r="K80" s="100">
        <v>163.76</v>
      </c>
      <c r="L80" s="100">
        <v>33.520000000000003</v>
      </c>
      <c r="M80" s="100">
        <v>16.09</v>
      </c>
      <c r="N80" s="100">
        <v>18.7</v>
      </c>
      <c r="O80" s="100">
        <v>0</v>
      </c>
      <c r="P80" s="100">
        <v>0.61</v>
      </c>
      <c r="Q80" s="100">
        <v>28.1</v>
      </c>
      <c r="R80" s="6"/>
      <c r="S80" s="6"/>
      <c r="T80" s="156"/>
      <c r="U80" s="6"/>
    </row>
    <row r="81" spans="1:21" customFormat="1">
      <c r="A81" s="163" t="s">
        <v>2711</v>
      </c>
      <c r="B81" s="100">
        <v>3.82</v>
      </c>
      <c r="C81" s="100">
        <v>18.600000000000001</v>
      </c>
      <c r="D81" s="100">
        <v>14.13</v>
      </c>
      <c r="E81" s="100">
        <v>8.0299999999999994</v>
      </c>
      <c r="F81" s="152" t="s">
        <v>15</v>
      </c>
      <c r="G81" s="100">
        <v>47.97</v>
      </c>
      <c r="H81" s="100">
        <v>19.75</v>
      </c>
      <c r="I81" s="100">
        <v>5.47</v>
      </c>
      <c r="J81" s="100">
        <v>0.24</v>
      </c>
      <c r="K81" s="100">
        <v>165.95</v>
      </c>
      <c r="L81" s="100">
        <v>32.21</v>
      </c>
      <c r="M81" s="100">
        <v>18.66</v>
      </c>
      <c r="N81" s="100">
        <v>10</v>
      </c>
      <c r="O81" s="100">
        <v>0</v>
      </c>
      <c r="P81" s="100">
        <v>0.6</v>
      </c>
      <c r="Q81" s="100">
        <v>28.09</v>
      </c>
      <c r="R81" s="6"/>
      <c r="S81" s="6"/>
      <c r="T81" s="156"/>
      <c r="U81" s="6"/>
    </row>
    <row r="82" spans="1:21" customFormat="1">
      <c r="A82" s="163" t="s">
        <v>2712</v>
      </c>
      <c r="B82" s="100">
        <v>3.76</v>
      </c>
      <c r="C82" s="100">
        <v>17.239999999999998</v>
      </c>
      <c r="D82" s="100">
        <v>13.38</v>
      </c>
      <c r="E82" s="100">
        <v>9.99</v>
      </c>
      <c r="F82" s="152" t="s">
        <v>15</v>
      </c>
      <c r="G82" s="100">
        <v>47.97</v>
      </c>
      <c r="H82" s="100">
        <v>19.75</v>
      </c>
      <c r="I82" s="100">
        <v>5.84</v>
      </c>
      <c r="J82" s="100">
        <v>0.26</v>
      </c>
      <c r="K82" s="100">
        <v>154.94999999999999</v>
      </c>
      <c r="L82" s="100">
        <v>31.43</v>
      </c>
      <c r="M82" s="100">
        <v>20.96</v>
      </c>
      <c r="N82" s="100">
        <v>6.7</v>
      </c>
      <c r="O82" s="100">
        <v>0</v>
      </c>
      <c r="P82" s="100">
        <v>0.6</v>
      </c>
      <c r="Q82" s="100">
        <v>28.09</v>
      </c>
      <c r="R82" s="6"/>
      <c r="S82" s="6"/>
      <c r="T82" s="156"/>
      <c r="U82" s="6"/>
    </row>
    <row r="83" spans="1:21" customFormat="1">
      <c r="A83" s="163" t="s">
        <v>2713</v>
      </c>
      <c r="B83" s="100">
        <v>3.82</v>
      </c>
      <c r="C83" s="100">
        <v>17.09</v>
      </c>
      <c r="D83" s="100">
        <v>13.34</v>
      </c>
      <c r="E83" s="100">
        <v>10.33</v>
      </c>
      <c r="F83" s="152" t="s">
        <v>15</v>
      </c>
      <c r="G83" s="100">
        <v>47.97</v>
      </c>
      <c r="H83" s="100">
        <v>19.75</v>
      </c>
      <c r="I83" s="100">
        <v>5.92</v>
      </c>
      <c r="J83" s="100">
        <v>0.32</v>
      </c>
      <c r="K83" s="100">
        <v>164.64</v>
      </c>
      <c r="L83" s="100">
        <v>30.92</v>
      </c>
      <c r="M83" s="100">
        <v>21.75</v>
      </c>
      <c r="N83" s="100">
        <v>6.1</v>
      </c>
      <c r="O83" s="100">
        <v>0</v>
      </c>
      <c r="P83" s="100">
        <v>0.59</v>
      </c>
      <c r="Q83" s="100">
        <v>28.13</v>
      </c>
      <c r="R83" s="6"/>
      <c r="S83" s="6"/>
      <c r="T83" s="156"/>
      <c r="U83" s="6"/>
    </row>
    <row r="84" spans="1:21" customFormat="1">
      <c r="A84" s="163" t="s">
        <v>2714</v>
      </c>
      <c r="B84" s="100">
        <v>3.98</v>
      </c>
      <c r="C84" s="100">
        <v>17.36</v>
      </c>
      <c r="D84" s="100">
        <v>13.61</v>
      </c>
      <c r="E84" s="100">
        <v>9.1999999999999993</v>
      </c>
      <c r="F84" s="152" t="s">
        <v>15</v>
      </c>
      <c r="G84" s="100">
        <v>58.19</v>
      </c>
      <c r="H84" s="100">
        <v>19.739999999999998</v>
      </c>
      <c r="I84" s="100">
        <v>5.74</v>
      </c>
      <c r="J84" s="100">
        <v>0.25</v>
      </c>
      <c r="K84" s="100">
        <v>191.84</v>
      </c>
      <c r="L84" s="100">
        <v>29.94</v>
      </c>
      <c r="M84" s="100">
        <v>25.62</v>
      </c>
      <c r="N84" s="100">
        <v>6.5</v>
      </c>
      <c r="O84" s="100">
        <v>0</v>
      </c>
      <c r="P84" s="100">
        <v>0.63</v>
      </c>
      <c r="Q84" s="100">
        <v>28.1</v>
      </c>
      <c r="R84" s="6"/>
      <c r="S84" s="6"/>
      <c r="T84" s="156"/>
      <c r="U84" s="6"/>
    </row>
    <row r="85" spans="1:21" customFormat="1">
      <c r="A85" s="163" t="s">
        <v>2715</v>
      </c>
      <c r="B85" s="100">
        <v>4.18</v>
      </c>
      <c r="C85" s="100">
        <v>17.48</v>
      </c>
      <c r="D85" s="100">
        <v>13.84</v>
      </c>
      <c r="E85" s="100">
        <v>8.82</v>
      </c>
      <c r="F85" s="152" t="s">
        <v>15</v>
      </c>
      <c r="G85" s="100">
        <v>61.91</v>
      </c>
      <c r="H85" s="100">
        <v>19.739999999999998</v>
      </c>
      <c r="I85" s="100">
        <v>5.84</v>
      </c>
      <c r="J85" s="100">
        <v>0.18</v>
      </c>
      <c r="K85" s="100">
        <v>193.26</v>
      </c>
      <c r="L85" s="100">
        <v>28.88</v>
      </c>
      <c r="M85" s="100">
        <v>28.36</v>
      </c>
      <c r="N85" s="100">
        <v>6.4</v>
      </c>
      <c r="O85" s="100">
        <v>0</v>
      </c>
      <c r="P85" s="100">
        <v>0.64</v>
      </c>
      <c r="Q85" s="100">
        <v>28.1</v>
      </c>
      <c r="R85" s="6"/>
      <c r="S85" s="6"/>
      <c r="T85" s="156"/>
      <c r="U85" s="6"/>
    </row>
    <row r="86" spans="1:21" customFormat="1">
      <c r="A86" s="163" t="s">
        <v>2716</v>
      </c>
      <c r="B86" s="100">
        <v>4.43</v>
      </c>
      <c r="C86" s="100">
        <v>16.690000000000001</v>
      </c>
      <c r="D86" s="100">
        <v>13.62</v>
      </c>
      <c r="E86" s="100">
        <v>9.14</v>
      </c>
      <c r="F86" s="152" t="s">
        <v>15</v>
      </c>
      <c r="G86" s="100">
        <v>61.91</v>
      </c>
      <c r="H86" s="100">
        <v>19.739999999999998</v>
      </c>
      <c r="I86" s="100">
        <v>6.15</v>
      </c>
      <c r="J86" s="100">
        <v>0.12</v>
      </c>
      <c r="K86" s="100">
        <v>208.04</v>
      </c>
      <c r="L86" s="100">
        <v>28.72</v>
      </c>
      <c r="M86" s="100">
        <v>27.16</v>
      </c>
      <c r="N86" s="100">
        <v>5.7</v>
      </c>
      <c r="O86" s="100">
        <v>0</v>
      </c>
      <c r="P86" s="100">
        <v>0.62</v>
      </c>
      <c r="Q86" s="100">
        <v>28.1</v>
      </c>
      <c r="R86" s="6"/>
      <c r="S86" s="6"/>
      <c r="T86" s="156"/>
      <c r="U86" s="6"/>
    </row>
    <row r="87" spans="1:21" customFormat="1">
      <c r="A87" s="163" t="s">
        <v>2717</v>
      </c>
      <c r="B87" s="100">
        <v>4.76</v>
      </c>
      <c r="C87" s="100">
        <v>16.350000000000001</v>
      </c>
      <c r="D87" s="100">
        <v>13.71</v>
      </c>
      <c r="E87" s="100">
        <v>9.24</v>
      </c>
      <c r="F87" s="152" t="s">
        <v>15</v>
      </c>
      <c r="G87" s="100">
        <v>61.91</v>
      </c>
      <c r="H87" s="100">
        <v>19.739999999999998</v>
      </c>
      <c r="I87" s="100">
        <v>6.34</v>
      </c>
      <c r="J87" s="100">
        <v>0.21</v>
      </c>
      <c r="K87" s="100">
        <v>145.18</v>
      </c>
      <c r="L87" s="100">
        <v>28.7</v>
      </c>
      <c r="M87" s="100">
        <v>28.59</v>
      </c>
      <c r="N87" s="100">
        <v>5.6</v>
      </c>
      <c r="O87" s="100">
        <v>0</v>
      </c>
      <c r="P87" s="100">
        <v>0.65</v>
      </c>
      <c r="Q87" s="100">
        <v>28.1</v>
      </c>
      <c r="R87" s="6"/>
      <c r="S87" s="6"/>
      <c r="T87" s="156"/>
      <c r="U87" s="6"/>
    </row>
    <row r="88" spans="1:21" customFormat="1">
      <c r="A88" s="163" t="s">
        <v>2718</v>
      </c>
      <c r="B88" s="100">
        <v>4.79</v>
      </c>
      <c r="C88" s="100">
        <v>16.41</v>
      </c>
      <c r="D88" s="100">
        <v>13.77</v>
      </c>
      <c r="E88" s="100">
        <v>9.1999999999999993</v>
      </c>
      <c r="F88" s="152" t="s">
        <v>15</v>
      </c>
      <c r="G88" s="100">
        <v>66.22</v>
      </c>
      <c r="H88" s="100">
        <v>24.97</v>
      </c>
      <c r="I88" s="100">
        <v>6.31</v>
      </c>
      <c r="J88" s="100">
        <v>0.16</v>
      </c>
      <c r="K88" s="100">
        <v>185.46</v>
      </c>
      <c r="L88" s="100">
        <v>28.34</v>
      </c>
      <c r="M88" s="100">
        <v>30.03</v>
      </c>
      <c r="N88" s="100">
        <v>5.7</v>
      </c>
      <c r="O88" s="100">
        <v>0</v>
      </c>
      <c r="P88" s="100">
        <v>0.67</v>
      </c>
      <c r="Q88" s="100">
        <v>28.12</v>
      </c>
      <c r="R88" s="6"/>
      <c r="S88" s="6"/>
      <c r="T88" s="156"/>
      <c r="U88" s="6"/>
    </row>
    <row r="89" spans="1:21" customFormat="1">
      <c r="A89" s="163" t="s">
        <v>2719</v>
      </c>
      <c r="B89" s="100">
        <v>4.5999999999999996</v>
      </c>
      <c r="C89" s="100">
        <v>16.71</v>
      </c>
      <c r="D89" s="100">
        <v>13.77</v>
      </c>
      <c r="E89" s="100">
        <v>8.39</v>
      </c>
      <c r="F89" s="152" t="s">
        <v>15</v>
      </c>
      <c r="G89" s="100">
        <v>67.790000000000006</v>
      </c>
      <c r="H89" s="100">
        <v>25.05</v>
      </c>
      <c r="I89" s="100">
        <v>6.58</v>
      </c>
      <c r="J89" s="100">
        <v>0.19</v>
      </c>
      <c r="K89" s="100">
        <v>186.65</v>
      </c>
      <c r="L89" s="100">
        <v>28.12</v>
      </c>
      <c r="M89" s="100">
        <v>31.31</v>
      </c>
      <c r="N89" s="100">
        <v>5.7</v>
      </c>
      <c r="O89" s="100">
        <v>0</v>
      </c>
      <c r="P89" s="100">
        <v>0.68</v>
      </c>
      <c r="Q89" s="100">
        <v>28.11</v>
      </c>
      <c r="R89" s="6"/>
      <c r="S89" s="6"/>
      <c r="T89" s="156"/>
      <c r="U89" s="6"/>
    </row>
    <row r="90" spans="1:21" customFormat="1">
      <c r="A90" s="163" t="s">
        <v>2720</v>
      </c>
      <c r="B90" s="100">
        <v>4.3499999999999996</v>
      </c>
      <c r="C90" s="100">
        <v>16.89</v>
      </c>
      <c r="D90" s="100">
        <v>13.66</v>
      </c>
      <c r="E90" s="100">
        <v>8.17</v>
      </c>
      <c r="F90" s="152" t="s">
        <v>15</v>
      </c>
      <c r="G90" s="100">
        <v>67.790000000000006</v>
      </c>
      <c r="H90" s="100">
        <v>25.05</v>
      </c>
      <c r="I90" s="100">
        <v>6.72</v>
      </c>
      <c r="J90" s="100">
        <v>0.23</v>
      </c>
      <c r="K90" s="100">
        <v>167.05</v>
      </c>
      <c r="L90" s="100">
        <v>27.79</v>
      </c>
      <c r="M90" s="100">
        <v>32.93</v>
      </c>
      <c r="N90" s="100">
        <v>5.8</v>
      </c>
      <c r="O90" s="100">
        <v>0</v>
      </c>
      <c r="P90" s="100">
        <v>0.69</v>
      </c>
      <c r="Q90" s="100">
        <v>28.08</v>
      </c>
      <c r="R90" s="6"/>
      <c r="S90" s="6"/>
      <c r="T90" s="156"/>
      <c r="U90" s="6"/>
    </row>
    <row r="91" spans="1:21" customFormat="1">
      <c r="A91" s="163" t="s">
        <v>2721</v>
      </c>
      <c r="B91" s="100">
        <v>4.21</v>
      </c>
      <c r="C91" s="100">
        <v>16.98</v>
      </c>
      <c r="D91" s="100">
        <v>13.6</v>
      </c>
      <c r="E91" s="100">
        <v>8.2799999999999994</v>
      </c>
      <c r="F91" s="152" t="s">
        <v>15</v>
      </c>
      <c r="G91" s="100">
        <v>67.790000000000006</v>
      </c>
      <c r="H91" s="100">
        <v>25.05</v>
      </c>
      <c r="I91" s="100">
        <v>6.73</v>
      </c>
      <c r="J91" s="100">
        <v>0.27</v>
      </c>
      <c r="K91" s="100">
        <v>162.51</v>
      </c>
      <c r="L91" s="100">
        <v>27.55</v>
      </c>
      <c r="M91" s="100">
        <v>33.72</v>
      </c>
      <c r="N91" s="100">
        <v>5.8</v>
      </c>
      <c r="O91" s="100">
        <v>0</v>
      </c>
      <c r="P91" s="100">
        <v>0.71</v>
      </c>
      <c r="Q91" s="100">
        <v>28.07</v>
      </c>
      <c r="R91" s="6"/>
      <c r="S91" s="6"/>
      <c r="T91" s="156"/>
      <c r="U91" s="6"/>
    </row>
    <row r="92" spans="1:21" customFormat="1">
      <c r="A92" s="163" t="s">
        <v>2722</v>
      </c>
      <c r="B92" s="100">
        <v>4.0999999999999996</v>
      </c>
      <c r="C92" s="100">
        <v>16.82</v>
      </c>
      <c r="D92" s="100">
        <v>13.43</v>
      </c>
      <c r="E92" s="100">
        <v>8.6199999999999992</v>
      </c>
      <c r="F92" s="152" t="s">
        <v>15</v>
      </c>
      <c r="G92" s="100">
        <v>72.03</v>
      </c>
      <c r="H92" s="100">
        <v>24.75</v>
      </c>
      <c r="I92" s="100">
        <v>6.94</v>
      </c>
      <c r="J92" s="100">
        <v>0.25</v>
      </c>
      <c r="K92" s="100">
        <v>170.18</v>
      </c>
      <c r="L92" s="100">
        <v>27.17</v>
      </c>
      <c r="M92" s="100">
        <v>34.79</v>
      </c>
      <c r="N92" s="100">
        <v>5.7</v>
      </c>
      <c r="O92" s="100">
        <v>0</v>
      </c>
      <c r="P92" s="100">
        <v>0.72</v>
      </c>
      <c r="Q92" s="100">
        <v>28.08</v>
      </c>
      <c r="R92" s="6"/>
      <c r="S92" s="6"/>
      <c r="T92" s="156"/>
      <c r="U92" s="6"/>
    </row>
    <row r="93" spans="1:21" customFormat="1">
      <c r="A93" s="163" t="s">
        <v>2723</v>
      </c>
      <c r="B93" s="100">
        <v>4.12</v>
      </c>
      <c r="C93" s="100">
        <v>16.91</v>
      </c>
      <c r="D93" s="100">
        <v>13.49</v>
      </c>
      <c r="E93" s="100">
        <v>7.93</v>
      </c>
      <c r="F93" s="152" t="s">
        <v>15</v>
      </c>
      <c r="G93" s="100">
        <v>73.569999999999993</v>
      </c>
      <c r="H93" s="100">
        <v>24.75</v>
      </c>
      <c r="I93" s="100">
        <v>7.19</v>
      </c>
      <c r="J93" s="100">
        <v>0.3</v>
      </c>
      <c r="K93" s="100">
        <v>158.13</v>
      </c>
      <c r="L93" s="100">
        <v>26.99</v>
      </c>
      <c r="M93" s="100">
        <v>35.06</v>
      </c>
      <c r="N93" s="100">
        <v>5.7</v>
      </c>
      <c r="O93" s="100">
        <v>0</v>
      </c>
      <c r="P93" s="100">
        <v>0.72</v>
      </c>
      <c r="Q93" s="100">
        <v>28.08</v>
      </c>
      <c r="R93" s="6"/>
      <c r="S93" s="6"/>
      <c r="T93" s="156"/>
      <c r="U93" s="6"/>
    </row>
    <row r="94" spans="1:21" customFormat="1">
      <c r="A94" s="163" t="s">
        <v>2724</v>
      </c>
      <c r="B94" s="100">
        <v>4.07</v>
      </c>
      <c r="C94" s="100">
        <v>16.899999999999999</v>
      </c>
      <c r="D94" s="100">
        <v>13.44</v>
      </c>
      <c r="E94" s="100">
        <v>7.98</v>
      </c>
      <c r="F94" s="152" t="s">
        <v>15</v>
      </c>
      <c r="G94" s="100">
        <v>73.569999999999993</v>
      </c>
      <c r="H94" s="100">
        <v>24.75</v>
      </c>
      <c r="I94" s="100">
        <v>7.49</v>
      </c>
      <c r="J94" s="100">
        <v>0.32</v>
      </c>
      <c r="K94" s="100">
        <v>156.68</v>
      </c>
      <c r="L94" s="100">
        <v>27.04</v>
      </c>
      <c r="M94" s="100">
        <v>35.36</v>
      </c>
      <c r="N94" s="100">
        <v>5.7</v>
      </c>
      <c r="O94" s="100">
        <v>0</v>
      </c>
      <c r="P94" s="100">
        <v>0.74</v>
      </c>
      <c r="Q94" s="100">
        <v>28.09</v>
      </c>
      <c r="R94" s="6"/>
      <c r="S94" s="6"/>
      <c r="T94" s="156"/>
      <c r="U94" s="6"/>
    </row>
    <row r="95" spans="1:21" customFormat="1">
      <c r="A95" s="163" t="s">
        <v>2725</v>
      </c>
      <c r="B95" s="100">
        <v>4.05</v>
      </c>
      <c r="C95" s="100">
        <v>16.829999999999998</v>
      </c>
      <c r="D95" s="100">
        <v>13.39</v>
      </c>
      <c r="E95" s="100">
        <v>7.78</v>
      </c>
      <c r="F95" s="152" t="s">
        <v>15</v>
      </c>
      <c r="G95" s="100">
        <v>73.569999999999993</v>
      </c>
      <c r="H95" s="100">
        <v>24.75</v>
      </c>
      <c r="I95" s="100">
        <v>7.55</v>
      </c>
      <c r="J95" s="100">
        <v>0.24</v>
      </c>
      <c r="K95" s="100">
        <v>172.55</v>
      </c>
      <c r="L95" s="100">
        <v>26.86</v>
      </c>
      <c r="M95" s="100">
        <v>36.33</v>
      </c>
      <c r="N95" s="100">
        <v>5.8</v>
      </c>
      <c r="O95" s="100">
        <v>0</v>
      </c>
      <c r="P95" s="100">
        <v>0.75</v>
      </c>
      <c r="Q95" s="100">
        <v>28.09</v>
      </c>
      <c r="R95" s="6"/>
      <c r="S95" s="6"/>
      <c r="T95" s="156"/>
      <c r="U95" s="6"/>
    </row>
    <row r="96" spans="1:21" customFormat="1">
      <c r="A96" s="163" t="s">
        <v>2726</v>
      </c>
      <c r="B96" s="100">
        <v>4.05</v>
      </c>
      <c r="C96" s="100">
        <v>17.18</v>
      </c>
      <c r="D96" s="100">
        <v>13.57</v>
      </c>
      <c r="E96" s="100">
        <v>8.27</v>
      </c>
      <c r="F96" s="152" t="s">
        <v>15</v>
      </c>
      <c r="G96" s="100">
        <v>73.98</v>
      </c>
      <c r="H96" s="100">
        <v>27.34</v>
      </c>
      <c r="I96" s="100">
        <v>7.68</v>
      </c>
      <c r="J96" s="100">
        <v>0.12</v>
      </c>
      <c r="K96" s="100">
        <v>175.07</v>
      </c>
      <c r="L96" s="100">
        <v>26.44</v>
      </c>
      <c r="M96" s="100">
        <v>36.020000000000003</v>
      </c>
      <c r="N96" s="100">
        <v>5.7</v>
      </c>
      <c r="O96" s="100">
        <v>0</v>
      </c>
      <c r="P96" s="100">
        <v>0.75</v>
      </c>
      <c r="Q96" s="100">
        <v>28.09</v>
      </c>
      <c r="R96" s="6"/>
      <c r="S96" s="6"/>
      <c r="T96" s="156"/>
      <c r="U96" s="6"/>
    </row>
    <row r="97" spans="1:28" customFormat="1">
      <c r="A97" s="163" t="s">
        <v>2727</v>
      </c>
      <c r="B97" s="100">
        <v>4.0999999999999996</v>
      </c>
      <c r="C97" s="100">
        <v>17.68</v>
      </c>
      <c r="D97" s="100">
        <v>13.88</v>
      </c>
      <c r="E97" s="100">
        <v>8.2100000000000009</v>
      </c>
      <c r="F97" s="152" t="s">
        <v>15</v>
      </c>
      <c r="G97" s="100">
        <v>74.13</v>
      </c>
      <c r="H97" s="100">
        <v>27.38</v>
      </c>
      <c r="I97" s="100">
        <v>7.78</v>
      </c>
      <c r="J97" s="100">
        <v>0.2</v>
      </c>
      <c r="K97" s="100">
        <v>180.32</v>
      </c>
      <c r="L97" s="100">
        <v>26.38</v>
      </c>
      <c r="M97" s="100">
        <v>36.35</v>
      </c>
      <c r="N97" s="100">
        <v>5.8</v>
      </c>
      <c r="O97" s="100">
        <v>0</v>
      </c>
      <c r="P97" s="100">
        <v>0.74</v>
      </c>
      <c r="Q97" s="100">
        <v>28.09</v>
      </c>
      <c r="R97" s="6"/>
      <c r="S97" s="6"/>
      <c r="T97" s="156"/>
      <c r="U97" s="6"/>
    </row>
    <row r="98" spans="1:28" customFormat="1">
      <c r="A98" s="163" t="s">
        <v>2728</v>
      </c>
      <c r="B98" s="100">
        <v>4.1399999999999997</v>
      </c>
      <c r="C98" s="100">
        <v>17.829999999999998</v>
      </c>
      <c r="D98" s="100">
        <v>13.99</v>
      </c>
      <c r="E98" s="100">
        <v>7.99</v>
      </c>
      <c r="F98" s="152" t="s">
        <v>15</v>
      </c>
      <c r="G98" s="100">
        <v>74.13</v>
      </c>
      <c r="H98" s="100">
        <v>27.38</v>
      </c>
      <c r="I98" s="100">
        <v>7.81</v>
      </c>
      <c r="J98" s="100">
        <v>0.14000000000000001</v>
      </c>
      <c r="K98" s="100">
        <v>212.8</v>
      </c>
      <c r="L98" s="100">
        <v>25.86</v>
      </c>
      <c r="M98" s="100">
        <v>38.04</v>
      </c>
      <c r="N98" s="100">
        <v>6</v>
      </c>
      <c r="O98" s="100">
        <v>0</v>
      </c>
      <c r="P98" s="100">
        <v>0.74</v>
      </c>
      <c r="Q98" s="100">
        <v>28.09</v>
      </c>
      <c r="R98" s="6"/>
      <c r="S98" s="6"/>
      <c r="T98" s="156"/>
      <c r="U98" s="6"/>
    </row>
    <row r="99" spans="1:28" customFormat="1">
      <c r="A99" s="163" t="s">
        <v>2729</v>
      </c>
      <c r="B99" s="100">
        <v>4.17</v>
      </c>
      <c r="C99" s="100">
        <v>17.79</v>
      </c>
      <c r="D99" s="100">
        <v>13.99</v>
      </c>
      <c r="E99" s="100">
        <v>7.97</v>
      </c>
      <c r="F99" s="152" t="s">
        <v>15</v>
      </c>
      <c r="G99" s="100">
        <v>74.13</v>
      </c>
      <c r="H99" s="100">
        <v>27.38</v>
      </c>
      <c r="I99" s="100">
        <v>7.75</v>
      </c>
      <c r="J99" s="100">
        <v>0.15</v>
      </c>
      <c r="K99" s="100">
        <v>183.19</v>
      </c>
      <c r="L99" s="100">
        <v>25.53</v>
      </c>
      <c r="M99" s="100">
        <v>40.15</v>
      </c>
      <c r="N99" s="100">
        <v>5.8</v>
      </c>
      <c r="O99" s="100">
        <v>0</v>
      </c>
      <c r="P99" s="100">
        <v>0.74</v>
      </c>
      <c r="Q99" s="100">
        <v>28.08</v>
      </c>
      <c r="R99" s="6"/>
      <c r="S99" s="6"/>
      <c r="T99" s="156"/>
      <c r="U99" s="6"/>
    </row>
    <row r="100" spans="1:28" customFormat="1">
      <c r="A100" s="163" t="s">
        <v>2730</v>
      </c>
      <c r="B100" s="100">
        <v>4.29</v>
      </c>
      <c r="C100" s="100">
        <v>17.760000000000002</v>
      </c>
      <c r="D100" s="100">
        <v>14.06</v>
      </c>
      <c r="E100" s="100">
        <v>8.2899999999999991</v>
      </c>
      <c r="F100" s="152" t="s">
        <v>15</v>
      </c>
      <c r="G100" s="100">
        <v>69.61</v>
      </c>
      <c r="H100" s="100">
        <v>28.96</v>
      </c>
      <c r="I100" s="100">
        <v>7.78</v>
      </c>
      <c r="J100" s="100">
        <v>0.26</v>
      </c>
      <c r="K100" s="100">
        <v>163.63999999999999</v>
      </c>
      <c r="L100" s="100">
        <v>25.48</v>
      </c>
      <c r="M100" s="100">
        <v>40.49</v>
      </c>
      <c r="N100" s="100">
        <v>5.8</v>
      </c>
      <c r="O100" s="100">
        <v>0</v>
      </c>
      <c r="P100" s="100">
        <v>0.74</v>
      </c>
      <c r="Q100" s="100">
        <v>28.08</v>
      </c>
      <c r="R100" s="6"/>
      <c r="S100" s="6"/>
      <c r="T100" s="156"/>
      <c r="U100" s="6"/>
      <c r="AB100" s="161"/>
    </row>
    <row r="101" spans="1:28" customFormat="1">
      <c r="A101" s="163" t="s">
        <v>2731</v>
      </c>
      <c r="B101" s="100">
        <v>4.3099999999999996</v>
      </c>
      <c r="C101" s="100">
        <v>17.760000000000002</v>
      </c>
      <c r="D101" s="100">
        <v>14.09</v>
      </c>
      <c r="E101" s="100">
        <v>7.79</v>
      </c>
      <c r="F101" s="152" t="s">
        <v>15</v>
      </c>
      <c r="G101" s="100">
        <v>67.959999999999994</v>
      </c>
      <c r="H101" s="100">
        <v>29</v>
      </c>
      <c r="I101" s="100">
        <v>7.75</v>
      </c>
      <c r="J101" s="100">
        <v>0.25</v>
      </c>
      <c r="K101" s="100">
        <v>172.58</v>
      </c>
      <c r="L101" s="100">
        <v>25.26</v>
      </c>
      <c r="M101" s="100">
        <v>41.41</v>
      </c>
      <c r="N101" s="100">
        <v>5.8</v>
      </c>
      <c r="O101" s="100">
        <v>0</v>
      </c>
      <c r="P101" s="100">
        <v>0.74</v>
      </c>
      <c r="Q101" s="100">
        <v>28.08</v>
      </c>
      <c r="R101" s="6"/>
      <c r="S101" s="6"/>
      <c r="T101" s="156"/>
      <c r="U101" s="6"/>
    </row>
    <row r="102" spans="1:28" customFormat="1">
      <c r="A102" s="163" t="s">
        <v>2732</v>
      </c>
      <c r="B102" s="100">
        <v>4.3600000000000003</v>
      </c>
      <c r="C102" s="100">
        <v>17.64</v>
      </c>
      <c r="D102" s="100">
        <v>14.06</v>
      </c>
      <c r="E102" s="100">
        <v>8.0299999999999994</v>
      </c>
      <c r="F102" s="152" t="s">
        <v>15</v>
      </c>
      <c r="G102" s="100">
        <v>67.959999999999994</v>
      </c>
      <c r="H102" s="100">
        <v>29</v>
      </c>
      <c r="I102" s="100">
        <v>7.78</v>
      </c>
      <c r="J102" s="100">
        <v>0.14000000000000001</v>
      </c>
      <c r="K102" s="100">
        <v>164.62</v>
      </c>
      <c r="L102" s="100">
        <v>24.96</v>
      </c>
      <c r="M102" s="100">
        <v>43.06</v>
      </c>
      <c r="N102" s="100">
        <v>6</v>
      </c>
      <c r="O102" s="100">
        <v>0</v>
      </c>
      <c r="P102" s="100">
        <v>0.75</v>
      </c>
      <c r="Q102" s="100">
        <v>28.08</v>
      </c>
      <c r="R102" s="6"/>
      <c r="S102" s="6"/>
      <c r="T102" s="156"/>
      <c r="U102" s="6"/>
    </row>
    <row r="103" spans="1:28" customFormat="1">
      <c r="A103" s="163" t="s">
        <v>2733</v>
      </c>
      <c r="B103" s="100">
        <v>4.4000000000000004</v>
      </c>
      <c r="C103" s="100">
        <v>17.36</v>
      </c>
      <c r="D103" s="100">
        <v>13.95</v>
      </c>
      <c r="E103" s="100">
        <v>8.26</v>
      </c>
      <c r="F103" s="152" t="s">
        <v>15</v>
      </c>
      <c r="G103" s="100">
        <v>67.959999999999994</v>
      </c>
      <c r="H103" s="100">
        <v>29</v>
      </c>
      <c r="I103" s="100">
        <v>7.86</v>
      </c>
      <c r="J103" s="100">
        <v>0.12</v>
      </c>
      <c r="K103" s="100">
        <v>161.76</v>
      </c>
      <c r="L103" s="100">
        <v>25.31</v>
      </c>
      <c r="M103" s="100">
        <v>38.340000000000003</v>
      </c>
      <c r="N103" s="100">
        <v>5.6</v>
      </c>
      <c r="O103" s="100">
        <v>0</v>
      </c>
      <c r="P103" s="100">
        <v>0.75</v>
      </c>
      <c r="Q103" s="100">
        <v>28.09</v>
      </c>
      <c r="R103" s="6"/>
      <c r="S103" s="6"/>
      <c r="T103" s="156"/>
      <c r="U103" s="6"/>
    </row>
    <row r="104" spans="1:28" customFormat="1">
      <c r="A104" s="163" t="s">
        <v>2734</v>
      </c>
      <c r="B104" s="100">
        <v>4.3499999999999996</v>
      </c>
      <c r="C104" s="100">
        <v>17.34</v>
      </c>
      <c r="D104" s="100">
        <v>13.9</v>
      </c>
      <c r="E104" s="100">
        <v>8.3000000000000007</v>
      </c>
      <c r="F104" s="152" t="s">
        <v>15</v>
      </c>
      <c r="G104" s="100">
        <v>68.900000000000006</v>
      </c>
      <c r="H104" s="100">
        <v>27.58</v>
      </c>
      <c r="I104" s="100">
        <v>7.88</v>
      </c>
      <c r="J104" s="100">
        <v>0.11</v>
      </c>
      <c r="K104" s="100">
        <v>144.62</v>
      </c>
      <c r="L104" s="100">
        <v>25.58</v>
      </c>
      <c r="M104" s="100">
        <v>37.54</v>
      </c>
      <c r="N104" s="100">
        <v>5.6</v>
      </c>
      <c r="O104" s="100">
        <v>0</v>
      </c>
      <c r="P104" s="100">
        <v>0.74</v>
      </c>
      <c r="Q104" s="100">
        <v>28.08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3.44</v>
      </c>
      <c r="C106" s="158">
        <f>MIN(C9:C104)</f>
        <v>15.45</v>
      </c>
      <c r="D106" s="158">
        <f t="shared" ref="D106:Q106" si="0">MIN(D9:D104)</f>
        <v>12.19</v>
      </c>
      <c r="E106" s="158">
        <f t="shared" si="0"/>
        <v>7.78</v>
      </c>
      <c r="F106" s="158">
        <f t="shared" si="0"/>
        <v>0</v>
      </c>
      <c r="G106" s="158">
        <f t="shared" si="0"/>
        <v>47.91</v>
      </c>
      <c r="H106" s="158">
        <f t="shared" si="0"/>
        <v>19.739999999999998</v>
      </c>
      <c r="I106" s="158">
        <f t="shared" si="0"/>
        <v>5.1100000000000003</v>
      </c>
      <c r="J106" s="158">
        <f t="shared" si="0"/>
        <v>0.01</v>
      </c>
      <c r="K106" s="158">
        <f t="shared" si="0"/>
        <v>14.27</v>
      </c>
      <c r="L106" s="158">
        <f t="shared" si="0"/>
        <v>20.010000000000002</v>
      </c>
      <c r="M106" s="158">
        <f t="shared" si="0"/>
        <v>8.39</v>
      </c>
      <c r="N106" s="158">
        <f t="shared" si="0"/>
        <v>5.3</v>
      </c>
      <c r="O106" s="158">
        <f t="shared" si="0"/>
        <v>0</v>
      </c>
      <c r="P106" s="158">
        <f t="shared" si="0"/>
        <v>0.56999999999999995</v>
      </c>
      <c r="Q106" s="158">
        <f t="shared" si="0"/>
        <v>28.05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19.170000000000002</v>
      </c>
      <c r="C107" s="157">
        <f t="shared" ref="C107:Q107" si="1">MAX(C9:C104)</f>
        <v>25.5</v>
      </c>
      <c r="D107" s="157">
        <f t="shared" si="1"/>
        <v>27.61</v>
      </c>
      <c r="E107" s="157">
        <f t="shared" si="1"/>
        <v>18.73</v>
      </c>
      <c r="F107" s="157">
        <f t="shared" si="1"/>
        <v>0</v>
      </c>
      <c r="G107" s="157">
        <f t="shared" si="1"/>
        <v>122.24</v>
      </c>
      <c r="H107" s="157">
        <f t="shared" si="1"/>
        <v>49.69</v>
      </c>
      <c r="I107" s="157">
        <f t="shared" si="1"/>
        <v>11.27</v>
      </c>
      <c r="J107" s="157">
        <f t="shared" si="1"/>
        <v>1.1399999999999999</v>
      </c>
      <c r="K107" s="157">
        <f t="shared" si="1"/>
        <v>348.72</v>
      </c>
      <c r="L107" s="157">
        <f t="shared" si="1"/>
        <v>39.29</v>
      </c>
      <c r="M107" s="157">
        <f t="shared" si="1"/>
        <v>68.27</v>
      </c>
      <c r="N107" s="157">
        <f t="shared" si="1"/>
        <v>748.6</v>
      </c>
      <c r="O107" s="157">
        <f t="shared" si="1"/>
        <v>0</v>
      </c>
      <c r="P107" s="157">
        <f t="shared" si="1"/>
        <v>1.01</v>
      </c>
      <c r="Q107" s="157">
        <f t="shared" si="1"/>
        <v>28.58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8.6115625000000016</v>
      </c>
      <c r="C108" s="158">
        <f t="shared" ref="C108:Q108" si="2">AVERAGE(C9:C104)</f>
        <v>19.550104166666667</v>
      </c>
      <c r="D108" s="158">
        <f t="shared" si="2"/>
        <v>18.470625000000005</v>
      </c>
      <c r="E108" s="158">
        <f t="shared" si="2"/>
        <v>10.111041666666667</v>
      </c>
      <c r="F108" s="158" t="e">
        <f t="shared" si="2"/>
        <v>#DIV/0!</v>
      </c>
      <c r="G108" s="158">
        <f t="shared" si="2"/>
        <v>84.020104166666599</v>
      </c>
      <c r="H108" s="158">
        <f t="shared" si="2"/>
        <v>34.933749999999996</v>
      </c>
      <c r="I108" s="158">
        <f t="shared" si="2"/>
        <v>8.208750000000002</v>
      </c>
      <c r="J108" s="158">
        <f t="shared" si="2"/>
        <v>0.359375</v>
      </c>
      <c r="K108" s="158">
        <f t="shared" si="2"/>
        <v>181.92468749999992</v>
      </c>
      <c r="L108" s="158">
        <f t="shared" si="2"/>
        <v>29.427083333333343</v>
      </c>
      <c r="M108" s="158">
        <f t="shared" si="2"/>
        <v>34.173749999999984</v>
      </c>
      <c r="N108" s="158">
        <f t="shared" si="2"/>
        <v>192.29374999999996</v>
      </c>
      <c r="O108" s="158">
        <f t="shared" si="2"/>
        <v>0</v>
      </c>
      <c r="P108" s="158">
        <f t="shared" si="2"/>
        <v>0.77395833333333297</v>
      </c>
      <c r="Q108" s="158">
        <f t="shared" si="2"/>
        <v>28.226874999999982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5.6652589160184297</v>
      </c>
      <c r="C109" s="158">
        <f t="shared" ref="C109:Q109" si="3">STDEV(C9:C104)</f>
        <v>2.3681462858405302</v>
      </c>
      <c r="D109" s="158">
        <f t="shared" si="3"/>
        <v>5.3421367324714586</v>
      </c>
      <c r="E109" s="158">
        <f t="shared" si="3"/>
        <v>2.1350767170570859</v>
      </c>
      <c r="F109" s="158" t="e">
        <f t="shared" si="3"/>
        <v>#DIV/0!</v>
      </c>
      <c r="G109" s="158">
        <f t="shared" si="3"/>
        <v>23.937299785934016</v>
      </c>
      <c r="H109" s="158">
        <f t="shared" si="3"/>
        <v>8.6039745099820735</v>
      </c>
      <c r="I109" s="158">
        <f t="shared" si="3"/>
        <v>1.7518376817381989</v>
      </c>
      <c r="J109" s="158">
        <f t="shared" si="3"/>
        <v>0.28502931520514807</v>
      </c>
      <c r="K109" s="158">
        <f t="shared" si="3"/>
        <v>78.771705432493036</v>
      </c>
      <c r="L109" s="158">
        <f t="shared" si="3"/>
        <v>6.3521871768568001</v>
      </c>
      <c r="M109" s="158">
        <f t="shared" si="3"/>
        <v>19.515760014597667</v>
      </c>
      <c r="N109" s="158">
        <f t="shared" si="3"/>
        <v>261.739672520336</v>
      </c>
      <c r="O109" s="158">
        <f t="shared" si="3"/>
        <v>0</v>
      </c>
      <c r="P109" s="158">
        <f t="shared" si="3"/>
        <v>0.13618469785488158</v>
      </c>
      <c r="Q109" s="158">
        <f t="shared" si="3"/>
        <v>0.18366624478570998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88" activePane="bottomRight" state="frozen"/>
      <selection pane="topRight"/>
      <selection pane="bottomLeft"/>
      <selection pane="bottomRight" activeCell="J96" sqref="J9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27/03/2025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2735</v>
      </c>
      <c r="B9" s="100">
        <v>4.1900000000000004</v>
      </c>
      <c r="C9" s="100">
        <v>17.420000000000002</v>
      </c>
      <c r="D9" s="100">
        <v>13.82</v>
      </c>
      <c r="E9" s="100">
        <v>7.98</v>
      </c>
      <c r="F9" s="152" t="s">
        <v>15</v>
      </c>
      <c r="G9" s="100">
        <v>69.239999999999995</v>
      </c>
      <c r="H9" s="100">
        <v>27.56</v>
      </c>
      <c r="I9" s="100">
        <v>7.87</v>
      </c>
      <c r="J9" s="100">
        <v>0.17</v>
      </c>
      <c r="K9" s="100">
        <v>166.15</v>
      </c>
      <c r="L9" s="100">
        <v>25.6</v>
      </c>
      <c r="M9" s="100">
        <v>37.909999999999997</v>
      </c>
      <c r="N9" s="100">
        <v>5.6</v>
      </c>
      <c r="O9" s="100">
        <v>0</v>
      </c>
      <c r="P9" s="100">
        <v>0.74</v>
      </c>
      <c r="Q9" s="100">
        <v>28.09</v>
      </c>
      <c r="R9" s="6"/>
      <c r="S9" s="6"/>
      <c r="T9" s="156"/>
      <c r="U9" s="6"/>
    </row>
    <row r="10" spans="1:21" customFormat="1">
      <c r="A10" s="163" t="s">
        <v>2736</v>
      </c>
      <c r="B10" s="100">
        <v>4.16</v>
      </c>
      <c r="C10" s="100">
        <v>17.43</v>
      </c>
      <c r="D10" s="100">
        <v>13.79</v>
      </c>
      <c r="E10" s="100">
        <v>8.2799999999999994</v>
      </c>
      <c r="F10" s="152" t="s">
        <v>15</v>
      </c>
      <c r="G10" s="100">
        <v>69.239999999999995</v>
      </c>
      <c r="H10" s="100">
        <v>27.56</v>
      </c>
      <c r="I10" s="100">
        <v>7.79</v>
      </c>
      <c r="J10" s="100">
        <v>0.26</v>
      </c>
      <c r="K10" s="100">
        <v>244.37</v>
      </c>
      <c r="L10" s="100">
        <v>25.16</v>
      </c>
      <c r="M10" s="100">
        <v>39.57</v>
      </c>
      <c r="N10" s="100">
        <v>5.8</v>
      </c>
      <c r="O10" s="100">
        <v>0</v>
      </c>
      <c r="P10" s="100">
        <v>0.75</v>
      </c>
      <c r="Q10" s="100">
        <v>28.08</v>
      </c>
      <c r="R10" s="6"/>
      <c r="S10" s="6"/>
      <c r="T10" s="156"/>
      <c r="U10" s="6"/>
    </row>
    <row r="11" spans="1:21" customFormat="1">
      <c r="A11" s="163" t="s">
        <v>2737</v>
      </c>
      <c r="B11" s="100">
        <v>4.1100000000000003</v>
      </c>
      <c r="C11" s="100">
        <v>17.47</v>
      </c>
      <c r="D11" s="100">
        <v>13.77</v>
      </c>
      <c r="E11" s="100">
        <v>7.77</v>
      </c>
      <c r="F11" s="152" t="s">
        <v>15</v>
      </c>
      <c r="G11" s="100">
        <v>69.239999999999995</v>
      </c>
      <c r="H11" s="100">
        <v>27.56</v>
      </c>
      <c r="I11" s="100">
        <v>7.74</v>
      </c>
      <c r="J11" s="100">
        <v>0.28000000000000003</v>
      </c>
      <c r="K11" s="100">
        <v>233.82</v>
      </c>
      <c r="L11" s="100">
        <v>24.75</v>
      </c>
      <c r="M11" s="100">
        <v>41.26</v>
      </c>
      <c r="N11" s="100">
        <v>5.9</v>
      </c>
      <c r="O11" s="100">
        <v>0</v>
      </c>
      <c r="P11" s="100">
        <v>0.74</v>
      </c>
      <c r="Q11" s="100">
        <v>28.08</v>
      </c>
      <c r="R11" s="6"/>
      <c r="S11" s="6"/>
      <c r="T11" s="156"/>
      <c r="U11" s="6"/>
    </row>
    <row r="12" spans="1:21" customFormat="1">
      <c r="A12" s="163" t="s">
        <v>2738</v>
      </c>
      <c r="B12" s="100">
        <v>4.1100000000000003</v>
      </c>
      <c r="C12" s="100">
        <v>17.34</v>
      </c>
      <c r="D12" s="100">
        <v>13.71</v>
      </c>
      <c r="E12" s="100">
        <v>7.88</v>
      </c>
      <c r="F12" s="152" t="s">
        <v>15</v>
      </c>
      <c r="G12" s="100">
        <v>86.22</v>
      </c>
      <c r="H12" s="100">
        <v>32.159999999999997</v>
      </c>
      <c r="I12" s="100">
        <v>7.72</v>
      </c>
      <c r="J12" s="100">
        <v>0.14000000000000001</v>
      </c>
      <c r="K12" s="100">
        <v>139.4</v>
      </c>
      <c r="L12" s="100">
        <v>24.39</v>
      </c>
      <c r="M12" s="100">
        <v>42.72</v>
      </c>
      <c r="N12" s="100">
        <v>6</v>
      </c>
      <c r="O12" s="100">
        <v>0</v>
      </c>
      <c r="P12" s="100">
        <v>0.75</v>
      </c>
      <c r="Q12" s="100">
        <v>28.08</v>
      </c>
      <c r="R12" s="6"/>
      <c r="S12" s="6"/>
      <c r="T12" s="156"/>
      <c r="U12" s="6"/>
    </row>
    <row r="13" spans="1:21" customFormat="1">
      <c r="A13" s="163" t="s">
        <v>2739</v>
      </c>
      <c r="B13" s="100">
        <v>4.3899999999999997</v>
      </c>
      <c r="C13" s="100">
        <v>16.940000000000001</v>
      </c>
      <c r="D13" s="100">
        <v>13.72</v>
      </c>
      <c r="E13" s="100">
        <v>8.27</v>
      </c>
      <c r="F13" s="152" t="s">
        <v>15</v>
      </c>
      <c r="G13" s="100">
        <v>92.4</v>
      </c>
      <c r="H13" s="100">
        <v>32.229999999999997</v>
      </c>
      <c r="I13" s="100">
        <v>7.67</v>
      </c>
      <c r="J13" s="100">
        <v>0.19</v>
      </c>
      <c r="K13" s="100">
        <v>189.58</v>
      </c>
      <c r="L13" s="100">
        <v>23.97</v>
      </c>
      <c r="M13" s="100">
        <v>44.98</v>
      </c>
      <c r="N13" s="100">
        <v>6.1</v>
      </c>
      <c r="O13" s="100">
        <v>0</v>
      </c>
      <c r="P13" s="100">
        <v>0.73</v>
      </c>
      <c r="Q13" s="100">
        <v>28.08</v>
      </c>
      <c r="R13" s="6"/>
      <c r="S13" s="6"/>
      <c r="T13" s="156"/>
      <c r="U13" s="6"/>
    </row>
    <row r="14" spans="1:21" customFormat="1">
      <c r="A14" s="163" t="s">
        <v>2740</v>
      </c>
      <c r="B14" s="100">
        <v>4.66</v>
      </c>
      <c r="C14" s="100">
        <v>16.72</v>
      </c>
      <c r="D14" s="100">
        <v>13.82</v>
      </c>
      <c r="E14" s="100">
        <v>8.09</v>
      </c>
      <c r="F14" s="152" t="s">
        <v>15</v>
      </c>
      <c r="G14" s="100">
        <v>92.4</v>
      </c>
      <c r="H14" s="100">
        <v>32.229999999999997</v>
      </c>
      <c r="I14" s="100">
        <v>7.65</v>
      </c>
      <c r="J14" s="100">
        <v>0.11</v>
      </c>
      <c r="K14" s="100">
        <v>192.55</v>
      </c>
      <c r="L14" s="100">
        <v>23.68</v>
      </c>
      <c r="M14" s="100">
        <v>45.26</v>
      </c>
      <c r="N14" s="100">
        <v>6</v>
      </c>
      <c r="O14" s="100">
        <v>0</v>
      </c>
      <c r="P14" s="100">
        <v>0.73</v>
      </c>
      <c r="Q14" s="100">
        <v>28.1</v>
      </c>
      <c r="R14" s="6"/>
      <c r="S14" s="6"/>
      <c r="T14" s="156"/>
      <c r="U14" s="6"/>
    </row>
    <row r="15" spans="1:21" customFormat="1">
      <c r="A15" s="163" t="s">
        <v>2741</v>
      </c>
      <c r="B15" s="100">
        <v>4.97</v>
      </c>
      <c r="C15" s="100">
        <v>16.440000000000001</v>
      </c>
      <c r="D15" s="100">
        <v>13.93</v>
      </c>
      <c r="E15" s="100">
        <v>8.07</v>
      </c>
      <c r="F15" s="152" t="s">
        <v>15</v>
      </c>
      <c r="G15" s="100">
        <v>92.4</v>
      </c>
      <c r="H15" s="100">
        <v>32.229999999999997</v>
      </c>
      <c r="I15" s="100">
        <v>7.72</v>
      </c>
      <c r="J15" s="100">
        <v>0.19</v>
      </c>
      <c r="K15" s="100">
        <v>180.5</v>
      </c>
      <c r="L15" s="100">
        <v>23.61</v>
      </c>
      <c r="M15" s="100">
        <v>46.61</v>
      </c>
      <c r="N15" s="100">
        <v>6</v>
      </c>
      <c r="O15" s="100">
        <v>0</v>
      </c>
      <c r="P15" s="100">
        <v>0.73</v>
      </c>
      <c r="Q15" s="100">
        <v>28.11</v>
      </c>
      <c r="R15" s="6"/>
      <c r="S15" s="6"/>
      <c r="T15" s="156"/>
      <c r="U15" s="6"/>
    </row>
    <row r="16" spans="1:21" customFormat="1">
      <c r="A16" s="163" t="s">
        <v>2742</v>
      </c>
      <c r="B16" s="100">
        <v>5.23</v>
      </c>
      <c r="C16" s="100">
        <v>16.2</v>
      </c>
      <c r="D16" s="100">
        <v>14.01</v>
      </c>
      <c r="E16" s="100">
        <v>8.26</v>
      </c>
      <c r="F16" s="152" t="s">
        <v>15</v>
      </c>
      <c r="G16" s="100">
        <v>81.98</v>
      </c>
      <c r="H16" s="100">
        <v>30.12</v>
      </c>
      <c r="I16" s="100">
        <v>7.69</v>
      </c>
      <c r="J16" s="100">
        <v>0.2</v>
      </c>
      <c r="K16" s="100">
        <v>232.8</v>
      </c>
      <c r="L16" s="100">
        <v>23.51</v>
      </c>
      <c r="M16" s="100">
        <v>45.23</v>
      </c>
      <c r="N16" s="100">
        <v>5.7</v>
      </c>
      <c r="O16" s="100">
        <v>0</v>
      </c>
      <c r="P16" s="100">
        <v>0.73</v>
      </c>
      <c r="Q16" s="100">
        <v>28.13</v>
      </c>
      <c r="R16" s="6"/>
      <c r="S16" s="6"/>
      <c r="T16" s="156"/>
      <c r="U16" s="6"/>
    </row>
    <row r="17" spans="1:21" customFormat="1">
      <c r="A17" s="163" t="s">
        <v>2743</v>
      </c>
      <c r="B17" s="100">
        <v>5.42</v>
      </c>
      <c r="C17" s="100">
        <v>15.89</v>
      </c>
      <c r="D17" s="100">
        <v>14</v>
      </c>
      <c r="E17" s="100">
        <v>6.79</v>
      </c>
      <c r="F17" s="152" t="s">
        <v>15</v>
      </c>
      <c r="G17" s="100">
        <v>78.19</v>
      </c>
      <c r="H17" s="100">
        <v>30.05</v>
      </c>
      <c r="I17" s="100">
        <v>7.68</v>
      </c>
      <c r="J17" s="100">
        <v>0.33</v>
      </c>
      <c r="K17" s="100">
        <v>213.46</v>
      </c>
      <c r="L17" s="100">
        <v>23.98</v>
      </c>
      <c r="M17" s="100">
        <v>43.37</v>
      </c>
      <c r="N17" s="100">
        <v>5.3</v>
      </c>
      <c r="O17" s="100">
        <v>0</v>
      </c>
      <c r="P17" s="100">
        <v>0.74</v>
      </c>
      <c r="Q17" s="100">
        <v>28.12</v>
      </c>
      <c r="R17" s="6"/>
      <c r="S17" s="6"/>
      <c r="T17" s="156"/>
      <c r="U17" s="6"/>
    </row>
    <row r="18" spans="1:21" customFormat="1">
      <c r="A18" s="163" t="s">
        <v>2744</v>
      </c>
      <c r="B18" s="100">
        <v>5.64</v>
      </c>
      <c r="C18" s="100">
        <v>15.93</v>
      </c>
      <c r="D18" s="100">
        <v>14.2</v>
      </c>
      <c r="E18" s="100">
        <v>7.53</v>
      </c>
      <c r="F18" s="152" t="s">
        <v>15</v>
      </c>
      <c r="G18" s="100">
        <v>78.19</v>
      </c>
      <c r="H18" s="100">
        <v>30.05</v>
      </c>
      <c r="I18" s="100">
        <v>7.74</v>
      </c>
      <c r="J18" s="100">
        <v>0.05</v>
      </c>
      <c r="K18" s="100">
        <v>196.62</v>
      </c>
      <c r="L18" s="100">
        <v>23.75</v>
      </c>
      <c r="M18" s="100">
        <v>43.96</v>
      </c>
      <c r="N18" s="100">
        <v>5.9</v>
      </c>
      <c r="O18" s="100">
        <v>0</v>
      </c>
      <c r="P18" s="100">
        <v>0.74</v>
      </c>
      <c r="Q18" s="100">
        <v>28.11</v>
      </c>
      <c r="R18" s="6"/>
      <c r="S18" s="6"/>
      <c r="T18" s="156"/>
      <c r="U18" s="6"/>
    </row>
    <row r="19" spans="1:21" customFormat="1">
      <c r="A19" s="163" t="s">
        <v>2745</v>
      </c>
      <c r="B19" s="100">
        <v>6.11</v>
      </c>
      <c r="C19" s="100">
        <v>16.3</v>
      </c>
      <c r="D19" s="100">
        <v>14.77</v>
      </c>
      <c r="E19" s="100">
        <v>7.52</v>
      </c>
      <c r="F19" s="152" t="s">
        <v>15</v>
      </c>
      <c r="G19" s="100">
        <v>78.19</v>
      </c>
      <c r="H19" s="100">
        <v>30.05</v>
      </c>
      <c r="I19" s="100">
        <v>7.77</v>
      </c>
      <c r="J19" s="100">
        <v>0.2</v>
      </c>
      <c r="K19" s="100">
        <v>153.63999999999999</v>
      </c>
      <c r="L19" s="100">
        <v>24.01</v>
      </c>
      <c r="M19" s="100">
        <v>43.08</v>
      </c>
      <c r="N19" s="100">
        <v>5.7</v>
      </c>
      <c r="O19" s="100">
        <v>0</v>
      </c>
      <c r="P19" s="100">
        <v>0.74</v>
      </c>
      <c r="Q19" s="100">
        <v>28.13</v>
      </c>
      <c r="R19" s="6"/>
      <c r="S19" s="6"/>
      <c r="T19" s="156"/>
      <c r="U19" s="6"/>
    </row>
    <row r="20" spans="1:21" customFormat="1">
      <c r="A20" s="163" t="s">
        <v>2746</v>
      </c>
      <c r="B20" s="100">
        <v>6.58</v>
      </c>
      <c r="C20" s="100">
        <v>16.68</v>
      </c>
      <c r="D20" s="100">
        <v>15.34</v>
      </c>
      <c r="E20" s="100">
        <v>7.91</v>
      </c>
      <c r="F20" s="152" t="s">
        <v>15</v>
      </c>
      <c r="G20" s="100">
        <v>82.13</v>
      </c>
      <c r="H20" s="100">
        <v>30.83</v>
      </c>
      <c r="I20" s="100">
        <v>7.84</v>
      </c>
      <c r="J20" s="100">
        <v>0.17</v>
      </c>
      <c r="K20" s="100">
        <v>163.72999999999999</v>
      </c>
      <c r="L20" s="100">
        <v>23.56</v>
      </c>
      <c r="M20" s="100">
        <v>45.61</v>
      </c>
      <c r="N20" s="100">
        <v>6.2</v>
      </c>
      <c r="O20" s="100">
        <v>0</v>
      </c>
      <c r="P20" s="100">
        <v>0.75</v>
      </c>
      <c r="Q20" s="100">
        <v>28.16</v>
      </c>
      <c r="R20" s="6"/>
      <c r="S20" s="6"/>
      <c r="T20" s="156"/>
      <c r="U20" s="6"/>
    </row>
    <row r="21" spans="1:21" customFormat="1">
      <c r="A21" s="163" t="s">
        <v>2747</v>
      </c>
      <c r="B21" s="100">
        <v>7.16</v>
      </c>
      <c r="C21" s="100">
        <v>16.89</v>
      </c>
      <c r="D21" s="100">
        <v>15.92</v>
      </c>
      <c r="E21" s="100">
        <v>7.82</v>
      </c>
      <c r="F21" s="152" t="s">
        <v>15</v>
      </c>
      <c r="G21" s="100">
        <v>83.65</v>
      </c>
      <c r="H21" s="100">
        <v>30.86</v>
      </c>
      <c r="I21" s="100">
        <v>7.87</v>
      </c>
      <c r="J21" s="100">
        <v>0.17</v>
      </c>
      <c r="K21" s="100">
        <v>123.99</v>
      </c>
      <c r="L21" s="100">
        <v>23.1</v>
      </c>
      <c r="M21" s="100">
        <v>47.51</v>
      </c>
      <c r="N21" s="100">
        <v>6.1</v>
      </c>
      <c r="O21" s="100">
        <v>0</v>
      </c>
      <c r="P21" s="100">
        <v>0.75</v>
      </c>
      <c r="Q21" s="100">
        <v>28.19</v>
      </c>
      <c r="R21" s="6"/>
      <c r="S21" s="6"/>
      <c r="T21" s="156"/>
      <c r="U21" s="6"/>
    </row>
    <row r="22" spans="1:21" customFormat="1">
      <c r="A22" s="163" t="s">
        <v>2748</v>
      </c>
      <c r="B22" s="100">
        <v>7.82</v>
      </c>
      <c r="C22" s="100">
        <v>17.079999999999998</v>
      </c>
      <c r="D22" s="100">
        <v>16.54</v>
      </c>
      <c r="E22" s="100">
        <v>8.0500000000000007</v>
      </c>
      <c r="F22" s="152" t="s">
        <v>15</v>
      </c>
      <c r="G22" s="100">
        <v>83.65</v>
      </c>
      <c r="H22" s="100">
        <v>30.86</v>
      </c>
      <c r="I22" s="100">
        <v>7.92</v>
      </c>
      <c r="J22" s="100">
        <v>0.22</v>
      </c>
      <c r="K22" s="100">
        <v>153.76</v>
      </c>
      <c r="L22" s="100">
        <v>23.03</v>
      </c>
      <c r="M22" s="100">
        <v>48.01</v>
      </c>
      <c r="N22" s="100">
        <v>6</v>
      </c>
      <c r="O22" s="100">
        <v>0</v>
      </c>
      <c r="P22" s="100">
        <v>0.76</v>
      </c>
      <c r="Q22" s="100">
        <v>28.2</v>
      </c>
      <c r="R22" s="6"/>
      <c r="S22" s="6"/>
      <c r="T22" s="156"/>
      <c r="U22" s="6"/>
    </row>
    <row r="23" spans="1:21" customFormat="1">
      <c r="A23" s="163" t="s">
        <v>2749</v>
      </c>
      <c r="B23" s="100">
        <v>8.44</v>
      </c>
      <c r="C23" s="100">
        <v>17.46</v>
      </c>
      <c r="D23" s="100">
        <v>17.239999999999998</v>
      </c>
      <c r="E23" s="100">
        <v>7.89</v>
      </c>
      <c r="F23" s="152" t="s">
        <v>15</v>
      </c>
      <c r="G23" s="100">
        <v>83.65</v>
      </c>
      <c r="H23" s="100">
        <v>30.86</v>
      </c>
      <c r="I23" s="100">
        <v>7.97</v>
      </c>
      <c r="J23" s="100">
        <v>0.19</v>
      </c>
      <c r="K23" s="100">
        <v>147.02000000000001</v>
      </c>
      <c r="L23" s="100">
        <v>22.9</v>
      </c>
      <c r="M23" s="100">
        <v>47.67</v>
      </c>
      <c r="N23" s="100">
        <v>6</v>
      </c>
      <c r="O23" s="100">
        <v>0</v>
      </c>
      <c r="P23" s="100">
        <v>0.76</v>
      </c>
      <c r="Q23" s="100">
        <v>28.22</v>
      </c>
      <c r="R23" s="6"/>
      <c r="S23" s="6"/>
      <c r="T23" s="156"/>
      <c r="U23" s="6"/>
    </row>
    <row r="24" spans="1:21" customFormat="1">
      <c r="A24" s="163" t="s">
        <v>2750</v>
      </c>
      <c r="B24" s="100">
        <v>8.9499999999999993</v>
      </c>
      <c r="C24" s="100">
        <v>17.8</v>
      </c>
      <c r="D24" s="100">
        <v>17.829999999999998</v>
      </c>
      <c r="E24" s="100">
        <v>7.68</v>
      </c>
      <c r="F24" s="152" t="s">
        <v>15</v>
      </c>
      <c r="G24" s="100">
        <v>87.16</v>
      </c>
      <c r="H24" s="100">
        <v>32.18</v>
      </c>
      <c r="I24" s="100">
        <v>8.02</v>
      </c>
      <c r="J24" s="100">
        <v>0.24</v>
      </c>
      <c r="K24" s="100">
        <v>170.82</v>
      </c>
      <c r="L24" s="100">
        <v>22.42</v>
      </c>
      <c r="M24" s="100">
        <v>50.36</v>
      </c>
      <c r="N24" s="100">
        <v>6.2</v>
      </c>
      <c r="O24" s="100">
        <v>0</v>
      </c>
      <c r="P24" s="100">
        <v>0.78</v>
      </c>
      <c r="Q24" s="100">
        <v>28.24</v>
      </c>
      <c r="R24" s="6"/>
      <c r="S24" s="6"/>
      <c r="T24" s="156"/>
      <c r="U24" s="6"/>
    </row>
    <row r="25" spans="1:21" customFormat="1">
      <c r="A25" s="163" t="s">
        <v>2751</v>
      </c>
      <c r="B25" s="100">
        <v>9.1999999999999993</v>
      </c>
      <c r="C25" s="100">
        <v>17.71</v>
      </c>
      <c r="D25" s="100">
        <v>17.989999999999998</v>
      </c>
      <c r="E25" s="100">
        <v>7.57</v>
      </c>
      <c r="F25" s="152" t="s">
        <v>15</v>
      </c>
      <c r="G25" s="100">
        <v>88.51</v>
      </c>
      <c r="H25" s="100">
        <v>32.22</v>
      </c>
      <c r="I25" s="100">
        <v>8.1300000000000008</v>
      </c>
      <c r="J25" s="100">
        <v>0.24</v>
      </c>
      <c r="K25" s="100">
        <v>193.64</v>
      </c>
      <c r="L25" s="100">
        <v>21.73</v>
      </c>
      <c r="M25" s="100">
        <v>52.49</v>
      </c>
      <c r="N25" s="100">
        <v>6.4</v>
      </c>
      <c r="O25" s="100">
        <v>0</v>
      </c>
      <c r="P25" s="100">
        <v>0.77</v>
      </c>
      <c r="Q25" s="100">
        <v>28.26</v>
      </c>
      <c r="R25" s="6"/>
      <c r="S25" s="6"/>
      <c r="T25" s="156"/>
      <c r="U25" s="6"/>
    </row>
    <row r="26" spans="1:21" customFormat="1">
      <c r="A26" s="163" t="s">
        <v>2752</v>
      </c>
      <c r="B26" s="100">
        <v>9.49</v>
      </c>
      <c r="C26" s="100">
        <v>17.63</v>
      </c>
      <c r="D26" s="100">
        <v>18.170000000000002</v>
      </c>
      <c r="E26" s="100">
        <v>7.89</v>
      </c>
      <c r="F26" s="152" t="s">
        <v>15</v>
      </c>
      <c r="G26" s="100">
        <v>88.51</v>
      </c>
      <c r="H26" s="100">
        <v>32.22</v>
      </c>
      <c r="I26" s="100">
        <v>8.24</v>
      </c>
      <c r="J26" s="100">
        <v>0.33</v>
      </c>
      <c r="K26" s="100">
        <v>200.72</v>
      </c>
      <c r="L26" s="100">
        <v>21.65</v>
      </c>
      <c r="M26" s="100">
        <v>53.07</v>
      </c>
      <c r="N26" s="100">
        <v>6.2</v>
      </c>
      <c r="O26" s="100">
        <v>0</v>
      </c>
      <c r="P26" s="100">
        <v>0.78</v>
      </c>
      <c r="Q26" s="100">
        <v>28.26</v>
      </c>
      <c r="R26" s="6"/>
      <c r="S26" s="6"/>
      <c r="T26" s="156"/>
      <c r="U26" s="6"/>
    </row>
    <row r="27" spans="1:21" customFormat="1">
      <c r="A27" s="163" t="s">
        <v>2753</v>
      </c>
      <c r="B27" s="100">
        <v>9.7100000000000009</v>
      </c>
      <c r="C27" s="100">
        <v>17.47</v>
      </c>
      <c r="D27" s="100">
        <v>18.27</v>
      </c>
      <c r="E27" s="100">
        <v>7.81</v>
      </c>
      <c r="F27" s="152" t="s">
        <v>15</v>
      </c>
      <c r="G27" s="100">
        <v>88.51</v>
      </c>
      <c r="H27" s="100">
        <v>32.22</v>
      </c>
      <c r="I27" s="100">
        <v>8.33</v>
      </c>
      <c r="J27" s="100">
        <v>0.25</v>
      </c>
      <c r="K27" s="100">
        <v>189</v>
      </c>
      <c r="L27" s="100">
        <v>21.12</v>
      </c>
      <c r="M27" s="100">
        <v>55.94</v>
      </c>
      <c r="N27" s="100">
        <v>6.3</v>
      </c>
      <c r="O27" s="100">
        <v>0</v>
      </c>
      <c r="P27" s="100">
        <v>0.79</v>
      </c>
      <c r="Q27" s="100">
        <v>28.26</v>
      </c>
      <c r="R27" s="6"/>
      <c r="S27" s="6"/>
      <c r="T27" s="156"/>
      <c r="U27" s="6"/>
    </row>
    <row r="28" spans="1:21" customFormat="1">
      <c r="A28" s="163" t="s">
        <v>2754</v>
      </c>
      <c r="B28" s="100">
        <v>9.85</v>
      </c>
      <c r="C28" s="100">
        <v>17.440000000000001</v>
      </c>
      <c r="D28" s="100">
        <v>18.36</v>
      </c>
      <c r="E28" s="100">
        <v>7.81</v>
      </c>
      <c r="F28" s="152" t="s">
        <v>15</v>
      </c>
      <c r="G28" s="100">
        <v>80.790000000000006</v>
      </c>
      <c r="H28" s="100">
        <v>31.87</v>
      </c>
      <c r="I28" s="100">
        <v>8.3800000000000008</v>
      </c>
      <c r="J28" s="100">
        <v>0.2</v>
      </c>
      <c r="K28" s="100">
        <v>239.96</v>
      </c>
      <c r="L28" s="100">
        <v>20.82</v>
      </c>
      <c r="M28" s="100">
        <v>57.59</v>
      </c>
      <c r="N28" s="100">
        <v>6.1</v>
      </c>
      <c r="O28" s="100">
        <v>0</v>
      </c>
      <c r="P28" s="100">
        <v>0.79</v>
      </c>
      <c r="Q28" s="100">
        <v>28.25</v>
      </c>
      <c r="R28" s="6"/>
      <c r="S28" s="6"/>
      <c r="T28" s="156"/>
      <c r="U28" s="6"/>
    </row>
    <row r="29" spans="1:21" customFormat="1">
      <c r="A29" s="163" t="s">
        <v>2755</v>
      </c>
      <c r="B29" s="100">
        <v>9.99</v>
      </c>
      <c r="C29" s="100">
        <v>16.96</v>
      </c>
      <c r="D29" s="100">
        <v>18.22</v>
      </c>
      <c r="E29" s="100">
        <v>7.54</v>
      </c>
      <c r="F29" s="152" t="s">
        <v>15</v>
      </c>
      <c r="G29" s="100">
        <v>77.98</v>
      </c>
      <c r="H29" s="100">
        <v>31.86</v>
      </c>
      <c r="I29" s="100">
        <v>8.43</v>
      </c>
      <c r="J29" s="100">
        <v>7.0000000000000007E-2</v>
      </c>
      <c r="K29" s="100">
        <v>131.04</v>
      </c>
      <c r="L29" s="100">
        <v>21.28</v>
      </c>
      <c r="M29" s="100">
        <v>55.18</v>
      </c>
      <c r="N29" s="100">
        <v>5.8</v>
      </c>
      <c r="O29" s="100">
        <v>0</v>
      </c>
      <c r="P29" s="100">
        <v>0.79</v>
      </c>
      <c r="Q29" s="100">
        <v>28.26</v>
      </c>
      <c r="R29" s="6"/>
      <c r="S29" s="6"/>
      <c r="T29" s="156"/>
      <c r="U29" s="6"/>
    </row>
    <row r="30" spans="1:21" customFormat="1">
      <c r="A30" s="163" t="s">
        <v>2756</v>
      </c>
      <c r="B30" s="100">
        <v>10.199999999999999</v>
      </c>
      <c r="C30" s="100">
        <v>17</v>
      </c>
      <c r="D30" s="100">
        <v>18.41</v>
      </c>
      <c r="E30" s="100">
        <v>7.57</v>
      </c>
      <c r="F30" s="152" t="s">
        <v>15</v>
      </c>
      <c r="G30" s="100">
        <v>77.98</v>
      </c>
      <c r="H30" s="100">
        <v>31.86</v>
      </c>
      <c r="I30" s="100">
        <v>8.5299999999999994</v>
      </c>
      <c r="J30" s="100">
        <v>0.31</v>
      </c>
      <c r="K30" s="100">
        <v>83.41</v>
      </c>
      <c r="L30" s="100">
        <v>21.97</v>
      </c>
      <c r="M30" s="100">
        <v>50.99</v>
      </c>
      <c r="N30" s="100">
        <v>5.3</v>
      </c>
      <c r="O30" s="100">
        <v>0</v>
      </c>
      <c r="P30" s="100">
        <v>0.81</v>
      </c>
      <c r="Q30" s="100">
        <v>28.26</v>
      </c>
      <c r="R30" s="6"/>
      <c r="S30" s="6"/>
      <c r="T30" s="156"/>
      <c r="U30" s="6"/>
    </row>
    <row r="31" spans="1:21" customFormat="1">
      <c r="A31" s="163" t="s">
        <v>2757</v>
      </c>
      <c r="B31" s="100">
        <v>11.2</v>
      </c>
      <c r="C31" s="100">
        <v>17.43</v>
      </c>
      <c r="D31" s="100">
        <v>19.440000000000001</v>
      </c>
      <c r="E31" s="100">
        <v>7.74</v>
      </c>
      <c r="F31" s="152" t="s">
        <v>15</v>
      </c>
      <c r="G31" s="100">
        <v>77.98</v>
      </c>
      <c r="H31" s="100">
        <v>31.86</v>
      </c>
      <c r="I31" s="100">
        <v>8.58</v>
      </c>
      <c r="J31" s="100">
        <v>0.11</v>
      </c>
      <c r="K31" s="100">
        <v>112.7</v>
      </c>
      <c r="L31" s="100">
        <v>22.4</v>
      </c>
      <c r="M31" s="100">
        <v>50.05</v>
      </c>
      <c r="N31" s="100">
        <v>5.7</v>
      </c>
      <c r="O31" s="100">
        <v>0</v>
      </c>
      <c r="P31" s="100">
        <v>0.83</v>
      </c>
      <c r="Q31" s="100">
        <v>28.3</v>
      </c>
      <c r="R31" s="6"/>
      <c r="S31" s="6"/>
      <c r="T31" s="156"/>
      <c r="U31" s="6"/>
    </row>
    <row r="32" spans="1:21" customFormat="1">
      <c r="A32" s="163" t="s">
        <v>2758</v>
      </c>
      <c r="B32" s="100">
        <v>12.57</v>
      </c>
      <c r="C32" s="100">
        <v>18.2</v>
      </c>
      <c r="D32" s="100">
        <v>20.93</v>
      </c>
      <c r="E32" s="100">
        <v>7.74</v>
      </c>
      <c r="F32" s="152" t="s">
        <v>15</v>
      </c>
      <c r="G32" s="100">
        <v>76.98</v>
      </c>
      <c r="H32" s="100">
        <v>33.090000000000003</v>
      </c>
      <c r="I32" s="100">
        <v>8.81</v>
      </c>
      <c r="J32" s="100">
        <v>0.32</v>
      </c>
      <c r="K32" s="100">
        <v>47.24</v>
      </c>
      <c r="L32" s="100">
        <v>22.72</v>
      </c>
      <c r="M32" s="100">
        <v>47.79</v>
      </c>
      <c r="N32" s="100">
        <v>7.2</v>
      </c>
      <c r="O32" s="100">
        <v>0</v>
      </c>
      <c r="P32" s="100">
        <v>0.87</v>
      </c>
      <c r="Q32" s="100">
        <v>28.33</v>
      </c>
      <c r="R32" s="6"/>
      <c r="S32" s="6"/>
      <c r="T32" s="156"/>
      <c r="U32" s="6"/>
    </row>
    <row r="33" spans="1:21" customFormat="1">
      <c r="A33" s="163" t="s">
        <v>2759</v>
      </c>
      <c r="B33" s="100">
        <v>13.75</v>
      </c>
      <c r="C33" s="100">
        <v>19.12</v>
      </c>
      <c r="D33" s="100">
        <v>22.36</v>
      </c>
      <c r="E33" s="100">
        <v>7.41</v>
      </c>
      <c r="F33" s="152" t="s">
        <v>15</v>
      </c>
      <c r="G33" s="100">
        <v>76.62</v>
      </c>
      <c r="H33" s="100">
        <v>33.130000000000003</v>
      </c>
      <c r="I33" s="100">
        <v>9.26</v>
      </c>
      <c r="J33" s="100">
        <v>0.31</v>
      </c>
      <c r="K33" s="100">
        <v>56.25</v>
      </c>
      <c r="L33" s="100">
        <v>22.89</v>
      </c>
      <c r="M33" s="100">
        <v>47.25</v>
      </c>
      <c r="N33" s="100">
        <v>13.7</v>
      </c>
      <c r="O33" s="100">
        <v>0</v>
      </c>
      <c r="P33" s="100">
        <v>0.91</v>
      </c>
      <c r="Q33" s="100">
        <v>28.37</v>
      </c>
      <c r="R33" s="6"/>
      <c r="S33" s="6"/>
      <c r="T33" s="156"/>
      <c r="U33" s="6"/>
    </row>
    <row r="34" spans="1:21" customFormat="1">
      <c r="A34" s="163" t="s">
        <v>2760</v>
      </c>
      <c r="B34" s="100">
        <v>14.93</v>
      </c>
      <c r="C34" s="100">
        <v>19.88</v>
      </c>
      <c r="D34" s="100">
        <v>23.71</v>
      </c>
      <c r="E34" s="100">
        <v>7.61</v>
      </c>
      <c r="F34" s="152" t="s">
        <v>15</v>
      </c>
      <c r="G34" s="100">
        <v>76.62</v>
      </c>
      <c r="H34" s="100">
        <v>33.130000000000003</v>
      </c>
      <c r="I34" s="100">
        <v>9.99</v>
      </c>
      <c r="J34" s="100">
        <v>0.47</v>
      </c>
      <c r="K34" s="100">
        <v>47.8</v>
      </c>
      <c r="L34" s="100">
        <v>23.23</v>
      </c>
      <c r="M34" s="100">
        <v>46.35</v>
      </c>
      <c r="N34" s="100">
        <v>23.6</v>
      </c>
      <c r="O34" s="100">
        <v>0</v>
      </c>
      <c r="P34" s="100">
        <v>0.94</v>
      </c>
      <c r="Q34" s="100">
        <v>28.41</v>
      </c>
      <c r="R34" s="6"/>
      <c r="S34" s="6"/>
      <c r="T34" s="156"/>
      <c r="U34" s="6"/>
    </row>
    <row r="35" spans="1:21" customFormat="1">
      <c r="A35" s="163" t="s">
        <v>2761</v>
      </c>
      <c r="B35" s="100">
        <v>15.88</v>
      </c>
      <c r="C35" s="100">
        <v>20.58</v>
      </c>
      <c r="D35" s="100">
        <v>24.84</v>
      </c>
      <c r="E35" s="100">
        <v>7.57</v>
      </c>
      <c r="F35" s="152" t="s">
        <v>15</v>
      </c>
      <c r="G35" s="100">
        <v>76.62</v>
      </c>
      <c r="H35" s="100">
        <v>33.130000000000003</v>
      </c>
      <c r="I35" s="100">
        <v>10.64</v>
      </c>
      <c r="J35" s="100">
        <v>0.44</v>
      </c>
      <c r="K35" s="100">
        <v>41.87</v>
      </c>
      <c r="L35" s="100">
        <v>23.68</v>
      </c>
      <c r="M35" s="100">
        <v>46.05</v>
      </c>
      <c r="N35" s="100">
        <v>34.9</v>
      </c>
      <c r="O35" s="100">
        <v>0</v>
      </c>
      <c r="P35" s="100">
        <v>0.97</v>
      </c>
      <c r="Q35" s="100">
        <v>28.44</v>
      </c>
      <c r="R35" s="6"/>
      <c r="S35" s="6"/>
      <c r="T35" s="156"/>
      <c r="U35" s="6"/>
    </row>
    <row r="36" spans="1:21" customFormat="1">
      <c r="A36" s="163" t="s">
        <v>2762</v>
      </c>
      <c r="B36" s="100">
        <v>16.86</v>
      </c>
      <c r="C36" s="100">
        <v>21.05</v>
      </c>
      <c r="D36" s="100">
        <v>25.87</v>
      </c>
      <c r="E36" s="100">
        <v>7.52</v>
      </c>
      <c r="F36" s="152" t="s">
        <v>15</v>
      </c>
      <c r="G36" s="100">
        <v>93.41</v>
      </c>
      <c r="H36" s="100">
        <v>40.090000000000003</v>
      </c>
      <c r="I36" s="100">
        <v>11.21</v>
      </c>
      <c r="J36" s="100">
        <v>0.63</v>
      </c>
      <c r="K36" s="100">
        <v>63.45</v>
      </c>
      <c r="L36" s="100">
        <v>23.87</v>
      </c>
      <c r="M36" s="100">
        <v>46.72</v>
      </c>
      <c r="N36" s="100">
        <v>46.5</v>
      </c>
      <c r="O36" s="100">
        <v>0</v>
      </c>
      <c r="P36" s="100">
        <v>1.01</v>
      </c>
      <c r="Q36" s="100">
        <v>28.47</v>
      </c>
      <c r="R36" s="6"/>
      <c r="S36" s="6"/>
      <c r="T36" s="156"/>
      <c r="U36" s="6"/>
    </row>
    <row r="37" spans="1:21" customFormat="1">
      <c r="A37" s="163" t="s">
        <v>2763</v>
      </c>
      <c r="B37" s="100">
        <v>17.329999999999998</v>
      </c>
      <c r="C37" s="100">
        <v>21.45</v>
      </c>
      <c r="D37" s="100">
        <v>26.46</v>
      </c>
      <c r="E37" s="100">
        <v>7.72</v>
      </c>
      <c r="F37" s="152" t="s">
        <v>15</v>
      </c>
      <c r="G37" s="100">
        <v>99.51</v>
      </c>
      <c r="H37" s="100">
        <v>40.31</v>
      </c>
      <c r="I37" s="100">
        <v>11.73</v>
      </c>
      <c r="J37" s="100">
        <v>0.28999999999999998</v>
      </c>
      <c r="K37" s="100">
        <v>85.66</v>
      </c>
      <c r="L37" s="100">
        <v>24.24</v>
      </c>
      <c r="M37" s="100">
        <v>46.3</v>
      </c>
      <c r="N37" s="100">
        <v>57.5</v>
      </c>
      <c r="O37" s="100">
        <v>0</v>
      </c>
      <c r="P37" s="100">
        <v>1.06</v>
      </c>
      <c r="Q37" s="100">
        <v>28.48</v>
      </c>
      <c r="R37" s="6"/>
      <c r="S37" s="6"/>
      <c r="T37" s="156"/>
      <c r="U37" s="6"/>
    </row>
    <row r="38" spans="1:21" customFormat="1">
      <c r="A38" s="163" t="s">
        <v>2764</v>
      </c>
      <c r="B38" s="100">
        <v>17.670000000000002</v>
      </c>
      <c r="C38" s="100">
        <v>21.9</v>
      </c>
      <c r="D38" s="100">
        <v>26.96</v>
      </c>
      <c r="E38" s="100">
        <v>7.77</v>
      </c>
      <c r="F38" s="152" t="s">
        <v>15</v>
      </c>
      <c r="G38" s="100">
        <v>99.51</v>
      </c>
      <c r="H38" s="100">
        <v>40.31</v>
      </c>
      <c r="I38" s="100">
        <v>12.28</v>
      </c>
      <c r="J38" s="100">
        <v>0.12</v>
      </c>
      <c r="K38" s="100">
        <v>89.99</v>
      </c>
      <c r="L38" s="100">
        <v>24.66</v>
      </c>
      <c r="M38" s="100">
        <v>44.7</v>
      </c>
      <c r="N38" s="100">
        <v>68.7</v>
      </c>
      <c r="O38" s="100">
        <v>0</v>
      </c>
      <c r="P38" s="100">
        <v>1.1200000000000001</v>
      </c>
      <c r="Q38" s="100">
        <v>28.5</v>
      </c>
      <c r="R38" s="6"/>
      <c r="S38" s="6"/>
      <c r="T38" s="156"/>
      <c r="U38" s="6"/>
    </row>
    <row r="39" spans="1:21" customFormat="1">
      <c r="A39" s="163" t="s">
        <v>2765</v>
      </c>
      <c r="B39" s="100">
        <v>17.47</v>
      </c>
      <c r="C39" s="100">
        <v>22.32</v>
      </c>
      <c r="D39" s="100">
        <v>27.02</v>
      </c>
      <c r="E39" s="100">
        <v>7.86</v>
      </c>
      <c r="F39" s="152" t="s">
        <v>15</v>
      </c>
      <c r="G39" s="100">
        <v>99.51</v>
      </c>
      <c r="H39" s="100">
        <v>40.31</v>
      </c>
      <c r="I39" s="100">
        <v>12.89</v>
      </c>
      <c r="J39" s="100">
        <v>0.05</v>
      </c>
      <c r="K39" s="100">
        <v>24.58</v>
      </c>
      <c r="L39" s="100">
        <v>25.41</v>
      </c>
      <c r="M39" s="100">
        <v>43.23</v>
      </c>
      <c r="N39" s="100">
        <v>79.7</v>
      </c>
      <c r="O39" s="100">
        <v>0</v>
      </c>
      <c r="P39" s="100">
        <v>1.1499999999999999</v>
      </c>
      <c r="Q39" s="100">
        <v>28.51</v>
      </c>
      <c r="R39" s="6"/>
      <c r="S39" s="6"/>
      <c r="T39" s="156"/>
      <c r="U39" s="6"/>
    </row>
    <row r="40" spans="1:21" customFormat="1">
      <c r="A40" s="163" t="s">
        <v>2766</v>
      </c>
      <c r="B40" s="100">
        <v>17.149999999999999</v>
      </c>
      <c r="C40" s="100">
        <v>22.9</v>
      </c>
      <c r="D40" s="100">
        <v>27.07</v>
      </c>
      <c r="E40" s="100">
        <v>7.81</v>
      </c>
      <c r="F40" s="152" t="s">
        <v>15</v>
      </c>
      <c r="G40" s="100">
        <v>195.35</v>
      </c>
      <c r="H40" s="100">
        <v>58.66</v>
      </c>
      <c r="I40" s="100">
        <v>13.43</v>
      </c>
      <c r="J40" s="100">
        <v>0.22</v>
      </c>
      <c r="K40" s="100">
        <v>296.08999999999997</v>
      </c>
      <c r="L40" s="100">
        <v>26.08</v>
      </c>
      <c r="M40" s="100">
        <v>40.479999999999997</v>
      </c>
      <c r="N40" s="100">
        <v>100.1</v>
      </c>
      <c r="O40" s="100">
        <v>0</v>
      </c>
      <c r="P40" s="100">
        <v>1.19</v>
      </c>
      <c r="Q40" s="100">
        <v>28.49</v>
      </c>
      <c r="R40" s="6"/>
      <c r="S40" s="6"/>
      <c r="T40" s="156"/>
      <c r="U40" s="6"/>
    </row>
    <row r="41" spans="1:21" customFormat="1">
      <c r="A41" s="163" t="s">
        <v>2767</v>
      </c>
      <c r="B41" s="100">
        <v>16.54</v>
      </c>
      <c r="C41" s="100">
        <v>23.71</v>
      </c>
      <c r="D41" s="100">
        <v>27</v>
      </c>
      <c r="E41" s="100">
        <v>8.15</v>
      </c>
      <c r="F41" s="152" t="s">
        <v>15</v>
      </c>
      <c r="G41" s="100">
        <v>230.2</v>
      </c>
      <c r="H41" s="100">
        <v>59.22</v>
      </c>
      <c r="I41" s="100">
        <v>13.87</v>
      </c>
      <c r="J41" s="100">
        <v>0.18</v>
      </c>
      <c r="K41" s="100">
        <v>340.68</v>
      </c>
      <c r="L41" s="100">
        <v>27.17</v>
      </c>
      <c r="M41" s="100">
        <v>37.130000000000003</v>
      </c>
      <c r="N41" s="100">
        <v>213.2</v>
      </c>
      <c r="O41" s="100">
        <v>0</v>
      </c>
      <c r="P41" s="100">
        <v>1.22</v>
      </c>
      <c r="Q41" s="100">
        <v>28.47</v>
      </c>
      <c r="R41" s="6"/>
      <c r="S41" s="6"/>
      <c r="T41" s="156"/>
      <c r="U41" s="6"/>
    </row>
    <row r="42" spans="1:21" customFormat="1">
      <c r="A42" s="163" t="s">
        <v>2768</v>
      </c>
      <c r="B42" s="100">
        <v>15.64</v>
      </c>
      <c r="C42" s="100">
        <v>24.85</v>
      </c>
      <c r="D42" s="100">
        <v>26.88</v>
      </c>
      <c r="E42" s="100">
        <v>8.75</v>
      </c>
      <c r="F42" s="152" t="s">
        <v>15</v>
      </c>
      <c r="G42" s="100">
        <v>230.2</v>
      </c>
      <c r="H42" s="100">
        <v>59.22</v>
      </c>
      <c r="I42" s="100">
        <v>14.28</v>
      </c>
      <c r="J42" s="100">
        <v>0.34</v>
      </c>
      <c r="K42" s="100">
        <v>34.75</v>
      </c>
      <c r="L42" s="100">
        <v>28.53</v>
      </c>
      <c r="M42" s="100">
        <v>33.6</v>
      </c>
      <c r="N42" s="100">
        <v>177.9</v>
      </c>
      <c r="O42" s="100">
        <v>0</v>
      </c>
      <c r="P42" s="100">
        <v>1.27</v>
      </c>
      <c r="Q42" s="100">
        <v>28.44</v>
      </c>
      <c r="R42" s="6"/>
      <c r="S42" s="6"/>
      <c r="T42" s="156"/>
      <c r="U42" s="6"/>
    </row>
    <row r="43" spans="1:21" customFormat="1">
      <c r="A43" s="163" t="s">
        <v>2769</v>
      </c>
      <c r="B43" s="100">
        <v>14.58</v>
      </c>
      <c r="C43" s="100">
        <v>26.13</v>
      </c>
      <c r="D43" s="100">
        <v>26.69</v>
      </c>
      <c r="E43" s="100">
        <v>12.26</v>
      </c>
      <c r="F43" s="152" t="s">
        <v>15</v>
      </c>
      <c r="G43" s="100">
        <v>230.2</v>
      </c>
      <c r="H43" s="100">
        <v>59.22</v>
      </c>
      <c r="I43" s="100">
        <v>14.69</v>
      </c>
      <c r="J43" s="100">
        <v>0.23</v>
      </c>
      <c r="K43" s="100">
        <v>21.75</v>
      </c>
      <c r="L43" s="100">
        <v>29.94</v>
      </c>
      <c r="M43" s="100">
        <v>29.91</v>
      </c>
      <c r="N43" s="100">
        <v>168.1</v>
      </c>
      <c r="O43" s="100">
        <v>0</v>
      </c>
      <c r="P43" s="100">
        <v>1.32</v>
      </c>
      <c r="Q43" s="100">
        <v>28.43</v>
      </c>
      <c r="R43" s="6"/>
      <c r="S43" s="6"/>
      <c r="T43" s="156"/>
      <c r="U43" s="6"/>
    </row>
    <row r="44" spans="1:21" customFormat="1">
      <c r="A44" s="163" t="s">
        <v>2770</v>
      </c>
      <c r="B44" s="100">
        <v>13.43</v>
      </c>
      <c r="C44" s="100">
        <v>27.41</v>
      </c>
      <c r="D44" s="100">
        <v>26.44</v>
      </c>
      <c r="E44" s="100">
        <v>10.27</v>
      </c>
      <c r="F44" s="152" t="s">
        <v>15</v>
      </c>
      <c r="G44" s="100">
        <v>231.46</v>
      </c>
      <c r="H44" s="100">
        <v>69.599999999999994</v>
      </c>
      <c r="I44" s="100">
        <v>15.2</v>
      </c>
      <c r="J44" s="100">
        <v>0.18</v>
      </c>
      <c r="K44" s="100">
        <v>242.35</v>
      </c>
      <c r="L44" s="100">
        <v>30.88</v>
      </c>
      <c r="M44" s="100">
        <v>28.59</v>
      </c>
      <c r="N44" s="100">
        <v>287</v>
      </c>
      <c r="O44" s="100">
        <v>0</v>
      </c>
      <c r="P44" s="100">
        <v>1.33</v>
      </c>
      <c r="Q44" s="100">
        <v>28.4</v>
      </c>
      <c r="R44" s="6"/>
      <c r="S44" s="6"/>
      <c r="T44" s="156"/>
      <c r="U44" s="6"/>
    </row>
    <row r="45" spans="1:21" customFormat="1">
      <c r="A45" s="163" t="s">
        <v>2771</v>
      </c>
      <c r="B45" s="100">
        <v>11.62</v>
      </c>
      <c r="C45" s="100">
        <v>28.95</v>
      </c>
      <c r="D45" s="100">
        <v>25.8</v>
      </c>
      <c r="E45" s="100">
        <v>18.72</v>
      </c>
      <c r="F45" s="152" t="s">
        <v>15</v>
      </c>
      <c r="G45" s="100">
        <v>231.91</v>
      </c>
      <c r="H45" s="100">
        <v>69.760000000000005</v>
      </c>
      <c r="I45" s="100">
        <v>15.68</v>
      </c>
      <c r="J45" s="100">
        <v>0.24</v>
      </c>
      <c r="K45" s="100">
        <v>93.76</v>
      </c>
      <c r="L45" s="100">
        <v>32.340000000000003</v>
      </c>
      <c r="M45" s="100">
        <v>25.96</v>
      </c>
      <c r="N45" s="100">
        <v>291.7</v>
      </c>
      <c r="O45" s="100">
        <v>0</v>
      </c>
      <c r="P45" s="100">
        <v>1.43</v>
      </c>
      <c r="Q45" s="100">
        <v>28.36</v>
      </c>
      <c r="R45" s="6"/>
      <c r="S45" s="6"/>
      <c r="T45" s="156"/>
      <c r="U45" s="6"/>
    </row>
    <row r="46" spans="1:21" customFormat="1">
      <c r="A46" s="163" t="s">
        <v>2772</v>
      </c>
      <c r="B46" s="100">
        <v>9.65</v>
      </c>
      <c r="C46" s="100">
        <v>30.58</v>
      </c>
      <c r="D46" s="100">
        <v>25.07</v>
      </c>
      <c r="E46" s="100">
        <v>15.49</v>
      </c>
      <c r="F46" s="152" t="s">
        <v>15</v>
      </c>
      <c r="G46" s="100">
        <v>231.91</v>
      </c>
      <c r="H46" s="100">
        <v>69.760000000000005</v>
      </c>
      <c r="I46" s="100">
        <v>16</v>
      </c>
      <c r="J46" s="100">
        <v>0.06</v>
      </c>
      <c r="K46" s="100">
        <v>157.57</v>
      </c>
      <c r="L46" s="100">
        <v>33.229999999999997</v>
      </c>
      <c r="M46" s="100">
        <v>23.69</v>
      </c>
      <c r="N46" s="100">
        <v>430.1</v>
      </c>
      <c r="O46" s="100">
        <v>0</v>
      </c>
      <c r="P46" s="100">
        <v>1.43</v>
      </c>
      <c r="Q46" s="100">
        <v>28.31</v>
      </c>
      <c r="R46" s="6"/>
      <c r="S46" s="6"/>
      <c r="T46" s="156"/>
      <c r="U46" s="6"/>
    </row>
    <row r="47" spans="1:21" customFormat="1">
      <c r="A47" s="163" t="s">
        <v>2773</v>
      </c>
      <c r="B47" s="100">
        <v>8.65</v>
      </c>
      <c r="C47" s="100">
        <v>35.83</v>
      </c>
      <c r="D47" s="100">
        <v>27</v>
      </c>
      <c r="E47" s="100">
        <v>18.2</v>
      </c>
      <c r="F47" s="152" t="s">
        <v>15</v>
      </c>
      <c r="G47" s="100">
        <v>231.91</v>
      </c>
      <c r="H47" s="100">
        <v>69.760000000000005</v>
      </c>
      <c r="I47" s="100">
        <v>17.329999999999998</v>
      </c>
      <c r="J47" s="100">
        <v>0.08</v>
      </c>
      <c r="K47" s="100">
        <v>263.7</v>
      </c>
      <c r="L47" s="100">
        <v>34.020000000000003</v>
      </c>
      <c r="M47" s="100">
        <v>21.52</v>
      </c>
      <c r="N47" s="100">
        <v>467.6</v>
      </c>
      <c r="O47" s="100">
        <v>0</v>
      </c>
      <c r="P47" s="100">
        <v>1.49</v>
      </c>
      <c r="Q47" s="100">
        <v>28.26</v>
      </c>
      <c r="R47" s="6"/>
      <c r="S47" s="6"/>
      <c r="T47" s="156"/>
      <c r="U47" s="6"/>
    </row>
    <row r="48" spans="1:21" customFormat="1">
      <c r="A48" s="163" t="s">
        <v>2774</v>
      </c>
      <c r="B48" s="100">
        <v>6.53</v>
      </c>
      <c r="C48" s="100">
        <v>32.69</v>
      </c>
      <c r="D48" s="100">
        <v>23.67</v>
      </c>
      <c r="E48" s="100">
        <v>15.53</v>
      </c>
      <c r="F48" s="152" t="s">
        <v>15</v>
      </c>
      <c r="G48" s="100">
        <v>227.55</v>
      </c>
      <c r="H48" s="100">
        <v>84.96</v>
      </c>
      <c r="I48" s="100">
        <v>17.61</v>
      </c>
      <c r="J48" s="100">
        <v>0.8</v>
      </c>
      <c r="K48" s="100">
        <v>258.52</v>
      </c>
      <c r="L48" s="100">
        <v>34.32</v>
      </c>
      <c r="M48" s="100">
        <v>18.350000000000001</v>
      </c>
      <c r="N48" s="100">
        <v>507.5</v>
      </c>
      <c r="O48" s="100">
        <v>0</v>
      </c>
      <c r="P48" s="100">
        <v>1.46</v>
      </c>
      <c r="Q48" s="100">
        <v>28.21</v>
      </c>
      <c r="R48" s="6"/>
      <c r="S48" s="6"/>
      <c r="T48" s="156"/>
      <c r="U48" s="6"/>
    </row>
    <row r="49" spans="1:21" customFormat="1">
      <c r="A49" s="163" t="s">
        <v>2775</v>
      </c>
      <c r="B49" s="100">
        <v>5.26</v>
      </c>
      <c r="C49" s="100">
        <v>31.49</v>
      </c>
      <c r="D49" s="100">
        <v>22.02</v>
      </c>
      <c r="E49" s="100">
        <v>8.91</v>
      </c>
      <c r="F49" s="152" t="s">
        <v>15</v>
      </c>
      <c r="G49" s="100">
        <v>225.96</v>
      </c>
      <c r="H49" s="100">
        <v>85.43</v>
      </c>
      <c r="I49" s="100">
        <v>18.440000000000001</v>
      </c>
      <c r="J49" s="100">
        <v>0.72</v>
      </c>
      <c r="K49" s="100">
        <v>245.32</v>
      </c>
      <c r="L49" s="100">
        <v>34.75</v>
      </c>
      <c r="M49" s="100">
        <v>19.07</v>
      </c>
      <c r="N49" s="100">
        <v>506.9</v>
      </c>
      <c r="O49" s="100">
        <v>0</v>
      </c>
      <c r="P49" s="100">
        <v>1.45</v>
      </c>
      <c r="Q49" s="100">
        <v>28.18</v>
      </c>
      <c r="R49" s="6"/>
      <c r="S49" s="6"/>
      <c r="T49" s="156"/>
      <c r="U49" s="6"/>
    </row>
    <row r="50" spans="1:21" customFormat="1">
      <c r="A50" s="163" t="s">
        <v>2776</v>
      </c>
      <c r="B50" s="100">
        <v>4.46</v>
      </c>
      <c r="C50" s="100">
        <v>29.93</v>
      </c>
      <c r="D50" s="100">
        <v>20.57</v>
      </c>
      <c r="E50" s="100">
        <v>10.82</v>
      </c>
      <c r="F50" s="152" t="s">
        <v>15</v>
      </c>
      <c r="G50" s="100">
        <v>225.96</v>
      </c>
      <c r="H50" s="100">
        <v>85.43</v>
      </c>
      <c r="I50" s="100">
        <v>18.21</v>
      </c>
      <c r="J50" s="100">
        <v>0.87</v>
      </c>
      <c r="K50" s="100">
        <v>256.43</v>
      </c>
      <c r="L50" s="100">
        <v>34.75</v>
      </c>
      <c r="M50" s="100">
        <v>19.73</v>
      </c>
      <c r="N50" s="100">
        <v>427.2</v>
      </c>
      <c r="O50" s="100">
        <v>0</v>
      </c>
      <c r="P50" s="100">
        <v>1.43</v>
      </c>
      <c r="Q50" s="100">
        <v>28.13</v>
      </c>
      <c r="R50" s="6"/>
      <c r="S50" s="6"/>
      <c r="T50" s="156"/>
      <c r="U50" s="6"/>
    </row>
    <row r="51" spans="1:21" customFormat="1">
      <c r="A51" s="163" t="s">
        <v>2777</v>
      </c>
      <c r="B51" s="100">
        <v>3.95</v>
      </c>
      <c r="C51" s="100">
        <v>28.11</v>
      </c>
      <c r="D51" s="100">
        <v>19.2</v>
      </c>
      <c r="E51" s="100">
        <v>10.5</v>
      </c>
      <c r="F51" s="152" t="s">
        <v>15</v>
      </c>
      <c r="G51" s="100">
        <v>225.96</v>
      </c>
      <c r="H51" s="100">
        <v>85.43</v>
      </c>
      <c r="I51" s="100">
        <v>18.149999999999999</v>
      </c>
      <c r="J51" s="100">
        <v>0.87</v>
      </c>
      <c r="K51" s="100">
        <v>257.88</v>
      </c>
      <c r="L51" s="100">
        <v>35.19</v>
      </c>
      <c r="M51" s="100">
        <v>20.239999999999998</v>
      </c>
      <c r="N51" s="100">
        <v>620.70000000000005</v>
      </c>
      <c r="O51" s="100">
        <v>0</v>
      </c>
      <c r="P51" s="100">
        <v>1.4</v>
      </c>
      <c r="Q51" s="100">
        <v>28.13</v>
      </c>
      <c r="R51" s="6"/>
      <c r="S51" s="6"/>
      <c r="T51" s="156"/>
      <c r="U51" s="6"/>
    </row>
    <row r="52" spans="1:21" customFormat="1">
      <c r="A52" s="163" t="s">
        <v>2778</v>
      </c>
      <c r="B52" s="100">
        <v>3.8</v>
      </c>
      <c r="C52" s="100">
        <v>25.9</v>
      </c>
      <c r="D52" s="100">
        <v>17.93</v>
      </c>
      <c r="E52" s="100">
        <v>11.82</v>
      </c>
      <c r="F52" s="152" t="s">
        <v>15</v>
      </c>
      <c r="G52" s="100">
        <v>154.13999999999999</v>
      </c>
      <c r="H52" s="100">
        <v>69.25</v>
      </c>
      <c r="I52" s="100">
        <v>18.190000000000001</v>
      </c>
      <c r="J52" s="100">
        <v>0.69</v>
      </c>
      <c r="K52" s="100">
        <v>253.12</v>
      </c>
      <c r="L52" s="100">
        <v>35.82</v>
      </c>
      <c r="M52" s="100">
        <v>19.3</v>
      </c>
      <c r="N52" s="100">
        <v>673.7</v>
      </c>
      <c r="O52" s="100">
        <v>0</v>
      </c>
      <c r="P52" s="100">
        <v>1.36</v>
      </c>
      <c r="Q52" s="100">
        <v>28.11</v>
      </c>
      <c r="R52" s="6"/>
      <c r="S52" s="6"/>
      <c r="T52" s="156"/>
      <c r="U52" s="6"/>
    </row>
    <row r="53" spans="1:21" customFormat="1">
      <c r="A53" s="163" t="s">
        <v>2779</v>
      </c>
      <c r="B53" s="100">
        <v>3.93</v>
      </c>
      <c r="C53" s="100">
        <v>24.69</v>
      </c>
      <c r="D53" s="100">
        <v>17.399999999999999</v>
      </c>
      <c r="E53" s="100">
        <v>10.18</v>
      </c>
      <c r="F53" s="152" t="s">
        <v>15</v>
      </c>
      <c r="G53" s="100">
        <v>128.03</v>
      </c>
      <c r="H53" s="100">
        <v>67.23</v>
      </c>
      <c r="I53" s="100">
        <v>18.14</v>
      </c>
      <c r="J53" s="100">
        <v>0.87</v>
      </c>
      <c r="K53" s="100">
        <v>255.43</v>
      </c>
      <c r="L53" s="100">
        <v>36.36</v>
      </c>
      <c r="M53" s="100">
        <v>18.649999999999999</v>
      </c>
      <c r="N53" s="100">
        <v>646.29999999999995</v>
      </c>
      <c r="O53" s="100">
        <v>0</v>
      </c>
      <c r="P53" s="100">
        <v>1.37</v>
      </c>
      <c r="Q53" s="100">
        <v>28.09</v>
      </c>
      <c r="R53" s="6"/>
      <c r="S53" s="6"/>
      <c r="T53" s="156"/>
      <c r="U53" s="6"/>
    </row>
    <row r="54" spans="1:21" customFormat="1">
      <c r="A54" s="163" t="s">
        <v>2780</v>
      </c>
      <c r="B54" s="100">
        <v>3.95</v>
      </c>
      <c r="C54" s="100">
        <v>20.95</v>
      </c>
      <c r="D54" s="100">
        <v>15.46</v>
      </c>
      <c r="E54" s="100">
        <v>17.579999999999998</v>
      </c>
      <c r="F54" s="152" t="s">
        <v>15</v>
      </c>
      <c r="G54" s="100">
        <v>128.03</v>
      </c>
      <c r="H54" s="100">
        <v>67.23</v>
      </c>
      <c r="I54" s="100">
        <v>17.510000000000002</v>
      </c>
      <c r="J54" s="100">
        <v>0.92</v>
      </c>
      <c r="K54" s="100">
        <v>259.88</v>
      </c>
      <c r="L54" s="100">
        <v>36.44</v>
      </c>
      <c r="M54" s="100">
        <v>17.690000000000001</v>
      </c>
      <c r="N54" s="100">
        <v>726</v>
      </c>
      <c r="O54" s="100">
        <v>0</v>
      </c>
      <c r="P54" s="100">
        <v>1.1499999999999999</v>
      </c>
      <c r="Q54" s="100">
        <v>28.09</v>
      </c>
      <c r="R54" s="6"/>
      <c r="S54" s="6"/>
      <c r="T54" s="156"/>
      <c r="U54" s="6"/>
    </row>
    <row r="55" spans="1:21" customFormat="1">
      <c r="A55" s="163" t="s">
        <v>2781</v>
      </c>
      <c r="B55" s="100">
        <v>3.83</v>
      </c>
      <c r="C55" s="100">
        <v>16.920000000000002</v>
      </c>
      <c r="D55" s="100">
        <v>13.26</v>
      </c>
      <c r="E55" s="100">
        <v>22.32</v>
      </c>
      <c r="F55" s="152" t="s">
        <v>15</v>
      </c>
      <c r="G55" s="100">
        <v>128.03</v>
      </c>
      <c r="H55" s="100">
        <v>67.23</v>
      </c>
      <c r="I55" s="100">
        <v>17.14</v>
      </c>
      <c r="J55" s="100">
        <v>0.79</v>
      </c>
      <c r="K55" s="100">
        <v>280.3</v>
      </c>
      <c r="L55" s="100">
        <v>37.130000000000003</v>
      </c>
      <c r="M55" s="100">
        <v>17.239999999999998</v>
      </c>
      <c r="N55" s="100">
        <v>649.6</v>
      </c>
      <c r="O55" s="100">
        <v>0</v>
      </c>
      <c r="P55" s="100">
        <v>1.03</v>
      </c>
      <c r="Q55" s="100">
        <v>28.04</v>
      </c>
      <c r="R55" s="6"/>
      <c r="S55" s="6"/>
      <c r="T55" s="156"/>
      <c r="U55" s="6"/>
    </row>
    <row r="56" spans="1:21" customFormat="1">
      <c r="A56" s="163" t="s">
        <v>2782</v>
      </c>
      <c r="B56" s="100">
        <v>3.66</v>
      </c>
      <c r="C56" s="100">
        <v>14.65</v>
      </c>
      <c r="D56" s="100">
        <v>11.94</v>
      </c>
      <c r="E56" s="100">
        <v>19.93</v>
      </c>
      <c r="F56" s="152" t="s">
        <v>15</v>
      </c>
      <c r="G56" s="100">
        <v>77.02</v>
      </c>
      <c r="H56" s="100">
        <v>41.61</v>
      </c>
      <c r="I56" s="100">
        <v>14</v>
      </c>
      <c r="J56" s="100">
        <v>0.95</v>
      </c>
      <c r="K56" s="100">
        <v>267.69</v>
      </c>
      <c r="L56" s="100">
        <v>37.58</v>
      </c>
      <c r="M56" s="100">
        <v>16.34</v>
      </c>
      <c r="N56" s="100">
        <v>774.2</v>
      </c>
      <c r="O56" s="100">
        <v>0</v>
      </c>
      <c r="P56" s="100">
        <v>0.89</v>
      </c>
      <c r="Q56" s="100">
        <v>28.06</v>
      </c>
      <c r="R56" s="6"/>
      <c r="S56" s="6"/>
      <c r="T56" s="156"/>
      <c r="U56" s="6"/>
    </row>
    <row r="57" spans="1:21" customFormat="1">
      <c r="A57" s="163" t="s">
        <v>2783</v>
      </c>
      <c r="B57" s="100">
        <v>3.56</v>
      </c>
      <c r="C57" s="100">
        <v>14.22</v>
      </c>
      <c r="D57" s="100">
        <v>11.64</v>
      </c>
      <c r="E57" s="100">
        <v>18.87</v>
      </c>
      <c r="F57" s="152" t="s">
        <v>15</v>
      </c>
      <c r="G57" s="100">
        <v>58.48</v>
      </c>
      <c r="H57" s="100">
        <v>41.22</v>
      </c>
      <c r="I57" s="100">
        <v>9.81</v>
      </c>
      <c r="J57" s="100">
        <v>0.83</v>
      </c>
      <c r="K57" s="100">
        <v>268.24</v>
      </c>
      <c r="L57" s="100">
        <v>38.119999999999997</v>
      </c>
      <c r="M57" s="100">
        <v>14.51</v>
      </c>
      <c r="N57" s="100">
        <v>777.6</v>
      </c>
      <c r="O57" s="100">
        <v>0</v>
      </c>
      <c r="P57" s="100">
        <v>0.88</v>
      </c>
      <c r="Q57" s="100">
        <v>28.06</v>
      </c>
      <c r="R57" s="6"/>
      <c r="S57" s="6"/>
      <c r="T57" s="156"/>
      <c r="U57" s="6"/>
    </row>
    <row r="58" spans="1:21" customFormat="1">
      <c r="A58" s="163" t="s">
        <v>2784</v>
      </c>
      <c r="B58" s="100">
        <v>3.41</v>
      </c>
      <c r="C58" s="100">
        <v>13.13</v>
      </c>
      <c r="D58" s="100">
        <v>10.94</v>
      </c>
      <c r="E58" s="100">
        <v>17.73</v>
      </c>
      <c r="F58" s="152" t="s">
        <v>15</v>
      </c>
      <c r="G58" s="100">
        <v>58.48</v>
      </c>
      <c r="H58" s="100">
        <v>41.22</v>
      </c>
      <c r="I58" s="100">
        <v>8.4600000000000009</v>
      </c>
      <c r="J58" s="100">
        <v>0.94</v>
      </c>
      <c r="K58" s="100">
        <v>253.21</v>
      </c>
      <c r="L58" s="100">
        <v>38.24</v>
      </c>
      <c r="M58" s="100">
        <v>15.19</v>
      </c>
      <c r="N58" s="100">
        <v>764.8</v>
      </c>
      <c r="O58" s="100">
        <v>0</v>
      </c>
      <c r="P58" s="100">
        <v>0.84</v>
      </c>
      <c r="Q58" s="100">
        <v>28.06</v>
      </c>
      <c r="R58" s="6"/>
      <c r="S58" s="6"/>
      <c r="T58" s="156"/>
      <c r="U58" s="6"/>
    </row>
    <row r="59" spans="1:21" customFormat="1">
      <c r="A59" s="163" t="s">
        <v>2785</v>
      </c>
      <c r="B59" s="100">
        <v>3.27</v>
      </c>
      <c r="C59" s="100">
        <v>13.8</v>
      </c>
      <c r="D59" s="100">
        <v>11.18</v>
      </c>
      <c r="E59" s="100">
        <v>11.74</v>
      </c>
      <c r="F59" s="152" t="s">
        <v>15</v>
      </c>
      <c r="G59" s="100">
        <v>58.48</v>
      </c>
      <c r="H59" s="100">
        <v>41.22</v>
      </c>
      <c r="I59" s="100">
        <v>7.84</v>
      </c>
      <c r="J59" s="100">
        <v>1.22</v>
      </c>
      <c r="K59" s="100">
        <v>279.7</v>
      </c>
      <c r="L59" s="100">
        <v>38.159999999999997</v>
      </c>
      <c r="M59" s="100">
        <v>14.59</v>
      </c>
      <c r="N59" s="100">
        <v>750</v>
      </c>
      <c r="O59" s="100">
        <v>0</v>
      </c>
      <c r="P59" s="100">
        <v>0.83</v>
      </c>
      <c r="Q59" s="100">
        <v>28.05</v>
      </c>
      <c r="R59" s="6"/>
      <c r="S59" s="6"/>
      <c r="T59" s="156"/>
      <c r="U59" s="6"/>
    </row>
    <row r="60" spans="1:21" customFormat="1">
      <c r="A60" s="163" t="s">
        <v>2786</v>
      </c>
      <c r="B60" s="100">
        <v>3.28</v>
      </c>
      <c r="C60" s="100">
        <v>14.35</v>
      </c>
      <c r="D60" s="100">
        <v>11.48</v>
      </c>
      <c r="E60" s="100">
        <v>12.65</v>
      </c>
      <c r="F60" s="152" t="s">
        <v>15</v>
      </c>
      <c r="G60" s="100">
        <v>52.79</v>
      </c>
      <c r="H60" s="100">
        <v>35.65</v>
      </c>
      <c r="I60" s="100">
        <v>9.0299999999999994</v>
      </c>
      <c r="J60" s="100">
        <v>0.69</v>
      </c>
      <c r="K60" s="100">
        <v>262.74</v>
      </c>
      <c r="L60" s="100">
        <v>38.770000000000003</v>
      </c>
      <c r="M60" s="100">
        <v>13.89</v>
      </c>
      <c r="N60" s="100">
        <v>714.9</v>
      </c>
      <c r="O60" s="100">
        <v>0</v>
      </c>
      <c r="P60" s="100">
        <v>0.83</v>
      </c>
      <c r="Q60" s="100">
        <v>28.06</v>
      </c>
      <c r="R60" s="6"/>
      <c r="S60" s="6"/>
      <c r="T60" s="156"/>
      <c r="U60" s="6"/>
    </row>
    <row r="61" spans="1:21" customFormat="1">
      <c r="A61" s="163" t="s">
        <v>2787</v>
      </c>
      <c r="B61" s="100">
        <v>3.3</v>
      </c>
      <c r="C61" s="100">
        <v>14.09</v>
      </c>
      <c r="D61" s="100">
        <v>11.35</v>
      </c>
      <c r="E61" s="100">
        <v>11.96</v>
      </c>
      <c r="F61" s="152" t="s">
        <v>15</v>
      </c>
      <c r="G61" s="100">
        <v>50.72</v>
      </c>
      <c r="H61" s="100">
        <v>35.56</v>
      </c>
      <c r="I61" s="100">
        <v>7.5</v>
      </c>
      <c r="J61" s="100">
        <v>0.74</v>
      </c>
      <c r="K61" s="100">
        <v>263.83</v>
      </c>
      <c r="L61" s="100">
        <v>39.19</v>
      </c>
      <c r="M61" s="100">
        <v>13.93</v>
      </c>
      <c r="N61" s="100">
        <v>644.29999999999995</v>
      </c>
      <c r="O61" s="100">
        <v>0</v>
      </c>
      <c r="P61" s="100">
        <v>0.82</v>
      </c>
      <c r="Q61" s="100">
        <v>28.07</v>
      </c>
      <c r="R61" s="6"/>
      <c r="S61" s="6"/>
      <c r="T61" s="156"/>
      <c r="U61" s="6"/>
    </row>
    <row r="62" spans="1:21" customFormat="1">
      <c r="A62" s="163" t="s">
        <v>2788</v>
      </c>
      <c r="B62" s="100">
        <v>3.42</v>
      </c>
      <c r="C62" s="100">
        <v>14.23</v>
      </c>
      <c r="D62" s="100">
        <v>11.53</v>
      </c>
      <c r="E62" s="100">
        <v>12.85</v>
      </c>
      <c r="F62" s="152" t="s">
        <v>15</v>
      </c>
      <c r="G62" s="100">
        <v>50.72</v>
      </c>
      <c r="H62" s="100">
        <v>35.56</v>
      </c>
      <c r="I62" s="100">
        <v>7.77</v>
      </c>
      <c r="J62" s="100">
        <v>0.77</v>
      </c>
      <c r="K62" s="100">
        <v>287.45999999999998</v>
      </c>
      <c r="L62" s="100">
        <v>39.29</v>
      </c>
      <c r="M62" s="100">
        <v>13.61</v>
      </c>
      <c r="N62" s="100">
        <v>601.79999999999995</v>
      </c>
      <c r="O62" s="100">
        <v>0</v>
      </c>
      <c r="P62" s="100">
        <v>0.82</v>
      </c>
      <c r="Q62" s="100">
        <v>28.07</v>
      </c>
      <c r="R62" s="6"/>
      <c r="S62" s="6"/>
      <c r="T62" s="156"/>
      <c r="U62" s="6"/>
    </row>
    <row r="63" spans="1:21" customFormat="1">
      <c r="A63" s="163" t="s">
        <v>2789</v>
      </c>
      <c r="B63" s="100">
        <v>3.62</v>
      </c>
      <c r="C63" s="100">
        <v>14.79</v>
      </c>
      <c r="D63" s="100">
        <v>11.98</v>
      </c>
      <c r="E63" s="100">
        <v>13.12</v>
      </c>
      <c r="F63" s="152" t="s">
        <v>15</v>
      </c>
      <c r="G63" s="100">
        <v>50.72</v>
      </c>
      <c r="H63" s="100">
        <v>35.56</v>
      </c>
      <c r="I63" s="100">
        <v>7.94</v>
      </c>
      <c r="J63" s="100">
        <v>0.6</v>
      </c>
      <c r="K63" s="100">
        <v>243.9</v>
      </c>
      <c r="L63" s="100">
        <v>39.46</v>
      </c>
      <c r="M63" s="100">
        <v>12.97</v>
      </c>
      <c r="N63" s="100">
        <v>570.70000000000005</v>
      </c>
      <c r="O63" s="100">
        <v>0</v>
      </c>
      <c r="P63" s="100">
        <v>0.8</v>
      </c>
      <c r="Q63" s="100">
        <v>28.07</v>
      </c>
      <c r="R63" s="6"/>
      <c r="S63" s="6"/>
      <c r="T63" s="156"/>
      <c r="U63" s="6"/>
    </row>
    <row r="64" spans="1:21" customFormat="1">
      <c r="A64" s="163" t="s">
        <v>2790</v>
      </c>
      <c r="B64" s="100">
        <v>3.73</v>
      </c>
      <c r="C64" s="100">
        <v>14.78</v>
      </c>
      <c r="D64" s="100">
        <v>12.07</v>
      </c>
      <c r="E64" s="100">
        <v>10.87</v>
      </c>
      <c r="F64" s="152" t="s">
        <v>15</v>
      </c>
      <c r="G64" s="100">
        <v>69.89</v>
      </c>
      <c r="H64" s="100">
        <v>32.6</v>
      </c>
      <c r="I64" s="100">
        <v>8.27</v>
      </c>
      <c r="J64" s="100">
        <v>1.17</v>
      </c>
      <c r="K64" s="100">
        <v>293.49</v>
      </c>
      <c r="L64" s="100">
        <v>39.65</v>
      </c>
      <c r="M64" s="100">
        <v>10.91</v>
      </c>
      <c r="N64" s="100">
        <v>586.6</v>
      </c>
      <c r="O64" s="100">
        <v>0</v>
      </c>
      <c r="P64" s="100">
        <v>0.81</v>
      </c>
      <c r="Q64" s="100">
        <v>28.07</v>
      </c>
      <c r="R64" s="6"/>
      <c r="S64" s="6"/>
      <c r="T64" s="156"/>
      <c r="U64" s="6"/>
    </row>
    <row r="65" spans="1:21" customFormat="1">
      <c r="A65" s="163" t="s">
        <v>2791</v>
      </c>
      <c r="B65" s="100">
        <v>3.82</v>
      </c>
      <c r="C65" s="100">
        <v>16.25</v>
      </c>
      <c r="D65" s="100">
        <v>12.9</v>
      </c>
      <c r="E65" s="100">
        <v>9.5</v>
      </c>
      <c r="F65" s="152" t="s">
        <v>15</v>
      </c>
      <c r="G65" s="100">
        <v>76.86</v>
      </c>
      <c r="H65" s="100">
        <v>32.56</v>
      </c>
      <c r="I65" s="100">
        <v>8.14</v>
      </c>
      <c r="J65" s="100">
        <v>0.53</v>
      </c>
      <c r="K65" s="100">
        <v>342.24</v>
      </c>
      <c r="L65" s="100">
        <v>39.799999999999997</v>
      </c>
      <c r="M65" s="100">
        <v>9.0299999999999994</v>
      </c>
      <c r="N65" s="100">
        <v>571.4</v>
      </c>
      <c r="O65" s="100">
        <v>0</v>
      </c>
      <c r="P65" s="100">
        <v>0.65</v>
      </c>
      <c r="Q65" s="100">
        <v>28.06</v>
      </c>
      <c r="R65" s="6"/>
      <c r="S65" s="6"/>
      <c r="T65" s="156"/>
      <c r="U65" s="6"/>
    </row>
    <row r="66" spans="1:21" customFormat="1">
      <c r="A66" s="163" t="s">
        <v>2792</v>
      </c>
      <c r="B66" s="100">
        <v>4.1500000000000004</v>
      </c>
      <c r="C66" s="100">
        <v>16.91</v>
      </c>
      <c r="D66" s="100">
        <v>13.51</v>
      </c>
      <c r="E66" s="100">
        <v>9.8699999999999992</v>
      </c>
      <c r="F66" s="152" t="s">
        <v>15</v>
      </c>
      <c r="G66" s="100">
        <v>76.86</v>
      </c>
      <c r="H66" s="100">
        <v>32.56</v>
      </c>
      <c r="I66" s="100">
        <v>7.83</v>
      </c>
      <c r="J66" s="100">
        <v>0.91</v>
      </c>
      <c r="K66" s="100">
        <v>359.35</v>
      </c>
      <c r="L66" s="100">
        <v>39.979999999999997</v>
      </c>
      <c r="M66" s="100">
        <v>8.24</v>
      </c>
      <c r="N66" s="100">
        <v>537.70000000000005</v>
      </c>
      <c r="O66" s="100">
        <v>0</v>
      </c>
      <c r="P66" s="100">
        <v>0.69</v>
      </c>
      <c r="Q66" s="100">
        <v>28.06</v>
      </c>
      <c r="R66" s="6"/>
      <c r="S66" s="6"/>
      <c r="T66" s="156"/>
      <c r="U66" s="6"/>
    </row>
    <row r="67" spans="1:21" customFormat="1">
      <c r="A67" s="163" t="s">
        <v>2793</v>
      </c>
      <c r="B67" s="100">
        <v>4.28</v>
      </c>
      <c r="C67" s="100">
        <v>17.079999999999998</v>
      </c>
      <c r="D67" s="100">
        <v>13.71</v>
      </c>
      <c r="E67" s="100">
        <v>10.44</v>
      </c>
      <c r="F67" s="152" t="s">
        <v>15</v>
      </c>
      <c r="G67" s="100">
        <v>76.86</v>
      </c>
      <c r="H67" s="100">
        <v>32.56</v>
      </c>
      <c r="I67" s="100">
        <v>7.41</v>
      </c>
      <c r="J67" s="100">
        <v>0.49</v>
      </c>
      <c r="K67" s="100">
        <v>41.43</v>
      </c>
      <c r="L67" s="100">
        <v>40.090000000000003</v>
      </c>
      <c r="M67" s="100">
        <v>8.0299999999999994</v>
      </c>
      <c r="N67" s="100">
        <v>437.2</v>
      </c>
      <c r="O67" s="100">
        <v>0</v>
      </c>
      <c r="P67" s="100">
        <v>0.67</v>
      </c>
      <c r="Q67" s="100">
        <v>28.05</v>
      </c>
      <c r="R67" s="6"/>
      <c r="S67" s="6"/>
      <c r="T67" s="156"/>
      <c r="U67" s="6"/>
    </row>
    <row r="68" spans="1:21" customFormat="1">
      <c r="A68" s="163" t="s">
        <v>2794</v>
      </c>
      <c r="B68" s="100">
        <v>4.91</v>
      </c>
      <c r="C68" s="100">
        <v>18.16</v>
      </c>
      <c r="D68" s="100">
        <v>14.77</v>
      </c>
      <c r="E68" s="100">
        <v>11.42</v>
      </c>
      <c r="F68" s="152" t="s">
        <v>15</v>
      </c>
      <c r="G68" s="100">
        <v>58.92</v>
      </c>
      <c r="H68" s="100">
        <v>26.79</v>
      </c>
      <c r="I68" s="100">
        <v>8.73</v>
      </c>
      <c r="J68" s="100">
        <v>0.32</v>
      </c>
      <c r="K68" s="100">
        <v>340.21</v>
      </c>
      <c r="L68" s="100">
        <v>40.229999999999997</v>
      </c>
      <c r="M68" s="100">
        <v>7.86</v>
      </c>
      <c r="N68" s="100">
        <v>455</v>
      </c>
      <c r="O68" s="100">
        <v>0</v>
      </c>
      <c r="P68" s="100">
        <v>0.64</v>
      </c>
      <c r="Q68" s="100">
        <v>28.06</v>
      </c>
      <c r="R68" s="6"/>
      <c r="S68" s="6"/>
      <c r="T68" s="156"/>
      <c r="U68" s="6"/>
    </row>
    <row r="69" spans="1:21" customFormat="1">
      <c r="A69" s="163" t="s">
        <v>2795</v>
      </c>
      <c r="B69" s="100">
        <v>4.21</v>
      </c>
      <c r="C69" s="100">
        <v>16.079999999999998</v>
      </c>
      <c r="D69" s="100">
        <v>13.13</v>
      </c>
      <c r="E69" s="100">
        <v>9.8000000000000007</v>
      </c>
      <c r="F69" s="152" t="s">
        <v>15</v>
      </c>
      <c r="G69" s="100">
        <v>52.39</v>
      </c>
      <c r="H69" s="100">
        <v>26.7</v>
      </c>
      <c r="I69" s="100">
        <v>8.3000000000000007</v>
      </c>
      <c r="J69" s="100">
        <v>0.55000000000000004</v>
      </c>
      <c r="K69" s="100">
        <v>301.26</v>
      </c>
      <c r="L69" s="100">
        <v>39.79</v>
      </c>
      <c r="M69" s="100">
        <v>7.82</v>
      </c>
      <c r="N69" s="100">
        <v>414.8</v>
      </c>
      <c r="O69" s="100">
        <v>0</v>
      </c>
      <c r="P69" s="100">
        <v>0.66</v>
      </c>
      <c r="Q69" s="100">
        <v>28.07</v>
      </c>
      <c r="R69" s="6"/>
      <c r="S69" s="6"/>
      <c r="T69" s="156"/>
      <c r="U69" s="6"/>
    </row>
    <row r="70" spans="1:21" customFormat="1">
      <c r="A70" s="163" t="s">
        <v>2796</v>
      </c>
      <c r="B70" s="100">
        <v>4.34</v>
      </c>
      <c r="C70" s="100">
        <v>17.57</v>
      </c>
      <c r="D70" s="100">
        <v>14.01</v>
      </c>
      <c r="E70" s="100">
        <v>10.17</v>
      </c>
      <c r="F70" s="152" t="s">
        <v>15</v>
      </c>
      <c r="G70" s="100">
        <v>52.39</v>
      </c>
      <c r="H70" s="100">
        <v>26.7</v>
      </c>
      <c r="I70" s="100">
        <v>7.9</v>
      </c>
      <c r="J70" s="100">
        <v>0.8</v>
      </c>
      <c r="K70" s="100">
        <v>6.17</v>
      </c>
      <c r="L70" s="100">
        <v>39.630000000000003</v>
      </c>
      <c r="M70" s="100">
        <v>8.27</v>
      </c>
      <c r="N70" s="100">
        <v>368.6</v>
      </c>
      <c r="O70" s="100">
        <v>0</v>
      </c>
      <c r="P70" s="100">
        <v>0.68</v>
      </c>
      <c r="Q70" s="100">
        <v>28.06</v>
      </c>
      <c r="R70" s="6"/>
      <c r="S70" s="6"/>
      <c r="T70" s="156"/>
      <c r="U70" s="6"/>
    </row>
    <row r="71" spans="1:21" customFormat="1">
      <c r="A71" s="163" t="s">
        <v>2797</v>
      </c>
      <c r="B71" s="100">
        <v>4.2699999999999996</v>
      </c>
      <c r="C71" s="100">
        <v>20.65</v>
      </c>
      <c r="D71" s="100">
        <v>15.56</v>
      </c>
      <c r="E71" s="100">
        <v>10.54</v>
      </c>
      <c r="F71" s="152" t="s">
        <v>15</v>
      </c>
      <c r="G71" s="100">
        <v>52.39</v>
      </c>
      <c r="H71" s="100">
        <v>26.7</v>
      </c>
      <c r="I71" s="100">
        <v>8.27</v>
      </c>
      <c r="J71" s="100">
        <v>0.63</v>
      </c>
      <c r="K71" s="100">
        <v>310.88</v>
      </c>
      <c r="L71" s="100">
        <v>39.67</v>
      </c>
      <c r="M71" s="100">
        <v>8.5299999999999994</v>
      </c>
      <c r="N71" s="100">
        <v>337.8</v>
      </c>
      <c r="O71" s="100">
        <v>0</v>
      </c>
      <c r="P71" s="100">
        <v>0.66</v>
      </c>
      <c r="Q71" s="100">
        <v>28.08</v>
      </c>
      <c r="R71" s="6"/>
      <c r="S71" s="6"/>
      <c r="T71" s="156"/>
      <c r="U71" s="6"/>
    </row>
    <row r="72" spans="1:21" customFormat="1">
      <c r="A72" s="163" t="s">
        <v>2798</v>
      </c>
      <c r="B72" s="100">
        <v>3.92</v>
      </c>
      <c r="C72" s="100">
        <v>16.5</v>
      </c>
      <c r="D72" s="100">
        <v>13.11</v>
      </c>
      <c r="E72" s="100">
        <v>11.73</v>
      </c>
      <c r="F72" s="152" t="s">
        <v>15</v>
      </c>
      <c r="G72" s="100">
        <v>46.57</v>
      </c>
      <c r="H72" s="100">
        <v>27.99</v>
      </c>
      <c r="I72" s="100">
        <v>8.16</v>
      </c>
      <c r="J72" s="100">
        <v>0.38</v>
      </c>
      <c r="K72" s="100">
        <v>264.77999999999997</v>
      </c>
      <c r="L72" s="100">
        <v>39.49</v>
      </c>
      <c r="M72" s="100">
        <v>8.92</v>
      </c>
      <c r="N72" s="100">
        <v>276.10000000000002</v>
      </c>
      <c r="O72" s="100">
        <v>0</v>
      </c>
      <c r="P72" s="100">
        <v>0.6</v>
      </c>
      <c r="Q72" s="100">
        <v>28.07</v>
      </c>
      <c r="R72" s="6"/>
      <c r="S72" s="6"/>
      <c r="T72" s="156"/>
      <c r="U72" s="6"/>
    </row>
    <row r="73" spans="1:21" customFormat="1">
      <c r="A73" s="163" t="s">
        <v>2799</v>
      </c>
      <c r="B73" s="100">
        <v>3.79</v>
      </c>
      <c r="C73" s="100">
        <v>17.350000000000001</v>
      </c>
      <c r="D73" s="100">
        <v>13.45</v>
      </c>
      <c r="E73" s="100">
        <v>12.05</v>
      </c>
      <c r="F73" s="152" t="s">
        <v>15</v>
      </c>
      <c r="G73" s="100">
        <v>44.33</v>
      </c>
      <c r="H73" s="100">
        <v>28.01</v>
      </c>
      <c r="I73" s="100">
        <v>7.91</v>
      </c>
      <c r="J73" s="100">
        <v>0.5</v>
      </c>
      <c r="K73" s="100">
        <v>295.99</v>
      </c>
      <c r="L73" s="100">
        <v>39.22</v>
      </c>
      <c r="M73" s="100">
        <v>9.1999999999999993</v>
      </c>
      <c r="N73" s="100">
        <v>141.5</v>
      </c>
      <c r="O73" s="100">
        <v>0</v>
      </c>
      <c r="P73" s="100">
        <v>0.62</v>
      </c>
      <c r="Q73" s="100">
        <v>28.07</v>
      </c>
      <c r="R73" s="6"/>
      <c r="S73" s="6"/>
      <c r="T73" s="156"/>
      <c r="U73" s="6"/>
    </row>
    <row r="74" spans="1:21" customFormat="1">
      <c r="A74" s="163" t="s">
        <v>2800</v>
      </c>
      <c r="B74" s="100">
        <v>3.66</v>
      </c>
      <c r="C74" s="100">
        <v>16.14</v>
      </c>
      <c r="D74" s="100">
        <v>12.72</v>
      </c>
      <c r="E74" s="100">
        <v>11.97</v>
      </c>
      <c r="F74" s="152" t="s">
        <v>15</v>
      </c>
      <c r="G74" s="100">
        <v>44.33</v>
      </c>
      <c r="H74" s="100">
        <v>28.01</v>
      </c>
      <c r="I74" s="100">
        <v>7.47</v>
      </c>
      <c r="J74" s="100">
        <v>0.69</v>
      </c>
      <c r="K74" s="100">
        <v>258.12</v>
      </c>
      <c r="L74" s="100">
        <v>38.479999999999997</v>
      </c>
      <c r="M74" s="100">
        <v>10.92</v>
      </c>
      <c r="N74" s="100">
        <v>107.4</v>
      </c>
      <c r="O74" s="100">
        <v>0</v>
      </c>
      <c r="P74" s="100">
        <v>0.6</v>
      </c>
      <c r="Q74" s="100">
        <v>28.08</v>
      </c>
      <c r="R74" s="6"/>
      <c r="S74" s="6"/>
      <c r="T74" s="156"/>
      <c r="U74" s="6"/>
    </row>
    <row r="75" spans="1:21" customFormat="1">
      <c r="A75" s="163" t="s">
        <v>2801</v>
      </c>
      <c r="B75" s="100">
        <v>3.58</v>
      </c>
      <c r="C75" s="100">
        <v>14.46</v>
      </c>
      <c r="D75" s="100">
        <v>11.78</v>
      </c>
      <c r="E75" s="100">
        <v>11.35</v>
      </c>
      <c r="F75" s="152" t="s">
        <v>15</v>
      </c>
      <c r="G75" s="100">
        <v>44.33</v>
      </c>
      <c r="H75" s="100">
        <v>28.01</v>
      </c>
      <c r="I75" s="100">
        <v>7.36</v>
      </c>
      <c r="J75" s="100">
        <v>0.61</v>
      </c>
      <c r="K75" s="100">
        <v>250.37</v>
      </c>
      <c r="L75" s="100">
        <v>38.03</v>
      </c>
      <c r="M75" s="100">
        <v>11.71</v>
      </c>
      <c r="N75" s="100">
        <v>113</v>
      </c>
      <c r="O75" s="100">
        <v>0</v>
      </c>
      <c r="P75" s="100">
        <v>0.6</v>
      </c>
      <c r="Q75" s="100">
        <v>28.07</v>
      </c>
      <c r="R75" s="6"/>
      <c r="S75" s="6"/>
      <c r="T75" s="156"/>
      <c r="U75" s="6"/>
    </row>
    <row r="76" spans="1:21" customFormat="1">
      <c r="A76" s="163" t="s">
        <v>2802</v>
      </c>
      <c r="B76" s="100">
        <v>3.55</v>
      </c>
      <c r="C76" s="100">
        <v>13.06</v>
      </c>
      <c r="D76" s="100">
        <v>11.02</v>
      </c>
      <c r="E76" s="100">
        <v>13.39</v>
      </c>
      <c r="F76" s="152" t="s">
        <v>15</v>
      </c>
      <c r="G76" s="100">
        <v>40.01</v>
      </c>
      <c r="H76" s="100">
        <v>29.51</v>
      </c>
      <c r="I76" s="100">
        <v>7.22</v>
      </c>
      <c r="J76" s="100">
        <v>0.38</v>
      </c>
      <c r="K76" s="100">
        <v>245.57</v>
      </c>
      <c r="L76" s="100">
        <v>37.619999999999997</v>
      </c>
      <c r="M76" s="100">
        <v>13.15</v>
      </c>
      <c r="N76" s="100">
        <v>77.400000000000006</v>
      </c>
      <c r="O76" s="100">
        <v>0</v>
      </c>
      <c r="P76" s="100">
        <v>0.59</v>
      </c>
      <c r="Q76" s="100">
        <v>28.06</v>
      </c>
      <c r="R76" s="6"/>
      <c r="S76" s="6"/>
      <c r="T76" s="156"/>
      <c r="U76" s="6"/>
    </row>
    <row r="77" spans="1:21" customFormat="1">
      <c r="A77" s="163" t="s">
        <v>2803</v>
      </c>
      <c r="B77" s="100">
        <v>3.56</v>
      </c>
      <c r="C77" s="100">
        <v>12.67</v>
      </c>
      <c r="D77" s="100">
        <v>10.82</v>
      </c>
      <c r="E77" s="100">
        <v>13.16</v>
      </c>
      <c r="F77" s="152" t="s">
        <v>15</v>
      </c>
      <c r="G77" s="100">
        <v>38.44</v>
      </c>
      <c r="H77" s="100">
        <v>29.55</v>
      </c>
      <c r="I77" s="100">
        <v>7.25</v>
      </c>
      <c r="J77" s="100">
        <v>0.25</v>
      </c>
      <c r="K77" s="100">
        <v>234.6</v>
      </c>
      <c r="L77" s="100">
        <v>36.979999999999997</v>
      </c>
      <c r="M77" s="100">
        <v>14.12</v>
      </c>
      <c r="N77" s="100">
        <v>59.9</v>
      </c>
      <c r="O77" s="100">
        <v>0</v>
      </c>
      <c r="P77" s="100">
        <v>0.61</v>
      </c>
      <c r="Q77" s="100">
        <v>28.06</v>
      </c>
      <c r="R77" s="6"/>
      <c r="S77" s="6"/>
      <c r="T77" s="156"/>
      <c r="U77" s="6"/>
    </row>
    <row r="78" spans="1:21" customFormat="1">
      <c r="A78" s="163" t="s">
        <v>2804</v>
      </c>
      <c r="B78" s="100">
        <v>3.64</v>
      </c>
      <c r="C78" s="100">
        <v>11.96</v>
      </c>
      <c r="D78" s="100">
        <v>10.51</v>
      </c>
      <c r="E78" s="100">
        <v>13.69</v>
      </c>
      <c r="F78" s="152" t="s">
        <v>15</v>
      </c>
      <c r="G78" s="100">
        <v>38.44</v>
      </c>
      <c r="H78" s="100">
        <v>29.55</v>
      </c>
      <c r="I78" s="100">
        <v>6.99</v>
      </c>
      <c r="J78" s="100">
        <v>0.23</v>
      </c>
      <c r="K78" s="100">
        <v>166.99</v>
      </c>
      <c r="L78" s="100">
        <v>36.5</v>
      </c>
      <c r="M78" s="100">
        <v>15.29</v>
      </c>
      <c r="N78" s="100">
        <v>42.1</v>
      </c>
      <c r="O78" s="100">
        <v>0</v>
      </c>
      <c r="P78" s="100">
        <v>0.6</v>
      </c>
      <c r="Q78" s="100">
        <v>28.06</v>
      </c>
      <c r="R78" s="6"/>
      <c r="S78" s="6"/>
      <c r="T78" s="156"/>
      <c r="U78" s="6"/>
    </row>
    <row r="79" spans="1:21" customFormat="1">
      <c r="A79" s="163" t="s">
        <v>2805</v>
      </c>
      <c r="B79" s="100">
        <v>3.63</v>
      </c>
      <c r="C79" s="100">
        <v>11.89</v>
      </c>
      <c r="D79" s="100">
        <v>10.48</v>
      </c>
      <c r="E79" s="100">
        <v>13.63</v>
      </c>
      <c r="F79" s="152" t="s">
        <v>15</v>
      </c>
      <c r="G79" s="100">
        <v>38.44</v>
      </c>
      <c r="H79" s="100">
        <v>29.55</v>
      </c>
      <c r="I79" s="100">
        <v>7.17</v>
      </c>
      <c r="J79" s="100">
        <v>0.19</v>
      </c>
      <c r="K79" s="100">
        <v>157.13</v>
      </c>
      <c r="L79" s="100">
        <v>35.69</v>
      </c>
      <c r="M79" s="100">
        <v>16.809999999999999</v>
      </c>
      <c r="N79" s="100">
        <v>28.7</v>
      </c>
      <c r="O79" s="100">
        <v>0</v>
      </c>
      <c r="P79" s="100">
        <v>0.59</v>
      </c>
      <c r="Q79" s="100">
        <v>28.06</v>
      </c>
      <c r="R79" s="6"/>
      <c r="S79" s="6"/>
      <c r="T79" s="156"/>
      <c r="U79" s="6"/>
    </row>
    <row r="80" spans="1:21" customFormat="1">
      <c r="A80" s="163" t="s">
        <v>2806</v>
      </c>
      <c r="B80" s="100">
        <v>3.68</v>
      </c>
      <c r="C80" s="100">
        <v>12.19</v>
      </c>
      <c r="D80" s="100">
        <v>10.67</v>
      </c>
      <c r="E80" s="100">
        <v>12.81</v>
      </c>
      <c r="F80" s="152" t="s">
        <v>15</v>
      </c>
      <c r="G80" s="100">
        <v>40.99</v>
      </c>
      <c r="H80" s="100">
        <v>25.26</v>
      </c>
      <c r="I80" s="100">
        <v>7.19</v>
      </c>
      <c r="J80" s="100">
        <v>0.21</v>
      </c>
      <c r="K80" s="100">
        <v>155.18</v>
      </c>
      <c r="L80" s="100">
        <v>34.49</v>
      </c>
      <c r="M80" s="100">
        <v>19.37</v>
      </c>
      <c r="N80" s="100">
        <v>17</v>
      </c>
      <c r="O80" s="100">
        <v>0</v>
      </c>
      <c r="P80" s="100">
        <v>0.61</v>
      </c>
      <c r="Q80" s="100">
        <v>28.06</v>
      </c>
      <c r="R80" s="6"/>
      <c r="S80" s="6"/>
      <c r="T80" s="156"/>
      <c r="U80" s="6"/>
    </row>
    <row r="81" spans="1:21" customFormat="1">
      <c r="A81" s="163" t="s">
        <v>2807</v>
      </c>
      <c r="B81" s="100">
        <v>3.61</v>
      </c>
      <c r="C81" s="100">
        <v>13.02</v>
      </c>
      <c r="D81" s="100">
        <v>11.05</v>
      </c>
      <c r="E81" s="100">
        <v>9.1</v>
      </c>
      <c r="F81" s="152" t="s">
        <v>15</v>
      </c>
      <c r="G81" s="100">
        <v>41.92</v>
      </c>
      <c r="H81" s="100">
        <v>25.2</v>
      </c>
      <c r="I81" s="100">
        <v>7.15</v>
      </c>
      <c r="J81" s="100">
        <v>0.28000000000000003</v>
      </c>
      <c r="K81" s="100">
        <v>158.80000000000001</v>
      </c>
      <c r="L81" s="100">
        <v>33.76</v>
      </c>
      <c r="M81" s="100">
        <v>21.38</v>
      </c>
      <c r="N81" s="100">
        <v>9.1</v>
      </c>
      <c r="O81" s="100">
        <v>0</v>
      </c>
      <c r="P81" s="100">
        <v>0.63</v>
      </c>
      <c r="Q81" s="100">
        <v>28.06</v>
      </c>
      <c r="R81" s="6"/>
      <c r="S81" s="6"/>
      <c r="T81" s="156"/>
      <c r="U81" s="6"/>
    </row>
    <row r="82" spans="1:21" customFormat="1">
      <c r="A82" s="163" t="s">
        <v>2808</v>
      </c>
      <c r="B82" s="100">
        <v>3.59</v>
      </c>
      <c r="C82" s="100">
        <v>13.55</v>
      </c>
      <c r="D82" s="100">
        <v>11.31</v>
      </c>
      <c r="E82" s="100">
        <v>11.22</v>
      </c>
      <c r="F82" s="152" t="s">
        <v>15</v>
      </c>
      <c r="G82" s="100">
        <v>41.92</v>
      </c>
      <c r="H82" s="100">
        <v>25.2</v>
      </c>
      <c r="I82" s="100">
        <v>7.56</v>
      </c>
      <c r="J82" s="100">
        <v>0.28999999999999998</v>
      </c>
      <c r="K82" s="100">
        <v>159.38999999999999</v>
      </c>
      <c r="L82" s="100">
        <v>32.9</v>
      </c>
      <c r="M82" s="100">
        <v>23.63</v>
      </c>
      <c r="N82" s="100">
        <v>6.9</v>
      </c>
      <c r="O82" s="100">
        <v>0</v>
      </c>
      <c r="P82" s="100">
        <v>0.64</v>
      </c>
      <c r="Q82" s="100">
        <v>28.07</v>
      </c>
      <c r="R82" s="6"/>
      <c r="S82" s="6"/>
      <c r="T82" s="156"/>
      <c r="U82" s="6"/>
    </row>
    <row r="83" spans="1:21" customFormat="1">
      <c r="A83" s="163" t="s">
        <v>2809</v>
      </c>
      <c r="B83" s="100">
        <v>3.59</v>
      </c>
      <c r="C83" s="100">
        <v>14.18</v>
      </c>
      <c r="D83" s="100">
        <v>11.64</v>
      </c>
      <c r="E83" s="100">
        <v>11.9</v>
      </c>
      <c r="F83" s="152" t="s">
        <v>15</v>
      </c>
      <c r="G83" s="100">
        <v>41.92</v>
      </c>
      <c r="H83" s="100">
        <v>25.2</v>
      </c>
      <c r="I83" s="100">
        <v>7.47</v>
      </c>
      <c r="J83" s="100">
        <v>0.23</v>
      </c>
      <c r="K83" s="100">
        <v>166.86</v>
      </c>
      <c r="L83" s="100">
        <v>32.03</v>
      </c>
      <c r="M83" s="100">
        <v>27.1</v>
      </c>
      <c r="N83" s="100">
        <v>6.4</v>
      </c>
      <c r="O83" s="100">
        <v>0</v>
      </c>
      <c r="P83" s="100">
        <v>0.71</v>
      </c>
      <c r="Q83" s="100">
        <v>28.05</v>
      </c>
      <c r="R83" s="6"/>
      <c r="S83" s="6"/>
      <c r="T83" s="156"/>
      <c r="U83" s="6"/>
    </row>
    <row r="84" spans="1:21" customFormat="1">
      <c r="A84" s="163" t="s">
        <v>2810</v>
      </c>
      <c r="B84" s="100">
        <v>3.62</v>
      </c>
      <c r="C84" s="100">
        <v>15.4</v>
      </c>
      <c r="D84" s="100">
        <v>12.3</v>
      </c>
      <c r="E84" s="100">
        <v>11.26</v>
      </c>
      <c r="F84" s="152" t="s">
        <v>15</v>
      </c>
      <c r="G84" s="100">
        <v>65.84</v>
      </c>
      <c r="H84" s="100">
        <v>29.95</v>
      </c>
      <c r="I84" s="100">
        <v>7.54</v>
      </c>
      <c r="J84" s="100">
        <v>0.22</v>
      </c>
      <c r="K84" s="100">
        <v>163.08000000000001</v>
      </c>
      <c r="L84" s="100">
        <v>31.57</v>
      </c>
      <c r="M84" s="100">
        <v>27.27</v>
      </c>
      <c r="N84" s="100">
        <v>6</v>
      </c>
      <c r="O84" s="100">
        <v>0</v>
      </c>
      <c r="P84" s="100">
        <v>0.71</v>
      </c>
      <c r="Q84" s="100">
        <v>28.06</v>
      </c>
      <c r="R84" s="6"/>
      <c r="S84" s="6"/>
      <c r="T84" s="156"/>
      <c r="U84" s="6"/>
    </row>
    <row r="85" spans="1:21" customFormat="1">
      <c r="A85" s="163" t="s">
        <v>2811</v>
      </c>
      <c r="B85" s="100">
        <v>3.71</v>
      </c>
      <c r="C85" s="100">
        <v>15.7</v>
      </c>
      <c r="D85" s="100">
        <v>12.53</v>
      </c>
      <c r="E85" s="100">
        <v>11.57</v>
      </c>
      <c r="F85" s="152" t="s">
        <v>15</v>
      </c>
      <c r="G85" s="100">
        <v>74.540000000000006</v>
      </c>
      <c r="H85" s="100">
        <v>30.02</v>
      </c>
      <c r="I85" s="100">
        <v>7.97</v>
      </c>
      <c r="J85" s="100">
        <v>0.22</v>
      </c>
      <c r="K85" s="100">
        <v>164.34</v>
      </c>
      <c r="L85" s="100">
        <v>31.12</v>
      </c>
      <c r="M85" s="100">
        <v>28.03</v>
      </c>
      <c r="N85" s="100">
        <v>5.9</v>
      </c>
      <c r="O85" s="100">
        <v>0</v>
      </c>
      <c r="P85" s="100">
        <v>0.74</v>
      </c>
      <c r="Q85" s="100">
        <v>28.06</v>
      </c>
      <c r="R85" s="6"/>
      <c r="S85" s="6"/>
      <c r="T85" s="156"/>
      <c r="U85" s="6"/>
    </row>
    <row r="86" spans="1:21" customFormat="1">
      <c r="A86" s="163" t="s">
        <v>2812</v>
      </c>
      <c r="B86" s="100">
        <v>3.75</v>
      </c>
      <c r="C86" s="100">
        <v>15.88</v>
      </c>
      <c r="D86" s="100">
        <v>12.65</v>
      </c>
      <c r="E86" s="100">
        <v>10.95</v>
      </c>
      <c r="F86" s="152" t="s">
        <v>15</v>
      </c>
      <c r="G86" s="100">
        <v>74.540000000000006</v>
      </c>
      <c r="H86" s="100">
        <v>30.02</v>
      </c>
      <c r="I86" s="100">
        <v>8.1999999999999993</v>
      </c>
      <c r="J86" s="100">
        <v>0.26</v>
      </c>
      <c r="K86" s="100">
        <v>164.21</v>
      </c>
      <c r="L86" s="100">
        <v>30.58</v>
      </c>
      <c r="M86" s="100">
        <v>29.66</v>
      </c>
      <c r="N86" s="100">
        <v>6</v>
      </c>
      <c r="O86" s="100">
        <v>0</v>
      </c>
      <c r="P86" s="100">
        <v>0.77</v>
      </c>
      <c r="Q86" s="100">
        <v>28.05</v>
      </c>
      <c r="R86" s="6"/>
      <c r="S86" s="6"/>
      <c r="T86" s="156"/>
      <c r="U86" s="6"/>
    </row>
    <row r="87" spans="1:21" customFormat="1">
      <c r="A87" s="163" t="s">
        <v>2813</v>
      </c>
      <c r="B87" s="100">
        <v>3.76</v>
      </c>
      <c r="C87" s="100">
        <v>15.96</v>
      </c>
      <c r="D87" s="100">
        <v>12.7</v>
      </c>
      <c r="E87" s="100">
        <v>11.23</v>
      </c>
      <c r="F87" s="152" t="s">
        <v>15</v>
      </c>
      <c r="G87" s="100">
        <v>74.540000000000006</v>
      </c>
      <c r="H87" s="100">
        <v>30.02</v>
      </c>
      <c r="I87" s="100">
        <v>8.51</v>
      </c>
      <c r="J87" s="100">
        <v>0.28999999999999998</v>
      </c>
      <c r="K87" s="100">
        <v>164.08</v>
      </c>
      <c r="L87" s="100">
        <v>30.12</v>
      </c>
      <c r="M87" s="100">
        <v>31.86</v>
      </c>
      <c r="N87" s="100">
        <v>6</v>
      </c>
      <c r="O87" s="100">
        <v>0</v>
      </c>
      <c r="P87" s="100">
        <v>0.79</v>
      </c>
      <c r="Q87" s="100">
        <v>28.05</v>
      </c>
      <c r="R87" s="6"/>
      <c r="S87" s="6"/>
      <c r="T87" s="156"/>
      <c r="U87" s="6"/>
    </row>
    <row r="88" spans="1:21" customFormat="1">
      <c r="A88" s="163" t="s">
        <v>2814</v>
      </c>
      <c r="B88" s="100">
        <v>3.77</v>
      </c>
      <c r="C88" s="100">
        <v>15.98</v>
      </c>
      <c r="D88" s="100">
        <v>12.72</v>
      </c>
      <c r="E88" s="100">
        <v>10.56</v>
      </c>
      <c r="F88" s="152" t="s">
        <v>15</v>
      </c>
      <c r="G88" s="100">
        <v>108.32</v>
      </c>
      <c r="H88" s="100">
        <v>34.840000000000003</v>
      </c>
      <c r="I88" s="100">
        <v>8.82</v>
      </c>
      <c r="J88" s="100">
        <v>0.23</v>
      </c>
      <c r="K88" s="100">
        <v>165.64</v>
      </c>
      <c r="L88" s="100">
        <v>29.59</v>
      </c>
      <c r="M88" s="100">
        <v>32.61</v>
      </c>
      <c r="N88" s="100">
        <v>6</v>
      </c>
      <c r="O88" s="100">
        <v>0</v>
      </c>
      <c r="P88" s="100">
        <v>0.81</v>
      </c>
      <c r="Q88" s="100">
        <v>28.06</v>
      </c>
      <c r="R88" s="6"/>
      <c r="S88" s="6"/>
      <c r="T88" s="156"/>
      <c r="U88" s="6"/>
    </row>
    <row r="89" spans="1:21" customFormat="1">
      <c r="A89" s="163" t="s">
        <v>2815</v>
      </c>
      <c r="B89" s="100">
        <v>3.88</v>
      </c>
      <c r="C89" s="100">
        <v>16.170000000000002</v>
      </c>
      <c r="D89" s="100">
        <v>12.91</v>
      </c>
      <c r="E89" s="100">
        <v>10.15</v>
      </c>
      <c r="F89" s="152" t="s">
        <v>15</v>
      </c>
      <c r="G89" s="100">
        <v>120.61</v>
      </c>
      <c r="H89" s="100">
        <v>34.909999999999997</v>
      </c>
      <c r="I89" s="100">
        <v>8.92</v>
      </c>
      <c r="J89" s="100">
        <v>0.16</v>
      </c>
      <c r="K89" s="100">
        <v>198.81</v>
      </c>
      <c r="L89" s="100">
        <v>29.08</v>
      </c>
      <c r="M89" s="100">
        <v>32.659999999999997</v>
      </c>
      <c r="N89" s="100">
        <v>5.9</v>
      </c>
      <c r="O89" s="100">
        <v>0</v>
      </c>
      <c r="P89" s="100">
        <v>0.79</v>
      </c>
      <c r="Q89" s="100">
        <v>28.07</v>
      </c>
      <c r="R89" s="6"/>
      <c r="S89" s="6"/>
      <c r="T89" s="156"/>
      <c r="U89" s="6"/>
    </row>
    <row r="90" spans="1:21" customFormat="1">
      <c r="A90" s="163" t="s">
        <v>2816</v>
      </c>
      <c r="B90" s="100">
        <v>3.83</v>
      </c>
      <c r="C90" s="100">
        <v>16.190000000000001</v>
      </c>
      <c r="D90" s="100">
        <v>12.88</v>
      </c>
      <c r="E90" s="100">
        <v>10.11</v>
      </c>
      <c r="F90" s="152" t="s">
        <v>15</v>
      </c>
      <c r="G90" s="100">
        <v>120.61</v>
      </c>
      <c r="H90" s="100">
        <v>34.909999999999997</v>
      </c>
      <c r="I90" s="100">
        <v>9.08</v>
      </c>
      <c r="J90" s="100">
        <v>0.19</v>
      </c>
      <c r="K90" s="100">
        <v>224.1</v>
      </c>
      <c r="L90" s="100">
        <v>28.78</v>
      </c>
      <c r="M90" s="100">
        <v>33.61</v>
      </c>
      <c r="N90" s="100">
        <v>5.9</v>
      </c>
      <c r="O90" s="100">
        <v>0</v>
      </c>
      <c r="P90" s="100">
        <v>0.78</v>
      </c>
      <c r="Q90" s="100">
        <v>28.07</v>
      </c>
      <c r="R90" s="6"/>
      <c r="S90" s="6"/>
      <c r="T90" s="156"/>
      <c r="U90" s="6"/>
    </row>
    <row r="91" spans="1:21" customFormat="1">
      <c r="A91" s="163" t="s">
        <v>2817</v>
      </c>
      <c r="B91" s="100">
        <v>3.82</v>
      </c>
      <c r="C91" s="100">
        <v>16.12</v>
      </c>
      <c r="D91" s="100">
        <v>12.83</v>
      </c>
      <c r="E91" s="100">
        <v>10.96</v>
      </c>
      <c r="F91" s="152" t="s">
        <v>15</v>
      </c>
      <c r="G91" s="100">
        <v>120.61</v>
      </c>
      <c r="H91" s="100">
        <v>34.909999999999997</v>
      </c>
      <c r="I91" s="100">
        <v>9.1300000000000008</v>
      </c>
      <c r="J91" s="100">
        <v>0.12</v>
      </c>
      <c r="K91" s="100">
        <v>167.8</v>
      </c>
      <c r="L91" s="100">
        <v>28.4</v>
      </c>
      <c r="M91" s="100">
        <v>35.79</v>
      </c>
      <c r="N91" s="100">
        <v>5.8</v>
      </c>
      <c r="O91" s="100">
        <v>0</v>
      </c>
      <c r="P91" s="100">
        <v>0.83</v>
      </c>
      <c r="Q91" s="100">
        <v>28.07</v>
      </c>
      <c r="R91" s="6"/>
      <c r="S91" s="6"/>
      <c r="T91" s="156"/>
      <c r="U91" s="6"/>
    </row>
    <row r="92" spans="1:21" customFormat="1">
      <c r="A92" s="163" t="s">
        <v>2818</v>
      </c>
      <c r="B92" s="100">
        <v>3.98</v>
      </c>
      <c r="C92" s="100">
        <v>16.100000000000001</v>
      </c>
      <c r="D92" s="100">
        <v>12.96</v>
      </c>
      <c r="E92" s="100">
        <v>10.130000000000001</v>
      </c>
      <c r="F92" s="152" t="s">
        <v>15</v>
      </c>
      <c r="G92" s="100">
        <v>92.67</v>
      </c>
      <c r="H92" s="100">
        <v>38.700000000000003</v>
      </c>
      <c r="I92" s="100">
        <v>9.26</v>
      </c>
      <c r="J92" s="100">
        <v>0.21</v>
      </c>
      <c r="K92" s="100">
        <v>157.15</v>
      </c>
      <c r="L92" s="100">
        <v>28.23</v>
      </c>
      <c r="M92" s="100">
        <v>36.880000000000003</v>
      </c>
      <c r="N92" s="100">
        <v>5.7</v>
      </c>
      <c r="O92" s="100">
        <v>0</v>
      </c>
      <c r="P92" s="100">
        <v>0.83</v>
      </c>
      <c r="Q92" s="100">
        <v>28.08</v>
      </c>
      <c r="R92" s="6"/>
      <c r="S92" s="6"/>
      <c r="T92" s="156"/>
      <c r="U92" s="6"/>
    </row>
    <row r="93" spans="1:21" customFormat="1">
      <c r="A93" s="163" t="s">
        <v>2819</v>
      </c>
      <c r="B93" s="100">
        <v>4.24</v>
      </c>
      <c r="C93" s="100">
        <v>15.89</v>
      </c>
      <c r="D93" s="100">
        <v>13.05</v>
      </c>
      <c r="E93" s="100">
        <v>10.55</v>
      </c>
      <c r="F93" s="152" t="s">
        <v>15</v>
      </c>
      <c r="G93" s="100">
        <v>82.51</v>
      </c>
      <c r="H93" s="100">
        <v>38.76</v>
      </c>
      <c r="I93" s="100">
        <v>9.84</v>
      </c>
      <c r="J93" s="100">
        <v>0.17</v>
      </c>
      <c r="K93" s="100">
        <v>164.89</v>
      </c>
      <c r="L93" s="100">
        <v>27.97</v>
      </c>
      <c r="M93" s="100">
        <v>36.96</v>
      </c>
      <c r="N93" s="100">
        <v>5.6</v>
      </c>
      <c r="O93" s="100">
        <v>0</v>
      </c>
      <c r="P93" s="100">
        <v>0.82</v>
      </c>
      <c r="Q93" s="100">
        <v>28.1</v>
      </c>
      <c r="R93" s="6"/>
      <c r="S93" s="6"/>
      <c r="T93" s="156"/>
      <c r="U93" s="6"/>
    </row>
    <row r="94" spans="1:21" customFormat="1">
      <c r="A94" s="163" t="s">
        <v>2820</v>
      </c>
      <c r="B94" s="100">
        <v>4.46</v>
      </c>
      <c r="C94" s="100">
        <v>15.76</v>
      </c>
      <c r="D94" s="100">
        <v>13.17</v>
      </c>
      <c r="E94" s="100">
        <v>9.6199999999999992</v>
      </c>
      <c r="F94" s="152" t="s">
        <v>15</v>
      </c>
      <c r="G94" s="100">
        <v>82.51</v>
      </c>
      <c r="H94" s="100">
        <v>38.76</v>
      </c>
      <c r="I94" s="100">
        <v>9.8000000000000007</v>
      </c>
      <c r="J94" s="100">
        <v>0.21</v>
      </c>
      <c r="K94" s="100">
        <v>164.22</v>
      </c>
      <c r="L94" s="100">
        <v>27.73</v>
      </c>
      <c r="M94" s="100">
        <v>37.65</v>
      </c>
      <c r="N94" s="100">
        <v>5.8</v>
      </c>
      <c r="O94" s="100">
        <v>0</v>
      </c>
      <c r="P94" s="100">
        <v>0.82</v>
      </c>
      <c r="Q94" s="100">
        <v>28.08</v>
      </c>
      <c r="R94" s="6"/>
      <c r="S94" s="6"/>
      <c r="T94" s="156"/>
      <c r="U94" s="6"/>
    </row>
    <row r="95" spans="1:21" customFormat="1">
      <c r="A95" s="163" t="s">
        <v>2821</v>
      </c>
      <c r="B95" s="100">
        <v>4.5999999999999996</v>
      </c>
      <c r="C95" s="100">
        <v>15.65</v>
      </c>
      <c r="D95" s="100">
        <v>13.22</v>
      </c>
      <c r="E95" s="100">
        <v>10.4</v>
      </c>
      <c r="F95" s="152" t="s">
        <v>15</v>
      </c>
      <c r="G95" s="100">
        <v>82.51</v>
      </c>
      <c r="H95" s="100">
        <v>38.76</v>
      </c>
      <c r="I95" s="100">
        <v>9.73</v>
      </c>
      <c r="J95" s="100">
        <v>0.14000000000000001</v>
      </c>
      <c r="K95" s="100">
        <v>189.39</v>
      </c>
      <c r="L95" s="100">
        <v>27.64</v>
      </c>
      <c r="M95" s="100">
        <v>36.47</v>
      </c>
      <c r="N95" s="100">
        <v>5.7</v>
      </c>
      <c r="O95" s="100">
        <v>0</v>
      </c>
      <c r="P95" s="100">
        <v>0.83</v>
      </c>
      <c r="Q95" s="100">
        <v>28.09</v>
      </c>
      <c r="R95" s="6"/>
      <c r="S95" s="6"/>
      <c r="T95" s="156"/>
      <c r="U95" s="6"/>
    </row>
    <row r="96" spans="1:21" customFormat="1">
      <c r="A96" s="163" t="s">
        <v>2822</v>
      </c>
      <c r="B96" s="100">
        <v>4.57</v>
      </c>
      <c r="C96" s="100">
        <v>15.76</v>
      </c>
      <c r="D96" s="100">
        <v>13.25</v>
      </c>
      <c r="E96" s="100">
        <v>10.96</v>
      </c>
      <c r="F96" s="152" t="s">
        <v>15</v>
      </c>
      <c r="G96" s="100">
        <v>80.739999999999995</v>
      </c>
      <c r="H96" s="100">
        <v>37.33</v>
      </c>
      <c r="I96" s="100">
        <v>9.73</v>
      </c>
      <c r="J96" s="100">
        <v>0.22</v>
      </c>
      <c r="K96" s="100">
        <v>182.69</v>
      </c>
      <c r="L96" s="100">
        <v>27.62</v>
      </c>
      <c r="M96" s="100">
        <v>36.549999999999997</v>
      </c>
      <c r="N96" s="100">
        <v>5.9</v>
      </c>
      <c r="O96" s="100">
        <v>0</v>
      </c>
      <c r="P96" s="100">
        <v>0.83</v>
      </c>
      <c r="Q96" s="100">
        <v>28.09</v>
      </c>
      <c r="R96" s="6"/>
      <c r="S96" s="6"/>
      <c r="T96" s="156"/>
      <c r="U96" s="6"/>
    </row>
    <row r="97" spans="1:28" customFormat="1">
      <c r="A97" s="163" t="s">
        <v>2823</v>
      </c>
      <c r="B97" s="100">
        <v>4.71</v>
      </c>
      <c r="C97" s="100">
        <v>15.51</v>
      </c>
      <c r="D97" s="100">
        <v>13.23</v>
      </c>
      <c r="E97" s="100">
        <v>9.61</v>
      </c>
      <c r="F97" s="152" t="s">
        <v>15</v>
      </c>
      <c r="G97" s="100">
        <v>80.09</v>
      </c>
      <c r="H97" s="100">
        <v>37.31</v>
      </c>
      <c r="I97" s="100">
        <v>9.7799999999999994</v>
      </c>
      <c r="J97" s="100">
        <v>0.21</v>
      </c>
      <c r="K97" s="100">
        <v>170.61</v>
      </c>
      <c r="L97" s="100">
        <v>27.07</v>
      </c>
      <c r="M97" s="100">
        <v>39.119999999999997</v>
      </c>
      <c r="N97" s="100">
        <v>6</v>
      </c>
      <c r="O97" s="100">
        <v>0</v>
      </c>
      <c r="P97" s="100">
        <v>0.84</v>
      </c>
      <c r="Q97" s="100">
        <v>28.11</v>
      </c>
      <c r="R97" s="6"/>
      <c r="S97" s="6"/>
      <c r="T97" s="156"/>
      <c r="U97" s="6"/>
    </row>
    <row r="98" spans="1:28" customFormat="1">
      <c r="A98" s="163" t="s">
        <v>2824</v>
      </c>
      <c r="B98" s="100">
        <v>4.84</v>
      </c>
      <c r="C98" s="100">
        <v>15.36</v>
      </c>
      <c r="D98" s="100">
        <v>13.26</v>
      </c>
      <c r="E98" s="100">
        <v>9.58</v>
      </c>
      <c r="F98" s="152" t="s">
        <v>15</v>
      </c>
      <c r="G98" s="100">
        <v>80.09</v>
      </c>
      <c r="H98" s="100">
        <v>37.31</v>
      </c>
      <c r="I98" s="100">
        <v>9.8000000000000007</v>
      </c>
      <c r="J98" s="100">
        <v>0.18</v>
      </c>
      <c r="K98" s="100">
        <v>191.98</v>
      </c>
      <c r="L98" s="100">
        <v>26.93</v>
      </c>
      <c r="M98" s="100">
        <v>38.96</v>
      </c>
      <c r="N98" s="100">
        <v>5.9</v>
      </c>
      <c r="O98" s="100">
        <v>0</v>
      </c>
      <c r="P98" s="100">
        <v>0.85</v>
      </c>
      <c r="Q98" s="100">
        <v>28.11</v>
      </c>
      <c r="R98" s="6"/>
      <c r="S98" s="6"/>
      <c r="T98" s="156"/>
      <c r="U98" s="6"/>
    </row>
    <row r="99" spans="1:28" customFormat="1">
      <c r="A99" s="163" t="s">
        <v>2825</v>
      </c>
      <c r="B99" s="100">
        <v>4.93</v>
      </c>
      <c r="C99" s="100">
        <v>15.32</v>
      </c>
      <c r="D99" s="100">
        <v>13.31</v>
      </c>
      <c r="E99" s="100">
        <v>9.3800000000000008</v>
      </c>
      <c r="F99" s="152" t="s">
        <v>15</v>
      </c>
      <c r="G99" s="100">
        <v>80.09</v>
      </c>
      <c r="H99" s="100">
        <v>37.31</v>
      </c>
      <c r="I99" s="100">
        <v>9.86</v>
      </c>
      <c r="J99" s="100">
        <v>0.13</v>
      </c>
      <c r="K99" s="100">
        <v>169.03</v>
      </c>
      <c r="L99" s="100">
        <v>26.76</v>
      </c>
      <c r="M99" s="100">
        <v>39.409999999999997</v>
      </c>
      <c r="N99" s="100">
        <v>5.9</v>
      </c>
      <c r="O99" s="100">
        <v>0</v>
      </c>
      <c r="P99" s="100">
        <v>0.86</v>
      </c>
      <c r="Q99" s="100">
        <v>28.12</v>
      </c>
      <c r="R99" s="6"/>
      <c r="S99" s="6"/>
      <c r="T99" s="156"/>
      <c r="U99" s="6"/>
    </row>
    <row r="100" spans="1:28" customFormat="1">
      <c r="A100" s="163" t="s">
        <v>2826</v>
      </c>
      <c r="B100" s="100">
        <v>5.0199999999999996</v>
      </c>
      <c r="C100" s="100">
        <v>15.08</v>
      </c>
      <c r="D100" s="100">
        <v>13.26</v>
      </c>
      <c r="E100" s="100">
        <v>10.119999999999999</v>
      </c>
      <c r="F100" s="152" t="s">
        <v>15</v>
      </c>
      <c r="G100" s="100">
        <v>72.69</v>
      </c>
      <c r="H100" s="100">
        <v>37.15</v>
      </c>
      <c r="I100" s="100">
        <v>9.92</v>
      </c>
      <c r="J100" s="100">
        <v>0.18</v>
      </c>
      <c r="K100" s="100">
        <v>181.25</v>
      </c>
      <c r="L100" s="100">
        <v>26.53</v>
      </c>
      <c r="M100" s="100">
        <v>39.909999999999997</v>
      </c>
      <c r="N100" s="100">
        <v>5.8</v>
      </c>
      <c r="O100" s="100">
        <v>0</v>
      </c>
      <c r="P100" s="100">
        <v>0.87</v>
      </c>
      <c r="Q100" s="100">
        <v>28.11</v>
      </c>
      <c r="R100" s="6"/>
      <c r="S100" s="6"/>
      <c r="T100" s="156"/>
      <c r="U100" s="6"/>
      <c r="AB100" s="161"/>
    </row>
    <row r="101" spans="1:28" customFormat="1">
      <c r="A101" s="163" t="s">
        <v>2827</v>
      </c>
      <c r="B101" s="100">
        <v>5.23</v>
      </c>
      <c r="C101" s="100">
        <v>15.16</v>
      </c>
      <c r="D101" s="100">
        <v>13.46</v>
      </c>
      <c r="E101" s="100">
        <v>9.33</v>
      </c>
      <c r="F101" s="152" t="s">
        <v>15</v>
      </c>
      <c r="G101" s="100">
        <v>70</v>
      </c>
      <c r="H101" s="100">
        <v>37.15</v>
      </c>
      <c r="I101" s="100">
        <v>10.01</v>
      </c>
      <c r="J101" s="100">
        <v>0.21</v>
      </c>
      <c r="K101" s="100">
        <v>183.98</v>
      </c>
      <c r="L101" s="100">
        <v>26.36</v>
      </c>
      <c r="M101" s="100">
        <v>39.979999999999997</v>
      </c>
      <c r="N101" s="100">
        <v>5.7</v>
      </c>
      <c r="O101" s="100">
        <v>0</v>
      </c>
      <c r="P101" s="100">
        <v>0.87</v>
      </c>
      <c r="Q101" s="100">
        <v>28.11</v>
      </c>
      <c r="R101" s="6"/>
      <c r="S101" s="6"/>
      <c r="T101" s="156"/>
      <c r="U101" s="6"/>
    </row>
    <row r="102" spans="1:28" customFormat="1">
      <c r="A102" s="163" t="s">
        <v>2828</v>
      </c>
      <c r="B102" s="100">
        <v>5.4</v>
      </c>
      <c r="C102" s="100">
        <v>14.97</v>
      </c>
      <c r="D102" s="100">
        <v>13.5</v>
      </c>
      <c r="E102" s="100">
        <v>9.59</v>
      </c>
      <c r="F102" s="152" t="s">
        <v>15</v>
      </c>
      <c r="G102" s="100">
        <v>70</v>
      </c>
      <c r="H102" s="100">
        <v>37.15</v>
      </c>
      <c r="I102" s="100">
        <v>10.1</v>
      </c>
      <c r="J102" s="100">
        <v>0.16</v>
      </c>
      <c r="K102" s="100">
        <v>186.6</v>
      </c>
      <c r="L102" s="100">
        <v>26.1</v>
      </c>
      <c r="M102" s="100">
        <v>40.32</v>
      </c>
      <c r="N102" s="100">
        <v>5.9</v>
      </c>
      <c r="O102" s="100">
        <v>0</v>
      </c>
      <c r="P102" s="100">
        <v>0.86</v>
      </c>
      <c r="Q102" s="100">
        <v>28.12</v>
      </c>
      <c r="R102" s="6"/>
      <c r="S102" s="6"/>
      <c r="T102" s="156"/>
      <c r="U102" s="6"/>
    </row>
    <row r="103" spans="1:28" customFormat="1">
      <c r="A103" s="163" t="s">
        <v>2829</v>
      </c>
      <c r="B103" s="100">
        <v>5.47</v>
      </c>
      <c r="C103" s="100">
        <v>14.93</v>
      </c>
      <c r="D103" s="100">
        <v>13.54</v>
      </c>
      <c r="E103" s="100">
        <v>9.49</v>
      </c>
      <c r="F103" s="152" t="s">
        <v>15</v>
      </c>
      <c r="G103" s="100">
        <v>70</v>
      </c>
      <c r="H103" s="100">
        <v>37.15</v>
      </c>
      <c r="I103" s="100">
        <v>10.09</v>
      </c>
      <c r="J103" s="100">
        <v>0.2</v>
      </c>
      <c r="K103" s="100">
        <v>197.93</v>
      </c>
      <c r="L103" s="100">
        <v>25.94</v>
      </c>
      <c r="M103" s="100">
        <v>40.020000000000003</v>
      </c>
      <c r="N103" s="100">
        <v>5.7</v>
      </c>
      <c r="O103" s="100">
        <v>0</v>
      </c>
      <c r="P103" s="100">
        <v>0.88</v>
      </c>
      <c r="Q103" s="100">
        <v>28.12</v>
      </c>
      <c r="R103" s="6"/>
      <c r="S103" s="6"/>
      <c r="T103" s="156"/>
      <c r="U103" s="6"/>
    </row>
    <row r="104" spans="1:28" customFormat="1">
      <c r="A104" s="163" t="s">
        <v>2830</v>
      </c>
      <c r="B104" s="100">
        <v>5.44</v>
      </c>
      <c r="C104" s="100">
        <v>14.88</v>
      </c>
      <c r="D104" s="100">
        <v>13.49</v>
      </c>
      <c r="E104" s="100">
        <v>9.7899999999999991</v>
      </c>
      <c r="F104" s="152" t="s">
        <v>15</v>
      </c>
      <c r="G104" s="100">
        <v>70.13</v>
      </c>
      <c r="H104" s="100">
        <v>38.75</v>
      </c>
      <c r="I104" s="100">
        <v>10.130000000000001</v>
      </c>
      <c r="J104" s="100">
        <v>0.2</v>
      </c>
      <c r="K104" s="100">
        <v>182.98</v>
      </c>
      <c r="L104" s="100">
        <v>25.79</v>
      </c>
      <c r="M104" s="100">
        <v>39.71</v>
      </c>
      <c r="N104" s="100">
        <v>5.8</v>
      </c>
      <c r="O104" s="100">
        <v>0</v>
      </c>
      <c r="P104" s="100">
        <v>0.89</v>
      </c>
      <c r="Q104" s="100">
        <v>28.14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3.27</v>
      </c>
      <c r="C106" s="158">
        <f>MIN(C9:C104)</f>
        <v>11.89</v>
      </c>
      <c r="D106" s="158">
        <f t="shared" ref="D106:Q106" si="0">MIN(D9:D104)</f>
        <v>10.48</v>
      </c>
      <c r="E106" s="158">
        <f t="shared" si="0"/>
        <v>6.79</v>
      </c>
      <c r="F106" s="158">
        <f t="shared" si="0"/>
        <v>0</v>
      </c>
      <c r="G106" s="158">
        <f t="shared" si="0"/>
        <v>38.44</v>
      </c>
      <c r="H106" s="158">
        <f t="shared" si="0"/>
        <v>25.2</v>
      </c>
      <c r="I106" s="158">
        <f t="shared" si="0"/>
        <v>6.99</v>
      </c>
      <c r="J106" s="158">
        <f t="shared" si="0"/>
        <v>0.05</v>
      </c>
      <c r="K106" s="158">
        <f t="shared" si="0"/>
        <v>6.17</v>
      </c>
      <c r="L106" s="158">
        <f t="shared" si="0"/>
        <v>20.82</v>
      </c>
      <c r="M106" s="158">
        <f t="shared" si="0"/>
        <v>7.82</v>
      </c>
      <c r="N106" s="158">
        <f t="shared" si="0"/>
        <v>5.3</v>
      </c>
      <c r="O106" s="158">
        <f t="shared" si="0"/>
        <v>0</v>
      </c>
      <c r="P106" s="158">
        <f t="shared" si="0"/>
        <v>0.59</v>
      </c>
      <c r="Q106" s="158">
        <f t="shared" si="0"/>
        <v>28.04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17.670000000000002</v>
      </c>
      <c r="C107" s="157">
        <f t="shared" ref="C107:Q107" si="1">MAX(C9:C104)</f>
        <v>35.83</v>
      </c>
      <c r="D107" s="157">
        <f t="shared" si="1"/>
        <v>27.07</v>
      </c>
      <c r="E107" s="157">
        <f t="shared" si="1"/>
        <v>22.32</v>
      </c>
      <c r="F107" s="157">
        <f t="shared" si="1"/>
        <v>0</v>
      </c>
      <c r="G107" s="157">
        <f t="shared" si="1"/>
        <v>231.91</v>
      </c>
      <c r="H107" s="157">
        <f t="shared" si="1"/>
        <v>85.43</v>
      </c>
      <c r="I107" s="157">
        <f t="shared" si="1"/>
        <v>18.440000000000001</v>
      </c>
      <c r="J107" s="157">
        <f t="shared" si="1"/>
        <v>1.22</v>
      </c>
      <c r="K107" s="157">
        <f t="shared" si="1"/>
        <v>359.35</v>
      </c>
      <c r="L107" s="157">
        <f t="shared" si="1"/>
        <v>40.229999999999997</v>
      </c>
      <c r="M107" s="157">
        <f t="shared" si="1"/>
        <v>57.59</v>
      </c>
      <c r="N107" s="157">
        <f t="shared" si="1"/>
        <v>777.6</v>
      </c>
      <c r="O107" s="157">
        <f t="shared" si="1"/>
        <v>0</v>
      </c>
      <c r="P107" s="157">
        <f t="shared" si="1"/>
        <v>1.49</v>
      </c>
      <c r="Q107" s="157">
        <f t="shared" si="1"/>
        <v>28.51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6.5528125000000017</v>
      </c>
      <c r="C108" s="158">
        <f t="shared" ref="C108:Q108" si="2">AVERAGE(C9:C104)</f>
        <v>18.048437500000006</v>
      </c>
      <c r="D108" s="158">
        <f t="shared" si="2"/>
        <v>16.035000000000007</v>
      </c>
      <c r="E108" s="158">
        <f t="shared" si="2"/>
        <v>10.531562500000001</v>
      </c>
      <c r="F108" s="158" t="e">
        <f t="shared" si="2"/>
        <v>#DIV/0!</v>
      </c>
      <c r="G108" s="158">
        <f t="shared" si="2"/>
        <v>94.718958333333305</v>
      </c>
      <c r="H108" s="158">
        <f t="shared" si="2"/>
        <v>39.160104166666663</v>
      </c>
      <c r="I108" s="158">
        <f t="shared" si="2"/>
        <v>9.9612499999999979</v>
      </c>
      <c r="J108" s="158">
        <f t="shared" si="2"/>
        <v>0.37291666666666662</v>
      </c>
      <c r="K108" s="158">
        <f t="shared" si="2"/>
        <v>191.63947916666658</v>
      </c>
      <c r="L108" s="158">
        <f t="shared" si="2"/>
        <v>30.237395833333341</v>
      </c>
      <c r="M108" s="158">
        <f t="shared" si="2"/>
        <v>31.007395833333334</v>
      </c>
      <c r="N108" s="158">
        <f t="shared" si="2"/>
        <v>184.14062500000011</v>
      </c>
      <c r="O108" s="158">
        <f t="shared" si="2"/>
        <v>0</v>
      </c>
      <c r="P108" s="158">
        <f t="shared" si="2"/>
        <v>0.87166666666666648</v>
      </c>
      <c r="Q108" s="158">
        <f t="shared" si="2"/>
        <v>28.159062499999994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4.1763488720790312</v>
      </c>
      <c r="C109" s="158">
        <f t="shared" ref="C109:Q109" si="3">STDEV(C9:C104)</f>
        <v>4.8310631559838928</v>
      </c>
      <c r="D109" s="158">
        <f t="shared" si="3"/>
        <v>5.0428016440320764</v>
      </c>
      <c r="E109" s="158">
        <f t="shared" si="3"/>
        <v>3.1142667729169822</v>
      </c>
      <c r="F109" s="158" t="e">
        <f t="shared" si="3"/>
        <v>#DIV/0!</v>
      </c>
      <c r="G109" s="158">
        <f t="shared" si="3"/>
        <v>54.757129071625648</v>
      </c>
      <c r="H109" s="158">
        <f t="shared" si="3"/>
        <v>15.155443940764917</v>
      </c>
      <c r="I109" s="158">
        <f t="shared" si="3"/>
        <v>3.2585506141938647</v>
      </c>
      <c r="J109" s="158">
        <f t="shared" si="3"/>
        <v>0.27670206917860107</v>
      </c>
      <c r="K109" s="158">
        <f t="shared" si="3"/>
        <v>78.844292392562011</v>
      </c>
      <c r="L109" s="158">
        <f t="shared" si="3"/>
        <v>6.3123480066814821</v>
      </c>
      <c r="M109" s="158">
        <f t="shared" si="3"/>
        <v>14.595245241969913</v>
      </c>
      <c r="N109" s="158">
        <f t="shared" si="3"/>
        <v>256.14474180292967</v>
      </c>
      <c r="O109" s="158">
        <f t="shared" si="3"/>
        <v>0</v>
      </c>
      <c r="P109" s="158">
        <f t="shared" si="3"/>
        <v>0.23798569911332187</v>
      </c>
      <c r="Q109" s="158">
        <f t="shared" si="3"/>
        <v>0.1330933833224274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xSplit="1" ySplit="8" topLeftCell="B88" activePane="bottomRight" state="frozen"/>
      <selection pane="topRight"/>
      <selection pane="bottomLeft"/>
      <selection pane="bottomRight" activeCell="K98" sqref="K98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28/03/2025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2831</v>
      </c>
      <c r="B9" s="100">
        <v>5.44</v>
      </c>
      <c r="C9" s="100">
        <v>14.61</v>
      </c>
      <c r="D9" s="100">
        <v>13.35</v>
      </c>
      <c r="E9" s="100">
        <v>9.31</v>
      </c>
      <c r="F9" s="152" t="s">
        <v>15</v>
      </c>
      <c r="G9" s="100">
        <v>70.17</v>
      </c>
      <c r="H9" s="100">
        <v>38.78</v>
      </c>
      <c r="I9" s="100">
        <v>10.15</v>
      </c>
      <c r="J9" s="100">
        <v>0.15</v>
      </c>
      <c r="K9" s="100">
        <v>197.06</v>
      </c>
      <c r="L9" s="100">
        <v>25.7</v>
      </c>
      <c r="M9" s="100">
        <v>40.28</v>
      </c>
      <c r="N9" s="100">
        <v>5.8</v>
      </c>
      <c r="O9" s="100">
        <v>0</v>
      </c>
      <c r="P9" s="100">
        <v>0.89</v>
      </c>
      <c r="Q9" s="100">
        <v>28.12</v>
      </c>
      <c r="R9" s="6"/>
      <c r="S9" s="6"/>
      <c r="T9" s="156"/>
      <c r="U9" s="6"/>
    </row>
    <row r="10" spans="1:21" customFormat="1">
      <c r="A10" s="163" t="s">
        <v>2832</v>
      </c>
      <c r="B10" s="100">
        <v>5.43</v>
      </c>
      <c r="C10" s="100">
        <v>14.85</v>
      </c>
      <c r="D10" s="100">
        <v>13.46</v>
      </c>
      <c r="E10" s="100">
        <v>9.5</v>
      </c>
      <c r="F10" s="152" t="s">
        <v>15</v>
      </c>
      <c r="G10" s="100">
        <v>70.17</v>
      </c>
      <c r="H10" s="100">
        <v>38.78</v>
      </c>
      <c r="I10" s="100">
        <v>10.18</v>
      </c>
      <c r="J10" s="100">
        <v>0.17</v>
      </c>
      <c r="K10" s="100">
        <v>172.58</v>
      </c>
      <c r="L10" s="100">
        <v>25.38</v>
      </c>
      <c r="M10" s="100">
        <v>41.56</v>
      </c>
      <c r="N10" s="100">
        <v>6</v>
      </c>
      <c r="O10" s="100">
        <v>0</v>
      </c>
      <c r="P10" s="100">
        <v>0.89</v>
      </c>
      <c r="Q10" s="100">
        <v>28.13</v>
      </c>
      <c r="R10" s="6"/>
      <c r="S10" s="6"/>
      <c r="T10" s="156"/>
      <c r="U10" s="6"/>
    </row>
    <row r="11" spans="1:21" customFormat="1">
      <c r="A11" s="163" t="s">
        <v>2833</v>
      </c>
      <c r="B11" s="100">
        <v>5.5</v>
      </c>
      <c r="C11" s="100">
        <v>14.77</v>
      </c>
      <c r="D11" s="100">
        <v>13.48</v>
      </c>
      <c r="E11" s="100">
        <v>9.7200000000000006</v>
      </c>
      <c r="F11" s="152" t="s">
        <v>15</v>
      </c>
      <c r="G11" s="100">
        <v>70.17</v>
      </c>
      <c r="H11" s="100">
        <v>38.78</v>
      </c>
      <c r="I11" s="100">
        <v>10.220000000000001</v>
      </c>
      <c r="J11" s="100">
        <v>0.16</v>
      </c>
      <c r="K11" s="100">
        <v>172.3</v>
      </c>
      <c r="L11" s="100">
        <v>25.19</v>
      </c>
      <c r="M11" s="100">
        <v>41.76</v>
      </c>
      <c r="N11" s="100">
        <v>5.9</v>
      </c>
      <c r="O11" s="100">
        <v>0</v>
      </c>
      <c r="P11" s="100">
        <v>0.89</v>
      </c>
      <c r="Q11" s="100">
        <v>28.13</v>
      </c>
      <c r="R11" s="6"/>
      <c r="S11" s="6"/>
      <c r="T11" s="156"/>
      <c r="U11" s="6"/>
    </row>
    <row r="12" spans="1:21" customFormat="1">
      <c r="A12" s="163" t="s">
        <v>2834</v>
      </c>
      <c r="B12" s="100">
        <v>5.78</v>
      </c>
      <c r="C12" s="100">
        <v>15.76</v>
      </c>
      <c r="D12" s="100">
        <v>14.22</v>
      </c>
      <c r="E12" s="100">
        <v>9.59</v>
      </c>
      <c r="F12" s="152" t="s">
        <v>15</v>
      </c>
      <c r="G12" s="100">
        <v>72.680000000000007</v>
      </c>
      <c r="H12" s="100">
        <v>36.6</v>
      </c>
      <c r="I12" s="100">
        <v>10.24</v>
      </c>
      <c r="J12" s="100">
        <v>0.21</v>
      </c>
      <c r="K12" s="100">
        <v>118.52</v>
      </c>
      <c r="L12" s="100">
        <v>25.34</v>
      </c>
      <c r="M12" s="100">
        <v>40.76</v>
      </c>
      <c r="N12" s="100">
        <v>5.6</v>
      </c>
      <c r="O12" s="100">
        <v>0</v>
      </c>
      <c r="P12" s="100">
        <v>0.9</v>
      </c>
      <c r="Q12" s="100">
        <v>28.13</v>
      </c>
      <c r="R12" s="6"/>
      <c r="S12" s="6"/>
      <c r="T12" s="156"/>
      <c r="U12" s="6"/>
    </row>
    <row r="13" spans="1:21" customFormat="1">
      <c r="A13" s="163" t="s">
        <v>2835</v>
      </c>
      <c r="B13" s="100">
        <v>5.91</v>
      </c>
      <c r="C13" s="100">
        <v>15.76</v>
      </c>
      <c r="D13" s="100">
        <v>14.32</v>
      </c>
      <c r="E13" s="100">
        <v>9.64</v>
      </c>
      <c r="F13" s="152" t="s">
        <v>15</v>
      </c>
      <c r="G13" s="100">
        <v>73.59</v>
      </c>
      <c r="H13" s="100">
        <v>36.57</v>
      </c>
      <c r="I13" s="100">
        <v>10.27</v>
      </c>
      <c r="J13" s="100">
        <v>0.2</v>
      </c>
      <c r="K13" s="100">
        <v>186.2</v>
      </c>
      <c r="L13" s="100">
        <v>24.83</v>
      </c>
      <c r="M13" s="100">
        <v>43.8</v>
      </c>
      <c r="N13" s="100">
        <v>6.2</v>
      </c>
      <c r="O13" s="100">
        <v>0</v>
      </c>
      <c r="P13" s="100">
        <v>0.91</v>
      </c>
      <c r="Q13" s="100">
        <v>28.14</v>
      </c>
      <c r="R13" s="6"/>
      <c r="S13" s="6"/>
      <c r="T13" s="156"/>
      <c r="U13" s="6"/>
    </row>
    <row r="14" spans="1:21" customFormat="1">
      <c r="A14" s="163" t="s">
        <v>2836</v>
      </c>
      <c r="B14" s="100">
        <v>5.8</v>
      </c>
      <c r="C14" s="100">
        <v>15.46</v>
      </c>
      <c r="D14" s="100">
        <v>14.08</v>
      </c>
      <c r="E14" s="100">
        <v>9.43</v>
      </c>
      <c r="F14" s="152" t="s">
        <v>15</v>
      </c>
      <c r="G14" s="100">
        <v>73.59</v>
      </c>
      <c r="H14" s="100">
        <v>36.57</v>
      </c>
      <c r="I14" s="100">
        <v>10.27</v>
      </c>
      <c r="J14" s="100">
        <v>0.22</v>
      </c>
      <c r="K14" s="100">
        <v>172.84</v>
      </c>
      <c r="L14" s="100">
        <v>24.73</v>
      </c>
      <c r="M14" s="100">
        <v>42.67</v>
      </c>
      <c r="N14" s="100">
        <v>5.9</v>
      </c>
      <c r="O14" s="100">
        <v>0</v>
      </c>
      <c r="P14" s="100">
        <v>0.91</v>
      </c>
      <c r="Q14" s="100">
        <v>28.13</v>
      </c>
      <c r="R14" s="6"/>
      <c r="S14" s="6"/>
      <c r="T14" s="156"/>
      <c r="U14" s="6"/>
    </row>
    <row r="15" spans="1:21" customFormat="1">
      <c r="A15" s="163" t="s">
        <v>2837</v>
      </c>
      <c r="B15" s="100">
        <v>5.47</v>
      </c>
      <c r="C15" s="100">
        <v>15.64</v>
      </c>
      <c r="D15" s="100">
        <v>13.91</v>
      </c>
      <c r="E15" s="100">
        <v>9.39</v>
      </c>
      <c r="F15" s="152" t="s">
        <v>15</v>
      </c>
      <c r="G15" s="100">
        <v>73.59</v>
      </c>
      <c r="H15" s="100">
        <v>36.57</v>
      </c>
      <c r="I15" s="100">
        <v>10.42</v>
      </c>
      <c r="J15" s="100">
        <v>0.19</v>
      </c>
      <c r="K15" s="100">
        <v>196.19</v>
      </c>
      <c r="L15" s="100">
        <v>24.38</v>
      </c>
      <c r="M15" s="100">
        <v>43.88</v>
      </c>
      <c r="N15" s="100">
        <v>6</v>
      </c>
      <c r="O15" s="100">
        <v>0</v>
      </c>
      <c r="P15" s="100">
        <v>0.92</v>
      </c>
      <c r="Q15" s="100">
        <v>28.13</v>
      </c>
      <c r="R15" s="6"/>
      <c r="S15" s="6"/>
      <c r="T15" s="156"/>
      <c r="U15" s="6"/>
    </row>
    <row r="16" spans="1:21" customFormat="1">
      <c r="A16" s="163" t="s">
        <v>2838</v>
      </c>
      <c r="B16" s="100">
        <v>5.0599999999999996</v>
      </c>
      <c r="C16" s="100">
        <v>15.82</v>
      </c>
      <c r="D16" s="100">
        <v>13.68</v>
      </c>
      <c r="E16" s="100">
        <v>9.34</v>
      </c>
      <c r="F16" s="152" t="s">
        <v>15</v>
      </c>
      <c r="G16" s="100">
        <v>67.17</v>
      </c>
      <c r="H16" s="100">
        <v>34.94</v>
      </c>
      <c r="I16" s="100">
        <v>10.37</v>
      </c>
      <c r="J16" s="100">
        <v>0.16</v>
      </c>
      <c r="K16" s="100">
        <v>189.88</v>
      </c>
      <c r="L16" s="100">
        <v>23.95</v>
      </c>
      <c r="M16" s="100">
        <v>46.41</v>
      </c>
      <c r="N16" s="100">
        <v>6</v>
      </c>
      <c r="O16" s="100">
        <v>0</v>
      </c>
      <c r="P16" s="100">
        <v>0.92</v>
      </c>
      <c r="Q16" s="100">
        <v>28.11</v>
      </c>
      <c r="R16" s="6"/>
      <c r="S16" s="6"/>
      <c r="T16" s="156"/>
      <c r="U16" s="6"/>
    </row>
    <row r="17" spans="1:21" customFormat="1">
      <c r="A17" s="163" t="s">
        <v>2839</v>
      </c>
      <c r="B17" s="100">
        <v>4.79</v>
      </c>
      <c r="C17" s="100">
        <v>15.85</v>
      </c>
      <c r="D17" s="100">
        <v>13.47</v>
      </c>
      <c r="E17" s="100">
        <v>8.19</v>
      </c>
      <c r="F17" s="152" t="s">
        <v>15</v>
      </c>
      <c r="G17" s="100">
        <v>64.83</v>
      </c>
      <c r="H17" s="100">
        <v>34.89</v>
      </c>
      <c r="I17" s="100">
        <v>10.34</v>
      </c>
      <c r="J17" s="100">
        <v>0.19</v>
      </c>
      <c r="K17" s="100">
        <v>199.19</v>
      </c>
      <c r="L17" s="100">
        <v>23.67</v>
      </c>
      <c r="M17" s="100">
        <v>48.38</v>
      </c>
      <c r="N17" s="100">
        <v>6</v>
      </c>
      <c r="O17" s="100">
        <v>0</v>
      </c>
      <c r="P17" s="100">
        <v>0.91</v>
      </c>
      <c r="Q17" s="100">
        <v>28.1</v>
      </c>
      <c r="R17" s="6"/>
      <c r="S17" s="6"/>
      <c r="T17" s="156"/>
      <c r="U17" s="6"/>
    </row>
    <row r="18" spans="1:21" customFormat="1">
      <c r="A18" s="163" t="s">
        <v>2840</v>
      </c>
      <c r="B18" s="100">
        <v>4.6500000000000004</v>
      </c>
      <c r="C18" s="100">
        <v>15.98</v>
      </c>
      <c r="D18" s="100">
        <v>13.43</v>
      </c>
      <c r="E18" s="100">
        <v>9.24</v>
      </c>
      <c r="F18" s="152" t="s">
        <v>15</v>
      </c>
      <c r="G18" s="100">
        <v>64.83</v>
      </c>
      <c r="H18" s="100">
        <v>34.89</v>
      </c>
      <c r="I18" s="100">
        <v>10.38</v>
      </c>
      <c r="J18" s="100">
        <v>0.17</v>
      </c>
      <c r="K18" s="100">
        <v>171.87</v>
      </c>
      <c r="L18" s="100">
        <v>23.57</v>
      </c>
      <c r="M18" s="100">
        <v>47.75</v>
      </c>
      <c r="N18" s="100">
        <v>5.8</v>
      </c>
      <c r="O18" s="100">
        <v>0</v>
      </c>
      <c r="P18" s="100">
        <v>0.92</v>
      </c>
      <c r="Q18" s="100">
        <v>28.1</v>
      </c>
      <c r="R18" s="6"/>
      <c r="S18" s="6"/>
      <c r="T18" s="156"/>
      <c r="U18" s="6"/>
    </row>
    <row r="19" spans="1:21" customFormat="1">
      <c r="A19" s="163" t="s">
        <v>2841</v>
      </c>
      <c r="B19" s="100">
        <v>4.67</v>
      </c>
      <c r="C19" s="100">
        <v>15.72</v>
      </c>
      <c r="D19" s="100">
        <v>13.31</v>
      </c>
      <c r="E19" s="100">
        <v>9.0399999999999991</v>
      </c>
      <c r="F19" s="152" t="s">
        <v>15</v>
      </c>
      <c r="G19" s="100">
        <v>64.83</v>
      </c>
      <c r="H19" s="100">
        <v>34.89</v>
      </c>
      <c r="I19" s="100">
        <v>10.38</v>
      </c>
      <c r="J19" s="100">
        <v>0.2</v>
      </c>
      <c r="K19" s="100">
        <v>188.77</v>
      </c>
      <c r="L19" s="100">
        <v>23.76</v>
      </c>
      <c r="M19" s="100">
        <v>46.71</v>
      </c>
      <c r="N19" s="100">
        <v>5.7</v>
      </c>
      <c r="O19" s="100">
        <v>0</v>
      </c>
      <c r="P19" s="100">
        <v>0.93</v>
      </c>
      <c r="Q19" s="100">
        <v>28.1</v>
      </c>
      <c r="R19" s="6"/>
      <c r="S19" s="6"/>
      <c r="T19" s="156"/>
      <c r="U19" s="6"/>
    </row>
    <row r="20" spans="1:21" customFormat="1">
      <c r="A20" s="163" t="s">
        <v>2842</v>
      </c>
      <c r="B20" s="100">
        <v>4.51</v>
      </c>
      <c r="C20" s="100">
        <v>15.78</v>
      </c>
      <c r="D20" s="100">
        <v>13.21</v>
      </c>
      <c r="E20" s="100">
        <v>9.1199999999999992</v>
      </c>
      <c r="F20" s="152" t="s">
        <v>15</v>
      </c>
      <c r="G20" s="100">
        <v>70.540000000000006</v>
      </c>
      <c r="H20" s="100">
        <v>36.200000000000003</v>
      </c>
      <c r="I20" s="100">
        <v>10.48</v>
      </c>
      <c r="J20" s="100">
        <v>0.14000000000000001</v>
      </c>
      <c r="K20" s="100">
        <v>126.12</v>
      </c>
      <c r="L20" s="100">
        <v>23.66</v>
      </c>
      <c r="M20" s="100">
        <v>46.35</v>
      </c>
      <c r="N20" s="100">
        <v>5.7</v>
      </c>
      <c r="O20" s="100">
        <v>0</v>
      </c>
      <c r="P20" s="100">
        <v>0.95</v>
      </c>
      <c r="Q20" s="100">
        <v>28.1</v>
      </c>
      <c r="R20" s="6"/>
      <c r="S20" s="6"/>
      <c r="T20" s="156"/>
      <c r="U20" s="6"/>
    </row>
    <row r="21" spans="1:21" customFormat="1">
      <c r="A21" s="163" t="s">
        <v>2843</v>
      </c>
      <c r="B21" s="100">
        <v>4.75</v>
      </c>
      <c r="C21" s="100">
        <v>16.28</v>
      </c>
      <c r="D21" s="100">
        <v>13.66</v>
      </c>
      <c r="E21" s="100">
        <v>9.01</v>
      </c>
      <c r="F21" s="152" t="s">
        <v>15</v>
      </c>
      <c r="G21" s="100">
        <v>72.61</v>
      </c>
      <c r="H21" s="100">
        <v>36.24</v>
      </c>
      <c r="I21" s="100">
        <v>10.85</v>
      </c>
      <c r="J21" s="100">
        <v>0.08</v>
      </c>
      <c r="K21" s="100">
        <v>134.47999999999999</v>
      </c>
      <c r="L21" s="100">
        <v>23.95</v>
      </c>
      <c r="M21" s="100">
        <v>45.6</v>
      </c>
      <c r="N21" s="100">
        <v>5.5</v>
      </c>
      <c r="O21" s="100">
        <v>0</v>
      </c>
      <c r="P21" s="100">
        <v>0.96</v>
      </c>
      <c r="Q21" s="100">
        <v>28.11</v>
      </c>
      <c r="R21" s="6"/>
      <c r="S21" s="6"/>
      <c r="T21" s="156"/>
      <c r="U21" s="6"/>
    </row>
    <row r="22" spans="1:21" customFormat="1">
      <c r="A22" s="163" t="s">
        <v>2844</v>
      </c>
      <c r="B22" s="100">
        <v>5.88</v>
      </c>
      <c r="C22" s="100">
        <v>17.559999999999999</v>
      </c>
      <c r="D22" s="100">
        <v>15.24</v>
      </c>
      <c r="E22" s="100">
        <v>8.9700000000000006</v>
      </c>
      <c r="F22" s="152" t="s">
        <v>15</v>
      </c>
      <c r="G22" s="100">
        <v>72.61</v>
      </c>
      <c r="H22" s="100">
        <v>36.24</v>
      </c>
      <c r="I22" s="100">
        <v>11.22</v>
      </c>
      <c r="J22" s="100">
        <v>0.17</v>
      </c>
      <c r="K22" s="100">
        <v>135.44999999999999</v>
      </c>
      <c r="L22" s="100">
        <v>24.14</v>
      </c>
      <c r="M22" s="100">
        <v>45.12</v>
      </c>
      <c r="N22" s="100">
        <v>5.8</v>
      </c>
      <c r="O22" s="100">
        <v>0</v>
      </c>
      <c r="P22" s="100">
        <v>0.98</v>
      </c>
      <c r="Q22" s="100">
        <v>28.14</v>
      </c>
      <c r="R22" s="6"/>
      <c r="S22" s="6"/>
      <c r="T22" s="156"/>
      <c r="U22" s="6"/>
    </row>
    <row r="23" spans="1:21" customFormat="1">
      <c r="A23" s="163" t="s">
        <v>2845</v>
      </c>
      <c r="B23" s="100">
        <v>7.56</v>
      </c>
      <c r="C23" s="100">
        <v>18.649999999999999</v>
      </c>
      <c r="D23" s="100">
        <v>17.16</v>
      </c>
      <c r="E23" s="100">
        <v>8.84</v>
      </c>
      <c r="F23" s="152" t="s">
        <v>15</v>
      </c>
      <c r="G23" s="100">
        <v>72.61</v>
      </c>
      <c r="H23" s="100">
        <v>36.24</v>
      </c>
      <c r="I23" s="100">
        <v>11.53</v>
      </c>
      <c r="J23" s="100">
        <v>0.26</v>
      </c>
      <c r="K23" s="100">
        <v>168.79</v>
      </c>
      <c r="L23" s="100">
        <v>23.87</v>
      </c>
      <c r="M23" s="100">
        <v>47.52</v>
      </c>
      <c r="N23" s="100">
        <v>6.2</v>
      </c>
      <c r="O23" s="100">
        <v>0</v>
      </c>
      <c r="P23" s="100">
        <v>0.99</v>
      </c>
      <c r="Q23" s="100">
        <v>28.18</v>
      </c>
      <c r="R23" s="6"/>
      <c r="S23" s="6"/>
      <c r="T23" s="156"/>
      <c r="U23" s="6"/>
    </row>
    <row r="24" spans="1:21" customFormat="1">
      <c r="A24" s="163" t="s">
        <v>2846</v>
      </c>
      <c r="B24" s="100">
        <v>8.23</v>
      </c>
      <c r="C24" s="100">
        <v>19.2</v>
      </c>
      <c r="D24" s="100">
        <v>17.98</v>
      </c>
      <c r="E24" s="100">
        <v>8.98</v>
      </c>
      <c r="F24" s="152" t="s">
        <v>15</v>
      </c>
      <c r="G24" s="100">
        <v>75.87</v>
      </c>
      <c r="H24" s="100">
        <v>36.200000000000003</v>
      </c>
      <c r="I24" s="100">
        <v>11.68</v>
      </c>
      <c r="J24" s="100">
        <v>0.28999999999999998</v>
      </c>
      <c r="K24" s="100">
        <v>203.65</v>
      </c>
      <c r="L24" s="100">
        <v>22.83</v>
      </c>
      <c r="M24" s="100">
        <v>50.69</v>
      </c>
      <c r="N24" s="100">
        <v>6.6</v>
      </c>
      <c r="O24" s="100">
        <v>0</v>
      </c>
      <c r="P24" s="100">
        <v>1</v>
      </c>
      <c r="Q24" s="100">
        <v>28.22</v>
      </c>
      <c r="R24" s="6"/>
      <c r="S24" s="6"/>
      <c r="T24" s="156"/>
      <c r="U24" s="6"/>
    </row>
    <row r="25" spans="1:21" customFormat="1">
      <c r="A25" s="163" t="s">
        <v>2847</v>
      </c>
      <c r="B25" s="100">
        <v>8.25</v>
      </c>
      <c r="C25" s="100">
        <v>19.16</v>
      </c>
      <c r="D25" s="100">
        <v>17.98</v>
      </c>
      <c r="E25" s="100">
        <v>8.7799999999999994</v>
      </c>
      <c r="F25" s="152" t="s">
        <v>15</v>
      </c>
      <c r="G25" s="100">
        <v>77.05</v>
      </c>
      <c r="H25" s="100">
        <v>36.200000000000003</v>
      </c>
      <c r="I25" s="100">
        <v>11.8</v>
      </c>
      <c r="J25" s="100">
        <v>0.28999999999999998</v>
      </c>
      <c r="K25" s="100">
        <v>198.66</v>
      </c>
      <c r="L25" s="100">
        <v>22.53</v>
      </c>
      <c r="M25" s="100">
        <v>50.68</v>
      </c>
      <c r="N25" s="100">
        <v>6.2</v>
      </c>
      <c r="O25" s="100">
        <v>0</v>
      </c>
      <c r="P25" s="100">
        <v>1</v>
      </c>
      <c r="Q25" s="100">
        <v>28.22</v>
      </c>
      <c r="R25" s="6"/>
      <c r="S25" s="6"/>
      <c r="T25" s="156"/>
      <c r="U25" s="6"/>
    </row>
    <row r="26" spans="1:21" customFormat="1">
      <c r="A26" s="163" t="s">
        <v>2848</v>
      </c>
      <c r="B26" s="100">
        <v>8</v>
      </c>
      <c r="C26" s="100">
        <v>19.16</v>
      </c>
      <c r="D26" s="100">
        <v>17.78</v>
      </c>
      <c r="E26" s="100">
        <v>8.9499999999999993</v>
      </c>
      <c r="F26" s="152" t="s">
        <v>15</v>
      </c>
      <c r="G26" s="100">
        <v>77.05</v>
      </c>
      <c r="H26" s="100">
        <v>36.200000000000003</v>
      </c>
      <c r="I26" s="100">
        <v>11.92</v>
      </c>
      <c r="J26" s="100">
        <v>0.12</v>
      </c>
      <c r="K26" s="100">
        <v>143.01</v>
      </c>
      <c r="L26" s="100">
        <v>22.29</v>
      </c>
      <c r="M26" s="100">
        <v>51.64</v>
      </c>
      <c r="N26" s="100">
        <v>6.2</v>
      </c>
      <c r="O26" s="100">
        <v>0</v>
      </c>
      <c r="P26" s="100">
        <v>1</v>
      </c>
      <c r="Q26" s="100">
        <v>28.21</v>
      </c>
      <c r="R26" s="6"/>
      <c r="S26" s="6"/>
      <c r="T26" s="156"/>
      <c r="U26" s="6"/>
    </row>
    <row r="27" spans="1:21" customFormat="1">
      <c r="A27" s="163" t="s">
        <v>2849</v>
      </c>
      <c r="B27" s="100">
        <v>7.68</v>
      </c>
      <c r="C27" s="100">
        <v>19.079999999999998</v>
      </c>
      <c r="D27" s="100">
        <v>17.48</v>
      </c>
      <c r="E27" s="100">
        <v>8.56</v>
      </c>
      <c r="F27" s="152" t="s">
        <v>15</v>
      </c>
      <c r="G27" s="100">
        <v>77.05</v>
      </c>
      <c r="H27" s="100">
        <v>36.200000000000003</v>
      </c>
      <c r="I27" s="100">
        <v>12</v>
      </c>
      <c r="J27" s="100">
        <v>0.24</v>
      </c>
      <c r="K27" s="100">
        <v>201.92</v>
      </c>
      <c r="L27" s="100">
        <v>22.5</v>
      </c>
      <c r="M27" s="100">
        <v>51.51</v>
      </c>
      <c r="N27" s="100">
        <v>5.7</v>
      </c>
      <c r="O27" s="100">
        <v>0</v>
      </c>
      <c r="P27" s="100">
        <v>1</v>
      </c>
      <c r="Q27" s="100">
        <v>28.21</v>
      </c>
      <c r="R27" s="6"/>
      <c r="S27" s="6"/>
      <c r="T27" s="156"/>
      <c r="U27" s="6"/>
    </row>
    <row r="28" spans="1:21" customFormat="1">
      <c r="A28" s="163" t="s">
        <v>2850</v>
      </c>
      <c r="B28" s="100">
        <v>7.46</v>
      </c>
      <c r="C28" s="100">
        <v>18.690000000000001</v>
      </c>
      <c r="D28" s="100">
        <v>17.100000000000001</v>
      </c>
      <c r="E28" s="100">
        <v>8.7799999999999994</v>
      </c>
      <c r="F28" s="152" t="s">
        <v>15</v>
      </c>
      <c r="G28" s="100">
        <v>70.73</v>
      </c>
      <c r="H28" s="100">
        <v>37.57</v>
      </c>
      <c r="I28" s="100">
        <v>12.07</v>
      </c>
      <c r="J28" s="100">
        <v>0.15</v>
      </c>
      <c r="K28" s="100">
        <v>150.99</v>
      </c>
      <c r="L28" s="100">
        <v>22.18</v>
      </c>
      <c r="M28" s="100">
        <v>53.68</v>
      </c>
      <c r="N28" s="100">
        <v>6.2</v>
      </c>
      <c r="O28" s="100">
        <v>0</v>
      </c>
      <c r="P28" s="100">
        <v>1</v>
      </c>
      <c r="Q28" s="100">
        <v>28.2</v>
      </c>
      <c r="R28" s="6"/>
      <c r="S28" s="6"/>
      <c r="T28" s="156"/>
      <c r="U28" s="6"/>
    </row>
    <row r="29" spans="1:21" customFormat="1">
      <c r="A29" s="163" t="s">
        <v>2851</v>
      </c>
      <c r="B29" s="100">
        <v>7.53</v>
      </c>
      <c r="C29" s="100">
        <v>18.25</v>
      </c>
      <c r="D29" s="100">
        <v>16.93</v>
      </c>
      <c r="E29" s="100">
        <v>9</v>
      </c>
      <c r="F29" s="152" t="s">
        <v>15</v>
      </c>
      <c r="G29" s="100">
        <v>68.430000000000007</v>
      </c>
      <c r="H29" s="100">
        <v>37.61</v>
      </c>
      <c r="I29" s="100">
        <v>12.07</v>
      </c>
      <c r="J29" s="100">
        <v>0.25</v>
      </c>
      <c r="K29" s="100">
        <v>210.37</v>
      </c>
      <c r="L29" s="100">
        <v>22.03</v>
      </c>
      <c r="M29" s="100">
        <v>54.55</v>
      </c>
      <c r="N29" s="100">
        <v>6</v>
      </c>
      <c r="O29" s="100">
        <v>0</v>
      </c>
      <c r="P29" s="100">
        <v>1</v>
      </c>
      <c r="Q29" s="100">
        <v>28.2</v>
      </c>
      <c r="R29" s="6"/>
      <c r="S29" s="6"/>
      <c r="T29" s="156"/>
      <c r="U29" s="6"/>
    </row>
    <row r="30" spans="1:21" customFormat="1">
      <c r="A30" s="163" t="s">
        <v>2852</v>
      </c>
      <c r="B30" s="100">
        <v>7.74</v>
      </c>
      <c r="C30" s="100">
        <v>17.7</v>
      </c>
      <c r="D30" s="100">
        <v>16.809999999999999</v>
      </c>
      <c r="E30" s="100">
        <v>8.77</v>
      </c>
      <c r="F30" s="152" t="s">
        <v>15</v>
      </c>
      <c r="G30" s="100">
        <v>68.430000000000007</v>
      </c>
      <c r="H30" s="100">
        <v>37.61</v>
      </c>
      <c r="I30" s="100">
        <v>12.11</v>
      </c>
      <c r="J30" s="100">
        <v>0.27</v>
      </c>
      <c r="K30" s="100">
        <v>169.85</v>
      </c>
      <c r="L30" s="100">
        <v>21.85</v>
      </c>
      <c r="M30" s="100">
        <v>55.57</v>
      </c>
      <c r="N30" s="100">
        <v>6.1</v>
      </c>
      <c r="O30" s="100">
        <v>0</v>
      </c>
      <c r="P30" s="100">
        <v>1.01</v>
      </c>
      <c r="Q30" s="100">
        <v>28.19</v>
      </c>
      <c r="R30" s="6"/>
      <c r="S30" s="6"/>
      <c r="T30" s="156"/>
      <c r="U30" s="6"/>
    </row>
    <row r="31" spans="1:21" customFormat="1">
      <c r="A31" s="163" t="s">
        <v>2853</v>
      </c>
      <c r="B31" s="100">
        <v>7.25</v>
      </c>
      <c r="C31" s="100">
        <v>17.62</v>
      </c>
      <c r="D31" s="100">
        <v>16.37</v>
      </c>
      <c r="E31" s="100">
        <v>8.56</v>
      </c>
      <c r="F31" s="152" t="s">
        <v>15</v>
      </c>
      <c r="G31" s="100">
        <v>68.430000000000007</v>
      </c>
      <c r="H31" s="100">
        <v>37.61</v>
      </c>
      <c r="I31" s="100">
        <v>12.15</v>
      </c>
      <c r="J31" s="100">
        <v>0.15</v>
      </c>
      <c r="K31" s="100">
        <v>176.11</v>
      </c>
      <c r="L31" s="100">
        <v>21.58</v>
      </c>
      <c r="M31" s="100">
        <v>56.59</v>
      </c>
      <c r="N31" s="100">
        <v>6.2</v>
      </c>
      <c r="O31" s="100">
        <v>0</v>
      </c>
      <c r="P31" s="100">
        <v>1.02</v>
      </c>
      <c r="Q31" s="100">
        <v>28.18</v>
      </c>
      <c r="R31" s="6"/>
      <c r="S31" s="6"/>
      <c r="T31" s="156"/>
      <c r="U31" s="6"/>
    </row>
    <row r="32" spans="1:21" customFormat="1">
      <c r="A32" s="163" t="s">
        <v>2854</v>
      </c>
      <c r="B32" s="100">
        <v>6.9</v>
      </c>
      <c r="C32" s="100">
        <v>17.55</v>
      </c>
      <c r="D32" s="100">
        <v>16.05</v>
      </c>
      <c r="E32" s="100">
        <v>8.59</v>
      </c>
      <c r="F32" s="152" t="s">
        <v>15</v>
      </c>
      <c r="G32" s="100">
        <v>69.44</v>
      </c>
      <c r="H32" s="100">
        <v>35.299999999999997</v>
      </c>
      <c r="I32" s="100">
        <v>12.3</v>
      </c>
      <c r="J32" s="100">
        <v>0.19</v>
      </c>
      <c r="K32" s="100">
        <v>187.44</v>
      </c>
      <c r="L32" s="100">
        <v>21.81</v>
      </c>
      <c r="M32" s="100">
        <v>55.82</v>
      </c>
      <c r="N32" s="100">
        <v>7.7</v>
      </c>
      <c r="O32" s="100">
        <v>0</v>
      </c>
      <c r="P32" s="100">
        <v>1.02</v>
      </c>
      <c r="Q32" s="100">
        <v>28.18</v>
      </c>
      <c r="R32" s="6"/>
      <c r="S32" s="6"/>
      <c r="T32" s="156"/>
      <c r="U32" s="6"/>
    </row>
    <row r="33" spans="1:21" customFormat="1">
      <c r="A33" s="163" t="s">
        <v>2855</v>
      </c>
      <c r="B33" s="100">
        <v>6.73</v>
      </c>
      <c r="C33" s="100">
        <v>17.45</v>
      </c>
      <c r="D33" s="100">
        <v>15.87</v>
      </c>
      <c r="E33" s="100">
        <v>8.58</v>
      </c>
      <c r="F33" s="152" t="s">
        <v>15</v>
      </c>
      <c r="G33" s="100">
        <v>69.83</v>
      </c>
      <c r="H33" s="100">
        <v>35.229999999999997</v>
      </c>
      <c r="I33" s="100">
        <v>12.44</v>
      </c>
      <c r="J33" s="100">
        <v>0.25</v>
      </c>
      <c r="K33" s="100">
        <v>175.18</v>
      </c>
      <c r="L33" s="100">
        <v>21.76</v>
      </c>
      <c r="M33" s="100">
        <v>56.1</v>
      </c>
      <c r="N33" s="100">
        <v>14.1</v>
      </c>
      <c r="O33" s="100">
        <v>0</v>
      </c>
      <c r="P33" s="100">
        <v>1.03</v>
      </c>
      <c r="Q33" s="100">
        <v>28.18</v>
      </c>
      <c r="R33" s="6"/>
      <c r="S33" s="6"/>
      <c r="T33" s="156"/>
      <c r="U33" s="6"/>
    </row>
    <row r="34" spans="1:21" customFormat="1">
      <c r="A34" s="163" t="s">
        <v>2856</v>
      </c>
      <c r="B34" s="100">
        <v>6.69</v>
      </c>
      <c r="C34" s="100">
        <v>17.149999999999999</v>
      </c>
      <c r="D34" s="100">
        <v>15.68</v>
      </c>
      <c r="E34" s="100">
        <v>8.23</v>
      </c>
      <c r="F34" s="152" t="s">
        <v>15</v>
      </c>
      <c r="G34" s="100">
        <v>69.83</v>
      </c>
      <c r="H34" s="100">
        <v>35.229999999999997</v>
      </c>
      <c r="I34" s="100">
        <v>12.55</v>
      </c>
      <c r="J34" s="100">
        <v>0.12</v>
      </c>
      <c r="K34" s="100">
        <v>170.87</v>
      </c>
      <c r="L34" s="100">
        <v>21.67</v>
      </c>
      <c r="M34" s="100">
        <v>56.76</v>
      </c>
      <c r="N34" s="100">
        <v>24.3</v>
      </c>
      <c r="O34" s="100">
        <v>0</v>
      </c>
      <c r="P34" s="100">
        <v>1.04</v>
      </c>
      <c r="Q34" s="100">
        <v>28.16</v>
      </c>
      <c r="R34" s="6"/>
      <c r="S34" s="6"/>
      <c r="T34" s="156"/>
      <c r="U34" s="6"/>
    </row>
    <row r="35" spans="1:21" customFormat="1">
      <c r="A35" s="163" t="s">
        <v>2857</v>
      </c>
      <c r="B35" s="100">
        <v>6.82</v>
      </c>
      <c r="C35" s="100">
        <v>16.96</v>
      </c>
      <c r="D35" s="100">
        <v>15.68</v>
      </c>
      <c r="E35" s="100">
        <v>8.5500000000000007</v>
      </c>
      <c r="F35" s="152" t="s">
        <v>15</v>
      </c>
      <c r="G35" s="100">
        <v>69.83</v>
      </c>
      <c r="H35" s="100">
        <v>35.229999999999997</v>
      </c>
      <c r="I35" s="100">
        <v>12.73</v>
      </c>
      <c r="J35" s="100">
        <v>0.2</v>
      </c>
      <c r="K35" s="100">
        <v>142.88999999999999</v>
      </c>
      <c r="L35" s="100">
        <v>22.03</v>
      </c>
      <c r="M35" s="100">
        <v>56.34</v>
      </c>
      <c r="N35" s="100">
        <v>35.200000000000003</v>
      </c>
      <c r="O35" s="100">
        <v>0</v>
      </c>
      <c r="P35" s="100">
        <v>1.05</v>
      </c>
      <c r="Q35" s="100">
        <v>28.15</v>
      </c>
      <c r="R35" s="6"/>
      <c r="S35" s="6"/>
      <c r="T35" s="156"/>
      <c r="U35" s="6"/>
    </row>
    <row r="36" spans="1:21" customFormat="1">
      <c r="A36" s="163" t="s">
        <v>2858</v>
      </c>
      <c r="B36" s="100">
        <v>7.03</v>
      </c>
      <c r="C36" s="100">
        <v>17.02</v>
      </c>
      <c r="D36" s="100">
        <v>15.88</v>
      </c>
      <c r="E36" s="100">
        <v>8.5500000000000007</v>
      </c>
      <c r="F36" s="152" t="s">
        <v>15</v>
      </c>
      <c r="G36" s="100">
        <v>72.430000000000007</v>
      </c>
      <c r="H36" s="100">
        <v>37.369999999999997</v>
      </c>
      <c r="I36" s="100">
        <v>12.83</v>
      </c>
      <c r="J36" s="100">
        <v>0.27</v>
      </c>
      <c r="K36" s="100">
        <v>180.47</v>
      </c>
      <c r="L36" s="100">
        <v>22.56</v>
      </c>
      <c r="M36" s="100">
        <v>55.87</v>
      </c>
      <c r="N36" s="100">
        <v>46.2</v>
      </c>
      <c r="O36" s="100">
        <v>0</v>
      </c>
      <c r="P36" s="100">
        <v>1.06</v>
      </c>
      <c r="Q36" s="100">
        <v>28.19</v>
      </c>
      <c r="R36" s="6"/>
      <c r="S36" s="6"/>
      <c r="T36" s="156"/>
      <c r="U36" s="6"/>
    </row>
    <row r="37" spans="1:21" customFormat="1">
      <c r="A37" s="163" t="s">
        <v>2859</v>
      </c>
      <c r="B37" s="100">
        <v>7.24</v>
      </c>
      <c r="C37" s="100">
        <v>17.02</v>
      </c>
      <c r="D37" s="100">
        <v>16.05</v>
      </c>
      <c r="E37" s="100">
        <v>8.58</v>
      </c>
      <c r="F37" s="152" t="s">
        <v>15</v>
      </c>
      <c r="G37" s="100">
        <v>73.430000000000007</v>
      </c>
      <c r="H37" s="100">
        <v>37.43</v>
      </c>
      <c r="I37" s="100">
        <v>12.97</v>
      </c>
      <c r="J37" s="100">
        <v>0.16</v>
      </c>
      <c r="K37" s="100">
        <v>218.38</v>
      </c>
      <c r="L37" s="100">
        <v>23.33</v>
      </c>
      <c r="M37" s="100">
        <v>53.07</v>
      </c>
      <c r="N37" s="100">
        <v>57</v>
      </c>
      <c r="O37" s="100">
        <v>0</v>
      </c>
      <c r="P37" s="100">
        <v>1.06</v>
      </c>
      <c r="Q37" s="100">
        <v>28.2</v>
      </c>
      <c r="R37" s="6"/>
      <c r="S37" s="6"/>
      <c r="T37" s="156"/>
      <c r="U37" s="6"/>
    </row>
    <row r="38" spans="1:21" customFormat="1">
      <c r="A38" s="163" t="s">
        <v>2860</v>
      </c>
      <c r="B38" s="100">
        <v>7.46</v>
      </c>
      <c r="C38" s="100">
        <v>16.79</v>
      </c>
      <c r="D38" s="100">
        <v>16.11</v>
      </c>
      <c r="E38" s="100">
        <v>8.8699999999999992</v>
      </c>
      <c r="F38" s="152" t="s">
        <v>15</v>
      </c>
      <c r="G38" s="100">
        <v>73.430000000000007</v>
      </c>
      <c r="H38" s="100">
        <v>37.43</v>
      </c>
      <c r="I38" s="100">
        <v>13.11</v>
      </c>
      <c r="J38" s="100">
        <v>0.18</v>
      </c>
      <c r="K38" s="100">
        <v>161.33000000000001</v>
      </c>
      <c r="L38" s="100">
        <v>24.59</v>
      </c>
      <c r="M38" s="100">
        <v>49.47</v>
      </c>
      <c r="N38" s="100">
        <v>67.400000000000006</v>
      </c>
      <c r="O38" s="100">
        <v>0</v>
      </c>
      <c r="P38" s="100">
        <v>1.08</v>
      </c>
      <c r="Q38" s="100">
        <v>28.19</v>
      </c>
      <c r="R38" s="6"/>
      <c r="S38" s="6"/>
      <c r="T38" s="156"/>
      <c r="U38" s="6"/>
    </row>
    <row r="39" spans="1:21" customFormat="1">
      <c r="A39" s="163" t="s">
        <v>2861</v>
      </c>
      <c r="B39" s="100">
        <v>7.55</v>
      </c>
      <c r="C39" s="100">
        <v>16.97</v>
      </c>
      <c r="D39" s="100">
        <v>16.27</v>
      </c>
      <c r="E39" s="100">
        <v>8.6999999999999993</v>
      </c>
      <c r="F39" s="152" t="s">
        <v>15</v>
      </c>
      <c r="G39" s="100">
        <v>73.430000000000007</v>
      </c>
      <c r="H39" s="100">
        <v>37.43</v>
      </c>
      <c r="I39" s="100">
        <v>13.3</v>
      </c>
      <c r="J39" s="100">
        <v>0.17</v>
      </c>
      <c r="K39" s="100">
        <v>138.19999999999999</v>
      </c>
      <c r="L39" s="100">
        <v>25.97</v>
      </c>
      <c r="M39" s="100">
        <v>46.04</v>
      </c>
      <c r="N39" s="100">
        <v>78.400000000000006</v>
      </c>
      <c r="O39" s="100">
        <v>0</v>
      </c>
      <c r="P39" s="100">
        <v>1.0900000000000001</v>
      </c>
      <c r="Q39" s="100">
        <v>28.2</v>
      </c>
      <c r="R39" s="6"/>
      <c r="S39" s="6"/>
      <c r="T39" s="156"/>
      <c r="U39" s="6"/>
    </row>
    <row r="40" spans="1:21" customFormat="1">
      <c r="A40" s="163" t="s">
        <v>2862</v>
      </c>
      <c r="B40" s="100">
        <v>8.6</v>
      </c>
      <c r="C40" s="100">
        <v>19.52</v>
      </c>
      <c r="D40" s="100">
        <v>18.45</v>
      </c>
      <c r="E40" s="100">
        <v>9.39</v>
      </c>
      <c r="F40" s="152" t="s">
        <v>15</v>
      </c>
      <c r="G40" s="100">
        <v>90.9</v>
      </c>
      <c r="H40" s="100">
        <v>40.229999999999997</v>
      </c>
      <c r="I40" s="100">
        <v>13.6</v>
      </c>
      <c r="J40" s="100">
        <v>0.62</v>
      </c>
      <c r="K40" s="100">
        <v>52.75</v>
      </c>
      <c r="L40" s="100">
        <v>27.65</v>
      </c>
      <c r="M40" s="100">
        <v>40.01</v>
      </c>
      <c r="N40" s="100">
        <v>90.1</v>
      </c>
      <c r="O40" s="100">
        <v>0</v>
      </c>
      <c r="P40" s="100">
        <v>1.1399999999999999</v>
      </c>
      <c r="Q40" s="100">
        <v>28.2</v>
      </c>
      <c r="R40" s="6"/>
      <c r="S40" s="6"/>
      <c r="T40" s="156"/>
      <c r="U40" s="6"/>
    </row>
    <row r="41" spans="1:21" customFormat="1">
      <c r="A41" s="163" t="s">
        <v>2863</v>
      </c>
      <c r="B41" s="100">
        <v>9.16</v>
      </c>
      <c r="C41" s="100">
        <v>20.09</v>
      </c>
      <c r="D41" s="100">
        <v>19.190000000000001</v>
      </c>
      <c r="E41" s="100">
        <v>10.77</v>
      </c>
      <c r="F41" s="152" t="s">
        <v>15</v>
      </c>
      <c r="G41" s="100">
        <v>97.26</v>
      </c>
      <c r="H41" s="100">
        <v>40.31</v>
      </c>
      <c r="I41" s="100">
        <v>13.96</v>
      </c>
      <c r="J41" s="100">
        <v>0.63</v>
      </c>
      <c r="K41" s="100">
        <v>20.16</v>
      </c>
      <c r="L41" s="100">
        <v>29.25</v>
      </c>
      <c r="M41" s="100">
        <v>33.57</v>
      </c>
      <c r="N41" s="100">
        <v>203</v>
      </c>
      <c r="O41" s="100">
        <v>0</v>
      </c>
      <c r="P41" s="100">
        <v>1.1599999999999999</v>
      </c>
      <c r="Q41" s="100">
        <v>28.22</v>
      </c>
      <c r="R41" s="6"/>
      <c r="S41" s="6"/>
      <c r="T41" s="156"/>
      <c r="U41" s="6"/>
    </row>
    <row r="42" spans="1:21" customFormat="1">
      <c r="A42" s="163" t="s">
        <v>2864</v>
      </c>
      <c r="B42" s="100">
        <v>9.8800000000000008</v>
      </c>
      <c r="C42" s="100">
        <v>20.81</v>
      </c>
      <c r="D42" s="100">
        <v>20.149999999999999</v>
      </c>
      <c r="E42" s="100">
        <v>14.48</v>
      </c>
      <c r="F42" s="152" t="s">
        <v>15</v>
      </c>
      <c r="G42" s="100">
        <v>97.26</v>
      </c>
      <c r="H42" s="100">
        <v>40.31</v>
      </c>
      <c r="I42" s="100">
        <v>14.88</v>
      </c>
      <c r="J42" s="100">
        <v>0.8</v>
      </c>
      <c r="K42" s="100">
        <v>33.880000000000003</v>
      </c>
      <c r="L42" s="100">
        <v>30.49</v>
      </c>
      <c r="M42" s="100">
        <v>28.37</v>
      </c>
      <c r="N42" s="100">
        <v>182.2</v>
      </c>
      <c r="O42" s="100">
        <v>0</v>
      </c>
      <c r="P42" s="100">
        <v>1.2</v>
      </c>
      <c r="Q42" s="100">
        <v>28.24</v>
      </c>
      <c r="R42" s="6"/>
      <c r="S42" s="6"/>
      <c r="T42" s="156"/>
      <c r="U42" s="6"/>
    </row>
    <row r="43" spans="1:21" customFormat="1">
      <c r="A43" s="163" t="s">
        <v>2865</v>
      </c>
      <c r="B43" s="100">
        <v>8.52</v>
      </c>
      <c r="C43" s="100">
        <v>21.53</v>
      </c>
      <c r="D43" s="100">
        <v>19.43</v>
      </c>
      <c r="E43" s="100">
        <v>16.920000000000002</v>
      </c>
      <c r="F43" s="152" t="s">
        <v>15</v>
      </c>
      <c r="G43" s="100">
        <v>97.26</v>
      </c>
      <c r="H43" s="100">
        <v>40.31</v>
      </c>
      <c r="I43" s="100">
        <v>15.38</v>
      </c>
      <c r="J43" s="100">
        <v>0.64</v>
      </c>
      <c r="K43" s="100">
        <v>333.76</v>
      </c>
      <c r="L43" s="100">
        <v>31.37</v>
      </c>
      <c r="M43" s="100">
        <v>23.42</v>
      </c>
      <c r="N43" s="100">
        <v>163.4</v>
      </c>
      <c r="O43" s="100">
        <v>0</v>
      </c>
      <c r="P43" s="100">
        <v>1.21</v>
      </c>
      <c r="Q43" s="100">
        <v>28.22</v>
      </c>
      <c r="R43" s="6"/>
      <c r="S43" s="6"/>
      <c r="T43" s="156"/>
      <c r="U43" s="6"/>
    </row>
    <row r="44" spans="1:21" customFormat="1">
      <c r="A44" s="163" t="s">
        <v>2866</v>
      </c>
      <c r="B44" s="100">
        <v>7.99</v>
      </c>
      <c r="C44" s="100">
        <v>23.12</v>
      </c>
      <c r="D44" s="100">
        <v>19.84</v>
      </c>
      <c r="E44" s="100">
        <v>17.27</v>
      </c>
      <c r="F44" s="152" t="s">
        <v>15</v>
      </c>
      <c r="G44" s="100">
        <v>125.87</v>
      </c>
      <c r="H44" s="100">
        <v>54.34</v>
      </c>
      <c r="I44" s="100">
        <v>16.059999999999999</v>
      </c>
      <c r="J44" s="100">
        <v>0.61</v>
      </c>
      <c r="K44" s="100">
        <v>26.91</v>
      </c>
      <c r="L44" s="100">
        <v>32.47</v>
      </c>
      <c r="M44" s="100">
        <v>20.64</v>
      </c>
      <c r="N44" s="100">
        <v>277.2</v>
      </c>
      <c r="O44" s="100">
        <v>0</v>
      </c>
      <c r="P44" s="100">
        <v>1.22</v>
      </c>
      <c r="Q44" s="100">
        <v>28.21</v>
      </c>
      <c r="R44" s="6"/>
      <c r="S44" s="6"/>
      <c r="T44" s="156"/>
      <c r="U44" s="6"/>
    </row>
    <row r="45" spans="1:21" customFormat="1">
      <c r="A45" s="163" t="s">
        <v>2867</v>
      </c>
      <c r="B45" s="100">
        <v>7.46</v>
      </c>
      <c r="C45" s="100">
        <v>23.5</v>
      </c>
      <c r="D45" s="100">
        <v>19.61</v>
      </c>
      <c r="E45" s="100">
        <v>17.96</v>
      </c>
      <c r="F45" s="152" t="s">
        <v>15</v>
      </c>
      <c r="G45" s="100">
        <v>136.87</v>
      </c>
      <c r="H45" s="100">
        <v>54.77</v>
      </c>
      <c r="I45" s="100">
        <v>16.13</v>
      </c>
      <c r="J45" s="100">
        <v>0.59</v>
      </c>
      <c r="K45" s="100">
        <v>340.17</v>
      </c>
      <c r="L45" s="100">
        <v>33.25</v>
      </c>
      <c r="M45" s="100">
        <v>18.989999999999998</v>
      </c>
      <c r="N45" s="100">
        <v>296.60000000000002</v>
      </c>
      <c r="O45" s="100">
        <v>0</v>
      </c>
      <c r="P45" s="100">
        <v>1.2</v>
      </c>
      <c r="Q45" s="100">
        <v>28.22</v>
      </c>
      <c r="R45" s="6"/>
      <c r="S45" s="6"/>
      <c r="T45" s="156"/>
      <c r="U45" s="6"/>
    </row>
    <row r="46" spans="1:21" customFormat="1">
      <c r="A46" s="163" t="s">
        <v>2868</v>
      </c>
      <c r="B46" s="100">
        <v>6.81</v>
      </c>
      <c r="C46" s="100">
        <v>22.9</v>
      </c>
      <c r="D46" s="100">
        <v>18.77</v>
      </c>
      <c r="E46" s="100">
        <v>16.87</v>
      </c>
      <c r="F46" s="152" t="s">
        <v>15</v>
      </c>
      <c r="G46" s="100">
        <v>136.87</v>
      </c>
      <c r="H46" s="100">
        <v>54.77</v>
      </c>
      <c r="I46" s="100">
        <v>15.86</v>
      </c>
      <c r="J46" s="100">
        <v>0.61</v>
      </c>
      <c r="K46" s="100">
        <v>339.45</v>
      </c>
      <c r="L46" s="100">
        <v>34.090000000000003</v>
      </c>
      <c r="M46" s="100">
        <v>17.79</v>
      </c>
      <c r="N46" s="100">
        <v>442</v>
      </c>
      <c r="O46" s="100">
        <v>0</v>
      </c>
      <c r="P46" s="100">
        <v>1.17</v>
      </c>
      <c r="Q46" s="100">
        <v>28.21</v>
      </c>
      <c r="R46" s="6"/>
      <c r="S46" s="6"/>
      <c r="T46" s="156"/>
      <c r="U46" s="6"/>
    </row>
    <row r="47" spans="1:21" customFormat="1">
      <c r="A47" s="163" t="s">
        <v>2869</v>
      </c>
      <c r="B47" s="100">
        <v>7.89</v>
      </c>
      <c r="C47" s="100">
        <v>24.26</v>
      </c>
      <c r="D47" s="100">
        <v>20.350000000000001</v>
      </c>
      <c r="E47" s="100">
        <v>24.33</v>
      </c>
      <c r="F47" s="152" t="s">
        <v>15</v>
      </c>
      <c r="G47" s="100">
        <v>136.87</v>
      </c>
      <c r="H47" s="100">
        <v>54.77</v>
      </c>
      <c r="I47" s="100">
        <v>15.51</v>
      </c>
      <c r="J47" s="100">
        <v>0.6</v>
      </c>
      <c r="K47" s="100">
        <v>13.01</v>
      </c>
      <c r="L47" s="100">
        <v>34.85</v>
      </c>
      <c r="M47" s="100">
        <v>15.73</v>
      </c>
      <c r="N47" s="100">
        <v>483.5</v>
      </c>
      <c r="O47" s="100">
        <v>0</v>
      </c>
      <c r="P47" s="100">
        <v>1.1499999999999999</v>
      </c>
      <c r="Q47" s="100">
        <v>28.18</v>
      </c>
      <c r="R47" s="6"/>
      <c r="S47" s="6"/>
      <c r="T47" s="156"/>
      <c r="U47" s="6"/>
    </row>
    <row r="48" spans="1:21" customFormat="1">
      <c r="A48" s="163" t="s">
        <v>2870</v>
      </c>
      <c r="B48" s="100">
        <v>7.04</v>
      </c>
      <c r="C48" s="100">
        <v>23.38</v>
      </c>
      <c r="D48" s="100">
        <v>19.21</v>
      </c>
      <c r="E48" s="100">
        <v>27.17</v>
      </c>
      <c r="F48" s="152" t="s">
        <v>15</v>
      </c>
      <c r="G48" s="100">
        <v>127.92</v>
      </c>
      <c r="H48" s="100">
        <v>53.86</v>
      </c>
      <c r="I48" s="100">
        <v>15.29</v>
      </c>
      <c r="J48" s="100">
        <v>0.55000000000000004</v>
      </c>
      <c r="K48" s="100">
        <v>288.91000000000003</v>
      </c>
      <c r="L48" s="100">
        <v>35.17</v>
      </c>
      <c r="M48" s="100">
        <v>15.75</v>
      </c>
      <c r="N48" s="100">
        <v>518.29999999999995</v>
      </c>
      <c r="O48" s="100">
        <v>0</v>
      </c>
      <c r="P48" s="100">
        <v>1.1499999999999999</v>
      </c>
      <c r="Q48" s="100">
        <v>28.16</v>
      </c>
      <c r="R48" s="6"/>
      <c r="S48" s="6"/>
      <c r="T48" s="156"/>
      <c r="U48" s="6"/>
    </row>
    <row r="49" spans="1:21" customFormat="1">
      <c r="A49" s="163" t="s">
        <v>2871</v>
      </c>
      <c r="B49" s="100">
        <v>5.54</v>
      </c>
      <c r="C49" s="100">
        <v>23.12</v>
      </c>
      <c r="D49" s="100">
        <v>17.87</v>
      </c>
      <c r="E49" s="100">
        <v>21.76</v>
      </c>
      <c r="F49" s="152" t="s">
        <v>15</v>
      </c>
      <c r="G49" s="100">
        <v>124.67</v>
      </c>
      <c r="H49" s="100">
        <v>53.83</v>
      </c>
      <c r="I49" s="100">
        <v>14.73</v>
      </c>
      <c r="J49" s="100">
        <v>0.32</v>
      </c>
      <c r="K49" s="100">
        <v>249.86</v>
      </c>
      <c r="L49" s="100">
        <v>36.43</v>
      </c>
      <c r="M49" s="100">
        <v>14.26</v>
      </c>
      <c r="N49" s="100">
        <v>506.2</v>
      </c>
      <c r="O49" s="100">
        <v>0</v>
      </c>
      <c r="P49" s="100">
        <v>1.1499999999999999</v>
      </c>
      <c r="Q49" s="100">
        <v>28.15</v>
      </c>
      <c r="R49" s="6"/>
      <c r="S49" s="6"/>
      <c r="T49" s="156"/>
      <c r="U49" s="6"/>
    </row>
    <row r="50" spans="1:21" customFormat="1">
      <c r="A50" s="163" t="s">
        <v>2872</v>
      </c>
      <c r="B50" s="100">
        <v>4.9800000000000004</v>
      </c>
      <c r="C50" s="100">
        <v>22.35</v>
      </c>
      <c r="D50" s="100">
        <v>17.02</v>
      </c>
      <c r="E50" s="100">
        <v>21.88</v>
      </c>
      <c r="F50" s="152" t="s">
        <v>15</v>
      </c>
      <c r="G50" s="100">
        <v>124.67</v>
      </c>
      <c r="H50" s="100">
        <v>53.83</v>
      </c>
      <c r="I50" s="100">
        <v>14.66</v>
      </c>
      <c r="J50" s="100">
        <v>0.34</v>
      </c>
      <c r="K50" s="100">
        <v>122.77</v>
      </c>
      <c r="L50" s="100">
        <v>37.5</v>
      </c>
      <c r="M50" s="100">
        <v>12.23</v>
      </c>
      <c r="N50" s="100">
        <v>411.8</v>
      </c>
      <c r="O50" s="100">
        <v>0</v>
      </c>
      <c r="P50" s="100">
        <v>1.1299999999999999</v>
      </c>
      <c r="Q50" s="100">
        <v>28.14</v>
      </c>
      <c r="R50" s="6"/>
      <c r="S50" s="6"/>
      <c r="T50" s="156"/>
      <c r="U50" s="6"/>
    </row>
    <row r="51" spans="1:21" customFormat="1">
      <c r="A51" s="163" t="s">
        <v>2873</v>
      </c>
      <c r="B51" s="100">
        <v>4.6399999999999997</v>
      </c>
      <c r="C51" s="100">
        <v>21.95</v>
      </c>
      <c r="D51" s="100">
        <v>16.54</v>
      </c>
      <c r="E51" s="100">
        <v>25.55</v>
      </c>
      <c r="F51" s="152" t="s">
        <v>15</v>
      </c>
      <c r="G51" s="100">
        <v>124.67</v>
      </c>
      <c r="H51" s="100">
        <v>53.83</v>
      </c>
      <c r="I51" s="100">
        <v>14.52</v>
      </c>
      <c r="J51" s="100">
        <v>0.2</v>
      </c>
      <c r="K51" s="100">
        <v>114.39</v>
      </c>
      <c r="L51" s="100">
        <v>38.229999999999997</v>
      </c>
      <c r="M51" s="100">
        <v>11.9</v>
      </c>
      <c r="N51" s="100">
        <v>605.9</v>
      </c>
      <c r="O51" s="100">
        <v>0</v>
      </c>
      <c r="P51" s="100">
        <v>1.1200000000000001</v>
      </c>
      <c r="Q51" s="100">
        <v>28.12</v>
      </c>
      <c r="R51" s="6"/>
      <c r="S51" s="6"/>
      <c r="T51" s="156"/>
      <c r="U51" s="6"/>
    </row>
    <row r="52" spans="1:21" customFormat="1">
      <c r="A52" s="163" t="s">
        <v>2874</v>
      </c>
      <c r="B52" s="100">
        <v>4.3600000000000003</v>
      </c>
      <c r="C52" s="100">
        <v>21.82</v>
      </c>
      <c r="D52" s="100">
        <v>16.25</v>
      </c>
      <c r="E52" s="100">
        <v>34.700000000000003</v>
      </c>
      <c r="F52" s="152" t="s">
        <v>15</v>
      </c>
      <c r="G52" s="100">
        <v>117.16</v>
      </c>
      <c r="H52" s="100">
        <v>52.68</v>
      </c>
      <c r="I52" s="100">
        <v>14.18</v>
      </c>
      <c r="J52" s="100">
        <v>0.26</v>
      </c>
      <c r="K52" s="100">
        <v>104.8</v>
      </c>
      <c r="L52" s="100">
        <v>38.9</v>
      </c>
      <c r="M52" s="100">
        <v>10.67</v>
      </c>
      <c r="N52" s="100">
        <v>658.2</v>
      </c>
      <c r="O52" s="100">
        <v>0</v>
      </c>
      <c r="P52" s="100">
        <v>1.07</v>
      </c>
      <c r="Q52" s="100">
        <v>28.11</v>
      </c>
      <c r="R52" s="6"/>
      <c r="S52" s="6"/>
      <c r="T52" s="156"/>
      <c r="U52" s="6"/>
    </row>
    <row r="53" spans="1:21" customFormat="1">
      <c r="A53" s="163" t="s">
        <v>2875</v>
      </c>
      <c r="B53" s="100">
        <v>4.13</v>
      </c>
      <c r="C53" s="100">
        <v>21.39</v>
      </c>
      <c r="D53" s="100">
        <v>15.84</v>
      </c>
      <c r="E53" s="100">
        <v>23.26</v>
      </c>
      <c r="F53" s="152" t="s">
        <v>15</v>
      </c>
      <c r="G53" s="100">
        <v>114.43</v>
      </c>
      <c r="H53" s="100">
        <v>52.55</v>
      </c>
      <c r="I53" s="100">
        <v>13.97</v>
      </c>
      <c r="J53" s="100">
        <v>0.19</v>
      </c>
      <c r="K53" s="100">
        <v>136.43</v>
      </c>
      <c r="L53" s="100">
        <v>39.270000000000003</v>
      </c>
      <c r="M53" s="100">
        <v>10.33</v>
      </c>
      <c r="N53" s="100">
        <v>633.70000000000005</v>
      </c>
      <c r="O53" s="100">
        <v>0</v>
      </c>
      <c r="P53" s="100">
        <v>1.07</v>
      </c>
      <c r="Q53" s="100">
        <v>28.1</v>
      </c>
      <c r="R53" s="6"/>
      <c r="S53" s="6"/>
      <c r="T53" s="156"/>
      <c r="U53" s="6"/>
    </row>
    <row r="54" spans="1:21" customFormat="1">
      <c r="A54" s="163" t="s">
        <v>2876</v>
      </c>
      <c r="B54" s="100">
        <v>3.89</v>
      </c>
      <c r="C54" s="100">
        <v>20.57</v>
      </c>
      <c r="D54" s="100">
        <v>15.22</v>
      </c>
      <c r="E54" s="100">
        <v>21.35</v>
      </c>
      <c r="F54" s="152" t="s">
        <v>15</v>
      </c>
      <c r="G54" s="100">
        <v>114.43</v>
      </c>
      <c r="H54" s="100">
        <v>52.55</v>
      </c>
      <c r="I54" s="100">
        <v>13.35</v>
      </c>
      <c r="J54" s="100">
        <v>0.62</v>
      </c>
      <c r="K54" s="100">
        <v>69.05</v>
      </c>
      <c r="L54" s="100">
        <v>39.65</v>
      </c>
      <c r="M54" s="100">
        <v>9.52</v>
      </c>
      <c r="N54" s="100">
        <v>703.7</v>
      </c>
      <c r="O54" s="100">
        <v>0</v>
      </c>
      <c r="P54" s="100">
        <v>1</v>
      </c>
      <c r="Q54" s="100">
        <v>28.1</v>
      </c>
      <c r="R54" s="6"/>
      <c r="S54" s="6"/>
      <c r="T54" s="156"/>
      <c r="U54" s="6"/>
    </row>
    <row r="55" spans="1:21" customFormat="1">
      <c r="A55" s="163" t="s">
        <v>2877</v>
      </c>
      <c r="B55" s="100">
        <v>3.73</v>
      </c>
      <c r="C55" s="100">
        <v>19.7</v>
      </c>
      <c r="D55" s="100">
        <v>14.64</v>
      </c>
      <c r="E55" s="100">
        <v>23.04</v>
      </c>
      <c r="F55" s="152" t="s">
        <v>15</v>
      </c>
      <c r="G55" s="100">
        <v>114.43</v>
      </c>
      <c r="H55" s="100">
        <v>52.55</v>
      </c>
      <c r="I55" s="100">
        <v>13.57</v>
      </c>
      <c r="J55" s="100">
        <v>0.44</v>
      </c>
      <c r="K55" s="100">
        <v>103.88</v>
      </c>
      <c r="L55" s="100">
        <v>39.979999999999997</v>
      </c>
      <c r="M55" s="100">
        <v>9.06</v>
      </c>
      <c r="N55" s="100">
        <v>635.70000000000005</v>
      </c>
      <c r="O55" s="100">
        <v>0</v>
      </c>
      <c r="P55" s="100">
        <v>0.93</v>
      </c>
      <c r="Q55" s="100">
        <v>28.09</v>
      </c>
      <c r="R55" s="6"/>
      <c r="S55" s="6"/>
      <c r="T55" s="156"/>
      <c r="U55" s="6"/>
    </row>
    <row r="56" spans="1:21" customFormat="1">
      <c r="A56" s="163" t="s">
        <v>2878</v>
      </c>
      <c r="B56" s="100">
        <v>3.95</v>
      </c>
      <c r="C56" s="100">
        <v>20.03</v>
      </c>
      <c r="D56" s="100">
        <v>14.98</v>
      </c>
      <c r="E56" s="100">
        <v>18.989999999999998</v>
      </c>
      <c r="F56" s="152" t="s">
        <v>15</v>
      </c>
      <c r="G56" s="100">
        <v>97.18</v>
      </c>
      <c r="H56" s="100">
        <v>41.38</v>
      </c>
      <c r="I56" s="100">
        <v>12.99</v>
      </c>
      <c r="J56" s="100">
        <v>0.79</v>
      </c>
      <c r="K56" s="100">
        <v>61.29</v>
      </c>
      <c r="L56" s="100">
        <v>40.35</v>
      </c>
      <c r="M56" s="100">
        <v>8.51</v>
      </c>
      <c r="N56" s="100">
        <v>733</v>
      </c>
      <c r="O56" s="100">
        <v>0</v>
      </c>
      <c r="P56" s="100">
        <v>0.89</v>
      </c>
      <c r="Q56" s="100">
        <v>28.07</v>
      </c>
      <c r="R56" s="6"/>
      <c r="S56" s="6"/>
      <c r="T56" s="156"/>
      <c r="U56" s="6"/>
    </row>
    <row r="57" spans="1:21" customFormat="1">
      <c r="A57" s="163" t="s">
        <v>2879</v>
      </c>
      <c r="B57" s="100">
        <v>4.09</v>
      </c>
      <c r="C57" s="100">
        <v>20.59</v>
      </c>
      <c r="D57" s="100">
        <v>15.39</v>
      </c>
      <c r="E57" s="100">
        <v>18.32</v>
      </c>
      <c r="F57" s="152" t="s">
        <v>15</v>
      </c>
      <c r="G57" s="100">
        <v>90.9</v>
      </c>
      <c r="H57" s="100">
        <v>41.04</v>
      </c>
      <c r="I57" s="100">
        <v>12.09</v>
      </c>
      <c r="J57" s="100">
        <v>0.6</v>
      </c>
      <c r="K57" s="100">
        <v>66.790000000000006</v>
      </c>
      <c r="L57" s="100">
        <v>40.619999999999997</v>
      </c>
      <c r="M57" s="100">
        <v>8.51</v>
      </c>
      <c r="N57" s="100">
        <v>751.4</v>
      </c>
      <c r="O57" s="100">
        <v>0</v>
      </c>
      <c r="P57" s="100">
        <v>0.84</v>
      </c>
      <c r="Q57" s="100">
        <v>28.09</v>
      </c>
      <c r="R57" s="6"/>
      <c r="S57" s="6"/>
      <c r="T57" s="156"/>
      <c r="U57" s="6"/>
    </row>
    <row r="58" spans="1:21" customFormat="1">
      <c r="A58" s="163" t="s">
        <v>2880</v>
      </c>
      <c r="B58" s="100">
        <v>3.66</v>
      </c>
      <c r="C58" s="100">
        <v>19.920000000000002</v>
      </c>
      <c r="D58" s="100">
        <v>14.69</v>
      </c>
      <c r="E58" s="100">
        <v>17.25</v>
      </c>
      <c r="F58" s="152" t="s">
        <v>15</v>
      </c>
      <c r="G58" s="100">
        <v>90.9</v>
      </c>
      <c r="H58" s="100">
        <v>41.04</v>
      </c>
      <c r="I58" s="100">
        <v>11.75</v>
      </c>
      <c r="J58" s="100">
        <v>0.67</v>
      </c>
      <c r="K58" s="100">
        <v>29.46</v>
      </c>
      <c r="L58" s="100">
        <v>40.049999999999997</v>
      </c>
      <c r="M58" s="100">
        <v>8.7799999999999994</v>
      </c>
      <c r="N58" s="100">
        <v>744.2</v>
      </c>
      <c r="O58" s="100">
        <v>0</v>
      </c>
      <c r="P58" s="100">
        <v>0.81</v>
      </c>
      <c r="Q58" s="100">
        <v>28.09</v>
      </c>
      <c r="R58" s="6"/>
      <c r="S58" s="6"/>
      <c r="T58" s="156"/>
      <c r="U58" s="6"/>
    </row>
    <row r="59" spans="1:21" customFormat="1">
      <c r="A59" s="163" t="s">
        <v>2881</v>
      </c>
      <c r="B59" s="100">
        <v>3.46</v>
      </c>
      <c r="C59" s="100">
        <v>18.760000000000002</v>
      </c>
      <c r="D59" s="100">
        <v>13.93</v>
      </c>
      <c r="E59" s="100">
        <v>17.46</v>
      </c>
      <c r="F59" s="152" t="s">
        <v>15</v>
      </c>
      <c r="G59" s="100">
        <v>90.9</v>
      </c>
      <c r="H59" s="100">
        <v>41.04</v>
      </c>
      <c r="I59" s="100">
        <v>11.11</v>
      </c>
      <c r="J59" s="100">
        <v>0.85</v>
      </c>
      <c r="K59" s="100">
        <v>31.91</v>
      </c>
      <c r="L59" s="100">
        <v>40.090000000000003</v>
      </c>
      <c r="M59" s="100">
        <v>8.81</v>
      </c>
      <c r="N59" s="100">
        <v>701.2</v>
      </c>
      <c r="O59" s="100">
        <v>0</v>
      </c>
      <c r="P59" s="100">
        <v>0.8</v>
      </c>
      <c r="Q59" s="100">
        <v>28.08</v>
      </c>
      <c r="R59" s="6"/>
      <c r="S59" s="6"/>
      <c r="T59" s="156"/>
      <c r="U59" s="6"/>
    </row>
    <row r="60" spans="1:21" customFormat="1">
      <c r="A60" s="163" t="s">
        <v>2882</v>
      </c>
      <c r="B60" s="100">
        <v>3.5</v>
      </c>
      <c r="C60" s="100">
        <v>18.02</v>
      </c>
      <c r="D60" s="100">
        <v>13.57</v>
      </c>
      <c r="E60" s="100">
        <v>15.73</v>
      </c>
      <c r="F60" s="152" t="s">
        <v>15</v>
      </c>
      <c r="G60" s="100">
        <v>83.53</v>
      </c>
      <c r="H60" s="100">
        <v>38.340000000000003</v>
      </c>
      <c r="I60" s="100">
        <v>10.48</v>
      </c>
      <c r="J60" s="100">
        <v>0.88</v>
      </c>
      <c r="K60" s="100">
        <v>19.97</v>
      </c>
      <c r="L60" s="100">
        <v>40.39</v>
      </c>
      <c r="M60" s="100">
        <v>8.4</v>
      </c>
      <c r="N60" s="100">
        <v>720.5</v>
      </c>
      <c r="O60" s="100">
        <v>0</v>
      </c>
      <c r="P60" s="100">
        <v>0.73</v>
      </c>
      <c r="Q60" s="100">
        <v>28.07</v>
      </c>
      <c r="R60" s="6"/>
      <c r="S60" s="6"/>
      <c r="T60" s="156"/>
      <c r="U60" s="6"/>
    </row>
    <row r="61" spans="1:21" customFormat="1">
      <c r="A61" s="163" t="s">
        <v>2883</v>
      </c>
      <c r="B61" s="100">
        <v>3.23</v>
      </c>
      <c r="C61" s="100">
        <v>16.95</v>
      </c>
      <c r="D61" s="100">
        <v>12.8</v>
      </c>
      <c r="E61" s="100">
        <v>14.01</v>
      </c>
      <c r="F61" s="152" t="s">
        <v>15</v>
      </c>
      <c r="G61" s="100">
        <v>80.69</v>
      </c>
      <c r="H61" s="100">
        <v>38.299999999999997</v>
      </c>
      <c r="I61" s="100">
        <v>10.34</v>
      </c>
      <c r="J61" s="100">
        <v>0.6</v>
      </c>
      <c r="K61" s="100">
        <v>260.58</v>
      </c>
      <c r="L61" s="100">
        <v>40.229999999999997</v>
      </c>
      <c r="M61" s="100">
        <v>8.86</v>
      </c>
      <c r="N61" s="100">
        <v>684.8</v>
      </c>
      <c r="O61" s="100">
        <v>0</v>
      </c>
      <c r="P61" s="100">
        <v>0.71</v>
      </c>
      <c r="Q61" s="100">
        <v>28.07</v>
      </c>
      <c r="R61" s="6"/>
      <c r="S61" s="6"/>
      <c r="T61" s="156"/>
      <c r="U61" s="6"/>
    </row>
    <row r="62" spans="1:21" customFormat="1">
      <c r="A62" s="163" t="s">
        <v>2884</v>
      </c>
      <c r="B62" s="100">
        <v>3.33</v>
      </c>
      <c r="C62" s="100">
        <v>16.52</v>
      </c>
      <c r="D62" s="100">
        <v>12.65</v>
      </c>
      <c r="E62" s="100">
        <v>17.66</v>
      </c>
      <c r="F62" s="152" t="s">
        <v>15</v>
      </c>
      <c r="G62" s="100">
        <v>80.69</v>
      </c>
      <c r="H62" s="100">
        <v>38.299999999999997</v>
      </c>
      <c r="I62" s="100">
        <v>9.4499999999999993</v>
      </c>
      <c r="J62" s="100">
        <v>0.65</v>
      </c>
      <c r="K62" s="100">
        <v>35.89</v>
      </c>
      <c r="L62" s="100">
        <v>40.82</v>
      </c>
      <c r="M62" s="100">
        <v>8.39</v>
      </c>
      <c r="N62" s="100">
        <v>608</v>
      </c>
      <c r="O62" s="100">
        <v>0</v>
      </c>
      <c r="P62" s="100">
        <v>0.7</v>
      </c>
      <c r="Q62" s="100">
        <v>28.05</v>
      </c>
      <c r="R62" s="6"/>
      <c r="S62" s="6"/>
      <c r="T62" s="156"/>
      <c r="U62" s="6"/>
    </row>
    <row r="63" spans="1:21" customFormat="1">
      <c r="A63" s="163" t="s">
        <v>2885</v>
      </c>
      <c r="B63" s="100">
        <v>3.65</v>
      </c>
      <c r="C63" s="100">
        <v>19.41</v>
      </c>
      <c r="D63" s="100">
        <v>14.42</v>
      </c>
      <c r="E63" s="100">
        <v>19.04</v>
      </c>
      <c r="F63" s="152" t="s">
        <v>15</v>
      </c>
      <c r="G63" s="100">
        <v>80.69</v>
      </c>
      <c r="H63" s="100">
        <v>38.299999999999997</v>
      </c>
      <c r="I63" s="100">
        <v>9.44</v>
      </c>
      <c r="J63" s="100">
        <v>1.1499999999999999</v>
      </c>
      <c r="K63" s="100">
        <v>35.950000000000003</v>
      </c>
      <c r="L63" s="100">
        <v>40.630000000000003</v>
      </c>
      <c r="M63" s="100">
        <v>8.85</v>
      </c>
      <c r="N63" s="100">
        <v>539.79999999999995</v>
      </c>
      <c r="O63" s="100">
        <v>0</v>
      </c>
      <c r="P63" s="100">
        <v>0.7</v>
      </c>
      <c r="Q63" s="100">
        <v>28.05</v>
      </c>
      <c r="R63" s="6"/>
      <c r="S63" s="6"/>
      <c r="T63" s="156"/>
      <c r="U63" s="6"/>
    </row>
    <row r="64" spans="1:21" customFormat="1">
      <c r="A64" s="163" t="s">
        <v>2886</v>
      </c>
      <c r="B64" s="100">
        <v>3.55</v>
      </c>
      <c r="C64" s="100">
        <v>18.64</v>
      </c>
      <c r="D64" s="100">
        <v>13.94</v>
      </c>
      <c r="E64" s="100">
        <v>16.79</v>
      </c>
      <c r="F64" s="152" t="s">
        <v>15</v>
      </c>
      <c r="G64" s="100">
        <v>68.040000000000006</v>
      </c>
      <c r="H64" s="100">
        <v>35.549999999999997</v>
      </c>
      <c r="I64" s="100">
        <v>8.9499999999999993</v>
      </c>
      <c r="J64" s="100">
        <v>1.72</v>
      </c>
      <c r="K64" s="100">
        <v>32.130000000000003</v>
      </c>
      <c r="L64" s="100">
        <v>40.01</v>
      </c>
      <c r="M64" s="100">
        <v>9.06</v>
      </c>
      <c r="N64" s="100">
        <v>549.9</v>
      </c>
      <c r="O64" s="100">
        <v>0</v>
      </c>
      <c r="P64" s="100">
        <v>0.69</v>
      </c>
      <c r="Q64" s="100">
        <v>28.06</v>
      </c>
      <c r="R64" s="6"/>
      <c r="S64" s="6"/>
      <c r="T64" s="156"/>
      <c r="U64" s="6"/>
    </row>
    <row r="65" spans="1:21" customFormat="1">
      <c r="A65" s="163" t="s">
        <v>2887</v>
      </c>
      <c r="B65" s="100">
        <v>3.48</v>
      </c>
      <c r="C65" s="100">
        <v>19.260000000000002</v>
      </c>
      <c r="D65" s="100">
        <v>14.2</v>
      </c>
      <c r="E65" s="100">
        <v>14.87</v>
      </c>
      <c r="F65" s="152" t="s">
        <v>15</v>
      </c>
      <c r="G65" s="100">
        <v>63.43</v>
      </c>
      <c r="H65" s="100">
        <v>35.51</v>
      </c>
      <c r="I65" s="100">
        <v>8.81</v>
      </c>
      <c r="J65" s="100">
        <v>1.49</v>
      </c>
      <c r="K65" s="100">
        <v>40.29</v>
      </c>
      <c r="L65" s="100">
        <v>39.979999999999997</v>
      </c>
      <c r="M65" s="100">
        <v>9.19</v>
      </c>
      <c r="N65" s="100">
        <v>552.70000000000005</v>
      </c>
      <c r="O65" s="100">
        <v>0</v>
      </c>
      <c r="P65" s="100">
        <v>0.7</v>
      </c>
      <c r="Q65" s="100">
        <v>28.06</v>
      </c>
      <c r="R65" s="6"/>
      <c r="S65" s="6"/>
      <c r="T65" s="156"/>
      <c r="U65" s="6"/>
    </row>
    <row r="66" spans="1:21" customFormat="1">
      <c r="A66" s="163" t="s">
        <v>2888</v>
      </c>
      <c r="B66" s="100">
        <v>3.71</v>
      </c>
      <c r="C66" s="100">
        <v>18.79</v>
      </c>
      <c r="D66" s="100">
        <v>14.14</v>
      </c>
      <c r="E66" s="100">
        <v>15.81</v>
      </c>
      <c r="F66" s="152" t="s">
        <v>15</v>
      </c>
      <c r="G66" s="100">
        <v>63.43</v>
      </c>
      <c r="H66" s="100">
        <v>35.51</v>
      </c>
      <c r="I66" s="100">
        <v>8.59</v>
      </c>
      <c r="J66" s="100">
        <v>1.22</v>
      </c>
      <c r="K66" s="100">
        <v>34.6</v>
      </c>
      <c r="L66" s="100">
        <v>40.6</v>
      </c>
      <c r="M66" s="100">
        <v>9.01</v>
      </c>
      <c r="N66" s="100">
        <v>536.4</v>
      </c>
      <c r="O66" s="100">
        <v>0</v>
      </c>
      <c r="P66" s="100">
        <v>0.72</v>
      </c>
      <c r="Q66" s="100">
        <v>28.07</v>
      </c>
      <c r="R66" s="6"/>
      <c r="S66" s="6"/>
      <c r="T66" s="156"/>
      <c r="U66" s="6"/>
    </row>
    <row r="67" spans="1:21" customFormat="1">
      <c r="A67" s="163" t="s">
        <v>2889</v>
      </c>
      <c r="B67" s="100">
        <v>3.98</v>
      </c>
      <c r="C67" s="100">
        <v>19.8</v>
      </c>
      <c r="D67" s="100">
        <v>14.89</v>
      </c>
      <c r="E67" s="100">
        <v>15.95</v>
      </c>
      <c r="F67" s="152" t="s">
        <v>15</v>
      </c>
      <c r="G67" s="100">
        <v>63.43</v>
      </c>
      <c r="H67" s="100">
        <v>35.51</v>
      </c>
      <c r="I67" s="100">
        <v>8.3800000000000008</v>
      </c>
      <c r="J67" s="100">
        <v>0.95</v>
      </c>
      <c r="K67" s="100">
        <v>3.27</v>
      </c>
      <c r="L67" s="100">
        <v>40.29</v>
      </c>
      <c r="M67" s="100">
        <v>8.9700000000000006</v>
      </c>
      <c r="N67" s="100">
        <v>400.1</v>
      </c>
      <c r="O67" s="100">
        <v>0</v>
      </c>
      <c r="P67" s="100">
        <v>0.67</v>
      </c>
      <c r="Q67" s="100">
        <v>28.07</v>
      </c>
      <c r="R67" s="6"/>
      <c r="S67" s="6"/>
      <c r="T67" s="156"/>
      <c r="U67" s="6"/>
    </row>
    <row r="68" spans="1:21" customFormat="1">
      <c r="A68" s="163" t="s">
        <v>2890</v>
      </c>
      <c r="B68" s="100">
        <v>4.05</v>
      </c>
      <c r="C68" s="100">
        <v>17.989999999999998</v>
      </c>
      <c r="D68" s="100">
        <v>14</v>
      </c>
      <c r="E68" s="100">
        <v>14.34</v>
      </c>
      <c r="F68" s="152" t="s">
        <v>15</v>
      </c>
      <c r="G68" s="100">
        <v>66.12</v>
      </c>
      <c r="H68" s="100">
        <v>30.65</v>
      </c>
      <c r="I68" s="100">
        <v>8.0500000000000007</v>
      </c>
      <c r="J68" s="100">
        <v>1.56</v>
      </c>
      <c r="K68" s="100">
        <v>43.03</v>
      </c>
      <c r="L68" s="100">
        <v>40.06</v>
      </c>
      <c r="M68" s="100">
        <v>8.99</v>
      </c>
      <c r="N68" s="100">
        <v>456.1</v>
      </c>
      <c r="O68" s="100">
        <v>0</v>
      </c>
      <c r="P68" s="100">
        <v>0.66</v>
      </c>
      <c r="Q68" s="100">
        <v>28.07</v>
      </c>
      <c r="R68" s="6"/>
      <c r="S68" s="6"/>
      <c r="T68" s="156"/>
      <c r="U68" s="6"/>
    </row>
    <row r="69" spans="1:21" customFormat="1">
      <c r="A69" s="163" t="s">
        <v>2891</v>
      </c>
      <c r="B69" s="100">
        <v>3.68</v>
      </c>
      <c r="C69" s="100">
        <v>18.95</v>
      </c>
      <c r="D69" s="100">
        <v>14.2</v>
      </c>
      <c r="E69" s="100">
        <v>15.07</v>
      </c>
      <c r="F69" s="152" t="s">
        <v>15</v>
      </c>
      <c r="G69" s="100">
        <v>67.099999999999994</v>
      </c>
      <c r="H69" s="100">
        <v>30.49</v>
      </c>
      <c r="I69" s="100">
        <v>7.68</v>
      </c>
      <c r="J69" s="100">
        <v>0.79</v>
      </c>
      <c r="K69" s="100">
        <v>36.68</v>
      </c>
      <c r="L69" s="100">
        <v>40.26</v>
      </c>
      <c r="M69" s="100">
        <v>8.8800000000000008</v>
      </c>
      <c r="N69" s="100">
        <v>457.8</v>
      </c>
      <c r="O69" s="100">
        <v>0</v>
      </c>
      <c r="P69" s="100">
        <v>0.65</v>
      </c>
      <c r="Q69" s="100">
        <v>28.08</v>
      </c>
      <c r="R69" s="6"/>
      <c r="S69" s="6"/>
      <c r="T69" s="156"/>
      <c r="U69" s="6"/>
    </row>
    <row r="70" spans="1:21" customFormat="1">
      <c r="A70" s="163" t="s">
        <v>2892</v>
      </c>
      <c r="B70" s="100">
        <v>3.58</v>
      </c>
      <c r="C70" s="100">
        <v>17.260000000000002</v>
      </c>
      <c r="D70" s="100">
        <v>13.24</v>
      </c>
      <c r="E70" s="100">
        <v>15.62</v>
      </c>
      <c r="F70" s="152" t="s">
        <v>15</v>
      </c>
      <c r="G70" s="100">
        <v>67.099999999999994</v>
      </c>
      <c r="H70" s="100">
        <v>30.49</v>
      </c>
      <c r="I70" s="100">
        <v>7.58</v>
      </c>
      <c r="J70" s="100">
        <v>1.0900000000000001</v>
      </c>
      <c r="K70" s="100">
        <v>31.52</v>
      </c>
      <c r="L70" s="100">
        <v>40.049999999999997</v>
      </c>
      <c r="M70" s="100">
        <v>8.7200000000000006</v>
      </c>
      <c r="N70" s="100">
        <v>394.6</v>
      </c>
      <c r="O70" s="100">
        <v>0</v>
      </c>
      <c r="P70" s="100">
        <v>0.64</v>
      </c>
      <c r="Q70" s="100">
        <v>28.07</v>
      </c>
      <c r="R70" s="6"/>
      <c r="S70" s="6"/>
      <c r="T70" s="156"/>
      <c r="U70" s="6"/>
    </row>
    <row r="71" spans="1:21" customFormat="1">
      <c r="A71" s="163" t="s">
        <v>2893</v>
      </c>
      <c r="B71" s="100">
        <v>3.49</v>
      </c>
      <c r="C71" s="100">
        <v>17.21</v>
      </c>
      <c r="D71" s="100">
        <v>13.14</v>
      </c>
      <c r="E71" s="100">
        <v>17.579999999999998</v>
      </c>
      <c r="F71" s="152" t="s">
        <v>15</v>
      </c>
      <c r="G71" s="100">
        <v>67.099999999999994</v>
      </c>
      <c r="H71" s="100">
        <v>30.49</v>
      </c>
      <c r="I71" s="100">
        <v>7.13</v>
      </c>
      <c r="J71" s="100">
        <v>0.71</v>
      </c>
      <c r="K71" s="100">
        <v>53.87</v>
      </c>
      <c r="L71" s="100">
        <v>40.47</v>
      </c>
      <c r="M71" s="100">
        <v>8.52</v>
      </c>
      <c r="N71" s="100">
        <v>367.3</v>
      </c>
      <c r="O71" s="100">
        <v>0</v>
      </c>
      <c r="P71" s="100">
        <v>0.62</v>
      </c>
      <c r="Q71" s="100">
        <v>28.08</v>
      </c>
      <c r="R71" s="6"/>
      <c r="S71" s="6"/>
      <c r="T71" s="156"/>
      <c r="U71" s="6"/>
    </row>
    <row r="72" spans="1:21" customFormat="1">
      <c r="A72" s="163" t="s">
        <v>2894</v>
      </c>
      <c r="B72" s="100">
        <v>4.12</v>
      </c>
      <c r="C72" s="100">
        <v>19.39</v>
      </c>
      <c r="D72" s="100">
        <v>14.79</v>
      </c>
      <c r="E72" s="100">
        <v>17.850000000000001</v>
      </c>
      <c r="F72" s="152" t="s">
        <v>15</v>
      </c>
      <c r="G72" s="100">
        <v>64.52</v>
      </c>
      <c r="H72" s="100">
        <v>28.74</v>
      </c>
      <c r="I72" s="100">
        <v>7.39</v>
      </c>
      <c r="J72" s="100">
        <v>0.87</v>
      </c>
      <c r="K72" s="100">
        <v>52.05</v>
      </c>
      <c r="L72" s="100">
        <v>40.26</v>
      </c>
      <c r="M72" s="100">
        <v>8.5</v>
      </c>
      <c r="N72" s="100">
        <v>294.8</v>
      </c>
      <c r="O72" s="100">
        <v>0</v>
      </c>
      <c r="P72" s="100">
        <v>0.62</v>
      </c>
      <c r="Q72" s="100">
        <v>28.07</v>
      </c>
      <c r="R72" s="6"/>
      <c r="S72" s="6"/>
      <c r="T72" s="156"/>
      <c r="U72" s="6"/>
    </row>
    <row r="73" spans="1:21" customFormat="1">
      <c r="A73" s="163" t="s">
        <v>2895</v>
      </c>
      <c r="B73" s="100">
        <v>4.17</v>
      </c>
      <c r="C73" s="100">
        <v>19.55</v>
      </c>
      <c r="D73" s="100">
        <v>14.91</v>
      </c>
      <c r="E73" s="100">
        <v>20.92</v>
      </c>
      <c r="F73" s="152" t="s">
        <v>15</v>
      </c>
      <c r="G73" s="100">
        <v>63.58</v>
      </c>
      <c r="H73" s="100">
        <v>28.71</v>
      </c>
      <c r="I73" s="100">
        <v>7.11</v>
      </c>
      <c r="J73" s="100">
        <v>0.62</v>
      </c>
      <c r="K73" s="100">
        <v>334.06</v>
      </c>
      <c r="L73" s="100">
        <v>39.83</v>
      </c>
      <c r="M73" s="100">
        <v>9.16</v>
      </c>
      <c r="N73" s="100">
        <v>149.69999999999999</v>
      </c>
      <c r="O73" s="100">
        <v>0</v>
      </c>
      <c r="P73" s="100">
        <v>0.61</v>
      </c>
      <c r="Q73" s="100">
        <v>28.07</v>
      </c>
      <c r="R73" s="6"/>
      <c r="S73" s="6"/>
      <c r="T73" s="156"/>
      <c r="U73" s="6"/>
    </row>
    <row r="74" spans="1:21" customFormat="1">
      <c r="A74" s="163" t="s">
        <v>2896</v>
      </c>
      <c r="B74" s="100">
        <v>4.38</v>
      </c>
      <c r="C74" s="100">
        <v>19.64</v>
      </c>
      <c r="D74" s="100">
        <v>15.13</v>
      </c>
      <c r="E74" s="100">
        <v>18.559999999999999</v>
      </c>
      <c r="F74" s="152" t="s">
        <v>15</v>
      </c>
      <c r="G74" s="100">
        <v>63.58</v>
      </c>
      <c r="H74" s="100">
        <v>28.71</v>
      </c>
      <c r="I74" s="100">
        <v>7.14</v>
      </c>
      <c r="J74" s="100">
        <v>0.33</v>
      </c>
      <c r="K74" s="100">
        <v>73.19</v>
      </c>
      <c r="L74" s="100">
        <v>39.46</v>
      </c>
      <c r="M74" s="100">
        <v>9.4700000000000006</v>
      </c>
      <c r="N74" s="100">
        <v>130.4</v>
      </c>
      <c r="O74" s="100">
        <v>0</v>
      </c>
      <c r="P74" s="100">
        <v>0.6</v>
      </c>
      <c r="Q74" s="100">
        <v>28.06</v>
      </c>
      <c r="R74" s="6"/>
      <c r="S74" s="6"/>
      <c r="T74" s="156"/>
      <c r="U74" s="6"/>
    </row>
    <row r="75" spans="1:21" customFormat="1">
      <c r="A75" s="163" t="s">
        <v>2897</v>
      </c>
      <c r="B75" s="100">
        <v>4.22</v>
      </c>
      <c r="C75" s="100">
        <v>18.510000000000002</v>
      </c>
      <c r="D75" s="100">
        <v>14.41</v>
      </c>
      <c r="E75" s="100">
        <v>17.97</v>
      </c>
      <c r="F75" s="152" t="s">
        <v>15</v>
      </c>
      <c r="G75" s="100">
        <v>63.58</v>
      </c>
      <c r="H75" s="100">
        <v>28.71</v>
      </c>
      <c r="I75" s="100">
        <v>6.71</v>
      </c>
      <c r="J75" s="100">
        <v>0.87</v>
      </c>
      <c r="K75" s="100">
        <v>46.66</v>
      </c>
      <c r="L75" s="100">
        <v>38.869999999999997</v>
      </c>
      <c r="M75" s="100">
        <v>9.4600000000000009</v>
      </c>
      <c r="N75" s="100">
        <v>147.5</v>
      </c>
      <c r="O75" s="100">
        <v>0</v>
      </c>
      <c r="P75" s="100">
        <v>0.62</v>
      </c>
      <c r="Q75" s="100">
        <v>28.06</v>
      </c>
      <c r="R75" s="6"/>
      <c r="S75" s="6"/>
      <c r="T75" s="156"/>
      <c r="U75" s="6"/>
    </row>
    <row r="76" spans="1:21" customFormat="1">
      <c r="A76" s="163" t="s">
        <v>2898</v>
      </c>
      <c r="B76" s="100">
        <v>4.43</v>
      </c>
      <c r="C76" s="100">
        <v>22.8</v>
      </c>
      <c r="D76" s="100">
        <v>16.809999999999999</v>
      </c>
      <c r="E76" s="100">
        <v>20.91</v>
      </c>
      <c r="F76" s="152" t="s">
        <v>15</v>
      </c>
      <c r="G76" s="100">
        <v>60.57</v>
      </c>
      <c r="H76" s="100">
        <v>24.6</v>
      </c>
      <c r="I76" s="100">
        <v>6.21</v>
      </c>
      <c r="J76" s="100">
        <v>0.59</v>
      </c>
      <c r="K76" s="100">
        <v>52.46</v>
      </c>
      <c r="L76" s="100">
        <v>38.9</v>
      </c>
      <c r="M76" s="100">
        <v>8.6999999999999993</v>
      </c>
      <c r="N76" s="100">
        <v>94.3</v>
      </c>
      <c r="O76" s="100">
        <v>0</v>
      </c>
      <c r="P76" s="100">
        <v>0.61</v>
      </c>
      <c r="Q76" s="100">
        <v>28.06</v>
      </c>
      <c r="R76" s="6"/>
      <c r="S76" s="6"/>
      <c r="T76" s="156"/>
      <c r="U76" s="6"/>
    </row>
    <row r="77" spans="1:21" customFormat="1">
      <c r="A77" s="163" t="s">
        <v>2899</v>
      </c>
      <c r="B77" s="100">
        <v>4.9800000000000004</v>
      </c>
      <c r="C77" s="100">
        <v>24.54</v>
      </c>
      <c r="D77" s="100">
        <v>18.170000000000002</v>
      </c>
      <c r="E77" s="100">
        <v>20.69</v>
      </c>
      <c r="F77" s="152" t="s">
        <v>15</v>
      </c>
      <c r="G77" s="100">
        <v>59.48</v>
      </c>
      <c r="H77" s="100">
        <v>24.5</v>
      </c>
      <c r="I77" s="100">
        <v>6.46</v>
      </c>
      <c r="J77" s="100">
        <v>0.34</v>
      </c>
      <c r="K77" s="100">
        <v>75.63</v>
      </c>
      <c r="L77" s="100">
        <v>38.53</v>
      </c>
      <c r="M77" s="100">
        <v>10.050000000000001</v>
      </c>
      <c r="N77" s="100">
        <v>65.599999999999994</v>
      </c>
      <c r="O77" s="100">
        <v>0</v>
      </c>
      <c r="P77" s="100">
        <v>0.61</v>
      </c>
      <c r="Q77" s="100">
        <v>28.05</v>
      </c>
      <c r="R77" s="6"/>
      <c r="S77" s="6"/>
      <c r="T77" s="156"/>
      <c r="U77" s="6"/>
    </row>
    <row r="78" spans="1:21" customFormat="1">
      <c r="A78" s="163" t="s">
        <v>2900</v>
      </c>
      <c r="B78" s="100">
        <v>3.88</v>
      </c>
      <c r="C78" s="100">
        <v>21.55</v>
      </c>
      <c r="D78" s="100">
        <v>15.72</v>
      </c>
      <c r="E78" s="100">
        <v>19.96</v>
      </c>
      <c r="F78" s="152" t="s">
        <v>15</v>
      </c>
      <c r="G78" s="100">
        <v>59.48</v>
      </c>
      <c r="H78" s="100">
        <v>24.5</v>
      </c>
      <c r="I78" s="100">
        <v>5.88</v>
      </c>
      <c r="J78" s="100">
        <v>0.14000000000000001</v>
      </c>
      <c r="K78" s="100">
        <v>135.99</v>
      </c>
      <c r="L78" s="100">
        <v>37.35</v>
      </c>
      <c r="M78" s="100">
        <v>13.22</v>
      </c>
      <c r="N78" s="100">
        <v>43.9</v>
      </c>
      <c r="O78" s="100">
        <v>0</v>
      </c>
      <c r="P78" s="100">
        <v>0.61</v>
      </c>
      <c r="Q78" s="100">
        <v>28.07</v>
      </c>
      <c r="R78" s="6"/>
      <c r="S78" s="6"/>
      <c r="T78" s="156"/>
      <c r="U78" s="6"/>
    </row>
    <row r="79" spans="1:21" customFormat="1">
      <c r="A79" s="163" t="s">
        <v>2901</v>
      </c>
      <c r="B79" s="100">
        <v>3.39</v>
      </c>
      <c r="C79" s="100">
        <v>24.02</v>
      </c>
      <c r="D79" s="100">
        <v>16.62</v>
      </c>
      <c r="E79" s="100">
        <v>18.579999999999998</v>
      </c>
      <c r="F79" s="152" t="s">
        <v>15</v>
      </c>
      <c r="G79" s="100">
        <v>59.48</v>
      </c>
      <c r="H79" s="100">
        <v>24.5</v>
      </c>
      <c r="I79" s="100">
        <v>6.08</v>
      </c>
      <c r="J79" s="100">
        <v>0.3</v>
      </c>
      <c r="K79" s="100">
        <v>165.37</v>
      </c>
      <c r="L79" s="100">
        <v>36.21</v>
      </c>
      <c r="M79" s="100">
        <v>15.49</v>
      </c>
      <c r="N79" s="100">
        <v>29.6</v>
      </c>
      <c r="O79" s="100">
        <v>0</v>
      </c>
      <c r="P79" s="100">
        <v>0.73</v>
      </c>
      <c r="Q79" s="100">
        <v>28.08</v>
      </c>
      <c r="R79" s="6"/>
      <c r="S79" s="6"/>
      <c r="T79" s="156"/>
      <c r="U79" s="6"/>
    </row>
    <row r="80" spans="1:21" customFormat="1">
      <c r="A80" s="163" t="s">
        <v>2902</v>
      </c>
      <c r="B80" s="100">
        <v>3.32</v>
      </c>
      <c r="C80" s="100">
        <v>24.08</v>
      </c>
      <c r="D80" s="100">
        <v>16.59</v>
      </c>
      <c r="E80" s="100">
        <v>17.63</v>
      </c>
      <c r="F80" s="152" t="s">
        <v>15</v>
      </c>
      <c r="G80" s="100">
        <v>63.16</v>
      </c>
      <c r="H80" s="100">
        <v>24.59</v>
      </c>
      <c r="I80" s="100">
        <v>6.53</v>
      </c>
      <c r="J80" s="100">
        <v>0.24</v>
      </c>
      <c r="K80" s="100">
        <v>180.68</v>
      </c>
      <c r="L80" s="100">
        <v>35.01</v>
      </c>
      <c r="M80" s="100">
        <v>18.190000000000001</v>
      </c>
      <c r="N80" s="100">
        <v>17.8</v>
      </c>
      <c r="O80" s="100">
        <v>0</v>
      </c>
      <c r="P80" s="100">
        <v>0.69</v>
      </c>
      <c r="Q80" s="100">
        <v>28.09</v>
      </c>
      <c r="R80" s="6"/>
      <c r="S80" s="6"/>
      <c r="T80" s="156"/>
      <c r="U80" s="6"/>
    </row>
    <row r="81" spans="1:21" customFormat="1">
      <c r="A81" s="163" t="s">
        <v>2903</v>
      </c>
      <c r="B81" s="100">
        <v>3.36</v>
      </c>
      <c r="C81" s="100">
        <v>20.88</v>
      </c>
      <c r="D81" s="100">
        <v>14.95</v>
      </c>
      <c r="E81" s="100">
        <v>11.73</v>
      </c>
      <c r="F81" s="152" t="s">
        <v>15</v>
      </c>
      <c r="G81" s="100">
        <v>64.58</v>
      </c>
      <c r="H81" s="100">
        <v>24.59</v>
      </c>
      <c r="I81" s="100">
        <v>7.45</v>
      </c>
      <c r="J81" s="100">
        <v>0.2</v>
      </c>
      <c r="K81" s="100">
        <v>175.39</v>
      </c>
      <c r="L81" s="100">
        <v>33.79</v>
      </c>
      <c r="M81" s="100">
        <v>21.01</v>
      </c>
      <c r="N81" s="100">
        <v>9.6999999999999993</v>
      </c>
      <c r="O81" s="100">
        <v>0</v>
      </c>
      <c r="P81" s="100">
        <v>0.7</v>
      </c>
      <c r="Q81" s="100">
        <v>28.09</v>
      </c>
      <c r="R81" s="6"/>
      <c r="S81" s="6"/>
      <c r="T81" s="156"/>
      <c r="U81" s="6"/>
    </row>
    <row r="82" spans="1:21" customFormat="1">
      <c r="A82" s="163" t="s">
        <v>2904</v>
      </c>
      <c r="B82" s="100">
        <v>3.42</v>
      </c>
      <c r="C82" s="100">
        <v>18.93</v>
      </c>
      <c r="D82" s="100">
        <v>13.99</v>
      </c>
      <c r="E82" s="100">
        <v>15.86</v>
      </c>
      <c r="F82" s="152" t="s">
        <v>15</v>
      </c>
      <c r="G82" s="100">
        <v>64.58</v>
      </c>
      <c r="H82" s="100">
        <v>24.59</v>
      </c>
      <c r="I82" s="100">
        <v>7.05</v>
      </c>
      <c r="J82" s="100">
        <v>0.23</v>
      </c>
      <c r="K82" s="100">
        <v>165.94</v>
      </c>
      <c r="L82" s="100">
        <v>33.03</v>
      </c>
      <c r="M82" s="100">
        <v>21.93</v>
      </c>
      <c r="N82" s="100">
        <v>6.8</v>
      </c>
      <c r="O82" s="100">
        <v>0</v>
      </c>
      <c r="P82" s="100">
        <v>0.72</v>
      </c>
      <c r="Q82" s="100">
        <v>28.1</v>
      </c>
      <c r="R82" s="6"/>
      <c r="S82" s="6"/>
      <c r="T82" s="156"/>
      <c r="U82" s="6"/>
    </row>
    <row r="83" spans="1:21" customFormat="1">
      <c r="A83" s="163" t="s">
        <v>2905</v>
      </c>
      <c r="B83" s="100">
        <v>3.45</v>
      </c>
      <c r="C83" s="100">
        <v>18.28</v>
      </c>
      <c r="D83" s="100">
        <v>13.67</v>
      </c>
      <c r="E83" s="100">
        <v>15.09</v>
      </c>
      <c r="F83" s="152" t="s">
        <v>15</v>
      </c>
      <c r="G83" s="100">
        <v>64.58</v>
      </c>
      <c r="H83" s="100">
        <v>24.59</v>
      </c>
      <c r="I83" s="100">
        <v>7.4</v>
      </c>
      <c r="J83" s="100">
        <v>0.22</v>
      </c>
      <c r="K83" s="100">
        <v>172.79</v>
      </c>
      <c r="L83" s="100">
        <v>32.39</v>
      </c>
      <c r="M83" s="100">
        <v>22.61</v>
      </c>
      <c r="N83" s="100">
        <v>6.2</v>
      </c>
      <c r="O83" s="100">
        <v>0</v>
      </c>
      <c r="P83" s="100">
        <v>0.7</v>
      </c>
      <c r="Q83" s="100">
        <v>28.09</v>
      </c>
      <c r="R83" s="6"/>
      <c r="S83" s="6"/>
      <c r="T83" s="156"/>
      <c r="U83" s="6"/>
    </row>
    <row r="84" spans="1:21" customFormat="1">
      <c r="A84" s="163" t="s">
        <v>2906</v>
      </c>
      <c r="B84" s="100">
        <v>3.52</v>
      </c>
      <c r="C84" s="100">
        <v>18.38</v>
      </c>
      <c r="D84" s="100">
        <v>13.78</v>
      </c>
      <c r="E84" s="100">
        <v>14.3</v>
      </c>
      <c r="F84" s="152" t="s">
        <v>15</v>
      </c>
      <c r="G84" s="100">
        <v>75.56</v>
      </c>
      <c r="H84" s="100">
        <v>26.08</v>
      </c>
      <c r="I84" s="100">
        <v>7.5</v>
      </c>
      <c r="J84" s="100">
        <v>0.18</v>
      </c>
      <c r="K84" s="100">
        <v>188.58</v>
      </c>
      <c r="L84" s="100">
        <v>31.64</v>
      </c>
      <c r="M84" s="100">
        <v>25.27</v>
      </c>
      <c r="N84" s="100">
        <v>6.2</v>
      </c>
      <c r="O84" s="100">
        <v>0</v>
      </c>
      <c r="P84" s="100">
        <v>0.75</v>
      </c>
      <c r="Q84" s="100">
        <v>28.08</v>
      </c>
      <c r="R84" s="6"/>
      <c r="S84" s="6"/>
      <c r="T84" s="156"/>
      <c r="U84" s="6"/>
    </row>
    <row r="85" spans="1:21" customFormat="1">
      <c r="A85" s="163" t="s">
        <v>2907</v>
      </c>
      <c r="B85" s="100">
        <v>3.58</v>
      </c>
      <c r="C85" s="100">
        <v>18.21</v>
      </c>
      <c r="D85" s="100">
        <v>13.74</v>
      </c>
      <c r="E85" s="100">
        <v>13.83</v>
      </c>
      <c r="F85" s="152" t="s">
        <v>15</v>
      </c>
      <c r="G85" s="100">
        <v>79.78</v>
      </c>
      <c r="H85" s="100">
        <v>26.12</v>
      </c>
      <c r="I85" s="100">
        <v>7.53</v>
      </c>
      <c r="J85" s="100">
        <v>0.16</v>
      </c>
      <c r="K85" s="100">
        <v>197.76</v>
      </c>
      <c r="L85" s="100">
        <v>31.21</v>
      </c>
      <c r="M85" s="100">
        <v>23.45</v>
      </c>
      <c r="N85" s="100">
        <v>6</v>
      </c>
      <c r="O85" s="100">
        <v>0</v>
      </c>
      <c r="P85" s="100">
        <v>0.7</v>
      </c>
      <c r="Q85" s="100">
        <v>28.09</v>
      </c>
      <c r="R85" s="6"/>
      <c r="S85" s="6"/>
      <c r="T85" s="156"/>
      <c r="U85" s="6"/>
    </row>
    <row r="86" spans="1:21" customFormat="1">
      <c r="A86" s="163" t="s">
        <v>2908</v>
      </c>
      <c r="B86" s="100">
        <v>3.68</v>
      </c>
      <c r="C86" s="100">
        <v>17.41</v>
      </c>
      <c r="D86" s="100">
        <v>13.4</v>
      </c>
      <c r="E86" s="100">
        <v>12.68</v>
      </c>
      <c r="F86" s="152" t="s">
        <v>15</v>
      </c>
      <c r="G86" s="100">
        <v>79.78</v>
      </c>
      <c r="H86" s="100">
        <v>26.12</v>
      </c>
      <c r="I86" s="100">
        <v>7.98</v>
      </c>
      <c r="J86" s="100">
        <v>0.21</v>
      </c>
      <c r="K86" s="100">
        <v>184.77</v>
      </c>
      <c r="L86" s="100">
        <v>30.63</v>
      </c>
      <c r="M86" s="100">
        <v>26.45</v>
      </c>
      <c r="N86" s="100">
        <v>6.3</v>
      </c>
      <c r="O86" s="100">
        <v>0</v>
      </c>
      <c r="P86" s="100">
        <v>0.71</v>
      </c>
      <c r="Q86" s="100">
        <v>28.09</v>
      </c>
      <c r="R86" s="6"/>
      <c r="S86" s="6"/>
      <c r="T86" s="156"/>
      <c r="U86" s="6"/>
    </row>
    <row r="87" spans="1:21" customFormat="1">
      <c r="A87" s="163" t="s">
        <v>2909</v>
      </c>
      <c r="B87" s="100">
        <v>3.77</v>
      </c>
      <c r="C87" s="100">
        <v>17.510000000000002</v>
      </c>
      <c r="D87" s="100">
        <v>13.52</v>
      </c>
      <c r="E87" s="100">
        <v>11.32</v>
      </c>
      <c r="F87" s="152" t="s">
        <v>15</v>
      </c>
      <c r="G87" s="100">
        <v>79.78</v>
      </c>
      <c r="H87" s="100">
        <v>26.12</v>
      </c>
      <c r="I87" s="100">
        <v>7.43</v>
      </c>
      <c r="J87" s="100">
        <v>0.2</v>
      </c>
      <c r="K87" s="100">
        <v>176.07</v>
      </c>
      <c r="L87" s="100">
        <v>30.07</v>
      </c>
      <c r="M87" s="100">
        <v>29.61</v>
      </c>
      <c r="N87" s="100">
        <v>5.9</v>
      </c>
      <c r="O87" s="100">
        <v>0</v>
      </c>
      <c r="P87" s="100">
        <v>0.77</v>
      </c>
      <c r="Q87" s="100">
        <v>28.09</v>
      </c>
      <c r="R87" s="6"/>
      <c r="S87" s="6"/>
      <c r="T87" s="156"/>
      <c r="U87" s="6"/>
    </row>
    <row r="88" spans="1:21" customFormat="1">
      <c r="A88" s="163" t="s">
        <v>2910</v>
      </c>
      <c r="B88" s="100">
        <v>3.87</v>
      </c>
      <c r="C88" s="100">
        <v>16.95</v>
      </c>
      <c r="D88" s="100">
        <v>13.31</v>
      </c>
      <c r="E88" s="100">
        <v>11.26</v>
      </c>
      <c r="F88" s="152" t="s">
        <v>15</v>
      </c>
      <c r="G88" s="100">
        <v>80.03</v>
      </c>
      <c r="H88" s="100">
        <v>29.27</v>
      </c>
      <c r="I88" s="100">
        <v>7.76</v>
      </c>
      <c r="J88" s="100">
        <v>0.23</v>
      </c>
      <c r="K88" s="100">
        <v>179.27</v>
      </c>
      <c r="L88" s="100">
        <v>29.83</v>
      </c>
      <c r="M88" s="100">
        <v>31.49</v>
      </c>
      <c r="N88" s="100">
        <v>6</v>
      </c>
      <c r="O88" s="100">
        <v>0</v>
      </c>
      <c r="P88" s="100">
        <v>0.77</v>
      </c>
      <c r="Q88" s="100">
        <v>28.1</v>
      </c>
      <c r="R88" s="6"/>
      <c r="S88" s="6"/>
      <c r="T88" s="156"/>
      <c r="U88" s="6"/>
    </row>
    <row r="89" spans="1:21" customFormat="1">
      <c r="A89" s="163" t="s">
        <v>2911</v>
      </c>
      <c r="B89" s="100">
        <v>4.1399999999999997</v>
      </c>
      <c r="C89" s="100">
        <v>16.670000000000002</v>
      </c>
      <c r="D89" s="100">
        <v>13.38</v>
      </c>
      <c r="E89" s="100">
        <v>10.69</v>
      </c>
      <c r="F89" s="152" t="s">
        <v>15</v>
      </c>
      <c r="G89" s="100">
        <v>80.12</v>
      </c>
      <c r="H89" s="100">
        <v>29.37</v>
      </c>
      <c r="I89" s="100">
        <v>12.02</v>
      </c>
      <c r="J89" s="100">
        <v>0.18</v>
      </c>
      <c r="K89" s="100">
        <v>171.01</v>
      </c>
      <c r="L89" s="100">
        <v>29.18</v>
      </c>
      <c r="M89" s="100">
        <v>33.15</v>
      </c>
      <c r="N89" s="100">
        <v>6.1</v>
      </c>
      <c r="O89" s="100">
        <v>0</v>
      </c>
      <c r="P89" s="100">
        <v>0.77</v>
      </c>
      <c r="Q89" s="100">
        <v>28.1</v>
      </c>
      <c r="R89" s="6"/>
      <c r="S89" s="6"/>
      <c r="T89" s="156"/>
      <c r="U89" s="6"/>
    </row>
    <row r="90" spans="1:21" customFormat="1">
      <c r="A90" s="163" t="s">
        <v>2912</v>
      </c>
      <c r="B90" s="100">
        <v>4.3099999999999996</v>
      </c>
      <c r="C90" s="100">
        <v>18.420000000000002</v>
      </c>
      <c r="D90" s="100">
        <v>14.43</v>
      </c>
      <c r="E90" s="100">
        <v>12.65</v>
      </c>
      <c r="F90" s="152" t="s">
        <v>15</v>
      </c>
      <c r="G90" s="100">
        <v>80.12</v>
      </c>
      <c r="H90" s="100">
        <v>29.37</v>
      </c>
      <c r="I90" s="100">
        <v>9.4700000000000006</v>
      </c>
      <c r="J90" s="100">
        <v>0.15</v>
      </c>
      <c r="K90" s="100">
        <v>173.51</v>
      </c>
      <c r="L90" s="100">
        <v>29.3</v>
      </c>
      <c r="M90" s="100">
        <v>30.87</v>
      </c>
      <c r="N90" s="100">
        <v>5.6</v>
      </c>
      <c r="O90" s="100">
        <v>0</v>
      </c>
      <c r="P90" s="100">
        <v>0.89</v>
      </c>
      <c r="Q90" s="100">
        <v>28.11</v>
      </c>
      <c r="R90" s="6"/>
      <c r="S90" s="6"/>
      <c r="T90" s="156"/>
      <c r="U90" s="6"/>
    </row>
    <row r="91" spans="1:21" customFormat="1">
      <c r="A91" s="163" t="s">
        <v>2913</v>
      </c>
      <c r="B91" s="100">
        <v>4.51</v>
      </c>
      <c r="C91" s="100">
        <v>21.65</v>
      </c>
      <c r="D91" s="100">
        <v>16.27</v>
      </c>
      <c r="E91" s="100">
        <v>13.49</v>
      </c>
      <c r="F91" s="152" t="s">
        <v>15</v>
      </c>
      <c r="G91" s="100">
        <v>80.12</v>
      </c>
      <c r="H91" s="100">
        <v>29.37</v>
      </c>
      <c r="I91" s="100">
        <v>8.89</v>
      </c>
      <c r="J91" s="100">
        <v>0.15</v>
      </c>
      <c r="K91" s="100">
        <v>182.86</v>
      </c>
      <c r="L91" s="100">
        <v>29.33</v>
      </c>
      <c r="M91" s="100">
        <v>30.88</v>
      </c>
      <c r="N91" s="100">
        <v>5.7</v>
      </c>
      <c r="O91" s="100">
        <v>0</v>
      </c>
      <c r="P91" s="100">
        <v>0.93</v>
      </c>
      <c r="Q91" s="100">
        <v>28.13</v>
      </c>
      <c r="R91" s="6"/>
      <c r="S91" s="6"/>
      <c r="T91" s="156"/>
      <c r="U91" s="6"/>
    </row>
    <row r="92" spans="1:21" customFormat="1">
      <c r="A92" s="163" t="s">
        <v>2914</v>
      </c>
      <c r="B92" s="100">
        <v>4.87</v>
      </c>
      <c r="C92" s="100">
        <v>20.67</v>
      </c>
      <c r="D92" s="100">
        <v>16.05</v>
      </c>
      <c r="E92" s="100">
        <v>11.07</v>
      </c>
      <c r="F92" s="152" t="s">
        <v>15</v>
      </c>
      <c r="G92" s="100">
        <v>92.85</v>
      </c>
      <c r="H92" s="100">
        <v>32.799999999999997</v>
      </c>
      <c r="I92" s="100">
        <v>10.51</v>
      </c>
      <c r="J92" s="100">
        <v>0.23</v>
      </c>
      <c r="K92" s="100">
        <v>183.73</v>
      </c>
      <c r="L92" s="100">
        <v>29.01</v>
      </c>
      <c r="M92" s="100">
        <v>33.840000000000003</v>
      </c>
      <c r="N92" s="100">
        <v>5.9</v>
      </c>
      <c r="O92" s="100">
        <v>0</v>
      </c>
      <c r="P92" s="100">
        <v>0.89</v>
      </c>
      <c r="Q92" s="100">
        <v>28.12</v>
      </c>
      <c r="R92" s="6"/>
      <c r="S92" s="6"/>
      <c r="T92" s="156"/>
      <c r="U92" s="6"/>
    </row>
    <row r="93" spans="1:21" customFormat="1">
      <c r="A93" s="163" t="s">
        <v>2915</v>
      </c>
      <c r="B93" s="100">
        <v>5.0599999999999996</v>
      </c>
      <c r="C93" s="100">
        <v>19.64</v>
      </c>
      <c r="D93" s="100">
        <v>15.68</v>
      </c>
      <c r="E93" s="100">
        <v>11.14</v>
      </c>
      <c r="F93" s="152" t="s">
        <v>15</v>
      </c>
      <c r="G93" s="100">
        <v>97.74</v>
      </c>
      <c r="H93" s="100">
        <v>32.9</v>
      </c>
      <c r="I93" s="100">
        <v>10.98</v>
      </c>
      <c r="J93" s="100">
        <v>0.18</v>
      </c>
      <c r="K93" s="100">
        <v>180.85</v>
      </c>
      <c r="L93" s="100">
        <v>28.75</v>
      </c>
      <c r="M93" s="100">
        <v>33.950000000000003</v>
      </c>
      <c r="N93" s="100">
        <v>5.9</v>
      </c>
      <c r="O93" s="100">
        <v>0</v>
      </c>
      <c r="P93" s="100">
        <v>0.93</v>
      </c>
      <c r="Q93" s="100">
        <v>28.12</v>
      </c>
      <c r="R93" s="6"/>
      <c r="S93" s="6"/>
      <c r="T93" s="156"/>
      <c r="U93" s="6"/>
    </row>
    <row r="94" spans="1:21" customFormat="1">
      <c r="A94" s="163" t="s">
        <v>2916</v>
      </c>
      <c r="B94" s="100">
        <v>5.94</v>
      </c>
      <c r="C94" s="100">
        <v>21.45</v>
      </c>
      <c r="D94" s="100">
        <v>17.329999999999998</v>
      </c>
      <c r="E94" s="100">
        <v>11.1</v>
      </c>
      <c r="F94" s="152" t="s">
        <v>15</v>
      </c>
      <c r="G94" s="100">
        <v>97.74</v>
      </c>
      <c r="H94" s="100">
        <v>32.9</v>
      </c>
      <c r="I94" s="100">
        <v>10.29</v>
      </c>
      <c r="J94" s="100">
        <v>0.23</v>
      </c>
      <c r="K94" s="100">
        <v>143.68</v>
      </c>
      <c r="L94" s="100">
        <v>28.84</v>
      </c>
      <c r="M94" s="100">
        <v>33.53</v>
      </c>
      <c r="N94" s="100">
        <v>5.6</v>
      </c>
      <c r="O94" s="100">
        <v>0</v>
      </c>
      <c r="P94" s="100">
        <v>1.01</v>
      </c>
      <c r="Q94" s="100">
        <v>28.13</v>
      </c>
      <c r="R94" s="6"/>
      <c r="S94" s="6"/>
      <c r="T94" s="156"/>
      <c r="U94" s="6"/>
    </row>
    <row r="95" spans="1:21" customFormat="1">
      <c r="A95" s="163" t="s">
        <v>2917</v>
      </c>
      <c r="B95" s="100">
        <v>8.08</v>
      </c>
      <c r="C95" s="100">
        <v>24.5</v>
      </c>
      <c r="D95" s="100">
        <v>20.63</v>
      </c>
      <c r="E95" s="100">
        <v>10.050000000000001</v>
      </c>
      <c r="F95" s="152" t="s">
        <v>15</v>
      </c>
      <c r="G95" s="100">
        <v>97.74</v>
      </c>
      <c r="H95" s="100">
        <v>32.9</v>
      </c>
      <c r="I95" s="100">
        <v>10.67</v>
      </c>
      <c r="J95" s="100">
        <v>0.28999999999999998</v>
      </c>
      <c r="K95" s="100">
        <v>165.7</v>
      </c>
      <c r="L95" s="100">
        <v>29.08</v>
      </c>
      <c r="M95" s="100">
        <v>34.07</v>
      </c>
      <c r="N95" s="100">
        <v>5.9</v>
      </c>
      <c r="O95" s="100">
        <v>0</v>
      </c>
      <c r="P95" s="100">
        <v>1.02</v>
      </c>
      <c r="Q95" s="100">
        <v>28.14</v>
      </c>
      <c r="R95" s="6"/>
      <c r="S95" s="6"/>
      <c r="T95" s="156"/>
      <c r="U95" s="6"/>
    </row>
    <row r="96" spans="1:21" customFormat="1">
      <c r="A96" s="163" t="s">
        <v>2918</v>
      </c>
      <c r="B96" s="100">
        <v>7.99</v>
      </c>
      <c r="C96" s="100">
        <v>24.87</v>
      </c>
      <c r="D96" s="100">
        <v>20.75</v>
      </c>
      <c r="E96" s="100">
        <v>10.19</v>
      </c>
      <c r="F96" s="152" t="s">
        <v>15</v>
      </c>
      <c r="G96" s="100">
        <v>111.46</v>
      </c>
      <c r="H96" s="100">
        <v>41.09</v>
      </c>
      <c r="I96" s="100">
        <v>11.7</v>
      </c>
      <c r="J96" s="100">
        <v>0.2</v>
      </c>
      <c r="K96" s="100">
        <v>138.76</v>
      </c>
      <c r="L96" s="100">
        <v>28.48</v>
      </c>
      <c r="M96" s="100">
        <v>33.799999999999997</v>
      </c>
      <c r="N96" s="100">
        <v>5.9</v>
      </c>
      <c r="O96" s="100">
        <v>0</v>
      </c>
      <c r="P96" s="100">
        <v>1.02</v>
      </c>
      <c r="Q96" s="100">
        <v>28.16</v>
      </c>
      <c r="R96" s="6"/>
      <c r="S96" s="6"/>
      <c r="T96" s="156"/>
      <c r="U96" s="6"/>
    </row>
    <row r="97" spans="1:28" customFormat="1">
      <c r="A97" s="163" t="s">
        <v>2919</v>
      </c>
      <c r="B97" s="100">
        <v>16.45</v>
      </c>
      <c r="C97" s="100">
        <v>27.6</v>
      </c>
      <c r="D97" s="100">
        <v>28.96</v>
      </c>
      <c r="E97" s="100">
        <v>11.03</v>
      </c>
      <c r="F97" s="152" t="s">
        <v>15</v>
      </c>
      <c r="G97" s="100">
        <v>116.74</v>
      </c>
      <c r="H97" s="100">
        <v>41.34</v>
      </c>
      <c r="I97" s="100">
        <v>11.75</v>
      </c>
      <c r="J97" s="100">
        <v>0.23</v>
      </c>
      <c r="K97" s="100">
        <v>145.69</v>
      </c>
      <c r="L97" s="100">
        <v>28.96</v>
      </c>
      <c r="M97" s="100">
        <v>33.61</v>
      </c>
      <c r="N97" s="100">
        <v>5.7</v>
      </c>
      <c r="O97" s="100">
        <v>0</v>
      </c>
      <c r="P97" s="100">
        <v>1.1399999999999999</v>
      </c>
      <c r="Q97" s="100">
        <v>28.19</v>
      </c>
      <c r="R97" s="6"/>
      <c r="S97" s="6"/>
      <c r="T97" s="156"/>
      <c r="U97" s="6"/>
    </row>
    <row r="98" spans="1:28" customFormat="1">
      <c r="A98" s="163" t="s">
        <v>2920</v>
      </c>
      <c r="B98" s="100">
        <v>15.56</v>
      </c>
      <c r="C98" s="100">
        <v>28.1</v>
      </c>
      <c r="D98" s="100">
        <v>28.51</v>
      </c>
      <c r="E98" s="100">
        <v>10.78</v>
      </c>
      <c r="F98" s="152" t="s">
        <v>15</v>
      </c>
      <c r="G98" s="100">
        <v>116.74</v>
      </c>
      <c r="H98" s="100">
        <v>41.34</v>
      </c>
      <c r="I98" s="100">
        <v>11.89</v>
      </c>
      <c r="J98" s="100">
        <v>0.25</v>
      </c>
      <c r="K98" s="100">
        <v>163.32</v>
      </c>
      <c r="L98" s="100">
        <v>28.53</v>
      </c>
      <c r="M98" s="100">
        <v>35.450000000000003</v>
      </c>
      <c r="N98" s="100">
        <v>6.1</v>
      </c>
      <c r="O98" s="100">
        <v>0</v>
      </c>
      <c r="P98" s="100">
        <v>1.1399999999999999</v>
      </c>
      <c r="Q98" s="100">
        <v>28.24</v>
      </c>
      <c r="R98" s="6"/>
      <c r="S98" s="6"/>
      <c r="T98" s="156"/>
      <c r="U98" s="6"/>
    </row>
    <row r="99" spans="1:28" customFormat="1">
      <c r="A99" s="163" t="s">
        <v>2921</v>
      </c>
      <c r="B99" s="100">
        <v>12.76</v>
      </c>
      <c r="C99" s="100">
        <v>27.53</v>
      </c>
      <c r="D99" s="100">
        <v>25.97</v>
      </c>
      <c r="E99" s="100">
        <v>10.38</v>
      </c>
      <c r="F99" s="152" t="s">
        <v>15</v>
      </c>
      <c r="G99" s="100">
        <v>116.74</v>
      </c>
      <c r="H99" s="100">
        <v>41.34</v>
      </c>
      <c r="I99" s="100">
        <v>12.85</v>
      </c>
      <c r="J99" s="100">
        <v>0.19</v>
      </c>
      <c r="K99" s="100">
        <v>177.56</v>
      </c>
      <c r="L99" s="100">
        <v>28.04</v>
      </c>
      <c r="M99" s="100">
        <v>36.67</v>
      </c>
      <c r="N99" s="100">
        <v>6</v>
      </c>
      <c r="O99" s="100">
        <v>0</v>
      </c>
      <c r="P99" s="100">
        <v>1.1100000000000001</v>
      </c>
      <c r="Q99" s="100">
        <v>28.28</v>
      </c>
      <c r="R99" s="6"/>
      <c r="S99" s="6"/>
      <c r="T99" s="156"/>
      <c r="U99" s="6"/>
    </row>
    <row r="100" spans="1:28" customFormat="1">
      <c r="A100" s="163" t="s">
        <v>2922</v>
      </c>
      <c r="B100" s="100">
        <v>13.56</v>
      </c>
      <c r="C100" s="100">
        <v>27.09</v>
      </c>
      <c r="D100" s="100">
        <v>26.38</v>
      </c>
      <c r="E100" s="100">
        <v>10.43</v>
      </c>
      <c r="F100" s="152" t="s">
        <v>15</v>
      </c>
      <c r="G100" s="100">
        <v>119.51</v>
      </c>
      <c r="H100" s="100">
        <v>44.95</v>
      </c>
      <c r="I100" s="100">
        <v>12.77</v>
      </c>
      <c r="J100" s="100">
        <v>0.21</v>
      </c>
      <c r="K100" s="100">
        <v>194.63</v>
      </c>
      <c r="L100" s="100">
        <v>27.76</v>
      </c>
      <c r="M100" s="100">
        <v>37.51</v>
      </c>
      <c r="N100" s="100">
        <v>6.2</v>
      </c>
      <c r="O100" s="100">
        <v>0</v>
      </c>
      <c r="P100" s="100">
        <v>1.1299999999999999</v>
      </c>
      <c r="Q100" s="100">
        <v>28.32</v>
      </c>
      <c r="R100" s="6"/>
      <c r="S100" s="6"/>
      <c r="T100" s="156"/>
      <c r="U100" s="6"/>
      <c r="AB100" s="161"/>
    </row>
    <row r="101" spans="1:28" customFormat="1">
      <c r="A101" s="163" t="s">
        <v>2923</v>
      </c>
      <c r="B101" s="100">
        <v>13.05</v>
      </c>
      <c r="C101" s="100">
        <v>25.03</v>
      </c>
      <c r="D101" s="100">
        <v>24.89</v>
      </c>
      <c r="E101" s="100">
        <v>10.09</v>
      </c>
      <c r="F101" s="152" t="s">
        <v>15</v>
      </c>
      <c r="G101" s="100">
        <v>120.51</v>
      </c>
      <c r="H101" s="100">
        <v>45.12</v>
      </c>
      <c r="I101" s="100">
        <v>12.79</v>
      </c>
      <c r="J101" s="100">
        <v>0.25</v>
      </c>
      <c r="K101" s="100">
        <v>277.54000000000002</v>
      </c>
      <c r="L101" s="100">
        <v>27.43</v>
      </c>
      <c r="M101" s="100">
        <v>37.94</v>
      </c>
      <c r="N101" s="100">
        <v>5.8</v>
      </c>
      <c r="O101" s="100">
        <v>0</v>
      </c>
      <c r="P101" s="100">
        <v>1.1299999999999999</v>
      </c>
      <c r="Q101" s="100">
        <v>28.37</v>
      </c>
      <c r="R101" s="6"/>
      <c r="S101" s="6"/>
      <c r="T101" s="156"/>
      <c r="U101" s="6"/>
    </row>
    <row r="102" spans="1:28" customFormat="1">
      <c r="A102" s="163" t="s">
        <v>2924</v>
      </c>
      <c r="B102" s="100">
        <v>13.86</v>
      </c>
      <c r="C102" s="100">
        <v>25.68</v>
      </c>
      <c r="D102" s="100">
        <v>25.88</v>
      </c>
      <c r="E102" s="100">
        <v>10.26</v>
      </c>
      <c r="F102" s="152" t="s">
        <v>15</v>
      </c>
      <c r="G102" s="100">
        <v>120.51</v>
      </c>
      <c r="H102" s="100">
        <v>45.12</v>
      </c>
      <c r="I102" s="100">
        <v>12.89</v>
      </c>
      <c r="J102" s="100">
        <v>0.25</v>
      </c>
      <c r="K102" s="100">
        <v>61.58</v>
      </c>
      <c r="L102" s="100">
        <v>28.2</v>
      </c>
      <c r="M102" s="100">
        <v>34.54</v>
      </c>
      <c r="N102" s="100">
        <v>5.2</v>
      </c>
      <c r="O102" s="100">
        <v>0</v>
      </c>
      <c r="P102" s="100">
        <v>1.1499999999999999</v>
      </c>
      <c r="Q102" s="100">
        <v>28.39</v>
      </c>
      <c r="R102" s="6"/>
      <c r="S102" s="6"/>
      <c r="T102" s="156"/>
      <c r="U102" s="6"/>
    </row>
    <row r="103" spans="1:28" customFormat="1">
      <c r="A103" s="163" t="s">
        <v>2925</v>
      </c>
      <c r="B103" s="100">
        <v>16.059999999999999</v>
      </c>
      <c r="C103" s="100">
        <v>28.02</v>
      </c>
      <c r="D103" s="100">
        <v>28.87</v>
      </c>
      <c r="E103" s="100">
        <v>10.3</v>
      </c>
      <c r="F103" s="152" t="s">
        <v>15</v>
      </c>
      <c r="G103" s="100">
        <v>120.51</v>
      </c>
      <c r="H103" s="100">
        <v>45.12</v>
      </c>
      <c r="I103" s="100">
        <v>13</v>
      </c>
      <c r="J103" s="100">
        <v>0.24</v>
      </c>
      <c r="K103" s="100">
        <v>10.02</v>
      </c>
      <c r="L103" s="100">
        <v>28.76</v>
      </c>
      <c r="M103" s="100">
        <v>32.79</v>
      </c>
      <c r="N103" s="100">
        <v>5.4</v>
      </c>
      <c r="O103" s="100">
        <v>0</v>
      </c>
      <c r="P103" s="100">
        <v>1.19</v>
      </c>
      <c r="Q103" s="100">
        <v>28.43</v>
      </c>
      <c r="R103" s="6"/>
      <c r="S103" s="6"/>
      <c r="T103" s="156"/>
      <c r="U103" s="6"/>
    </row>
    <row r="104" spans="1:28" customFormat="1">
      <c r="A104" s="163" t="s">
        <v>2926</v>
      </c>
      <c r="B104" s="100">
        <v>18.8</v>
      </c>
      <c r="C104" s="100">
        <v>30.46</v>
      </c>
      <c r="D104" s="100">
        <v>32.340000000000003</v>
      </c>
      <c r="E104" s="100">
        <v>10.5</v>
      </c>
      <c r="F104" s="152" t="s">
        <v>15</v>
      </c>
      <c r="G104" s="100">
        <v>127.12</v>
      </c>
      <c r="H104" s="100">
        <v>46.33</v>
      </c>
      <c r="I104" s="100">
        <v>13.32</v>
      </c>
      <c r="J104" s="100">
        <v>0.32</v>
      </c>
      <c r="K104" s="100">
        <v>80.91</v>
      </c>
      <c r="L104" s="100">
        <v>28.76</v>
      </c>
      <c r="M104" s="100">
        <v>32.83</v>
      </c>
      <c r="N104" s="100">
        <v>5.8</v>
      </c>
      <c r="O104" s="100">
        <v>0</v>
      </c>
      <c r="P104" s="100">
        <v>1.24</v>
      </c>
      <c r="Q104" s="100">
        <v>28.46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3.23</v>
      </c>
      <c r="C106" s="158">
        <f>MIN(C9:C104)</f>
        <v>14.61</v>
      </c>
      <c r="D106" s="158">
        <f t="shared" ref="D106:Q106" si="0">MIN(D9:D104)</f>
        <v>12.65</v>
      </c>
      <c r="E106" s="158">
        <f t="shared" si="0"/>
        <v>8.19</v>
      </c>
      <c r="F106" s="158">
        <f t="shared" si="0"/>
        <v>0</v>
      </c>
      <c r="G106" s="158">
        <f t="shared" si="0"/>
        <v>59.48</v>
      </c>
      <c r="H106" s="158">
        <f t="shared" si="0"/>
        <v>24.5</v>
      </c>
      <c r="I106" s="158">
        <f t="shared" si="0"/>
        <v>5.88</v>
      </c>
      <c r="J106" s="158">
        <f t="shared" si="0"/>
        <v>0.08</v>
      </c>
      <c r="K106" s="158">
        <f t="shared" si="0"/>
        <v>3.27</v>
      </c>
      <c r="L106" s="158">
        <f t="shared" si="0"/>
        <v>21.58</v>
      </c>
      <c r="M106" s="158">
        <f t="shared" si="0"/>
        <v>8.39</v>
      </c>
      <c r="N106" s="158">
        <f t="shared" si="0"/>
        <v>5.2</v>
      </c>
      <c r="O106" s="158">
        <f t="shared" si="0"/>
        <v>0</v>
      </c>
      <c r="P106" s="158">
        <f t="shared" si="0"/>
        <v>0.6</v>
      </c>
      <c r="Q106" s="158">
        <f t="shared" si="0"/>
        <v>28.05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18.8</v>
      </c>
      <c r="C107" s="157">
        <f t="shared" ref="C107:Q107" si="1">MAX(C9:C104)</f>
        <v>30.46</v>
      </c>
      <c r="D107" s="157">
        <f t="shared" si="1"/>
        <v>32.340000000000003</v>
      </c>
      <c r="E107" s="157">
        <f t="shared" si="1"/>
        <v>34.700000000000003</v>
      </c>
      <c r="F107" s="157">
        <f t="shared" si="1"/>
        <v>0</v>
      </c>
      <c r="G107" s="157">
        <f t="shared" si="1"/>
        <v>136.87</v>
      </c>
      <c r="H107" s="157">
        <f t="shared" si="1"/>
        <v>54.77</v>
      </c>
      <c r="I107" s="157">
        <f t="shared" si="1"/>
        <v>16.13</v>
      </c>
      <c r="J107" s="157">
        <f t="shared" si="1"/>
        <v>1.72</v>
      </c>
      <c r="K107" s="157">
        <f t="shared" si="1"/>
        <v>340.17</v>
      </c>
      <c r="L107" s="157">
        <f t="shared" si="1"/>
        <v>40.82</v>
      </c>
      <c r="M107" s="157">
        <f t="shared" si="1"/>
        <v>56.76</v>
      </c>
      <c r="N107" s="157">
        <f t="shared" si="1"/>
        <v>751.4</v>
      </c>
      <c r="O107" s="157">
        <f t="shared" si="1"/>
        <v>0</v>
      </c>
      <c r="P107" s="157">
        <f t="shared" si="1"/>
        <v>1.24</v>
      </c>
      <c r="Q107" s="157">
        <f t="shared" si="1"/>
        <v>28.46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6.1803124999999985</v>
      </c>
      <c r="C108" s="158">
        <f t="shared" ref="C108:Q108" si="2">AVERAGE(C9:C104)</f>
        <v>19.795625000000005</v>
      </c>
      <c r="D108" s="158">
        <f t="shared" si="2"/>
        <v>16.649895833333339</v>
      </c>
      <c r="E108" s="158">
        <f t="shared" si="2"/>
        <v>13.769166666666669</v>
      </c>
      <c r="F108" s="158" t="e">
        <f t="shared" si="2"/>
        <v>#DIV/0!</v>
      </c>
      <c r="G108" s="158">
        <f t="shared" si="2"/>
        <v>84.935624999999959</v>
      </c>
      <c r="H108" s="158">
        <f t="shared" si="2"/>
        <v>37.258958333333347</v>
      </c>
      <c r="I108" s="158">
        <f t="shared" si="2"/>
        <v>10.929166666666667</v>
      </c>
      <c r="J108" s="158">
        <f t="shared" si="2"/>
        <v>0.40822916666666648</v>
      </c>
      <c r="K108" s="158">
        <f t="shared" si="2"/>
        <v>140.98937500000008</v>
      </c>
      <c r="L108" s="158">
        <f t="shared" si="2"/>
        <v>31.109375000000011</v>
      </c>
      <c r="M108" s="158">
        <f t="shared" si="2"/>
        <v>29.219895833333336</v>
      </c>
      <c r="N108" s="158">
        <f t="shared" si="2"/>
        <v>183.29583333333338</v>
      </c>
      <c r="O108" s="158">
        <f t="shared" si="2"/>
        <v>0</v>
      </c>
      <c r="P108" s="158">
        <f t="shared" si="2"/>
        <v>0.91812499999999986</v>
      </c>
      <c r="Q108" s="158">
        <f t="shared" si="2"/>
        <v>28.143333333333317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3.2189110460477814</v>
      </c>
      <c r="C109" s="158">
        <f t="shared" ref="C109:Q109" si="3">STDEV(C9:C104)</f>
        <v>3.4224628904988639</v>
      </c>
      <c r="D109" s="158">
        <f t="shared" si="3"/>
        <v>3.9593461700510577</v>
      </c>
      <c r="E109" s="158">
        <f t="shared" si="3"/>
        <v>5.2803276745744734</v>
      </c>
      <c r="F109" s="158" t="e">
        <f t="shared" si="3"/>
        <v>#DIV/0!</v>
      </c>
      <c r="G109" s="158">
        <f t="shared" si="3"/>
        <v>22.313018376700072</v>
      </c>
      <c r="H109" s="158">
        <f t="shared" si="3"/>
        <v>8.2075853849275688</v>
      </c>
      <c r="I109" s="158">
        <f t="shared" si="3"/>
        <v>2.6363394345256541</v>
      </c>
      <c r="J109" s="158">
        <f t="shared" si="3"/>
        <v>0.33884943028358333</v>
      </c>
      <c r="K109" s="158">
        <f t="shared" si="3"/>
        <v>79.321672074269088</v>
      </c>
      <c r="L109" s="158">
        <f t="shared" si="3"/>
        <v>6.7115259559875158</v>
      </c>
      <c r="M109" s="158">
        <f t="shared" si="3"/>
        <v>16.734812595921515</v>
      </c>
      <c r="N109" s="158">
        <f t="shared" si="3"/>
        <v>251.69331585406482</v>
      </c>
      <c r="O109" s="158">
        <f t="shared" si="3"/>
        <v>0</v>
      </c>
      <c r="P109" s="158">
        <f t="shared" si="3"/>
        <v>0.18626134723469773</v>
      </c>
      <c r="Q109" s="158">
        <f t="shared" si="3"/>
        <v>8.1300827556695376E-2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17"/>
  <sheetViews>
    <sheetView workbookViewId="0">
      <selection activeCell="F9" sqref="F9:F104"/>
    </sheetView>
  </sheetViews>
  <sheetFormatPr defaultColWidth="9" defaultRowHeight="15"/>
  <cols>
    <col min="1" max="1" width="14.7109375" customWidth="1"/>
    <col min="2" max="2" width="14.140625" customWidth="1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29/03/2025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R2" s="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L3" s="147" t="s">
        <v>14</v>
      </c>
      <c r="M3" s="132"/>
      <c r="N3" s="155" t="s">
        <v>15</v>
      </c>
      <c r="O3" s="132"/>
      <c r="P3" s="152" t="s">
        <v>15</v>
      </c>
      <c r="Q3" s="132"/>
      <c r="R3" s="2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N4" s="2"/>
      <c r="O4" s="132"/>
      <c r="P4" s="132"/>
      <c r="Q4" s="132"/>
      <c r="R4" s="132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>
      <c r="A9" s="163" t="s">
        <v>2927</v>
      </c>
      <c r="B9" s="100">
        <v>20.23</v>
      </c>
      <c r="C9" s="100">
        <v>28.63</v>
      </c>
      <c r="D9" s="100">
        <v>32.54</v>
      </c>
      <c r="E9" s="100">
        <v>10.37</v>
      </c>
      <c r="F9" s="152" t="s">
        <v>15</v>
      </c>
      <c r="G9" s="100">
        <v>129.52000000000001</v>
      </c>
      <c r="H9" s="100">
        <v>46.37</v>
      </c>
      <c r="I9" s="100">
        <v>13.75</v>
      </c>
      <c r="J9" s="100">
        <v>0.26</v>
      </c>
      <c r="K9" s="100">
        <v>101.76</v>
      </c>
      <c r="L9" s="100">
        <v>28.64</v>
      </c>
      <c r="M9" s="100">
        <v>33.51</v>
      </c>
      <c r="N9" s="100">
        <v>6.2</v>
      </c>
      <c r="O9" s="100">
        <v>0</v>
      </c>
      <c r="P9" s="100">
        <v>1.26</v>
      </c>
      <c r="Q9" s="100">
        <v>28.51</v>
      </c>
      <c r="R9" s="6"/>
      <c r="S9" s="6"/>
      <c r="T9" s="156"/>
      <c r="U9" s="6"/>
    </row>
    <row r="10" spans="1:21">
      <c r="A10" s="163" t="s">
        <v>2928</v>
      </c>
      <c r="B10" s="100">
        <v>19.579999999999998</v>
      </c>
      <c r="C10" s="100">
        <v>27.55</v>
      </c>
      <c r="D10" s="100">
        <v>31.45</v>
      </c>
      <c r="E10" s="100">
        <v>10.14</v>
      </c>
      <c r="F10" s="152" t="s">
        <v>15</v>
      </c>
      <c r="G10" s="100">
        <v>129.52000000000001</v>
      </c>
      <c r="H10" s="100">
        <v>46.37</v>
      </c>
      <c r="I10" s="100">
        <v>14.19</v>
      </c>
      <c r="J10" s="100">
        <v>0.28000000000000003</v>
      </c>
      <c r="K10" s="100">
        <v>172.29</v>
      </c>
      <c r="L10" s="100">
        <v>27.63</v>
      </c>
      <c r="M10" s="100">
        <v>36.74</v>
      </c>
      <c r="N10" s="100">
        <v>6.8</v>
      </c>
      <c r="O10" s="100">
        <v>0</v>
      </c>
      <c r="P10" s="100">
        <v>1.26</v>
      </c>
      <c r="Q10" s="100">
        <v>28.55</v>
      </c>
      <c r="R10" s="6"/>
      <c r="S10" s="6"/>
      <c r="T10" s="156"/>
      <c r="U10" s="6"/>
    </row>
    <row r="11" spans="1:21">
      <c r="A11" s="163" t="s">
        <v>2929</v>
      </c>
      <c r="B11" s="100">
        <v>19.46</v>
      </c>
      <c r="C11" s="100">
        <v>26.59</v>
      </c>
      <c r="D11" s="100">
        <v>30.85</v>
      </c>
      <c r="E11" s="100">
        <v>9.8800000000000008</v>
      </c>
      <c r="F11" s="152" t="s">
        <v>15</v>
      </c>
      <c r="G11" s="100">
        <v>129.52000000000001</v>
      </c>
      <c r="H11" s="100">
        <v>46.37</v>
      </c>
      <c r="I11" s="100">
        <v>14.52</v>
      </c>
      <c r="J11" s="100">
        <v>0.18</v>
      </c>
      <c r="K11" s="100">
        <v>244.01</v>
      </c>
      <c r="L11" s="100">
        <v>26.99</v>
      </c>
      <c r="M11" s="100">
        <v>37.799999999999997</v>
      </c>
      <c r="N11" s="100">
        <v>6.4</v>
      </c>
      <c r="O11" s="100">
        <v>0</v>
      </c>
      <c r="P11" s="100">
        <v>1.28</v>
      </c>
      <c r="Q11" s="100">
        <v>28.53</v>
      </c>
      <c r="R11" s="6"/>
      <c r="S11" s="6"/>
      <c r="T11" s="156"/>
      <c r="U11" s="6"/>
    </row>
    <row r="12" spans="1:21">
      <c r="A12" s="163" t="s">
        <v>2930</v>
      </c>
      <c r="B12" s="100">
        <v>24.68</v>
      </c>
      <c r="C12" s="100">
        <v>27.28</v>
      </c>
      <c r="D12" s="100">
        <v>35.39</v>
      </c>
      <c r="E12" s="100">
        <v>10.81</v>
      </c>
      <c r="F12" s="152" t="s">
        <v>15</v>
      </c>
      <c r="G12" s="100">
        <v>145.43</v>
      </c>
      <c r="H12" s="100">
        <v>53.94</v>
      </c>
      <c r="I12" s="100">
        <v>14.62</v>
      </c>
      <c r="J12" s="100">
        <v>0.93</v>
      </c>
      <c r="K12" s="100">
        <v>54.23</v>
      </c>
      <c r="L12" s="100">
        <v>28.03</v>
      </c>
      <c r="M12" s="100">
        <v>32.18</v>
      </c>
      <c r="N12" s="100">
        <v>4.2</v>
      </c>
      <c r="O12" s="100">
        <v>0</v>
      </c>
      <c r="P12" s="100">
        <v>1.34</v>
      </c>
      <c r="Q12" s="100">
        <v>28.59</v>
      </c>
      <c r="R12" s="6"/>
      <c r="S12" s="6"/>
      <c r="T12" s="156"/>
      <c r="U12" s="6"/>
    </row>
    <row r="13" spans="1:21">
      <c r="A13" s="163" t="s">
        <v>2931</v>
      </c>
      <c r="B13" s="100">
        <v>20.52</v>
      </c>
      <c r="C13" s="100">
        <v>26.19</v>
      </c>
      <c r="D13" s="100">
        <v>31.49</v>
      </c>
      <c r="E13" s="100">
        <v>10.52</v>
      </c>
      <c r="F13" s="152" t="s">
        <v>15</v>
      </c>
      <c r="G13" s="100">
        <v>151.21</v>
      </c>
      <c r="H13" s="100">
        <v>54.18</v>
      </c>
      <c r="I13" s="100">
        <v>14.85</v>
      </c>
      <c r="J13" s="100">
        <v>1</v>
      </c>
      <c r="K13" s="100">
        <v>45.47</v>
      </c>
      <c r="L13" s="100">
        <v>28.72</v>
      </c>
      <c r="M13" s="100">
        <v>29.09</v>
      </c>
      <c r="N13" s="100">
        <v>5.3</v>
      </c>
      <c r="O13" s="100">
        <v>0</v>
      </c>
      <c r="P13" s="100">
        <v>1.31</v>
      </c>
      <c r="Q13" s="100">
        <v>28.59</v>
      </c>
      <c r="R13" s="6"/>
      <c r="S13" s="6"/>
      <c r="T13" s="156"/>
      <c r="U13" s="6"/>
    </row>
    <row r="14" spans="1:21">
      <c r="A14" s="163" t="s">
        <v>2932</v>
      </c>
      <c r="B14" s="100">
        <v>19.59</v>
      </c>
      <c r="C14" s="100">
        <v>26.59</v>
      </c>
      <c r="D14" s="100">
        <v>30.95</v>
      </c>
      <c r="E14" s="100">
        <v>10.49</v>
      </c>
      <c r="F14" s="152" t="s">
        <v>15</v>
      </c>
      <c r="G14" s="100">
        <v>151.21</v>
      </c>
      <c r="H14" s="100">
        <v>54.18</v>
      </c>
      <c r="I14" s="100">
        <v>15.2</v>
      </c>
      <c r="J14" s="100">
        <v>0.52</v>
      </c>
      <c r="K14" s="100">
        <v>44.68</v>
      </c>
      <c r="L14" s="100">
        <v>28.78</v>
      </c>
      <c r="M14" s="100">
        <v>28.6</v>
      </c>
      <c r="N14" s="100">
        <v>5.9</v>
      </c>
      <c r="O14" s="100">
        <v>0</v>
      </c>
      <c r="P14" s="100">
        <v>1.28</v>
      </c>
      <c r="Q14" s="100">
        <v>28.55</v>
      </c>
      <c r="R14" s="6"/>
      <c r="S14" s="6"/>
      <c r="T14" s="156"/>
      <c r="U14" s="6"/>
    </row>
    <row r="15" spans="1:21">
      <c r="A15" s="163" t="s">
        <v>2933</v>
      </c>
      <c r="B15" s="100">
        <v>18.2</v>
      </c>
      <c r="C15" s="100">
        <v>26.15</v>
      </c>
      <c r="D15" s="100">
        <v>29.61</v>
      </c>
      <c r="E15" s="100">
        <v>10.63</v>
      </c>
      <c r="F15" s="152" t="s">
        <v>15</v>
      </c>
      <c r="G15" s="100">
        <v>151.21</v>
      </c>
      <c r="H15" s="100">
        <v>54.18</v>
      </c>
      <c r="I15" s="100">
        <v>14.93</v>
      </c>
      <c r="J15" s="100">
        <v>0.62</v>
      </c>
      <c r="K15" s="100">
        <v>49.62</v>
      </c>
      <c r="L15" s="100">
        <v>28.67</v>
      </c>
      <c r="M15" s="100">
        <v>28.84</v>
      </c>
      <c r="N15" s="100">
        <v>5.9</v>
      </c>
      <c r="O15" s="100">
        <v>0</v>
      </c>
      <c r="P15" s="100">
        <v>1.26</v>
      </c>
      <c r="Q15" s="100">
        <v>28.54</v>
      </c>
      <c r="R15" s="6"/>
      <c r="S15" s="6"/>
      <c r="T15" s="156"/>
      <c r="U15" s="6"/>
    </row>
    <row r="16" spans="1:21">
      <c r="A16" s="163" t="s">
        <v>2934</v>
      </c>
      <c r="B16" s="100">
        <v>17.170000000000002</v>
      </c>
      <c r="C16" s="100">
        <v>25.96</v>
      </c>
      <c r="D16" s="100">
        <v>28.68</v>
      </c>
      <c r="E16" s="100">
        <v>10.45</v>
      </c>
      <c r="F16" s="152" t="s">
        <v>15</v>
      </c>
      <c r="G16" s="100">
        <v>141.66</v>
      </c>
      <c r="H16" s="100">
        <v>48.68</v>
      </c>
      <c r="I16" s="100">
        <v>14.59</v>
      </c>
      <c r="J16" s="100">
        <v>0.71</v>
      </c>
      <c r="K16" s="100">
        <v>56.28</v>
      </c>
      <c r="L16" s="100">
        <v>28.88</v>
      </c>
      <c r="M16" s="100">
        <v>27.71</v>
      </c>
      <c r="N16" s="100">
        <v>5.6</v>
      </c>
      <c r="O16" s="100">
        <v>0</v>
      </c>
      <c r="P16" s="100">
        <v>1.21</v>
      </c>
      <c r="Q16" s="100">
        <v>28.51</v>
      </c>
      <c r="R16" s="6"/>
      <c r="S16" s="6"/>
      <c r="T16" s="156"/>
      <c r="U16" s="6"/>
    </row>
    <row r="17" spans="1:21">
      <c r="A17" s="163" t="s">
        <v>2935</v>
      </c>
      <c r="B17" s="100">
        <v>16.02</v>
      </c>
      <c r="C17" s="100">
        <v>24.98</v>
      </c>
      <c r="D17" s="100">
        <v>27.25</v>
      </c>
      <c r="E17" s="100">
        <v>8.92</v>
      </c>
      <c r="F17" s="152" t="s">
        <v>15</v>
      </c>
      <c r="G17" s="100">
        <v>138.19</v>
      </c>
      <c r="H17" s="100">
        <v>48.51</v>
      </c>
      <c r="I17" s="100">
        <v>14.32</v>
      </c>
      <c r="J17" s="100">
        <v>0.84</v>
      </c>
      <c r="K17" s="100">
        <v>53.25</v>
      </c>
      <c r="L17" s="100">
        <v>29.26</v>
      </c>
      <c r="M17" s="100">
        <v>26.71</v>
      </c>
      <c r="N17" s="100">
        <v>5.3</v>
      </c>
      <c r="O17" s="100">
        <v>0</v>
      </c>
      <c r="P17" s="100">
        <v>1.19</v>
      </c>
      <c r="Q17" s="100">
        <v>28.48</v>
      </c>
      <c r="R17" s="6"/>
      <c r="S17" s="6"/>
      <c r="T17" s="156"/>
      <c r="U17" s="6"/>
    </row>
    <row r="18" spans="1:21">
      <c r="A18" s="163" t="s">
        <v>2936</v>
      </c>
      <c r="B18" s="100">
        <v>15.63</v>
      </c>
      <c r="C18" s="100">
        <v>24.46</v>
      </c>
      <c r="D18" s="100">
        <v>26.66</v>
      </c>
      <c r="E18" s="100">
        <v>9.84</v>
      </c>
      <c r="F18" s="152" t="s">
        <v>15</v>
      </c>
      <c r="G18" s="100">
        <v>138.19</v>
      </c>
      <c r="H18" s="100">
        <v>48.51</v>
      </c>
      <c r="I18" s="100">
        <v>13.9</v>
      </c>
      <c r="J18" s="100">
        <v>0.82</v>
      </c>
      <c r="K18" s="100">
        <v>57.8</v>
      </c>
      <c r="L18" s="100">
        <v>29.27</v>
      </c>
      <c r="M18" s="100">
        <v>26.99</v>
      </c>
      <c r="N18" s="100">
        <v>5.8</v>
      </c>
      <c r="O18" s="100">
        <v>0</v>
      </c>
      <c r="P18" s="100">
        <v>1.1599999999999999</v>
      </c>
      <c r="Q18" s="100">
        <v>28.45</v>
      </c>
      <c r="R18" s="6"/>
      <c r="S18" s="6"/>
      <c r="T18" s="156"/>
      <c r="U18" s="6"/>
    </row>
    <row r="19" spans="1:21">
      <c r="A19" s="163" t="s">
        <v>2937</v>
      </c>
      <c r="B19" s="100">
        <v>15.27</v>
      </c>
      <c r="C19" s="100">
        <v>23.38</v>
      </c>
      <c r="D19" s="100">
        <v>25.81</v>
      </c>
      <c r="E19" s="100">
        <v>9.16</v>
      </c>
      <c r="F19" s="152" t="s">
        <v>15</v>
      </c>
      <c r="G19" s="100">
        <v>138.19</v>
      </c>
      <c r="H19" s="100">
        <v>48.51</v>
      </c>
      <c r="I19" s="100">
        <v>13.54</v>
      </c>
      <c r="J19" s="100">
        <v>0.98</v>
      </c>
      <c r="K19" s="100">
        <v>57.15</v>
      </c>
      <c r="L19" s="100">
        <v>29.14</v>
      </c>
      <c r="M19" s="100">
        <v>27.5</v>
      </c>
      <c r="N19" s="100">
        <v>5.8</v>
      </c>
      <c r="O19" s="100">
        <v>0</v>
      </c>
      <c r="P19" s="100">
        <v>1.1599999999999999</v>
      </c>
      <c r="Q19" s="100">
        <v>28.45</v>
      </c>
      <c r="R19" s="6"/>
      <c r="S19" s="6"/>
      <c r="T19" s="156"/>
      <c r="U19" s="6"/>
    </row>
    <row r="20" spans="1:21">
      <c r="A20" s="163" t="s">
        <v>2938</v>
      </c>
      <c r="B20" s="100">
        <v>14.6</v>
      </c>
      <c r="C20" s="100">
        <v>22.3</v>
      </c>
      <c r="D20" s="100">
        <v>24.71</v>
      </c>
      <c r="E20" s="100">
        <v>9.5</v>
      </c>
      <c r="F20" s="152" t="s">
        <v>15</v>
      </c>
      <c r="G20" s="100">
        <v>116.99</v>
      </c>
      <c r="H20" s="100">
        <v>43.95</v>
      </c>
      <c r="I20" s="100">
        <v>13.35</v>
      </c>
      <c r="J20" s="100">
        <v>1.21</v>
      </c>
      <c r="K20" s="100">
        <v>50.63</v>
      </c>
      <c r="L20" s="100">
        <v>29.21</v>
      </c>
      <c r="M20" s="100">
        <v>27.26</v>
      </c>
      <c r="N20" s="100">
        <v>5.6</v>
      </c>
      <c r="O20" s="100">
        <v>0</v>
      </c>
      <c r="P20" s="100">
        <v>1.1399999999999999</v>
      </c>
      <c r="Q20" s="100">
        <v>28.44</v>
      </c>
      <c r="R20" s="6"/>
      <c r="S20" s="6"/>
      <c r="T20" s="156"/>
      <c r="U20" s="6"/>
    </row>
    <row r="21" spans="1:21">
      <c r="A21" s="163" t="s">
        <v>2939</v>
      </c>
      <c r="B21" s="100">
        <v>13.96</v>
      </c>
      <c r="C21" s="100">
        <v>21.94</v>
      </c>
      <c r="D21" s="100">
        <v>24.01</v>
      </c>
      <c r="E21" s="100">
        <v>10.25</v>
      </c>
      <c r="F21" s="152" t="s">
        <v>15</v>
      </c>
      <c r="G21" s="100">
        <v>108.83</v>
      </c>
      <c r="H21" s="100">
        <v>43.88</v>
      </c>
      <c r="I21" s="100">
        <v>13.24</v>
      </c>
      <c r="J21" s="100">
        <v>0.73</v>
      </c>
      <c r="K21" s="100">
        <v>38.11</v>
      </c>
      <c r="L21" s="100">
        <v>29.22</v>
      </c>
      <c r="M21" s="100">
        <v>27.02</v>
      </c>
      <c r="N21" s="100">
        <v>6</v>
      </c>
      <c r="O21" s="100">
        <v>0</v>
      </c>
      <c r="P21" s="100">
        <v>1.08</v>
      </c>
      <c r="Q21" s="100">
        <v>28.41</v>
      </c>
      <c r="R21" s="6"/>
      <c r="S21" s="6"/>
      <c r="T21" s="156"/>
      <c r="U21" s="6"/>
    </row>
    <row r="22" spans="1:21">
      <c r="A22" s="163" t="s">
        <v>2940</v>
      </c>
      <c r="B22" s="100">
        <v>13.28</v>
      </c>
      <c r="C22" s="100">
        <v>21.39</v>
      </c>
      <c r="D22" s="100">
        <v>23.18</v>
      </c>
      <c r="E22" s="100">
        <v>10.64</v>
      </c>
      <c r="F22" s="152" t="s">
        <v>15</v>
      </c>
      <c r="G22" s="100">
        <v>108.83</v>
      </c>
      <c r="H22" s="100">
        <v>43.88</v>
      </c>
      <c r="I22" s="100">
        <v>12.87</v>
      </c>
      <c r="J22" s="100">
        <v>0.56999999999999995</v>
      </c>
      <c r="K22" s="100">
        <v>22.71</v>
      </c>
      <c r="L22" s="100">
        <v>28.88</v>
      </c>
      <c r="M22" s="100">
        <v>27.86</v>
      </c>
      <c r="N22" s="100">
        <v>6.3</v>
      </c>
      <c r="O22" s="100">
        <v>0</v>
      </c>
      <c r="P22" s="100">
        <v>1.06</v>
      </c>
      <c r="Q22" s="100">
        <v>28.4</v>
      </c>
      <c r="R22" s="6"/>
      <c r="S22" s="6"/>
      <c r="T22" s="156"/>
      <c r="U22" s="6"/>
    </row>
    <row r="23" spans="1:21">
      <c r="A23" s="163" t="s">
        <v>2941</v>
      </c>
      <c r="B23" s="100">
        <v>13.31</v>
      </c>
      <c r="C23" s="100">
        <v>21.68</v>
      </c>
      <c r="D23" s="100">
        <v>23.36</v>
      </c>
      <c r="E23" s="100">
        <v>10.46</v>
      </c>
      <c r="F23" s="152" t="s">
        <v>15</v>
      </c>
      <c r="G23" s="100">
        <v>108.83</v>
      </c>
      <c r="H23" s="100">
        <v>43.88</v>
      </c>
      <c r="I23" s="100">
        <v>12.42</v>
      </c>
      <c r="J23" s="100">
        <v>0.65</v>
      </c>
      <c r="K23" s="100">
        <v>33.590000000000003</v>
      </c>
      <c r="L23" s="100">
        <v>28.52</v>
      </c>
      <c r="M23" s="100">
        <v>28.71</v>
      </c>
      <c r="N23" s="100">
        <v>6.2</v>
      </c>
      <c r="O23" s="100">
        <v>0</v>
      </c>
      <c r="P23" s="100">
        <v>1.05</v>
      </c>
      <c r="Q23" s="100">
        <v>28.36</v>
      </c>
      <c r="R23" s="6"/>
      <c r="S23" s="6"/>
      <c r="T23" s="156"/>
      <c r="U23" s="6"/>
    </row>
    <row r="24" spans="1:21">
      <c r="A24" s="163" t="s">
        <v>2942</v>
      </c>
      <c r="B24" s="100">
        <v>13.29</v>
      </c>
      <c r="C24" s="100">
        <v>21.37</v>
      </c>
      <c r="D24" s="100">
        <v>23.18</v>
      </c>
      <c r="E24" s="100">
        <v>9.8800000000000008</v>
      </c>
      <c r="F24" s="152" t="s">
        <v>15</v>
      </c>
      <c r="G24" s="100">
        <v>94.48</v>
      </c>
      <c r="H24" s="100">
        <v>39.15</v>
      </c>
      <c r="I24" s="100">
        <v>12.33</v>
      </c>
      <c r="J24" s="100">
        <v>0.69</v>
      </c>
      <c r="K24" s="100">
        <v>45.71</v>
      </c>
      <c r="L24" s="100">
        <v>28.18</v>
      </c>
      <c r="M24" s="100">
        <v>29.8</v>
      </c>
      <c r="N24" s="100">
        <v>6.3</v>
      </c>
      <c r="O24" s="100">
        <v>0</v>
      </c>
      <c r="P24" s="100">
        <v>1.03</v>
      </c>
      <c r="Q24" s="100">
        <v>28.37</v>
      </c>
      <c r="R24" s="6"/>
      <c r="S24" s="6"/>
      <c r="T24" s="156"/>
      <c r="U24" s="6"/>
    </row>
    <row r="25" spans="1:21">
      <c r="A25" s="163" t="s">
        <v>2943</v>
      </c>
      <c r="B25" s="100">
        <v>13.12</v>
      </c>
      <c r="C25" s="100">
        <v>20.81</v>
      </c>
      <c r="D25" s="100">
        <v>22.74</v>
      </c>
      <c r="E25" s="100">
        <v>9.51</v>
      </c>
      <c r="F25" s="152" t="s">
        <v>15</v>
      </c>
      <c r="G25" s="100">
        <v>89.26</v>
      </c>
      <c r="H25" s="100">
        <v>39</v>
      </c>
      <c r="I25" s="100">
        <v>12.26</v>
      </c>
      <c r="J25" s="100">
        <v>0.54</v>
      </c>
      <c r="K25" s="100">
        <v>38</v>
      </c>
      <c r="L25" s="100">
        <v>27.68</v>
      </c>
      <c r="M25" s="100">
        <v>31.61</v>
      </c>
      <c r="N25" s="100">
        <v>6.4</v>
      </c>
      <c r="O25" s="100">
        <v>0</v>
      </c>
      <c r="P25" s="100">
        <v>1.05</v>
      </c>
      <c r="Q25" s="100">
        <v>28.37</v>
      </c>
      <c r="R25" s="6"/>
      <c r="S25" s="6"/>
      <c r="T25" s="156"/>
      <c r="U25" s="6"/>
    </row>
    <row r="26" spans="1:21">
      <c r="A26" s="163" t="s">
        <v>2944</v>
      </c>
      <c r="B26" s="100">
        <v>13.09</v>
      </c>
      <c r="C26" s="100">
        <v>20.63</v>
      </c>
      <c r="D26" s="100">
        <v>22.63</v>
      </c>
      <c r="E26" s="100">
        <v>9.01</v>
      </c>
      <c r="F26" s="152" t="s">
        <v>15</v>
      </c>
      <c r="G26" s="100">
        <v>89.26</v>
      </c>
      <c r="H26" s="100">
        <v>39</v>
      </c>
      <c r="I26" s="100">
        <v>12.24</v>
      </c>
      <c r="J26" s="100">
        <v>0.42</v>
      </c>
      <c r="K26" s="100">
        <v>49.66</v>
      </c>
      <c r="L26" s="100">
        <v>27.32</v>
      </c>
      <c r="M26" s="100">
        <v>32.770000000000003</v>
      </c>
      <c r="N26" s="100">
        <v>6.3</v>
      </c>
      <c r="O26" s="100">
        <v>0</v>
      </c>
      <c r="P26" s="100">
        <v>1.05</v>
      </c>
      <c r="Q26" s="100">
        <v>28.36</v>
      </c>
      <c r="R26" s="6"/>
      <c r="S26" s="6"/>
      <c r="T26" s="156"/>
      <c r="U26" s="6"/>
    </row>
    <row r="27" spans="1:21">
      <c r="A27" s="163" t="s">
        <v>2945</v>
      </c>
      <c r="B27" s="100">
        <v>13.34</v>
      </c>
      <c r="C27" s="100">
        <v>21.05</v>
      </c>
      <c r="D27" s="100">
        <v>23.05</v>
      </c>
      <c r="E27" s="100">
        <v>8.66</v>
      </c>
      <c r="F27" s="152" t="s">
        <v>15</v>
      </c>
      <c r="G27" s="100">
        <v>89.26</v>
      </c>
      <c r="H27" s="100">
        <v>39</v>
      </c>
      <c r="I27" s="100">
        <v>12.23</v>
      </c>
      <c r="J27" s="100">
        <v>0.33</v>
      </c>
      <c r="K27" s="100">
        <v>45.56</v>
      </c>
      <c r="L27" s="100">
        <v>27.03</v>
      </c>
      <c r="M27" s="100">
        <v>33.81</v>
      </c>
      <c r="N27" s="100">
        <v>6.2</v>
      </c>
      <c r="O27" s="100">
        <v>0</v>
      </c>
      <c r="P27" s="100">
        <v>1.04</v>
      </c>
      <c r="Q27" s="100">
        <v>28.37</v>
      </c>
      <c r="R27" s="6"/>
      <c r="S27" s="6"/>
      <c r="T27" s="156"/>
      <c r="U27" s="6"/>
    </row>
    <row r="28" spans="1:21">
      <c r="A28" s="163" t="s">
        <v>2946</v>
      </c>
      <c r="B28" s="100">
        <v>15.88</v>
      </c>
      <c r="C28" s="100">
        <v>23.87</v>
      </c>
      <c r="D28" s="100">
        <v>26.56</v>
      </c>
      <c r="E28" s="100">
        <v>8.68</v>
      </c>
      <c r="F28" s="152" t="s">
        <v>15</v>
      </c>
      <c r="G28" s="100">
        <v>85.8</v>
      </c>
      <c r="H28" s="100">
        <v>36.19</v>
      </c>
      <c r="I28" s="100">
        <v>12.29</v>
      </c>
      <c r="J28" s="100">
        <v>0.48</v>
      </c>
      <c r="K28" s="100">
        <v>54.39</v>
      </c>
      <c r="L28" s="100">
        <v>26.87</v>
      </c>
      <c r="M28" s="100">
        <v>34.200000000000003</v>
      </c>
      <c r="N28" s="100">
        <v>5.9</v>
      </c>
      <c r="O28" s="100">
        <v>0</v>
      </c>
      <c r="P28" s="100">
        <v>1.01</v>
      </c>
      <c r="Q28" s="100">
        <v>28.36</v>
      </c>
      <c r="R28" s="6"/>
      <c r="S28" s="6"/>
      <c r="T28" s="156"/>
      <c r="U28" s="6"/>
    </row>
    <row r="29" spans="1:21">
      <c r="A29" s="163" t="s">
        <v>2947</v>
      </c>
      <c r="B29" s="100">
        <v>14.02</v>
      </c>
      <c r="C29" s="100">
        <v>20.8</v>
      </c>
      <c r="D29" s="100">
        <v>23.46</v>
      </c>
      <c r="E29" s="100">
        <v>8.26</v>
      </c>
      <c r="F29" s="152" t="s">
        <v>15</v>
      </c>
      <c r="G29" s="100">
        <v>84.47</v>
      </c>
      <c r="H29" s="100">
        <v>36.049999999999997</v>
      </c>
      <c r="I29" s="100">
        <v>12.14</v>
      </c>
      <c r="J29" s="100">
        <v>0.7</v>
      </c>
      <c r="K29" s="100">
        <v>47.36</v>
      </c>
      <c r="L29" s="100">
        <v>26.98</v>
      </c>
      <c r="M29" s="100">
        <v>33.51</v>
      </c>
      <c r="N29" s="100">
        <v>5.7</v>
      </c>
      <c r="O29" s="100">
        <v>0</v>
      </c>
      <c r="P29" s="100">
        <v>1.04</v>
      </c>
      <c r="Q29" s="100">
        <v>28.33</v>
      </c>
      <c r="R29" s="6"/>
      <c r="S29" s="6"/>
      <c r="T29" s="156"/>
      <c r="U29" s="6"/>
    </row>
    <row r="30" spans="1:21">
      <c r="A30" s="163" t="s">
        <v>2948</v>
      </c>
      <c r="B30" s="100">
        <v>13.47</v>
      </c>
      <c r="C30" s="100">
        <v>19.98</v>
      </c>
      <c r="D30" s="100">
        <v>22.59</v>
      </c>
      <c r="E30" s="100">
        <v>8.6</v>
      </c>
      <c r="F30" s="152" t="s">
        <v>15</v>
      </c>
      <c r="G30" s="100">
        <v>84.47</v>
      </c>
      <c r="H30" s="100">
        <v>36.049999999999997</v>
      </c>
      <c r="I30" s="100">
        <v>11.86</v>
      </c>
      <c r="J30" s="100">
        <v>0.7</v>
      </c>
      <c r="K30" s="100">
        <v>41.79</v>
      </c>
      <c r="L30" s="100">
        <v>26.8</v>
      </c>
      <c r="M30" s="100">
        <v>33.840000000000003</v>
      </c>
      <c r="N30" s="100">
        <v>5.9</v>
      </c>
      <c r="O30" s="100">
        <v>0</v>
      </c>
      <c r="P30" s="100">
        <v>1.03</v>
      </c>
      <c r="Q30" s="100">
        <v>28.34</v>
      </c>
      <c r="R30" s="6"/>
      <c r="S30" s="6"/>
      <c r="T30" s="156"/>
      <c r="U30" s="6"/>
    </row>
    <row r="31" spans="1:21">
      <c r="A31" s="163" t="s">
        <v>2949</v>
      </c>
      <c r="B31" s="100">
        <v>14.36</v>
      </c>
      <c r="C31" s="100">
        <v>21.42</v>
      </c>
      <c r="D31" s="100">
        <v>24.05</v>
      </c>
      <c r="E31" s="100">
        <v>8.8800000000000008</v>
      </c>
      <c r="F31" s="152" t="s">
        <v>15</v>
      </c>
      <c r="G31" s="100">
        <v>84.47</v>
      </c>
      <c r="H31" s="100">
        <v>36.049999999999997</v>
      </c>
      <c r="I31" s="100">
        <v>12</v>
      </c>
      <c r="J31" s="100">
        <v>0.53</v>
      </c>
      <c r="K31" s="100">
        <v>42.75</v>
      </c>
      <c r="L31" s="100">
        <v>26.82</v>
      </c>
      <c r="M31" s="100">
        <v>33.35</v>
      </c>
      <c r="N31" s="100">
        <v>6.1</v>
      </c>
      <c r="O31" s="100">
        <v>0</v>
      </c>
      <c r="P31" s="100">
        <v>1.01</v>
      </c>
      <c r="Q31" s="100">
        <v>28.36</v>
      </c>
      <c r="R31" s="6"/>
      <c r="S31" s="6"/>
      <c r="T31" s="156"/>
      <c r="U31" s="6"/>
    </row>
    <row r="32" spans="1:21">
      <c r="A32" s="163" t="s">
        <v>2950</v>
      </c>
      <c r="B32" s="100">
        <v>14.44</v>
      </c>
      <c r="C32" s="100">
        <v>20.76</v>
      </c>
      <c r="D32" s="100">
        <v>23.78</v>
      </c>
      <c r="E32" s="100">
        <v>8.89</v>
      </c>
      <c r="F32" s="152" t="s">
        <v>15</v>
      </c>
      <c r="G32" s="100">
        <v>85.08</v>
      </c>
      <c r="H32" s="100">
        <v>30.96</v>
      </c>
      <c r="I32" s="100">
        <v>11.87</v>
      </c>
      <c r="J32" s="100">
        <v>0.94</v>
      </c>
      <c r="K32" s="100">
        <v>47.87</v>
      </c>
      <c r="L32" s="100">
        <v>26.82</v>
      </c>
      <c r="M32" s="100">
        <v>33.07</v>
      </c>
      <c r="N32" s="100">
        <v>7.8</v>
      </c>
      <c r="O32" s="100">
        <v>0</v>
      </c>
      <c r="P32" s="100">
        <v>0.99</v>
      </c>
      <c r="Q32" s="100">
        <v>28.36</v>
      </c>
      <c r="R32" s="6"/>
      <c r="S32" s="6"/>
      <c r="T32" s="156"/>
      <c r="U32" s="6"/>
    </row>
    <row r="33" spans="1:21">
      <c r="A33" s="163" t="s">
        <v>2951</v>
      </c>
      <c r="B33" s="100">
        <v>14.03</v>
      </c>
      <c r="C33" s="100">
        <v>19.600000000000001</v>
      </c>
      <c r="D33" s="100">
        <v>22.84</v>
      </c>
      <c r="E33" s="100">
        <v>8.6300000000000008</v>
      </c>
      <c r="F33" s="152" t="s">
        <v>15</v>
      </c>
      <c r="G33" s="100">
        <v>85.31</v>
      </c>
      <c r="H33" s="100">
        <v>30.89</v>
      </c>
      <c r="I33" s="100">
        <v>11.83</v>
      </c>
      <c r="J33" s="100">
        <v>0.91</v>
      </c>
      <c r="K33" s="100">
        <v>45.37</v>
      </c>
      <c r="L33" s="100">
        <v>26.81</v>
      </c>
      <c r="M33" s="100">
        <v>32.46</v>
      </c>
      <c r="N33" s="100">
        <v>14.6</v>
      </c>
      <c r="O33" s="100">
        <v>0</v>
      </c>
      <c r="P33" s="100">
        <v>1</v>
      </c>
      <c r="Q33" s="100">
        <v>28.35</v>
      </c>
      <c r="R33" s="6"/>
      <c r="S33" s="6"/>
      <c r="T33" s="156"/>
      <c r="U33" s="6"/>
    </row>
    <row r="34" spans="1:21">
      <c r="A34" s="163" t="s">
        <v>2952</v>
      </c>
      <c r="B34" s="100">
        <v>14.19</v>
      </c>
      <c r="C34" s="100">
        <v>19.48</v>
      </c>
      <c r="D34" s="100">
        <v>22.91</v>
      </c>
      <c r="E34" s="100">
        <v>8.99</v>
      </c>
      <c r="F34" s="152" t="s">
        <v>15</v>
      </c>
      <c r="G34" s="100">
        <v>85.31</v>
      </c>
      <c r="H34" s="100">
        <v>30.89</v>
      </c>
      <c r="I34" s="100">
        <v>11.78</v>
      </c>
      <c r="J34" s="100">
        <v>0.56999999999999995</v>
      </c>
      <c r="K34" s="100">
        <v>39</v>
      </c>
      <c r="L34" s="100">
        <v>26.66</v>
      </c>
      <c r="M34" s="100">
        <v>33.46</v>
      </c>
      <c r="N34" s="100">
        <v>25.7</v>
      </c>
      <c r="O34" s="100">
        <v>0</v>
      </c>
      <c r="P34" s="100">
        <v>0.99</v>
      </c>
      <c r="Q34" s="100">
        <v>28.37</v>
      </c>
      <c r="R34" s="6"/>
      <c r="S34" s="6"/>
      <c r="T34" s="156"/>
      <c r="U34" s="6"/>
    </row>
    <row r="35" spans="1:21">
      <c r="A35" s="163" t="s">
        <v>2953</v>
      </c>
      <c r="B35" s="100">
        <v>14.45</v>
      </c>
      <c r="C35" s="100">
        <v>19.61</v>
      </c>
      <c r="D35" s="100">
        <v>23.18</v>
      </c>
      <c r="E35" s="100">
        <v>8.7899999999999991</v>
      </c>
      <c r="F35" s="152" t="s">
        <v>15</v>
      </c>
      <c r="G35" s="100">
        <v>85.31</v>
      </c>
      <c r="H35" s="100">
        <v>30.89</v>
      </c>
      <c r="I35" s="100">
        <v>11.69</v>
      </c>
      <c r="J35" s="100">
        <v>0.84</v>
      </c>
      <c r="K35" s="100">
        <v>50.04</v>
      </c>
      <c r="L35" s="100">
        <v>26.69</v>
      </c>
      <c r="M35" s="100">
        <v>33.78</v>
      </c>
      <c r="N35" s="100">
        <v>37.700000000000003</v>
      </c>
      <c r="O35" s="100">
        <v>0</v>
      </c>
      <c r="P35" s="100">
        <v>1</v>
      </c>
      <c r="Q35" s="100">
        <v>28.37</v>
      </c>
      <c r="R35" s="6"/>
      <c r="S35" s="6"/>
      <c r="T35" s="156"/>
      <c r="U35" s="6"/>
    </row>
    <row r="36" spans="1:21">
      <c r="A36" s="163" t="s">
        <v>2954</v>
      </c>
      <c r="B36" s="100">
        <v>14.4</v>
      </c>
      <c r="C36" s="100">
        <v>19.97</v>
      </c>
      <c r="D36" s="100">
        <v>23.33</v>
      </c>
      <c r="E36" s="100">
        <v>9.08</v>
      </c>
      <c r="F36" s="152" t="s">
        <v>15</v>
      </c>
      <c r="G36" s="100">
        <v>95.99</v>
      </c>
      <c r="H36" s="100">
        <v>32.33</v>
      </c>
      <c r="I36" s="100">
        <v>11.74</v>
      </c>
      <c r="J36" s="100">
        <v>0.76</v>
      </c>
      <c r="K36" s="100">
        <v>36.840000000000003</v>
      </c>
      <c r="L36" s="100">
        <v>26.83</v>
      </c>
      <c r="M36" s="100">
        <v>33.799999999999997</v>
      </c>
      <c r="N36" s="100">
        <v>50.6</v>
      </c>
      <c r="O36" s="100">
        <v>0</v>
      </c>
      <c r="P36" s="100">
        <v>0.99</v>
      </c>
      <c r="Q36" s="100">
        <v>28.37</v>
      </c>
      <c r="R36" s="6"/>
      <c r="S36" s="6"/>
      <c r="T36" s="156"/>
      <c r="U36" s="6"/>
    </row>
    <row r="37" spans="1:21">
      <c r="A37" s="163" t="s">
        <v>2955</v>
      </c>
      <c r="B37" s="100">
        <v>14.09</v>
      </c>
      <c r="C37" s="100">
        <v>20.52</v>
      </c>
      <c r="D37" s="100">
        <v>23.37</v>
      </c>
      <c r="E37" s="100">
        <v>8.9</v>
      </c>
      <c r="F37" s="152" t="s">
        <v>15</v>
      </c>
      <c r="G37" s="100">
        <v>99.88</v>
      </c>
      <c r="H37" s="100">
        <v>32.369999999999997</v>
      </c>
      <c r="I37" s="100">
        <v>11.78</v>
      </c>
      <c r="J37" s="100">
        <v>0.66</v>
      </c>
      <c r="K37" s="100">
        <v>39.54</v>
      </c>
      <c r="L37" s="100">
        <v>27.15</v>
      </c>
      <c r="M37" s="100">
        <v>33.39</v>
      </c>
      <c r="N37" s="100">
        <v>63.7</v>
      </c>
      <c r="O37" s="100">
        <v>0</v>
      </c>
      <c r="P37" s="100">
        <v>0.99</v>
      </c>
      <c r="Q37" s="100">
        <v>28.37</v>
      </c>
      <c r="R37" s="6"/>
      <c r="S37" s="6"/>
      <c r="T37" s="156"/>
      <c r="U37" s="6"/>
    </row>
    <row r="38" spans="1:21">
      <c r="A38" s="163" t="s">
        <v>2956</v>
      </c>
      <c r="B38" s="100">
        <v>13.75</v>
      </c>
      <c r="C38" s="100">
        <v>21.13</v>
      </c>
      <c r="D38" s="100">
        <v>23.42</v>
      </c>
      <c r="E38" s="100">
        <v>8.9600000000000009</v>
      </c>
      <c r="F38" s="152" t="s">
        <v>15</v>
      </c>
      <c r="G38" s="100">
        <v>99.88</v>
      </c>
      <c r="H38" s="100">
        <v>32.369999999999997</v>
      </c>
      <c r="I38" s="100">
        <v>11.68</v>
      </c>
      <c r="J38" s="100">
        <v>0.79</v>
      </c>
      <c r="K38" s="100">
        <v>28.32</v>
      </c>
      <c r="L38" s="100">
        <v>27.73</v>
      </c>
      <c r="M38" s="100">
        <v>31.3</v>
      </c>
      <c r="N38" s="100">
        <v>76.900000000000006</v>
      </c>
      <c r="O38" s="100">
        <v>0</v>
      </c>
      <c r="P38" s="100">
        <v>0.99</v>
      </c>
      <c r="Q38" s="100">
        <v>28.37</v>
      </c>
      <c r="R38" s="6"/>
      <c r="S38" s="6"/>
      <c r="T38" s="156"/>
      <c r="U38" s="6"/>
    </row>
    <row r="39" spans="1:21">
      <c r="A39" s="163" t="s">
        <v>2957</v>
      </c>
      <c r="B39" s="100">
        <v>13.05</v>
      </c>
      <c r="C39" s="100">
        <v>21.43</v>
      </c>
      <c r="D39" s="100">
        <v>23.01</v>
      </c>
      <c r="E39" s="100">
        <v>8.9</v>
      </c>
      <c r="F39" s="152" t="s">
        <v>15</v>
      </c>
      <c r="G39" s="100">
        <v>99.88</v>
      </c>
      <c r="H39" s="100">
        <v>32.369999999999997</v>
      </c>
      <c r="I39" s="100">
        <v>11.53</v>
      </c>
      <c r="J39" s="100">
        <v>0.78</v>
      </c>
      <c r="K39" s="100">
        <v>46.14</v>
      </c>
      <c r="L39" s="100">
        <v>28.41</v>
      </c>
      <c r="M39" s="100">
        <v>29.4</v>
      </c>
      <c r="N39" s="100">
        <v>90.5</v>
      </c>
      <c r="O39" s="100">
        <v>0</v>
      </c>
      <c r="P39" s="100">
        <v>0.96</v>
      </c>
      <c r="Q39" s="100">
        <v>28.35</v>
      </c>
      <c r="R39" s="6"/>
      <c r="S39" s="6"/>
      <c r="T39" s="156"/>
      <c r="U39" s="6"/>
    </row>
    <row r="40" spans="1:21">
      <c r="A40" s="163" t="s">
        <v>2958</v>
      </c>
      <c r="B40" s="100">
        <v>12.42</v>
      </c>
      <c r="C40" s="100">
        <v>21.74</v>
      </c>
      <c r="D40" s="100">
        <v>22.67</v>
      </c>
      <c r="E40" s="100">
        <v>9.34</v>
      </c>
      <c r="F40" s="152" t="s">
        <v>15</v>
      </c>
      <c r="G40" s="100">
        <v>96.19</v>
      </c>
      <c r="H40" s="100">
        <v>30.85</v>
      </c>
      <c r="I40" s="100">
        <v>11.45</v>
      </c>
      <c r="J40" s="100">
        <v>1.08</v>
      </c>
      <c r="K40" s="100">
        <v>57.11</v>
      </c>
      <c r="L40" s="100">
        <v>29.31</v>
      </c>
      <c r="M40" s="100">
        <v>26.07</v>
      </c>
      <c r="N40" s="100">
        <v>105.4</v>
      </c>
      <c r="O40" s="100">
        <v>0</v>
      </c>
      <c r="P40" s="100">
        <v>0.95</v>
      </c>
      <c r="Q40" s="100">
        <v>28.34</v>
      </c>
      <c r="R40" s="6"/>
      <c r="S40" s="6"/>
      <c r="T40" s="156"/>
      <c r="U40" s="6"/>
    </row>
    <row r="41" spans="1:21">
      <c r="A41" s="163" t="s">
        <v>2959</v>
      </c>
      <c r="B41" s="100">
        <v>11.5</v>
      </c>
      <c r="C41" s="100">
        <v>21.88</v>
      </c>
      <c r="D41" s="100">
        <v>22.01</v>
      </c>
      <c r="E41" s="100">
        <v>8.83</v>
      </c>
      <c r="F41" s="152" t="s">
        <v>15</v>
      </c>
      <c r="G41" s="100">
        <v>94.85</v>
      </c>
      <c r="H41" s="100">
        <v>30.82</v>
      </c>
      <c r="I41" s="100">
        <v>11.35</v>
      </c>
      <c r="J41" s="100">
        <v>1.2</v>
      </c>
      <c r="K41" s="100">
        <v>52.95</v>
      </c>
      <c r="L41" s="100">
        <v>30.08</v>
      </c>
      <c r="M41" s="100">
        <v>24.61</v>
      </c>
      <c r="N41" s="100">
        <v>186.7</v>
      </c>
      <c r="O41" s="100">
        <v>0</v>
      </c>
      <c r="P41" s="100">
        <v>0.92</v>
      </c>
      <c r="Q41" s="100">
        <v>28.29</v>
      </c>
      <c r="R41" s="6"/>
      <c r="S41" s="6"/>
      <c r="T41" s="156"/>
      <c r="U41" s="6"/>
    </row>
    <row r="42" spans="1:21">
      <c r="A42" s="163" t="s">
        <v>2960</v>
      </c>
      <c r="B42" s="100">
        <v>10.52</v>
      </c>
      <c r="C42" s="100">
        <v>22.28</v>
      </c>
      <c r="D42" s="100">
        <v>21.42</v>
      </c>
      <c r="E42" s="100">
        <v>8.35</v>
      </c>
      <c r="F42" s="152" t="s">
        <v>15</v>
      </c>
      <c r="G42" s="100">
        <v>94.85</v>
      </c>
      <c r="H42" s="100">
        <v>30.82</v>
      </c>
      <c r="I42" s="100">
        <v>11.14</v>
      </c>
      <c r="J42" s="100">
        <v>1.07</v>
      </c>
      <c r="K42" s="100">
        <v>49.25</v>
      </c>
      <c r="L42" s="100">
        <v>30.98</v>
      </c>
      <c r="M42" s="100">
        <v>23.14</v>
      </c>
      <c r="N42" s="100">
        <v>191.4</v>
      </c>
      <c r="O42" s="100">
        <v>0</v>
      </c>
      <c r="P42" s="100">
        <v>0.91</v>
      </c>
      <c r="Q42" s="100">
        <v>28.26</v>
      </c>
      <c r="R42" s="6"/>
      <c r="S42" s="6"/>
      <c r="T42" s="156"/>
      <c r="U42" s="6"/>
    </row>
    <row r="43" spans="1:21">
      <c r="A43" s="163" t="s">
        <v>2961</v>
      </c>
      <c r="B43" s="100">
        <v>9.73</v>
      </c>
      <c r="C43" s="100">
        <v>22.56</v>
      </c>
      <c r="D43" s="100">
        <v>20.94</v>
      </c>
      <c r="E43" s="100">
        <v>8.24</v>
      </c>
      <c r="F43" s="152" t="s">
        <v>15</v>
      </c>
      <c r="G43" s="100">
        <v>94.85</v>
      </c>
      <c r="H43" s="100">
        <v>30.82</v>
      </c>
      <c r="I43" s="100">
        <v>10.99</v>
      </c>
      <c r="J43" s="100">
        <v>1.36</v>
      </c>
      <c r="K43" s="100">
        <v>51.31</v>
      </c>
      <c r="L43" s="100">
        <v>31.66</v>
      </c>
      <c r="M43" s="100">
        <v>21.89</v>
      </c>
      <c r="N43" s="100">
        <v>174.5</v>
      </c>
      <c r="O43" s="100">
        <v>0</v>
      </c>
      <c r="P43" s="100">
        <v>0.88</v>
      </c>
      <c r="Q43" s="100">
        <v>28.24</v>
      </c>
      <c r="R43" s="6"/>
      <c r="S43" s="6"/>
      <c r="T43" s="156"/>
      <c r="U43" s="6"/>
    </row>
    <row r="44" spans="1:21">
      <c r="A44" s="163" t="s">
        <v>2962</v>
      </c>
      <c r="B44" s="100">
        <v>8.9700000000000006</v>
      </c>
      <c r="C44" s="100">
        <v>23.03</v>
      </c>
      <c r="D44" s="100">
        <v>20.58</v>
      </c>
      <c r="E44" s="100">
        <v>8.6999999999999993</v>
      </c>
      <c r="F44" s="152" t="s">
        <v>15</v>
      </c>
      <c r="G44" s="100">
        <v>97.82</v>
      </c>
      <c r="H44" s="100">
        <v>31.28</v>
      </c>
      <c r="I44" s="100">
        <v>10.82</v>
      </c>
      <c r="J44" s="100">
        <v>1.29</v>
      </c>
      <c r="K44" s="100">
        <v>57.03</v>
      </c>
      <c r="L44" s="100">
        <v>32.35</v>
      </c>
      <c r="M44" s="100">
        <v>20.65</v>
      </c>
      <c r="N44" s="100">
        <v>252.6</v>
      </c>
      <c r="O44" s="100">
        <v>0</v>
      </c>
      <c r="P44" s="100">
        <v>0.84</v>
      </c>
      <c r="Q44" s="100">
        <v>28.23</v>
      </c>
      <c r="R44" s="6"/>
      <c r="S44" s="6"/>
      <c r="T44" s="156"/>
      <c r="U44" s="6"/>
    </row>
    <row r="45" spans="1:21">
      <c r="A45" s="163" t="s">
        <v>2963</v>
      </c>
      <c r="B45" s="100">
        <v>8.58</v>
      </c>
      <c r="C45" s="100">
        <v>23.46</v>
      </c>
      <c r="D45" s="100">
        <v>20.49</v>
      </c>
      <c r="E45" s="100">
        <v>10.15</v>
      </c>
      <c r="F45" s="152" t="s">
        <v>15</v>
      </c>
      <c r="G45" s="100">
        <v>98.96</v>
      </c>
      <c r="H45" s="100">
        <v>31.29</v>
      </c>
      <c r="I45" s="100">
        <v>10.55</v>
      </c>
      <c r="J45" s="100">
        <v>1.67</v>
      </c>
      <c r="K45" s="100">
        <v>54.18</v>
      </c>
      <c r="L45" s="100">
        <v>32.869999999999997</v>
      </c>
      <c r="M45" s="100">
        <v>18.98</v>
      </c>
      <c r="N45" s="100">
        <v>283.39999999999998</v>
      </c>
      <c r="O45" s="100">
        <v>0</v>
      </c>
      <c r="P45" s="100">
        <v>0.83</v>
      </c>
      <c r="Q45" s="100">
        <v>28.22</v>
      </c>
      <c r="R45" s="6"/>
      <c r="S45" s="6"/>
      <c r="T45" s="156"/>
      <c r="U45" s="6"/>
    </row>
    <row r="46" spans="1:21">
      <c r="A46" s="163" t="s">
        <v>2964</v>
      </c>
      <c r="B46" s="100">
        <v>8.48</v>
      </c>
      <c r="C46" s="100">
        <v>24.14</v>
      </c>
      <c r="D46" s="100">
        <v>20.76</v>
      </c>
      <c r="E46" s="100">
        <v>10.1</v>
      </c>
      <c r="F46" s="152" t="s">
        <v>15</v>
      </c>
      <c r="G46" s="100">
        <v>98.96</v>
      </c>
      <c r="H46" s="100">
        <v>31.29</v>
      </c>
      <c r="I46" s="100">
        <v>10.32</v>
      </c>
      <c r="J46" s="100">
        <v>1.5</v>
      </c>
      <c r="K46" s="100">
        <v>56.64</v>
      </c>
      <c r="L46" s="100">
        <v>33.520000000000003</v>
      </c>
      <c r="M46" s="100">
        <v>17.66</v>
      </c>
      <c r="N46" s="100">
        <v>400.6</v>
      </c>
      <c r="O46" s="100">
        <v>0</v>
      </c>
      <c r="P46" s="100">
        <v>0.79</v>
      </c>
      <c r="Q46" s="100">
        <v>28.22</v>
      </c>
      <c r="R46" s="6"/>
      <c r="S46" s="6"/>
      <c r="T46" s="156"/>
      <c r="U46" s="6"/>
    </row>
    <row r="47" spans="1:21">
      <c r="A47" s="163" t="s">
        <v>2965</v>
      </c>
      <c r="B47" s="100">
        <v>8.1999999999999993</v>
      </c>
      <c r="C47" s="100">
        <v>23.96</v>
      </c>
      <c r="D47" s="100">
        <v>20.45</v>
      </c>
      <c r="E47" s="100">
        <v>8.66</v>
      </c>
      <c r="F47" s="152" t="s">
        <v>15</v>
      </c>
      <c r="G47" s="100">
        <v>98.96</v>
      </c>
      <c r="H47" s="100">
        <v>31.29</v>
      </c>
      <c r="I47" s="100">
        <v>10.210000000000001</v>
      </c>
      <c r="J47" s="100">
        <v>1.68</v>
      </c>
      <c r="K47" s="100">
        <v>55.82</v>
      </c>
      <c r="L47" s="100">
        <v>33.92</v>
      </c>
      <c r="M47" s="100">
        <v>16.739999999999998</v>
      </c>
      <c r="N47" s="100">
        <v>436.4</v>
      </c>
      <c r="O47" s="100">
        <v>0</v>
      </c>
      <c r="P47" s="100">
        <v>0.77</v>
      </c>
      <c r="Q47" s="100">
        <v>28.21</v>
      </c>
      <c r="R47" s="6"/>
      <c r="S47" s="6"/>
      <c r="T47" s="156"/>
      <c r="U47" s="6"/>
    </row>
    <row r="48" spans="1:21">
      <c r="A48" s="163" t="s">
        <v>2966</v>
      </c>
      <c r="B48" s="100">
        <v>7.37</v>
      </c>
      <c r="C48" s="100">
        <v>23.86</v>
      </c>
      <c r="D48" s="100">
        <v>19.73</v>
      </c>
      <c r="E48" s="100">
        <v>8.11</v>
      </c>
      <c r="F48" s="152" t="s">
        <v>15</v>
      </c>
      <c r="G48" s="100">
        <v>95.35</v>
      </c>
      <c r="H48" s="100">
        <v>32.64</v>
      </c>
      <c r="I48" s="100">
        <v>9.83</v>
      </c>
      <c r="J48" s="100">
        <v>1.49</v>
      </c>
      <c r="K48" s="100">
        <v>54.87</v>
      </c>
      <c r="L48" s="100">
        <v>34.549999999999997</v>
      </c>
      <c r="M48" s="100">
        <v>16.059999999999999</v>
      </c>
      <c r="N48" s="100">
        <v>474.9</v>
      </c>
      <c r="O48" s="100">
        <v>0</v>
      </c>
      <c r="P48" s="100">
        <v>0.75</v>
      </c>
      <c r="Q48" s="100">
        <v>28.18</v>
      </c>
      <c r="R48" s="6"/>
      <c r="S48" s="6"/>
      <c r="T48" s="156"/>
      <c r="U48" s="6"/>
    </row>
    <row r="49" spans="1:21">
      <c r="A49" s="163" t="s">
        <v>2967</v>
      </c>
      <c r="B49" s="100">
        <v>6.45</v>
      </c>
      <c r="C49" s="100">
        <v>23.81</v>
      </c>
      <c r="D49" s="100">
        <v>18.96</v>
      </c>
      <c r="E49" s="100">
        <v>8.8000000000000007</v>
      </c>
      <c r="F49" s="152" t="s">
        <v>15</v>
      </c>
      <c r="G49" s="100">
        <v>94.04</v>
      </c>
      <c r="H49" s="100">
        <v>32.68</v>
      </c>
      <c r="I49" s="100">
        <v>9.68</v>
      </c>
      <c r="J49" s="100">
        <v>1.49</v>
      </c>
      <c r="K49" s="100">
        <v>53.82</v>
      </c>
      <c r="L49" s="100">
        <v>34.97</v>
      </c>
      <c r="M49" s="100">
        <v>15.71</v>
      </c>
      <c r="N49" s="100">
        <v>469.9</v>
      </c>
      <c r="O49" s="100">
        <v>0</v>
      </c>
      <c r="P49" s="100">
        <v>0.72</v>
      </c>
      <c r="Q49" s="100">
        <v>28.16</v>
      </c>
      <c r="R49" s="6"/>
      <c r="S49" s="6"/>
      <c r="T49" s="156"/>
      <c r="U49" s="6"/>
    </row>
    <row r="50" spans="1:21">
      <c r="A50" s="163" t="s">
        <v>2968</v>
      </c>
      <c r="B50" s="100">
        <v>6.33</v>
      </c>
      <c r="C50" s="100">
        <v>24.36</v>
      </c>
      <c r="D50" s="100">
        <v>19.149999999999999</v>
      </c>
      <c r="E50" s="100">
        <v>10</v>
      </c>
      <c r="F50" s="152" t="s">
        <v>15</v>
      </c>
      <c r="G50" s="100">
        <v>94.04</v>
      </c>
      <c r="H50" s="100">
        <v>32.68</v>
      </c>
      <c r="I50" s="100">
        <v>9.5299999999999994</v>
      </c>
      <c r="J50" s="100">
        <v>1.24</v>
      </c>
      <c r="K50" s="100">
        <v>55.04</v>
      </c>
      <c r="L50" s="100">
        <v>35.81</v>
      </c>
      <c r="M50" s="100">
        <v>15.23</v>
      </c>
      <c r="N50" s="100">
        <v>400.1</v>
      </c>
      <c r="O50" s="100">
        <v>0</v>
      </c>
      <c r="P50" s="100">
        <v>0.71</v>
      </c>
      <c r="Q50" s="100">
        <v>28.16</v>
      </c>
      <c r="R50" s="6"/>
      <c r="S50" s="6"/>
      <c r="T50" s="156"/>
      <c r="U50" s="6"/>
    </row>
    <row r="51" spans="1:21">
      <c r="A51" s="163" t="s">
        <v>2969</v>
      </c>
      <c r="B51" s="100">
        <v>6.14</v>
      </c>
      <c r="C51" s="100">
        <v>24.39</v>
      </c>
      <c r="D51" s="100">
        <v>19.02</v>
      </c>
      <c r="E51" s="100">
        <v>9.81</v>
      </c>
      <c r="F51" s="152" t="s">
        <v>15</v>
      </c>
      <c r="G51" s="100">
        <v>94.04</v>
      </c>
      <c r="H51" s="100">
        <v>32.68</v>
      </c>
      <c r="I51" s="100">
        <v>9.34</v>
      </c>
      <c r="J51" s="100">
        <v>1.49</v>
      </c>
      <c r="K51" s="100">
        <v>50.5</v>
      </c>
      <c r="L51" s="100">
        <v>35.71</v>
      </c>
      <c r="M51" s="100">
        <v>14.88</v>
      </c>
      <c r="N51" s="100">
        <v>559</v>
      </c>
      <c r="O51" s="100">
        <v>0</v>
      </c>
      <c r="P51" s="100">
        <v>0.69</v>
      </c>
      <c r="Q51" s="100">
        <v>28.14</v>
      </c>
      <c r="R51" s="6"/>
      <c r="S51" s="6"/>
      <c r="T51" s="156"/>
      <c r="U51" s="6"/>
    </row>
    <row r="52" spans="1:21">
      <c r="A52" s="163" t="s">
        <v>2970</v>
      </c>
      <c r="B52" s="100">
        <v>5.62</v>
      </c>
      <c r="C52" s="100">
        <v>23.3</v>
      </c>
      <c r="D52" s="100">
        <v>18.03</v>
      </c>
      <c r="E52" s="100">
        <v>10.41</v>
      </c>
      <c r="F52" s="152" t="s">
        <v>15</v>
      </c>
      <c r="G52" s="100">
        <v>93.41</v>
      </c>
      <c r="H52" s="100">
        <v>29.29</v>
      </c>
      <c r="I52" s="100">
        <v>9.11</v>
      </c>
      <c r="J52" s="100">
        <v>1.9</v>
      </c>
      <c r="K52" s="100">
        <v>46.71</v>
      </c>
      <c r="L52" s="100">
        <v>35.9</v>
      </c>
      <c r="M52" s="100">
        <v>14.65</v>
      </c>
      <c r="N52" s="100">
        <v>605.5</v>
      </c>
      <c r="O52" s="100">
        <v>0</v>
      </c>
      <c r="P52" s="100">
        <v>0.66</v>
      </c>
      <c r="Q52" s="100">
        <v>28.15</v>
      </c>
      <c r="R52" s="6"/>
      <c r="S52" s="6"/>
      <c r="T52" s="156"/>
      <c r="U52" s="6"/>
    </row>
    <row r="53" spans="1:21">
      <c r="A53" s="163" t="s">
        <v>2971</v>
      </c>
      <c r="B53" s="100">
        <v>5.38</v>
      </c>
      <c r="C53" s="100">
        <v>23.16</v>
      </c>
      <c r="D53" s="100">
        <v>17.760000000000002</v>
      </c>
      <c r="E53" s="100">
        <v>10.119999999999999</v>
      </c>
      <c r="F53" s="152" t="s">
        <v>15</v>
      </c>
      <c r="G53" s="100">
        <v>93.18</v>
      </c>
      <c r="H53" s="100">
        <v>29.12</v>
      </c>
      <c r="I53" s="100">
        <v>9.01</v>
      </c>
      <c r="J53" s="100">
        <v>1.7</v>
      </c>
      <c r="K53" s="100">
        <v>50.9</v>
      </c>
      <c r="L53" s="100">
        <v>36.15</v>
      </c>
      <c r="M53" s="100">
        <v>14.65</v>
      </c>
      <c r="N53" s="100">
        <v>586.4</v>
      </c>
      <c r="O53" s="100">
        <v>0</v>
      </c>
      <c r="P53" s="100">
        <v>0.66</v>
      </c>
      <c r="Q53" s="100">
        <v>28.14</v>
      </c>
      <c r="R53" s="6"/>
      <c r="S53" s="6"/>
      <c r="T53" s="156"/>
      <c r="U53" s="6"/>
    </row>
    <row r="54" spans="1:21">
      <c r="A54" s="163" t="s">
        <v>2972</v>
      </c>
      <c r="B54" s="100">
        <v>5.15</v>
      </c>
      <c r="C54" s="100">
        <v>23.33</v>
      </c>
      <c r="D54" s="100">
        <v>17.68</v>
      </c>
      <c r="E54" s="100">
        <v>11.73</v>
      </c>
      <c r="F54" s="152" t="s">
        <v>15</v>
      </c>
      <c r="G54" s="100">
        <v>93.18</v>
      </c>
      <c r="H54" s="100">
        <v>29.12</v>
      </c>
      <c r="I54" s="100">
        <v>8.8000000000000007</v>
      </c>
      <c r="J54" s="100">
        <v>1.1100000000000001</v>
      </c>
      <c r="K54" s="100">
        <v>43.72</v>
      </c>
      <c r="L54" s="100">
        <v>37.159999999999997</v>
      </c>
      <c r="M54" s="100">
        <v>14.16</v>
      </c>
      <c r="N54" s="100">
        <v>633</v>
      </c>
      <c r="O54" s="100">
        <v>0</v>
      </c>
      <c r="P54" s="100">
        <v>0.64</v>
      </c>
      <c r="Q54" s="100">
        <v>28.12</v>
      </c>
      <c r="R54" s="6"/>
      <c r="S54" s="6"/>
      <c r="T54" s="156"/>
      <c r="U54" s="6"/>
    </row>
    <row r="55" spans="1:21">
      <c r="A55" s="163" t="s">
        <v>2973</v>
      </c>
      <c r="B55" s="100">
        <v>5.17</v>
      </c>
      <c r="C55" s="100">
        <v>23.59</v>
      </c>
      <c r="D55" s="100">
        <v>17.829999999999998</v>
      </c>
      <c r="E55" s="100">
        <v>11.84</v>
      </c>
      <c r="F55" s="152" t="s">
        <v>15</v>
      </c>
      <c r="G55" s="100">
        <v>93.18</v>
      </c>
      <c r="H55" s="100">
        <v>29.12</v>
      </c>
      <c r="I55" s="100">
        <v>8.68</v>
      </c>
      <c r="J55" s="100">
        <v>1.1000000000000001</v>
      </c>
      <c r="K55" s="100">
        <v>45.5</v>
      </c>
      <c r="L55" s="100">
        <v>37.619999999999997</v>
      </c>
      <c r="M55" s="100">
        <v>14.06</v>
      </c>
      <c r="N55" s="100">
        <v>578</v>
      </c>
      <c r="O55" s="100">
        <v>0</v>
      </c>
      <c r="P55" s="100">
        <v>0.64</v>
      </c>
      <c r="Q55" s="100">
        <v>28.1</v>
      </c>
      <c r="R55" s="6"/>
      <c r="S55" s="6"/>
      <c r="T55" s="156"/>
      <c r="U55" s="6"/>
    </row>
    <row r="56" spans="1:21">
      <c r="A56" s="163" t="s">
        <v>2974</v>
      </c>
      <c r="B56" s="100">
        <v>5.43</v>
      </c>
      <c r="C56" s="100">
        <v>24.52</v>
      </c>
      <c r="D56" s="100">
        <v>18.510000000000002</v>
      </c>
      <c r="E56" s="100">
        <v>18.02</v>
      </c>
      <c r="F56" s="152" t="s">
        <v>15</v>
      </c>
      <c r="G56" s="100">
        <v>91.36</v>
      </c>
      <c r="H56" s="100">
        <v>29.88</v>
      </c>
      <c r="I56" s="100">
        <v>8.2799999999999994</v>
      </c>
      <c r="J56" s="100">
        <v>0.92</v>
      </c>
      <c r="K56" s="100">
        <v>67.290000000000006</v>
      </c>
      <c r="L56" s="100">
        <v>38.43</v>
      </c>
      <c r="M56" s="100">
        <v>13.64</v>
      </c>
      <c r="N56" s="100">
        <v>663.4</v>
      </c>
      <c r="O56" s="100">
        <v>0</v>
      </c>
      <c r="P56" s="100">
        <v>0.63</v>
      </c>
      <c r="Q56" s="100">
        <v>28.11</v>
      </c>
      <c r="R56" s="6"/>
      <c r="S56" s="6"/>
      <c r="T56" s="156"/>
      <c r="U56" s="6"/>
    </row>
    <row r="57" spans="1:21">
      <c r="A57" s="163" t="s">
        <v>2975</v>
      </c>
      <c r="B57" s="100">
        <v>4.71</v>
      </c>
      <c r="C57" s="100">
        <v>23.09</v>
      </c>
      <c r="D57" s="100">
        <v>17.190000000000001</v>
      </c>
      <c r="E57" s="100">
        <v>12.97</v>
      </c>
      <c r="F57" s="152" t="s">
        <v>15</v>
      </c>
      <c r="G57" s="100">
        <v>90.7</v>
      </c>
      <c r="H57" s="100">
        <v>29.9</v>
      </c>
      <c r="I57" s="100">
        <v>8.35</v>
      </c>
      <c r="J57" s="100">
        <v>0.59</v>
      </c>
      <c r="K57" s="100">
        <v>74.61</v>
      </c>
      <c r="L57" s="100">
        <v>38.869999999999997</v>
      </c>
      <c r="M57" s="100">
        <v>13.28</v>
      </c>
      <c r="N57" s="100">
        <v>680</v>
      </c>
      <c r="O57" s="100">
        <v>0</v>
      </c>
      <c r="P57" s="100">
        <v>0.66</v>
      </c>
      <c r="Q57" s="100">
        <v>28.09</v>
      </c>
      <c r="R57" s="6"/>
      <c r="S57" s="6"/>
      <c r="T57" s="156"/>
      <c r="U57" s="6"/>
    </row>
    <row r="58" spans="1:21">
      <c r="A58" s="163" t="s">
        <v>2976</v>
      </c>
      <c r="B58" s="100">
        <v>4.3899999999999997</v>
      </c>
      <c r="C58" s="100">
        <v>21.2</v>
      </c>
      <c r="D58" s="100">
        <v>15.95</v>
      </c>
      <c r="E58" s="100">
        <v>12.59</v>
      </c>
      <c r="F58" s="152" t="s">
        <v>15</v>
      </c>
      <c r="G58" s="100">
        <v>90.7</v>
      </c>
      <c r="H58" s="100">
        <v>29.9</v>
      </c>
      <c r="I58" s="100">
        <v>8.1199999999999992</v>
      </c>
      <c r="J58" s="100">
        <v>0.6</v>
      </c>
      <c r="K58" s="100">
        <v>71.34</v>
      </c>
      <c r="L58" s="100">
        <v>39.35</v>
      </c>
      <c r="M58" s="100">
        <v>13.01</v>
      </c>
      <c r="N58" s="100">
        <v>683</v>
      </c>
      <c r="O58" s="100">
        <v>0</v>
      </c>
      <c r="P58" s="100">
        <v>0.65</v>
      </c>
      <c r="Q58" s="100">
        <v>28.07</v>
      </c>
      <c r="R58" s="6"/>
      <c r="S58" s="6"/>
      <c r="T58" s="156"/>
      <c r="U58" s="6"/>
    </row>
    <row r="59" spans="1:21">
      <c r="A59" s="163" t="s">
        <v>2977</v>
      </c>
      <c r="B59" s="100">
        <v>4.26</v>
      </c>
      <c r="C59" s="100">
        <v>20.59</v>
      </c>
      <c r="D59" s="100">
        <v>15.52</v>
      </c>
      <c r="E59" s="100">
        <v>11.73</v>
      </c>
      <c r="F59" s="152" t="s">
        <v>15</v>
      </c>
      <c r="G59" s="100">
        <v>90.7</v>
      </c>
      <c r="H59" s="100">
        <v>29.9</v>
      </c>
      <c r="I59" s="100">
        <v>8.32</v>
      </c>
      <c r="J59" s="100">
        <v>0.71</v>
      </c>
      <c r="K59" s="100">
        <v>63.06</v>
      </c>
      <c r="L59" s="100">
        <v>39.39</v>
      </c>
      <c r="M59" s="100">
        <v>12.93</v>
      </c>
      <c r="N59" s="100">
        <v>683.3</v>
      </c>
      <c r="O59" s="100">
        <v>0</v>
      </c>
      <c r="P59" s="100">
        <v>0.65</v>
      </c>
      <c r="Q59" s="100">
        <v>28.07</v>
      </c>
      <c r="R59" s="6"/>
      <c r="S59" s="6"/>
      <c r="T59" s="156"/>
      <c r="U59" s="6"/>
    </row>
    <row r="60" spans="1:21">
      <c r="A60" s="163" t="s">
        <v>2978</v>
      </c>
      <c r="B60" s="100">
        <v>4.2</v>
      </c>
      <c r="C60" s="100">
        <v>20.190000000000001</v>
      </c>
      <c r="D60" s="100">
        <v>15.27</v>
      </c>
      <c r="E60" s="100">
        <v>10.82</v>
      </c>
      <c r="F60" s="152" t="s">
        <v>15</v>
      </c>
      <c r="G60" s="100">
        <v>88.08</v>
      </c>
      <c r="H60" s="100">
        <v>30.69</v>
      </c>
      <c r="I60" s="100">
        <v>8.09</v>
      </c>
      <c r="J60" s="100">
        <v>0.57999999999999996</v>
      </c>
      <c r="K60" s="100">
        <v>77.430000000000007</v>
      </c>
      <c r="L60" s="100">
        <v>39.700000000000003</v>
      </c>
      <c r="M60" s="100">
        <v>11.91</v>
      </c>
      <c r="N60" s="100">
        <v>676.5</v>
      </c>
      <c r="O60" s="100">
        <v>0</v>
      </c>
      <c r="P60" s="100">
        <v>0.65</v>
      </c>
      <c r="Q60" s="100">
        <v>28.07</v>
      </c>
      <c r="R60" s="6"/>
      <c r="S60" s="6"/>
      <c r="T60" s="156"/>
      <c r="U60" s="6"/>
    </row>
    <row r="61" spans="1:21">
      <c r="A61" s="163" t="s">
        <v>2979</v>
      </c>
      <c r="B61" s="100">
        <v>4.12</v>
      </c>
      <c r="C61" s="100">
        <v>18.95</v>
      </c>
      <c r="D61" s="100">
        <v>14.55</v>
      </c>
      <c r="E61" s="100">
        <v>11.89</v>
      </c>
      <c r="F61" s="152" t="s">
        <v>15</v>
      </c>
      <c r="G61" s="100">
        <v>87.07</v>
      </c>
      <c r="H61" s="100">
        <v>30.71</v>
      </c>
      <c r="I61" s="100">
        <v>8.01</v>
      </c>
      <c r="J61" s="100">
        <v>0.24</v>
      </c>
      <c r="K61" s="100">
        <v>152.25</v>
      </c>
      <c r="L61" s="100">
        <v>39.880000000000003</v>
      </c>
      <c r="M61" s="100">
        <v>11.99</v>
      </c>
      <c r="N61" s="100">
        <v>646.5</v>
      </c>
      <c r="O61" s="100">
        <v>0</v>
      </c>
      <c r="P61" s="100">
        <v>0.63</v>
      </c>
      <c r="Q61" s="100">
        <v>28.08</v>
      </c>
      <c r="R61" s="6"/>
      <c r="S61" s="6"/>
      <c r="T61" s="156"/>
      <c r="U61" s="6"/>
    </row>
    <row r="62" spans="1:21">
      <c r="A62" s="163" t="s">
        <v>2980</v>
      </c>
      <c r="B62" s="100">
        <v>4.0199999999999996</v>
      </c>
      <c r="C62" s="100">
        <v>17.95</v>
      </c>
      <c r="D62" s="100">
        <v>13.95</v>
      </c>
      <c r="E62" s="100">
        <v>12.51</v>
      </c>
      <c r="F62" s="152" t="s">
        <v>15</v>
      </c>
      <c r="G62" s="100">
        <v>87.07</v>
      </c>
      <c r="H62" s="100">
        <v>30.71</v>
      </c>
      <c r="I62" s="100">
        <v>8.15</v>
      </c>
      <c r="J62" s="100">
        <v>0.6</v>
      </c>
      <c r="K62" s="100">
        <v>88.47</v>
      </c>
      <c r="L62" s="100">
        <v>40.14</v>
      </c>
      <c r="M62" s="100">
        <v>11.57</v>
      </c>
      <c r="N62" s="100">
        <v>596.29999999999995</v>
      </c>
      <c r="O62" s="100">
        <v>0</v>
      </c>
      <c r="P62" s="100">
        <v>0.64</v>
      </c>
      <c r="Q62" s="100">
        <v>28.07</v>
      </c>
      <c r="R62" s="6"/>
      <c r="S62" s="6"/>
      <c r="T62" s="156"/>
      <c r="U62" s="6"/>
    </row>
    <row r="63" spans="1:21">
      <c r="A63" s="163" t="s">
        <v>2981</v>
      </c>
      <c r="B63" s="100">
        <v>3.95</v>
      </c>
      <c r="C63" s="100">
        <v>17.3</v>
      </c>
      <c r="D63" s="100">
        <v>13.56</v>
      </c>
      <c r="E63" s="100">
        <v>13.53</v>
      </c>
      <c r="F63" s="152" t="s">
        <v>15</v>
      </c>
      <c r="G63" s="100">
        <v>87.07</v>
      </c>
      <c r="H63" s="100">
        <v>30.71</v>
      </c>
      <c r="I63" s="100">
        <v>7.84</v>
      </c>
      <c r="J63" s="100">
        <v>0.03</v>
      </c>
      <c r="K63" s="100">
        <v>109</v>
      </c>
      <c r="L63" s="100">
        <v>40.17</v>
      </c>
      <c r="M63" s="100">
        <v>11.64</v>
      </c>
      <c r="N63" s="100">
        <v>565</v>
      </c>
      <c r="O63" s="100">
        <v>0</v>
      </c>
      <c r="P63" s="100">
        <v>0.63</v>
      </c>
      <c r="Q63" s="100">
        <v>28.08</v>
      </c>
      <c r="R63" s="6"/>
      <c r="S63" s="6"/>
      <c r="T63" s="156"/>
      <c r="U63" s="6"/>
    </row>
    <row r="64" spans="1:21">
      <c r="A64" s="163" t="s">
        <v>2982</v>
      </c>
      <c r="B64" s="100">
        <v>3.88</v>
      </c>
      <c r="C64" s="100">
        <v>16.46</v>
      </c>
      <c r="D64" s="100">
        <v>13.06</v>
      </c>
      <c r="E64" s="100">
        <v>14.68</v>
      </c>
      <c r="F64" s="152" t="s">
        <v>15</v>
      </c>
      <c r="G64" s="100">
        <v>83.23</v>
      </c>
      <c r="H64" s="100">
        <v>27.87</v>
      </c>
      <c r="I64" s="100">
        <v>7.82</v>
      </c>
      <c r="J64" s="100">
        <v>0.46</v>
      </c>
      <c r="K64" s="100">
        <v>86.57</v>
      </c>
      <c r="L64" s="100">
        <v>40.619999999999997</v>
      </c>
      <c r="M64" s="100">
        <v>11.31</v>
      </c>
      <c r="N64" s="100">
        <v>558.5</v>
      </c>
      <c r="O64" s="100">
        <v>0</v>
      </c>
      <c r="P64" s="100">
        <v>0.61</v>
      </c>
      <c r="Q64" s="100">
        <v>28.08</v>
      </c>
      <c r="R64" s="6"/>
      <c r="S64" s="6"/>
      <c r="T64" s="156"/>
      <c r="U64" s="6"/>
    </row>
    <row r="65" spans="1:21">
      <c r="A65" s="163" t="s">
        <v>2983</v>
      </c>
      <c r="B65" s="100">
        <v>3.91</v>
      </c>
      <c r="C65" s="100">
        <v>16.41</v>
      </c>
      <c r="D65" s="100">
        <v>13.06</v>
      </c>
      <c r="E65" s="100">
        <v>12.82</v>
      </c>
      <c r="F65" s="152" t="s">
        <v>15</v>
      </c>
      <c r="G65" s="100">
        <v>81.84</v>
      </c>
      <c r="H65" s="100">
        <v>27.82</v>
      </c>
      <c r="I65" s="100">
        <v>7.61</v>
      </c>
      <c r="J65" s="100">
        <v>0.39</v>
      </c>
      <c r="K65" s="100">
        <v>28.36</v>
      </c>
      <c r="L65" s="100">
        <v>40.5</v>
      </c>
      <c r="M65" s="100">
        <v>11.44</v>
      </c>
      <c r="N65" s="100">
        <v>534.70000000000005</v>
      </c>
      <c r="O65" s="100">
        <v>0</v>
      </c>
      <c r="P65" s="100">
        <v>0.52</v>
      </c>
      <c r="Q65" s="100">
        <v>28.07</v>
      </c>
      <c r="R65" s="6"/>
      <c r="S65" s="6"/>
      <c r="T65" s="156"/>
      <c r="U65" s="6"/>
    </row>
    <row r="66" spans="1:21">
      <c r="A66" s="163" t="s">
        <v>2984</v>
      </c>
      <c r="B66" s="100">
        <v>3.97</v>
      </c>
      <c r="C66" s="100">
        <v>16.25</v>
      </c>
      <c r="D66" s="100">
        <v>13.02</v>
      </c>
      <c r="E66" s="100">
        <v>14.4</v>
      </c>
      <c r="F66" s="152" t="s">
        <v>15</v>
      </c>
      <c r="G66" s="100">
        <v>81.84</v>
      </c>
      <c r="H66" s="100">
        <v>27.82</v>
      </c>
      <c r="I66" s="100">
        <v>7.46</v>
      </c>
      <c r="J66" s="100">
        <v>0.25</v>
      </c>
      <c r="K66" s="100">
        <v>32.06</v>
      </c>
      <c r="L66" s="100">
        <v>40.39</v>
      </c>
      <c r="M66" s="100">
        <v>11.65</v>
      </c>
      <c r="N66" s="100">
        <v>512.6</v>
      </c>
      <c r="O66" s="100">
        <v>0</v>
      </c>
      <c r="P66" s="100">
        <v>0.55000000000000004</v>
      </c>
      <c r="Q66" s="100">
        <v>28.08</v>
      </c>
      <c r="R66" s="6"/>
      <c r="S66" s="6"/>
      <c r="T66" s="156"/>
      <c r="U66" s="6"/>
    </row>
    <row r="67" spans="1:21">
      <c r="A67" s="163" t="s">
        <v>2985</v>
      </c>
      <c r="B67" s="100">
        <v>3.82</v>
      </c>
      <c r="C67" s="100">
        <v>16.010000000000002</v>
      </c>
      <c r="D67" s="100">
        <v>12.78</v>
      </c>
      <c r="E67" s="100">
        <v>13.25</v>
      </c>
      <c r="F67" s="152" t="s">
        <v>15</v>
      </c>
      <c r="G67" s="100">
        <v>81.84</v>
      </c>
      <c r="H67" s="100">
        <v>27.82</v>
      </c>
      <c r="I67" s="100">
        <v>7.34</v>
      </c>
      <c r="J67" s="100">
        <v>0.4</v>
      </c>
      <c r="K67" s="100">
        <v>80.819999999999993</v>
      </c>
      <c r="L67" s="100">
        <v>40.909999999999997</v>
      </c>
      <c r="M67" s="100">
        <v>11.01</v>
      </c>
      <c r="N67" s="100">
        <v>409.2</v>
      </c>
      <c r="O67" s="100">
        <v>0</v>
      </c>
      <c r="P67" s="100">
        <v>0.55000000000000004</v>
      </c>
      <c r="Q67" s="100">
        <v>28.08</v>
      </c>
      <c r="R67" s="6"/>
      <c r="S67" s="6"/>
      <c r="T67" s="156"/>
      <c r="U67" s="6"/>
    </row>
    <row r="68" spans="1:21">
      <c r="A68" s="163" t="s">
        <v>2986</v>
      </c>
      <c r="B68" s="100">
        <v>3.74</v>
      </c>
      <c r="C68" s="100">
        <v>14.76</v>
      </c>
      <c r="D68" s="100">
        <v>12.06</v>
      </c>
      <c r="E68" s="100">
        <v>16.25</v>
      </c>
      <c r="F68" s="152" t="s">
        <v>15</v>
      </c>
      <c r="G68" s="100">
        <v>73.819999999999993</v>
      </c>
      <c r="H68" s="100">
        <v>29.1</v>
      </c>
      <c r="I68" s="100">
        <v>7.28</v>
      </c>
      <c r="J68" s="100">
        <v>0.15</v>
      </c>
      <c r="K68" s="100">
        <v>226.13</v>
      </c>
      <c r="L68" s="100">
        <v>40.54</v>
      </c>
      <c r="M68" s="100">
        <v>11.57</v>
      </c>
      <c r="N68" s="100">
        <v>416.4</v>
      </c>
      <c r="O68" s="100">
        <v>0</v>
      </c>
      <c r="P68" s="100">
        <v>0.51</v>
      </c>
      <c r="Q68" s="100">
        <v>28.07</v>
      </c>
      <c r="R68" s="6"/>
      <c r="S68" s="6"/>
      <c r="T68" s="156"/>
      <c r="U68" s="6"/>
    </row>
    <row r="69" spans="1:21">
      <c r="A69" s="163" t="s">
        <v>2987</v>
      </c>
      <c r="B69" s="100">
        <v>3.64</v>
      </c>
      <c r="C69" s="100">
        <v>13.62</v>
      </c>
      <c r="D69" s="100">
        <v>11.38</v>
      </c>
      <c r="E69" s="100">
        <v>16.46</v>
      </c>
      <c r="F69" s="152" t="s">
        <v>15</v>
      </c>
      <c r="G69" s="100">
        <v>70.91</v>
      </c>
      <c r="H69" s="100">
        <v>29.14</v>
      </c>
      <c r="I69" s="100">
        <v>7.17</v>
      </c>
      <c r="J69" s="100">
        <v>0.3</v>
      </c>
      <c r="K69" s="100">
        <v>151.57</v>
      </c>
      <c r="L69" s="100">
        <v>40.61</v>
      </c>
      <c r="M69" s="100">
        <v>11.28</v>
      </c>
      <c r="N69" s="100">
        <v>409.9</v>
      </c>
      <c r="O69" s="100">
        <v>0</v>
      </c>
      <c r="P69" s="100">
        <v>0.51</v>
      </c>
      <c r="Q69" s="100">
        <v>28.06</v>
      </c>
      <c r="R69" s="6"/>
      <c r="S69" s="6"/>
      <c r="T69" s="156"/>
      <c r="U69" s="6"/>
    </row>
    <row r="70" spans="1:21">
      <c r="A70" s="163" t="s">
        <v>2988</v>
      </c>
      <c r="B70" s="100">
        <v>3.76</v>
      </c>
      <c r="C70" s="100">
        <v>14.44</v>
      </c>
      <c r="D70" s="100">
        <v>11.91</v>
      </c>
      <c r="E70" s="100">
        <v>15.69</v>
      </c>
      <c r="F70" s="152" t="s">
        <v>15</v>
      </c>
      <c r="G70" s="100">
        <v>70.91</v>
      </c>
      <c r="H70" s="100">
        <v>29.14</v>
      </c>
      <c r="I70" s="100">
        <v>6.75</v>
      </c>
      <c r="J70" s="100">
        <v>0.65</v>
      </c>
      <c r="K70" s="100">
        <v>47.32</v>
      </c>
      <c r="L70" s="100">
        <v>40.25</v>
      </c>
      <c r="M70" s="100">
        <v>11.64</v>
      </c>
      <c r="N70" s="100">
        <v>361.8</v>
      </c>
      <c r="O70" s="100">
        <v>0</v>
      </c>
      <c r="P70" s="100">
        <v>0.52</v>
      </c>
      <c r="Q70" s="100">
        <v>28.06</v>
      </c>
      <c r="R70" s="6"/>
      <c r="S70" s="6"/>
      <c r="T70" s="156"/>
      <c r="U70" s="6"/>
    </row>
    <row r="71" spans="1:21">
      <c r="A71" s="163" t="s">
        <v>2989</v>
      </c>
      <c r="B71" s="100">
        <v>3.8</v>
      </c>
      <c r="C71" s="100">
        <v>15.58</v>
      </c>
      <c r="D71" s="100">
        <v>12.54</v>
      </c>
      <c r="E71" s="100">
        <v>16.38</v>
      </c>
      <c r="F71" s="152" t="s">
        <v>15</v>
      </c>
      <c r="G71" s="100">
        <v>70.91</v>
      </c>
      <c r="H71" s="100">
        <v>29.14</v>
      </c>
      <c r="I71" s="100">
        <v>6.59</v>
      </c>
      <c r="J71" s="100">
        <v>0.28999999999999998</v>
      </c>
      <c r="K71" s="100">
        <v>26.37</v>
      </c>
      <c r="L71" s="100">
        <v>40.29</v>
      </c>
      <c r="M71" s="100">
        <v>11.85</v>
      </c>
      <c r="N71" s="100">
        <v>330.9</v>
      </c>
      <c r="O71" s="100">
        <v>0</v>
      </c>
      <c r="P71" s="100">
        <v>0.52</v>
      </c>
      <c r="Q71" s="100">
        <v>28.07</v>
      </c>
      <c r="R71" s="6"/>
      <c r="S71" s="6"/>
      <c r="T71" s="156"/>
      <c r="U71" s="6"/>
    </row>
    <row r="72" spans="1:21">
      <c r="A72" s="163" t="s">
        <v>2990</v>
      </c>
      <c r="B72" s="100">
        <v>3.95</v>
      </c>
      <c r="C72" s="100">
        <v>15.23</v>
      </c>
      <c r="D72" s="100">
        <v>12.48</v>
      </c>
      <c r="E72" s="100">
        <v>18.95</v>
      </c>
      <c r="F72" s="152" t="s">
        <v>15</v>
      </c>
      <c r="G72" s="100">
        <v>71.290000000000006</v>
      </c>
      <c r="H72" s="100">
        <v>27.61</v>
      </c>
      <c r="I72" s="100">
        <v>6.68</v>
      </c>
      <c r="J72" s="100">
        <v>0.56999999999999995</v>
      </c>
      <c r="K72" s="100">
        <v>13.6</v>
      </c>
      <c r="L72" s="100">
        <v>39.85</v>
      </c>
      <c r="M72" s="100">
        <v>11.98</v>
      </c>
      <c r="N72" s="100">
        <v>246.4</v>
      </c>
      <c r="O72" s="100">
        <v>0</v>
      </c>
      <c r="P72" s="100">
        <v>0.53</v>
      </c>
      <c r="Q72" s="100">
        <v>28.08</v>
      </c>
      <c r="R72" s="6"/>
      <c r="S72" s="6"/>
      <c r="T72" s="156"/>
      <c r="U72" s="6"/>
    </row>
    <row r="73" spans="1:21">
      <c r="A73" s="163" t="s">
        <v>2991</v>
      </c>
      <c r="B73" s="100">
        <v>3.92</v>
      </c>
      <c r="C73" s="100">
        <v>16.350000000000001</v>
      </c>
      <c r="D73" s="100">
        <v>13.04</v>
      </c>
      <c r="E73" s="100">
        <v>22.3</v>
      </c>
      <c r="F73" s="152" t="s">
        <v>15</v>
      </c>
      <c r="G73" s="100">
        <v>71.430000000000007</v>
      </c>
      <c r="H73" s="100">
        <v>27.59</v>
      </c>
      <c r="I73" s="100">
        <v>6.65</v>
      </c>
      <c r="J73" s="100">
        <v>0.08</v>
      </c>
      <c r="K73" s="100">
        <v>300.72000000000003</v>
      </c>
      <c r="L73" s="100">
        <v>39.28</v>
      </c>
      <c r="M73" s="100">
        <v>12.73</v>
      </c>
      <c r="N73" s="100">
        <v>145.80000000000001</v>
      </c>
      <c r="O73" s="100">
        <v>0</v>
      </c>
      <c r="P73" s="100">
        <v>0.51</v>
      </c>
      <c r="Q73" s="100">
        <v>28.07</v>
      </c>
      <c r="R73" s="6"/>
      <c r="S73" s="6"/>
      <c r="T73" s="156"/>
      <c r="U73" s="6"/>
    </row>
    <row r="74" spans="1:21">
      <c r="A74" s="163" t="s">
        <v>2992</v>
      </c>
      <c r="B74" s="100">
        <v>3.7</v>
      </c>
      <c r="C74" s="100">
        <v>14.45</v>
      </c>
      <c r="D74" s="100">
        <v>11.87</v>
      </c>
      <c r="E74" s="100">
        <v>17.84</v>
      </c>
      <c r="F74" s="152" t="s">
        <v>15</v>
      </c>
      <c r="G74" s="100">
        <v>71.430000000000007</v>
      </c>
      <c r="H74" s="100">
        <v>27.59</v>
      </c>
      <c r="I74" s="100">
        <v>6.32</v>
      </c>
      <c r="J74" s="100">
        <v>0.39</v>
      </c>
      <c r="K74" s="100">
        <v>175.28</v>
      </c>
      <c r="L74" s="100">
        <v>38.909999999999997</v>
      </c>
      <c r="M74" s="100">
        <v>14.37</v>
      </c>
      <c r="N74" s="100">
        <v>125</v>
      </c>
      <c r="O74" s="100">
        <v>0</v>
      </c>
      <c r="P74" s="100">
        <v>0.51</v>
      </c>
      <c r="Q74" s="100">
        <v>28.07</v>
      </c>
      <c r="R74" s="6"/>
      <c r="S74" s="6"/>
      <c r="T74" s="156"/>
      <c r="U74" s="6"/>
    </row>
    <row r="75" spans="1:21">
      <c r="A75" s="163" t="s">
        <v>2993</v>
      </c>
      <c r="B75" s="100">
        <v>3.59</v>
      </c>
      <c r="C75" s="100">
        <v>13.42</v>
      </c>
      <c r="D75" s="100">
        <v>11.24</v>
      </c>
      <c r="E75" s="100">
        <v>20.25</v>
      </c>
      <c r="F75" s="152" t="s">
        <v>15</v>
      </c>
      <c r="G75" s="100">
        <v>71.430000000000007</v>
      </c>
      <c r="H75" s="100">
        <v>27.59</v>
      </c>
      <c r="I75" s="100">
        <v>6.35</v>
      </c>
      <c r="J75" s="100">
        <v>0.23</v>
      </c>
      <c r="K75" s="100">
        <v>97.51</v>
      </c>
      <c r="L75" s="100">
        <v>39.020000000000003</v>
      </c>
      <c r="M75" s="100">
        <v>13.35</v>
      </c>
      <c r="N75" s="100">
        <v>129.80000000000001</v>
      </c>
      <c r="O75" s="100">
        <v>0</v>
      </c>
      <c r="P75" s="100">
        <v>0.51</v>
      </c>
      <c r="Q75" s="100">
        <v>28.07</v>
      </c>
      <c r="R75" s="6"/>
      <c r="S75" s="6"/>
      <c r="T75" s="156"/>
      <c r="U75" s="6"/>
    </row>
    <row r="76" spans="1:21">
      <c r="A76" s="163" t="s">
        <v>2994</v>
      </c>
      <c r="B76" s="100">
        <v>4.1399999999999997</v>
      </c>
      <c r="C76" s="100">
        <v>21.53</v>
      </c>
      <c r="D76" s="100">
        <v>15.92</v>
      </c>
      <c r="E76" s="100">
        <v>40.76</v>
      </c>
      <c r="F76" s="152" t="s">
        <v>15</v>
      </c>
      <c r="G76" s="100">
        <v>67.66</v>
      </c>
      <c r="H76" s="100">
        <v>26.18</v>
      </c>
      <c r="I76" s="100">
        <v>6.36</v>
      </c>
      <c r="J76" s="100">
        <v>0.56999999999999995</v>
      </c>
      <c r="K76" s="100">
        <v>47.55</v>
      </c>
      <c r="L76" s="100">
        <v>38.65</v>
      </c>
      <c r="M76" s="100">
        <v>13.23</v>
      </c>
      <c r="N76" s="100">
        <v>90.7</v>
      </c>
      <c r="O76" s="100">
        <v>0</v>
      </c>
      <c r="P76" s="100">
        <v>0.56000000000000005</v>
      </c>
      <c r="Q76" s="100">
        <v>28.08</v>
      </c>
      <c r="R76" s="6"/>
      <c r="S76" s="6"/>
      <c r="T76" s="156"/>
      <c r="U76" s="6"/>
    </row>
    <row r="77" spans="1:21">
      <c r="A77" s="163" t="s">
        <v>2995</v>
      </c>
      <c r="B77" s="100">
        <v>5.05</v>
      </c>
      <c r="C77" s="100">
        <v>26.87</v>
      </c>
      <c r="D77" s="100">
        <v>19.43</v>
      </c>
      <c r="E77" s="100">
        <v>36.229999999999997</v>
      </c>
      <c r="F77" s="152" t="s">
        <v>15</v>
      </c>
      <c r="G77" s="100">
        <v>66.290000000000006</v>
      </c>
      <c r="H77" s="100">
        <v>26.15</v>
      </c>
      <c r="I77" s="100">
        <v>6.21</v>
      </c>
      <c r="J77" s="100">
        <v>0.21</v>
      </c>
      <c r="K77" s="100">
        <v>69.91</v>
      </c>
      <c r="L77" s="100">
        <v>38.200000000000003</v>
      </c>
      <c r="M77" s="100">
        <v>15.1</v>
      </c>
      <c r="N77" s="100">
        <v>64.7</v>
      </c>
      <c r="O77" s="100">
        <v>0</v>
      </c>
      <c r="P77" s="100">
        <v>0.56999999999999995</v>
      </c>
      <c r="Q77" s="100">
        <v>28.07</v>
      </c>
      <c r="R77" s="6"/>
      <c r="S77" s="6"/>
      <c r="T77" s="156"/>
      <c r="U77" s="6"/>
    </row>
    <row r="78" spans="1:21">
      <c r="A78" s="163" t="s">
        <v>2996</v>
      </c>
      <c r="B78" s="100">
        <v>4.12</v>
      </c>
      <c r="C78" s="100">
        <v>22.41</v>
      </c>
      <c r="D78" s="100">
        <v>16.36</v>
      </c>
      <c r="E78" s="100">
        <v>31</v>
      </c>
      <c r="F78" s="152" t="s">
        <v>15</v>
      </c>
      <c r="G78" s="100">
        <v>66.290000000000006</v>
      </c>
      <c r="H78" s="100">
        <v>26.15</v>
      </c>
      <c r="I78" s="100">
        <v>6.75</v>
      </c>
      <c r="J78" s="100">
        <v>0.34</v>
      </c>
      <c r="K78" s="100">
        <v>75.87</v>
      </c>
      <c r="L78" s="100">
        <v>37.479999999999997</v>
      </c>
      <c r="M78" s="100">
        <v>15.77</v>
      </c>
      <c r="N78" s="100">
        <v>45.4</v>
      </c>
      <c r="O78" s="100">
        <v>0</v>
      </c>
      <c r="P78" s="100">
        <v>0.56999999999999995</v>
      </c>
      <c r="Q78" s="100">
        <v>28.06</v>
      </c>
      <c r="R78" s="6"/>
      <c r="S78" s="6"/>
      <c r="T78" s="156"/>
      <c r="U78" s="6"/>
    </row>
    <row r="79" spans="1:21">
      <c r="A79" s="163" t="s">
        <v>2997</v>
      </c>
      <c r="B79" s="100">
        <v>4.46</v>
      </c>
      <c r="C79" s="100">
        <v>27.16</v>
      </c>
      <c r="D79" s="100">
        <v>19.11</v>
      </c>
      <c r="E79" s="100">
        <v>26.11</v>
      </c>
      <c r="F79" s="152" t="s">
        <v>15</v>
      </c>
      <c r="G79" s="100">
        <v>66.290000000000006</v>
      </c>
      <c r="H79" s="100">
        <v>26.15</v>
      </c>
      <c r="I79" s="100">
        <v>6.63</v>
      </c>
      <c r="J79" s="100">
        <v>0.45</v>
      </c>
      <c r="K79" s="100">
        <v>66.62</v>
      </c>
      <c r="L79" s="100">
        <v>37.11</v>
      </c>
      <c r="M79" s="100">
        <v>15.53</v>
      </c>
      <c r="N79" s="100">
        <v>30.3</v>
      </c>
      <c r="O79" s="100">
        <v>0</v>
      </c>
      <c r="P79" s="100">
        <v>0.63</v>
      </c>
      <c r="Q79" s="100">
        <v>28.08</v>
      </c>
      <c r="R79" s="6"/>
      <c r="S79" s="6"/>
      <c r="T79" s="156"/>
      <c r="U79" s="6"/>
    </row>
    <row r="80" spans="1:21">
      <c r="A80" s="163" t="s">
        <v>2998</v>
      </c>
      <c r="B80" s="100">
        <v>4.92</v>
      </c>
      <c r="C80" s="100">
        <v>28.47</v>
      </c>
      <c r="D80" s="100">
        <v>20.170000000000002</v>
      </c>
      <c r="E80" s="100">
        <v>22.88</v>
      </c>
      <c r="F80" s="152" t="s">
        <v>15</v>
      </c>
      <c r="G80" s="100">
        <v>68.489999999999995</v>
      </c>
      <c r="H80" s="100">
        <v>27.61</v>
      </c>
      <c r="I80" s="100">
        <v>6.69</v>
      </c>
      <c r="J80" s="100">
        <v>0.27</v>
      </c>
      <c r="K80" s="100">
        <v>73.400000000000006</v>
      </c>
      <c r="L80" s="100">
        <v>36.380000000000003</v>
      </c>
      <c r="M80" s="100">
        <v>17.23</v>
      </c>
      <c r="N80" s="100">
        <v>18.100000000000001</v>
      </c>
      <c r="O80" s="100">
        <v>0</v>
      </c>
      <c r="P80" s="100">
        <v>0.64</v>
      </c>
      <c r="Q80" s="100">
        <v>28.08</v>
      </c>
      <c r="R80" s="6"/>
      <c r="S80" s="6"/>
      <c r="T80" s="156"/>
      <c r="U80" s="6"/>
    </row>
    <row r="81" spans="1:21">
      <c r="A81" s="163" t="s">
        <v>2999</v>
      </c>
      <c r="B81" s="100">
        <v>4.4800000000000004</v>
      </c>
      <c r="C81" s="100">
        <v>27.27</v>
      </c>
      <c r="D81" s="100">
        <v>19.190000000000001</v>
      </c>
      <c r="E81" s="100">
        <v>13.97</v>
      </c>
      <c r="F81" s="152" t="s">
        <v>15</v>
      </c>
      <c r="G81" s="100">
        <v>69.28</v>
      </c>
      <c r="H81" s="100">
        <v>27.63</v>
      </c>
      <c r="I81" s="100">
        <v>7.07</v>
      </c>
      <c r="J81" s="100">
        <v>0.22</v>
      </c>
      <c r="K81" s="100">
        <v>72.400000000000006</v>
      </c>
      <c r="L81" s="100">
        <v>35.31</v>
      </c>
      <c r="M81" s="100">
        <v>19.239999999999998</v>
      </c>
      <c r="N81" s="100">
        <v>9.6</v>
      </c>
      <c r="O81" s="100">
        <v>0</v>
      </c>
      <c r="P81" s="100">
        <v>0.67</v>
      </c>
      <c r="Q81" s="100">
        <v>28.08</v>
      </c>
      <c r="R81" s="6"/>
      <c r="S81" s="6"/>
      <c r="T81" s="156"/>
      <c r="U81" s="6"/>
    </row>
    <row r="82" spans="1:21">
      <c r="A82" s="163" t="s">
        <v>3000</v>
      </c>
      <c r="B82" s="100">
        <v>5.78</v>
      </c>
      <c r="C82" s="100">
        <v>30.81</v>
      </c>
      <c r="D82" s="100">
        <v>22.09</v>
      </c>
      <c r="E82" s="100">
        <v>14.73</v>
      </c>
      <c r="F82" s="152" t="s">
        <v>15</v>
      </c>
      <c r="G82" s="100">
        <v>69.28</v>
      </c>
      <c r="H82" s="100">
        <v>27.63</v>
      </c>
      <c r="I82" s="100">
        <v>7.2</v>
      </c>
      <c r="J82" s="100">
        <v>0.12</v>
      </c>
      <c r="K82" s="100">
        <v>117.32</v>
      </c>
      <c r="L82" s="100">
        <v>34.51</v>
      </c>
      <c r="M82" s="100">
        <v>20.74</v>
      </c>
      <c r="N82" s="100">
        <v>7</v>
      </c>
      <c r="O82" s="100">
        <v>0</v>
      </c>
      <c r="P82" s="100">
        <v>0.73</v>
      </c>
      <c r="Q82" s="100">
        <v>28.09</v>
      </c>
      <c r="R82" s="6"/>
      <c r="S82" s="6"/>
      <c r="T82" s="156"/>
      <c r="U82" s="6"/>
    </row>
    <row r="83" spans="1:21">
      <c r="A83" s="163" t="s">
        <v>3001</v>
      </c>
      <c r="B83" s="100">
        <v>5.34</v>
      </c>
      <c r="C83" s="100">
        <v>32.72</v>
      </c>
      <c r="D83" s="100">
        <v>22.73</v>
      </c>
      <c r="E83" s="100">
        <v>13.59</v>
      </c>
      <c r="F83" s="152" t="s">
        <v>15</v>
      </c>
      <c r="G83" s="100">
        <v>69.28</v>
      </c>
      <c r="H83" s="100">
        <v>27.63</v>
      </c>
      <c r="I83" s="100">
        <v>7.82</v>
      </c>
      <c r="J83" s="100">
        <v>0.21</v>
      </c>
      <c r="K83" s="100">
        <v>146.87</v>
      </c>
      <c r="L83" s="100">
        <v>33.700000000000003</v>
      </c>
      <c r="M83" s="100">
        <v>22.12</v>
      </c>
      <c r="N83" s="100">
        <v>6.3</v>
      </c>
      <c r="O83" s="100">
        <v>0</v>
      </c>
      <c r="P83" s="100">
        <v>0.76</v>
      </c>
      <c r="Q83" s="100">
        <v>28.11</v>
      </c>
      <c r="R83" s="6"/>
      <c r="S83" s="6"/>
      <c r="T83" s="156"/>
      <c r="U83" s="6"/>
    </row>
    <row r="84" spans="1:21">
      <c r="A84" s="163" t="s">
        <v>3002</v>
      </c>
      <c r="B84" s="100">
        <v>5.12</v>
      </c>
      <c r="C84" s="100">
        <v>32.92</v>
      </c>
      <c r="D84" s="100">
        <v>22.65</v>
      </c>
      <c r="E84" s="100">
        <v>12.59</v>
      </c>
      <c r="F84" s="152" t="s">
        <v>15</v>
      </c>
      <c r="G84" s="100">
        <v>88.13</v>
      </c>
      <c r="H84" s="100">
        <v>30.96</v>
      </c>
      <c r="I84" s="100">
        <v>9.25</v>
      </c>
      <c r="J84" s="100">
        <v>0.3</v>
      </c>
      <c r="K84" s="100">
        <v>161.22999999999999</v>
      </c>
      <c r="L84" s="100">
        <v>33.130000000000003</v>
      </c>
      <c r="M84" s="100">
        <v>23.84</v>
      </c>
      <c r="N84" s="100">
        <v>6.3</v>
      </c>
      <c r="O84" s="100">
        <v>0</v>
      </c>
      <c r="P84" s="100">
        <v>0.8</v>
      </c>
      <c r="Q84" s="100">
        <v>28.11</v>
      </c>
      <c r="R84" s="6"/>
      <c r="S84" s="6"/>
      <c r="T84" s="156"/>
      <c r="U84" s="6"/>
    </row>
    <row r="85" spans="1:21">
      <c r="A85" s="163" t="s">
        <v>3003</v>
      </c>
      <c r="B85" s="100">
        <v>4.72</v>
      </c>
      <c r="C85" s="100">
        <v>30.67</v>
      </c>
      <c r="D85" s="100">
        <v>21.16</v>
      </c>
      <c r="E85" s="100">
        <v>11.13</v>
      </c>
      <c r="F85" s="152" t="s">
        <v>15</v>
      </c>
      <c r="G85" s="100">
        <v>94.99</v>
      </c>
      <c r="H85" s="100">
        <v>31.01</v>
      </c>
      <c r="I85" s="100">
        <v>10.91</v>
      </c>
      <c r="J85" s="100">
        <v>0.28000000000000003</v>
      </c>
      <c r="K85" s="100">
        <v>172.91</v>
      </c>
      <c r="L85" s="100">
        <v>32.31</v>
      </c>
      <c r="M85" s="100">
        <v>25.52</v>
      </c>
      <c r="N85" s="100">
        <v>6.4</v>
      </c>
      <c r="O85" s="100">
        <v>0</v>
      </c>
      <c r="P85" s="100">
        <v>0.78</v>
      </c>
      <c r="Q85" s="100">
        <v>28.12</v>
      </c>
      <c r="R85" s="6"/>
      <c r="S85" s="6"/>
      <c r="T85" s="156"/>
      <c r="U85" s="6"/>
    </row>
    <row r="86" spans="1:21">
      <c r="A86" s="163" t="s">
        <v>3004</v>
      </c>
      <c r="B86" s="100">
        <v>4.74</v>
      </c>
      <c r="C86" s="100">
        <v>27.87</v>
      </c>
      <c r="D86" s="100">
        <v>19.71</v>
      </c>
      <c r="E86" s="100">
        <v>9.84</v>
      </c>
      <c r="F86" s="152" t="s">
        <v>15</v>
      </c>
      <c r="G86" s="100">
        <v>94.99</v>
      </c>
      <c r="H86" s="100">
        <v>31.01</v>
      </c>
      <c r="I86" s="100">
        <v>10.63</v>
      </c>
      <c r="J86" s="100">
        <v>0.26</v>
      </c>
      <c r="K86" s="100">
        <v>172.57</v>
      </c>
      <c r="L86" s="100">
        <v>31.52</v>
      </c>
      <c r="M86" s="100">
        <v>28.28</v>
      </c>
      <c r="N86" s="100">
        <v>6.4</v>
      </c>
      <c r="O86" s="100">
        <v>0</v>
      </c>
      <c r="P86" s="100">
        <v>0.79</v>
      </c>
      <c r="Q86" s="100">
        <v>28.12</v>
      </c>
      <c r="R86" s="6"/>
      <c r="S86" s="6"/>
      <c r="T86" s="156"/>
      <c r="U86" s="6"/>
    </row>
    <row r="87" spans="1:21">
      <c r="A87" s="163" t="s">
        <v>3005</v>
      </c>
      <c r="B87" s="100">
        <v>4.7699999999999996</v>
      </c>
      <c r="C87" s="100">
        <v>26.13</v>
      </c>
      <c r="D87" s="100">
        <v>18.829999999999998</v>
      </c>
      <c r="E87" s="100">
        <v>10.19</v>
      </c>
      <c r="F87" s="152" t="s">
        <v>15</v>
      </c>
      <c r="G87" s="100">
        <v>94.99</v>
      </c>
      <c r="H87" s="100">
        <v>31.01</v>
      </c>
      <c r="I87" s="100">
        <v>9.7799999999999994</v>
      </c>
      <c r="J87" s="100">
        <v>0.27</v>
      </c>
      <c r="K87" s="100">
        <v>178.14</v>
      </c>
      <c r="L87" s="100">
        <v>31.16</v>
      </c>
      <c r="M87" s="100">
        <v>29</v>
      </c>
      <c r="N87" s="100">
        <v>6.1</v>
      </c>
      <c r="O87" s="100">
        <v>0</v>
      </c>
      <c r="P87" s="100">
        <v>0.82</v>
      </c>
      <c r="Q87" s="100">
        <v>28.12</v>
      </c>
      <c r="R87" s="6"/>
      <c r="S87" s="6"/>
      <c r="T87" s="156"/>
      <c r="U87" s="6"/>
    </row>
    <row r="88" spans="1:21">
      <c r="A88" s="163" t="s">
        <v>3006</v>
      </c>
      <c r="B88" s="100">
        <v>4.92</v>
      </c>
      <c r="C88" s="100">
        <v>25.05</v>
      </c>
      <c r="D88" s="100">
        <v>18.38</v>
      </c>
      <c r="E88" s="100">
        <v>9.06</v>
      </c>
      <c r="F88" s="152" t="s">
        <v>15</v>
      </c>
      <c r="G88" s="100">
        <v>113.5</v>
      </c>
      <c r="H88" s="100">
        <v>41.62</v>
      </c>
      <c r="I88" s="100">
        <v>10.08</v>
      </c>
      <c r="J88" s="100">
        <v>0.28000000000000003</v>
      </c>
      <c r="K88" s="100">
        <v>198.64</v>
      </c>
      <c r="L88" s="100">
        <v>30.41</v>
      </c>
      <c r="M88" s="100">
        <v>31.85</v>
      </c>
      <c r="N88" s="100">
        <v>6.4</v>
      </c>
      <c r="O88" s="100">
        <v>0</v>
      </c>
      <c r="P88" s="100">
        <v>0.81</v>
      </c>
      <c r="Q88" s="100">
        <v>28.12</v>
      </c>
      <c r="R88" s="6"/>
      <c r="S88" s="6"/>
      <c r="T88" s="156"/>
      <c r="U88" s="6"/>
    </row>
    <row r="89" spans="1:21">
      <c r="A89" s="163" t="s">
        <v>3007</v>
      </c>
      <c r="B89" s="100">
        <v>5.0199999999999996</v>
      </c>
      <c r="C89" s="100">
        <v>24.2</v>
      </c>
      <c r="D89" s="100">
        <v>18.03</v>
      </c>
      <c r="E89" s="100">
        <v>8.7899999999999991</v>
      </c>
      <c r="F89" s="152" t="s">
        <v>15</v>
      </c>
      <c r="G89" s="100">
        <v>120.23</v>
      </c>
      <c r="H89" s="100">
        <v>41.79</v>
      </c>
      <c r="I89" s="100">
        <v>10.67</v>
      </c>
      <c r="J89" s="100">
        <v>0.24</v>
      </c>
      <c r="K89" s="100">
        <v>202.07</v>
      </c>
      <c r="L89" s="100">
        <v>30.08</v>
      </c>
      <c r="M89" s="100">
        <v>32.049999999999997</v>
      </c>
      <c r="N89" s="100">
        <v>6</v>
      </c>
      <c r="O89" s="100">
        <v>0</v>
      </c>
      <c r="P89" s="100">
        <v>0.8</v>
      </c>
      <c r="Q89" s="100">
        <v>28.14</v>
      </c>
      <c r="R89" s="6"/>
      <c r="S89" s="6"/>
      <c r="T89" s="156"/>
      <c r="U89" s="6"/>
    </row>
    <row r="90" spans="1:21">
      <c r="A90" s="163" t="s">
        <v>3008</v>
      </c>
      <c r="B90" s="100">
        <v>5.07</v>
      </c>
      <c r="C90" s="100">
        <v>23.45</v>
      </c>
      <c r="D90" s="100">
        <v>17.66</v>
      </c>
      <c r="E90" s="100">
        <v>8.6300000000000008</v>
      </c>
      <c r="F90" s="152" t="s">
        <v>15</v>
      </c>
      <c r="G90" s="100">
        <v>120.23</v>
      </c>
      <c r="H90" s="100">
        <v>41.79</v>
      </c>
      <c r="I90" s="100">
        <v>10.3</v>
      </c>
      <c r="J90" s="100">
        <v>0.23</v>
      </c>
      <c r="K90" s="100">
        <v>160.28</v>
      </c>
      <c r="L90" s="100">
        <v>30</v>
      </c>
      <c r="M90" s="100">
        <v>31.68</v>
      </c>
      <c r="N90" s="100">
        <v>5.8</v>
      </c>
      <c r="O90" s="100">
        <v>0</v>
      </c>
      <c r="P90" s="100">
        <v>0.82</v>
      </c>
      <c r="Q90" s="100">
        <v>28.13</v>
      </c>
      <c r="R90" s="6"/>
      <c r="S90" s="6"/>
      <c r="T90" s="156"/>
      <c r="U90" s="6"/>
    </row>
    <row r="91" spans="1:21">
      <c r="A91" s="163" t="s">
        <v>3009</v>
      </c>
      <c r="B91" s="100">
        <v>5.38</v>
      </c>
      <c r="C91" s="100">
        <v>23.69</v>
      </c>
      <c r="D91" s="100">
        <v>18.05</v>
      </c>
      <c r="E91" s="100">
        <v>8.82</v>
      </c>
      <c r="F91" s="152" t="s">
        <v>15</v>
      </c>
      <c r="G91" s="100">
        <v>120.23</v>
      </c>
      <c r="H91" s="100">
        <v>41.79</v>
      </c>
      <c r="I91" s="100">
        <v>10.210000000000001</v>
      </c>
      <c r="J91" s="100">
        <v>0.23</v>
      </c>
      <c r="K91" s="100">
        <v>166.85</v>
      </c>
      <c r="L91" s="100">
        <v>30.03</v>
      </c>
      <c r="M91" s="100">
        <v>31.58</v>
      </c>
      <c r="N91" s="100">
        <v>5.8</v>
      </c>
      <c r="O91" s="100">
        <v>0</v>
      </c>
      <c r="P91" s="100">
        <v>0.84</v>
      </c>
      <c r="Q91" s="100">
        <v>28.13</v>
      </c>
      <c r="R91" s="6"/>
      <c r="S91" s="6"/>
      <c r="T91" s="156"/>
      <c r="U91" s="6"/>
    </row>
    <row r="92" spans="1:21">
      <c r="A92" s="163" t="s">
        <v>3010</v>
      </c>
      <c r="B92" s="100">
        <v>7.36</v>
      </c>
      <c r="C92" s="100">
        <v>27.47</v>
      </c>
      <c r="D92" s="100">
        <v>21.61</v>
      </c>
      <c r="E92" s="100">
        <v>9.4</v>
      </c>
      <c r="F92" s="152" t="s">
        <v>15</v>
      </c>
      <c r="G92" s="100">
        <v>124.28</v>
      </c>
      <c r="H92" s="100">
        <v>38.74</v>
      </c>
      <c r="I92" s="100">
        <v>10.36</v>
      </c>
      <c r="J92" s="100">
        <v>0.2</v>
      </c>
      <c r="K92" s="100">
        <v>177.82</v>
      </c>
      <c r="L92" s="100">
        <v>29.75</v>
      </c>
      <c r="M92" s="100">
        <v>31.88</v>
      </c>
      <c r="N92" s="100">
        <v>5.9</v>
      </c>
      <c r="O92" s="100">
        <v>0</v>
      </c>
      <c r="P92" s="100">
        <v>0.87</v>
      </c>
      <c r="Q92" s="100">
        <v>28.15</v>
      </c>
      <c r="R92" s="6"/>
      <c r="S92" s="6"/>
      <c r="T92" s="156"/>
      <c r="U92" s="6"/>
    </row>
    <row r="93" spans="1:21">
      <c r="A93" s="163" t="s">
        <v>3011</v>
      </c>
      <c r="B93" s="100">
        <v>10.72</v>
      </c>
      <c r="C93" s="100">
        <v>27.88</v>
      </c>
      <c r="D93" s="100">
        <v>24.51</v>
      </c>
      <c r="E93" s="100">
        <v>8.81</v>
      </c>
      <c r="F93" s="152" t="s">
        <v>15</v>
      </c>
      <c r="G93" s="100">
        <v>125.75</v>
      </c>
      <c r="H93" s="100">
        <v>38.69</v>
      </c>
      <c r="I93" s="100">
        <v>10.63</v>
      </c>
      <c r="J93" s="100">
        <v>0.23</v>
      </c>
      <c r="K93" s="100">
        <v>62.33</v>
      </c>
      <c r="L93" s="100">
        <v>29.76</v>
      </c>
      <c r="M93" s="100">
        <v>32.14</v>
      </c>
      <c r="N93" s="100">
        <v>5.2</v>
      </c>
      <c r="O93" s="100">
        <v>0</v>
      </c>
      <c r="P93" s="100">
        <v>0.91</v>
      </c>
      <c r="Q93" s="100">
        <v>28.15</v>
      </c>
      <c r="R93" s="6"/>
      <c r="S93" s="6"/>
      <c r="T93" s="156"/>
      <c r="U93" s="6"/>
    </row>
    <row r="94" spans="1:21">
      <c r="A94" s="163" t="s">
        <v>3012</v>
      </c>
      <c r="B94" s="100">
        <v>11.22</v>
      </c>
      <c r="C94" s="100">
        <v>28.36</v>
      </c>
      <c r="D94" s="100">
        <v>25.17</v>
      </c>
      <c r="E94" s="100">
        <v>9.09</v>
      </c>
      <c r="F94" s="152" t="s">
        <v>15</v>
      </c>
      <c r="G94" s="100">
        <v>125.75</v>
      </c>
      <c r="H94" s="100">
        <v>38.69</v>
      </c>
      <c r="I94" s="100">
        <v>11.13</v>
      </c>
      <c r="J94" s="100">
        <v>0.72</v>
      </c>
      <c r="K94" s="100">
        <v>29.8</v>
      </c>
      <c r="L94" s="100">
        <v>31.22</v>
      </c>
      <c r="M94" s="100">
        <v>26.44</v>
      </c>
      <c r="N94" s="100">
        <v>4</v>
      </c>
      <c r="O94" s="100">
        <v>0</v>
      </c>
      <c r="P94" s="100">
        <v>0.89</v>
      </c>
      <c r="Q94" s="100">
        <v>28.2</v>
      </c>
      <c r="R94" s="6"/>
      <c r="S94" s="6"/>
      <c r="T94" s="156"/>
      <c r="U94" s="6"/>
    </row>
    <row r="95" spans="1:21">
      <c r="A95" s="163" t="s">
        <v>3013</v>
      </c>
      <c r="B95" s="100">
        <v>10.029999999999999</v>
      </c>
      <c r="C95" s="100">
        <v>27.01</v>
      </c>
      <c r="D95" s="100">
        <v>23.51</v>
      </c>
      <c r="E95" s="100">
        <v>10.32</v>
      </c>
      <c r="F95" s="152" t="s">
        <v>15</v>
      </c>
      <c r="G95" s="100">
        <v>125.75</v>
      </c>
      <c r="H95" s="100">
        <v>38.69</v>
      </c>
      <c r="I95" s="100">
        <v>11.46</v>
      </c>
      <c r="J95" s="100">
        <v>0.69</v>
      </c>
      <c r="K95" s="100">
        <v>42.72</v>
      </c>
      <c r="L95" s="100">
        <v>31.1</v>
      </c>
      <c r="M95" s="100">
        <v>26.77</v>
      </c>
      <c r="N95" s="100">
        <v>5.6</v>
      </c>
      <c r="O95" s="100">
        <v>0</v>
      </c>
      <c r="P95" s="100">
        <v>0.91</v>
      </c>
      <c r="Q95" s="100">
        <v>28.24</v>
      </c>
      <c r="R95" s="6"/>
      <c r="S95" s="6"/>
      <c r="T95" s="156"/>
      <c r="U95" s="6"/>
    </row>
    <row r="96" spans="1:21">
      <c r="A96" s="163" t="s">
        <v>3014</v>
      </c>
      <c r="B96" s="100">
        <v>9.5</v>
      </c>
      <c r="C96" s="100">
        <v>25.31</v>
      </c>
      <c r="D96" s="100">
        <v>22.2</v>
      </c>
      <c r="E96" s="100">
        <v>11.32</v>
      </c>
      <c r="F96" s="152" t="s">
        <v>15</v>
      </c>
      <c r="G96" s="100">
        <v>133.66999999999999</v>
      </c>
      <c r="H96" s="100">
        <v>43.27</v>
      </c>
      <c r="I96" s="100">
        <v>11.55</v>
      </c>
      <c r="J96" s="100">
        <v>1.06</v>
      </c>
      <c r="K96" s="100">
        <v>49.92</v>
      </c>
      <c r="L96" s="100">
        <v>31.38</v>
      </c>
      <c r="M96" s="100">
        <v>22.98</v>
      </c>
      <c r="N96" s="100">
        <v>5.2</v>
      </c>
      <c r="O96" s="100">
        <v>0</v>
      </c>
      <c r="P96" s="100">
        <v>0.88</v>
      </c>
      <c r="Q96" s="100">
        <v>28.23</v>
      </c>
      <c r="R96" s="6"/>
      <c r="S96" s="6"/>
      <c r="T96" s="156"/>
      <c r="U96" s="6"/>
    </row>
    <row r="97" spans="1:21">
      <c r="A97" s="163" t="s">
        <v>3015</v>
      </c>
      <c r="B97" s="100">
        <v>8.81</v>
      </c>
      <c r="C97" s="100">
        <v>24.02</v>
      </c>
      <c r="D97" s="100">
        <v>20.97</v>
      </c>
      <c r="E97" s="100">
        <v>10.46</v>
      </c>
      <c r="F97" s="152" t="s">
        <v>15</v>
      </c>
      <c r="G97" s="100">
        <v>136.55000000000001</v>
      </c>
      <c r="H97" s="100">
        <v>43.34</v>
      </c>
      <c r="I97" s="100">
        <v>11.45</v>
      </c>
      <c r="J97" s="100">
        <v>0.93</v>
      </c>
      <c r="K97" s="100">
        <v>39.83</v>
      </c>
      <c r="L97" s="100">
        <v>31.45</v>
      </c>
      <c r="M97" s="100">
        <v>20.6</v>
      </c>
      <c r="N97" s="100">
        <v>5.7</v>
      </c>
      <c r="O97" s="100">
        <v>0</v>
      </c>
      <c r="P97" s="100">
        <v>0.83</v>
      </c>
      <c r="Q97" s="100">
        <v>28.23</v>
      </c>
      <c r="R97" s="6"/>
      <c r="S97" s="6"/>
      <c r="T97" s="156"/>
      <c r="U97" s="6"/>
    </row>
    <row r="98" spans="1:21">
      <c r="A98" s="163" t="s">
        <v>3016</v>
      </c>
      <c r="B98" s="100">
        <v>9.9</v>
      </c>
      <c r="C98" s="100">
        <v>25.56</v>
      </c>
      <c r="D98" s="100">
        <v>22.64</v>
      </c>
      <c r="E98" s="100">
        <v>10.09</v>
      </c>
      <c r="F98" s="152" t="s">
        <v>15</v>
      </c>
      <c r="G98" s="100">
        <v>136.55000000000001</v>
      </c>
      <c r="H98" s="100">
        <v>43.34</v>
      </c>
      <c r="I98" s="100">
        <v>10.82</v>
      </c>
      <c r="J98" s="100">
        <v>0.7</v>
      </c>
      <c r="K98" s="100">
        <v>33.31</v>
      </c>
      <c r="L98" s="100">
        <v>31.09</v>
      </c>
      <c r="M98" s="100">
        <v>20.48</v>
      </c>
      <c r="N98" s="100">
        <v>6.1</v>
      </c>
      <c r="O98" s="100">
        <v>0</v>
      </c>
      <c r="P98" s="100">
        <v>0.82</v>
      </c>
      <c r="Q98" s="100">
        <v>28.24</v>
      </c>
      <c r="R98" s="6"/>
      <c r="S98" s="6"/>
      <c r="T98" s="156"/>
      <c r="U98" s="6"/>
    </row>
    <row r="99" spans="1:21">
      <c r="A99" s="163" t="s">
        <v>3017</v>
      </c>
      <c r="B99" s="100">
        <v>10.47</v>
      </c>
      <c r="C99" s="100">
        <v>25.5</v>
      </c>
      <c r="D99" s="100">
        <v>23.07</v>
      </c>
      <c r="E99" s="100">
        <v>9.98</v>
      </c>
      <c r="F99" s="152" t="s">
        <v>15</v>
      </c>
      <c r="G99" s="100">
        <v>136.55000000000001</v>
      </c>
      <c r="H99" s="100">
        <v>43.34</v>
      </c>
      <c r="I99" s="100">
        <v>10.44</v>
      </c>
      <c r="J99" s="100">
        <v>0.56000000000000005</v>
      </c>
      <c r="K99" s="100">
        <v>35.65</v>
      </c>
      <c r="L99" s="100">
        <v>30.73</v>
      </c>
      <c r="M99" s="100">
        <v>21.09</v>
      </c>
      <c r="N99" s="100">
        <v>6.1</v>
      </c>
      <c r="O99" s="100">
        <v>0</v>
      </c>
      <c r="P99" s="100">
        <v>0.81</v>
      </c>
      <c r="Q99" s="100">
        <v>28.23</v>
      </c>
      <c r="R99" s="6"/>
      <c r="S99" s="6"/>
      <c r="T99" s="156"/>
      <c r="U99" s="6"/>
    </row>
    <row r="100" spans="1:21">
      <c r="A100" s="163" t="s">
        <v>3018</v>
      </c>
      <c r="B100" s="100">
        <v>10.61</v>
      </c>
      <c r="C100" s="100">
        <v>26.13</v>
      </c>
      <c r="D100" s="100">
        <v>23.51</v>
      </c>
      <c r="E100" s="100">
        <v>10.44</v>
      </c>
      <c r="F100" s="152" t="s">
        <v>15</v>
      </c>
      <c r="G100" s="100">
        <v>122.12</v>
      </c>
      <c r="H100" s="100">
        <v>36.44</v>
      </c>
      <c r="I100" s="100">
        <v>10.27</v>
      </c>
      <c r="J100" s="100">
        <v>0.54</v>
      </c>
      <c r="K100" s="100">
        <v>47.21</v>
      </c>
      <c r="L100" s="100">
        <v>30.41</v>
      </c>
      <c r="M100" s="100">
        <v>21.69</v>
      </c>
      <c r="N100" s="100">
        <v>6</v>
      </c>
      <c r="O100" s="100">
        <v>0</v>
      </c>
      <c r="P100" s="100">
        <v>0.79</v>
      </c>
      <c r="Q100" s="100">
        <v>28.22</v>
      </c>
      <c r="R100" s="6"/>
      <c r="S100" s="6"/>
      <c r="T100" s="156"/>
      <c r="U100" s="6"/>
    </row>
    <row r="101" spans="1:21">
      <c r="A101" s="163" t="s">
        <v>3019</v>
      </c>
      <c r="B101" s="100">
        <v>10.59</v>
      </c>
      <c r="C101" s="100">
        <v>25.57</v>
      </c>
      <c r="D101" s="100">
        <v>23.2</v>
      </c>
      <c r="E101" s="100">
        <v>10.33</v>
      </c>
      <c r="F101" s="152" t="s">
        <v>15</v>
      </c>
      <c r="G101" s="100">
        <v>116.87</v>
      </c>
      <c r="H101" s="100">
        <v>36.270000000000003</v>
      </c>
      <c r="I101" s="100">
        <v>10.15</v>
      </c>
      <c r="J101" s="100">
        <v>0.61</v>
      </c>
      <c r="K101" s="100">
        <v>44.13</v>
      </c>
      <c r="L101" s="100">
        <v>30.18</v>
      </c>
      <c r="M101" s="100">
        <v>21.4</v>
      </c>
      <c r="N101" s="100">
        <v>5.9</v>
      </c>
      <c r="O101" s="100">
        <v>0</v>
      </c>
      <c r="P101" s="100">
        <v>0.8</v>
      </c>
      <c r="Q101" s="100">
        <v>28.22</v>
      </c>
      <c r="R101" s="6"/>
      <c r="S101" s="6"/>
      <c r="T101" s="156"/>
      <c r="U101" s="6"/>
    </row>
    <row r="102" spans="1:21">
      <c r="A102" s="163" t="s">
        <v>3020</v>
      </c>
      <c r="B102" s="100">
        <v>10.54</v>
      </c>
      <c r="C102" s="100">
        <v>25.62</v>
      </c>
      <c r="D102" s="100">
        <v>23.19</v>
      </c>
      <c r="E102" s="100">
        <v>9.68</v>
      </c>
      <c r="F102" s="152" t="s">
        <v>15</v>
      </c>
      <c r="G102" s="100">
        <v>116.87</v>
      </c>
      <c r="H102" s="100">
        <v>36.270000000000003</v>
      </c>
      <c r="I102" s="100">
        <v>9.83</v>
      </c>
      <c r="J102" s="100">
        <v>0.41</v>
      </c>
      <c r="K102" s="100">
        <v>66.91</v>
      </c>
      <c r="L102" s="100">
        <v>29.96</v>
      </c>
      <c r="M102" s="100">
        <v>20.91</v>
      </c>
      <c r="N102" s="100">
        <v>6</v>
      </c>
      <c r="O102" s="100">
        <v>0</v>
      </c>
      <c r="P102" s="100">
        <v>0.79</v>
      </c>
      <c r="Q102" s="100">
        <v>28.23</v>
      </c>
      <c r="R102" s="6"/>
      <c r="S102" s="6"/>
      <c r="T102" s="156"/>
      <c r="U102" s="6"/>
    </row>
    <row r="103" spans="1:21">
      <c r="A103" s="163" t="s">
        <v>3021</v>
      </c>
      <c r="B103" s="100">
        <v>9.86</v>
      </c>
      <c r="C103" s="100">
        <v>25.4</v>
      </c>
      <c r="D103" s="100">
        <v>22.53</v>
      </c>
      <c r="E103" s="100">
        <v>9.1300000000000008</v>
      </c>
      <c r="F103" s="152" t="s">
        <v>15</v>
      </c>
      <c r="G103" s="100">
        <v>116.87</v>
      </c>
      <c r="H103" s="100">
        <v>36.270000000000003</v>
      </c>
      <c r="I103" s="100">
        <v>10.029999999999999</v>
      </c>
      <c r="J103" s="100">
        <v>0.54</v>
      </c>
      <c r="K103" s="100">
        <v>47.41</v>
      </c>
      <c r="L103" s="100">
        <v>29.82</v>
      </c>
      <c r="M103" s="100">
        <v>20.53</v>
      </c>
      <c r="N103" s="100">
        <v>5.7</v>
      </c>
      <c r="O103" s="100">
        <v>0</v>
      </c>
      <c r="P103" s="100">
        <v>0.79</v>
      </c>
      <c r="Q103" s="100">
        <v>28.25</v>
      </c>
      <c r="R103" s="6"/>
      <c r="S103" s="6"/>
      <c r="T103" s="156"/>
      <c r="U103" s="6"/>
    </row>
    <row r="104" spans="1:21">
      <c r="A104" s="163" t="s">
        <v>3022</v>
      </c>
      <c r="B104" s="100">
        <v>10.68</v>
      </c>
      <c r="C104" s="100">
        <v>25.23</v>
      </c>
      <c r="D104" s="100">
        <v>23.1</v>
      </c>
      <c r="E104" s="100">
        <v>9.73</v>
      </c>
      <c r="F104" s="152" t="s">
        <v>15</v>
      </c>
      <c r="G104" s="100">
        <v>102.04</v>
      </c>
      <c r="H104" s="100">
        <v>31.11</v>
      </c>
      <c r="I104" s="100">
        <v>10</v>
      </c>
      <c r="J104" s="100">
        <v>0.6</v>
      </c>
      <c r="K104" s="100">
        <v>44.49</v>
      </c>
      <c r="L104" s="100">
        <v>29.57</v>
      </c>
      <c r="M104" s="100">
        <v>20.94</v>
      </c>
      <c r="N104" s="100">
        <v>5.8</v>
      </c>
      <c r="O104" s="100">
        <v>0</v>
      </c>
      <c r="P104" s="100">
        <v>0.79</v>
      </c>
      <c r="Q104" s="100">
        <v>28.24</v>
      </c>
      <c r="R104" s="6"/>
      <c r="S104" s="6"/>
      <c r="T104" s="156"/>
      <c r="U104" s="6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157" t="s">
        <v>48</v>
      </c>
      <c r="B106" s="158">
        <f>MIN(B9:B104)</f>
        <v>3.59</v>
      </c>
      <c r="C106" s="158">
        <f>MIN(C9:C104)</f>
        <v>13.42</v>
      </c>
      <c r="D106" s="158">
        <f t="shared" ref="D106:Q106" si="0">MIN(D9:D104)</f>
        <v>11.24</v>
      </c>
      <c r="E106" s="158">
        <f t="shared" si="0"/>
        <v>8.11</v>
      </c>
      <c r="F106" s="158">
        <f t="shared" si="0"/>
        <v>0</v>
      </c>
      <c r="G106" s="158">
        <f t="shared" si="0"/>
        <v>66.290000000000006</v>
      </c>
      <c r="H106" s="158">
        <f t="shared" si="0"/>
        <v>26.15</v>
      </c>
      <c r="I106" s="158">
        <f t="shared" si="0"/>
        <v>6.21</v>
      </c>
      <c r="J106" s="158">
        <f t="shared" si="0"/>
        <v>0.03</v>
      </c>
      <c r="K106" s="158">
        <f t="shared" si="0"/>
        <v>13.6</v>
      </c>
      <c r="L106" s="158">
        <f t="shared" si="0"/>
        <v>26.66</v>
      </c>
      <c r="M106" s="158">
        <f t="shared" si="0"/>
        <v>11.01</v>
      </c>
      <c r="N106" s="158">
        <f t="shared" si="0"/>
        <v>4</v>
      </c>
      <c r="O106" s="158">
        <f t="shared" si="0"/>
        <v>0</v>
      </c>
      <c r="P106" s="158">
        <f t="shared" si="0"/>
        <v>0.51</v>
      </c>
      <c r="Q106" s="158">
        <f t="shared" si="0"/>
        <v>28.06</v>
      </c>
      <c r="R106" s="158"/>
      <c r="S106" s="158"/>
      <c r="T106" s="158"/>
      <c r="U106" s="158"/>
    </row>
    <row r="107" spans="1:21">
      <c r="A107" s="157" t="s">
        <v>49</v>
      </c>
      <c r="B107" s="157">
        <f>MAX(B9:B104)</f>
        <v>24.68</v>
      </c>
      <c r="C107" s="157">
        <f t="shared" ref="C107:Q107" si="1">MAX(C9:C104)</f>
        <v>32.92</v>
      </c>
      <c r="D107" s="157">
        <f t="shared" si="1"/>
        <v>35.39</v>
      </c>
      <c r="E107" s="157">
        <f t="shared" si="1"/>
        <v>40.76</v>
      </c>
      <c r="F107" s="157">
        <f t="shared" si="1"/>
        <v>0</v>
      </c>
      <c r="G107" s="157">
        <f t="shared" si="1"/>
        <v>151.21</v>
      </c>
      <c r="H107" s="157">
        <f t="shared" si="1"/>
        <v>54.18</v>
      </c>
      <c r="I107" s="157">
        <f t="shared" si="1"/>
        <v>15.2</v>
      </c>
      <c r="J107" s="157">
        <f t="shared" si="1"/>
        <v>1.9</v>
      </c>
      <c r="K107" s="157">
        <f t="shared" si="1"/>
        <v>300.72000000000003</v>
      </c>
      <c r="L107" s="157">
        <f t="shared" si="1"/>
        <v>40.909999999999997</v>
      </c>
      <c r="M107" s="157">
        <f t="shared" si="1"/>
        <v>37.799999999999997</v>
      </c>
      <c r="N107" s="157">
        <f t="shared" si="1"/>
        <v>683.3</v>
      </c>
      <c r="O107" s="157">
        <f t="shared" si="1"/>
        <v>0</v>
      </c>
      <c r="P107" s="157">
        <f t="shared" si="1"/>
        <v>1.34</v>
      </c>
      <c r="Q107" s="157">
        <f t="shared" si="1"/>
        <v>28.59</v>
      </c>
      <c r="R107" s="157"/>
      <c r="S107" s="157"/>
      <c r="T107" s="157"/>
      <c r="U107" s="157"/>
    </row>
    <row r="108" spans="1:21">
      <c r="A108" s="157" t="s">
        <v>50</v>
      </c>
      <c r="B108" s="158">
        <f>AVERAGE(B9:B104)</f>
        <v>9.3704166666666691</v>
      </c>
      <c r="C108" s="158">
        <f t="shared" ref="C108:Q108" si="2">AVERAGE(C9:C104)</f>
        <v>22.889583333333334</v>
      </c>
      <c r="D108" s="158">
        <f t="shared" si="2"/>
        <v>20.824375</v>
      </c>
      <c r="E108" s="158">
        <f t="shared" si="2"/>
        <v>12.065625000000002</v>
      </c>
      <c r="F108" s="158" t="e">
        <f t="shared" si="2"/>
        <v>#DIV/0!</v>
      </c>
      <c r="G108" s="158">
        <f t="shared" si="2"/>
        <v>99.736458333333317</v>
      </c>
      <c r="H108" s="158">
        <f t="shared" si="2"/>
        <v>35.061875000000022</v>
      </c>
      <c r="I108" s="158">
        <f t="shared" si="2"/>
        <v>10.273020833333337</v>
      </c>
      <c r="J108" s="158">
        <f t="shared" si="2"/>
        <v>0.66677083333333342</v>
      </c>
      <c r="K108" s="158">
        <f t="shared" si="2"/>
        <v>76.970729166666644</v>
      </c>
      <c r="L108" s="158">
        <f t="shared" si="2"/>
        <v>32.71541666666667</v>
      </c>
      <c r="M108" s="158">
        <f t="shared" si="2"/>
        <v>22.749687500000007</v>
      </c>
      <c r="N108" s="158">
        <f t="shared" si="2"/>
        <v>173.03020833333326</v>
      </c>
      <c r="O108" s="158">
        <f t="shared" si="2"/>
        <v>0</v>
      </c>
      <c r="P108" s="158">
        <f t="shared" si="2"/>
        <v>0.83885416666666668</v>
      </c>
      <c r="Q108" s="158">
        <f t="shared" si="2"/>
        <v>28.231874999999977</v>
      </c>
      <c r="R108" s="158"/>
      <c r="S108" s="158"/>
      <c r="T108" s="158"/>
      <c r="U108" s="158"/>
    </row>
    <row r="109" spans="1:21">
      <c r="A109" s="157" t="s">
        <v>51</v>
      </c>
      <c r="B109" s="158">
        <f>STDEV(B9:B104)</f>
        <v>5.1264578756561709</v>
      </c>
      <c r="C109" s="158">
        <f t="shared" ref="C109:Q109" si="3">STDEV(C9:C104)</f>
        <v>4.1664648442349321</v>
      </c>
      <c r="D109" s="158">
        <f t="shared" si="3"/>
        <v>5.133182005345212</v>
      </c>
      <c r="E109" s="158">
        <f t="shared" si="3"/>
        <v>5.5511868455976892</v>
      </c>
      <c r="F109" s="158" t="e">
        <f t="shared" si="3"/>
        <v>#DIV/0!</v>
      </c>
      <c r="G109" s="158">
        <f t="shared" si="3"/>
        <v>22.824608786832009</v>
      </c>
      <c r="H109" s="158">
        <f t="shared" si="3"/>
        <v>7.4126377594368904</v>
      </c>
      <c r="I109" s="158">
        <f t="shared" si="3"/>
        <v>2.4093135601536466</v>
      </c>
      <c r="J109" s="158">
        <f t="shared" si="3"/>
        <v>0.41976307801742979</v>
      </c>
      <c r="K109" s="158">
        <f t="shared" si="3"/>
        <v>55.951366856824265</v>
      </c>
      <c r="L109" s="158">
        <f t="shared" si="3"/>
        <v>4.7329647805614981</v>
      </c>
      <c r="M109" s="158">
        <f t="shared" si="3"/>
        <v>8.1448804008052047</v>
      </c>
      <c r="N109" s="158">
        <f t="shared" si="3"/>
        <v>235.06234654248945</v>
      </c>
      <c r="O109" s="158">
        <f t="shared" si="3"/>
        <v>0</v>
      </c>
      <c r="P109" s="158">
        <f t="shared" si="3"/>
        <v>0.22203304539102808</v>
      </c>
      <c r="Q109" s="158">
        <f t="shared" si="3"/>
        <v>0.15257310585938494</v>
      </c>
      <c r="R109" s="158"/>
      <c r="S109" s="158"/>
      <c r="T109" s="158"/>
      <c r="U109" s="158"/>
    </row>
    <row r="110" spans="1:21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</row>
    <row r="111" spans="1:21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1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160"/>
      <c r="O113" s="160"/>
      <c r="P113" s="160"/>
      <c r="Q113" s="160"/>
      <c r="R113" s="160"/>
      <c r="S113" s="160"/>
      <c r="T113" s="160"/>
      <c r="U113" s="160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132" t="s">
        <v>55</v>
      </c>
      <c r="B115" s="167" t="s">
        <v>56</v>
      </c>
      <c r="C115" s="167"/>
      <c r="D115" s="167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143"/>
      <c r="E116" s="143"/>
      <c r="F116" s="143"/>
      <c r="G116" s="143"/>
      <c r="H116" s="143"/>
      <c r="I116" s="14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ySplit="1" topLeftCell="A81" activePane="bottomLeft" state="frozen"/>
      <selection pane="bottomLeft" activeCell="K97" sqref="K97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30/03/2025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3023</v>
      </c>
      <c r="B9" s="100">
        <v>9.1300000000000008</v>
      </c>
      <c r="C9" s="100">
        <v>21.99</v>
      </c>
      <c r="D9" s="100">
        <v>20.16</v>
      </c>
      <c r="E9" s="100">
        <v>9.02</v>
      </c>
      <c r="F9" s="152" t="s">
        <v>15</v>
      </c>
      <c r="G9" s="100">
        <v>96.65</v>
      </c>
      <c r="H9" s="100">
        <v>31.03</v>
      </c>
      <c r="I9" s="100">
        <v>9.9499999999999993</v>
      </c>
      <c r="J9" s="100">
        <v>0.56000000000000005</v>
      </c>
      <c r="K9" s="100">
        <v>38.520000000000003</v>
      </c>
      <c r="L9" s="100">
        <v>29.32</v>
      </c>
      <c r="M9" s="100">
        <v>20.99</v>
      </c>
      <c r="N9" s="100">
        <v>5.9</v>
      </c>
      <c r="O9" s="100">
        <v>0</v>
      </c>
      <c r="P9" s="100">
        <v>0.79</v>
      </c>
      <c r="Q9" s="100">
        <v>28.24</v>
      </c>
      <c r="R9" s="6"/>
      <c r="S9" s="6"/>
      <c r="T9" s="156"/>
      <c r="U9" s="6"/>
    </row>
    <row r="10" spans="1:21" customFormat="1">
      <c r="A10" s="163" t="s">
        <v>3024</v>
      </c>
      <c r="B10" s="100">
        <v>9.9</v>
      </c>
      <c r="C10" s="100">
        <v>22.7</v>
      </c>
      <c r="D10" s="100">
        <v>21.15</v>
      </c>
      <c r="E10" s="100">
        <v>9.75</v>
      </c>
      <c r="F10" s="152" t="s">
        <v>15</v>
      </c>
      <c r="G10" s="100">
        <v>96.65</v>
      </c>
      <c r="H10" s="100">
        <v>31.03</v>
      </c>
      <c r="I10" s="100">
        <v>9.85</v>
      </c>
      <c r="J10" s="100">
        <v>0.66</v>
      </c>
      <c r="K10" s="100">
        <v>45.15</v>
      </c>
      <c r="L10" s="100">
        <v>29.26</v>
      </c>
      <c r="M10" s="100">
        <v>20.23</v>
      </c>
      <c r="N10" s="100">
        <v>5.6</v>
      </c>
      <c r="O10" s="100">
        <v>0</v>
      </c>
      <c r="P10" s="100">
        <v>0.79</v>
      </c>
      <c r="Q10" s="100">
        <v>28.24</v>
      </c>
      <c r="R10" s="6"/>
      <c r="S10" s="6"/>
      <c r="T10" s="156"/>
      <c r="U10" s="6"/>
    </row>
    <row r="11" spans="1:21" customFormat="1">
      <c r="A11" s="163" t="s">
        <v>3025</v>
      </c>
      <c r="B11" s="100">
        <v>9.7899999999999991</v>
      </c>
      <c r="C11" s="100">
        <v>22.11</v>
      </c>
      <c r="D11" s="100">
        <v>20.75</v>
      </c>
      <c r="E11" s="100">
        <v>10.29</v>
      </c>
      <c r="F11" s="152" t="s">
        <v>15</v>
      </c>
      <c r="G11" s="100">
        <v>96.65</v>
      </c>
      <c r="H11" s="100">
        <v>31.03</v>
      </c>
      <c r="I11" s="100">
        <v>9.89</v>
      </c>
      <c r="J11" s="100">
        <v>0.56000000000000005</v>
      </c>
      <c r="K11" s="100">
        <v>52.68</v>
      </c>
      <c r="L11" s="100">
        <v>29.09</v>
      </c>
      <c r="M11" s="100">
        <v>20.32</v>
      </c>
      <c r="N11" s="100">
        <v>6</v>
      </c>
      <c r="O11" s="100">
        <v>0</v>
      </c>
      <c r="P11" s="100">
        <v>0.77</v>
      </c>
      <c r="Q11" s="100">
        <v>28.24</v>
      </c>
      <c r="R11" s="6"/>
      <c r="S11" s="6"/>
      <c r="T11" s="156"/>
      <c r="U11" s="6"/>
    </row>
    <row r="12" spans="1:21" customFormat="1">
      <c r="A12" s="163" t="s">
        <v>3026</v>
      </c>
      <c r="B12" s="100">
        <v>10.45</v>
      </c>
      <c r="C12" s="100">
        <v>23.59</v>
      </c>
      <c r="D12" s="100">
        <v>22.05</v>
      </c>
      <c r="E12" s="100">
        <v>11.71</v>
      </c>
      <c r="F12" s="152" t="s">
        <v>15</v>
      </c>
      <c r="G12" s="100">
        <v>92.03</v>
      </c>
      <c r="H12" s="100">
        <v>29.5</v>
      </c>
      <c r="I12" s="100">
        <v>9.83</v>
      </c>
      <c r="J12" s="100">
        <v>0.5</v>
      </c>
      <c r="K12" s="100">
        <v>53.39</v>
      </c>
      <c r="L12" s="100">
        <v>28.86</v>
      </c>
      <c r="M12" s="100">
        <v>20.59</v>
      </c>
      <c r="N12" s="100">
        <v>5.9</v>
      </c>
      <c r="O12" s="100">
        <v>0</v>
      </c>
      <c r="P12" s="100">
        <v>0.78</v>
      </c>
      <c r="Q12" s="100">
        <v>28.25</v>
      </c>
      <c r="R12" s="6"/>
      <c r="S12" s="6"/>
      <c r="T12" s="156"/>
      <c r="U12" s="6"/>
    </row>
    <row r="13" spans="1:21" customFormat="1">
      <c r="A13" s="163" t="s">
        <v>3027</v>
      </c>
      <c r="B13" s="100">
        <v>10.11</v>
      </c>
      <c r="C13" s="100">
        <v>22.79</v>
      </c>
      <c r="D13" s="100">
        <v>21.37</v>
      </c>
      <c r="E13" s="100">
        <v>10.199999999999999</v>
      </c>
      <c r="F13" s="152" t="s">
        <v>15</v>
      </c>
      <c r="G13" s="100">
        <v>90.34</v>
      </c>
      <c r="H13" s="100">
        <v>29.48</v>
      </c>
      <c r="I13" s="100">
        <v>9.7799999999999994</v>
      </c>
      <c r="J13" s="100">
        <v>0.53</v>
      </c>
      <c r="K13" s="100">
        <v>44.78</v>
      </c>
      <c r="L13" s="100">
        <v>28.61</v>
      </c>
      <c r="M13" s="100">
        <v>20.440000000000001</v>
      </c>
      <c r="N13" s="100">
        <v>5.8</v>
      </c>
      <c r="O13" s="100">
        <v>0</v>
      </c>
      <c r="P13" s="100">
        <v>0.78</v>
      </c>
      <c r="Q13" s="100">
        <v>28.26</v>
      </c>
      <c r="R13" s="6"/>
      <c r="S13" s="6"/>
      <c r="T13" s="156"/>
      <c r="U13" s="6"/>
    </row>
    <row r="14" spans="1:21" customFormat="1">
      <c r="A14" s="163" t="s">
        <v>3028</v>
      </c>
      <c r="B14" s="100">
        <v>9.92</v>
      </c>
      <c r="C14" s="100">
        <v>21.6</v>
      </c>
      <c r="D14" s="100">
        <v>20.59</v>
      </c>
      <c r="E14" s="100">
        <v>8.7100000000000009</v>
      </c>
      <c r="F14" s="152" t="s">
        <v>15</v>
      </c>
      <c r="G14" s="100">
        <v>90.34</v>
      </c>
      <c r="H14" s="100">
        <v>29.48</v>
      </c>
      <c r="I14" s="100">
        <v>9.92</v>
      </c>
      <c r="J14" s="100">
        <v>0.56000000000000005</v>
      </c>
      <c r="K14" s="100">
        <v>49.12</v>
      </c>
      <c r="L14" s="100">
        <v>28.49</v>
      </c>
      <c r="M14" s="100">
        <v>20.100000000000001</v>
      </c>
      <c r="N14" s="100">
        <v>5.8</v>
      </c>
      <c r="O14" s="100">
        <v>0</v>
      </c>
      <c r="P14" s="100">
        <v>0.77</v>
      </c>
      <c r="Q14" s="100">
        <v>28.25</v>
      </c>
      <c r="R14" s="6"/>
      <c r="S14" s="6"/>
      <c r="T14" s="156"/>
      <c r="U14" s="6"/>
    </row>
    <row r="15" spans="1:21" customFormat="1">
      <c r="A15" s="163" t="s">
        <v>3029</v>
      </c>
      <c r="B15" s="100">
        <v>9.9600000000000009</v>
      </c>
      <c r="C15" s="100">
        <v>21.16</v>
      </c>
      <c r="D15" s="100">
        <v>20.39</v>
      </c>
      <c r="E15" s="100">
        <v>8.14</v>
      </c>
      <c r="F15" s="152" t="s">
        <v>15</v>
      </c>
      <c r="G15" s="100">
        <v>90.34</v>
      </c>
      <c r="H15" s="100">
        <v>29.48</v>
      </c>
      <c r="I15" s="100">
        <v>9.98</v>
      </c>
      <c r="J15" s="100">
        <v>0.48</v>
      </c>
      <c r="K15" s="100">
        <v>47.85</v>
      </c>
      <c r="L15" s="100">
        <v>28.23</v>
      </c>
      <c r="M15" s="100">
        <v>20.66</v>
      </c>
      <c r="N15" s="100">
        <v>5.9</v>
      </c>
      <c r="O15" s="100">
        <v>0</v>
      </c>
      <c r="P15" s="100">
        <v>0.76</v>
      </c>
      <c r="Q15" s="100">
        <v>28.26</v>
      </c>
      <c r="R15" s="6"/>
      <c r="S15" s="6"/>
      <c r="T15" s="156"/>
      <c r="U15" s="6"/>
    </row>
    <row r="16" spans="1:21" customFormat="1">
      <c r="A16" s="163" t="s">
        <v>3030</v>
      </c>
      <c r="B16" s="100">
        <v>10.16</v>
      </c>
      <c r="C16" s="100">
        <v>21.48</v>
      </c>
      <c r="D16" s="100">
        <v>20.72</v>
      </c>
      <c r="E16" s="100">
        <v>8.6300000000000008</v>
      </c>
      <c r="F16" s="152" t="s">
        <v>15</v>
      </c>
      <c r="G16" s="100">
        <v>81.33</v>
      </c>
      <c r="H16" s="100">
        <v>26.09</v>
      </c>
      <c r="I16" s="100">
        <v>9.86</v>
      </c>
      <c r="J16" s="100">
        <v>0.47</v>
      </c>
      <c r="K16" s="100">
        <v>40.26</v>
      </c>
      <c r="L16" s="100">
        <v>27.93</v>
      </c>
      <c r="M16" s="100">
        <v>21.56</v>
      </c>
      <c r="N16" s="100">
        <v>5.8</v>
      </c>
      <c r="O16" s="100">
        <v>0</v>
      </c>
      <c r="P16" s="100">
        <v>0.75</v>
      </c>
      <c r="Q16" s="100">
        <v>28.27</v>
      </c>
      <c r="R16" s="6"/>
      <c r="S16" s="6"/>
      <c r="T16" s="156"/>
      <c r="U16" s="6"/>
    </row>
    <row r="17" spans="1:21" customFormat="1">
      <c r="A17" s="163" t="s">
        <v>3031</v>
      </c>
      <c r="B17" s="100">
        <v>10.44</v>
      </c>
      <c r="C17" s="100">
        <v>20.86</v>
      </c>
      <c r="D17" s="100">
        <v>20.62</v>
      </c>
      <c r="E17" s="100">
        <v>8.1999999999999993</v>
      </c>
      <c r="F17" s="152" t="s">
        <v>15</v>
      </c>
      <c r="G17" s="100">
        <v>78.05</v>
      </c>
      <c r="H17" s="100">
        <v>25.99</v>
      </c>
      <c r="I17" s="100">
        <v>9.84</v>
      </c>
      <c r="J17" s="100">
        <v>0.47</v>
      </c>
      <c r="K17" s="100">
        <v>29.06</v>
      </c>
      <c r="L17" s="100">
        <v>27.69</v>
      </c>
      <c r="M17" s="100">
        <v>22.36</v>
      </c>
      <c r="N17" s="100">
        <v>5.9</v>
      </c>
      <c r="O17" s="100">
        <v>0</v>
      </c>
      <c r="P17" s="100">
        <v>0.77</v>
      </c>
      <c r="Q17" s="100">
        <v>28.26</v>
      </c>
      <c r="R17" s="6"/>
      <c r="S17" s="6"/>
      <c r="T17" s="156"/>
      <c r="U17" s="6"/>
    </row>
    <row r="18" spans="1:21" customFormat="1">
      <c r="A18" s="163" t="s">
        <v>3032</v>
      </c>
      <c r="B18" s="100">
        <v>10.36</v>
      </c>
      <c r="C18" s="100">
        <v>20.68</v>
      </c>
      <c r="D18" s="100">
        <v>20.46</v>
      </c>
      <c r="E18" s="100">
        <v>10.07</v>
      </c>
      <c r="F18" s="152" t="s">
        <v>15</v>
      </c>
      <c r="G18" s="100">
        <v>78.05</v>
      </c>
      <c r="H18" s="100">
        <v>25.99</v>
      </c>
      <c r="I18" s="100">
        <v>9.6199999999999992</v>
      </c>
      <c r="J18" s="100">
        <v>0.37</v>
      </c>
      <c r="K18" s="100">
        <v>37.39</v>
      </c>
      <c r="L18" s="100">
        <v>27.5</v>
      </c>
      <c r="M18" s="100">
        <v>22.41</v>
      </c>
      <c r="N18" s="100">
        <v>5.9</v>
      </c>
      <c r="O18" s="100">
        <v>0</v>
      </c>
      <c r="P18" s="100">
        <v>0.76</v>
      </c>
      <c r="Q18" s="100">
        <v>28.25</v>
      </c>
      <c r="R18" s="6"/>
      <c r="S18" s="6"/>
      <c r="T18" s="156"/>
      <c r="U18" s="6"/>
    </row>
    <row r="19" spans="1:21" customFormat="1">
      <c r="A19" s="163" t="s">
        <v>3033</v>
      </c>
      <c r="B19" s="100">
        <v>10.210000000000001</v>
      </c>
      <c r="C19" s="100">
        <v>20.96</v>
      </c>
      <c r="D19" s="100">
        <v>20.49</v>
      </c>
      <c r="E19" s="100">
        <v>9.8800000000000008</v>
      </c>
      <c r="F19" s="152" t="s">
        <v>15</v>
      </c>
      <c r="G19" s="100">
        <v>78.05</v>
      </c>
      <c r="H19" s="100">
        <v>25.99</v>
      </c>
      <c r="I19" s="100">
        <v>9.7100000000000009</v>
      </c>
      <c r="J19" s="100">
        <v>0.13</v>
      </c>
      <c r="K19" s="100">
        <v>172.72</v>
      </c>
      <c r="L19" s="100">
        <v>26.7</v>
      </c>
      <c r="M19" s="100">
        <v>27.68</v>
      </c>
      <c r="N19" s="100">
        <v>6.8</v>
      </c>
      <c r="O19" s="100">
        <v>0</v>
      </c>
      <c r="P19" s="100">
        <v>0.76</v>
      </c>
      <c r="Q19" s="100">
        <v>28.25</v>
      </c>
      <c r="R19" s="6"/>
      <c r="S19" s="6"/>
      <c r="T19" s="156"/>
      <c r="U19" s="6"/>
    </row>
    <row r="20" spans="1:21" customFormat="1">
      <c r="A20" s="163" t="s">
        <v>3034</v>
      </c>
      <c r="B20" s="100">
        <v>9.7100000000000009</v>
      </c>
      <c r="C20" s="100">
        <v>20.76</v>
      </c>
      <c r="D20" s="100">
        <v>19.98</v>
      </c>
      <c r="E20" s="100">
        <v>9.5299999999999994</v>
      </c>
      <c r="F20" s="152" t="s">
        <v>15</v>
      </c>
      <c r="G20" s="100">
        <v>83.5</v>
      </c>
      <c r="H20" s="100">
        <v>27.07</v>
      </c>
      <c r="I20" s="100">
        <v>9.7799999999999994</v>
      </c>
      <c r="J20" s="100">
        <v>0.14000000000000001</v>
      </c>
      <c r="K20" s="100">
        <v>152.88999999999999</v>
      </c>
      <c r="L20" s="100">
        <v>25.69</v>
      </c>
      <c r="M20" s="100">
        <v>30.04</v>
      </c>
      <c r="N20" s="100">
        <v>6.5</v>
      </c>
      <c r="O20" s="100">
        <v>0</v>
      </c>
      <c r="P20" s="100">
        <v>0.75</v>
      </c>
      <c r="Q20" s="100">
        <v>28.24</v>
      </c>
      <c r="R20" s="6"/>
      <c r="S20" s="6"/>
      <c r="T20" s="156"/>
      <c r="U20" s="6"/>
    </row>
    <row r="21" spans="1:21" customFormat="1">
      <c r="A21" s="163" t="s">
        <v>3035</v>
      </c>
      <c r="B21" s="100">
        <v>9.33</v>
      </c>
      <c r="C21" s="100">
        <v>20.98</v>
      </c>
      <c r="D21" s="100">
        <v>19.79</v>
      </c>
      <c r="E21" s="100">
        <v>9.51</v>
      </c>
      <c r="F21" s="152" t="s">
        <v>15</v>
      </c>
      <c r="G21" s="100">
        <v>85.6</v>
      </c>
      <c r="H21" s="100">
        <v>27.1</v>
      </c>
      <c r="I21" s="100">
        <v>9.69</v>
      </c>
      <c r="J21" s="100">
        <v>0.19</v>
      </c>
      <c r="K21" s="100">
        <v>119.36</v>
      </c>
      <c r="L21" s="100">
        <v>25.85</v>
      </c>
      <c r="M21" s="100">
        <v>29.46</v>
      </c>
      <c r="N21" s="100">
        <v>5.8</v>
      </c>
      <c r="O21" s="100">
        <v>0</v>
      </c>
      <c r="P21" s="100">
        <v>0.73</v>
      </c>
      <c r="Q21" s="100">
        <v>28.22</v>
      </c>
      <c r="R21" s="6"/>
      <c r="S21" s="6"/>
      <c r="T21" s="156"/>
      <c r="U21" s="6"/>
    </row>
    <row r="22" spans="1:21" customFormat="1">
      <c r="A22" s="163" t="s">
        <v>3036</v>
      </c>
      <c r="B22" s="100">
        <v>9.14</v>
      </c>
      <c r="C22" s="100">
        <v>21.13</v>
      </c>
      <c r="D22" s="100">
        <v>19.71</v>
      </c>
      <c r="E22" s="100">
        <v>9.64</v>
      </c>
      <c r="F22" s="152" t="s">
        <v>15</v>
      </c>
      <c r="G22" s="100">
        <v>85.6</v>
      </c>
      <c r="H22" s="100">
        <v>27.1</v>
      </c>
      <c r="I22" s="100">
        <v>9.6</v>
      </c>
      <c r="J22" s="100">
        <v>0.23</v>
      </c>
      <c r="K22" s="100">
        <v>190.96</v>
      </c>
      <c r="L22" s="100">
        <v>25.28</v>
      </c>
      <c r="M22" s="100">
        <v>32.36</v>
      </c>
      <c r="N22" s="100">
        <v>6.2</v>
      </c>
      <c r="O22" s="100">
        <v>0</v>
      </c>
      <c r="P22" s="100">
        <v>0.72</v>
      </c>
      <c r="Q22" s="100">
        <v>28.22</v>
      </c>
      <c r="R22" s="6"/>
      <c r="S22" s="6"/>
      <c r="T22" s="156"/>
      <c r="U22" s="6"/>
    </row>
    <row r="23" spans="1:21" customFormat="1">
      <c r="A23" s="163" t="s">
        <v>3037</v>
      </c>
      <c r="B23" s="100">
        <v>8.82</v>
      </c>
      <c r="C23" s="100">
        <v>21</v>
      </c>
      <c r="D23" s="100">
        <v>19.399999999999999</v>
      </c>
      <c r="E23" s="100">
        <v>9.18</v>
      </c>
      <c r="F23" s="152" t="s">
        <v>15</v>
      </c>
      <c r="G23" s="100">
        <v>85.6</v>
      </c>
      <c r="H23" s="100">
        <v>27.1</v>
      </c>
      <c r="I23" s="100">
        <v>9.48</v>
      </c>
      <c r="J23" s="100">
        <v>0.17</v>
      </c>
      <c r="K23" s="100">
        <v>174.24</v>
      </c>
      <c r="L23" s="100">
        <v>24.64</v>
      </c>
      <c r="M23" s="100">
        <v>32.659999999999997</v>
      </c>
      <c r="N23" s="100">
        <v>6.2</v>
      </c>
      <c r="O23" s="100">
        <v>0</v>
      </c>
      <c r="P23" s="100">
        <v>0.72</v>
      </c>
      <c r="Q23" s="100">
        <v>28.23</v>
      </c>
      <c r="R23" s="6"/>
      <c r="S23" s="6"/>
      <c r="T23" s="156"/>
      <c r="U23" s="6"/>
    </row>
    <row r="24" spans="1:21" customFormat="1">
      <c r="A24" s="163" t="s">
        <v>3038</v>
      </c>
      <c r="B24" s="100">
        <v>8.6</v>
      </c>
      <c r="C24" s="100">
        <v>21.08</v>
      </c>
      <c r="D24" s="100">
        <v>19.260000000000002</v>
      </c>
      <c r="E24" s="100">
        <v>9.18</v>
      </c>
      <c r="F24" s="152" t="s">
        <v>15</v>
      </c>
      <c r="G24" s="100">
        <v>79.59</v>
      </c>
      <c r="H24" s="100">
        <v>27</v>
      </c>
      <c r="I24" s="100">
        <v>9.42</v>
      </c>
      <c r="J24" s="100">
        <v>0.19</v>
      </c>
      <c r="K24" s="100">
        <v>161.19</v>
      </c>
      <c r="L24" s="100">
        <v>24.78</v>
      </c>
      <c r="M24" s="100">
        <v>32.83</v>
      </c>
      <c r="N24" s="100">
        <v>5.8</v>
      </c>
      <c r="O24" s="100">
        <v>0</v>
      </c>
      <c r="P24" s="100">
        <v>0.71</v>
      </c>
      <c r="Q24" s="100">
        <v>28.2</v>
      </c>
      <c r="R24" s="6"/>
      <c r="S24" s="6"/>
      <c r="T24" s="156"/>
      <c r="U24" s="6"/>
    </row>
    <row r="25" spans="1:21" customFormat="1">
      <c r="A25" s="163" t="s">
        <v>3039</v>
      </c>
      <c r="B25" s="100">
        <v>8.68</v>
      </c>
      <c r="C25" s="100">
        <v>21.32</v>
      </c>
      <c r="D25" s="100">
        <v>19.45</v>
      </c>
      <c r="E25" s="100">
        <v>9.11</v>
      </c>
      <c r="F25" s="152" t="s">
        <v>15</v>
      </c>
      <c r="G25" s="100">
        <v>77.400000000000006</v>
      </c>
      <c r="H25" s="100">
        <v>27</v>
      </c>
      <c r="I25" s="100">
        <v>9.36</v>
      </c>
      <c r="J25" s="100">
        <v>0.3</v>
      </c>
      <c r="K25" s="100">
        <v>161.30000000000001</v>
      </c>
      <c r="L25" s="100">
        <v>24.62</v>
      </c>
      <c r="M25" s="100">
        <v>35.51</v>
      </c>
      <c r="N25" s="100">
        <v>6</v>
      </c>
      <c r="O25" s="100">
        <v>0</v>
      </c>
      <c r="P25" s="100">
        <v>0.7</v>
      </c>
      <c r="Q25" s="100">
        <v>28.2</v>
      </c>
      <c r="R25" s="6"/>
      <c r="S25" s="6"/>
      <c r="T25" s="156"/>
      <c r="U25" s="6"/>
    </row>
    <row r="26" spans="1:21" customFormat="1">
      <c r="A26" s="163" t="s">
        <v>3040</v>
      </c>
      <c r="B26" s="100">
        <v>8.85</v>
      </c>
      <c r="C26" s="100">
        <v>21.33</v>
      </c>
      <c r="D26" s="100">
        <v>19.59</v>
      </c>
      <c r="E26" s="100">
        <v>9.0399999999999991</v>
      </c>
      <c r="F26" s="152" t="s">
        <v>15</v>
      </c>
      <c r="G26" s="100">
        <v>77.400000000000006</v>
      </c>
      <c r="H26" s="100">
        <v>27</v>
      </c>
      <c r="I26" s="100">
        <v>9.2899999999999991</v>
      </c>
      <c r="J26" s="100">
        <v>0.19</v>
      </c>
      <c r="K26" s="100">
        <v>151.72</v>
      </c>
      <c r="L26" s="100">
        <v>24.23</v>
      </c>
      <c r="M26" s="100">
        <v>35.619999999999997</v>
      </c>
      <c r="N26" s="100">
        <v>5.9</v>
      </c>
      <c r="O26" s="100">
        <v>0</v>
      </c>
      <c r="P26" s="100">
        <v>0.7</v>
      </c>
      <c r="Q26" s="100">
        <v>28.21</v>
      </c>
      <c r="R26" s="6"/>
      <c r="S26" s="6"/>
      <c r="T26" s="156"/>
      <c r="U26" s="6"/>
    </row>
    <row r="27" spans="1:21" customFormat="1">
      <c r="A27" s="163" t="s">
        <v>3041</v>
      </c>
      <c r="B27" s="100">
        <v>9.36</v>
      </c>
      <c r="C27" s="100">
        <v>21.36</v>
      </c>
      <c r="D27" s="100">
        <v>20.02</v>
      </c>
      <c r="E27" s="100">
        <v>9.09</v>
      </c>
      <c r="F27" s="152" t="s">
        <v>15</v>
      </c>
      <c r="G27" s="100">
        <v>77.400000000000006</v>
      </c>
      <c r="H27" s="100">
        <v>27</v>
      </c>
      <c r="I27" s="100">
        <v>9.2799999999999994</v>
      </c>
      <c r="J27" s="100">
        <v>0.11</v>
      </c>
      <c r="K27" s="100">
        <v>138.38</v>
      </c>
      <c r="L27" s="100">
        <v>24.3</v>
      </c>
      <c r="M27" s="100">
        <v>35.869999999999997</v>
      </c>
      <c r="N27" s="100">
        <v>5.7</v>
      </c>
      <c r="O27" s="100">
        <v>0</v>
      </c>
      <c r="P27" s="100">
        <v>0.69</v>
      </c>
      <c r="Q27" s="100">
        <v>28.23</v>
      </c>
      <c r="R27" s="6"/>
      <c r="S27" s="6"/>
      <c r="T27" s="156"/>
      <c r="U27" s="6"/>
    </row>
    <row r="28" spans="1:21" customFormat="1">
      <c r="A28" s="163" t="s">
        <v>3042</v>
      </c>
      <c r="B28" s="100">
        <v>9.9700000000000006</v>
      </c>
      <c r="C28" s="100">
        <v>21.59</v>
      </c>
      <c r="D28" s="100">
        <v>20.62</v>
      </c>
      <c r="E28" s="100">
        <v>9.3699999999999992</v>
      </c>
      <c r="F28" s="152" t="s">
        <v>15</v>
      </c>
      <c r="G28" s="100">
        <v>80.31</v>
      </c>
      <c r="H28" s="100">
        <v>28.38</v>
      </c>
      <c r="I28" s="100">
        <v>9.2100000000000009</v>
      </c>
      <c r="J28" s="100">
        <v>0.25</v>
      </c>
      <c r="K28" s="100">
        <v>61.09</v>
      </c>
      <c r="L28" s="100">
        <v>24.68</v>
      </c>
      <c r="M28" s="100">
        <v>33.75</v>
      </c>
      <c r="N28" s="100">
        <v>5.5</v>
      </c>
      <c r="O28" s="100">
        <v>0</v>
      </c>
      <c r="P28" s="100">
        <v>0.69</v>
      </c>
      <c r="Q28" s="100">
        <v>28.25</v>
      </c>
      <c r="R28" s="6"/>
      <c r="S28" s="6"/>
      <c r="T28" s="156"/>
      <c r="U28" s="6"/>
    </row>
    <row r="29" spans="1:21" customFormat="1">
      <c r="A29" s="163" t="s">
        <v>3043</v>
      </c>
      <c r="B29" s="100">
        <v>10.35</v>
      </c>
      <c r="C29" s="100">
        <v>21.71</v>
      </c>
      <c r="D29" s="100">
        <v>20.99</v>
      </c>
      <c r="E29" s="100">
        <v>9.3000000000000007</v>
      </c>
      <c r="F29" s="152" t="s">
        <v>15</v>
      </c>
      <c r="G29" s="100">
        <v>81.36</v>
      </c>
      <c r="H29" s="100">
        <v>28.45</v>
      </c>
      <c r="I29" s="100">
        <v>8.9700000000000006</v>
      </c>
      <c r="J29" s="100">
        <v>0.42</v>
      </c>
      <c r="K29" s="100">
        <v>50.42</v>
      </c>
      <c r="L29" s="100">
        <v>24.86</v>
      </c>
      <c r="M29" s="100">
        <v>32.54</v>
      </c>
      <c r="N29" s="100">
        <v>5.3</v>
      </c>
      <c r="O29" s="100">
        <v>0</v>
      </c>
      <c r="P29" s="100">
        <v>0.69</v>
      </c>
      <c r="Q29" s="100">
        <v>28.27</v>
      </c>
      <c r="R29" s="6"/>
      <c r="S29" s="6"/>
      <c r="T29" s="156"/>
      <c r="U29" s="6"/>
    </row>
    <row r="30" spans="1:21" customFormat="1">
      <c r="A30" s="163" t="s">
        <v>3044</v>
      </c>
      <c r="B30" s="100">
        <v>10.54</v>
      </c>
      <c r="C30" s="100">
        <v>21.63</v>
      </c>
      <c r="D30" s="100">
        <v>21.1</v>
      </c>
      <c r="E30" s="100">
        <v>9.07</v>
      </c>
      <c r="F30" s="152" t="s">
        <v>15</v>
      </c>
      <c r="G30" s="100">
        <v>81.36</v>
      </c>
      <c r="H30" s="100">
        <v>28.45</v>
      </c>
      <c r="I30" s="100">
        <v>9.1999999999999993</v>
      </c>
      <c r="J30" s="100">
        <v>0.14000000000000001</v>
      </c>
      <c r="K30" s="100">
        <v>101.18</v>
      </c>
      <c r="L30" s="100">
        <v>24.73</v>
      </c>
      <c r="M30" s="100">
        <v>35.159999999999997</v>
      </c>
      <c r="N30" s="100">
        <v>6.2</v>
      </c>
      <c r="O30" s="100">
        <v>0</v>
      </c>
      <c r="P30" s="100">
        <v>0.71</v>
      </c>
      <c r="Q30" s="100">
        <v>28.26</v>
      </c>
      <c r="R30" s="6"/>
      <c r="S30" s="6"/>
      <c r="T30" s="156"/>
      <c r="U30" s="6"/>
    </row>
    <row r="31" spans="1:21" customFormat="1">
      <c r="A31" s="163" t="s">
        <v>3045</v>
      </c>
      <c r="B31" s="100">
        <v>10.39</v>
      </c>
      <c r="C31" s="100">
        <v>21.38</v>
      </c>
      <c r="D31" s="100">
        <v>20.86</v>
      </c>
      <c r="E31" s="100">
        <v>8.76</v>
      </c>
      <c r="F31" s="152" t="s">
        <v>15</v>
      </c>
      <c r="G31" s="100">
        <v>81.36</v>
      </c>
      <c r="H31" s="100">
        <v>28.45</v>
      </c>
      <c r="I31" s="100">
        <v>8.9600000000000009</v>
      </c>
      <c r="J31" s="100">
        <v>0.28000000000000003</v>
      </c>
      <c r="K31" s="100">
        <v>176.37</v>
      </c>
      <c r="L31" s="100">
        <v>23.52</v>
      </c>
      <c r="M31" s="100">
        <v>41.13</v>
      </c>
      <c r="N31" s="100">
        <v>7</v>
      </c>
      <c r="O31" s="100">
        <v>0</v>
      </c>
      <c r="P31" s="100">
        <v>0.7</v>
      </c>
      <c r="Q31" s="100">
        <v>28.26</v>
      </c>
      <c r="R31" s="6"/>
      <c r="S31" s="6"/>
      <c r="T31" s="156"/>
      <c r="U31" s="6"/>
    </row>
    <row r="32" spans="1:21" customFormat="1">
      <c r="A32" s="163" t="s">
        <v>3046</v>
      </c>
      <c r="B32" s="100">
        <v>10.19</v>
      </c>
      <c r="C32" s="100">
        <v>20.9</v>
      </c>
      <c r="D32" s="100">
        <v>20.440000000000001</v>
      </c>
      <c r="E32" s="100">
        <v>9.07</v>
      </c>
      <c r="F32" s="152" t="s">
        <v>15</v>
      </c>
      <c r="G32" s="100">
        <v>84.66</v>
      </c>
      <c r="H32" s="100">
        <v>28.86</v>
      </c>
      <c r="I32" s="100">
        <v>9.2899999999999991</v>
      </c>
      <c r="J32" s="100">
        <v>0.3</v>
      </c>
      <c r="K32" s="100">
        <v>166.7</v>
      </c>
      <c r="L32" s="100">
        <v>23.24</v>
      </c>
      <c r="M32" s="100">
        <v>42.14</v>
      </c>
      <c r="N32" s="100">
        <v>8.5</v>
      </c>
      <c r="O32" s="100">
        <v>0</v>
      </c>
      <c r="P32" s="100">
        <v>0.71</v>
      </c>
      <c r="Q32" s="100">
        <v>28.26</v>
      </c>
      <c r="R32" s="6"/>
      <c r="S32" s="6"/>
      <c r="T32" s="156"/>
      <c r="U32" s="6"/>
    </row>
    <row r="33" spans="1:21" customFormat="1">
      <c r="A33" s="163" t="s">
        <v>3047</v>
      </c>
      <c r="B33" s="100">
        <v>10.1</v>
      </c>
      <c r="C33" s="100">
        <v>20.61</v>
      </c>
      <c r="D33" s="100">
        <v>20.22</v>
      </c>
      <c r="E33" s="100">
        <v>8.82</v>
      </c>
      <c r="F33" s="152" t="s">
        <v>15</v>
      </c>
      <c r="G33" s="100">
        <v>85.86</v>
      </c>
      <c r="H33" s="100">
        <v>28.87</v>
      </c>
      <c r="I33" s="100">
        <v>9.2200000000000006</v>
      </c>
      <c r="J33" s="100">
        <v>0.28000000000000003</v>
      </c>
      <c r="K33" s="100">
        <v>175.36</v>
      </c>
      <c r="L33" s="100">
        <v>22.95</v>
      </c>
      <c r="M33" s="100">
        <v>43.84</v>
      </c>
      <c r="N33" s="100">
        <v>15.4</v>
      </c>
      <c r="O33" s="100">
        <v>0</v>
      </c>
      <c r="P33" s="100">
        <v>0.71</v>
      </c>
      <c r="Q33" s="100">
        <v>28.24</v>
      </c>
      <c r="R33" s="6"/>
      <c r="S33" s="6"/>
      <c r="T33" s="156"/>
      <c r="U33" s="6"/>
    </row>
    <row r="34" spans="1:21" customFormat="1">
      <c r="A34" s="163" t="s">
        <v>3048</v>
      </c>
      <c r="B34" s="100">
        <v>9.9700000000000006</v>
      </c>
      <c r="C34" s="100">
        <v>20.350000000000001</v>
      </c>
      <c r="D34" s="100">
        <v>19.97</v>
      </c>
      <c r="E34" s="100">
        <v>8.43</v>
      </c>
      <c r="F34" s="152" t="s">
        <v>15</v>
      </c>
      <c r="G34" s="100">
        <v>85.86</v>
      </c>
      <c r="H34" s="100">
        <v>28.87</v>
      </c>
      <c r="I34" s="100">
        <v>9.01</v>
      </c>
      <c r="J34" s="100">
        <v>0.25</v>
      </c>
      <c r="K34" s="100">
        <v>178.02</v>
      </c>
      <c r="L34" s="100">
        <v>22.88</v>
      </c>
      <c r="M34" s="100">
        <v>43.97</v>
      </c>
      <c r="N34" s="100">
        <v>25.8</v>
      </c>
      <c r="O34" s="100">
        <v>0</v>
      </c>
      <c r="P34" s="100">
        <v>0.72</v>
      </c>
      <c r="Q34" s="100">
        <v>28.25</v>
      </c>
      <c r="R34" s="6"/>
      <c r="S34" s="6"/>
      <c r="T34" s="156"/>
      <c r="U34" s="6"/>
    </row>
    <row r="35" spans="1:21" customFormat="1">
      <c r="A35" s="163" t="s">
        <v>3049</v>
      </c>
      <c r="B35" s="100">
        <v>9.8000000000000007</v>
      </c>
      <c r="C35" s="100">
        <v>20.190000000000001</v>
      </c>
      <c r="D35" s="100">
        <v>19.760000000000002</v>
      </c>
      <c r="E35" s="100">
        <v>8.6199999999999992</v>
      </c>
      <c r="F35" s="152" t="s">
        <v>15</v>
      </c>
      <c r="G35" s="100">
        <v>85.86</v>
      </c>
      <c r="H35" s="100">
        <v>28.87</v>
      </c>
      <c r="I35" s="100">
        <v>9.09</v>
      </c>
      <c r="J35" s="100">
        <v>0.18</v>
      </c>
      <c r="K35" s="100">
        <v>163.66999999999999</v>
      </c>
      <c r="L35" s="100">
        <v>23.26</v>
      </c>
      <c r="M35" s="100">
        <v>43.94</v>
      </c>
      <c r="N35" s="100">
        <v>36.700000000000003</v>
      </c>
      <c r="O35" s="100">
        <v>0</v>
      </c>
      <c r="P35" s="100">
        <v>0.74</v>
      </c>
      <c r="Q35" s="100">
        <v>28.25</v>
      </c>
      <c r="R35" s="6"/>
      <c r="S35" s="6"/>
      <c r="T35" s="156"/>
      <c r="U35" s="6"/>
    </row>
    <row r="36" spans="1:21" customFormat="1">
      <c r="A36" s="163" t="s">
        <v>3050</v>
      </c>
      <c r="B36" s="100">
        <v>9.9700000000000006</v>
      </c>
      <c r="C36" s="100">
        <v>20.14</v>
      </c>
      <c r="D36" s="100">
        <v>19.87</v>
      </c>
      <c r="E36" s="100">
        <v>8.83</v>
      </c>
      <c r="F36" s="152" t="s">
        <v>15</v>
      </c>
      <c r="G36" s="100">
        <v>89.04</v>
      </c>
      <c r="H36" s="100">
        <v>30.28</v>
      </c>
      <c r="I36" s="100">
        <v>9.3699999999999992</v>
      </c>
      <c r="J36" s="100">
        <v>0.18</v>
      </c>
      <c r="K36" s="100">
        <v>173.51</v>
      </c>
      <c r="L36" s="100">
        <v>24.01</v>
      </c>
      <c r="M36" s="100">
        <v>43.64</v>
      </c>
      <c r="N36" s="100">
        <v>48.6</v>
      </c>
      <c r="O36" s="100">
        <v>0</v>
      </c>
      <c r="P36" s="100">
        <v>0.75</v>
      </c>
      <c r="Q36" s="100">
        <v>28.24</v>
      </c>
      <c r="R36" s="6"/>
      <c r="S36" s="6"/>
      <c r="T36" s="156"/>
      <c r="U36" s="6"/>
    </row>
    <row r="37" spans="1:21" customFormat="1">
      <c r="A37" s="163" t="s">
        <v>3051</v>
      </c>
      <c r="B37" s="100">
        <v>10.19</v>
      </c>
      <c r="C37" s="100">
        <v>20.07</v>
      </c>
      <c r="D37" s="100">
        <v>20.010000000000002</v>
      </c>
      <c r="E37" s="100">
        <v>8.92</v>
      </c>
      <c r="F37" s="152" t="s">
        <v>15</v>
      </c>
      <c r="G37" s="100">
        <v>90.2</v>
      </c>
      <c r="H37" s="100">
        <v>30.32</v>
      </c>
      <c r="I37" s="100">
        <v>9.4600000000000009</v>
      </c>
      <c r="J37" s="100">
        <v>0.22</v>
      </c>
      <c r="K37" s="100">
        <v>150.53</v>
      </c>
      <c r="L37" s="100">
        <v>24.72</v>
      </c>
      <c r="M37" s="100">
        <v>40.479999999999997</v>
      </c>
      <c r="N37" s="100">
        <v>60.4</v>
      </c>
      <c r="O37" s="100">
        <v>0</v>
      </c>
      <c r="P37" s="100">
        <v>0.76</v>
      </c>
      <c r="Q37" s="100">
        <v>28.26</v>
      </c>
      <c r="R37" s="6"/>
      <c r="S37" s="6"/>
      <c r="T37" s="156"/>
      <c r="U37" s="6"/>
    </row>
    <row r="38" spans="1:21" customFormat="1">
      <c r="A38" s="163" t="s">
        <v>3052</v>
      </c>
      <c r="B38" s="100">
        <v>10.119999999999999</v>
      </c>
      <c r="C38" s="100">
        <v>20.170000000000002</v>
      </c>
      <c r="D38" s="100">
        <v>20.010000000000002</v>
      </c>
      <c r="E38" s="100">
        <v>8.76</v>
      </c>
      <c r="F38" s="152" t="s">
        <v>15</v>
      </c>
      <c r="G38" s="100">
        <v>90.2</v>
      </c>
      <c r="H38" s="100">
        <v>30.32</v>
      </c>
      <c r="I38" s="100">
        <v>9.6</v>
      </c>
      <c r="J38" s="100">
        <v>0.6</v>
      </c>
      <c r="K38" s="100">
        <v>72.53</v>
      </c>
      <c r="L38" s="100">
        <v>26.22</v>
      </c>
      <c r="M38" s="100">
        <v>30.77</v>
      </c>
      <c r="N38" s="100">
        <v>70.599999999999994</v>
      </c>
      <c r="O38" s="100">
        <v>0</v>
      </c>
      <c r="P38" s="100">
        <v>0.77</v>
      </c>
      <c r="Q38" s="100">
        <v>28.26</v>
      </c>
      <c r="R38" s="6"/>
      <c r="S38" s="6"/>
      <c r="T38" s="156"/>
      <c r="U38" s="6"/>
    </row>
    <row r="39" spans="1:21" customFormat="1">
      <c r="A39" s="163" t="s">
        <v>3053</v>
      </c>
      <c r="B39" s="100">
        <v>10.029999999999999</v>
      </c>
      <c r="C39" s="100">
        <v>20.350000000000001</v>
      </c>
      <c r="D39" s="100">
        <v>20.03</v>
      </c>
      <c r="E39" s="100">
        <v>8.64</v>
      </c>
      <c r="F39" s="152" t="s">
        <v>15</v>
      </c>
      <c r="G39" s="100">
        <v>90.2</v>
      </c>
      <c r="H39" s="100">
        <v>30.32</v>
      </c>
      <c r="I39" s="100">
        <v>9.7200000000000006</v>
      </c>
      <c r="J39" s="100">
        <v>0.79</v>
      </c>
      <c r="K39" s="100">
        <v>64.53</v>
      </c>
      <c r="L39" s="100">
        <v>27.23</v>
      </c>
      <c r="M39" s="100">
        <v>26.09</v>
      </c>
      <c r="N39" s="100">
        <v>82.5</v>
      </c>
      <c r="O39" s="100">
        <v>0</v>
      </c>
      <c r="P39" s="100">
        <v>0.79</v>
      </c>
      <c r="Q39" s="100">
        <v>28.27</v>
      </c>
      <c r="R39" s="6"/>
      <c r="S39" s="6"/>
      <c r="T39" s="156"/>
      <c r="U39" s="6"/>
    </row>
    <row r="40" spans="1:21" customFormat="1">
      <c r="A40" s="163" t="s">
        <v>3054</v>
      </c>
      <c r="B40" s="100">
        <v>10</v>
      </c>
      <c r="C40" s="100">
        <v>20</v>
      </c>
      <c r="D40" s="100">
        <v>19.82</v>
      </c>
      <c r="E40" s="100">
        <v>8.82</v>
      </c>
      <c r="F40" s="152" t="s">
        <v>15</v>
      </c>
      <c r="G40" s="100">
        <v>101.41</v>
      </c>
      <c r="H40" s="100">
        <v>37.229999999999997</v>
      </c>
      <c r="I40" s="100">
        <v>10.15</v>
      </c>
      <c r="J40" s="100">
        <v>0.88</v>
      </c>
      <c r="K40" s="100">
        <v>60.28</v>
      </c>
      <c r="L40" s="100">
        <v>28.07</v>
      </c>
      <c r="M40" s="100">
        <v>22.61</v>
      </c>
      <c r="N40" s="100">
        <v>97.1</v>
      </c>
      <c r="O40" s="100">
        <v>0</v>
      </c>
      <c r="P40" s="100">
        <v>0.79</v>
      </c>
      <c r="Q40" s="100">
        <v>28.26</v>
      </c>
      <c r="R40" s="6"/>
      <c r="S40" s="6"/>
      <c r="T40" s="156"/>
      <c r="U40" s="6"/>
    </row>
    <row r="41" spans="1:21" customFormat="1">
      <c r="A41" s="163" t="s">
        <v>3055</v>
      </c>
      <c r="B41" s="100">
        <v>9.8000000000000007</v>
      </c>
      <c r="C41" s="100">
        <v>19.809999999999999</v>
      </c>
      <c r="D41" s="100">
        <v>19.559999999999999</v>
      </c>
      <c r="E41" s="100">
        <v>9.1199999999999992</v>
      </c>
      <c r="F41" s="152" t="s">
        <v>15</v>
      </c>
      <c r="G41" s="100">
        <v>105.49</v>
      </c>
      <c r="H41" s="100">
        <v>37.44</v>
      </c>
      <c r="I41" s="100">
        <v>10.66</v>
      </c>
      <c r="J41" s="100">
        <v>1.02</v>
      </c>
      <c r="K41" s="100">
        <v>65.34</v>
      </c>
      <c r="L41" s="100">
        <v>28.93</v>
      </c>
      <c r="M41" s="100">
        <v>20.68</v>
      </c>
      <c r="N41" s="100">
        <v>188.7</v>
      </c>
      <c r="O41" s="100">
        <v>0</v>
      </c>
      <c r="P41" s="100">
        <v>0.79</v>
      </c>
      <c r="Q41" s="100">
        <v>28.25</v>
      </c>
      <c r="R41" s="6"/>
      <c r="S41" s="6"/>
      <c r="T41" s="156"/>
      <c r="U41" s="6"/>
    </row>
    <row r="42" spans="1:21" customFormat="1">
      <c r="A42" s="163" t="s">
        <v>3056</v>
      </c>
      <c r="B42" s="100">
        <v>9.36</v>
      </c>
      <c r="C42" s="100">
        <v>19.489999999999998</v>
      </c>
      <c r="D42" s="100">
        <v>19.04</v>
      </c>
      <c r="E42" s="100">
        <v>9.18</v>
      </c>
      <c r="F42" s="152" t="s">
        <v>15</v>
      </c>
      <c r="G42" s="100">
        <v>105.49</v>
      </c>
      <c r="H42" s="100">
        <v>37.44</v>
      </c>
      <c r="I42" s="100">
        <v>10.96</v>
      </c>
      <c r="J42" s="100">
        <v>0.76</v>
      </c>
      <c r="K42" s="100">
        <v>76.2</v>
      </c>
      <c r="L42" s="100">
        <v>29.9</v>
      </c>
      <c r="M42" s="100">
        <v>18.59</v>
      </c>
      <c r="N42" s="100">
        <v>208.4</v>
      </c>
      <c r="O42" s="100">
        <v>0</v>
      </c>
      <c r="P42" s="100">
        <v>0.79</v>
      </c>
      <c r="Q42" s="100">
        <v>28.26</v>
      </c>
      <c r="R42" s="6"/>
      <c r="S42" s="6"/>
      <c r="T42" s="156"/>
      <c r="U42" s="6"/>
    </row>
    <row r="43" spans="1:21" customFormat="1">
      <c r="A43" s="163" t="s">
        <v>3057</v>
      </c>
      <c r="B43" s="100">
        <v>8.64</v>
      </c>
      <c r="C43" s="100">
        <v>19.52</v>
      </c>
      <c r="D43" s="100">
        <v>18.48</v>
      </c>
      <c r="E43" s="100">
        <v>9.02</v>
      </c>
      <c r="F43" s="152" t="s">
        <v>15</v>
      </c>
      <c r="G43" s="100">
        <v>105.49</v>
      </c>
      <c r="H43" s="100">
        <v>37.44</v>
      </c>
      <c r="I43" s="100">
        <v>11.07</v>
      </c>
      <c r="J43" s="100">
        <v>1.01</v>
      </c>
      <c r="K43" s="100">
        <v>65.48</v>
      </c>
      <c r="L43" s="100">
        <v>30.6</v>
      </c>
      <c r="M43" s="100">
        <v>17.84</v>
      </c>
      <c r="N43" s="100">
        <v>170.2</v>
      </c>
      <c r="O43" s="100">
        <v>0</v>
      </c>
      <c r="P43" s="100">
        <v>0.79</v>
      </c>
      <c r="Q43" s="100">
        <v>28.22</v>
      </c>
      <c r="R43" s="6"/>
      <c r="S43" s="6"/>
      <c r="T43" s="156"/>
      <c r="U43" s="6"/>
    </row>
    <row r="44" spans="1:21" customFormat="1">
      <c r="A44" s="163" t="s">
        <v>3058</v>
      </c>
      <c r="B44" s="100">
        <v>8.02</v>
      </c>
      <c r="C44" s="100">
        <v>19.47</v>
      </c>
      <c r="D44" s="100">
        <v>17.95</v>
      </c>
      <c r="E44" s="100">
        <v>9.4</v>
      </c>
      <c r="F44" s="152" t="s">
        <v>15</v>
      </c>
      <c r="G44" s="100">
        <v>103.89</v>
      </c>
      <c r="H44" s="100">
        <v>40.68</v>
      </c>
      <c r="I44" s="100">
        <v>11.11</v>
      </c>
      <c r="J44" s="100">
        <v>0.74</v>
      </c>
      <c r="K44" s="100">
        <v>71.81</v>
      </c>
      <c r="L44" s="100">
        <v>31.4</v>
      </c>
      <c r="M44" s="100">
        <v>16.649999999999999</v>
      </c>
      <c r="N44" s="100">
        <v>253</v>
      </c>
      <c r="O44" s="100">
        <v>0</v>
      </c>
      <c r="P44" s="100">
        <v>0.78</v>
      </c>
      <c r="Q44" s="100">
        <v>28.21</v>
      </c>
      <c r="R44" s="6"/>
      <c r="S44" s="6"/>
      <c r="T44" s="156"/>
      <c r="U44" s="6"/>
    </row>
    <row r="45" spans="1:21" customFormat="1">
      <c r="A45" s="163" t="s">
        <v>3059</v>
      </c>
      <c r="B45" s="100">
        <v>7.56</v>
      </c>
      <c r="C45" s="100">
        <v>19.86</v>
      </c>
      <c r="D45" s="100">
        <v>17.79</v>
      </c>
      <c r="E45" s="100">
        <v>9.9600000000000009</v>
      </c>
      <c r="F45" s="152" t="s">
        <v>15</v>
      </c>
      <c r="G45" s="100">
        <v>103.31</v>
      </c>
      <c r="H45" s="100">
        <v>40.78</v>
      </c>
      <c r="I45" s="100">
        <v>11.07</v>
      </c>
      <c r="J45" s="100">
        <v>1.2</v>
      </c>
      <c r="K45" s="100">
        <v>51.84</v>
      </c>
      <c r="L45" s="100">
        <v>32.08</v>
      </c>
      <c r="M45" s="100">
        <v>15.64</v>
      </c>
      <c r="N45" s="100">
        <v>292.3</v>
      </c>
      <c r="O45" s="100">
        <v>0</v>
      </c>
      <c r="P45" s="100">
        <v>0.79</v>
      </c>
      <c r="Q45" s="100">
        <v>28.2</v>
      </c>
      <c r="R45" s="6"/>
      <c r="S45" s="6"/>
      <c r="T45" s="156"/>
      <c r="U45" s="6"/>
    </row>
    <row r="46" spans="1:21" customFormat="1">
      <c r="A46" s="163" t="s">
        <v>3060</v>
      </c>
      <c r="B46" s="100">
        <v>6.94</v>
      </c>
      <c r="C46" s="100">
        <v>19.98</v>
      </c>
      <c r="D46" s="100">
        <v>17.36</v>
      </c>
      <c r="E46" s="100">
        <v>10.29</v>
      </c>
      <c r="F46" s="152" t="s">
        <v>15</v>
      </c>
      <c r="G46" s="100">
        <v>103.31</v>
      </c>
      <c r="H46" s="100">
        <v>40.78</v>
      </c>
      <c r="I46" s="100">
        <v>11.07</v>
      </c>
      <c r="J46" s="100">
        <v>1.19</v>
      </c>
      <c r="K46" s="100">
        <v>58.09</v>
      </c>
      <c r="L46" s="100">
        <v>32.659999999999997</v>
      </c>
      <c r="M46" s="100">
        <v>13.91</v>
      </c>
      <c r="N46" s="100">
        <v>427.7</v>
      </c>
      <c r="O46" s="100">
        <v>0</v>
      </c>
      <c r="P46" s="100">
        <v>0.8</v>
      </c>
      <c r="Q46" s="100">
        <v>28.17</v>
      </c>
      <c r="R46" s="6"/>
      <c r="S46" s="6"/>
      <c r="T46" s="156"/>
      <c r="U46" s="6"/>
    </row>
    <row r="47" spans="1:21" customFormat="1">
      <c r="A47" s="163" t="s">
        <v>3061</v>
      </c>
      <c r="B47" s="100">
        <v>6.37</v>
      </c>
      <c r="C47" s="100">
        <v>20.010000000000002</v>
      </c>
      <c r="D47" s="100">
        <v>16.91</v>
      </c>
      <c r="E47" s="100">
        <v>10.39</v>
      </c>
      <c r="F47" s="152" t="s">
        <v>15</v>
      </c>
      <c r="G47" s="100">
        <v>103.31</v>
      </c>
      <c r="H47" s="100">
        <v>40.78</v>
      </c>
      <c r="I47" s="100">
        <v>11.09</v>
      </c>
      <c r="J47" s="100">
        <v>1.4</v>
      </c>
      <c r="K47" s="100">
        <v>55.53</v>
      </c>
      <c r="L47" s="100">
        <v>32.840000000000003</v>
      </c>
      <c r="M47" s="100">
        <v>13.8</v>
      </c>
      <c r="N47" s="100">
        <v>470.6</v>
      </c>
      <c r="O47" s="100">
        <v>0</v>
      </c>
      <c r="P47" s="100">
        <v>0.79</v>
      </c>
      <c r="Q47" s="100">
        <v>28.16</v>
      </c>
      <c r="R47" s="6"/>
      <c r="S47" s="6"/>
      <c r="T47" s="156"/>
      <c r="U47" s="6"/>
    </row>
    <row r="48" spans="1:21" customFormat="1">
      <c r="A48" s="163" t="s">
        <v>3062</v>
      </c>
      <c r="B48" s="100">
        <v>6.34</v>
      </c>
      <c r="C48" s="100">
        <v>23.22</v>
      </c>
      <c r="D48" s="100">
        <v>18.57</v>
      </c>
      <c r="E48" s="100">
        <v>11.53</v>
      </c>
      <c r="F48" s="152" t="s">
        <v>15</v>
      </c>
      <c r="G48" s="100">
        <v>105.1</v>
      </c>
      <c r="H48" s="100">
        <v>39.57</v>
      </c>
      <c r="I48" s="100">
        <v>11</v>
      </c>
      <c r="J48" s="100">
        <v>1.34</v>
      </c>
      <c r="K48" s="100">
        <v>61.47</v>
      </c>
      <c r="L48" s="100">
        <v>33.64</v>
      </c>
      <c r="M48" s="100">
        <v>12.81</v>
      </c>
      <c r="N48" s="100">
        <v>511.7</v>
      </c>
      <c r="O48" s="100">
        <v>0</v>
      </c>
      <c r="P48" s="100">
        <v>0.79</v>
      </c>
      <c r="Q48" s="100">
        <v>28.16</v>
      </c>
      <c r="R48" s="6"/>
      <c r="S48" s="6"/>
      <c r="T48" s="156"/>
      <c r="U48" s="6"/>
    </row>
    <row r="49" spans="1:21" customFormat="1">
      <c r="A49" s="163" t="s">
        <v>3063</v>
      </c>
      <c r="B49" s="100">
        <v>5.52</v>
      </c>
      <c r="C49" s="100">
        <v>20.67</v>
      </c>
      <c r="D49" s="100">
        <v>16.579999999999998</v>
      </c>
      <c r="E49" s="100">
        <v>8.06</v>
      </c>
      <c r="F49" s="152" t="s">
        <v>15</v>
      </c>
      <c r="G49" s="100">
        <v>105.75</v>
      </c>
      <c r="H49" s="100">
        <v>39.549999999999997</v>
      </c>
      <c r="I49" s="100">
        <v>10.88</v>
      </c>
      <c r="J49" s="100">
        <v>1.51</v>
      </c>
      <c r="K49" s="100">
        <v>51.82</v>
      </c>
      <c r="L49" s="100">
        <v>34.450000000000003</v>
      </c>
      <c r="M49" s="100">
        <v>11.77</v>
      </c>
      <c r="N49" s="100">
        <v>502.5</v>
      </c>
      <c r="O49" s="100">
        <v>0</v>
      </c>
      <c r="P49" s="100">
        <v>0.79</v>
      </c>
      <c r="Q49" s="100">
        <v>28.15</v>
      </c>
      <c r="R49" s="6"/>
      <c r="S49" s="6"/>
      <c r="T49" s="156"/>
      <c r="U49" s="6"/>
    </row>
    <row r="50" spans="1:21" customFormat="1">
      <c r="A50" s="163" t="s">
        <v>3064</v>
      </c>
      <c r="B50" s="100">
        <v>6.14</v>
      </c>
      <c r="C50" s="100">
        <v>19.54</v>
      </c>
      <c r="D50" s="100">
        <v>16.489999999999998</v>
      </c>
      <c r="E50" s="100">
        <v>11.79</v>
      </c>
      <c r="F50" s="152" t="s">
        <v>15</v>
      </c>
      <c r="G50" s="100">
        <v>105.75</v>
      </c>
      <c r="H50" s="100">
        <v>39.549999999999997</v>
      </c>
      <c r="I50" s="100">
        <v>10.76</v>
      </c>
      <c r="J50" s="100">
        <v>1.68</v>
      </c>
      <c r="K50" s="100">
        <v>45.97</v>
      </c>
      <c r="L50" s="100">
        <v>34.78</v>
      </c>
      <c r="M50" s="100">
        <v>9.6999999999999993</v>
      </c>
      <c r="N50" s="100">
        <v>413.7</v>
      </c>
      <c r="O50" s="100">
        <v>0</v>
      </c>
      <c r="P50" s="100">
        <v>0.78</v>
      </c>
      <c r="Q50" s="100">
        <v>28.13</v>
      </c>
      <c r="R50" s="6"/>
      <c r="S50" s="6"/>
      <c r="T50" s="156"/>
      <c r="U50" s="6"/>
    </row>
    <row r="51" spans="1:21" customFormat="1">
      <c r="A51" s="163" t="s">
        <v>3065</v>
      </c>
      <c r="B51" s="100">
        <v>5.17</v>
      </c>
      <c r="C51" s="100">
        <v>20.03</v>
      </c>
      <c r="D51" s="100">
        <v>15.97</v>
      </c>
      <c r="E51" s="100">
        <v>13.67</v>
      </c>
      <c r="F51" s="152" t="s">
        <v>15</v>
      </c>
      <c r="G51" s="100">
        <v>105.75</v>
      </c>
      <c r="H51" s="100">
        <v>39.549999999999997</v>
      </c>
      <c r="I51" s="100">
        <v>10.68</v>
      </c>
      <c r="J51" s="100">
        <v>1.53</v>
      </c>
      <c r="K51" s="100">
        <v>52.73</v>
      </c>
      <c r="L51" s="100">
        <v>35.549999999999997</v>
      </c>
      <c r="M51" s="100">
        <v>9.8000000000000007</v>
      </c>
      <c r="N51" s="100">
        <v>588.70000000000005</v>
      </c>
      <c r="O51" s="100">
        <v>0</v>
      </c>
      <c r="P51" s="100">
        <v>0.77</v>
      </c>
      <c r="Q51" s="100">
        <v>28.11</v>
      </c>
      <c r="R51" s="6"/>
      <c r="S51" s="6"/>
      <c r="T51" s="156"/>
      <c r="U51" s="6"/>
    </row>
    <row r="52" spans="1:21" customFormat="1">
      <c r="A52" s="163" t="s">
        <v>3066</v>
      </c>
      <c r="B52" s="100">
        <v>4.82</v>
      </c>
      <c r="C52" s="100">
        <v>21.83</v>
      </c>
      <c r="D52" s="100">
        <v>16.62</v>
      </c>
      <c r="E52" s="100">
        <v>19.260000000000002</v>
      </c>
      <c r="F52" s="152" t="s">
        <v>15</v>
      </c>
      <c r="G52" s="100">
        <v>98.02</v>
      </c>
      <c r="H52" s="100">
        <v>38.07</v>
      </c>
      <c r="I52" s="100">
        <v>10.33</v>
      </c>
      <c r="J52" s="100">
        <v>1.45</v>
      </c>
      <c r="K52" s="100">
        <v>42.25</v>
      </c>
      <c r="L52" s="100">
        <v>35.880000000000003</v>
      </c>
      <c r="M52" s="100">
        <v>9.41</v>
      </c>
      <c r="N52" s="100">
        <v>622.4</v>
      </c>
      <c r="O52" s="100">
        <v>0</v>
      </c>
      <c r="P52" s="100">
        <v>0.76</v>
      </c>
      <c r="Q52" s="100">
        <v>28.1</v>
      </c>
      <c r="R52" s="6"/>
      <c r="S52" s="6"/>
      <c r="T52" s="156"/>
      <c r="U52" s="6"/>
    </row>
    <row r="53" spans="1:21" customFormat="1">
      <c r="A53" s="163" t="s">
        <v>3067</v>
      </c>
      <c r="B53" s="100">
        <v>4.6900000000000004</v>
      </c>
      <c r="C53" s="100">
        <v>21.29</v>
      </c>
      <c r="D53" s="100">
        <v>16.23</v>
      </c>
      <c r="E53" s="100">
        <v>17.73</v>
      </c>
      <c r="F53" s="152" t="s">
        <v>15</v>
      </c>
      <c r="G53" s="100">
        <v>95.05</v>
      </c>
      <c r="H53" s="100">
        <v>38</v>
      </c>
      <c r="I53" s="100">
        <v>10.24</v>
      </c>
      <c r="J53" s="100">
        <v>1.66</v>
      </c>
      <c r="K53" s="100">
        <v>39.43</v>
      </c>
      <c r="L53" s="100">
        <v>36.26</v>
      </c>
      <c r="M53" s="100">
        <v>8.81</v>
      </c>
      <c r="N53" s="100">
        <v>605.9</v>
      </c>
      <c r="O53" s="100">
        <v>0</v>
      </c>
      <c r="P53" s="100">
        <v>0.76</v>
      </c>
      <c r="Q53" s="100">
        <v>28.1</v>
      </c>
      <c r="R53" s="6"/>
      <c r="S53" s="6"/>
      <c r="T53" s="156"/>
      <c r="U53" s="6"/>
    </row>
    <row r="54" spans="1:21" customFormat="1">
      <c r="A54" s="163" t="s">
        <v>3068</v>
      </c>
      <c r="B54" s="100">
        <v>4.32</v>
      </c>
      <c r="C54" s="100">
        <v>20.32</v>
      </c>
      <c r="D54" s="100">
        <v>15.43</v>
      </c>
      <c r="E54" s="100">
        <v>19.36</v>
      </c>
      <c r="F54" s="152" t="s">
        <v>15</v>
      </c>
      <c r="G54" s="100">
        <v>95.05</v>
      </c>
      <c r="H54" s="100">
        <v>38</v>
      </c>
      <c r="I54" s="100">
        <v>9.91</v>
      </c>
      <c r="J54" s="100">
        <v>1.46</v>
      </c>
      <c r="K54" s="100">
        <v>42.12</v>
      </c>
      <c r="L54" s="100">
        <v>36.479999999999997</v>
      </c>
      <c r="M54" s="100">
        <v>8.25</v>
      </c>
      <c r="N54" s="100">
        <v>671.8</v>
      </c>
      <c r="O54" s="100">
        <v>0</v>
      </c>
      <c r="P54" s="100">
        <v>0.74</v>
      </c>
      <c r="Q54" s="100">
        <v>28.09</v>
      </c>
      <c r="R54" s="6"/>
      <c r="S54" s="6"/>
      <c r="T54" s="156"/>
      <c r="U54" s="6"/>
    </row>
    <row r="55" spans="1:21" customFormat="1">
      <c r="A55" s="163" t="s">
        <v>3069</v>
      </c>
      <c r="B55" s="100">
        <v>4.3499999999999996</v>
      </c>
      <c r="C55" s="100">
        <v>21.64</v>
      </c>
      <c r="D55" s="100">
        <v>16.149999999999999</v>
      </c>
      <c r="E55" s="100">
        <v>21.04</v>
      </c>
      <c r="F55" s="152" t="s">
        <v>15</v>
      </c>
      <c r="G55" s="100">
        <v>95.05</v>
      </c>
      <c r="H55" s="100">
        <v>38</v>
      </c>
      <c r="I55" s="100">
        <v>9.85</v>
      </c>
      <c r="J55" s="100">
        <v>1.5</v>
      </c>
      <c r="K55" s="100">
        <v>46.11</v>
      </c>
      <c r="L55" s="100">
        <v>37.04</v>
      </c>
      <c r="M55" s="100">
        <v>7.75</v>
      </c>
      <c r="N55" s="100">
        <v>615.70000000000005</v>
      </c>
      <c r="O55" s="100">
        <v>0</v>
      </c>
      <c r="P55" s="100">
        <v>0.73</v>
      </c>
      <c r="Q55" s="100">
        <v>28.08</v>
      </c>
      <c r="R55" s="6"/>
      <c r="S55" s="6"/>
      <c r="T55" s="156"/>
      <c r="U55" s="6"/>
    </row>
    <row r="56" spans="1:21" customFormat="1">
      <c r="A56" s="163" t="s">
        <v>3070</v>
      </c>
      <c r="B56" s="100">
        <v>4.49</v>
      </c>
      <c r="C56" s="100">
        <v>21.11</v>
      </c>
      <c r="D56" s="100">
        <v>15.99</v>
      </c>
      <c r="E56" s="100">
        <v>27.8</v>
      </c>
      <c r="F56" s="152" t="s">
        <v>15</v>
      </c>
      <c r="G56" s="100">
        <v>88.16</v>
      </c>
      <c r="H56" s="100">
        <v>35.69</v>
      </c>
      <c r="I56" s="100">
        <v>9.65</v>
      </c>
      <c r="J56" s="100">
        <v>1.1299999999999999</v>
      </c>
      <c r="K56" s="100">
        <v>16.86</v>
      </c>
      <c r="L56" s="100">
        <v>37.44</v>
      </c>
      <c r="M56" s="100">
        <v>7.76</v>
      </c>
      <c r="N56" s="100">
        <v>695.1</v>
      </c>
      <c r="O56" s="100">
        <v>0</v>
      </c>
      <c r="P56" s="100">
        <v>0.69</v>
      </c>
      <c r="Q56" s="100">
        <v>28.09</v>
      </c>
      <c r="R56" s="6"/>
      <c r="S56" s="6"/>
      <c r="T56" s="156"/>
      <c r="U56" s="6"/>
    </row>
    <row r="57" spans="1:21" customFormat="1">
      <c r="A57" s="163" t="s">
        <v>3071</v>
      </c>
      <c r="B57" s="100">
        <v>4.37</v>
      </c>
      <c r="C57" s="100">
        <v>21.49</v>
      </c>
      <c r="D57" s="100">
        <v>16.09</v>
      </c>
      <c r="E57" s="100">
        <v>18.57</v>
      </c>
      <c r="F57" s="152" t="s">
        <v>15</v>
      </c>
      <c r="G57" s="100">
        <v>85.66</v>
      </c>
      <c r="H57" s="100">
        <v>35.659999999999997</v>
      </c>
      <c r="I57" s="100">
        <v>9.2899999999999991</v>
      </c>
      <c r="J57" s="100">
        <v>0.95</v>
      </c>
      <c r="K57" s="100">
        <v>66.22</v>
      </c>
      <c r="L57" s="100">
        <v>37.9</v>
      </c>
      <c r="M57" s="100">
        <v>7.74</v>
      </c>
      <c r="N57" s="100">
        <v>695.2</v>
      </c>
      <c r="O57" s="100">
        <v>0</v>
      </c>
      <c r="P57" s="100">
        <v>0.73</v>
      </c>
      <c r="Q57" s="100">
        <v>28.09</v>
      </c>
      <c r="R57" s="6"/>
      <c r="S57" s="6"/>
      <c r="T57" s="156"/>
      <c r="U57" s="6"/>
    </row>
    <row r="58" spans="1:21" customFormat="1">
      <c r="A58" s="163" t="s">
        <v>3072</v>
      </c>
      <c r="B58" s="100">
        <v>4.0999999999999996</v>
      </c>
      <c r="C58" s="100">
        <v>21.72</v>
      </c>
      <c r="D58" s="100">
        <v>15.99</v>
      </c>
      <c r="E58" s="100">
        <v>21.4</v>
      </c>
      <c r="F58" s="152" t="s">
        <v>15</v>
      </c>
      <c r="G58" s="100">
        <v>85.66</v>
      </c>
      <c r="H58" s="100">
        <v>35.659999999999997</v>
      </c>
      <c r="I58" s="100">
        <v>8.89</v>
      </c>
      <c r="J58" s="100">
        <v>0.71</v>
      </c>
      <c r="K58" s="100">
        <v>55.65</v>
      </c>
      <c r="L58" s="100">
        <v>38.6</v>
      </c>
      <c r="M58" s="100">
        <v>7.64</v>
      </c>
      <c r="N58" s="100">
        <v>694.5</v>
      </c>
      <c r="O58" s="100">
        <v>0</v>
      </c>
      <c r="P58" s="100">
        <v>0.72</v>
      </c>
      <c r="Q58" s="100">
        <v>28.07</v>
      </c>
      <c r="R58" s="6"/>
      <c r="S58" s="6"/>
      <c r="T58" s="156"/>
      <c r="U58" s="6"/>
    </row>
    <row r="59" spans="1:21" customFormat="1">
      <c r="A59" s="163" t="s">
        <v>3073</v>
      </c>
      <c r="B59" s="100">
        <v>6.21</v>
      </c>
      <c r="C59" s="100">
        <v>25.98</v>
      </c>
      <c r="D59" s="100">
        <v>19.899999999999999</v>
      </c>
      <c r="E59" s="100">
        <v>32.64</v>
      </c>
      <c r="F59" s="152" t="s">
        <v>15</v>
      </c>
      <c r="G59" s="100">
        <v>85.66</v>
      </c>
      <c r="H59" s="100">
        <v>35.659999999999997</v>
      </c>
      <c r="I59" s="100">
        <v>9.2799999999999994</v>
      </c>
      <c r="J59" s="100">
        <v>1.31</v>
      </c>
      <c r="K59" s="100">
        <v>36.89</v>
      </c>
      <c r="L59" s="100">
        <v>38.549999999999997</v>
      </c>
      <c r="M59" s="100">
        <v>7.82</v>
      </c>
      <c r="N59" s="100">
        <v>690.9</v>
      </c>
      <c r="O59" s="100">
        <v>0</v>
      </c>
      <c r="P59" s="100">
        <v>0.67</v>
      </c>
      <c r="Q59" s="100">
        <v>28.09</v>
      </c>
      <c r="R59" s="6"/>
      <c r="S59" s="6"/>
      <c r="T59" s="156"/>
      <c r="U59" s="6"/>
    </row>
    <row r="60" spans="1:21" customFormat="1">
      <c r="A60" s="163" t="s">
        <v>3074</v>
      </c>
      <c r="B60" s="100">
        <v>4.84</v>
      </c>
      <c r="C60" s="100">
        <v>25.31</v>
      </c>
      <c r="D60" s="100">
        <v>18.45</v>
      </c>
      <c r="E60" s="100">
        <v>38.42</v>
      </c>
      <c r="F60" s="152" t="s">
        <v>15</v>
      </c>
      <c r="G60" s="100">
        <v>81.99</v>
      </c>
      <c r="H60" s="100">
        <v>36.19</v>
      </c>
      <c r="I60" s="100">
        <v>8.94</v>
      </c>
      <c r="J60" s="100">
        <v>0.97</v>
      </c>
      <c r="K60" s="100">
        <v>26.93</v>
      </c>
      <c r="L60" s="100">
        <v>38.840000000000003</v>
      </c>
      <c r="M60" s="100">
        <v>7.94</v>
      </c>
      <c r="N60" s="100">
        <v>675.1</v>
      </c>
      <c r="O60" s="100">
        <v>0</v>
      </c>
      <c r="P60" s="100">
        <v>0.63</v>
      </c>
      <c r="Q60" s="100">
        <v>28.11</v>
      </c>
      <c r="R60" s="6"/>
      <c r="S60" s="6"/>
      <c r="T60" s="156"/>
      <c r="U60" s="6"/>
    </row>
    <row r="61" spans="1:21" customFormat="1">
      <c r="A61" s="163" t="s">
        <v>3075</v>
      </c>
      <c r="B61" s="100">
        <v>5.05</v>
      </c>
      <c r="C61" s="100">
        <v>24.24</v>
      </c>
      <c r="D61" s="100">
        <v>18.059999999999999</v>
      </c>
      <c r="E61" s="100">
        <v>31.27</v>
      </c>
      <c r="F61" s="152" t="s">
        <v>15</v>
      </c>
      <c r="G61" s="100">
        <v>80.58</v>
      </c>
      <c r="H61" s="100">
        <v>36.19</v>
      </c>
      <c r="I61" s="100">
        <v>8.61</v>
      </c>
      <c r="J61" s="100">
        <v>0.79</v>
      </c>
      <c r="K61" s="100">
        <v>4.57</v>
      </c>
      <c r="L61" s="100">
        <v>39.06</v>
      </c>
      <c r="M61" s="100">
        <v>7.98</v>
      </c>
      <c r="N61" s="100">
        <v>649.70000000000005</v>
      </c>
      <c r="O61" s="100">
        <v>0</v>
      </c>
      <c r="P61" s="100">
        <v>0.64</v>
      </c>
      <c r="Q61" s="100">
        <v>28.1</v>
      </c>
      <c r="R61" s="6"/>
      <c r="S61" s="6"/>
      <c r="T61" s="156"/>
      <c r="U61" s="6"/>
    </row>
    <row r="62" spans="1:21" customFormat="1">
      <c r="A62" s="163" t="s">
        <v>3076</v>
      </c>
      <c r="B62" s="100">
        <v>4.1500000000000004</v>
      </c>
      <c r="C62" s="100">
        <v>23.12</v>
      </c>
      <c r="D62" s="100">
        <v>16.760000000000002</v>
      </c>
      <c r="E62" s="100">
        <v>31.45</v>
      </c>
      <c r="F62" s="152" t="s">
        <v>15</v>
      </c>
      <c r="G62" s="100">
        <v>80.58</v>
      </c>
      <c r="H62" s="100">
        <v>36.19</v>
      </c>
      <c r="I62" s="100">
        <v>8.14</v>
      </c>
      <c r="J62" s="100">
        <v>0.84</v>
      </c>
      <c r="K62" s="100">
        <v>27.06</v>
      </c>
      <c r="L62" s="100">
        <v>39.32</v>
      </c>
      <c r="M62" s="100">
        <v>7.58</v>
      </c>
      <c r="N62" s="100">
        <v>600.29999999999995</v>
      </c>
      <c r="O62" s="100">
        <v>0</v>
      </c>
      <c r="P62" s="100">
        <v>0.62</v>
      </c>
      <c r="Q62" s="100">
        <v>28.08</v>
      </c>
      <c r="R62" s="6"/>
      <c r="S62" s="6"/>
      <c r="T62" s="156"/>
      <c r="U62" s="6"/>
    </row>
    <row r="63" spans="1:21" customFormat="1">
      <c r="A63" s="163" t="s">
        <v>3077</v>
      </c>
      <c r="B63" s="100">
        <v>3.91</v>
      </c>
      <c r="C63" s="100">
        <v>22.5</v>
      </c>
      <c r="D63" s="100">
        <v>16.239999999999998</v>
      </c>
      <c r="E63" s="100">
        <v>28.35</v>
      </c>
      <c r="F63" s="152" t="s">
        <v>15</v>
      </c>
      <c r="G63" s="100">
        <v>80.58</v>
      </c>
      <c r="H63" s="100">
        <v>36.19</v>
      </c>
      <c r="I63" s="100">
        <v>8.18</v>
      </c>
      <c r="J63" s="100">
        <v>0.61</v>
      </c>
      <c r="K63" s="100">
        <v>345.96</v>
      </c>
      <c r="L63" s="100">
        <v>39.64</v>
      </c>
      <c r="M63" s="100">
        <v>7.88</v>
      </c>
      <c r="N63" s="100">
        <v>565.29999999999995</v>
      </c>
      <c r="O63" s="100">
        <v>0</v>
      </c>
      <c r="P63" s="100">
        <v>0.62</v>
      </c>
      <c r="Q63" s="100">
        <v>28.07</v>
      </c>
      <c r="R63" s="6"/>
      <c r="S63" s="6"/>
      <c r="T63" s="156"/>
      <c r="U63" s="6"/>
    </row>
    <row r="64" spans="1:21" customFormat="1">
      <c r="A64" s="163" t="s">
        <v>3078</v>
      </c>
      <c r="B64" s="100">
        <v>3.84</v>
      </c>
      <c r="C64" s="100">
        <v>21.87</v>
      </c>
      <c r="D64" s="100">
        <v>15.86</v>
      </c>
      <c r="E64" s="100">
        <v>22.76</v>
      </c>
      <c r="F64" s="152" t="s">
        <v>15</v>
      </c>
      <c r="G64" s="100">
        <v>82.62</v>
      </c>
      <c r="H64" s="100">
        <v>36.78</v>
      </c>
      <c r="I64" s="100">
        <v>7.88</v>
      </c>
      <c r="J64" s="100">
        <v>0.89</v>
      </c>
      <c r="K64" s="100">
        <v>331.74</v>
      </c>
      <c r="L64" s="100">
        <v>39.299999999999997</v>
      </c>
      <c r="M64" s="100">
        <v>8.44</v>
      </c>
      <c r="N64" s="100">
        <v>562.9</v>
      </c>
      <c r="O64" s="100">
        <v>0</v>
      </c>
      <c r="P64" s="100">
        <v>0.6</v>
      </c>
      <c r="Q64" s="100">
        <v>28.08</v>
      </c>
      <c r="R64" s="6"/>
      <c r="S64" s="6"/>
      <c r="T64" s="156"/>
      <c r="U64" s="6"/>
    </row>
    <row r="65" spans="1:21" customFormat="1">
      <c r="A65" s="163" t="s">
        <v>3079</v>
      </c>
      <c r="B65" s="100">
        <v>3.66</v>
      </c>
      <c r="C65" s="100">
        <v>21.05</v>
      </c>
      <c r="D65" s="100">
        <v>15.28</v>
      </c>
      <c r="E65" s="100">
        <v>21.77</v>
      </c>
      <c r="F65" s="152" t="s">
        <v>15</v>
      </c>
      <c r="G65" s="100">
        <v>83.36</v>
      </c>
      <c r="H65" s="100">
        <v>36.79</v>
      </c>
      <c r="I65" s="100">
        <v>7.76</v>
      </c>
      <c r="J65" s="100">
        <v>0.38</v>
      </c>
      <c r="K65" s="100">
        <v>12.28</v>
      </c>
      <c r="L65" s="100">
        <v>39.630000000000003</v>
      </c>
      <c r="M65" s="100">
        <v>8.08</v>
      </c>
      <c r="N65" s="100">
        <v>537.70000000000005</v>
      </c>
      <c r="O65" s="100">
        <v>0</v>
      </c>
      <c r="P65" s="100">
        <v>0.57999999999999996</v>
      </c>
      <c r="Q65" s="100">
        <v>28.06</v>
      </c>
      <c r="R65" s="6"/>
      <c r="S65" s="6"/>
      <c r="T65" s="156"/>
      <c r="U65" s="6"/>
    </row>
    <row r="66" spans="1:21" customFormat="1">
      <c r="A66" s="163" t="s">
        <v>3080</v>
      </c>
      <c r="B66" s="100">
        <v>3.53</v>
      </c>
      <c r="C66" s="100">
        <v>19.66</v>
      </c>
      <c r="D66" s="100">
        <v>14.45</v>
      </c>
      <c r="E66" s="100">
        <v>20.09</v>
      </c>
      <c r="F66" s="152" t="s">
        <v>15</v>
      </c>
      <c r="G66" s="100">
        <v>83.36</v>
      </c>
      <c r="H66" s="100">
        <v>36.79</v>
      </c>
      <c r="I66" s="100">
        <v>7.64</v>
      </c>
      <c r="J66" s="100">
        <v>0.34</v>
      </c>
      <c r="K66" s="100">
        <v>296.43</v>
      </c>
      <c r="L66" s="100">
        <v>40</v>
      </c>
      <c r="M66" s="100">
        <v>8.07</v>
      </c>
      <c r="N66" s="100">
        <v>518</v>
      </c>
      <c r="O66" s="100">
        <v>0</v>
      </c>
      <c r="P66" s="100">
        <v>0.6</v>
      </c>
      <c r="Q66" s="100">
        <v>28.08</v>
      </c>
      <c r="R66" s="6"/>
      <c r="S66" s="6"/>
      <c r="T66" s="156"/>
      <c r="U66" s="6"/>
    </row>
    <row r="67" spans="1:21" customFormat="1">
      <c r="A67" s="163" t="s">
        <v>3081</v>
      </c>
      <c r="B67" s="100">
        <v>3.49</v>
      </c>
      <c r="C67" s="100">
        <v>18.670000000000002</v>
      </c>
      <c r="D67" s="100">
        <v>13.91</v>
      </c>
      <c r="E67" s="100">
        <v>16.440000000000001</v>
      </c>
      <c r="F67" s="152" t="s">
        <v>15</v>
      </c>
      <c r="G67" s="100">
        <v>83.36</v>
      </c>
      <c r="H67" s="100">
        <v>36.79</v>
      </c>
      <c r="I67" s="100">
        <v>7.48</v>
      </c>
      <c r="J67" s="100">
        <v>0.71</v>
      </c>
      <c r="K67" s="100">
        <v>62.43</v>
      </c>
      <c r="L67" s="100">
        <v>40.229999999999997</v>
      </c>
      <c r="M67" s="100">
        <v>7.69</v>
      </c>
      <c r="N67" s="100">
        <v>363.1</v>
      </c>
      <c r="O67" s="100">
        <v>0</v>
      </c>
      <c r="P67" s="100">
        <v>0.6</v>
      </c>
      <c r="Q67" s="100">
        <v>28.08</v>
      </c>
      <c r="R67" s="6"/>
      <c r="S67" s="6"/>
      <c r="T67" s="156"/>
      <c r="U67" s="6"/>
    </row>
    <row r="68" spans="1:21" customFormat="1">
      <c r="A68" s="163" t="s">
        <v>3082</v>
      </c>
      <c r="B68" s="100">
        <v>4.62</v>
      </c>
      <c r="C68" s="100">
        <v>16.47</v>
      </c>
      <c r="D68" s="100">
        <v>13.66</v>
      </c>
      <c r="E68" s="100">
        <v>18.53</v>
      </c>
      <c r="F68" s="152" t="s">
        <v>15</v>
      </c>
      <c r="G68" s="100">
        <v>81.84</v>
      </c>
      <c r="H68" s="100">
        <v>32.840000000000003</v>
      </c>
      <c r="I68" s="100">
        <v>7.45</v>
      </c>
      <c r="J68" s="100">
        <v>0.67</v>
      </c>
      <c r="K68" s="100">
        <v>337.39</v>
      </c>
      <c r="L68" s="100">
        <v>40.07</v>
      </c>
      <c r="M68" s="100">
        <v>8.42</v>
      </c>
      <c r="N68" s="100">
        <v>446.8</v>
      </c>
      <c r="O68" s="100">
        <v>0</v>
      </c>
      <c r="P68" s="100">
        <v>0.59</v>
      </c>
      <c r="Q68" s="100">
        <v>28.07</v>
      </c>
      <c r="R68" s="6"/>
      <c r="S68" s="6"/>
      <c r="T68" s="156"/>
      <c r="U68" s="6"/>
    </row>
    <row r="69" spans="1:21" customFormat="1">
      <c r="A69" s="163" t="s">
        <v>3083</v>
      </c>
      <c r="B69" s="100">
        <v>3.86</v>
      </c>
      <c r="C69" s="100">
        <v>17.510000000000002</v>
      </c>
      <c r="D69" s="100">
        <v>13.6</v>
      </c>
      <c r="E69" s="100">
        <v>21.51</v>
      </c>
      <c r="F69" s="152" t="s">
        <v>15</v>
      </c>
      <c r="G69" s="100">
        <v>81.28</v>
      </c>
      <c r="H69" s="100">
        <v>32.78</v>
      </c>
      <c r="I69" s="100">
        <v>7.35</v>
      </c>
      <c r="J69" s="100">
        <v>0.56000000000000005</v>
      </c>
      <c r="K69" s="100">
        <v>343.35</v>
      </c>
      <c r="L69" s="100">
        <v>40</v>
      </c>
      <c r="M69" s="100">
        <v>8.25</v>
      </c>
      <c r="N69" s="100">
        <v>413</v>
      </c>
      <c r="O69" s="100">
        <v>0</v>
      </c>
      <c r="P69" s="100">
        <v>0.59</v>
      </c>
      <c r="Q69" s="100">
        <v>28.06</v>
      </c>
      <c r="R69" s="6"/>
      <c r="S69" s="6"/>
      <c r="T69" s="156"/>
      <c r="U69" s="6"/>
    </row>
    <row r="70" spans="1:21" customFormat="1">
      <c r="A70" s="163" t="s">
        <v>3084</v>
      </c>
      <c r="B70" s="100">
        <v>3.71</v>
      </c>
      <c r="C70" s="100">
        <v>18.12</v>
      </c>
      <c r="D70" s="100">
        <v>13.79</v>
      </c>
      <c r="E70" s="100">
        <v>21.61</v>
      </c>
      <c r="F70" s="152" t="s">
        <v>15</v>
      </c>
      <c r="G70" s="100">
        <v>81.28</v>
      </c>
      <c r="H70" s="100">
        <v>32.78</v>
      </c>
      <c r="I70" s="100">
        <v>7.13</v>
      </c>
      <c r="J70" s="100">
        <v>0.86</v>
      </c>
      <c r="K70" s="100">
        <v>35.11</v>
      </c>
      <c r="L70" s="100">
        <v>40.03</v>
      </c>
      <c r="M70" s="100">
        <v>8.1999999999999993</v>
      </c>
      <c r="N70" s="100">
        <v>381.4</v>
      </c>
      <c r="O70" s="100">
        <v>0</v>
      </c>
      <c r="P70" s="100">
        <v>0.57999999999999996</v>
      </c>
      <c r="Q70" s="100">
        <v>28.06</v>
      </c>
      <c r="R70" s="6"/>
      <c r="S70" s="6"/>
      <c r="T70" s="156"/>
      <c r="U70" s="6"/>
    </row>
    <row r="71" spans="1:21" customFormat="1">
      <c r="A71" s="163" t="s">
        <v>3085</v>
      </c>
      <c r="B71" s="100">
        <v>3.82</v>
      </c>
      <c r="C71" s="100">
        <v>18.850000000000001</v>
      </c>
      <c r="D71" s="100">
        <v>14.26</v>
      </c>
      <c r="E71" s="100">
        <v>20.36</v>
      </c>
      <c r="F71" s="152" t="s">
        <v>15</v>
      </c>
      <c r="G71" s="100">
        <v>81.28</v>
      </c>
      <c r="H71" s="100">
        <v>32.78</v>
      </c>
      <c r="I71" s="100">
        <v>6.89</v>
      </c>
      <c r="J71" s="100">
        <v>0.99</v>
      </c>
      <c r="K71" s="100">
        <v>24.34</v>
      </c>
      <c r="L71" s="100">
        <v>39.4</v>
      </c>
      <c r="M71" s="100">
        <v>8.73</v>
      </c>
      <c r="N71" s="100">
        <v>368.4</v>
      </c>
      <c r="O71" s="100">
        <v>0</v>
      </c>
      <c r="P71" s="100">
        <v>0.56999999999999995</v>
      </c>
      <c r="Q71" s="100">
        <v>28.08</v>
      </c>
      <c r="R71" s="6"/>
      <c r="S71" s="6"/>
      <c r="T71" s="156"/>
      <c r="U71" s="6"/>
    </row>
    <row r="72" spans="1:21" customFormat="1">
      <c r="A72" s="163" t="s">
        <v>3086</v>
      </c>
      <c r="B72" s="100">
        <v>3.8</v>
      </c>
      <c r="C72" s="100">
        <v>18.440000000000001</v>
      </c>
      <c r="D72" s="100">
        <v>14.04</v>
      </c>
      <c r="E72" s="100">
        <v>29.26</v>
      </c>
      <c r="F72" s="152" t="s">
        <v>15</v>
      </c>
      <c r="G72" s="100">
        <v>76.959999999999994</v>
      </c>
      <c r="H72" s="100">
        <v>32.44</v>
      </c>
      <c r="I72" s="100">
        <v>6.74</v>
      </c>
      <c r="J72" s="100">
        <v>0.94</v>
      </c>
      <c r="K72" s="100">
        <v>25.28</v>
      </c>
      <c r="L72" s="100">
        <v>39.159999999999997</v>
      </c>
      <c r="M72" s="100">
        <v>8.86</v>
      </c>
      <c r="N72" s="100">
        <v>262.89999999999998</v>
      </c>
      <c r="O72" s="100">
        <v>0</v>
      </c>
      <c r="P72" s="100">
        <v>0.55000000000000004</v>
      </c>
      <c r="Q72" s="100">
        <v>28.07</v>
      </c>
      <c r="R72" s="6"/>
      <c r="S72" s="6"/>
      <c r="T72" s="156"/>
      <c r="U72" s="6"/>
    </row>
    <row r="73" spans="1:21" customFormat="1">
      <c r="A73" s="163" t="s">
        <v>3087</v>
      </c>
      <c r="B73" s="100">
        <v>3.68</v>
      </c>
      <c r="C73" s="100">
        <v>18.38</v>
      </c>
      <c r="D73" s="100">
        <v>13.9</v>
      </c>
      <c r="E73" s="100">
        <v>30.09</v>
      </c>
      <c r="F73" s="152" t="s">
        <v>15</v>
      </c>
      <c r="G73" s="100">
        <v>75.39</v>
      </c>
      <c r="H73" s="100">
        <v>32.44</v>
      </c>
      <c r="I73" s="100">
        <v>6.64</v>
      </c>
      <c r="J73" s="100">
        <v>0.62</v>
      </c>
      <c r="K73" s="100">
        <v>16.86</v>
      </c>
      <c r="L73" s="100">
        <v>38.85</v>
      </c>
      <c r="M73" s="100">
        <v>9.07</v>
      </c>
      <c r="N73" s="100">
        <v>138.19999999999999</v>
      </c>
      <c r="O73" s="100">
        <v>0</v>
      </c>
      <c r="P73" s="100">
        <v>0.56999999999999995</v>
      </c>
      <c r="Q73" s="100">
        <v>28.05</v>
      </c>
      <c r="R73" s="6"/>
      <c r="S73" s="6"/>
      <c r="T73" s="156"/>
      <c r="U73" s="6"/>
    </row>
    <row r="74" spans="1:21" customFormat="1">
      <c r="A74" s="163" t="s">
        <v>3088</v>
      </c>
      <c r="B74" s="100">
        <v>4.47</v>
      </c>
      <c r="C74" s="100">
        <v>21.07</v>
      </c>
      <c r="D74" s="100">
        <v>15.95</v>
      </c>
      <c r="E74" s="100">
        <v>38.049999999999997</v>
      </c>
      <c r="F74" s="152" t="s">
        <v>15</v>
      </c>
      <c r="G74" s="100">
        <v>75.39</v>
      </c>
      <c r="H74" s="100">
        <v>32.44</v>
      </c>
      <c r="I74" s="100">
        <v>6.46</v>
      </c>
      <c r="J74" s="100">
        <v>0.77</v>
      </c>
      <c r="K74" s="100">
        <v>33.35</v>
      </c>
      <c r="L74" s="100">
        <v>38.54</v>
      </c>
      <c r="M74" s="100">
        <v>9.4600000000000009</v>
      </c>
      <c r="N74" s="100">
        <v>147</v>
      </c>
      <c r="O74" s="100">
        <v>0</v>
      </c>
      <c r="P74" s="100">
        <v>0.57999999999999996</v>
      </c>
      <c r="Q74" s="100">
        <v>28.06</v>
      </c>
      <c r="R74" s="6"/>
      <c r="S74" s="6"/>
      <c r="T74" s="156"/>
      <c r="U74" s="6"/>
    </row>
    <row r="75" spans="1:21" customFormat="1">
      <c r="A75" s="163" t="s">
        <v>3089</v>
      </c>
      <c r="B75" s="100">
        <v>4.5</v>
      </c>
      <c r="C75" s="100">
        <v>23.27</v>
      </c>
      <c r="D75" s="100">
        <v>17.12</v>
      </c>
      <c r="E75" s="100">
        <v>45.09</v>
      </c>
      <c r="F75" s="152" t="s">
        <v>15</v>
      </c>
      <c r="G75" s="100">
        <v>75.39</v>
      </c>
      <c r="H75" s="100">
        <v>32.44</v>
      </c>
      <c r="I75" s="100">
        <v>6.48</v>
      </c>
      <c r="J75" s="100">
        <v>0.57999999999999996</v>
      </c>
      <c r="K75" s="100">
        <v>34.799999999999997</v>
      </c>
      <c r="L75" s="100">
        <v>38.590000000000003</v>
      </c>
      <c r="M75" s="100">
        <v>9.5299999999999994</v>
      </c>
      <c r="N75" s="100">
        <v>124.8</v>
      </c>
      <c r="O75" s="100">
        <v>0</v>
      </c>
      <c r="P75" s="100">
        <v>0.59</v>
      </c>
      <c r="Q75" s="100">
        <v>28.06</v>
      </c>
      <c r="R75" s="6"/>
      <c r="S75" s="6"/>
      <c r="T75" s="156"/>
      <c r="U75" s="6"/>
    </row>
    <row r="76" spans="1:21" customFormat="1">
      <c r="A76" s="163" t="s">
        <v>3090</v>
      </c>
      <c r="B76" s="100">
        <v>4.6100000000000003</v>
      </c>
      <c r="C76" s="100">
        <v>23.03</v>
      </c>
      <c r="D76" s="100">
        <v>17.079999999999998</v>
      </c>
      <c r="E76" s="100">
        <v>39.35</v>
      </c>
      <c r="F76" s="152" t="s">
        <v>15</v>
      </c>
      <c r="G76" s="100">
        <v>76.569999999999993</v>
      </c>
      <c r="H76" s="100">
        <v>28.99</v>
      </c>
      <c r="I76" s="100">
        <v>6.38</v>
      </c>
      <c r="J76" s="100">
        <v>0.66</v>
      </c>
      <c r="K76" s="100">
        <v>35.76</v>
      </c>
      <c r="L76" s="100">
        <v>38.200000000000003</v>
      </c>
      <c r="M76" s="100">
        <v>9.61</v>
      </c>
      <c r="N76" s="100">
        <v>107.9</v>
      </c>
      <c r="O76" s="100">
        <v>0</v>
      </c>
      <c r="P76" s="100">
        <v>0.57999999999999996</v>
      </c>
      <c r="Q76" s="100">
        <v>28.07</v>
      </c>
      <c r="R76" s="6"/>
      <c r="S76" s="6"/>
      <c r="T76" s="156"/>
      <c r="U76" s="6"/>
    </row>
    <row r="77" spans="1:21" customFormat="1">
      <c r="A77" s="163" t="s">
        <v>3091</v>
      </c>
      <c r="B77" s="100">
        <v>5.03</v>
      </c>
      <c r="C77" s="100">
        <v>28.22</v>
      </c>
      <c r="D77" s="100">
        <v>20.14</v>
      </c>
      <c r="E77" s="100">
        <v>29.49</v>
      </c>
      <c r="F77" s="152" t="s">
        <v>15</v>
      </c>
      <c r="G77" s="100">
        <v>77</v>
      </c>
      <c r="H77" s="100">
        <v>28.9</v>
      </c>
      <c r="I77" s="100">
        <v>6.6</v>
      </c>
      <c r="J77" s="100">
        <v>0.49</v>
      </c>
      <c r="K77" s="100">
        <v>68.06</v>
      </c>
      <c r="L77" s="100">
        <v>37.92</v>
      </c>
      <c r="M77" s="100">
        <v>9.84</v>
      </c>
      <c r="N77" s="100">
        <v>69.2</v>
      </c>
      <c r="O77" s="100">
        <v>0</v>
      </c>
      <c r="P77" s="100">
        <v>0.6</v>
      </c>
      <c r="Q77" s="100">
        <v>28.05</v>
      </c>
      <c r="R77" s="6"/>
      <c r="S77" s="6"/>
      <c r="T77" s="156"/>
      <c r="U77" s="6"/>
    </row>
    <row r="78" spans="1:21" customFormat="1">
      <c r="A78" s="163" t="s">
        <v>3092</v>
      </c>
      <c r="B78" s="100">
        <v>4.72</v>
      </c>
      <c r="C78" s="100">
        <v>28.32</v>
      </c>
      <c r="D78" s="100">
        <v>19.93</v>
      </c>
      <c r="E78" s="100">
        <v>25.96</v>
      </c>
      <c r="F78" s="152" t="s">
        <v>15</v>
      </c>
      <c r="G78" s="100">
        <v>77</v>
      </c>
      <c r="H78" s="100">
        <v>28.9</v>
      </c>
      <c r="I78" s="100">
        <v>6.6</v>
      </c>
      <c r="J78" s="100">
        <v>0.57999999999999996</v>
      </c>
      <c r="K78" s="100">
        <v>63.43</v>
      </c>
      <c r="L78" s="100">
        <v>37.44</v>
      </c>
      <c r="M78" s="100">
        <v>10.52</v>
      </c>
      <c r="N78" s="100">
        <v>47.5</v>
      </c>
      <c r="O78" s="100">
        <v>0</v>
      </c>
      <c r="P78" s="100">
        <v>0.67</v>
      </c>
      <c r="Q78" s="100">
        <v>28.05</v>
      </c>
      <c r="R78" s="6"/>
      <c r="S78" s="6"/>
      <c r="T78" s="156"/>
      <c r="U78" s="6"/>
    </row>
    <row r="79" spans="1:21" customFormat="1">
      <c r="A79" s="163" t="s">
        <v>3093</v>
      </c>
      <c r="B79" s="100">
        <v>4.2699999999999996</v>
      </c>
      <c r="C79" s="100">
        <v>26.54</v>
      </c>
      <c r="D79" s="100">
        <v>18.64</v>
      </c>
      <c r="E79" s="100">
        <v>23.42</v>
      </c>
      <c r="F79" s="152" t="s">
        <v>15</v>
      </c>
      <c r="G79" s="100">
        <v>77</v>
      </c>
      <c r="H79" s="100">
        <v>28.9</v>
      </c>
      <c r="I79" s="100">
        <v>6.48</v>
      </c>
      <c r="J79" s="100">
        <v>0.21</v>
      </c>
      <c r="K79" s="100">
        <v>79.66</v>
      </c>
      <c r="L79" s="100">
        <v>36.58</v>
      </c>
      <c r="M79" s="100">
        <v>12.91</v>
      </c>
      <c r="N79" s="100">
        <v>31.7</v>
      </c>
      <c r="O79" s="100">
        <v>0</v>
      </c>
      <c r="P79" s="100">
        <v>0.63</v>
      </c>
      <c r="Q79" s="100">
        <v>28.09</v>
      </c>
      <c r="R79" s="6"/>
      <c r="S79" s="6"/>
      <c r="T79" s="156"/>
      <c r="U79" s="6"/>
    </row>
    <row r="80" spans="1:21" customFormat="1">
      <c r="A80" s="163" t="s">
        <v>3094</v>
      </c>
      <c r="B80" s="100">
        <v>7.16</v>
      </c>
      <c r="C80" s="100">
        <v>36.35</v>
      </c>
      <c r="D80" s="100">
        <v>26.09</v>
      </c>
      <c r="E80" s="100">
        <v>21.17</v>
      </c>
      <c r="F80" s="152" t="s">
        <v>15</v>
      </c>
      <c r="G80" s="100">
        <v>75.83</v>
      </c>
      <c r="H80" s="100">
        <v>28.23</v>
      </c>
      <c r="I80" s="100">
        <v>6.68</v>
      </c>
      <c r="J80" s="100">
        <v>0.44</v>
      </c>
      <c r="K80" s="100">
        <v>49.6</v>
      </c>
      <c r="L80" s="100">
        <v>35.840000000000003</v>
      </c>
      <c r="M80" s="100">
        <v>13.25</v>
      </c>
      <c r="N80" s="100">
        <v>18.5</v>
      </c>
      <c r="O80" s="100">
        <v>0</v>
      </c>
      <c r="P80" s="100">
        <v>0.75</v>
      </c>
      <c r="Q80" s="100">
        <v>28.1</v>
      </c>
      <c r="R80" s="6"/>
      <c r="S80" s="6"/>
      <c r="T80" s="156"/>
      <c r="U80" s="6"/>
    </row>
    <row r="81" spans="1:21" customFormat="1">
      <c r="A81" s="163" t="s">
        <v>3095</v>
      </c>
      <c r="B81" s="100">
        <v>7.04</v>
      </c>
      <c r="C81" s="100">
        <v>33.619999999999997</v>
      </c>
      <c r="D81" s="100">
        <v>24.56</v>
      </c>
      <c r="E81" s="100">
        <v>11.69</v>
      </c>
      <c r="F81" s="152" t="s">
        <v>15</v>
      </c>
      <c r="G81" s="100">
        <v>75.400000000000006</v>
      </c>
      <c r="H81" s="100">
        <v>28.22</v>
      </c>
      <c r="I81" s="100">
        <v>6.37</v>
      </c>
      <c r="J81" s="100">
        <v>0.46</v>
      </c>
      <c r="K81" s="100">
        <v>50.53</v>
      </c>
      <c r="L81" s="100">
        <v>35.299999999999997</v>
      </c>
      <c r="M81" s="100">
        <v>13.38</v>
      </c>
      <c r="N81" s="100">
        <v>9.6</v>
      </c>
      <c r="O81" s="100">
        <v>0</v>
      </c>
      <c r="P81" s="100">
        <v>0.78</v>
      </c>
      <c r="Q81" s="100">
        <v>28.1</v>
      </c>
      <c r="R81" s="6"/>
      <c r="S81" s="6"/>
      <c r="T81" s="156"/>
      <c r="U81" s="6"/>
    </row>
    <row r="82" spans="1:21" customFormat="1">
      <c r="A82" s="163" t="s">
        <v>3096</v>
      </c>
      <c r="B82" s="100">
        <v>5.63</v>
      </c>
      <c r="C82" s="100">
        <v>29.66</v>
      </c>
      <c r="D82" s="100">
        <v>21.36</v>
      </c>
      <c r="E82" s="100">
        <v>15.48</v>
      </c>
      <c r="F82" s="152" t="s">
        <v>15</v>
      </c>
      <c r="G82" s="100">
        <v>75.400000000000006</v>
      </c>
      <c r="H82" s="100">
        <v>28.22</v>
      </c>
      <c r="I82" s="100">
        <v>7.19</v>
      </c>
      <c r="J82" s="100">
        <v>0.23</v>
      </c>
      <c r="K82" s="100">
        <v>153.55000000000001</v>
      </c>
      <c r="L82" s="100">
        <v>33.86</v>
      </c>
      <c r="M82" s="100">
        <v>17.510000000000002</v>
      </c>
      <c r="N82" s="100">
        <v>7.4</v>
      </c>
      <c r="O82" s="100">
        <v>0</v>
      </c>
      <c r="P82" s="100">
        <v>0.74</v>
      </c>
      <c r="Q82" s="100">
        <v>28.1</v>
      </c>
      <c r="R82" s="6"/>
      <c r="S82" s="6"/>
      <c r="T82" s="156"/>
      <c r="U82" s="6"/>
    </row>
    <row r="83" spans="1:21" customFormat="1">
      <c r="A83" s="163" t="s">
        <v>3097</v>
      </c>
      <c r="B83" s="100">
        <v>4.72</v>
      </c>
      <c r="C83" s="100">
        <v>28.18</v>
      </c>
      <c r="D83" s="100">
        <v>19.86</v>
      </c>
      <c r="E83" s="100">
        <v>14.2</v>
      </c>
      <c r="F83" s="152" t="s">
        <v>15</v>
      </c>
      <c r="G83" s="100">
        <v>75.400000000000006</v>
      </c>
      <c r="H83" s="100">
        <v>28.22</v>
      </c>
      <c r="I83" s="100">
        <v>7.93</v>
      </c>
      <c r="J83" s="100">
        <v>0.22</v>
      </c>
      <c r="K83" s="100">
        <v>147.97</v>
      </c>
      <c r="L83" s="100">
        <v>32.549999999999997</v>
      </c>
      <c r="M83" s="100">
        <v>19.23</v>
      </c>
      <c r="N83" s="100">
        <v>6.4</v>
      </c>
      <c r="O83" s="100">
        <v>0</v>
      </c>
      <c r="P83" s="100">
        <v>0.76</v>
      </c>
      <c r="Q83" s="100">
        <v>28.1</v>
      </c>
      <c r="R83" s="6"/>
      <c r="S83" s="6"/>
      <c r="T83" s="156"/>
      <c r="U83" s="6"/>
    </row>
    <row r="84" spans="1:21" customFormat="1">
      <c r="A84" s="163" t="s">
        <v>3098</v>
      </c>
      <c r="B84" s="100">
        <v>5.03</v>
      </c>
      <c r="C84" s="100">
        <v>29.65</v>
      </c>
      <c r="D84" s="100">
        <v>20.87</v>
      </c>
      <c r="E84" s="100">
        <v>13.04</v>
      </c>
      <c r="F84" s="152" t="s">
        <v>15</v>
      </c>
      <c r="G84" s="100">
        <v>86.13</v>
      </c>
      <c r="H84" s="100">
        <v>31.96</v>
      </c>
      <c r="I84" s="100">
        <v>7.96</v>
      </c>
      <c r="J84" s="100">
        <v>0.25</v>
      </c>
      <c r="K84" s="100">
        <v>167.45</v>
      </c>
      <c r="L84" s="100">
        <v>31.85</v>
      </c>
      <c r="M84" s="100">
        <v>20.100000000000001</v>
      </c>
      <c r="N84" s="100">
        <v>6.2</v>
      </c>
      <c r="O84" s="100">
        <v>0</v>
      </c>
      <c r="P84" s="100">
        <v>0.82</v>
      </c>
      <c r="Q84" s="100">
        <v>28.13</v>
      </c>
      <c r="R84" s="6"/>
      <c r="S84" s="6"/>
      <c r="T84" s="156"/>
      <c r="U84" s="6"/>
    </row>
    <row r="85" spans="1:21" customFormat="1">
      <c r="A85" s="163" t="s">
        <v>3099</v>
      </c>
      <c r="B85" s="100">
        <v>8.6</v>
      </c>
      <c r="C85" s="100">
        <v>34.6</v>
      </c>
      <c r="D85" s="100">
        <v>26.33</v>
      </c>
      <c r="E85" s="100">
        <v>11.88</v>
      </c>
      <c r="F85" s="152" t="s">
        <v>15</v>
      </c>
      <c r="G85" s="100">
        <v>90.03</v>
      </c>
      <c r="H85" s="100">
        <v>32.020000000000003</v>
      </c>
      <c r="I85" s="100">
        <v>8.7200000000000006</v>
      </c>
      <c r="J85" s="100">
        <v>0.27</v>
      </c>
      <c r="K85" s="100">
        <v>156.28</v>
      </c>
      <c r="L85" s="100">
        <v>31.47</v>
      </c>
      <c r="M85" s="100">
        <v>21.29</v>
      </c>
      <c r="N85" s="100">
        <v>5.9</v>
      </c>
      <c r="O85" s="100">
        <v>0</v>
      </c>
      <c r="P85" s="100">
        <v>0.83</v>
      </c>
      <c r="Q85" s="100">
        <v>28.12</v>
      </c>
      <c r="R85" s="6"/>
      <c r="S85" s="6"/>
      <c r="T85" s="156"/>
      <c r="U85" s="6"/>
    </row>
    <row r="86" spans="1:21" customFormat="1">
      <c r="A86" s="163" t="s">
        <v>3100</v>
      </c>
      <c r="B86" s="100">
        <v>9.8699999999999992</v>
      </c>
      <c r="C86" s="100">
        <v>33.18</v>
      </c>
      <c r="D86" s="100">
        <v>26.6</v>
      </c>
      <c r="E86" s="100">
        <v>11.62</v>
      </c>
      <c r="F86" s="152" t="s">
        <v>15</v>
      </c>
      <c r="G86" s="100">
        <v>90.03</v>
      </c>
      <c r="H86" s="100">
        <v>32.020000000000003</v>
      </c>
      <c r="I86" s="100">
        <v>10.06</v>
      </c>
      <c r="J86" s="100">
        <v>0.22</v>
      </c>
      <c r="K86" s="100">
        <v>139.08000000000001</v>
      </c>
      <c r="L86" s="100">
        <v>30.95</v>
      </c>
      <c r="M86" s="100">
        <v>22.37</v>
      </c>
      <c r="N86" s="100">
        <v>5.7</v>
      </c>
      <c r="O86" s="100">
        <v>0</v>
      </c>
      <c r="P86" s="100">
        <v>0.92</v>
      </c>
      <c r="Q86" s="100">
        <v>28.13</v>
      </c>
      <c r="R86" s="6"/>
      <c r="S86" s="6"/>
      <c r="T86" s="156"/>
      <c r="U86" s="6"/>
    </row>
    <row r="87" spans="1:21" customFormat="1">
      <c r="A87" s="163" t="s">
        <v>3101</v>
      </c>
      <c r="B87" s="100">
        <v>9.66</v>
      </c>
      <c r="C87" s="100">
        <v>32.93</v>
      </c>
      <c r="D87" s="100">
        <v>26.31</v>
      </c>
      <c r="E87" s="100">
        <v>11.69</v>
      </c>
      <c r="F87" s="152" t="s">
        <v>15</v>
      </c>
      <c r="G87" s="100">
        <v>90.03</v>
      </c>
      <c r="H87" s="100">
        <v>32.020000000000003</v>
      </c>
      <c r="I87" s="100">
        <v>9.86</v>
      </c>
      <c r="J87" s="100">
        <v>0.27</v>
      </c>
      <c r="K87" s="100">
        <v>143.75</v>
      </c>
      <c r="L87" s="100">
        <v>30.74</v>
      </c>
      <c r="M87" s="100">
        <v>23.74</v>
      </c>
      <c r="N87" s="100">
        <v>5.7</v>
      </c>
      <c r="O87" s="100">
        <v>0</v>
      </c>
      <c r="P87" s="100">
        <v>0.98</v>
      </c>
      <c r="Q87" s="100">
        <v>28.15</v>
      </c>
      <c r="R87" s="6"/>
      <c r="S87" s="6"/>
      <c r="T87" s="156"/>
      <c r="U87" s="6"/>
    </row>
    <row r="88" spans="1:21" customFormat="1">
      <c r="A88" s="163" t="s">
        <v>3102</v>
      </c>
      <c r="B88" s="100">
        <v>14.06</v>
      </c>
      <c r="C88" s="100">
        <v>34.159999999999997</v>
      </c>
      <c r="D88" s="100">
        <v>30.47</v>
      </c>
      <c r="E88" s="100">
        <v>12.9</v>
      </c>
      <c r="F88" s="152" t="s">
        <v>15</v>
      </c>
      <c r="G88" s="100">
        <v>102.5</v>
      </c>
      <c r="H88" s="100">
        <v>33.21</v>
      </c>
      <c r="I88" s="100">
        <v>10.130000000000001</v>
      </c>
      <c r="J88" s="100">
        <v>0.24</v>
      </c>
      <c r="K88" s="100">
        <v>118.76</v>
      </c>
      <c r="L88" s="100">
        <v>30.46</v>
      </c>
      <c r="M88" s="100">
        <v>24.26</v>
      </c>
      <c r="N88" s="100">
        <v>5.7</v>
      </c>
      <c r="O88" s="100">
        <v>0</v>
      </c>
      <c r="P88" s="100">
        <v>1.1000000000000001</v>
      </c>
      <c r="Q88" s="100">
        <v>28.17</v>
      </c>
      <c r="R88" s="6"/>
      <c r="S88" s="6"/>
      <c r="T88" s="156"/>
      <c r="U88" s="6"/>
    </row>
    <row r="89" spans="1:21" customFormat="1">
      <c r="A89" s="163" t="s">
        <v>3103</v>
      </c>
      <c r="B89" s="100">
        <v>11.51</v>
      </c>
      <c r="C89" s="100">
        <v>32.229999999999997</v>
      </c>
      <c r="D89" s="100">
        <v>27.42</v>
      </c>
      <c r="E89" s="100">
        <v>12.31</v>
      </c>
      <c r="F89" s="152" t="s">
        <v>15</v>
      </c>
      <c r="G89" s="100">
        <v>107.04</v>
      </c>
      <c r="H89" s="100">
        <v>33.229999999999997</v>
      </c>
      <c r="I89" s="100">
        <v>10.64</v>
      </c>
      <c r="J89" s="100">
        <v>0.38</v>
      </c>
      <c r="K89" s="100">
        <v>76.959999999999994</v>
      </c>
      <c r="L89" s="100">
        <v>30.89</v>
      </c>
      <c r="M89" s="100">
        <v>21.5</v>
      </c>
      <c r="N89" s="100">
        <v>5</v>
      </c>
      <c r="O89" s="100">
        <v>0</v>
      </c>
      <c r="P89" s="100">
        <v>1.05</v>
      </c>
      <c r="Q89" s="100">
        <v>28.19</v>
      </c>
      <c r="R89" s="6"/>
      <c r="S89" s="6"/>
      <c r="T89" s="156"/>
      <c r="U89" s="6"/>
    </row>
    <row r="90" spans="1:21" customFormat="1">
      <c r="A90" s="163" t="s">
        <v>3104</v>
      </c>
      <c r="B90" s="100">
        <v>9.66</v>
      </c>
      <c r="C90" s="100">
        <v>29.79</v>
      </c>
      <c r="D90" s="100">
        <v>24.66</v>
      </c>
      <c r="E90" s="100">
        <v>12.59</v>
      </c>
      <c r="F90" s="152" t="s">
        <v>15</v>
      </c>
      <c r="G90" s="100">
        <v>107.04</v>
      </c>
      <c r="H90" s="100">
        <v>33.229999999999997</v>
      </c>
      <c r="I90" s="100">
        <v>12.2</v>
      </c>
      <c r="J90" s="100">
        <v>0.26</v>
      </c>
      <c r="K90" s="100">
        <v>89.46</v>
      </c>
      <c r="L90" s="100">
        <v>31.09</v>
      </c>
      <c r="M90" s="100">
        <v>20.239999999999998</v>
      </c>
      <c r="N90" s="100">
        <v>5.3</v>
      </c>
      <c r="O90" s="100">
        <v>0</v>
      </c>
      <c r="P90" s="100">
        <v>1.02</v>
      </c>
      <c r="Q90" s="100">
        <v>28.22</v>
      </c>
      <c r="R90" s="6"/>
      <c r="S90" s="6"/>
      <c r="T90" s="156"/>
      <c r="U90" s="6"/>
    </row>
    <row r="91" spans="1:21" customFormat="1">
      <c r="A91" s="163" t="s">
        <v>3105</v>
      </c>
      <c r="B91" s="100">
        <v>8.43</v>
      </c>
      <c r="C91" s="100">
        <v>29.12</v>
      </c>
      <c r="D91" s="100">
        <v>23.33</v>
      </c>
      <c r="E91" s="100">
        <v>13.37</v>
      </c>
      <c r="F91" s="152" t="s">
        <v>15</v>
      </c>
      <c r="G91" s="100">
        <v>107.04</v>
      </c>
      <c r="H91" s="100">
        <v>33.229999999999997</v>
      </c>
      <c r="I91" s="100">
        <v>12.37</v>
      </c>
      <c r="J91" s="100">
        <v>0.38</v>
      </c>
      <c r="K91" s="100">
        <v>71.98</v>
      </c>
      <c r="L91" s="100">
        <v>30.86</v>
      </c>
      <c r="M91" s="100">
        <v>19.350000000000001</v>
      </c>
      <c r="N91" s="100">
        <v>5.0999999999999996</v>
      </c>
      <c r="O91" s="100">
        <v>0</v>
      </c>
      <c r="P91" s="100">
        <v>0.95</v>
      </c>
      <c r="Q91" s="100">
        <v>28.23</v>
      </c>
      <c r="R91" s="6"/>
      <c r="S91" s="6"/>
      <c r="T91" s="156"/>
      <c r="U91" s="6"/>
    </row>
    <row r="92" spans="1:21" customFormat="1">
      <c r="A92" s="163" t="s">
        <v>3106</v>
      </c>
      <c r="B92" s="100">
        <v>8.0500000000000007</v>
      </c>
      <c r="C92" s="100">
        <v>27.48</v>
      </c>
      <c r="D92" s="100">
        <v>22.16</v>
      </c>
      <c r="E92" s="100">
        <v>13.84</v>
      </c>
      <c r="F92" s="152" t="s">
        <v>15</v>
      </c>
      <c r="G92" s="100">
        <v>111.32</v>
      </c>
      <c r="H92" s="100">
        <v>37.33</v>
      </c>
      <c r="I92" s="100">
        <v>12.24</v>
      </c>
      <c r="J92" s="100">
        <v>0.21</v>
      </c>
      <c r="K92" s="100">
        <v>96.38</v>
      </c>
      <c r="L92" s="100">
        <v>30.79</v>
      </c>
      <c r="M92" s="100">
        <v>19.760000000000002</v>
      </c>
      <c r="N92" s="100">
        <v>5.7</v>
      </c>
      <c r="O92" s="100">
        <v>0</v>
      </c>
      <c r="P92" s="100">
        <v>0.92</v>
      </c>
      <c r="Q92" s="100">
        <v>28.21</v>
      </c>
      <c r="R92" s="6"/>
      <c r="S92" s="6"/>
      <c r="T92" s="156"/>
      <c r="U92" s="6"/>
    </row>
    <row r="93" spans="1:21" customFormat="1">
      <c r="A93" s="163" t="s">
        <v>3107</v>
      </c>
      <c r="B93" s="100">
        <v>7.84</v>
      </c>
      <c r="C93" s="100">
        <v>26.38</v>
      </c>
      <c r="D93" s="100">
        <v>21.42</v>
      </c>
      <c r="E93" s="100">
        <v>17.38</v>
      </c>
      <c r="F93" s="152" t="s">
        <v>15</v>
      </c>
      <c r="G93" s="100">
        <v>112.87</v>
      </c>
      <c r="H93" s="100">
        <v>37.39</v>
      </c>
      <c r="I93" s="100">
        <v>11.24</v>
      </c>
      <c r="J93" s="100">
        <v>0.19</v>
      </c>
      <c r="K93" s="100">
        <v>110.01</v>
      </c>
      <c r="L93" s="100">
        <v>30.19</v>
      </c>
      <c r="M93" s="100">
        <v>21.18</v>
      </c>
      <c r="N93" s="100">
        <v>5.9</v>
      </c>
      <c r="O93" s="100">
        <v>0</v>
      </c>
      <c r="P93" s="100">
        <v>0.92</v>
      </c>
      <c r="Q93" s="100">
        <v>28.21</v>
      </c>
      <c r="R93" s="6"/>
      <c r="S93" s="6"/>
      <c r="T93" s="156"/>
      <c r="U93" s="6"/>
    </row>
    <row r="94" spans="1:21" customFormat="1">
      <c r="A94" s="163" t="s">
        <v>3108</v>
      </c>
      <c r="B94" s="100">
        <v>8.11</v>
      </c>
      <c r="C94" s="100">
        <v>26.8</v>
      </c>
      <c r="D94" s="100">
        <v>21.86</v>
      </c>
      <c r="E94" s="100">
        <v>16.55</v>
      </c>
      <c r="F94" s="152" t="s">
        <v>15</v>
      </c>
      <c r="G94" s="100">
        <v>112.87</v>
      </c>
      <c r="H94" s="100">
        <v>37.39</v>
      </c>
      <c r="I94" s="100">
        <v>10.76</v>
      </c>
      <c r="J94" s="100">
        <v>0.21</v>
      </c>
      <c r="K94" s="100">
        <v>133.84</v>
      </c>
      <c r="L94" s="100">
        <v>29.6</v>
      </c>
      <c r="M94" s="100">
        <v>23.31</v>
      </c>
      <c r="N94" s="100">
        <v>6</v>
      </c>
      <c r="O94" s="100">
        <v>0</v>
      </c>
      <c r="P94" s="100">
        <v>0.95</v>
      </c>
      <c r="Q94" s="100">
        <v>28.21</v>
      </c>
      <c r="R94" s="6"/>
      <c r="S94" s="6"/>
      <c r="T94" s="156"/>
      <c r="U94" s="6"/>
    </row>
    <row r="95" spans="1:21" customFormat="1">
      <c r="A95" s="163" t="s">
        <v>3109</v>
      </c>
      <c r="B95" s="100">
        <v>10.56</v>
      </c>
      <c r="C95" s="100">
        <v>31.34</v>
      </c>
      <c r="D95" s="100">
        <v>26.19</v>
      </c>
      <c r="E95" s="100">
        <v>19.28</v>
      </c>
      <c r="F95" s="152" t="s">
        <v>15</v>
      </c>
      <c r="G95" s="100">
        <v>112.87</v>
      </c>
      <c r="H95" s="100">
        <v>37.39</v>
      </c>
      <c r="I95" s="100">
        <v>10.5</v>
      </c>
      <c r="J95" s="100">
        <v>0.24</v>
      </c>
      <c r="K95" s="100">
        <v>98.83</v>
      </c>
      <c r="L95" s="100">
        <v>29.4</v>
      </c>
      <c r="M95" s="100">
        <v>22.42</v>
      </c>
      <c r="N95" s="100">
        <v>5.7</v>
      </c>
      <c r="O95" s="100">
        <v>0</v>
      </c>
      <c r="P95" s="100">
        <v>0.95</v>
      </c>
      <c r="Q95" s="100">
        <v>28.2</v>
      </c>
      <c r="R95" s="6"/>
      <c r="S95" s="6"/>
      <c r="T95" s="156"/>
      <c r="U95" s="6"/>
    </row>
    <row r="96" spans="1:21" customFormat="1">
      <c r="A96" s="163" t="s">
        <v>3110</v>
      </c>
      <c r="B96" s="100">
        <v>8.9600000000000009</v>
      </c>
      <c r="C96" s="100">
        <v>26.95</v>
      </c>
      <c r="D96" s="100">
        <v>22.62</v>
      </c>
      <c r="E96" s="100">
        <v>16.46</v>
      </c>
      <c r="F96" s="152" t="s">
        <v>15</v>
      </c>
      <c r="G96" s="100">
        <v>112.99</v>
      </c>
      <c r="H96" s="100">
        <v>37.42</v>
      </c>
      <c r="I96" s="100">
        <v>10.62</v>
      </c>
      <c r="J96" s="100">
        <v>0.19</v>
      </c>
      <c r="K96" s="100">
        <v>139.34</v>
      </c>
      <c r="L96" s="100">
        <v>29.09</v>
      </c>
      <c r="M96" s="100">
        <v>23.94</v>
      </c>
      <c r="N96" s="100">
        <v>5.8</v>
      </c>
      <c r="O96" s="100">
        <v>0</v>
      </c>
      <c r="P96" s="100">
        <v>0.95</v>
      </c>
      <c r="Q96" s="100">
        <v>28.2</v>
      </c>
      <c r="R96" s="6"/>
      <c r="S96" s="6"/>
      <c r="T96" s="156"/>
      <c r="U96" s="6"/>
    </row>
    <row r="97" spans="1:28" customFormat="1">
      <c r="A97" s="163" t="s">
        <v>3111</v>
      </c>
      <c r="B97" s="100">
        <v>9.27</v>
      </c>
      <c r="C97" s="100">
        <v>25.28</v>
      </c>
      <c r="D97" s="100">
        <v>21.99</v>
      </c>
      <c r="E97" s="100">
        <v>13.61</v>
      </c>
      <c r="F97" s="152" t="s">
        <v>15</v>
      </c>
      <c r="G97" s="100">
        <v>113.03</v>
      </c>
      <c r="H97" s="100">
        <v>37.42</v>
      </c>
      <c r="I97" s="100">
        <v>10.72</v>
      </c>
      <c r="J97" s="100">
        <v>0.14000000000000001</v>
      </c>
      <c r="K97" s="100">
        <v>139.47</v>
      </c>
      <c r="L97" s="100">
        <v>28.63</v>
      </c>
      <c r="M97" s="100">
        <v>25.63</v>
      </c>
      <c r="N97" s="100">
        <v>5.9</v>
      </c>
      <c r="O97" s="100">
        <v>0</v>
      </c>
      <c r="P97" s="100">
        <v>0.94</v>
      </c>
      <c r="Q97" s="100">
        <v>28.23</v>
      </c>
      <c r="R97" s="6"/>
      <c r="S97" s="6"/>
      <c r="T97" s="156"/>
      <c r="U97" s="6"/>
    </row>
    <row r="98" spans="1:28" customFormat="1">
      <c r="A98" s="163" t="s">
        <v>3112</v>
      </c>
      <c r="B98" s="100">
        <v>9.27</v>
      </c>
      <c r="C98" s="100">
        <v>25.29</v>
      </c>
      <c r="D98" s="100">
        <v>22</v>
      </c>
      <c r="E98" s="100">
        <v>11.79</v>
      </c>
      <c r="F98" s="152" t="s">
        <v>15</v>
      </c>
      <c r="G98" s="100">
        <v>113.03</v>
      </c>
      <c r="H98" s="100">
        <v>37.42</v>
      </c>
      <c r="I98" s="100">
        <v>10.64</v>
      </c>
      <c r="J98" s="100">
        <v>0.18</v>
      </c>
      <c r="K98" s="100">
        <v>162.11000000000001</v>
      </c>
      <c r="L98" s="100">
        <v>27.88</v>
      </c>
      <c r="M98" s="100">
        <v>28.01</v>
      </c>
      <c r="N98" s="100">
        <v>6</v>
      </c>
      <c r="O98" s="100">
        <v>0</v>
      </c>
      <c r="P98" s="100">
        <v>0.96</v>
      </c>
      <c r="Q98" s="100">
        <v>28.23</v>
      </c>
      <c r="R98" s="6"/>
      <c r="S98" s="6"/>
      <c r="T98" s="156"/>
      <c r="U98" s="6"/>
    </row>
    <row r="99" spans="1:28" customFormat="1">
      <c r="A99" s="163" t="s">
        <v>3113</v>
      </c>
      <c r="B99" s="100">
        <v>9.93</v>
      </c>
      <c r="C99" s="100">
        <v>26.86</v>
      </c>
      <c r="D99" s="100">
        <v>23.34</v>
      </c>
      <c r="E99" s="100">
        <v>10.88</v>
      </c>
      <c r="F99" s="152" t="s">
        <v>15</v>
      </c>
      <c r="G99" s="100">
        <v>113.03</v>
      </c>
      <c r="H99" s="100">
        <v>37.42</v>
      </c>
      <c r="I99" s="100">
        <v>10.71</v>
      </c>
      <c r="J99" s="100">
        <v>0.23</v>
      </c>
      <c r="K99" s="100">
        <v>167.34</v>
      </c>
      <c r="L99" s="100">
        <v>27.57</v>
      </c>
      <c r="M99" s="100">
        <v>28.99</v>
      </c>
      <c r="N99" s="100">
        <v>5.9</v>
      </c>
      <c r="O99" s="100">
        <v>0</v>
      </c>
      <c r="P99" s="100">
        <v>0.96</v>
      </c>
      <c r="Q99" s="100">
        <v>28.23</v>
      </c>
      <c r="R99" s="6"/>
      <c r="S99" s="6"/>
      <c r="T99" s="156"/>
      <c r="U99" s="6"/>
    </row>
    <row r="100" spans="1:28" customFormat="1">
      <c r="A100" s="163" t="s">
        <v>3114</v>
      </c>
      <c r="B100" s="100">
        <v>8.8000000000000007</v>
      </c>
      <c r="C100" s="100">
        <v>25.03</v>
      </c>
      <c r="D100" s="100">
        <v>21.49</v>
      </c>
      <c r="E100" s="100">
        <v>11.06</v>
      </c>
      <c r="F100" s="152" t="s">
        <v>15</v>
      </c>
      <c r="G100" s="100">
        <v>122.69</v>
      </c>
      <c r="H100" s="100">
        <v>40.950000000000003</v>
      </c>
      <c r="I100" s="100">
        <v>10.74</v>
      </c>
      <c r="J100" s="100">
        <v>0.25</v>
      </c>
      <c r="K100" s="100">
        <v>169.16</v>
      </c>
      <c r="L100" s="100">
        <v>26.84</v>
      </c>
      <c r="M100" s="100">
        <v>31.76</v>
      </c>
      <c r="N100" s="100">
        <v>6</v>
      </c>
      <c r="O100" s="100">
        <v>0</v>
      </c>
      <c r="P100" s="100">
        <v>0.96</v>
      </c>
      <c r="Q100" s="100">
        <v>28.23</v>
      </c>
      <c r="R100" s="6"/>
      <c r="S100" s="6"/>
      <c r="T100" s="156"/>
      <c r="U100" s="6"/>
      <c r="AB100" s="161"/>
    </row>
    <row r="101" spans="1:28" customFormat="1">
      <c r="A101" s="163" t="s">
        <v>3115</v>
      </c>
      <c r="B101" s="100">
        <v>8.5399999999999991</v>
      </c>
      <c r="C101" s="100">
        <v>23.95</v>
      </c>
      <c r="D101" s="100">
        <v>20.71</v>
      </c>
      <c r="E101" s="100">
        <v>10.050000000000001</v>
      </c>
      <c r="F101" s="152" t="s">
        <v>15</v>
      </c>
      <c r="G101" s="100">
        <v>126.2</v>
      </c>
      <c r="H101" s="100">
        <v>41.05</v>
      </c>
      <c r="I101" s="100">
        <v>10.86</v>
      </c>
      <c r="J101" s="100">
        <v>0.25</v>
      </c>
      <c r="K101" s="100">
        <v>176.78</v>
      </c>
      <c r="L101" s="100">
        <v>26.47</v>
      </c>
      <c r="M101" s="100">
        <v>32.799999999999997</v>
      </c>
      <c r="N101" s="100">
        <v>5.9</v>
      </c>
      <c r="O101" s="100">
        <v>0</v>
      </c>
      <c r="P101" s="100">
        <v>0.95</v>
      </c>
      <c r="Q101" s="100">
        <v>28.22</v>
      </c>
      <c r="R101" s="6"/>
      <c r="S101" s="6"/>
      <c r="T101" s="156"/>
      <c r="U101" s="6"/>
    </row>
    <row r="102" spans="1:28" customFormat="1">
      <c r="A102" s="163" t="s">
        <v>3116</v>
      </c>
      <c r="B102" s="100">
        <v>9.25</v>
      </c>
      <c r="C102" s="100">
        <v>24.04</v>
      </c>
      <c r="D102" s="100">
        <v>21.33</v>
      </c>
      <c r="E102" s="100">
        <v>9.82</v>
      </c>
      <c r="F102" s="152" t="s">
        <v>15</v>
      </c>
      <c r="G102" s="100">
        <v>126.2</v>
      </c>
      <c r="H102" s="100">
        <v>41.05</v>
      </c>
      <c r="I102" s="100">
        <v>10.98</v>
      </c>
      <c r="J102" s="100">
        <v>0.13</v>
      </c>
      <c r="K102" s="100">
        <v>183.32</v>
      </c>
      <c r="L102" s="100">
        <v>26.21</v>
      </c>
      <c r="M102" s="100">
        <v>32.869999999999997</v>
      </c>
      <c r="N102" s="100">
        <v>5.8</v>
      </c>
      <c r="O102" s="100">
        <v>0</v>
      </c>
      <c r="P102" s="100">
        <v>0.96</v>
      </c>
      <c r="Q102" s="100">
        <v>28.22</v>
      </c>
      <c r="R102" s="6"/>
      <c r="S102" s="6"/>
      <c r="T102" s="156"/>
      <c r="U102" s="6"/>
    </row>
    <row r="103" spans="1:28" customFormat="1">
      <c r="A103" s="163" t="s">
        <v>3117</v>
      </c>
      <c r="B103" s="100">
        <v>11.68</v>
      </c>
      <c r="C103" s="100">
        <v>25.49</v>
      </c>
      <c r="D103" s="100">
        <v>24.04</v>
      </c>
      <c r="E103" s="100">
        <v>10.11</v>
      </c>
      <c r="F103" s="152" t="s">
        <v>15</v>
      </c>
      <c r="G103" s="100">
        <v>126.2</v>
      </c>
      <c r="H103" s="100">
        <v>41.05</v>
      </c>
      <c r="I103" s="100">
        <v>11.04</v>
      </c>
      <c r="J103" s="100">
        <v>0.17</v>
      </c>
      <c r="K103" s="100">
        <v>182.22</v>
      </c>
      <c r="L103" s="100">
        <v>26.29</v>
      </c>
      <c r="M103" s="100">
        <v>33.299999999999997</v>
      </c>
      <c r="N103" s="100">
        <v>5.6</v>
      </c>
      <c r="O103" s="100">
        <v>0</v>
      </c>
      <c r="P103" s="100">
        <v>0.98</v>
      </c>
      <c r="Q103" s="100">
        <v>28.22</v>
      </c>
      <c r="R103" s="6"/>
      <c r="S103" s="6"/>
      <c r="T103" s="156"/>
      <c r="U103" s="6"/>
    </row>
    <row r="104" spans="1:28" customFormat="1">
      <c r="A104" s="163" t="s">
        <v>3118</v>
      </c>
      <c r="B104" s="100">
        <v>14.39</v>
      </c>
      <c r="C104" s="100">
        <v>26.11</v>
      </c>
      <c r="D104" s="100">
        <v>26.53</v>
      </c>
      <c r="E104" s="100">
        <v>10.11</v>
      </c>
      <c r="F104" s="152" t="s">
        <v>15</v>
      </c>
      <c r="G104" s="100">
        <v>140.63</v>
      </c>
      <c r="H104" s="100">
        <v>43.69</v>
      </c>
      <c r="I104" s="100">
        <v>11.12</v>
      </c>
      <c r="J104" s="100">
        <v>0.16</v>
      </c>
      <c r="K104" s="100">
        <v>163.22</v>
      </c>
      <c r="L104" s="100">
        <v>25.87</v>
      </c>
      <c r="M104" s="100">
        <v>34.6</v>
      </c>
      <c r="N104" s="100">
        <v>5.8</v>
      </c>
      <c r="O104" s="100">
        <v>0</v>
      </c>
      <c r="P104" s="100">
        <v>0.98</v>
      </c>
      <c r="Q104" s="100">
        <v>28.29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3.49</v>
      </c>
      <c r="C106" s="158">
        <f>MIN(C9:C104)</f>
        <v>16.47</v>
      </c>
      <c r="D106" s="158">
        <f t="shared" ref="D106:Q106" si="0">MIN(D9:D104)</f>
        <v>13.6</v>
      </c>
      <c r="E106" s="158">
        <f t="shared" si="0"/>
        <v>8.06</v>
      </c>
      <c r="F106" s="158">
        <f t="shared" si="0"/>
        <v>0</v>
      </c>
      <c r="G106" s="158">
        <f t="shared" si="0"/>
        <v>75.39</v>
      </c>
      <c r="H106" s="158">
        <f t="shared" si="0"/>
        <v>25.99</v>
      </c>
      <c r="I106" s="158">
        <f t="shared" si="0"/>
        <v>6.37</v>
      </c>
      <c r="J106" s="158">
        <f t="shared" si="0"/>
        <v>0.11</v>
      </c>
      <c r="K106" s="158">
        <f t="shared" si="0"/>
        <v>4.57</v>
      </c>
      <c r="L106" s="158">
        <f t="shared" si="0"/>
        <v>22.88</v>
      </c>
      <c r="M106" s="158">
        <f t="shared" si="0"/>
        <v>7.58</v>
      </c>
      <c r="N106" s="158">
        <f t="shared" si="0"/>
        <v>5</v>
      </c>
      <c r="O106" s="158">
        <f t="shared" si="0"/>
        <v>0</v>
      </c>
      <c r="P106" s="158">
        <f t="shared" si="0"/>
        <v>0.55000000000000004</v>
      </c>
      <c r="Q106" s="158">
        <f t="shared" si="0"/>
        <v>28.05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14.39</v>
      </c>
      <c r="C107" s="157">
        <f t="shared" ref="C107:Q107" si="1">MAX(C9:C104)</f>
        <v>36.35</v>
      </c>
      <c r="D107" s="157">
        <f t="shared" si="1"/>
        <v>30.47</v>
      </c>
      <c r="E107" s="157">
        <f t="shared" si="1"/>
        <v>45.09</v>
      </c>
      <c r="F107" s="157">
        <f t="shared" si="1"/>
        <v>0</v>
      </c>
      <c r="G107" s="157">
        <f t="shared" si="1"/>
        <v>140.63</v>
      </c>
      <c r="H107" s="157">
        <f t="shared" si="1"/>
        <v>43.69</v>
      </c>
      <c r="I107" s="157">
        <f t="shared" si="1"/>
        <v>12.37</v>
      </c>
      <c r="J107" s="157">
        <f t="shared" si="1"/>
        <v>1.68</v>
      </c>
      <c r="K107" s="157">
        <f t="shared" si="1"/>
        <v>345.96</v>
      </c>
      <c r="L107" s="157">
        <f t="shared" si="1"/>
        <v>40.229999999999997</v>
      </c>
      <c r="M107" s="157">
        <f t="shared" si="1"/>
        <v>43.97</v>
      </c>
      <c r="N107" s="157">
        <f t="shared" si="1"/>
        <v>695.2</v>
      </c>
      <c r="O107" s="157">
        <f t="shared" si="1"/>
        <v>0</v>
      </c>
      <c r="P107" s="157">
        <f t="shared" si="1"/>
        <v>1.1000000000000001</v>
      </c>
      <c r="Q107" s="157">
        <f t="shared" si="1"/>
        <v>28.29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7.722187499999996</v>
      </c>
      <c r="C108" s="158">
        <f t="shared" ref="C108:Q108" si="2">AVERAGE(C9:C104)</f>
        <v>23.271458333333332</v>
      </c>
      <c r="D108" s="158">
        <f t="shared" si="2"/>
        <v>19.702187499999994</v>
      </c>
      <c r="E108" s="158">
        <f t="shared" si="2"/>
        <v>15.319270833333333</v>
      </c>
      <c r="F108" s="158" t="e">
        <f t="shared" si="2"/>
        <v>#DIV/0!</v>
      </c>
      <c r="G108" s="158">
        <f t="shared" si="2"/>
        <v>92.164687499999957</v>
      </c>
      <c r="H108" s="158">
        <f t="shared" si="2"/>
        <v>33.299479166666671</v>
      </c>
      <c r="I108" s="158">
        <f t="shared" si="2"/>
        <v>9.3883333333333354</v>
      </c>
      <c r="J108" s="158">
        <f t="shared" si="2"/>
        <v>0.5704166666666669</v>
      </c>
      <c r="K108" s="158">
        <f t="shared" si="2"/>
        <v>103.63687500000002</v>
      </c>
      <c r="L108" s="158">
        <f t="shared" si="2"/>
        <v>31.436562500000008</v>
      </c>
      <c r="M108" s="158">
        <f t="shared" si="2"/>
        <v>20.6246875</v>
      </c>
      <c r="N108" s="158">
        <f t="shared" si="2"/>
        <v>177.86875000000006</v>
      </c>
      <c r="O108" s="158">
        <f t="shared" si="2"/>
        <v>0</v>
      </c>
      <c r="P108" s="158">
        <f t="shared" si="2"/>
        <v>0.76312499999999994</v>
      </c>
      <c r="Q108" s="158">
        <f t="shared" si="2"/>
        <v>28.173437499999974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2.6843986695543842</v>
      </c>
      <c r="C109" s="158">
        <f t="shared" ref="C109:Q109" si="3">STDEV(C9:C104)</f>
        <v>4.2740445479949649</v>
      </c>
      <c r="D109" s="158">
        <f t="shared" si="3"/>
        <v>3.4098492644953304</v>
      </c>
      <c r="E109" s="158">
        <f t="shared" si="3"/>
        <v>8.3568799572935148</v>
      </c>
      <c r="F109" s="158" t="e">
        <f t="shared" si="3"/>
        <v>#DIV/0!</v>
      </c>
      <c r="G109" s="158">
        <f t="shared" si="3"/>
        <v>14.480779199239075</v>
      </c>
      <c r="H109" s="158">
        <f t="shared" si="3"/>
        <v>4.7224519433718237</v>
      </c>
      <c r="I109" s="158">
        <f t="shared" si="3"/>
        <v>1.4928465685370831</v>
      </c>
      <c r="J109" s="158">
        <f t="shared" si="3"/>
        <v>0.42002234694099794</v>
      </c>
      <c r="K109" s="158">
        <f t="shared" si="3"/>
        <v>76.215478940511602</v>
      </c>
      <c r="L109" s="158">
        <f t="shared" si="3"/>
        <v>5.4487634189833942</v>
      </c>
      <c r="M109" s="158">
        <f t="shared" si="3"/>
        <v>10.808991574087024</v>
      </c>
      <c r="N109" s="158">
        <f t="shared" si="3"/>
        <v>241.91725262663908</v>
      </c>
      <c r="O109" s="158">
        <f t="shared" si="3"/>
        <v>0</v>
      </c>
      <c r="P109" s="158">
        <f t="shared" si="3"/>
        <v>0.12453967873311524</v>
      </c>
      <c r="Q109" s="158">
        <f t="shared" si="3"/>
        <v>7.5711754284537164E-2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B117"/>
  <sheetViews>
    <sheetView zoomScale="85" zoomScaleNormal="85" workbookViewId="0">
      <pane ySplit="8" topLeftCell="A57" activePane="bottomLeft" state="frozen"/>
      <selection pane="bottomLeft" activeCell="F9" sqref="F9:F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85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85" t="s">
        <v>2</v>
      </c>
      <c r="B2" s="129" t="str">
        <f>$A$9</f>
        <v>31/03/2025 00:15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85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85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85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85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85" t="s">
        <v>22</v>
      </c>
      <c r="B7" s="164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85"/>
      <c r="B8" s="165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63" t="s">
        <v>3119</v>
      </c>
      <c r="B9" s="100">
        <v>14.6</v>
      </c>
      <c r="C9" s="100">
        <v>25.4</v>
      </c>
      <c r="D9" s="100">
        <v>26.33</v>
      </c>
      <c r="E9" s="100">
        <v>10.29</v>
      </c>
      <c r="F9" s="152" t="s">
        <v>15</v>
      </c>
      <c r="G9" s="100">
        <v>145.88</v>
      </c>
      <c r="H9" s="100">
        <v>43.73</v>
      </c>
      <c r="I9" s="100">
        <v>11.29</v>
      </c>
      <c r="J9" s="100">
        <v>0.21</v>
      </c>
      <c r="K9" s="100">
        <v>134.61000000000001</v>
      </c>
      <c r="L9" s="100">
        <v>25.97</v>
      </c>
      <c r="M9" s="100">
        <v>33.92</v>
      </c>
      <c r="N9" s="100">
        <v>5.6</v>
      </c>
      <c r="O9" s="100">
        <v>0</v>
      </c>
      <c r="P9" s="100">
        <v>0.98</v>
      </c>
      <c r="Q9" s="100">
        <v>28.36</v>
      </c>
      <c r="R9" s="6"/>
      <c r="S9" s="6"/>
      <c r="T9" s="156"/>
      <c r="U9" s="6"/>
    </row>
    <row r="10" spans="1:21" customFormat="1">
      <c r="A10" s="163" t="s">
        <v>3120</v>
      </c>
      <c r="B10" s="100">
        <v>15.06</v>
      </c>
      <c r="C10" s="100">
        <v>25.65</v>
      </c>
      <c r="D10" s="100">
        <v>26.83</v>
      </c>
      <c r="E10" s="100">
        <v>10.54</v>
      </c>
      <c r="F10" s="152" t="s">
        <v>15</v>
      </c>
      <c r="G10" s="100">
        <v>145.88</v>
      </c>
      <c r="H10" s="100">
        <v>43.73</v>
      </c>
      <c r="I10" s="100">
        <v>11.36</v>
      </c>
      <c r="J10" s="100">
        <v>0.23</v>
      </c>
      <c r="K10" s="100">
        <v>128.5</v>
      </c>
      <c r="L10" s="100">
        <v>26.29</v>
      </c>
      <c r="M10" s="100">
        <v>32.11</v>
      </c>
      <c r="N10" s="100">
        <v>5.6</v>
      </c>
      <c r="O10" s="100">
        <v>0</v>
      </c>
      <c r="P10" s="100">
        <v>0.97</v>
      </c>
      <c r="Q10" s="100">
        <v>28.38</v>
      </c>
      <c r="R10" s="6"/>
      <c r="S10" s="6"/>
      <c r="T10" s="156"/>
      <c r="U10" s="6"/>
    </row>
    <row r="11" spans="1:21" customFormat="1">
      <c r="A11" s="163" t="s">
        <v>3121</v>
      </c>
      <c r="B11" s="100">
        <v>15.14</v>
      </c>
      <c r="C11" s="100">
        <v>25.79</v>
      </c>
      <c r="D11" s="100">
        <v>26.97</v>
      </c>
      <c r="E11" s="100">
        <v>10.85</v>
      </c>
      <c r="F11" s="152" t="s">
        <v>15</v>
      </c>
      <c r="G11" s="100">
        <v>145.88</v>
      </c>
      <c r="H11" s="100">
        <v>43.73</v>
      </c>
      <c r="I11" s="100">
        <v>11.39</v>
      </c>
      <c r="J11" s="100">
        <v>0.21</v>
      </c>
      <c r="K11" s="100">
        <v>108.43</v>
      </c>
      <c r="L11" s="100">
        <v>26.44</v>
      </c>
      <c r="M11" s="100">
        <v>29.33</v>
      </c>
      <c r="N11" s="100">
        <v>5.6</v>
      </c>
      <c r="O11" s="100">
        <v>0</v>
      </c>
      <c r="P11" s="100">
        <v>0.97</v>
      </c>
      <c r="Q11" s="100">
        <v>28.39</v>
      </c>
      <c r="R11" s="6"/>
      <c r="S11" s="6"/>
      <c r="T11" s="156"/>
      <c r="U11" s="6"/>
    </row>
    <row r="12" spans="1:21" customFormat="1">
      <c r="A12" s="163" t="s">
        <v>3122</v>
      </c>
      <c r="B12" s="100">
        <v>16.89</v>
      </c>
      <c r="C12" s="100">
        <v>28.93</v>
      </c>
      <c r="D12" s="100">
        <v>30.01</v>
      </c>
      <c r="E12" s="100">
        <v>14.04</v>
      </c>
      <c r="F12" s="152" t="s">
        <v>15</v>
      </c>
      <c r="G12" s="100">
        <v>142.27000000000001</v>
      </c>
      <c r="H12" s="100">
        <v>45.56</v>
      </c>
      <c r="I12" s="100">
        <v>11.35</v>
      </c>
      <c r="J12" s="100">
        <v>0.23</v>
      </c>
      <c r="K12" s="100">
        <v>137.32</v>
      </c>
      <c r="L12" s="100">
        <v>26.34</v>
      </c>
      <c r="M12" s="100">
        <v>30.58</v>
      </c>
      <c r="N12" s="100">
        <v>5.8</v>
      </c>
      <c r="O12" s="100">
        <v>0</v>
      </c>
      <c r="P12" s="100">
        <v>0.96</v>
      </c>
      <c r="Q12" s="100">
        <v>28.41</v>
      </c>
      <c r="R12" s="6"/>
      <c r="S12" s="6"/>
      <c r="T12" s="156"/>
      <c r="U12" s="6"/>
    </row>
    <row r="13" spans="1:21" customFormat="1">
      <c r="A13" s="163" t="s">
        <v>3123</v>
      </c>
      <c r="B13" s="100">
        <v>15.04</v>
      </c>
      <c r="C13" s="100">
        <v>25.82</v>
      </c>
      <c r="D13" s="100">
        <v>26.9</v>
      </c>
      <c r="E13" s="100">
        <v>9.93</v>
      </c>
      <c r="F13" s="152" t="s">
        <v>15</v>
      </c>
      <c r="G13" s="100">
        <v>140.94999999999999</v>
      </c>
      <c r="H13" s="100">
        <v>45.59</v>
      </c>
      <c r="I13" s="100">
        <v>11.37</v>
      </c>
      <c r="J13" s="100">
        <v>0.27</v>
      </c>
      <c r="K13" s="100">
        <v>176.04</v>
      </c>
      <c r="L13" s="100">
        <v>25.12</v>
      </c>
      <c r="M13" s="100">
        <v>35.96</v>
      </c>
      <c r="N13" s="100">
        <v>6.4</v>
      </c>
      <c r="O13" s="100">
        <v>0</v>
      </c>
      <c r="P13" s="100">
        <v>0.96</v>
      </c>
      <c r="Q13" s="100">
        <v>28.39</v>
      </c>
      <c r="R13" s="6"/>
      <c r="S13" s="6"/>
      <c r="T13" s="156"/>
      <c r="U13" s="6"/>
    </row>
    <row r="14" spans="1:21" customFormat="1">
      <c r="A14" s="163" t="s">
        <v>3124</v>
      </c>
      <c r="B14" s="100">
        <v>14.37</v>
      </c>
      <c r="C14" s="100">
        <v>25.2</v>
      </c>
      <c r="D14" s="100">
        <v>26.04</v>
      </c>
      <c r="E14" s="100">
        <v>10.14</v>
      </c>
      <c r="F14" s="152" t="s">
        <v>15</v>
      </c>
      <c r="G14" s="100">
        <v>140.94999999999999</v>
      </c>
      <c r="H14" s="100">
        <v>45.59</v>
      </c>
      <c r="I14" s="100">
        <v>11.25</v>
      </c>
      <c r="J14" s="100">
        <v>0.18</v>
      </c>
      <c r="K14" s="100">
        <v>172.33</v>
      </c>
      <c r="L14" s="100">
        <v>24.7</v>
      </c>
      <c r="M14" s="100">
        <v>36.28</v>
      </c>
      <c r="N14" s="100">
        <v>6</v>
      </c>
      <c r="O14" s="100">
        <v>0</v>
      </c>
      <c r="P14" s="100">
        <v>0.95</v>
      </c>
      <c r="Q14" s="100">
        <v>28.37</v>
      </c>
      <c r="R14" s="6"/>
      <c r="S14" s="6"/>
      <c r="T14" s="156"/>
      <c r="U14" s="6"/>
    </row>
    <row r="15" spans="1:21" customFormat="1">
      <c r="A15" s="163" t="s">
        <v>3125</v>
      </c>
      <c r="B15" s="100">
        <v>14.06</v>
      </c>
      <c r="C15" s="100">
        <v>25.06</v>
      </c>
      <c r="D15" s="100">
        <v>25.72</v>
      </c>
      <c r="E15" s="100">
        <v>10.25</v>
      </c>
      <c r="F15" s="152" t="s">
        <v>15</v>
      </c>
      <c r="G15" s="100">
        <v>140.94999999999999</v>
      </c>
      <c r="H15" s="100">
        <v>45.59</v>
      </c>
      <c r="I15" s="100">
        <v>11.33</v>
      </c>
      <c r="J15" s="100">
        <v>0.12</v>
      </c>
      <c r="K15" s="100">
        <v>154.49</v>
      </c>
      <c r="L15" s="100">
        <v>24.65</v>
      </c>
      <c r="M15" s="100">
        <v>36.409999999999997</v>
      </c>
      <c r="N15" s="100">
        <v>5.8</v>
      </c>
      <c r="O15" s="100">
        <v>0</v>
      </c>
      <c r="P15" s="100">
        <v>0.96</v>
      </c>
      <c r="Q15" s="100">
        <v>28.37</v>
      </c>
      <c r="R15" s="6"/>
      <c r="S15" s="6"/>
      <c r="T15" s="156"/>
      <c r="U15" s="6"/>
    </row>
    <row r="16" spans="1:21" customFormat="1">
      <c r="A16" s="163" t="s">
        <v>3126</v>
      </c>
      <c r="B16" s="100">
        <v>15.64</v>
      </c>
      <c r="C16" s="100">
        <v>26.31</v>
      </c>
      <c r="D16" s="100">
        <v>27.63</v>
      </c>
      <c r="E16" s="100">
        <v>10.84</v>
      </c>
      <c r="F16" s="152" t="s">
        <v>15</v>
      </c>
      <c r="G16" s="100">
        <v>130.27000000000001</v>
      </c>
      <c r="H16" s="100">
        <v>46.19</v>
      </c>
      <c r="I16" s="100">
        <v>11.41</v>
      </c>
      <c r="J16" s="100">
        <v>0.4</v>
      </c>
      <c r="K16" s="100">
        <v>47.08</v>
      </c>
      <c r="L16" s="100">
        <v>25.32</v>
      </c>
      <c r="M16" s="100">
        <v>31.47</v>
      </c>
      <c r="N16" s="100">
        <v>4.7</v>
      </c>
      <c r="O16" s="100">
        <v>0</v>
      </c>
      <c r="P16" s="100">
        <v>0.95</v>
      </c>
      <c r="Q16" s="100">
        <v>28.38</v>
      </c>
      <c r="R16" s="6"/>
      <c r="S16" s="6"/>
      <c r="T16" s="156"/>
      <c r="U16" s="6"/>
    </row>
    <row r="17" spans="1:21" customFormat="1">
      <c r="A17" s="163" t="s">
        <v>3127</v>
      </c>
      <c r="B17" s="100">
        <v>14.58</v>
      </c>
      <c r="C17" s="100">
        <v>25.37</v>
      </c>
      <c r="D17" s="100">
        <v>26.3</v>
      </c>
      <c r="E17" s="100">
        <v>9.67</v>
      </c>
      <c r="F17" s="152" t="s">
        <v>15</v>
      </c>
      <c r="G17" s="100">
        <v>126.16</v>
      </c>
      <c r="H17" s="100">
        <v>46.21</v>
      </c>
      <c r="I17" s="100">
        <v>11.39</v>
      </c>
      <c r="J17" s="100">
        <v>0.65</v>
      </c>
      <c r="K17" s="100">
        <v>29.82</v>
      </c>
      <c r="L17" s="100">
        <v>26.35</v>
      </c>
      <c r="M17" s="100">
        <v>27.25</v>
      </c>
      <c r="N17" s="100">
        <v>4.5</v>
      </c>
      <c r="O17" s="100">
        <v>0</v>
      </c>
      <c r="P17" s="100">
        <v>0.94</v>
      </c>
      <c r="Q17" s="100">
        <v>28.39</v>
      </c>
      <c r="R17" s="6"/>
      <c r="S17" s="6"/>
      <c r="T17" s="156"/>
      <c r="U17" s="6"/>
    </row>
    <row r="18" spans="1:21" customFormat="1">
      <c r="A18" s="163" t="s">
        <v>3128</v>
      </c>
      <c r="B18" s="100">
        <v>14.11</v>
      </c>
      <c r="C18" s="100">
        <v>25.28</v>
      </c>
      <c r="D18" s="100">
        <v>25.87</v>
      </c>
      <c r="E18" s="100">
        <v>10.18</v>
      </c>
      <c r="F18" s="152" t="s">
        <v>15</v>
      </c>
      <c r="G18" s="100">
        <v>126.16</v>
      </c>
      <c r="H18" s="100">
        <v>46.21</v>
      </c>
      <c r="I18" s="100">
        <v>11.37</v>
      </c>
      <c r="J18" s="100">
        <v>0.28000000000000003</v>
      </c>
      <c r="K18" s="100">
        <v>52.53</v>
      </c>
      <c r="L18" s="100">
        <v>26.23</v>
      </c>
      <c r="M18" s="100">
        <v>28.47</v>
      </c>
      <c r="N18" s="100">
        <v>6</v>
      </c>
      <c r="O18" s="100">
        <v>0</v>
      </c>
      <c r="P18" s="100">
        <v>0.94</v>
      </c>
      <c r="Q18" s="100">
        <v>28.36</v>
      </c>
      <c r="R18" s="6"/>
      <c r="S18" s="6"/>
      <c r="T18" s="156"/>
      <c r="U18" s="6"/>
    </row>
    <row r="19" spans="1:21" customFormat="1">
      <c r="A19" s="163" t="s">
        <v>3129</v>
      </c>
      <c r="B19" s="100">
        <v>13.88</v>
      </c>
      <c r="C19" s="100">
        <v>25.56</v>
      </c>
      <c r="D19" s="100">
        <v>25.84</v>
      </c>
      <c r="E19" s="100">
        <v>10.23</v>
      </c>
      <c r="F19" s="152" t="s">
        <v>15</v>
      </c>
      <c r="G19" s="100">
        <v>126.16</v>
      </c>
      <c r="H19" s="100">
        <v>46.21</v>
      </c>
      <c r="I19" s="100">
        <v>11.2</v>
      </c>
      <c r="J19" s="100">
        <v>0.33</v>
      </c>
      <c r="K19" s="100">
        <v>29.69</v>
      </c>
      <c r="L19" s="100">
        <v>25.99</v>
      </c>
      <c r="M19" s="100">
        <v>28.45</v>
      </c>
      <c r="N19" s="100">
        <v>5.6</v>
      </c>
      <c r="O19" s="100">
        <v>0</v>
      </c>
      <c r="P19" s="100">
        <v>0.94</v>
      </c>
      <c r="Q19" s="100">
        <v>28.33</v>
      </c>
      <c r="R19" s="6"/>
      <c r="S19" s="6"/>
      <c r="T19" s="156"/>
      <c r="U19" s="6"/>
    </row>
    <row r="20" spans="1:21" customFormat="1">
      <c r="A20" s="163" t="s">
        <v>3130</v>
      </c>
      <c r="B20" s="100">
        <v>13.17</v>
      </c>
      <c r="C20" s="100">
        <v>25.29</v>
      </c>
      <c r="D20" s="100">
        <v>25.13</v>
      </c>
      <c r="E20" s="100">
        <v>10.35</v>
      </c>
      <c r="F20" s="152" t="s">
        <v>15</v>
      </c>
      <c r="G20" s="100">
        <v>122.47</v>
      </c>
      <c r="H20" s="100">
        <v>42.26</v>
      </c>
      <c r="I20" s="100">
        <v>11.22</v>
      </c>
      <c r="J20" s="100">
        <v>0.2</v>
      </c>
      <c r="K20" s="100">
        <v>79.06</v>
      </c>
      <c r="L20" s="100">
        <v>25.9</v>
      </c>
      <c r="M20" s="100">
        <v>29.92</v>
      </c>
      <c r="N20" s="100">
        <v>6.1</v>
      </c>
      <c r="O20" s="100">
        <v>0</v>
      </c>
      <c r="P20" s="100">
        <v>0.94</v>
      </c>
      <c r="Q20" s="100">
        <v>28.33</v>
      </c>
      <c r="R20" s="6"/>
      <c r="S20" s="6"/>
      <c r="T20" s="156"/>
      <c r="U20" s="6"/>
    </row>
    <row r="21" spans="1:21" customFormat="1">
      <c r="A21" s="163" t="s">
        <v>3131</v>
      </c>
      <c r="B21" s="100">
        <v>12.73</v>
      </c>
      <c r="C21" s="100">
        <v>24.95</v>
      </c>
      <c r="D21" s="100">
        <v>24.6</v>
      </c>
      <c r="E21" s="100">
        <v>9.58</v>
      </c>
      <c r="F21" s="152" t="s">
        <v>15</v>
      </c>
      <c r="G21" s="100">
        <v>121.13</v>
      </c>
      <c r="H21" s="100">
        <v>42.14</v>
      </c>
      <c r="I21" s="100">
        <v>11.18</v>
      </c>
      <c r="J21" s="100">
        <v>0.46</v>
      </c>
      <c r="K21" s="100">
        <v>61.32</v>
      </c>
      <c r="L21" s="100">
        <v>25.4</v>
      </c>
      <c r="M21" s="100">
        <v>28.13</v>
      </c>
      <c r="N21" s="100">
        <v>5.4</v>
      </c>
      <c r="O21" s="100">
        <v>0</v>
      </c>
      <c r="P21" s="100">
        <v>0.94</v>
      </c>
      <c r="Q21" s="100">
        <v>28.34</v>
      </c>
      <c r="R21" s="6"/>
      <c r="S21" s="6"/>
      <c r="T21" s="156"/>
      <c r="U21" s="6"/>
    </row>
    <row r="22" spans="1:21" customFormat="1">
      <c r="A22" s="163" t="s">
        <v>3132</v>
      </c>
      <c r="B22" s="100">
        <v>12.54</v>
      </c>
      <c r="C22" s="100">
        <v>24.25</v>
      </c>
      <c r="D22" s="100">
        <v>24.07</v>
      </c>
      <c r="E22" s="100">
        <v>9.11</v>
      </c>
      <c r="F22" s="152" t="s">
        <v>15</v>
      </c>
      <c r="G22" s="100">
        <v>121.13</v>
      </c>
      <c r="H22" s="100">
        <v>42.14</v>
      </c>
      <c r="I22" s="100">
        <v>11.16</v>
      </c>
      <c r="J22" s="100">
        <v>0.56999999999999995</v>
      </c>
      <c r="K22" s="100">
        <v>43.99</v>
      </c>
      <c r="L22" s="100">
        <v>26.3</v>
      </c>
      <c r="M22" s="100">
        <v>22.77</v>
      </c>
      <c r="N22" s="100">
        <v>5.2</v>
      </c>
      <c r="O22" s="100">
        <v>0</v>
      </c>
      <c r="P22" s="100">
        <v>0.93</v>
      </c>
      <c r="Q22" s="100">
        <v>28.33</v>
      </c>
      <c r="R22" s="6"/>
      <c r="S22" s="6"/>
      <c r="T22" s="156"/>
      <c r="U22" s="6"/>
    </row>
    <row r="23" spans="1:21" customFormat="1">
      <c r="A23" s="163" t="s">
        <v>3133</v>
      </c>
      <c r="B23" s="100">
        <v>12.44</v>
      </c>
      <c r="C23" s="100">
        <v>23.34</v>
      </c>
      <c r="D23" s="100">
        <v>23.53</v>
      </c>
      <c r="E23" s="100">
        <v>9.3800000000000008</v>
      </c>
      <c r="F23" s="152" t="s">
        <v>15</v>
      </c>
      <c r="G23" s="100">
        <v>121.13</v>
      </c>
      <c r="H23" s="100">
        <v>42.14</v>
      </c>
      <c r="I23" s="100">
        <v>11.18</v>
      </c>
      <c r="J23" s="100">
        <v>0.67</v>
      </c>
      <c r="K23" s="100">
        <v>52.49</v>
      </c>
      <c r="L23" s="100">
        <v>26.16</v>
      </c>
      <c r="M23" s="100">
        <v>22.79</v>
      </c>
      <c r="N23" s="100">
        <v>5.6</v>
      </c>
      <c r="O23" s="100">
        <v>0</v>
      </c>
      <c r="P23" s="100">
        <v>0.94</v>
      </c>
      <c r="Q23" s="100">
        <v>28.33</v>
      </c>
      <c r="R23" s="6"/>
      <c r="S23" s="6"/>
      <c r="T23" s="156"/>
      <c r="U23" s="6"/>
    </row>
    <row r="24" spans="1:21" customFormat="1">
      <c r="A24" s="163" t="s">
        <v>3134</v>
      </c>
      <c r="B24" s="100">
        <v>12.43</v>
      </c>
      <c r="C24" s="100">
        <v>22.77</v>
      </c>
      <c r="D24" s="100">
        <v>23.22</v>
      </c>
      <c r="E24" s="100">
        <v>9.52</v>
      </c>
      <c r="F24" s="152" t="s">
        <v>15</v>
      </c>
      <c r="G24" s="100">
        <v>121.28</v>
      </c>
      <c r="H24" s="100">
        <v>42.44</v>
      </c>
      <c r="I24" s="100">
        <v>11.15</v>
      </c>
      <c r="J24" s="100">
        <v>0.84</v>
      </c>
      <c r="K24" s="100">
        <v>50.91</v>
      </c>
      <c r="L24" s="100">
        <v>26.25</v>
      </c>
      <c r="M24" s="100">
        <v>21.27</v>
      </c>
      <c r="N24" s="100">
        <v>5.5</v>
      </c>
      <c r="O24" s="100">
        <v>0</v>
      </c>
      <c r="P24" s="100">
        <v>0.94</v>
      </c>
      <c r="Q24" s="100">
        <v>28.31</v>
      </c>
      <c r="R24" s="6"/>
      <c r="S24" s="6"/>
      <c r="T24" s="156"/>
      <c r="U24" s="6"/>
    </row>
    <row r="25" spans="1:21" customFormat="1">
      <c r="A25" s="163" t="s">
        <v>3135</v>
      </c>
      <c r="B25" s="100">
        <v>12.37</v>
      </c>
      <c r="C25" s="100">
        <v>22.13</v>
      </c>
      <c r="D25" s="100">
        <v>22.83</v>
      </c>
      <c r="E25" s="100">
        <v>9.27</v>
      </c>
      <c r="F25" s="152" t="s">
        <v>15</v>
      </c>
      <c r="G25" s="100">
        <v>121.33</v>
      </c>
      <c r="H25" s="100">
        <v>42.45</v>
      </c>
      <c r="I25" s="100">
        <v>11.15</v>
      </c>
      <c r="J25" s="100">
        <v>1.02</v>
      </c>
      <c r="K25" s="100">
        <v>50.91</v>
      </c>
      <c r="L25" s="100">
        <v>26.32</v>
      </c>
      <c r="M25" s="100">
        <v>19.95</v>
      </c>
      <c r="N25" s="100">
        <v>5.6</v>
      </c>
      <c r="O25" s="100">
        <v>0</v>
      </c>
      <c r="P25" s="100">
        <v>0.94</v>
      </c>
      <c r="Q25" s="100">
        <v>28.32</v>
      </c>
      <c r="R25" s="6"/>
      <c r="S25" s="6"/>
      <c r="T25" s="156"/>
      <c r="U25" s="6"/>
    </row>
    <row r="26" spans="1:21" customFormat="1">
      <c r="A26" s="163" t="s">
        <v>3136</v>
      </c>
      <c r="B26" s="100">
        <v>12.19</v>
      </c>
      <c r="C26" s="100">
        <v>21.49</v>
      </c>
      <c r="D26" s="100">
        <v>22.36</v>
      </c>
      <c r="E26" s="100">
        <v>8.98</v>
      </c>
      <c r="F26" s="152" t="s">
        <v>15</v>
      </c>
      <c r="G26" s="100">
        <v>121.33</v>
      </c>
      <c r="H26" s="100">
        <v>42.45</v>
      </c>
      <c r="I26" s="100">
        <v>11.15</v>
      </c>
      <c r="J26" s="100">
        <v>0.82</v>
      </c>
      <c r="K26" s="100">
        <v>58.63</v>
      </c>
      <c r="L26" s="100">
        <v>26.08</v>
      </c>
      <c r="M26" s="100">
        <v>19.87</v>
      </c>
      <c r="N26" s="100">
        <v>6.1</v>
      </c>
      <c r="O26" s="100">
        <v>0</v>
      </c>
      <c r="P26" s="100">
        <v>0.93</v>
      </c>
      <c r="Q26" s="100">
        <v>28.32</v>
      </c>
      <c r="R26" s="6"/>
      <c r="S26" s="6"/>
      <c r="T26" s="156"/>
      <c r="U26" s="6"/>
    </row>
    <row r="27" spans="1:21" customFormat="1">
      <c r="A27" s="163" t="s">
        <v>3137</v>
      </c>
      <c r="B27" s="100">
        <v>12.1</v>
      </c>
      <c r="C27" s="100">
        <v>21.09</v>
      </c>
      <c r="D27" s="100">
        <v>22.07</v>
      </c>
      <c r="E27" s="100">
        <v>9.0399999999999991</v>
      </c>
      <c r="F27" s="152" t="s">
        <v>15</v>
      </c>
      <c r="G27" s="100">
        <v>121.33</v>
      </c>
      <c r="H27" s="100">
        <v>42.45</v>
      </c>
      <c r="I27" s="100">
        <v>11.13</v>
      </c>
      <c r="J27" s="100">
        <v>0.69</v>
      </c>
      <c r="K27" s="100">
        <v>58.66</v>
      </c>
      <c r="L27" s="100">
        <v>25.76</v>
      </c>
      <c r="M27" s="100">
        <v>20.63</v>
      </c>
      <c r="N27" s="100">
        <v>6</v>
      </c>
      <c r="O27" s="100">
        <v>0</v>
      </c>
      <c r="P27" s="100">
        <v>0.93</v>
      </c>
      <c r="Q27" s="100">
        <v>28.32</v>
      </c>
      <c r="R27" s="6"/>
      <c r="S27" s="6"/>
      <c r="T27" s="156"/>
      <c r="U27" s="6"/>
    </row>
    <row r="28" spans="1:21" customFormat="1">
      <c r="A28" s="163" t="s">
        <v>3138</v>
      </c>
      <c r="B28" s="100">
        <v>12.06</v>
      </c>
      <c r="C28" s="100">
        <v>20.76</v>
      </c>
      <c r="D28" s="100">
        <v>21.87</v>
      </c>
      <c r="E28" s="100">
        <v>8.98</v>
      </c>
      <c r="F28" s="152" t="s">
        <v>15</v>
      </c>
      <c r="G28" s="100">
        <v>106.18</v>
      </c>
      <c r="H28" s="100">
        <v>40.6</v>
      </c>
      <c r="I28" s="100">
        <v>11.13</v>
      </c>
      <c r="J28" s="100">
        <v>0.33</v>
      </c>
      <c r="K28" s="100">
        <v>77.39</v>
      </c>
      <c r="L28" s="100">
        <v>25.46</v>
      </c>
      <c r="M28" s="100">
        <v>22.41</v>
      </c>
      <c r="N28" s="100">
        <v>6.2</v>
      </c>
      <c r="O28" s="100">
        <v>0</v>
      </c>
      <c r="P28" s="100">
        <v>0.94</v>
      </c>
      <c r="Q28" s="100">
        <v>28.3</v>
      </c>
      <c r="R28" s="6"/>
      <c r="S28" s="6"/>
      <c r="T28" s="156"/>
      <c r="U28" s="6"/>
    </row>
    <row r="29" spans="1:21" customFormat="1">
      <c r="A29" s="163" t="s">
        <v>3139</v>
      </c>
      <c r="B29" s="100">
        <v>12.06</v>
      </c>
      <c r="C29" s="100">
        <v>20.329999999999998</v>
      </c>
      <c r="D29" s="100">
        <v>21.64</v>
      </c>
      <c r="E29" s="100">
        <v>8.48</v>
      </c>
      <c r="F29" s="152" t="s">
        <v>15</v>
      </c>
      <c r="G29" s="100">
        <v>100.36</v>
      </c>
      <c r="H29" s="100">
        <v>40.450000000000003</v>
      </c>
      <c r="I29" s="100">
        <v>11.08</v>
      </c>
      <c r="J29" s="100">
        <v>0.18</v>
      </c>
      <c r="K29" s="100">
        <v>162.61000000000001</v>
      </c>
      <c r="L29" s="100">
        <v>24.58</v>
      </c>
      <c r="M29" s="100">
        <v>26.25</v>
      </c>
      <c r="N29" s="100">
        <v>6.6</v>
      </c>
      <c r="O29" s="100">
        <v>0</v>
      </c>
      <c r="P29" s="100">
        <v>0.93</v>
      </c>
      <c r="Q29" s="100">
        <v>28.3</v>
      </c>
      <c r="R29" s="6"/>
      <c r="S29" s="6"/>
      <c r="T29" s="156"/>
      <c r="U29" s="6"/>
    </row>
    <row r="30" spans="1:21" customFormat="1">
      <c r="A30" s="163" t="s">
        <v>3140</v>
      </c>
      <c r="B30" s="100">
        <v>11.97</v>
      </c>
      <c r="C30" s="100">
        <v>19.8</v>
      </c>
      <c r="D30" s="100">
        <v>21.29</v>
      </c>
      <c r="E30" s="100">
        <v>8.84</v>
      </c>
      <c r="F30" s="152" t="s">
        <v>15</v>
      </c>
      <c r="G30" s="100">
        <v>100.36</v>
      </c>
      <c r="H30" s="100">
        <v>40.450000000000003</v>
      </c>
      <c r="I30" s="100">
        <v>11.15</v>
      </c>
      <c r="J30" s="100">
        <v>0.2</v>
      </c>
      <c r="K30" s="100">
        <v>173.19</v>
      </c>
      <c r="L30" s="100">
        <v>23.61</v>
      </c>
      <c r="M30" s="100">
        <v>29.4</v>
      </c>
      <c r="N30" s="100">
        <v>6.6</v>
      </c>
      <c r="O30" s="100">
        <v>0</v>
      </c>
      <c r="P30" s="100">
        <v>0.94</v>
      </c>
      <c r="Q30" s="100">
        <v>28.29</v>
      </c>
      <c r="R30" s="6"/>
      <c r="S30" s="6"/>
      <c r="T30" s="156"/>
      <c r="U30" s="6"/>
    </row>
    <row r="31" spans="1:21" customFormat="1">
      <c r="A31" s="163" t="s">
        <v>3141</v>
      </c>
      <c r="B31" s="100">
        <v>11.81</v>
      </c>
      <c r="C31" s="100">
        <v>19.309999999999999</v>
      </c>
      <c r="D31" s="100">
        <v>20.91</v>
      </c>
      <c r="E31" s="100">
        <v>8.7799999999999994</v>
      </c>
      <c r="F31" s="152" t="s">
        <v>15</v>
      </c>
      <c r="G31" s="100">
        <v>100.36</v>
      </c>
      <c r="H31" s="100">
        <v>40.450000000000003</v>
      </c>
      <c r="I31" s="100">
        <v>11.08</v>
      </c>
      <c r="J31" s="100">
        <v>0.16</v>
      </c>
      <c r="K31" s="100">
        <v>151.94</v>
      </c>
      <c r="L31" s="100">
        <v>22.61</v>
      </c>
      <c r="M31" s="100">
        <v>33.26</v>
      </c>
      <c r="N31" s="100">
        <v>7</v>
      </c>
      <c r="O31" s="100">
        <v>0</v>
      </c>
      <c r="P31" s="100">
        <v>0.94</v>
      </c>
      <c r="Q31" s="100">
        <v>28.29</v>
      </c>
      <c r="R31" s="6"/>
      <c r="S31" s="6"/>
      <c r="T31" s="156"/>
      <c r="U31" s="6"/>
    </row>
    <row r="32" spans="1:21" customFormat="1">
      <c r="A32" s="163" t="s">
        <v>3142</v>
      </c>
      <c r="B32" s="100">
        <v>11.62</v>
      </c>
      <c r="C32" s="100">
        <v>19.16</v>
      </c>
      <c r="D32" s="100">
        <v>20.68</v>
      </c>
      <c r="E32" s="100">
        <v>8.5500000000000007</v>
      </c>
      <c r="F32" s="152" t="s">
        <v>15</v>
      </c>
      <c r="G32" s="100">
        <v>93.06</v>
      </c>
      <c r="H32" s="100">
        <v>37.700000000000003</v>
      </c>
      <c r="I32" s="100">
        <v>11.07</v>
      </c>
      <c r="J32" s="100">
        <v>0.26</v>
      </c>
      <c r="K32" s="100">
        <v>197.43</v>
      </c>
      <c r="L32" s="100">
        <v>22.66</v>
      </c>
      <c r="M32" s="100">
        <v>34.020000000000003</v>
      </c>
      <c r="N32" s="100">
        <v>8.6</v>
      </c>
      <c r="O32" s="100">
        <v>0</v>
      </c>
      <c r="P32" s="100">
        <v>0.94</v>
      </c>
      <c r="Q32" s="100">
        <v>28.29</v>
      </c>
      <c r="R32" s="6"/>
      <c r="S32" s="6"/>
      <c r="T32" s="156"/>
      <c r="U32" s="6"/>
    </row>
    <row r="33" spans="1:21" customFormat="1">
      <c r="A33" s="163" t="s">
        <v>3143</v>
      </c>
      <c r="B33" s="100">
        <v>11.52</v>
      </c>
      <c r="C33" s="100">
        <v>18.829999999999998</v>
      </c>
      <c r="D33" s="100">
        <v>20.420000000000002</v>
      </c>
      <c r="E33" s="100">
        <v>8.82</v>
      </c>
      <c r="F33" s="152" t="s">
        <v>15</v>
      </c>
      <c r="G33" s="100">
        <v>90.41</v>
      </c>
      <c r="H33" s="100">
        <v>37.61</v>
      </c>
      <c r="I33" s="100">
        <v>11.06</v>
      </c>
      <c r="J33" s="100">
        <v>0.12</v>
      </c>
      <c r="K33" s="100">
        <v>144.78</v>
      </c>
      <c r="L33" s="100">
        <v>22.33</v>
      </c>
      <c r="M33" s="100">
        <v>36.18</v>
      </c>
      <c r="N33" s="100">
        <v>15.5</v>
      </c>
      <c r="O33" s="100">
        <v>0</v>
      </c>
      <c r="P33" s="100">
        <v>0.93</v>
      </c>
      <c r="Q33" s="100">
        <v>28.29</v>
      </c>
      <c r="R33" s="6"/>
      <c r="S33" s="6"/>
      <c r="T33" s="156"/>
      <c r="U33" s="6"/>
    </row>
    <row r="34" spans="1:21" customFormat="1">
      <c r="A34" s="163" t="s">
        <v>3144</v>
      </c>
      <c r="B34" s="100">
        <v>11.32</v>
      </c>
      <c r="C34" s="100">
        <v>18.5</v>
      </c>
      <c r="D34" s="100">
        <v>20.09</v>
      </c>
      <c r="E34" s="100">
        <v>8.94</v>
      </c>
      <c r="F34" s="152" t="s">
        <v>15</v>
      </c>
      <c r="G34" s="100">
        <v>90.41</v>
      </c>
      <c r="H34" s="100">
        <v>37.61</v>
      </c>
      <c r="I34" s="100">
        <v>11.1</v>
      </c>
      <c r="J34" s="100">
        <v>0.12</v>
      </c>
      <c r="K34" s="100">
        <v>152.44</v>
      </c>
      <c r="L34" s="100">
        <v>22.13</v>
      </c>
      <c r="M34" s="100">
        <v>36.83</v>
      </c>
      <c r="N34" s="100">
        <v>25.1</v>
      </c>
      <c r="O34" s="100">
        <v>0</v>
      </c>
      <c r="P34" s="100">
        <v>0.93</v>
      </c>
      <c r="Q34" s="100">
        <v>28.29</v>
      </c>
      <c r="R34" s="6"/>
      <c r="S34" s="6"/>
      <c r="T34" s="156"/>
      <c r="U34" s="6"/>
    </row>
    <row r="35" spans="1:21" customFormat="1">
      <c r="A35" s="163" t="s">
        <v>3145</v>
      </c>
      <c r="B35" s="100">
        <v>11.15</v>
      </c>
      <c r="C35" s="100">
        <v>18.03</v>
      </c>
      <c r="D35" s="100">
        <v>19.71</v>
      </c>
      <c r="E35" s="100">
        <v>8.7899999999999991</v>
      </c>
      <c r="F35" s="152" t="s">
        <v>15</v>
      </c>
      <c r="G35" s="100">
        <v>90.41</v>
      </c>
      <c r="H35" s="100">
        <v>37.61</v>
      </c>
      <c r="I35" s="100">
        <v>11.09</v>
      </c>
      <c r="J35" s="100">
        <v>0.06</v>
      </c>
      <c r="K35" s="100">
        <v>235.45</v>
      </c>
      <c r="L35" s="100">
        <v>22.62</v>
      </c>
      <c r="M35" s="100">
        <v>36.58</v>
      </c>
      <c r="N35" s="100">
        <v>35.6</v>
      </c>
      <c r="O35" s="100">
        <v>0</v>
      </c>
      <c r="P35" s="100">
        <v>0.93</v>
      </c>
      <c r="Q35" s="100">
        <v>28.27</v>
      </c>
      <c r="R35" s="6"/>
      <c r="S35" s="6"/>
      <c r="T35" s="156"/>
      <c r="U35" s="6"/>
    </row>
    <row r="36" spans="1:21" customFormat="1">
      <c r="A36" s="163" t="s">
        <v>3146</v>
      </c>
      <c r="B36" s="100">
        <v>10.99</v>
      </c>
      <c r="C36" s="100">
        <v>17.809999999999999</v>
      </c>
      <c r="D36" s="100">
        <v>19.47</v>
      </c>
      <c r="E36" s="100">
        <v>8.6199999999999992</v>
      </c>
      <c r="F36" s="152" t="s">
        <v>15</v>
      </c>
      <c r="G36" s="100">
        <v>89.9</v>
      </c>
      <c r="H36" s="100">
        <v>39.01</v>
      </c>
      <c r="I36" s="100">
        <v>11.11</v>
      </c>
      <c r="J36" s="100">
        <v>0.05</v>
      </c>
      <c r="K36" s="100">
        <v>163.97</v>
      </c>
      <c r="L36" s="100">
        <v>23.02</v>
      </c>
      <c r="M36" s="100">
        <v>37.090000000000003</v>
      </c>
      <c r="N36" s="100">
        <v>47.1</v>
      </c>
      <c r="O36" s="100">
        <v>0</v>
      </c>
      <c r="P36" s="100">
        <v>0.94</v>
      </c>
      <c r="Q36" s="100">
        <v>28.25</v>
      </c>
      <c r="R36" s="6"/>
      <c r="S36" s="6"/>
      <c r="T36" s="156"/>
      <c r="U36" s="6"/>
    </row>
    <row r="37" spans="1:21" customFormat="1">
      <c r="A37" s="163" t="s">
        <v>3147</v>
      </c>
      <c r="B37" s="100">
        <v>11.08</v>
      </c>
      <c r="C37" s="100">
        <v>17.670000000000002</v>
      </c>
      <c r="D37" s="100">
        <v>19.47</v>
      </c>
      <c r="E37" s="100">
        <v>8.35</v>
      </c>
      <c r="F37" s="152" t="s">
        <v>15</v>
      </c>
      <c r="G37" s="100">
        <v>89.7</v>
      </c>
      <c r="H37" s="100">
        <v>39.06</v>
      </c>
      <c r="I37" s="100">
        <v>11.09</v>
      </c>
      <c r="J37" s="100">
        <v>0.16</v>
      </c>
      <c r="K37" s="100">
        <v>333.52</v>
      </c>
      <c r="L37" s="100">
        <v>24.07</v>
      </c>
      <c r="M37" s="100">
        <v>35.07</v>
      </c>
      <c r="N37" s="100">
        <v>58.2</v>
      </c>
      <c r="O37" s="100">
        <v>0</v>
      </c>
      <c r="P37" s="100">
        <v>0.94</v>
      </c>
      <c r="Q37" s="100">
        <v>28.27</v>
      </c>
      <c r="R37" s="6"/>
      <c r="S37" s="6"/>
      <c r="T37" s="156"/>
      <c r="U37" s="6"/>
    </row>
    <row r="38" spans="1:21" customFormat="1">
      <c r="A38" s="163" t="s">
        <v>3148</v>
      </c>
      <c r="B38" s="100">
        <v>11.82</v>
      </c>
      <c r="C38" s="100">
        <v>18.12</v>
      </c>
      <c r="D38" s="100">
        <v>20.3</v>
      </c>
      <c r="E38" s="100">
        <v>8.66</v>
      </c>
      <c r="F38" s="152" t="s">
        <v>15</v>
      </c>
      <c r="G38" s="100">
        <v>89.7</v>
      </c>
      <c r="H38" s="100">
        <v>39.06</v>
      </c>
      <c r="I38" s="100">
        <v>11.04</v>
      </c>
      <c r="J38" s="100">
        <v>0.13</v>
      </c>
      <c r="K38" s="100">
        <v>311.79000000000002</v>
      </c>
      <c r="L38" s="100">
        <v>25.04</v>
      </c>
      <c r="M38" s="100">
        <v>32.5</v>
      </c>
      <c r="N38" s="100">
        <v>69.400000000000006</v>
      </c>
      <c r="O38" s="100">
        <v>0</v>
      </c>
      <c r="P38" s="100">
        <v>0.94</v>
      </c>
      <c r="Q38" s="100">
        <v>28.28</v>
      </c>
      <c r="R38" s="6"/>
      <c r="S38" s="6"/>
      <c r="T38" s="156"/>
      <c r="U38" s="6"/>
    </row>
    <row r="39" spans="1:21" customFormat="1">
      <c r="A39" s="163" t="s">
        <v>3149</v>
      </c>
      <c r="B39" s="100">
        <v>12.54</v>
      </c>
      <c r="C39" s="100">
        <v>18.239999999999998</v>
      </c>
      <c r="D39" s="100">
        <v>20.94</v>
      </c>
      <c r="E39" s="100">
        <v>8.57</v>
      </c>
      <c r="F39" s="152" t="s">
        <v>15</v>
      </c>
      <c r="G39" s="100">
        <v>89.7</v>
      </c>
      <c r="H39" s="100">
        <v>39.06</v>
      </c>
      <c r="I39" s="100">
        <v>11.09</v>
      </c>
      <c r="J39" s="100">
        <v>0.38</v>
      </c>
      <c r="K39" s="100">
        <v>343.33</v>
      </c>
      <c r="L39" s="100">
        <v>26.19</v>
      </c>
      <c r="M39" s="100">
        <v>29.32</v>
      </c>
      <c r="N39" s="100">
        <v>81.400000000000006</v>
      </c>
      <c r="O39" s="100">
        <v>0</v>
      </c>
      <c r="P39" s="100">
        <v>0.97</v>
      </c>
      <c r="Q39" s="100">
        <v>28.3</v>
      </c>
      <c r="R39" s="6"/>
      <c r="S39" s="6"/>
      <c r="T39" s="156"/>
      <c r="U39" s="6"/>
    </row>
    <row r="40" spans="1:21" customFormat="1">
      <c r="A40" s="163" t="s">
        <v>3150</v>
      </c>
      <c r="B40" s="100">
        <v>12.77</v>
      </c>
      <c r="C40" s="100">
        <v>18.899999999999999</v>
      </c>
      <c r="D40" s="100">
        <v>21.46</v>
      </c>
      <c r="E40" s="100">
        <v>9.65</v>
      </c>
      <c r="F40" s="152" t="s">
        <v>15</v>
      </c>
      <c r="G40" s="100">
        <v>95.59</v>
      </c>
      <c r="H40" s="100">
        <v>40.35</v>
      </c>
      <c r="I40" s="100">
        <v>11.17</v>
      </c>
      <c r="J40" s="100">
        <v>0.38</v>
      </c>
      <c r="K40" s="100">
        <v>17.989999999999998</v>
      </c>
      <c r="L40" s="100">
        <v>27.32</v>
      </c>
      <c r="M40" s="100">
        <v>23.72</v>
      </c>
      <c r="N40" s="100">
        <v>94</v>
      </c>
      <c r="O40" s="100">
        <v>0</v>
      </c>
      <c r="P40" s="100">
        <v>0.98</v>
      </c>
      <c r="Q40" s="100">
        <v>28.31</v>
      </c>
      <c r="R40" s="6"/>
      <c r="S40" s="6"/>
      <c r="T40" s="156"/>
      <c r="U40" s="6"/>
    </row>
    <row r="41" spans="1:21" customFormat="1">
      <c r="A41" s="163" t="s">
        <v>3151</v>
      </c>
      <c r="B41" s="100">
        <v>11.99</v>
      </c>
      <c r="C41" s="100">
        <v>19.89</v>
      </c>
      <c r="D41" s="100">
        <v>21.36</v>
      </c>
      <c r="E41" s="100">
        <v>10.86</v>
      </c>
      <c r="F41" s="152" t="s">
        <v>15</v>
      </c>
      <c r="G41" s="100">
        <v>97.73</v>
      </c>
      <c r="H41" s="100">
        <v>40.39</v>
      </c>
      <c r="I41" s="100">
        <v>11.39</v>
      </c>
      <c r="J41" s="100">
        <v>0.76</v>
      </c>
      <c r="K41" s="100">
        <v>41.55</v>
      </c>
      <c r="L41" s="100">
        <v>28.37</v>
      </c>
      <c r="M41" s="100">
        <v>17.93</v>
      </c>
      <c r="N41" s="100">
        <v>171.9</v>
      </c>
      <c r="O41" s="100">
        <v>0</v>
      </c>
      <c r="P41" s="100">
        <v>1</v>
      </c>
      <c r="Q41" s="100">
        <v>28.29</v>
      </c>
      <c r="R41" s="6"/>
      <c r="S41" s="6"/>
      <c r="T41" s="156"/>
      <c r="U41" s="6"/>
    </row>
    <row r="42" spans="1:21" customFormat="1">
      <c r="A42" s="163" t="s">
        <v>3152</v>
      </c>
      <c r="B42" s="100">
        <v>10.81</v>
      </c>
      <c r="C42" s="100">
        <v>20.81</v>
      </c>
      <c r="D42" s="100">
        <v>20.89</v>
      </c>
      <c r="E42" s="100">
        <v>10.53</v>
      </c>
      <c r="F42" s="152" t="s">
        <v>15</v>
      </c>
      <c r="G42" s="100">
        <v>97.73</v>
      </c>
      <c r="H42" s="100">
        <v>40.39</v>
      </c>
      <c r="I42" s="100">
        <v>11.58</v>
      </c>
      <c r="J42" s="100">
        <v>1.31</v>
      </c>
      <c r="K42" s="100">
        <v>57.9</v>
      </c>
      <c r="L42" s="100">
        <v>29.12</v>
      </c>
      <c r="M42" s="100">
        <v>16.510000000000002</v>
      </c>
      <c r="N42" s="100">
        <v>213.8</v>
      </c>
      <c r="O42" s="100">
        <v>0</v>
      </c>
      <c r="P42" s="100">
        <v>1.02</v>
      </c>
      <c r="Q42" s="100">
        <v>28.26</v>
      </c>
      <c r="R42" s="6"/>
      <c r="S42" s="6"/>
      <c r="T42" s="156"/>
      <c r="U42" s="6"/>
    </row>
    <row r="43" spans="1:21" customFormat="1">
      <c r="A43" s="163" t="s">
        <v>3153</v>
      </c>
      <c r="B43" s="100">
        <v>9.42</v>
      </c>
      <c r="C43" s="100">
        <v>22.04</v>
      </c>
      <c r="D43" s="100">
        <v>20.420000000000002</v>
      </c>
      <c r="E43" s="100">
        <v>11.02</v>
      </c>
      <c r="F43" s="152" t="s">
        <v>15</v>
      </c>
      <c r="G43" s="100">
        <v>97.73</v>
      </c>
      <c r="H43" s="100">
        <v>40.39</v>
      </c>
      <c r="I43" s="100">
        <v>11.75</v>
      </c>
      <c r="J43" s="100">
        <v>1.47</v>
      </c>
      <c r="K43" s="100">
        <v>51.48</v>
      </c>
      <c r="L43" s="100">
        <v>29.66</v>
      </c>
      <c r="M43" s="100">
        <v>15.38</v>
      </c>
      <c r="N43" s="100">
        <v>170.5</v>
      </c>
      <c r="O43" s="100">
        <v>0</v>
      </c>
      <c r="P43" s="100">
        <v>1.03</v>
      </c>
      <c r="Q43" s="100">
        <v>28.23</v>
      </c>
      <c r="R43" s="6"/>
      <c r="S43" s="6"/>
      <c r="T43" s="156"/>
      <c r="U43" s="6"/>
    </row>
    <row r="44" spans="1:21" customFormat="1">
      <c r="A44" s="163" t="s">
        <v>3154</v>
      </c>
      <c r="B44" s="100">
        <v>8.07</v>
      </c>
      <c r="C44" s="100">
        <v>23.28</v>
      </c>
      <c r="D44" s="100">
        <v>19.989999999999998</v>
      </c>
      <c r="E44" s="100">
        <v>11.52</v>
      </c>
      <c r="F44" s="152" t="s">
        <v>15</v>
      </c>
      <c r="G44" s="100">
        <v>101.71</v>
      </c>
      <c r="H44" s="100">
        <v>47.19</v>
      </c>
      <c r="I44" s="100">
        <v>11.8</v>
      </c>
      <c r="J44" s="100">
        <v>1.28</v>
      </c>
      <c r="K44" s="100">
        <v>53.06</v>
      </c>
      <c r="L44" s="100">
        <v>30.51</v>
      </c>
      <c r="M44" s="100">
        <v>14.31</v>
      </c>
      <c r="N44" s="100">
        <v>234.6</v>
      </c>
      <c r="O44" s="100">
        <v>0</v>
      </c>
      <c r="P44" s="100">
        <v>1.03</v>
      </c>
      <c r="Q44" s="100">
        <v>28.2</v>
      </c>
      <c r="R44" s="6"/>
      <c r="S44" s="6"/>
      <c r="T44" s="156"/>
      <c r="U44" s="6"/>
    </row>
    <row r="45" spans="1:21" customFormat="1">
      <c r="A45" s="163" t="s">
        <v>3155</v>
      </c>
      <c r="B45" s="100">
        <v>6.79</v>
      </c>
      <c r="C45" s="100">
        <v>24.07</v>
      </c>
      <c r="D45" s="100">
        <v>19.37</v>
      </c>
      <c r="E45" s="100">
        <v>11.48</v>
      </c>
      <c r="F45" s="152" t="s">
        <v>15</v>
      </c>
      <c r="G45" s="100">
        <v>103.15</v>
      </c>
      <c r="H45" s="100">
        <v>47.4</v>
      </c>
      <c r="I45" s="100">
        <v>11.85</v>
      </c>
      <c r="J45" s="100">
        <v>1.39</v>
      </c>
      <c r="K45" s="100">
        <v>58.36</v>
      </c>
      <c r="L45" s="100">
        <v>31.17</v>
      </c>
      <c r="M45" s="100">
        <v>13.28</v>
      </c>
      <c r="N45" s="100">
        <v>280.10000000000002</v>
      </c>
      <c r="O45" s="100">
        <v>0</v>
      </c>
      <c r="P45" s="100">
        <v>1.03</v>
      </c>
      <c r="Q45" s="100">
        <v>28.17</v>
      </c>
      <c r="R45" s="6"/>
      <c r="S45" s="6"/>
      <c r="T45" s="156"/>
      <c r="U45" s="6"/>
    </row>
    <row r="46" spans="1:21" customFormat="1">
      <c r="A46" s="163" t="s">
        <v>3156</v>
      </c>
      <c r="B46" s="100">
        <v>5.74</v>
      </c>
      <c r="C46" s="100">
        <v>24.93</v>
      </c>
      <c r="D46" s="100">
        <v>18.97</v>
      </c>
      <c r="E46" s="100">
        <v>11.63</v>
      </c>
      <c r="F46" s="152" t="s">
        <v>15</v>
      </c>
      <c r="G46" s="100">
        <v>103.15</v>
      </c>
      <c r="H46" s="100">
        <v>47.4</v>
      </c>
      <c r="I46" s="100">
        <v>11.87</v>
      </c>
      <c r="J46" s="100">
        <v>1.43</v>
      </c>
      <c r="K46" s="100">
        <v>56.87</v>
      </c>
      <c r="L46" s="100">
        <v>31.81</v>
      </c>
      <c r="M46" s="100">
        <v>12.7</v>
      </c>
      <c r="N46" s="100">
        <v>421</v>
      </c>
      <c r="O46" s="100">
        <v>0</v>
      </c>
      <c r="P46" s="100">
        <v>1.04</v>
      </c>
      <c r="Q46" s="100">
        <v>28.15</v>
      </c>
      <c r="R46" s="6"/>
      <c r="S46" s="6"/>
      <c r="T46" s="156"/>
      <c r="U46" s="6"/>
    </row>
    <row r="47" spans="1:21" customFormat="1">
      <c r="A47" s="163" t="s">
        <v>3157</v>
      </c>
      <c r="B47" s="100">
        <v>5.04</v>
      </c>
      <c r="C47" s="100">
        <v>25.49</v>
      </c>
      <c r="D47" s="100">
        <v>18.71</v>
      </c>
      <c r="E47" s="100">
        <v>11.85</v>
      </c>
      <c r="F47" s="152" t="s">
        <v>15</v>
      </c>
      <c r="G47" s="100">
        <v>103.15</v>
      </c>
      <c r="H47" s="100">
        <v>47.4</v>
      </c>
      <c r="I47" s="100">
        <v>11.82</v>
      </c>
      <c r="J47" s="100">
        <v>1.0900000000000001</v>
      </c>
      <c r="K47" s="100">
        <v>56.82</v>
      </c>
      <c r="L47" s="100">
        <v>32.79</v>
      </c>
      <c r="M47" s="100">
        <v>11.94</v>
      </c>
      <c r="N47" s="100">
        <v>458.9</v>
      </c>
      <c r="O47" s="100">
        <v>0</v>
      </c>
      <c r="P47" s="100">
        <v>1.05</v>
      </c>
      <c r="Q47" s="100">
        <v>28.13</v>
      </c>
      <c r="R47" s="6"/>
      <c r="S47" s="6"/>
      <c r="T47" s="156"/>
      <c r="U47" s="6"/>
    </row>
    <row r="48" spans="1:21" customFormat="1">
      <c r="A48" s="163" t="s">
        <v>3158</v>
      </c>
      <c r="B48" s="100">
        <v>4.59</v>
      </c>
      <c r="C48" s="100">
        <v>25.72</v>
      </c>
      <c r="D48" s="100">
        <v>18.47</v>
      </c>
      <c r="E48" s="100">
        <v>13.65</v>
      </c>
      <c r="F48" s="152" t="s">
        <v>15</v>
      </c>
      <c r="G48" s="100">
        <v>108.03</v>
      </c>
      <c r="H48" s="100">
        <v>50.78</v>
      </c>
      <c r="I48" s="100">
        <v>12.02</v>
      </c>
      <c r="J48" s="100">
        <v>1.4</v>
      </c>
      <c r="K48" s="100">
        <v>58.09</v>
      </c>
      <c r="L48" s="100">
        <v>33.15</v>
      </c>
      <c r="M48" s="100">
        <v>11.85</v>
      </c>
      <c r="N48" s="100">
        <v>496.9</v>
      </c>
      <c r="O48" s="100">
        <v>0</v>
      </c>
      <c r="P48" s="100">
        <v>1.05</v>
      </c>
      <c r="Q48" s="100">
        <v>28.11</v>
      </c>
      <c r="R48" s="6"/>
      <c r="S48" s="6"/>
      <c r="T48" s="156"/>
      <c r="U48" s="6"/>
    </row>
    <row r="49" spans="1:21" customFormat="1">
      <c r="A49" s="163" t="s">
        <v>3159</v>
      </c>
      <c r="B49" s="100">
        <v>4.4000000000000004</v>
      </c>
      <c r="C49" s="100">
        <v>26.17</v>
      </c>
      <c r="D49" s="100">
        <v>18.559999999999999</v>
      </c>
      <c r="E49" s="100">
        <v>11.7</v>
      </c>
      <c r="F49" s="152" t="s">
        <v>15</v>
      </c>
      <c r="G49" s="100">
        <v>109.81</v>
      </c>
      <c r="H49" s="100">
        <v>50.83</v>
      </c>
      <c r="I49" s="100">
        <v>12.23</v>
      </c>
      <c r="J49" s="100">
        <v>1.39</v>
      </c>
      <c r="K49" s="100">
        <v>44.97</v>
      </c>
      <c r="L49" s="100">
        <v>33.67</v>
      </c>
      <c r="M49" s="100">
        <v>10.9</v>
      </c>
      <c r="N49" s="100">
        <v>485.6</v>
      </c>
      <c r="O49" s="100">
        <v>0</v>
      </c>
      <c r="P49" s="100">
        <v>1.06</v>
      </c>
      <c r="Q49" s="100">
        <v>28.09</v>
      </c>
      <c r="R49" s="6"/>
      <c r="S49" s="6"/>
      <c r="T49" s="156"/>
      <c r="U49" s="6"/>
    </row>
    <row r="50" spans="1:21" customFormat="1">
      <c r="A50" s="163" t="s">
        <v>3160</v>
      </c>
      <c r="B50" s="100">
        <v>4.2699999999999996</v>
      </c>
      <c r="C50" s="100">
        <v>26.54</v>
      </c>
      <c r="D50" s="100">
        <v>18.64</v>
      </c>
      <c r="E50" s="100">
        <v>13.81</v>
      </c>
      <c r="F50" s="152" t="s">
        <v>15</v>
      </c>
      <c r="G50" s="100">
        <v>109.81</v>
      </c>
      <c r="H50" s="100">
        <v>50.83</v>
      </c>
      <c r="I50" s="100">
        <v>12.14</v>
      </c>
      <c r="J50" s="100">
        <v>1.25</v>
      </c>
      <c r="K50" s="100">
        <v>57.26</v>
      </c>
      <c r="L50" s="100">
        <v>34.659999999999997</v>
      </c>
      <c r="M50" s="100">
        <v>9.2100000000000009</v>
      </c>
      <c r="N50" s="100">
        <v>394.8</v>
      </c>
      <c r="O50" s="100">
        <v>0</v>
      </c>
      <c r="P50" s="100">
        <v>1.05</v>
      </c>
      <c r="Q50" s="100">
        <v>28.08</v>
      </c>
      <c r="R50" s="6"/>
      <c r="S50" s="6"/>
      <c r="T50" s="156"/>
      <c r="U50" s="6"/>
    </row>
    <row r="51" spans="1:21" customFormat="1">
      <c r="A51" s="163" t="s">
        <v>3161</v>
      </c>
      <c r="B51" s="100">
        <v>3.93</v>
      </c>
      <c r="C51" s="100">
        <v>25.1</v>
      </c>
      <c r="D51" s="100">
        <v>17.62</v>
      </c>
      <c r="E51" s="100">
        <v>15.58</v>
      </c>
      <c r="F51" s="152" t="s">
        <v>15</v>
      </c>
      <c r="G51" s="100">
        <v>109.81</v>
      </c>
      <c r="H51" s="100">
        <v>50.83</v>
      </c>
      <c r="I51" s="100">
        <v>12.04</v>
      </c>
      <c r="J51" s="100">
        <v>1.47</v>
      </c>
      <c r="K51" s="100">
        <v>46.78</v>
      </c>
      <c r="L51" s="100">
        <v>34.799999999999997</v>
      </c>
      <c r="M51" s="100">
        <v>9.43</v>
      </c>
      <c r="N51" s="100">
        <v>572.9</v>
      </c>
      <c r="O51" s="100">
        <v>0</v>
      </c>
      <c r="P51" s="100">
        <v>1.02</v>
      </c>
      <c r="Q51" s="100">
        <v>28.08</v>
      </c>
      <c r="R51" s="6"/>
      <c r="S51" s="6"/>
      <c r="T51" s="156"/>
      <c r="U51" s="6"/>
    </row>
    <row r="52" spans="1:21" customFormat="1">
      <c r="A52" s="163" t="s">
        <v>3162</v>
      </c>
      <c r="B52" s="100">
        <v>4.0999999999999996</v>
      </c>
      <c r="C52" s="100">
        <v>26.19</v>
      </c>
      <c r="D52" s="100">
        <v>18.32</v>
      </c>
      <c r="E52" s="100">
        <v>18.809999999999999</v>
      </c>
      <c r="F52" s="152" t="s">
        <v>15</v>
      </c>
      <c r="G52" s="100">
        <v>110.46</v>
      </c>
      <c r="H52" s="100">
        <v>46.54</v>
      </c>
      <c r="I52" s="100">
        <v>11.93</v>
      </c>
      <c r="J52" s="100">
        <v>1.52</v>
      </c>
      <c r="K52" s="100">
        <v>53.66</v>
      </c>
      <c r="L52" s="100">
        <v>35.700000000000003</v>
      </c>
      <c r="M52" s="100">
        <v>8.68</v>
      </c>
      <c r="N52" s="100">
        <v>607.70000000000005</v>
      </c>
      <c r="O52" s="100">
        <v>0</v>
      </c>
      <c r="P52" s="100">
        <v>1.03</v>
      </c>
      <c r="Q52" s="100">
        <v>28.11</v>
      </c>
      <c r="R52" s="6"/>
      <c r="S52" s="6"/>
      <c r="T52" s="156"/>
      <c r="U52" s="6"/>
    </row>
    <row r="53" spans="1:21" customFormat="1">
      <c r="A53" s="163" t="s">
        <v>3163</v>
      </c>
      <c r="B53" s="100">
        <v>3.93</v>
      </c>
      <c r="C53" s="100">
        <v>25.01</v>
      </c>
      <c r="D53" s="100">
        <v>17.57</v>
      </c>
      <c r="E53" s="100">
        <v>18.86</v>
      </c>
      <c r="F53" s="152" t="s">
        <v>15</v>
      </c>
      <c r="G53" s="100">
        <v>110.69</v>
      </c>
      <c r="H53" s="100">
        <v>46.27</v>
      </c>
      <c r="I53" s="100">
        <v>11.67</v>
      </c>
      <c r="J53" s="100">
        <v>1.53</v>
      </c>
      <c r="K53" s="100">
        <v>54.48</v>
      </c>
      <c r="L53" s="100">
        <v>35.96</v>
      </c>
      <c r="M53" s="100">
        <v>8.49</v>
      </c>
      <c r="N53" s="100">
        <v>581.5</v>
      </c>
      <c r="O53" s="100">
        <v>0</v>
      </c>
      <c r="P53" s="100">
        <v>1.02</v>
      </c>
      <c r="Q53" s="100">
        <v>28.1</v>
      </c>
      <c r="R53" s="6"/>
      <c r="S53" s="6"/>
      <c r="T53" s="156"/>
      <c r="U53" s="6"/>
    </row>
    <row r="54" spans="1:21" customFormat="1">
      <c r="A54" s="163" t="s">
        <v>3164</v>
      </c>
      <c r="B54" s="100">
        <v>3.88</v>
      </c>
      <c r="C54" s="100">
        <v>24.41</v>
      </c>
      <c r="D54" s="100">
        <v>17.22</v>
      </c>
      <c r="E54" s="100">
        <v>23.58</v>
      </c>
      <c r="F54" s="152" t="s">
        <v>15</v>
      </c>
      <c r="G54" s="100">
        <v>110.69</v>
      </c>
      <c r="H54" s="100">
        <v>46.27</v>
      </c>
      <c r="I54" s="100">
        <v>11.33</v>
      </c>
      <c r="J54" s="100">
        <v>1.1399999999999999</v>
      </c>
      <c r="K54" s="100">
        <v>50.3</v>
      </c>
      <c r="L54" s="100">
        <v>36.799999999999997</v>
      </c>
      <c r="M54" s="100">
        <v>8.15</v>
      </c>
      <c r="N54" s="100">
        <v>626.29999999999995</v>
      </c>
      <c r="O54" s="100">
        <v>0</v>
      </c>
      <c r="P54" s="100">
        <v>1.02</v>
      </c>
      <c r="Q54" s="100">
        <v>28.07</v>
      </c>
      <c r="R54" s="6"/>
      <c r="S54" s="6"/>
      <c r="T54" s="156"/>
      <c r="U54" s="6"/>
    </row>
    <row r="55" spans="1:21" customFormat="1">
      <c r="A55" s="163" t="s">
        <v>3165</v>
      </c>
      <c r="B55" s="100">
        <v>3.87</v>
      </c>
      <c r="C55" s="100">
        <v>24.3</v>
      </c>
      <c r="D55" s="100">
        <v>17.149999999999999</v>
      </c>
      <c r="E55" s="100">
        <v>24.64</v>
      </c>
      <c r="F55" s="152" t="s">
        <v>15</v>
      </c>
      <c r="G55" s="100">
        <v>110.69</v>
      </c>
      <c r="H55" s="100">
        <v>46.27</v>
      </c>
      <c r="I55" s="100">
        <v>11.28</v>
      </c>
      <c r="J55" s="100">
        <v>1.45</v>
      </c>
      <c r="K55" s="100">
        <v>45.98</v>
      </c>
      <c r="L55" s="100">
        <v>36.9</v>
      </c>
      <c r="M55" s="100">
        <v>8.08</v>
      </c>
      <c r="N55" s="100">
        <v>571.29999999999995</v>
      </c>
      <c r="O55" s="100">
        <v>0</v>
      </c>
      <c r="P55" s="100">
        <v>1.01</v>
      </c>
      <c r="Q55" s="100">
        <v>28.09</v>
      </c>
      <c r="R55" s="6"/>
      <c r="S55" s="6"/>
      <c r="T55" s="156"/>
      <c r="U55" s="6"/>
    </row>
    <row r="56" spans="1:21" customFormat="1">
      <c r="A56" s="163" t="s">
        <v>3166</v>
      </c>
      <c r="B56" s="100">
        <v>3.79</v>
      </c>
      <c r="C56" s="100">
        <v>23.08</v>
      </c>
      <c r="D56" s="100">
        <v>16.45</v>
      </c>
      <c r="E56" s="100">
        <v>32.630000000000003</v>
      </c>
      <c r="F56" s="152" t="s">
        <v>15</v>
      </c>
      <c r="G56" s="100">
        <v>109.78</v>
      </c>
      <c r="H56" s="100">
        <v>50.29</v>
      </c>
      <c r="I56" s="100">
        <v>10.94</v>
      </c>
      <c r="J56" s="100">
        <v>1.24</v>
      </c>
      <c r="K56" s="100">
        <v>56.08</v>
      </c>
      <c r="L56" s="100">
        <v>37.53</v>
      </c>
      <c r="M56" s="100">
        <v>6.69</v>
      </c>
      <c r="N56" s="100">
        <v>653.29999999999995</v>
      </c>
      <c r="O56" s="100">
        <v>0</v>
      </c>
      <c r="P56" s="100">
        <v>0.97</v>
      </c>
      <c r="Q56" s="100">
        <v>28.08</v>
      </c>
      <c r="R56" s="6"/>
      <c r="S56" s="6"/>
      <c r="T56" s="156"/>
      <c r="U56" s="6"/>
    </row>
    <row r="57" spans="1:21" customFormat="1">
      <c r="A57" s="163" t="s">
        <v>3167</v>
      </c>
      <c r="B57" s="100">
        <v>3.85</v>
      </c>
      <c r="C57" s="100">
        <v>23.05</v>
      </c>
      <c r="D57" s="100">
        <v>16.48</v>
      </c>
      <c r="E57" s="100">
        <v>25.22</v>
      </c>
      <c r="F57" s="152" t="s">
        <v>15</v>
      </c>
      <c r="G57" s="100">
        <v>109.43</v>
      </c>
      <c r="H57" s="100">
        <v>50.41</v>
      </c>
      <c r="I57" s="100">
        <v>10.7</v>
      </c>
      <c r="J57" s="100">
        <v>1.34</v>
      </c>
      <c r="K57" s="100">
        <v>49.18</v>
      </c>
      <c r="L57" s="100">
        <v>38.01</v>
      </c>
      <c r="M57" s="100">
        <v>7.1</v>
      </c>
      <c r="N57" s="100">
        <v>648.1</v>
      </c>
      <c r="O57" s="100">
        <v>0</v>
      </c>
      <c r="P57" s="100">
        <v>0.97</v>
      </c>
      <c r="Q57" s="100">
        <v>28.09</v>
      </c>
      <c r="R57" s="6"/>
      <c r="S57" s="6"/>
      <c r="T57" s="156"/>
      <c r="U57" s="6"/>
    </row>
    <row r="58" spans="1:21" customFormat="1">
      <c r="A58" s="163" t="s">
        <v>3168</v>
      </c>
      <c r="B58" s="100">
        <v>4.0599999999999996</v>
      </c>
      <c r="C58" s="100">
        <v>25.36</v>
      </c>
      <c r="D58" s="100">
        <v>17.86</v>
      </c>
      <c r="E58" s="100">
        <v>31.6</v>
      </c>
      <c r="F58" s="152" t="s">
        <v>15</v>
      </c>
      <c r="G58" s="100">
        <v>109.43</v>
      </c>
      <c r="H58" s="100">
        <v>50.41</v>
      </c>
      <c r="I58" s="100">
        <v>10.33</v>
      </c>
      <c r="J58" s="100">
        <v>0.95</v>
      </c>
      <c r="K58" s="100">
        <v>43.89</v>
      </c>
      <c r="L58" s="100">
        <v>38.49</v>
      </c>
      <c r="M58" s="100">
        <v>7.08</v>
      </c>
      <c r="N58" s="100">
        <v>651.5</v>
      </c>
      <c r="O58" s="100">
        <v>0</v>
      </c>
      <c r="P58" s="100">
        <v>0.96</v>
      </c>
      <c r="Q58" s="100">
        <v>28.08</v>
      </c>
      <c r="R58" s="6"/>
      <c r="S58" s="6"/>
      <c r="T58" s="156"/>
      <c r="U58" s="6"/>
    </row>
    <row r="59" spans="1:21" customFormat="1">
      <c r="A59" s="163" t="s">
        <v>3169</v>
      </c>
      <c r="B59" s="100">
        <v>3.85</v>
      </c>
      <c r="C59" s="100">
        <v>22.98</v>
      </c>
      <c r="D59" s="100">
        <v>16.45</v>
      </c>
      <c r="E59" s="100">
        <v>35.22</v>
      </c>
      <c r="F59" s="152" t="s">
        <v>15</v>
      </c>
      <c r="G59" s="100">
        <v>109.43</v>
      </c>
      <c r="H59" s="100">
        <v>50.41</v>
      </c>
      <c r="I59" s="100">
        <v>10.31</v>
      </c>
      <c r="J59" s="100">
        <v>1.04</v>
      </c>
      <c r="K59" s="100">
        <v>27.75</v>
      </c>
      <c r="L59" s="100">
        <v>38.72</v>
      </c>
      <c r="M59" s="100">
        <v>7.01</v>
      </c>
      <c r="N59" s="100">
        <v>643.20000000000005</v>
      </c>
      <c r="O59" s="100">
        <v>0</v>
      </c>
      <c r="P59" s="100">
        <v>0.95</v>
      </c>
      <c r="Q59" s="100">
        <v>28.07</v>
      </c>
      <c r="R59" s="6"/>
      <c r="S59" s="6"/>
      <c r="T59" s="156"/>
      <c r="U59" s="6"/>
    </row>
    <row r="60" spans="1:21" customFormat="1">
      <c r="A60" s="163" t="s">
        <v>3170</v>
      </c>
      <c r="B60" s="100">
        <v>3.83</v>
      </c>
      <c r="C60" s="100">
        <v>24.75</v>
      </c>
      <c r="D60" s="100">
        <v>17.36</v>
      </c>
      <c r="E60" s="100">
        <v>34.64</v>
      </c>
      <c r="F60" s="152" t="s">
        <v>15</v>
      </c>
      <c r="G60" s="100">
        <v>103</v>
      </c>
      <c r="H60" s="100">
        <v>46.52</v>
      </c>
      <c r="I60" s="100">
        <v>9.99</v>
      </c>
      <c r="J60" s="100">
        <v>0.81</v>
      </c>
      <c r="K60" s="100">
        <v>336.35</v>
      </c>
      <c r="L60" s="100">
        <v>38.86</v>
      </c>
      <c r="M60" s="100">
        <v>7.62</v>
      </c>
      <c r="N60" s="100">
        <v>623.20000000000005</v>
      </c>
      <c r="O60" s="100">
        <v>0</v>
      </c>
      <c r="P60" s="100">
        <v>0.94</v>
      </c>
      <c r="Q60" s="100">
        <v>28.07</v>
      </c>
      <c r="R60" s="6"/>
      <c r="S60" s="6"/>
      <c r="T60" s="156"/>
      <c r="U60" s="6"/>
    </row>
    <row r="61" spans="1:21" customFormat="1">
      <c r="A61" s="163" t="s">
        <v>3171</v>
      </c>
      <c r="B61" s="100">
        <v>3.69</v>
      </c>
      <c r="C61" s="100">
        <v>21.99</v>
      </c>
      <c r="D61" s="100">
        <v>15.8</v>
      </c>
      <c r="E61" s="100">
        <v>24.84</v>
      </c>
      <c r="F61" s="152" t="s">
        <v>15</v>
      </c>
      <c r="G61" s="100">
        <v>100.66</v>
      </c>
      <c r="H61" s="100">
        <v>46.46</v>
      </c>
      <c r="I61" s="100">
        <v>9.6999999999999993</v>
      </c>
      <c r="J61" s="100">
        <v>0.23</v>
      </c>
      <c r="K61" s="100">
        <v>303.67</v>
      </c>
      <c r="L61" s="100">
        <v>39.1</v>
      </c>
      <c r="M61" s="100">
        <v>8.1300000000000008</v>
      </c>
      <c r="N61" s="100">
        <v>598.79999999999995</v>
      </c>
      <c r="O61" s="100">
        <v>0</v>
      </c>
      <c r="P61" s="100">
        <v>0.96</v>
      </c>
      <c r="Q61" s="100">
        <v>28.07</v>
      </c>
      <c r="R61" s="6"/>
      <c r="S61" s="6"/>
      <c r="T61" s="156"/>
      <c r="U61" s="6"/>
    </row>
    <row r="62" spans="1:21" customFormat="1">
      <c r="A62" s="163" t="s">
        <v>3172</v>
      </c>
      <c r="B62" s="100">
        <v>3.77</v>
      </c>
      <c r="C62" s="100">
        <v>21.24</v>
      </c>
      <c r="D62" s="100">
        <v>15.47</v>
      </c>
      <c r="E62" s="100">
        <v>30.64</v>
      </c>
      <c r="F62" s="152" t="s">
        <v>15</v>
      </c>
      <c r="G62" s="100">
        <v>100.66</v>
      </c>
      <c r="H62" s="100">
        <v>46.46</v>
      </c>
      <c r="I62" s="100">
        <v>9.56</v>
      </c>
      <c r="J62" s="100">
        <v>0.72</v>
      </c>
      <c r="K62" s="100">
        <v>6.68</v>
      </c>
      <c r="L62" s="100">
        <v>39.26</v>
      </c>
      <c r="M62" s="100">
        <v>8.09</v>
      </c>
      <c r="N62" s="100">
        <v>546.1</v>
      </c>
      <c r="O62" s="100">
        <v>0</v>
      </c>
      <c r="P62" s="100">
        <v>0.96</v>
      </c>
      <c r="Q62" s="100">
        <v>28.08</v>
      </c>
      <c r="R62" s="6"/>
      <c r="S62" s="6"/>
      <c r="T62" s="156"/>
      <c r="U62" s="6"/>
    </row>
    <row r="63" spans="1:21" customFormat="1">
      <c r="A63" s="163" t="s">
        <v>3173</v>
      </c>
      <c r="B63" s="100">
        <v>3.69</v>
      </c>
      <c r="C63" s="100">
        <v>20.45</v>
      </c>
      <c r="D63" s="100">
        <v>15</v>
      </c>
      <c r="E63" s="100">
        <v>33.06</v>
      </c>
      <c r="F63" s="152" t="s">
        <v>15</v>
      </c>
      <c r="G63" s="100">
        <v>100.66</v>
      </c>
      <c r="H63" s="100">
        <v>46.46</v>
      </c>
      <c r="I63" s="100">
        <v>9.66</v>
      </c>
      <c r="J63" s="100">
        <v>0.96</v>
      </c>
      <c r="K63" s="100">
        <v>41.4</v>
      </c>
      <c r="L63" s="100">
        <v>39.46</v>
      </c>
      <c r="M63" s="100">
        <v>8.17</v>
      </c>
      <c r="N63" s="100">
        <v>513.9</v>
      </c>
      <c r="O63" s="100">
        <v>0</v>
      </c>
      <c r="P63" s="100">
        <v>0.94</v>
      </c>
      <c r="Q63" s="100">
        <v>28.07</v>
      </c>
      <c r="R63" s="6"/>
      <c r="S63" s="6"/>
      <c r="T63" s="156"/>
      <c r="U63" s="6"/>
    </row>
    <row r="64" spans="1:21" customFormat="1">
      <c r="A64" s="163" t="s">
        <v>3174</v>
      </c>
      <c r="B64" s="100">
        <v>3.85</v>
      </c>
      <c r="C64" s="100">
        <v>21.12</v>
      </c>
      <c r="D64" s="100">
        <v>15.47</v>
      </c>
      <c r="E64" s="100">
        <v>36.729999999999997</v>
      </c>
      <c r="F64" s="152" t="s">
        <v>15</v>
      </c>
      <c r="G64" s="100">
        <v>99.13</v>
      </c>
      <c r="H64" s="100">
        <v>46.05</v>
      </c>
      <c r="I64" s="100">
        <v>9.2799999999999994</v>
      </c>
      <c r="J64" s="100">
        <v>0.78</v>
      </c>
      <c r="K64" s="100">
        <v>11.26</v>
      </c>
      <c r="L64" s="100">
        <v>39.47</v>
      </c>
      <c r="M64" s="100">
        <v>8.4499999999999993</v>
      </c>
      <c r="N64" s="100">
        <v>527.20000000000005</v>
      </c>
      <c r="O64" s="100">
        <v>0</v>
      </c>
      <c r="P64" s="100">
        <v>0.93</v>
      </c>
      <c r="Q64" s="100">
        <v>28.07</v>
      </c>
      <c r="R64" s="6"/>
      <c r="S64" s="6"/>
      <c r="T64" s="156"/>
      <c r="U64" s="6"/>
    </row>
    <row r="65" spans="1:21" customFormat="1">
      <c r="A65" s="163" t="s">
        <v>3175</v>
      </c>
      <c r="B65" s="100">
        <v>3.75</v>
      </c>
      <c r="C65" s="100">
        <v>20.75</v>
      </c>
      <c r="D65" s="100">
        <v>15.2</v>
      </c>
      <c r="E65" s="100">
        <v>22.82</v>
      </c>
      <c r="F65" s="152" t="s">
        <v>15</v>
      </c>
      <c r="G65" s="100">
        <v>98.57</v>
      </c>
      <c r="H65" s="100">
        <v>46.04</v>
      </c>
      <c r="I65" s="100">
        <v>9.08</v>
      </c>
      <c r="J65" s="100">
        <v>0.52</v>
      </c>
      <c r="K65" s="100">
        <v>333.13</v>
      </c>
      <c r="L65" s="100">
        <v>39.75</v>
      </c>
      <c r="M65" s="100">
        <v>8.6199999999999992</v>
      </c>
      <c r="N65" s="100">
        <v>514.20000000000005</v>
      </c>
      <c r="O65" s="100">
        <v>0</v>
      </c>
      <c r="P65" s="100">
        <v>0.79</v>
      </c>
      <c r="Q65" s="100">
        <v>28.07</v>
      </c>
      <c r="R65" s="6"/>
      <c r="S65" s="6"/>
      <c r="T65" s="156"/>
      <c r="U65" s="6"/>
    </row>
    <row r="66" spans="1:21" customFormat="1">
      <c r="A66" s="163" t="s">
        <v>3176</v>
      </c>
      <c r="B66" s="100">
        <v>3.87</v>
      </c>
      <c r="C66" s="100">
        <v>20.52</v>
      </c>
      <c r="D66" s="100">
        <v>15.17</v>
      </c>
      <c r="E66" s="100">
        <v>29.1</v>
      </c>
      <c r="F66" s="152" t="s">
        <v>15</v>
      </c>
      <c r="G66" s="100">
        <v>98.57</v>
      </c>
      <c r="H66" s="100">
        <v>46.04</v>
      </c>
      <c r="I66" s="100">
        <v>8.84</v>
      </c>
      <c r="J66" s="100">
        <v>0.44</v>
      </c>
      <c r="K66" s="100">
        <v>11.51</v>
      </c>
      <c r="L66" s="100">
        <v>39.979999999999997</v>
      </c>
      <c r="M66" s="100">
        <v>8.89</v>
      </c>
      <c r="N66" s="100">
        <v>503.6</v>
      </c>
      <c r="O66" s="100">
        <v>0</v>
      </c>
      <c r="P66" s="100">
        <v>0.83</v>
      </c>
      <c r="Q66" s="100">
        <v>28.05</v>
      </c>
      <c r="R66" s="6"/>
      <c r="S66" s="6"/>
      <c r="T66" s="156"/>
      <c r="U66" s="6"/>
    </row>
    <row r="67" spans="1:21" customFormat="1">
      <c r="A67" s="163" t="s">
        <v>3177</v>
      </c>
      <c r="B67" s="100">
        <v>3.63</v>
      </c>
      <c r="C67" s="100">
        <v>18.850000000000001</v>
      </c>
      <c r="D67" s="100">
        <v>14.11</v>
      </c>
      <c r="E67" s="100">
        <v>18.8</v>
      </c>
      <c r="F67" s="152" t="s">
        <v>15</v>
      </c>
      <c r="G67" s="100">
        <v>98.57</v>
      </c>
      <c r="H67" s="100">
        <v>46.04</v>
      </c>
      <c r="I67" s="100">
        <v>9.0500000000000007</v>
      </c>
      <c r="J67" s="100">
        <v>0.94</v>
      </c>
      <c r="K67" s="100">
        <v>293.77</v>
      </c>
      <c r="L67" s="100">
        <v>39.799999999999997</v>
      </c>
      <c r="M67" s="100">
        <v>8.5299999999999994</v>
      </c>
      <c r="N67" s="100">
        <v>411</v>
      </c>
      <c r="O67" s="100">
        <v>0</v>
      </c>
      <c r="P67" s="100">
        <v>0.81</v>
      </c>
      <c r="Q67" s="100">
        <v>28.07</v>
      </c>
      <c r="R67" s="6"/>
      <c r="S67" s="6"/>
      <c r="T67" s="156"/>
      <c r="U67" s="6"/>
    </row>
    <row r="68" spans="1:21" customFormat="1">
      <c r="A68" s="163" t="s">
        <v>3178</v>
      </c>
      <c r="B68" s="100">
        <v>3.79</v>
      </c>
      <c r="C68" s="100">
        <v>20.16</v>
      </c>
      <c r="D68" s="100">
        <v>14.92</v>
      </c>
      <c r="E68" s="100">
        <v>31.63</v>
      </c>
      <c r="F68" s="152" t="s">
        <v>15</v>
      </c>
      <c r="G68" s="100">
        <v>96.23</v>
      </c>
      <c r="H68" s="100">
        <v>43.85</v>
      </c>
      <c r="I68" s="100">
        <v>8.67</v>
      </c>
      <c r="J68" s="100">
        <v>0.41</v>
      </c>
      <c r="K68" s="100">
        <v>28.77</v>
      </c>
      <c r="L68" s="100">
        <v>39.75</v>
      </c>
      <c r="M68" s="100">
        <v>7.72</v>
      </c>
      <c r="N68" s="100">
        <v>411.1</v>
      </c>
      <c r="O68" s="100">
        <v>0</v>
      </c>
      <c r="P68" s="100">
        <v>0.76</v>
      </c>
      <c r="Q68" s="100">
        <v>28.06</v>
      </c>
      <c r="R68" s="6"/>
      <c r="S68" s="6"/>
      <c r="T68" s="156"/>
      <c r="U68" s="6"/>
    </row>
    <row r="69" spans="1:21" customFormat="1">
      <c r="A69" s="163" t="s">
        <v>3179</v>
      </c>
      <c r="B69" s="100">
        <v>3.73</v>
      </c>
      <c r="C69" s="100">
        <v>19.39</v>
      </c>
      <c r="D69" s="100">
        <v>14.47</v>
      </c>
      <c r="E69" s="100">
        <v>30.51</v>
      </c>
      <c r="F69" s="152" t="s">
        <v>15</v>
      </c>
      <c r="G69" s="100">
        <v>95.38</v>
      </c>
      <c r="H69" s="100">
        <v>43.81</v>
      </c>
      <c r="I69" s="100">
        <v>8.6300000000000008</v>
      </c>
      <c r="J69" s="100">
        <v>0.59</v>
      </c>
      <c r="K69" s="100">
        <v>26.11</v>
      </c>
      <c r="L69" s="100">
        <v>39.89</v>
      </c>
      <c r="M69" s="100">
        <v>7.59</v>
      </c>
      <c r="N69" s="100">
        <v>374</v>
      </c>
      <c r="O69" s="100">
        <v>0</v>
      </c>
      <c r="P69" s="100">
        <v>0.77</v>
      </c>
      <c r="Q69" s="100">
        <v>28.05</v>
      </c>
      <c r="R69" s="6"/>
      <c r="S69" s="6"/>
      <c r="T69" s="156"/>
      <c r="U69" s="6"/>
    </row>
    <row r="70" spans="1:21" customFormat="1">
      <c r="A70" s="163" t="s">
        <v>3180</v>
      </c>
      <c r="B70" s="100">
        <v>3.8</v>
      </c>
      <c r="C70" s="100">
        <v>19.45</v>
      </c>
      <c r="D70" s="100">
        <v>14.56</v>
      </c>
      <c r="E70" s="100">
        <v>31.74</v>
      </c>
      <c r="F70" s="152" t="s">
        <v>15</v>
      </c>
      <c r="G70" s="100">
        <v>95.38</v>
      </c>
      <c r="H70" s="100">
        <v>43.81</v>
      </c>
      <c r="I70" s="100">
        <v>8.06</v>
      </c>
      <c r="J70" s="100">
        <v>0.73</v>
      </c>
      <c r="K70" s="100">
        <v>4.8099999999999996</v>
      </c>
      <c r="L70" s="100">
        <v>39.42</v>
      </c>
      <c r="M70" s="100">
        <v>7.73</v>
      </c>
      <c r="N70" s="100">
        <v>334.4</v>
      </c>
      <c r="O70" s="100">
        <v>0</v>
      </c>
      <c r="P70" s="100">
        <v>0.78</v>
      </c>
      <c r="Q70" s="100">
        <v>28.07</v>
      </c>
      <c r="R70" s="6"/>
      <c r="S70" s="6"/>
      <c r="T70" s="156"/>
      <c r="U70" s="6"/>
    </row>
    <row r="71" spans="1:21" customFormat="1">
      <c r="A71" s="163" t="s">
        <v>3181</v>
      </c>
      <c r="B71" s="100">
        <v>4.18</v>
      </c>
      <c r="C71" s="100">
        <v>20.43</v>
      </c>
      <c r="D71" s="100">
        <v>15.38</v>
      </c>
      <c r="E71" s="100">
        <v>30.84</v>
      </c>
      <c r="F71" s="152" t="s">
        <v>15</v>
      </c>
      <c r="G71" s="100">
        <v>95.38</v>
      </c>
      <c r="H71" s="100">
        <v>43.81</v>
      </c>
      <c r="I71" s="100">
        <v>8.15</v>
      </c>
      <c r="J71" s="100">
        <v>1.18</v>
      </c>
      <c r="K71" s="100">
        <v>34.79</v>
      </c>
      <c r="L71" s="100">
        <v>38.909999999999997</v>
      </c>
      <c r="M71" s="100">
        <v>7.49</v>
      </c>
      <c r="N71" s="100">
        <v>322.3</v>
      </c>
      <c r="O71" s="100">
        <v>0</v>
      </c>
      <c r="P71" s="100">
        <v>0.76</v>
      </c>
      <c r="Q71" s="100">
        <v>28.08</v>
      </c>
      <c r="R71" s="6"/>
      <c r="S71" s="6"/>
      <c r="T71" s="156"/>
      <c r="U71" s="6"/>
    </row>
    <row r="72" spans="1:21" customFormat="1">
      <c r="A72" s="163" t="s">
        <v>3182</v>
      </c>
      <c r="B72" s="100">
        <v>4.37</v>
      </c>
      <c r="C72" s="100">
        <v>21.66</v>
      </c>
      <c r="D72" s="100">
        <v>16.170000000000002</v>
      </c>
      <c r="E72" s="100">
        <v>40.18</v>
      </c>
      <c r="F72" s="152" t="s">
        <v>15</v>
      </c>
      <c r="G72" s="100">
        <v>85.69</v>
      </c>
      <c r="H72" s="100">
        <v>39.74</v>
      </c>
      <c r="I72" s="100">
        <v>8.1199999999999992</v>
      </c>
      <c r="J72" s="100">
        <v>1</v>
      </c>
      <c r="K72" s="100">
        <v>26.44</v>
      </c>
      <c r="L72" s="100">
        <v>39.07</v>
      </c>
      <c r="M72" s="100">
        <v>7.42</v>
      </c>
      <c r="N72" s="100">
        <v>230.4</v>
      </c>
      <c r="O72" s="100">
        <v>0</v>
      </c>
      <c r="P72" s="100">
        <v>0.73</v>
      </c>
      <c r="Q72" s="100">
        <v>28.07</v>
      </c>
      <c r="R72" s="6"/>
      <c r="S72" s="6"/>
      <c r="T72" s="156"/>
      <c r="U72" s="6"/>
    </row>
    <row r="73" spans="1:21" customFormat="1">
      <c r="A73" s="163" t="s">
        <v>3183</v>
      </c>
      <c r="B73" s="100">
        <v>4.03</v>
      </c>
      <c r="C73" s="100">
        <v>20.82</v>
      </c>
      <c r="D73" s="100">
        <v>15.46</v>
      </c>
      <c r="E73" s="100">
        <v>32</v>
      </c>
      <c r="F73" s="152" t="s">
        <v>15</v>
      </c>
      <c r="G73" s="100">
        <v>82.16</v>
      </c>
      <c r="H73" s="100">
        <v>39.68</v>
      </c>
      <c r="I73" s="100">
        <v>7.88</v>
      </c>
      <c r="J73" s="100">
        <v>1.03</v>
      </c>
      <c r="K73" s="100">
        <v>33.130000000000003</v>
      </c>
      <c r="L73" s="100">
        <v>38.51</v>
      </c>
      <c r="M73" s="100">
        <v>7.54</v>
      </c>
      <c r="N73" s="100">
        <v>134.30000000000001</v>
      </c>
      <c r="O73" s="100">
        <v>0</v>
      </c>
      <c r="P73" s="100">
        <v>0.74</v>
      </c>
      <c r="Q73" s="100">
        <v>28.08</v>
      </c>
      <c r="R73" s="6"/>
      <c r="S73" s="6"/>
      <c r="T73" s="156"/>
      <c r="U73" s="6"/>
    </row>
    <row r="74" spans="1:21" customFormat="1">
      <c r="A74" s="163" t="s">
        <v>3184</v>
      </c>
      <c r="B74" s="100">
        <v>3.78</v>
      </c>
      <c r="C74" s="100">
        <v>20.420000000000002</v>
      </c>
      <c r="D74" s="100">
        <v>15.05</v>
      </c>
      <c r="E74" s="100">
        <v>30.32</v>
      </c>
      <c r="F74" s="152" t="s">
        <v>15</v>
      </c>
      <c r="G74" s="100">
        <v>82.16</v>
      </c>
      <c r="H74" s="100">
        <v>39.68</v>
      </c>
      <c r="I74" s="100">
        <v>7.43</v>
      </c>
      <c r="J74" s="100">
        <v>1.31</v>
      </c>
      <c r="K74" s="100">
        <v>58.49</v>
      </c>
      <c r="L74" s="100">
        <v>38.17</v>
      </c>
      <c r="M74" s="100">
        <v>7.49</v>
      </c>
      <c r="N74" s="100">
        <v>145.30000000000001</v>
      </c>
      <c r="O74" s="100">
        <v>0</v>
      </c>
      <c r="P74" s="100">
        <v>0.73</v>
      </c>
      <c r="Q74" s="100">
        <v>28.08</v>
      </c>
      <c r="R74" s="6"/>
      <c r="S74" s="6"/>
      <c r="T74" s="156"/>
      <c r="U74" s="6"/>
    </row>
    <row r="75" spans="1:21" customFormat="1">
      <c r="A75" s="163" t="s">
        <v>3185</v>
      </c>
      <c r="B75" s="100">
        <v>3.73</v>
      </c>
      <c r="C75" s="100">
        <v>19.93</v>
      </c>
      <c r="D75" s="100">
        <v>14.75</v>
      </c>
      <c r="E75" s="100">
        <v>24.59</v>
      </c>
      <c r="F75" s="152" t="s">
        <v>15</v>
      </c>
      <c r="G75" s="100">
        <v>82.16</v>
      </c>
      <c r="H75" s="100">
        <v>39.68</v>
      </c>
      <c r="I75" s="100">
        <v>7.53</v>
      </c>
      <c r="J75" s="100">
        <v>1.37</v>
      </c>
      <c r="K75" s="100">
        <v>55.12</v>
      </c>
      <c r="L75" s="100">
        <v>37.92</v>
      </c>
      <c r="M75" s="100">
        <v>7.56</v>
      </c>
      <c r="N75" s="100">
        <v>107.5</v>
      </c>
      <c r="O75" s="100">
        <v>0</v>
      </c>
      <c r="P75" s="100">
        <v>0.74</v>
      </c>
      <c r="Q75" s="100">
        <v>28.08</v>
      </c>
      <c r="R75" s="6"/>
      <c r="S75" s="6"/>
      <c r="T75" s="156"/>
      <c r="U75" s="6"/>
    </row>
    <row r="76" spans="1:21" customFormat="1">
      <c r="A76" s="163" t="s">
        <v>3186</v>
      </c>
      <c r="B76" s="100">
        <v>3.97</v>
      </c>
      <c r="C76" s="100">
        <v>22.52</v>
      </c>
      <c r="D76" s="100">
        <v>16.3</v>
      </c>
      <c r="E76" s="100">
        <v>27.9</v>
      </c>
      <c r="F76" s="152" t="s">
        <v>15</v>
      </c>
      <c r="G76" s="100">
        <v>79.239999999999995</v>
      </c>
      <c r="H76" s="100">
        <v>37.18</v>
      </c>
      <c r="I76" s="100">
        <v>7.52</v>
      </c>
      <c r="J76" s="100">
        <v>1.27</v>
      </c>
      <c r="K76" s="100">
        <v>55.58</v>
      </c>
      <c r="L76" s="100">
        <v>37.68</v>
      </c>
      <c r="M76" s="100">
        <v>7.83</v>
      </c>
      <c r="N76" s="100">
        <v>88.6</v>
      </c>
      <c r="O76" s="100">
        <v>0</v>
      </c>
      <c r="P76" s="100">
        <v>0.74</v>
      </c>
      <c r="Q76" s="100">
        <v>28.08</v>
      </c>
      <c r="R76" s="6"/>
      <c r="S76" s="6"/>
      <c r="T76" s="156"/>
      <c r="U76" s="6"/>
    </row>
    <row r="77" spans="1:21" customFormat="1">
      <c r="A77" s="163" t="s">
        <v>3187</v>
      </c>
      <c r="B77" s="100">
        <v>3.99</v>
      </c>
      <c r="C77" s="100">
        <v>21.61</v>
      </c>
      <c r="D77" s="100">
        <v>15.84</v>
      </c>
      <c r="E77" s="100">
        <v>23.29</v>
      </c>
      <c r="F77" s="152" t="s">
        <v>15</v>
      </c>
      <c r="G77" s="100">
        <v>78.17</v>
      </c>
      <c r="H77" s="100">
        <v>37.03</v>
      </c>
      <c r="I77" s="100">
        <v>7.6</v>
      </c>
      <c r="J77" s="100">
        <v>1.23</v>
      </c>
      <c r="K77" s="100">
        <v>48.56</v>
      </c>
      <c r="L77" s="100">
        <v>37.22</v>
      </c>
      <c r="M77" s="100">
        <v>8.07</v>
      </c>
      <c r="N77" s="100">
        <v>67.900000000000006</v>
      </c>
      <c r="O77" s="100">
        <v>0</v>
      </c>
      <c r="P77" s="100">
        <v>0.74</v>
      </c>
      <c r="Q77" s="100">
        <v>28.08</v>
      </c>
      <c r="R77" s="6"/>
      <c r="S77" s="6"/>
      <c r="T77" s="156"/>
      <c r="U77" s="6"/>
    </row>
    <row r="78" spans="1:21" customFormat="1">
      <c r="A78" s="163" t="s">
        <v>3188</v>
      </c>
      <c r="B78" s="100">
        <v>4.34</v>
      </c>
      <c r="C78" s="100">
        <v>26.8</v>
      </c>
      <c r="D78" s="100">
        <v>18.84</v>
      </c>
      <c r="E78" s="100">
        <v>25.55</v>
      </c>
      <c r="F78" s="152" t="s">
        <v>15</v>
      </c>
      <c r="G78" s="100">
        <v>78.17</v>
      </c>
      <c r="H78" s="100">
        <v>37.03</v>
      </c>
      <c r="I78" s="100">
        <v>7.45</v>
      </c>
      <c r="J78" s="100">
        <v>0.88</v>
      </c>
      <c r="K78" s="100">
        <v>40.1</v>
      </c>
      <c r="L78" s="100">
        <v>36.67</v>
      </c>
      <c r="M78" s="100">
        <v>8.6199999999999992</v>
      </c>
      <c r="N78" s="100">
        <v>47.6</v>
      </c>
      <c r="O78" s="100">
        <v>0</v>
      </c>
      <c r="P78" s="100">
        <v>0.76</v>
      </c>
      <c r="Q78" s="100">
        <v>28.07</v>
      </c>
      <c r="R78" s="6"/>
      <c r="S78" s="6"/>
      <c r="T78" s="156"/>
      <c r="U78" s="6"/>
    </row>
    <row r="79" spans="1:21" customFormat="1">
      <c r="A79" s="163" t="s">
        <v>3189</v>
      </c>
      <c r="B79" s="100">
        <v>4.08</v>
      </c>
      <c r="C79" s="100">
        <v>25.86</v>
      </c>
      <c r="D79" s="100">
        <v>18.14</v>
      </c>
      <c r="E79" s="100">
        <v>23.22</v>
      </c>
      <c r="F79" s="152" t="s">
        <v>15</v>
      </c>
      <c r="G79" s="100">
        <v>78.17</v>
      </c>
      <c r="H79" s="100">
        <v>37.03</v>
      </c>
      <c r="I79" s="100">
        <v>7.52</v>
      </c>
      <c r="J79" s="100">
        <v>0.79</v>
      </c>
      <c r="K79" s="100">
        <v>60.56</v>
      </c>
      <c r="L79" s="100">
        <v>36.229999999999997</v>
      </c>
      <c r="M79" s="100">
        <v>8.7899999999999991</v>
      </c>
      <c r="N79" s="100">
        <v>29.9</v>
      </c>
      <c r="O79" s="100">
        <v>0</v>
      </c>
      <c r="P79" s="100">
        <v>0.81</v>
      </c>
      <c r="Q79" s="100">
        <v>28.07</v>
      </c>
      <c r="R79" s="6"/>
      <c r="S79" s="6"/>
      <c r="T79" s="156"/>
      <c r="U79" s="6"/>
    </row>
    <row r="80" spans="1:21" customFormat="1">
      <c r="A80" s="163" t="s">
        <v>3190</v>
      </c>
      <c r="B80" s="100">
        <v>3.89</v>
      </c>
      <c r="C80" s="100">
        <v>29.35</v>
      </c>
      <c r="D80" s="100">
        <v>19.8</v>
      </c>
      <c r="E80" s="100">
        <v>23.9</v>
      </c>
      <c r="F80" s="152" t="s">
        <v>15</v>
      </c>
      <c r="G80" s="100">
        <v>78.349999999999994</v>
      </c>
      <c r="H80" s="100">
        <v>38.869999999999997</v>
      </c>
      <c r="I80" s="100">
        <v>7.57</v>
      </c>
      <c r="J80" s="100">
        <v>0.49</v>
      </c>
      <c r="K80" s="100">
        <v>64.66</v>
      </c>
      <c r="L80" s="100">
        <v>35.68</v>
      </c>
      <c r="M80" s="100">
        <v>9.5299999999999994</v>
      </c>
      <c r="N80" s="100">
        <v>17.600000000000001</v>
      </c>
      <c r="O80" s="100">
        <v>0</v>
      </c>
      <c r="P80" s="100">
        <v>0.82</v>
      </c>
      <c r="Q80" s="100">
        <v>28.07</v>
      </c>
      <c r="R80" s="6"/>
      <c r="S80" s="6"/>
      <c r="T80" s="156"/>
      <c r="U80" s="6"/>
    </row>
    <row r="81" spans="1:21" customFormat="1">
      <c r="A81" s="163" t="s">
        <v>3191</v>
      </c>
      <c r="B81" s="100">
        <v>4.7699999999999996</v>
      </c>
      <c r="C81" s="100">
        <v>30.85</v>
      </c>
      <c r="D81" s="100">
        <v>21.3</v>
      </c>
      <c r="E81" s="100">
        <v>13.85</v>
      </c>
      <c r="F81" s="152" t="s">
        <v>15</v>
      </c>
      <c r="G81" s="100">
        <v>78.41</v>
      </c>
      <c r="H81" s="100">
        <v>38.9</v>
      </c>
      <c r="I81" s="100">
        <v>7.94</v>
      </c>
      <c r="J81" s="100">
        <v>0.4</v>
      </c>
      <c r="K81" s="100">
        <v>37.159999999999997</v>
      </c>
      <c r="L81" s="100">
        <v>35.07</v>
      </c>
      <c r="M81" s="100">
        <v>10.75</v>
      </c>
      <c r="N81" s="100">
        <v>9.1999999999999993</v>
      </c>
      <c r="O81" s="100">
        <v>0</v>
      </c>
      <c r="P81" s="100">
        <v>0.85</v>
      </c>
      <c r="Q81" s="100">
        <v>28.09</v>
      </c>
      <c r="R81" s="6"/>
      <c r="S81" s="6"/>
      <c r="T81" s="156"/>
      <c r="U81" s="6"/>
    </row>
    <row r="82" spans="1:21" customFormat="1">
      <c r="A82" s="163" t="s">
        <v>3192</v>
      </c>
      <c r="B82" s="100">
        <v>3.85</v>
      </c>
      <c r="C82" s="100">
        <v>27.47</v>
      </c>
      <c r="D82" s="100">
        <v>18.79</v>
      </c>
      <c r="E82" s="100">
        <v>16.05</v>
      </c>
      <c r="F82" s="152" t="s">
        <v>15</v>
      </c>
      <c r="G82" s="100">
        <v>78.41</v>
      </c>
      <c r="H82" s="100">
        <v>38.9</v>
      </c>
      <c r="I82" s="100">
        <v>8.0399999999999991</v>
      </c>
      <c r="J82" s="100">
        <v>0.26</v>
      </c>
      <c r="K82" s="100">
        <v>163.66999999999999</v>
      </c>
      <c r="L82" s="100">
        <v>33.43</v>
      </c>
      <c r="M82" s="100">
        <v>15.27</v>
      </c>
      <c r="N82" s="100">
        <v>7.5</v>
      </c>
      <c r="O82" s="100">
        <v>0</v>
      </c>
      <c r="P82" s="100">
        <v>0.82</v>
      </c>
      <c r="Q82" s="100">
        <v>28.08</v>
      </c>
      <c r="R82" s="6"/>
      <c r="S82" s="6"/>
      <c r="T82" s="156"/>
      <c r="U82" s="6"/>
    </row>
    <row r="83" spans="1:21" customFormat="1">
      <c r="A83" s="163" t="s">
        <v>3193</v>
      </c>
      <c r="B83" s="100">
        <v>4.13</v>
      </c>
      <c r="C83" s="100">
        <v>34.93</v>
      </c>
      <c r="D83" s="100">
        <v>22.92</v>
      </c>
      <c r="E83" s="100">
        <v>17.62</v>
      </c>
      <c r="F83" s="152" t="s">
        <v>15</v>
      </c>
      <c r="G83" s="100">
        <v>78.41</v>
      </c>
      <c r="H83" s="100">
        <v>38.9</v>
      </c>
      <c r="I83" s="100">
        <v>8.6999999999999993</v>
      </c>
      <c r="J83" s="100">
        <v>0.25</v>
      </c>
      <c r="K83" s="100">
        <v>130.28</v>
      </c>
      <c r="L83" s="100">
        <v>32.67</v>
      </c>
      <c r="M83" s="100">
        <v>15.41</v>
      </c>
      <c r="N83" s="100">
        <v>6</v>
      </c>
      <c r="O83" s="100">
        <v>0</v>
      </c>
      <c r="P83" s="100">
        <v>0.91</v>
      </c>
      <c r="Q83" s="100">
        <v>28.1</v>
      </c>
      <c r="R83" s="6"/>
      <c r="S83" s="6"/>
      <c r="T83" s="156"/>
      <c r="U83" s="6"/>
    </row>
    <row r="84" spans="1:21" customFormat="1">
      <c r="A84" s="163" t="s">
        <v>3194</v>
      </c>
      <c r="B84" s="100">
        <v>3.73</v>
      </c>
      <c r="C84" s="100">
        <v>29.91</v>
      </c>
      <c r="D84" s="100">
        <v>19.97</v>
      </c>
      <c r="E84" s="100">
        <v>15.53</v>
      </c>
      <c r="F84" s="152" t="s">
        <v>15</v>
      </c>
      <c r="G84" s="100">
        <v>96.64</v>
      </c>
      <c r="H84" s="100">
        <v>40.42</v>
      </c>
      <c r="I84" s="100">
        <v>8.75</v>
      </c>
      <c r="J84" s="100">
        <v>0.27</v>
      </c>
      <c r="K84" s="100">
        <v>159.91999999999999</v>
      </c>
      <c r="L84" s="100">
        <v>31.95</v>
      </c>
      <c r="M84" s="100">
        <v>16.88</v>
      </c>
      <c r="N84" s="100">
        <v>6.3</v>
      </c>
      <c r="O84" s="100">
        <v>0</v>
      </c>
      <c r="P84" s="100">
        <v>0.92</v>
      </c>
      <c r="Q84" s="100">
        <v>28.1</v>
      </c>
      <c r="R84" s="6"/>
      <c r="S84" s="6"/>
      <c r="T84" s="156"/>
      <c r="U84" s="6"/>
    </row>
    <row r="85" spans="1:21" customFormat="1">
      <c r="A85" s="163" t="s">
        <v>3195</v>
      </c>
      <c r="B85" s="100">
        <v>4.0199999999999996</v>
      </c>
      <c r="C85" s="100">
        <v>29.34</v>
      </c>
      <c r="D85" s="100">
        <v>19.91</v>
      </c>
      <c r="E85" s="100">
        <v>14.84</v>
      </c>
      <c r="F85" s="152" t="s">
        <v>15</v>
      </c>
      <c r="G85" s="100">
        <v>103.26</v>
      </c>
      <c r="H85" s="100">
        <v>40.44</v>
      </c>
      <c r="I85" s="100">
        <v>9.4499999999999993</v>
      </c>
      <c r="J85" s="100">
        <v>0.24</v>
      </c>
      <c r="K85" s="100">
        <v>164.59</v>
      </c>
      <c r="L85" s="100">
        <v>31.36</v>
      </c>
      <c r="M85" s="100">
        <v>17.77</v>
      </c>
      <c r="N85" s="100">
        <v>6</v>
      </c>
      <c r="O85" s="100">
        <v>0</v>
      </c>
      <c r="P85" s="100">
        <v>0.92</v>
      </c>
      <c r="Q85" s="100">
        <v>28.1</v>
      </c>
      <c r="R85" s="6"/>
      <c r="S85" s="6"/>
      <c r="T85" s="156"/>
      <c r="U85" s="6"/>
    </row>
    <row r="86" spans="1:21" customFormat="1">
      <c r="A86" s="163" t="s">
        <v>3196</v>
      </c>
      <c r="B86" s="100">
        <v>6.08</v>
      </c>
      <c r="C86" s="100">
        <v>41.23</v>
      </c>
      <c r="D86" s="100">
        <v>27.77</v>
      </c>
      <c r="E86" s="100">
        <v>16.77</v>
      </c>
      <c r="F86" s="152" t="s">
        <v>15</v>
      </c>
      <c r="G86" s="100">
        <v>103.26</v>
      </c>
      <c r="H86" s="100">
        <v>40.44</v>
      </c>
      <c r="I86" s="100">
        <v>10.69</v>
      </c>
      <c r="J86" s="100">
        <v>0.2</v>
      </c>
      <c r="K86" s="100">
        <v>154.5</v>
      </c>
      <c r="L86" s="100">
        <v>30.91</v>
      </c>
      <c r="M86" s="100">
        <v>18.93</v>
      </c>
      <c r="N86" s="100">
        <v>5.8</v>
      </c>
      <c r="O86" s="100">
        <v>0</v>
      </c>
      <c r="P86" s="100">
        <v>1.07</v>
      </c>
      <c r="Q86" s="100">
        <v>28.1</v>
      </c>
      <c r="R86" s="6"/>
      <c r="S86" s="6"/>
      <c r="T86" s="156"/>
      <c r="U86" s="6"/>
    </row>
    <row r="87" spans="1:21" customFormat="1">
      <c r="A87" s="163" t="s">
        <v>3197</v>
      </c>
      <c r="B87" s="100">
        <v>5.2</v>
      </c>
      <c r="C87" s="100">
        <v>39.43</v>
      </c>
      <c r="D87" s="100">
        <v>26.12</v>
      </c>
      <c r="E87" s="100">
        <v>16.059999999999999</v>
      </c>
      <c r="F87" s="152" t="s">
        <v>15</v>
      </c>
      <c r="G87" s="100">
        <v>103.26</v>
      </c>
      <c r="H87" s="100">
        <v>40.44</v>
      </c>
      <c r="I87" s="100">
        <v>10.37</v>
      </c>
      <c r="J87" s="100">
        <v>0.19</v>
      </c>
      <c r="K87" s="100">
        <v>152.37</v>
      </c>
      <c r="L87" s="100">
        <v>30.77</v>
      </c>
      <c r="M87" s="100">
        <v>19.04</v>
      </c>
      <c r="N87" s="100">
        <v>5.6</v>
      </c>
      <c r="O87" s="100">
        <v>0</v>
      </c>
      <c r="P87" s="100">
        <v>1.08</v>
      </c>
      <c r="Q87" s="100">
        <v>28.1</v>
      </c>
      <c r="R87" s="6"/>
      <c r="S87" s="6"/>
      <c r="T87" s="156"/>
      <c r="U87" s="6"/>
    </row>
    <row r="88" spans="1:21" customFormat="1">
      <c r="A88" s="163" t="s">
        <v>3198</v>
      </c>
      <c r="B88" s="100">
        <v>6.31</v>
      </c>
      <c r="C88" s="100">
        <v>38.57</v>
      </c>
      <c r="D88" s="100">
        <v>26.57</v>
      </c>
      <c r="E88" s="100">
        <v>16.03</v>
      </c>
      <c r="F88" s="152" t="s">
        <v>15</v>
      </c>
      <c r="G88" s="100">
        <v>119.44</v>
      </c>
      <c r="H88" s="100">
        <v>48.08</v>
      </c>
      <c r="I88" s="100">
        <v>11.11</v>
      </c>
      <c r="J88" s="100">
        <v>0.23</v>
      </c>
      <c r="K88" s="100">
        <v>129.35</v>
      </c>
      <c r="L88" s="100">
        <v>30.75</v>
      </c>
      <c r="M88" s="100">
        <v>18.98</v>
      </c>
      <c r="N88" s="100">
        <v>5.6</v>
      </c>
      <c r="O88" s="100">
        <v>0</v>
      </c>
      <c r="P88" s="100">
        <v>1.1000000000000001</v>
      </c>
      <c r="Q88" s="100">
        <v>28.13</v>
      </c>
      <c r="R88" s="6"/>
      <c r="S88" s="6"/>
      <c r="T88" s="156"/>
      <c r="U88" s="6"/>
    </row>
    <row r="89" spans="1:21" customFormat="1">
      <c r="A89" s="163" t="s">
        <v>3199</v>
      </c>
      <c r="B89" s="100">
        <v>7.42</v>
      </c>
      <c r="C89" s="100">
        <v>39.950000000000003</v>
      </c>
      <c r="D89" s="100">
        <v>28.17</v>
      </c>
      <c r="E89" s="100">
        <v>15.2</v>
      </c>
      <c r="F89" s="152" t="s">
        <v>15</v>
      </c>
      <c r="G89" s="100">
        <v>125.32</v>
      </c>
      <c r="H89" s="100">
        <v>48.2</v>
      </c>
      <c r="I89" s="100">
        <v>11.33</v>
      </c>
      <c r="J89" s="100">
        <v>0.18</v>
      </c>
      <c r="K89" s="100">
        <v>127.45</v>
      </c>
      <c r="L89" s="100">
        <v>30.78</v>
      </c>
      <c r="M89" s="100">
        <v>19.13</v>
      </c>
      <c r="N89" s="100">
        <v>5.6</v>
      </c>
      <c r="O89" s="100">
        <v>0</v>
      </c>
      <c r="P89" s="100">
        <v>1.1200000000000001</v>
      </c>
      <c r="Q89" s="100">
        <v>28.14</v>
      </c>
      <c r="R89" s="6"/>
      <c r="S89" s="6"/>
      <c r="T89" s="156"/>
      <c r="U89" s="6"/>
    </row>
    <row r="90" spans="1:21" customFormat="1">
      <c r="A90" s="163" t="s">
        <v>3200</v>
      </c>
      <c r="B90" s="100">
        <v>5.91</v>
      </c>
      <c r="C90" s="100">
        <v>35.42</v>
      </c>
      <c r="D90" s="100">
        <v>24.59</v>
      </c>
      <c r="E90" s="100">
        <v>12.19</v>
      </c>
      <c r="F90" s="152" t="s">
        <v>15</v>
      </c>
      <c r="G90" s="100">
        <v>125.32</v>
      </c>
      <c r="H90" s="100">
        <v>48.2</v>
      </c>
      <c r="I90" s="100">
        <v>11.9</v>
      </c>
      <c r="J90" s="100">
        <v>0.32</v>
      </c>
      <c r="K90" s="100">
        <v>163.07</v>
      </c>
      <c r="L90" s="100">
        <v>30.14</v>
      </c>
      <c r="M90" s="100">
        <v>21.34</v>
      </c>
      <c r="N90" s="100">
        <v>6.1</v>
      </c>
      <c r="O90" s="100">
        <v>0</v>
      </c>
      <c r="P90" s="100">
        <v>1.06</v>
      </c>
      <c r="Q90" s="100">
        <v>28.15</v>
      </c>
      <c r="R90" s="6"/>
      <c r="S90" s="6"/>
      <c r="T90" s="156"/>
      <c r="U90" s="6"/>
    </row>
    <row r="91" spans="1:21" customFormat="1">
      <c r="A91" s="163" t="s">
        <v>3201</v>
      </c>
      <c r="B91" s="100">
        <v>5.53</v>
      </c>
      <c r="C91" s="100">
        <v>32.31</v>
      </c>
      <c r="D91" s="100">
        <v>22.67</v>
      </c>
      <c r="E91" s="100">
        <v>10.44</v>
      </c>
      <c r="F91" s="152" t="s">
        <v>15</v>
      </c>
      <c r="G91" s="100">
        <v>125.32</v>
      </c>
      <c r="H91" s="100">
        <v>48.2</v>
      </c>
      <c r="I91" s="100">
        <v>12.39</v>
      </c>
      <c r="J91" s="100">
        <v>0.31</v>
      </c>
      <c r="K91" s="100">
        <v>161.52000000000001</v>
      </c>
      <c r="L91" s="100">
        <v>29.25</v>
      </c>
      <c r="M91" s="100">
        <v>22.82</v>
      </c>
      <c r="N91" s="100">
        <v>6.2</v>
      </c>
      <c r="O91" s="100">
        <v>0</v>
      </c>
      <c r="P91" s="100">
        <v>1.0900000000000001</v>
      </c>
      <c r="Q91" s="100">
        <v>28.16</v>
      </c>
      <c r="R91" s="6"/>
      <c r="S91" s="6"/>
      <c r="T91" s="156"/>
      <c r="U91" s="6"/>
    </row>
    <row r="92" spans="1:21" customFormat="1">
      <c r="A92" s="163" t="s">
        <v>3202</v>
      </c>
      <c r="B92" s="100">
        <v>6.78</v>
      </c>
      <c r="C92" s="100">
        <v>33.700000000000003</v>
      </c>
      <c r="D92" s="100">
        <v>24.4</v>
      </c>
      <c r="E92" s="100">
        <v>11.98</v>
      </c>
      <c r="F92" s="152" t="s">
        <v>15</v>
      </c>
      <c r="G92" s="100">
        <v>216.48</v>
      </c>
      <c r="H92" s="100">
        <v>63.36</v>
      </c>
      <c r="I92" s="100">
        <v>11.97</v>
      </c>
      <c r="J92" s="100">
        <v>0.2</v>
      </c>
      <c r="K92" s="100">
        <v>142.08000000000001</v>
      </c>
      <c r="L92" s="100">
        <v>29</v>
      </c>
      <c r="M92" s="100">
        <v>23.59</v>
      </c>
      <c r="N92" s="100">
        <v>5.8</v>
      </c>
      <c r="O92" s="100">
        <v>0</v>
      </c>
      <c r="P92" s="100">
        <v>1.1399999999999999</v>
      </c>
      <c r="Q92" s="100">
        <v>28.16</v>
      </c>
      <c r="R92" s="6"/>
      <c r="S92" s="6"/>
      <c r="T92" s="156"/>
      <c r="U92" s="6"/>
    </row>
    <row r="93" spans="1:21" customFormat="1">
      <c r="A93" s="163" t="s">
        <v>3203</v>
      </c>
      <c r="B93" s="100">
        <v>9.59</v>
      </c>
      <c r="C93" s="100">
        <v>39.78</v>
      </c>
      <c r="D93" s="100">
        <v>29.83</v>
      </c>
      <c r="E93" s="100">
        <v>12.93</v>
      </c>
      <c r="F93" s="152" t="s">
        <v>15</v>
      </c>
      <c r="G93" s="100">
        <v>249.63</v>
      </c>
      <c r="H93" s="100">
        <v>63.59</v>
      </c>
      <c r="I93" s="100">
        <v>12.13</v>
      </c>
      <c r="J93" s="100">
        <v>0.21</v>
      </c>
      <c r="K93" s="100">
        <v>101.5</v>
      </c>
      <c r="L93" s="100">
        <v>29.38</v>
      </c>
      <c r="M93" s="100">
        <v>21.15</v>
      </c>
      <c r="N93" s="100">
        <v>5.4</v>
      </c>
      <c r="O93" s="100">
        <v>0</v>
      </c>
      <c r="P93" s="100">
        <v>1.17</v>
      </c>
      <c r="Q93" s="100">
        <v>28.17</v>
      </c>
      <c r="R93" s="6"/>
      <c r="S93" s="6"/>
      <c r="T93" s="156"/>
      <c r="U93" s="6"/>
    </row>
    <row r="94" spans="1:21" customFormat="1">
      <c r="A94" s="163" t="s">
        <v>3204</v>
      </c>
      <c r="B94" s="100">
        <v>9.1300000000000008</v>
      </c>
      <c r="C94" s="100">
        <v>37.19</v>
      </c>
      <c r="D94" s="100">
        <v>28.1</v>
      </c>
      <c r="E94" s="100">
        <v>13.68</v>
      </c>
      <c r="F94" s="152" t="s">
        <v>15</v>
      </c>
      <c r="G94" s="100">
        <v>249.63</v>
      </c>
      <c r="H94" s="100">
        <v>63.59</v>
      </c>
      <c r="I94" s="100">
        <v>12.64</v>
      </c>
      <c r="J94" s="100">
        <v>0.43</v>
      </c>
      <c r="K94" s="100">
        <v>50.87</v>
      </c>
      <c r="L94" s="100">
        <v>29.8</v>
      </c>
      <c r="M94" s="100">
        <v>18.07</v>
      </c>
      <c r="N94" s="100">
        <v>4.8</v>
      </c>
      <c r="O94" s="100">
        <v>0</v>
      </c>
      <c r="P94" s="100">
        <v>1.23</v>
      </c>
      <c r="Q94" s="100">
        <v>28.19</v>
      </c>
      <c r="R94" s="6"/>
      <c r="S94" s="6"/>
      <c r="T94" s="156"/>
      <c r="U94" s="6"/>
    </row>
    <row r="95" spans="1:21" customFormat="1">
      <c r="A95" s="163" t="s">
        <v>3205</v>
      </c>
      <c r="B95" s="100">
        <v>8.9700000000000006</v>
      </c>
      <c r="C95" s="100">
        <v>34.71</v>
      </c>
      <c r="D95" s="100">
        <v>26.68</v>
      </c>
      <c r="E95" s="100">
        <v>13.06</v>
      </c>
      <c r="F95" s="152" t="s">
        <v>15</v>
      </c>
      <c r="G95" s="100">
        <v>249.63</v>
      </c>
      <c r="H95" s="100">
        <v>63.59</v>
      </c>
      <c r="I95" s="100">
        <v>13.58</v>
      </c>
      <c r="J95" s="100">
        <v>0.53</v>
      </c>
      <c r="K95" s="100">
        <v>66.290000000000006</v>
      </c>
      <c r="L95" s="100">
        <v>29.97</v>
      </c>
      <c r="M95" s="100">
        <v>18.04</v>
      </c>
      <c r="N95" s="100">
        <v>5.2</v>
      </c>
      <c r="O95" s="100">
        <v>0</v>
      </c>
      <c r="P95" s="100">
        <v>1.21</v>
      </c>
      <c r="Q95" s="100">
        <v>28.21</v>
      </c>
      <c r="R95" s="6"/>
      <c r="S95" s="6"/>
      <c r="T95" s="156"/>
      <c r="U95" s="6"/>
    </row>
    <row r="96" spans="1:21" customFormat="1">
      <c r="A96" s="163" t="s">
        <v>3206</v>
      </c>
      <c r="B96" s="100">
        <v>7.88</v>
      </c>
      <c r="C96" s="100">
        <v>33.68</v>
      </c>
      <c r="D96" s="100">
        <v>25.27</v>
      </c>
      <c r="E96" s="100">
        <v>12.38</v>
      </c>
      <c r="F96" s="152" t="s">
        <v>15</v>
      </c>
      <c r="G96" s="100">
        <v>223.12</v>
      </c>
      <c r="H96" s="100">
        <v>65.069999999999993</v>
      </c>
      <c r="I96" s="100">
        <v>17.68</v>
      </c>
      <c r="J96" s="100">
        <v>0.56999999999999995</v>
      </c>
      <c r="K96" s="100">
        <v>61.36</v>
      </c>
      <c r="L96" s="100">
        <v>29.85</v>
      </c>
      <c r="M96" s="100">
        <v>17.45</v>
      </c>
      <c r="N96" s="100">
        <v>5.4</v>
      </c>
      <c r="O96" s="100">
        <v>0</v>
      </c>
      <c r="P96" s="100">
        <v>1.21</v>
      </c>
      <c r="Q96" s="100">
        <v>28.21</v>
      </c>
      <c r="R96" s="6"/>
      <c r="S96" s="6"/>
      <c r="T96" s="156"/>
      <c r="U96" s="6"/>
    </row>
    <row r="97" spans="1:28" customFormat="1">
      <c r="A97" s="163" t="s">
        <v>3207</v>
      </c>
      <c r="B97" s="100">
        <v>10.98</v>
      </c>
      <c r="C97" s="100">
        <v>36.82</v>
      </c>
      <c r="D97" s="100">
        <v>29.39</v>
      </c>
      <c r="E97" s="100">
        <v>13.84</v>
      </c>
      <c r="F97" s="152" t="s">
        <v>15</v>
      </c>
      <c r="G97" s="100">
        <v>213.48</v>
      </c>
      <c r="H97" s="100">
        <v>65.099999999999994</v>
      </c>
      <c r="I97" s="100">
        <v>18.010000000000002</v>
      </c>
      <c r="J97" s="100">
        <v>0.55000000000000004</v>
      </c>
      <c r="K97" s="100">
        <v>67.040000000000006</v>
      </c>
      <c r="L97" s="100">
        <v>29.69</v>
      </c>
      <c r="M97" s="100">
        <v>17.399999999999999</v>
      </c>
      <c r="N97" s="100">
        <v>5.6</v>
      </c>
      <c r="O97" s="100">
        <v>0</v>
      </c>
      <c r="P97" s="100">
        <v>1.22</v>
      </c>
      <c r="Q97" s="100">
        <v>28.21</v>
      </c>
      <c r="R97" s="6"/>
      <c r="S97" s="6"/>
      <c r="T97" s="156"/>
      <c r="U97" s="6"/>
    </row>
    <row r="98" spans="1:28" customFormat="1">
      <c r="A98" s="163" t="s">
        <v>3208</v>
      </c>
      <c r="B98" s="100">
        <v>10.71</v>
      </c>
      <c r="C98" s="100">
        <v>36.200000000000003</v>
      </c>
      <c r="D98" s="100">
        <v>28.85</v>
      </c>
      <c r="E98" s="100">
        <v>13</v>
      </c>
      <c r="F98" s="152" t="s">
        <v>15</v>
      </c>
      <c r="G98" s="100">
        <v>213.48</v>
      </c>
      <c r="H98" s="100">
        <v>65.099999999999994</v>
      </c>
      <c r="I98" s="100">
        <v>21.18</v>
      </c>
      <c r="J98" s="100">
        <v>0.43</v>
      </c>
      <c r="K98" s="100">
        <v>67.52</v>
      </c>
      <c r="L98" s="100">
        <v>29.48</v>
      </c>
      <c r="M98" s="100">
        <v>17.89</v>
      </c>
      <c r="N98" s="100">
        <v>5.8</v>
      </c>
      <c r="O98" s="100">
        <v>0</v>
      </c>
      <c r="P98" s="100">
        <v>1.2</v>
      </c>
      <c r="Q98" s="100">
        <v>28.22</v>
      </c>
      <c r="R98" s="6"/>
      <c r="S98" s="6"/>
      <c r="T98" s="156"/>
      <c r="U98" s="6"/>
    </row>
    <row r="99" spans="1:28" customFormat="1">
      <c r="A99" s="163" t="s">
        <v>3209</v>
      </c>
      <c r="B99" s="100">
        <v>10.28</v>
      </c>
      <c r="C99" s="100">
        <v>35.380000000000003</v>
      </c>
      <c r="D99" s="100">
        <v>28.08</v>
      </c>
      <c r="E99" s="100">
        <v>13.63</v>
      </c>
      <c r="F99" s="152" t="s">
        <v>15</v>
      </c>
      <c r="G99" s="100">
        <v>213.48</v>
      </c>
      <c r="H99" s="100">
        <v>65.099999999999994</v>
      </c>
      <c r="I99" s="100">
        <v>21.34</v>
      </c>
      <c r="J99" s="100">
        <v>0.68</v>
      </c>
      <c r="K99" s="100">
        <v>58.76</v>
      </c>
      <c r="L99" s="100">
        <v>29.28</v>
      </c>
      <c r="M99" s="100">
        <v>18.27</v>
      </c>
      <c r="N99" s="100">
        <v>5.4</v>
      </c>
      <c r="O99" s="100">
        <v>0</v>
      </c>
      <c r="P99" s="100">
        <v>1.19</v>
      </c>
      <c r="Q99" s="100">
        <v>28.24</v>
      </c>
      <c r="R99" s="6"/>
      <c r="S99" s="6"/>
      <c r="T99" s="156"/>
      <c r="U99" s="6"/>
    </row>
    <row r="100" spans="1:28" customFormat="1">
      <c r="A100" s="163" t="s">
        <v>3210</v>
      </c>
      <c r="B100" s="100">
        <v>8.92</v>
      </c>
      <c r="C100" s="100">
        <v>32.58</v>
      </c>
      <c r="D100" s="100">
        <v>25.53</v>
      </c>
      <c r="E100" s="100">
        <v>16.149999999999999</v>
      </c>
      <c r="F100" s="152" t="s">
        <v>15</v>
      </c>
      <c r="G100" s="100">
        <v>202.49</v>
      </c>
      <c r="H100" s="100">
        <v>65.14</v>
      </c>
      <c r="I100" s="100">
        <v>19.52</v>
      </c>
      <c r="J100" s="100">
        <v>0.71</v>
      </c>
      <c r="K100" s="100">
        <v>57.12</v>
      </c>
      <c r="L100" s="100">
        <v>29.27</v>
      </c>
      <c r="M100" s="100">
        <v>17.690000000000001</v>
      </c>
      <c r="N100" s="100">
        <v>5.6</v>
      </c>
      <c r="O100" s="100">
        <v>0</v>
      </c>
      <c r="P100" s="100">
        <v>1.1499999999999999</v>
      </c>
      <c r="Q100" s="100">
        <v>28.25</v>
      </c>
      <c r="R100" s="6"/>
      <c r="S100" s="6"/>
      <c r="T100" s="156"/>
      <c r="U100" s="6"/>
      <c r="AB100" s="161"/>
    </row>
    <row r="101" spans="1:28" customFormat="1">
      <c r="A101" s="163" t="s">
        <v>3211</v>
      </c>
      <c r="B101" s="100">
        <v>8.65</v>
      </c>
      <c r="C101" s="100">
        <v>30.47</v>
      </c>
      <c r="D101" s="100">
        <v>24.21</v>
      </c>
      <c r="E101" s="100">
        <v>11.93</v>
      </c>
      <c r="F101" s="152" t="s">
        <v>15</v>
      </c>
      <c r="G101" s="100">
        <v>198.5</v>
      </c>
      <c r="H101" s="100">
        <v>65.14</v>
      </c>
      <c r="I101" s="100">
        <v>18.82</v>
      </c>
      <c r="J101" s="100">
        <v>0.32</v>
      </c>
      <c r="K101" s="100">
        <v>85.54</v>
      </c>
      <c r="L101" s="100">
        <v>29.11</v>
      </c>
      <c r="M101" s="100">
        <v>18.940000000000001</v>
      </c>
      <c r="N101" s="100">
        <v>6.2</v>
      </c>
      <c r="O101" s="100">
        <v>0</v>
      </c>
      <c r="P101" s="100">
        <v>1.17</v>
      </c>
      <c r="Q101" s="100">
        <v>28.25</v>
      </c>
      <c r="R101" s="6"/>
      <c r="S101" s="6"/>
      <c r="T101" s="156"/>
      <c r="U101" s="6"/>
    </row>
    <row r="102" spans="1:28" customFormat="1">
      <c r="A102" s="163" t="s">
        <v>3212</v>
      </c>
      <c r="B102" s="100">
        <v>8.4499999999999993</v>
      </c>
      <c r="C102" s="100">
        <v>28.58</v>
      </c>
      <c r="D102" s="100">
        <v>23.06</v>
      </c>
      <c r="E102" s="100">
        <v>9.68</v>
      </c>
      <c r="F102" s="152" t="s">
        <v>15</v>
      </c>
      <c r="G102" s="100">
        <v>198.5</v>
      </c>
      <c r="H102" s="100">
        <v>65.14</v>
      </c>
      <c r="I102" s="100">
        <v>17.98</v>
      </c>
      <c r="J102" s="100">
        <v>0.19</v>
      </c>
      <c r="K102" s="100">
        <v>170.57</v>
      </c>
      <c r="L102" s="100">
        <v>27.93</v>
      </c>
      <c r="M102" s="100">
        <v>22.85</v>
      </c>
      <c r="N102" s="100">
        <v>6.7</v>
      </c>
      <c r="O102" s="100">
        <v>0</v>
      </c>
      <c r="P102" s="100">
        <v>1.17</v>
      </c>
      <c r="Q102" s="100">
        <v>28.24</v>
      </c>
      <c r="R102" s="6"/>
      <c r="S102" s="6"/>
      <c r="T102" s="156"/>
      <c r="U102" s="6"/>
    </row>
    <row r="103" spans="1:28" customFormat="1">
      <c r="A103" s="163" t="s">
        <v>3213</v>
      </c>
      <c r="B103" s="100">
        <v>8.2200000000000006</v>
      </c>
      <c r="C103" s="100">
        <v>27.63</v>
      </c>
      <c r="D103" s="100">
        <v>22.38</v>
      </c>
      <c r="E103" s="100">
        <v>9.25</v>
      </c>
      <c r="F103" s="152" t="s">
        <v>15</v>
      </c>
      <c r="G103" s="100">
        <v>198.5</v>
      </c>
      <c r="H103" s="100">
        <v>65.14</v>
      </c>
      <c r="I103" s="100">
        <v>18.3</v>
      </c>
      <c r="J103" s="100">
        <v>0.18</v>
      </c>
      <c r="K103" s="100">
        <v>167.25</v>
      </c>
      <c r="L103" s="100">
        <v>27.38</v>
      </c>
      <c r="M103" s="100">
        <v>23.52</v>
      </c>
      <c r="N103" s="100">
        <v>6.3</v>
      </c>
      <c r="O103" s="100">
        <v>0</v>
      </c>
      <c r="P103" s="100">
        <v>1.1599999999999999</v>
      </c>
      <c r="Q103" s="100">
        <v>28.22</v>
      </c>
      <c r="R103" s="6"/>
      <c r="S103" s="6"/>
      <c r="T103" s="156"/>
      <c r="U103" s="6"/>
    </row>
    <row r="104" spans="1:28" customFormat="1">
      <c r="A104" s="163" t="s">
        <v>3214</v>
      </c>
      <c r="B104" s="100">
        <v>8.0500000000000007</v>
      </c>
      <c r="C104" s="100">
        <v>26.71</v>
      </c>
      <c r="D104" s="100">
        <v>21.76</v>
      </c>
      <c r="E104" s="100">
        <v>8.8800000000000008</v>
      </c>
      <c r="F104" s="152" t="s">
        <v>15</v>
      </c>
      <c r="G104" s="100">
        <v>129.69</v>
      </c>
      <c r="H104" s="100">
        <v>59.82</v>
      </c>
      <c r="I104" s="100">
        <v>18.489999999999998</v>
      </c>
      <c r="J104" s="100">
        <v>0.19</v>
      </c>
      <c r="K104" s="100">
        <v>193.32</v>
      </c>
      <c r="L104" s="100">
        <v>26.84</v>
      </c>
      <c r="M104" s="100">
        <v>25.88</v>
      </c>
      <c r="N104" s="100">
        <v>6.4</v>
      </c>
      <c r="O104" s="100">
        <v>0</v>
      </c>
      <c r="P104" s="100">
        <v>1.1499999999999999</v>
      </c>
      <c r="Q104" s="100">
        <v>28.22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3.63</v>
      </c>
      <c r="C106" s="158">
        <f>MIN(C9:C104)</f>
        <v>17.670000000000002</v>
      </c>
      <c r="D106" s="158">
        <f t="shared" ref="D106:Q106" si="0">MIN(D9:D104)</f>
        <v>14.11</v>
      </c>
      <c r="E106" s="158">
        <f t="shared" si="0"/>
        <v>8.35</v>
      </c>
      <c r="F106" s="158">
        <f t="shared" si="0"/>
        <v>0</v>
      </c>
      <c r="G106" s="158">
        <f t="shared" si="0"/>
        <v>78.17</v>
      </c>
      <c r="H106" s="158">
        <f t="shared" si="0"/>
        <v>37.03</v>
      </c>
      <c r="I106" s="158">
        <f t="shared" si="0"/>
        <v>7.43</v>
      </c>
      <c r="J106" s="158">
        <f t="shared" si="0"/>
        <v>0.05</v>
      </c>
      <c r="K106" s="158">
        <f t="shared" si="0"/>
        <v>4.8099999999999996</v>
      </c>
      <c r="L106" s="158">
        <f t="shared" si="0"/>
        <v>22.13</v>
      </c>
      <c r="M106" s="158">
        <f t="shared" si="0"/>
        <v>6.69</v>
      </c>
      <c r="N106" s="158">
        <f t="shared" si="0"/>
        <v>4.5</v>
      </c>
      <c r="O106" s="158">
        <f t="shared" si="0"/>
        <v>0</v>
      </c>
      <c r="P106" s="158">
        <f t="shared" si="0"/>
        <v>0.73</v>
      </c>
      <c r="Q106" s="158">
        <f t="shared" si="0"/>
        <v>28.05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16.89</v>
      </c>
      <c r="C107" s="157">
        <f t="shared" ref="C107:Q107" si="1">MAX(C9:C104)</f>
        <v>41.23</v>
      </c>
      <c r="D107" s="157">
        <f t="shared" si="1"/>
        <v>30.01</v>
      </c>
      <c r="E107" s="157">
        <f t="shared" si="1"/>
        <v>40.18</v>
      </c>
      <c r="F107" s="157">
        <f t="shared" si="1"/>
        <v>0</v>
      </c>
      <c r="G107" s="157">
        <f t="shared" si="1"/>
        <v>249.63</v>
      </c>
      <c r="H107" s="157">
        <f t="shared" si="1"/>
        <v>65.14</v>
      </c>
      <c r="I107" s="157">
        <f t="shared" si="1"/>
        <v>21.34</v>
      </c>
      <c r="J107" s="157">
        <f t="shared" si="1"/>
        <v>1.53</v>
      </c>
      <c r="K107" s="157">
        <f t="shared" si="1"/>
        <v>343.33</v>
      </c>
      <c r="L107" s="157">
        <f t="shared" si="1"/>
        <v>39.979999999999997</v>
      </c>
      <c r="M107" s="157">
        <f t="shared" si="1"/>
        <v>37.090000000000003</v>
      </c>
      <c r="N107" s="157">
        <f t="shared" si="1"/>
        <v>653.29999999999995</v>
      </c>
      <c r="O107" s="157">
        <f t="shared" si="1"/>
        <v>0</v>
      </c>
      <c r="P107" s="157">
        <f t="shared" si="1"/>
        <v>1.23</v>
      </c>
      <c r="Q107" s="157">
        <f t="shared" si="1"/>
        <v>28.41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8.1015625</v>
      </c>
      <c r="C108" s="158">
        <f t="shared" ref="C108:Q108" si="2">AVERAGE(C9:C104)</f>
        <v>25.463229166666661</v>
      </c>
      <c r="D108" s="158">
        <f t="shared" si="2"/>
        <v>21.151875</v>
      </c>
      <c r="E108" s="158">
        <f t="shared" si="2"/>
        <v>16.475833333333338</v>
      </c>
      <c r="F108" s="158" t="e">
        <f t="shared" si="2"/>
        <v>#DIV/0!</v>
      </c>
      <c r="G108" s="158">
        <f t="shared" si="2"/>
        <v>120.11781249999994</v>
      </c>
      <c r="H108" s="158">
        <f t="shared" si="2"/>
        <v>46.289583333333333</v>
      </c>
      <c r="I108" s="158">
        <f t="shared" si="2"/>
        <v>11.321562500000001</v>
      </c>
      <c r="J108" s="158">
        <f t="shared" si="2"/>
        <v>0.63625000000000009</v>
      </c>
      <c r="K108" s="158">
        <f t="shared" si="2"/>
        <v>101.71968750000006</v>
      </c>
      <c r="L108" s="158">
        <f t="shared" si="2"/>
        <v>31.103020833333336</v>
      </c>
      <c r="M108" s="158">
        <f t="shared" si="2"/>
        <v>18.540104166666669</v>
      </c>
      <c r="N108" s="158">
        <f t="shared" si="2"/>
        <v>168.18437500000002</v>
      </c>
      <c r="O108" s="158">
        <f t="shared" si="2"/>
        <v>0</v>
      </c>
      <c r="P108" s="158">
        <f t="shared" si="2"/>
        <v>0.96791666666666665</v>
      </c>
      <c r="Q108" s="158">
        <f t="shared" si="2"/>
        <v>28.19239583333329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4.087569430442036</v>
      </c>
      <c r="C109" s="158">
        <f t="shared" ref="C109:Q109" si="3">STDEV(C9:C104)</f>
        <v>5.8863841988443051</v>
      </c>
      <c r="D109" s="158">
        <f t="shared" si="3"/>
        <v>4.3478903081355273</v>
      </c>
      <c r="E109" s="158">
        <f t="shared" si="3"/>
        <v>8.5583506363104132</v>
      </c>
      <c r="F109" s="158" t="e">
        <f t="shared" si="3"/>
        <v>#DIV/0!</v>
      </c>
      <c r="G109" s="158">
        <f t="shared" si="3"/>
        <v>41.710111337612922</v>
      </c>
      <c r="H109" s="158">
        <f t="shared" si="3"/>
        <v>8.0805802184413658</v>
      </c>
      <c r="I109" s="158">
        <f t="shared" si="3"/>
        <v>2.8972866900729022</v>
      </c>
      <c r="J109" s="158">
        <f t="shared" si="3"/>
        <v>0.45081505135289773</v>
      </c>
      <c r="K109" s="158">
        <f t="shared" si="3"/>
        <v>81.921043057878435</v>
      </c>
      <c r="L109" s="158">
        <f t="shared" si="3"/>
        <v>5.5246877729908226</v>
      </c>
      <c r="M109" s="158">
        <f t="shared" si="3"/>
        <v>9.6328296651324692</v>
      </c>
      <c r="N109" s="158">
        <f t="shared" si="3"/>
        <v>227.94886422322423</v>
      </c>
      <c r="O109" s="158">
        <f t="shared" si="3"/>
        <v>0</v>
      </c>
      <c r="P109" s="158">
        <f t="shared" si="3"/>
        <v>0.12462927481274502</v>
      </c>
      <c r="Q109" s="158">
        <f t="shared" si="3"/>
        <v>0.11201263830635752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55"/>
  <sheetViews>
    <sheetView tabSelected="1" zoomScale="85" zoomScaleNormal="85" workbookViewId="0">
      <pane xSplit="1" ySplit="8" topLeftCell="B30" activePane="bottomRight" state="frozen"/>
      <selection pane="topRight"/>
      <selection pane="bottomLeft"/>
      <selection pane="bottomRight" activeCell="B43" sqref="B43:Q43"/>
    </sheetView>
  </sheetViews>
  <sheetFormatPr defaultColWidth="8.85546875" defaultRowHeight="15"/>
  <cols>
    <col min="1" max="1" width="15.85546875" style="128" customWidth="1"/>
    <col min="2" max="2" width="14.140625" customWidth="1"/>
    <col min="3" max="3" width="9.85546875" customWidth="1"/>
    <col min="4" max="4" width="10.28515625" customWidth="1"/>
    <col min="5" max="5" width="10.5703125" customWidth="1"/>
    <col min="7" max="7" width="10.7109375" customWidth="1"/>
    <col min="8" max="8" width="12.28515625" customWidth="1"/>
    <col min="9" max="9" width="10.42578125" customWidth="1"/>
    <col min="11" max="11" width="9.5703125" customWidth="1"/>
    <col min="12" max="12" width="10.42578125" customWidth="1"/>
    <col min="13" max="13" width="10" customWidth="1"/>
    <col min="17" max="17" width="9.7109375" customWidth="1"/>
    <col min="20" max="20" width="10.28515625" customWidth="1"/>
  </cols>
  <sheetData>
    <row r="1" spans="1:21" s="2" customFormat="1">
      <c r="A1" s="129" t="s">
        <v>0</v>
      </c>
      <c r="B1" s="130" t="s">
        <v>58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 s="2" customFormat="1">
      <c r="A2" s="129" t="s">
        <v>2</v>
      </c>
      <c r="B2" s="129" t="str">
        <f>$A$9</f>
        <v>01/03/2025 00:15</v>
      </c>
      <c r="C2"/>
      <c r="D2" s="42" t="s">
        <v>3</v>
      </c>
      <c r="E2" s="42"/>
      <c r="F2" s="42"/>
      <c r="G2" s="133" t="s">
        <v>4</v>
      </c>
      <c r="H2" s="134"/>
      <c r="I2" s="134"/>
      <c r="J2" s="134"/>
      <c r="K2" s="132"/>
      <c r="L2" s="42" t="s">
        <v>5</v>
      </c>
      <c r="M2" s="132"/>
      <c r="N2" s="145" t="s">
        <v>6</v>
      </c>
      <c r="P2" s="146" t="s">
        <v>7</v>
      </c>
      <c r="Q2" s="132"/>
      <c r="R2" s="151" t="s">
        <v>8</v>
      </c>
      <c r="S2"/>
      <c r="T2"/>
      <c r="U2"/>
    </row>
    <row r="3" spans="1:21" s="2" customFormat="1">
      <c r="A3" s="129" t="s">
        <v>9</v>
      </c>
      <c r="B3" s="132" t="s">
        <v>10</v>
      </c>
      <c r="C3"/>
      <c r="D3" s="42" t="s">
        <v>11</v>
      </c>
      <c r="E3" s="42"/>
      <c r="F3" s="42"/>
      <c r="G3" s="135" t="s">
        <v>12</v>
      </c>
      <c r="H3" s="134"/>
      <c r="I3" s="129"/>
      <c r="J3" s="134"/>
      <c r="K3"/>
      <c r="L3" s="42" t="s">
        <v>13</v>
      </c>
      <c r="M3" s="132"/>
      <c r="N3" s="147" t="s">
        <v>14</v>
      </c>
      <c r="O3" s="132"/>
      <c r="P3" s="148" t="s">
        <v>15</v>
      </c>
      <c r="Q3" s="132"/>
      <c r="R3" s="152" t="s">
        <v>15</v>
      </c>
      <c r="S3"/>
      <c r="T3"/>
      <c r="U3"/>
    </row>
    <row r="4" spans="1:21" s="2" customFormat="1">
      <c r="A4" s="129" t="s">
        <v>16</v>
      </c>
      <c r="B4" s="132" t="s">
        <v>59</v>
      </c>
      <c r="C4"/>
      <c r="D4" s="42" t="s">
        <v>18</v>
      </c>
      <c r="E4" s="42"/>
      <c r="F4" s="42"/>
      <c r="G4" s="136" t="s">
        <v>19</v>
      </c>
      <c r="H4" s="134"/>
      <c r="I4" s="129"/>
      <c r="J4" s="134"/>
      <c r="K4" s="149"/>
      <c r="L4" s="42" t="s">
        <v>20</v>
      </c>
      <c r="M4" s="132"/>
      <c r="N4" s="150" t="s">
        <v>21</v>
      </c>
      <c r="O4" s="132"/>
      <c r="P4" s="132"/>
      <c r="Q4" s="132"/>
      <c r="R4" s="132"/>
      <c r="S4"/>
      <c r="T4"/>
      <c r="U4"/>
    </row>
    <row r="5" spans="1:21" s="2" customFormat="1">
      <c r="A5" s="129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 s="2" customFormat="1">
      <c r="A6" s="129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 s="2" customFormat="1">
      <c r="A7" s="137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 s="2" customFormat="1">
      <c r="A8" s="137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>
      <c r="A9" s="139" t="str">
        <f>'01'!$B$2</f>
        <v>01/03/2025 00:15</v>
      </c>
      <c r="B9" s="83">
        <f>'01'!B108</f>
        <v>8.1027083333333341</v>
      </c>
      <c r="C9" s="83">
        <f>'01'!C108</f>
        <v>22.413333333333327</v>
      </c>
      <c r="D9" s="83">
        <f>'01'!D108</f>
        <v>19.558854166666659</v>
      </c>
      <c r="E9" s="83">
        <f>'01'!E108</f>
        <v>12.022083333333335</v>
      </c>
      <c r="F9" s="151" t="s">
        <v>8</v>
      </c>
      <c r="G9" s="83">
        <f>'01'!G108</f>
        <v>77.59187500000003</v>
      </c>
      <c r="H9" s="83">
        <f>'01'!H108</f>
        <v>32.487291666666643</v>
      </c>
      <c r="I9" s="83">
        <f>'01'!I108</f>
        <v>10.869791666666671</v>
      </c>
      <c r="J9" s="83">
        <f>'01'!J108</f>
        <v>0.43791666666666673</v>
      </c>
      <c r="K9" s="83">
        <f>'01'!K108</f>
        <v>217.51000000000002</v>
      </c>
      <c r="L9" s="83">
        <f>'01'!L108</f>
        <v>26.829895833333339</v>
      </c>
      <c r="M9" s="83">
        <f>'01'!M108</f>
        <v>49.208229166666655</v>
      </c>
      <c r="N9" s="83">
        <f>'01'!N108</f>
        <v>87.911458333333357</v>
      </c>
      <c r="O9" s="83">
        <f>'01'!O108</f>
        <v>0</v>
      </c>
      <c r="P9" s="83">
        <f>'01'!P108</f>
        <v>0.93833333333333346</v>
      </c>
      <c r="Q9" s="83">
        <f>'01'!Q108</f>
        <v>28.17239583333334</v>
      </c>
      <c r="R9" s="76"/>
      <c r="S9" s="76"/>
      <c r="T9" s="76"/>
      <c r="U9" s="76"/>
    </row>
    <row r="10" spans="1:21">
      <c r="A10" s="139" t="str">
        <f>'02'!$B$2</f>
        <v>02/03/2025 00:15</v>
      </c>
      <c r="B10" s="83">
        <f>'02'!B108</f>
        <v>6.7543750000000005</v>
      </c>
      <c r="C10" s="83">
        <f>'02'!C108</f>
        <v>20.168020833333337</v>
      </c>
      <c r="D10" s="83">
        <f>'02'!D108</f>
        <v>17.30447916666667</v>
      </c>
      <c r="E10" s="83">
        <f>'02'!E108</f>
        <v>12.074166666666665</v>
      </c>
      <c r="F10" s="151" t="s">
        <v>8</v>
      </c>
      <c r="G10" s="83">
        <f>'02'!G108</f>
        <v>63.185625000000023</v>
      </c>
      <c r="H10" s="83">
        <f>'02'!H108</f>
        <v>26.826458333333353</v>
      </c>
      <c r="I10" s="83">
        <f>'02'!I108</f>
        <v>11.1928125</v>
      </c>
      <c r="J10" s="83">
        <f>'02'!J108</f>
        <v>0.4557291666666668</v>
      </c>
      <c r="K10" s="83">
        <f>'02'!K108</f>
        <v>216.22937500000003</v>
      </c>
      <c r="L10" s="83">
        <f>'02'!L108</f>
        <v>27.602291666666659</v>
      </c>
      <c r="M10" s="83">
        <f>'02'!M108</f>
        <v>50.939479166666665</v>
      </c>
      <c r="N10" s="83">
        <f>'02'!N108</f>
        <v>79.177083333333329</v>
      </c>
      <c r="O10" s="83">
        <f>'02'!O108</f>
        <v>0</v>
      </c>
      <c r="P10" s="83">
        <f>'02'!P108</f>
        <v>0.87437500000000012</v>
      </c>
      <c r="Q10" s="83">
        <f>'02'!Q108</f>
        <v>28.122708333333335</v>
      </c>
      <c r="R10" s="76"/>
      <c r="S10" s="76"/>
      <c r="T10" s="76"/>
      <c r="U10" s="76"/>
    </row>
    <row r="11" spans="1:21">
      <c r="A11" s="139" t="str">
        <f>'03'!$B$2</f>
        <v>03/03/2025 00:15</v>
      </c>
      <c r="B11" s="83">
        <f>'03'!B108</f>
        <v>13.095000000000004</v>
      </c>
      <c r="C11" s="83">
        <f>'03'!C108</f>
        <v>21.596458333333331</v>
      </c>
      <c r="D11" s="83">
        <f>'03'!D108</f>
        <v>23.868333333333329</v>
      </c>
      <c r="E11" s="83">
        <f>'03'!E108</f>
        <v>20.080208333333331</v>
      </c>
      <c r="F11" s="151" t="s">
        <v>8</v>
      </c>
      <c r="G11" s="83">
        <f>'03'!G108</f>
        <v>71.222812500000032</v>
      </c>
      <c r="H11" s="83">
        <f>'03'!H108</f>
        <v>30.182916666666667</v>
      </c>
      <c r="I11" s="83">
        <f>'03'!I108</f>
        <v>10.508333333333329</v>
      </c>
      <c r="J11" s="83">
        <f>'03'!J108</f>
        <v>0.47364583333333338</v>
      </c>
      <c r="K11" s="83">
        <f>'03'!K108</f>
        <v>171.23833333333326</v>
      </c>
      <c r="L11" s="83">
        <f>'03'!L108</f>
        <v>27.87572916666667</v>
      </c>
      <c r="M11" s="83">
        <f>'03'!M108</f>
        <v>46.033229166666672</v>
      </c>
      <c r="N11" s="83">
        <f>'03'!N108</f>
        <v>87.844791666666666</v>
      </c>
      <c r="O11" s="83">
        <f>'03'!O108</f>
        <v>0</v>
      </c>
      <c r="P11" s="83">
        <f>'03'!P108</f>
        <v>0.77145833333333325</v>
      </c>
      <c r="Q11" s="83">
        <f>'03'!Q108</f>
        <v>28.213437499999984</v>
      </c>
      <c r="R11" s="76"/>
      <c r="S11" s="76"/>
      <c r="T11" s="76"/>
      <c r="U11" s="76"/>
    </row>
    <row r="12" spans="1:21">
      <c r="A12" s="139" t="str">
        <f>'04'!$B$2</f>
        <v>04/03/2025 00:15</v>
      </c>
      <c r="B12" s="83">
        <f>'04'!B108</f>
        <v>12.548958333333331</v>
      </c>
      <c r="C12" s="83">
        <f>'04'!C108</f>
        <v>21.190416666666657</v>
      </c>
      <c r="D12" s="83">
        <f>'04'!D108</f>
        <v>22.486250000000002</v>
      </c>
      <c r="E12" s="83">
        <f>'04'!E108</f>
        <v>8.8714583333333277</v>
      </c>
      <c r="F12" s="152" t="s">
        <v>15</v>
      </c>
      <c r="G12" s="83">
        <f>'04'!G108</f>
        <v>80.352812499999985</v>
      </c>
      <c r="H12" s="83">
        <f>'04'!H108</f>
        <v>26.251250000000017</v>
      </c>
      <c r="I12" s="83">
        <f>'04'!I108</f>
        <v>10.235624999999999</v>
      </c>
      <c r="J12" s="83">
        <f>'04'!J108</f>
        <v>0.38541666666666657</v>
      </c>
      <c r="K12" s="83">
        <f>'04'!K108</f>
        <v>185.7095833333334</v>
      </c>
      <c r="L12" s="83">
        <f>'04'!L108</f>
        <v>27.959791666666664</v>
      </c>
      <c r="M12" s="83">
        <f>'04'!M108</f>
        <v>39.286041666666641</v>
      </c>
      <c r="N12" s="83">
        <f>'04'!N108</f>
        <v>91.744791666666686</v>
      </c>
      <c r="O12" s="83">
        <f>'04'!O108</f>
        <v>0</v>
      </c>
      <c r="P12" s="83">
        <f>'04'!P108</f>
        <v>0.81395833333333367</v>
      </c>
      <c r="Q12" s="83">
        <f>'04'!Q108</f>
        <v>28.393645833333334</v>
      </c>
      <c r="R12" s="76"/>
      <c r="S12" s="76"/>
      <c r="T12" s="76"/>
      <c r="U12" s="76"/>
    </row>
    <row r="13" spans="1:21">
      <c r="A13" s="139" t="str">
        <f>'05'!$B$2</f>
        <v>05/03/2025 00:15</v>
      </c>
      <c r="B13" s="83">
        <f>'05'!B108</f>
        <v>9.6215624999999996</v>
      </c>
      <c r="C13" s="83">
        <f>'05'!C108</f>
        <v>19.787291666666665</v>
      </c>
      <c r="D13" s="83">
        <f>'05'!D108</f>
        <v>19.405625000000001</v>
      </c>
      <c r="E13" s="83">
        <f>'05'!E108</f>
        <v>9.0085416666666696</v>
      </c>
      <c r="F13" s="152" t="s">
        <v>15</v>
      </c>
      <c r="G13" s="83">
        <f>'05'!G108</f>
        <v>81.115520833333349</v>
      </c>
      <c r="H13" s="83">
        <f>'05'!H108</f>
        <v>23.595416666666669</v>
      </c>
      <c r="I13" s="83">
        <f>'05'!I108</f>
        <v>7.0302083333333343</v>
      </c>
      <c r="J13" s="83">
        <f>'05'!J108</f>
        <v>0.76562500000000033</v>
      </c>
      <c r="K13" s="83">
        <f>'05'!K108</f>
        <v>195.5411458333333</v>
      </c>
      <c r="L13" s="83">
        <f>'05'!L108</f>
        <v>26.334062500000012</v>
      </c>
      <c r="M13" s="83">
        <f>'05'!M108</f>
        <v>26.3871875</v>
      </c>
      <c r="N13" s="83">
        <f>'05'!N108</f>
        <v>100.29791666666671</v>
      </c>
      <c r="O13" s="83">
        <f>'05'!O108</f>
        <v>0</v>
      </c>
      <c r="P13" s="83">
        <f>'05'!P108</f>
        <v>0.68166666666666653</v>
      </c>
      <c r="Q13" s="83">
        <f>'05'!Q108</f>
        <v>28.22687500000001</v>
      </c>
      <c r="R13" s="76"/>
      <c r="S13" s="76"/>
      <c r="T13" s="76"/>
      <c r="U13" s="76"/>
    </row>
    <row r="14" spans="1:21">
      <c r="A14" s="139" t="str">
        <f>'06'!$B$2</f>
        <v>06/03/2025 00:15</v>
      </c>
      <c r="B14" s="83">
        <f>'06'!B108</f>
        <v>9.4038541666666706</v>
      </c>
      <c r="C14" s="83">
        <f>'06'!C108</f>
        <v>15.507812499999995</v>
      </c>
      <c r="D14" s="83">
        <f>'06'!D108</f>
        <v>16.994687500000001</v>
      </c>
      <c r="E14" s="83">
        <f>'06'!E108</f>
        <v>9.0748958333333327</v>
      </c>
      <c r="F14" s="152" t="s">
        <v>15</v>
      </c>
      <c r="G14" s="83">
        <f>'06'!G108</f>
        <v>61.637187500000003</v>
      </c>
      <c r="H14" s="83">
        <f>'06'!H108</f>
        <v>18.385000000000009</v>
      </c>
      <c r="I14" s="83">
        <f>'06'!I108</f>
        <v>7.0647916666666681</v>
      </c>
      <c r="J14" s="83">
        <f>'06'!J108</f>
        <v>0.51156249999999992</v>
      </c>
      <c r="K14" s="83">
        <f>'06'!K108</f>
        <v>142.61197916666666</v>
      </c>
      <c r="L14" s="83">
        <f>'06'!L108</f>
        <v>23.530833333333334</v>
      </c>
      <c r="M14" s="83">
        <f>'06'!M108</f>
        <v>24.854687500000011</v>
      </c>
      <c r="N14" s="83">
        <f>'06'!N108</f>
        <v>100.80312500000004</v>
      </c>
      <c r="O14" s="83">
        <f>'06'!O108</f>
        <v>0</v>
      </c>
      <c r="P14" s="83">
        <f>'06'!P108</f>
        <v>0.61979166666666685</v>
      </c>
      <c r="Q14" s="83">
        <f>'06'!Q108</f>
        <v>28.144583333333319</v>
      </c>
      <c r="R14" s="76"/>
      <c r="S14" s="76"/>
      <c r="T14" s="76"/>
      <c r="U14" s="76"/>
    </row>
    <row r="15" spans="1:21">
      <c r="A15" s="139" t="str">
        <f>'07'!$B$2</f>
        <v>07/03/2025 00:15</v>
      </c>
      <c r="B15" s="83">
        <f>'07'!B108</f>
        <v>15.155104166666669</v>
      </c>
      <c r="C15" s="83">
        <f>'07'!C108</f>
        <v>16.788645833333337</v>
      </c>
      <c r="D15" s="83">
        <f>'07'!D108</f>
        <v>22.275937500000001</v>
      </c>
      <c r="E15" s="83">
        <f>'07'!E108</f>
        <v>8.9660416666666638</v>
      </c>
      <c r="F15" s="152" t="s">
        <v>15</v>
      </c>
      <c r="G15" s="83">
        <f>'07'!G108</f>
        <v>75.21624999999996</v>
      </c>
      <c r="H15" s="83">
        <f>'07'!H108</f>
        <v>24.076249999999987</v>
      </c>
      <c r="I15" s="83">
        <f>'07'!I108</f>
        <v>13.794375000000002</v>
      </c>
      <c r="J15" s="83">
        <f>'07'!J108</f>
        <v>0.41333333333333327</v>
      </c>
      <c r="K15" s="83">
        <f>'07'!K108</f>
        <v>165.01927083333337</v>
      </c>
      <c r="L15" s="83">
        <f>'07'!L108</f>
        <v>23.795729166666661</v>
      </c>
      <c r="M15" s="83">
        <f>'07'!M108</f>
        <v>33.946874999999999</v>
      </c>
      <c r="N15" s="83">
        <f>'07'!N108</f>
        <v>99.704166666666652</v>
      </c>
      <c r="O15" s="83">
        <f>'07'!O108</f>
        <v>0</v>
      </c>
      <c r="P15" s="83">
        <f>'07'!P108</f>
        <v>0.79510416666666661</v>
      </c>
      <c r="Q15" s="83">
        <f>'07'!Q108</f>
        <v>28.32875000000001</v>
      </c>
      <c r="R15" s="76"/>
      <c r="S15" s="76"/>
      <c r="T15" s="76"/>
      <c r="U15" s="76"/>
    </row>
    <row r="16" spans="1:21">
      <c r="A16" s="139" t="str">
        <f>'08'!$B$2</f>
        <v>08/03/2025 00:15</v>
      </c>
      <c r="B16" s="83">
        <f>'08'!B108</f>
        <v>4.4308333333333323</v>
      </c>
      <c r="C16" s="83">
        <f>'08'!C108</f>
        <v>13.526249999999999</v>
      </c>
      <c r="D16" s="83">
        <f>'08'!D108</f>
        <v>11.970729166666665</v>
      </c>
      <c r="E16" s="83">
        <f>'08'!E108</f>
        <v>9.4219791666666648</v>
      </c>
      <c r="F16" s="152" t="s">
        <v>15</v>
      </c>
      <c r="G16" s="83">
        <f>'08'!G108</f>
        <v>73.479895833333359</v>
      </c>
      <c r="H16" s="83">
        <f>'08'!H108</f>
        <v>26.451666666666664</v>
      </c>
      <c r="I16" s="83">
        <f>'08'!I108</f>
        <v>9.046875</v>
      </c>
      <c r="J16" s="83">
        <f>'08'!J108</f>
        <v>0.32729166666666681</v>
      </c>
      <c r="K16" s="83">
        <f>'08'!K108</f>
        <v>182.96906250000004</v>
      </c>
      <c r="L16" s="83">
        <f>'08'!L108</f>
        <v>25.916354166666675</v>
      </c>
      <c r="M16" s="83">
        <f>'08'!M108</f>
        <v>35.73572916666668</v>
      </c>
      <c r="N16" s="83">
        <f>'08'!N108</f>
        <v>93.124999999999929</v>
      </c>
      <c r="O16" s="83">
        <f>'08'!O108</f>
        <v>0</v>
      </c>
      <c r="P16" s="83">
        <f>'08'!P108</f>
        <v>0.74927083333333322</v>
      </c>
      <c r="Q16" s="83">
        <f>'08'!Q108</f>
        <v>28.146562500000002</v>
      </c>
      <c r="R16" s="76"/>
      <c r="S16" s="76"/>
      <c r="T16" s="76"/>
      <c r="U16" s="76"/>
    </row>
    <row r="17" spans="1:21">
      <c r="A17" s="139" t="str">
        <f>'09'!$B$2</f>
        <v>09/03/2025 00:15</v>
      </c>
      <c r="B17" s="83">
        <f>'09'!B108</f>
        <v>12.339583333333335</v>
      </c>
      <c r="C17" s="83">
        <f>'09'!C108</f>
        <v>22.587916666666676</v>
      </c>
      <c r="D17" s="83">
        <f>'09'!D108</f>
        <v>23.048333333333346</v>
      </c>
      <c r="E17" s="83">
        <f>'09'!E108</f>
        <v>9.9853124999999974</v>
      </c>
      <c r="F17" s="152" t="s">
        <v>15</v>
      </c>
      <c r="G17" s="83">
        <f>'09'!G108</f>
        <v>92.290416666666729</v>
      </c>
      <c r="H17" s="83">
        <f>'09'!H108</f>
        <v>33.090000000000011</v>
      </c>
      <c r="I17" s="83">
        <f>'09'!I108</f>
        <v>8.9134374999999988</v>
      </c>
      <c r="J17" s="83">
        <f>'09'!J108</f>
        <v>0.43479166666666652</v>
      </c>
      <c r="K17" s="83">
        <f>'09'!K108</f>
        <v>113.55166666666663</v>
      </c>
      <c r="L17" s="83">
        <f>'09'!L108</f>
        <v>27.596770833333327</v>
      </c>
      <c r="M17" s="83">
        <f>'09'!M108</f>
        <v>33.550416666666671</v>
      </c>
      <c r="N17" s="83">
        <f>'09'!N108</f>
        <v>87.463541666666643</v>
      </c>
      <c r="O17" s="83">
        <f>'09'!O108</f>
        <v>0</v>
      </c>
      <c r="P17" s="83">
        <f>'09'!P108</f>
        <v>0.78385416666666685</v>
      </c>
      <c r="Q17" s="83">
        <f>'09'!Q108</f>
        <v>28.30677083333336</v>
      </c>
      <c r="R17" s="76"/>
      <c r="S17" s="76"/>
      <c r="T17" s="76"/>
      <c r="U17" s="76"/>
    </row>
    <row r="18" spans="1:21">
      <c r="A18" s="139" t="str">
        <f>'10'!$B$2</f>
        <v>10/03/2025 00:15</v>
      </c>
      <c r="B18" s="83">
        <f>'10'!B108</f>
        <v>9.5533333333333328</v>
      </c>
      <c r="C18" s="83">
        <f>'10'!C108</f>
        <v>25.761979166666663</v>
      </c>
      <c r="D18" s="83">
        <f>'10'!D108</f>
        <v>22.480624999999993</v>
      </c>
      <c r="E18" s="83">
        <f>'10'!E108</f>
        <v>12.613333333333335</v>
      </c>
      <c r="F18" s="152" t="s">
        <v>15</v>
      </c>
      <c r="G18" s="83">
        <f>'10'!G108</f>
        <v>107.66187500000002</v>
      </c>
      <c r="H18" s="83">
        <f>'10'!H108</f>
        <v>37.654583333333356</v>
      </c>
      <c r="I18" s="83">
        <f>'10'!I108</f>
        <v>11.364687499999997</v>
      </c>
      <c r="J18" s="83">
        <f>'10'!J108</f>
        <v>0.51635416666666678</v>
      </c>
      <c r="K18" s="83">
        <f>'10'!K108</f>
        <v>99.378125000000011</v>
      </c>
      <c r="L18" s="83">
        <f>'10'!L108</f>
        <v>27.635208333333342</v>
      </c>
      <c r="M18" s="83">
        <f>'10'!M108</f>
        <v>36.850416666666668</v>
      </c>
      <c r="N18" s="83">
        <f>'10'!N108</f>
        <v>81.510416666666671</v>
      </c>
      <c r="O18" s="83">
        <f>'10'!O108</f>
        <v>0</v>
      </c>
      <c r="P18" s="83">
        <f>'10'!P108</f>
        <v>0.99812500000000026</v>
      </c>
      <c r="Q18" s="83">
        <f>'10'!Q108</f>
        <v>28.223229166666645</v>
      </c>
      <c r="R18" s="76"/>
      <c r="S18" s="76"/>
      <c r="T18" s="76"/>
      <c r="U18" s="76"/>
    </row>
    <row r="19" spans="1:21">
      <c r="A19" s="139" t="str">
        <f>'11'!$B$2</f>
        <v>11/03/2025 00:15</v>
      </c>
      <c r="B19" s="83">
        <f>'11'!B108</f>
        <v>11.42447916666667</v>
      </c>
      <c r="C19" s="83">
        <f>'11'!C108</f>
        <v>24.017812500000002</v>
      </c>
      <c r="D19" s="83">
        <f>'11'!D108</f>
        <v>23.060520833333332</v>
      </c>
      <c r="E19" s="83">
        <f>'11'!E108</f>
        <v>10.144270833333328</v>
      </c>
      <c r="F19" s="152" t="s">
        <v>15</v>
      </c>
      <c r="G19" s="83">
        <f>'11'!G108</f>
        <v>72.425937500000018</v>
      </c>
      <c r="H19" s="83">
        <f>'11'!H108</f>
        <v>26.949583333333319</v>
      </c>
      <c r="I19" s="83">
        <f>'11'!I108</f>
        <v>11.631875000000006</v>
      </c>
      <c r="J19" s="83">
        <f>'11'!J108</f>
        <v>0.5658333333333333</v>
      </c>
      <c r="K19" s="83">
        <f>'11'!K108</f>
        <v>116.99979166666664</v>
      </c>
      <c r="L19" s="83">
        <f>'11'!L108</f>
        <v>27.280833333333323</v>
      </c>
      <c r="M19" s="83">
        <f>'11'!M108</f>
        <v>34.684687499999988</v>
      </c>
      <c r="N19" s="83">
        <f>'11'!N108</f>
        <v>94.668750000000003</v>
      </c>
      <c r="O19" s="83">
        <f>'11'!O108</f>
        <v>0</v>
      </c>
      <c r="P19" s="83">
        <f>'11'!P108</f>
        <v>0.79385416666666686</v>
      </c>
      <c r="Q19" s="83">
        <f>'11'!Q108</f>
        <v>28.290312499999995</v>
      </c>
      <c r="R19" s="76"/>
      <c r="S19" s="76"/>
      <c r="T19" s="76"/>
      <c r="U19" s="76"/>
    </row>
    <row r="20" spans="1:21">
      <c r="A20" s="139" t="str">
        <f>'12'!$B$2</f>
        <v>12/03/2025 00:15</v>
      </c>
      <c r="B20" s="83">
        <f>'12'!B108</f>
        <v>6.2805208333333313</v>
      </c>
      <c r="C20" s="83">
        <f>'12'!C108</f>
        <v>17.598749999999999</v>
      </c>
      <c r="D20" s="83">
        <f>'12'!D108</f>
        <v>15.582916666666671</v>
      </c>
      <c r="E20" s="83">
        <f>'12'!E108</f>
        <v>10.814270833333333</v>
      </c>
      <c r="F20" s="152" t="s">
        <v>15</v>
      </c>
      <c r="G20" s="83">
        <f>'12'!G108</f>
        <v>70.046145833333284</v>
      </c>
      <c r="H20" s="83">
        <f>'12'!H108</f>
        <v>28.588750000000005</v>
      </c>
      <c r="I20" s="83">
        <f>'12'!I108</f>
        <v>10.320937500000005</v>
      </c>
      <c r="J20" s="83">
        <f>'12'!J108</f>
        <v>0.42875000000000002</v>
      </c>
      <c r="K20" s="83">
        <f>'12'!K108</f>
        <v>212.03697916666673</v>
      </c>
      <c r="L20" s="83">
        <f>'12'!L108</f>
        <v>28.147916666666674</v>
      </c>
      <c r="M20" s="83">
        <f>'12'!M108</f>
        <v>36.60895833333332</v>
      </c>
      <c r="N20" s="83">
        <f>'12'!N108</f>
        <v>92.240625000000094</v>
      </c>
      <c r="O20" s="83">
        <f>'12'!O108</f>
        <v>0</v>
      </c>
      <c r="P20" s="83">
        <f>'12'!P108</f>
        <v>0.79656249999999995</v>
      </c>
      <c r="Q20" s="83">
        <f>'12'!Q108</f>
        <v>28.109375000000014</v>
      </c>
      <c r="R20" s="76"/>
      <c r="S20" s="76"/>
      <c r="T20" s="76"/>
      <c r="U20" s="76"/>
    </row>
    <row r="21" spans="1:21">
      <c r="A21" s="139" t="str">
        <f>'13'!$B$2</f>
        <v>13/03/2025 00:15</v>
      </c>
      <c r="B21" s="83">
        <f>'13'!B108</f>
        <v>4.7443750000000007</v>
      </c>
      <c r="C21" s="83">
        <f>'13'!C108</f>
        <v>16.809687500000003</v>
      </c>
      <c r="D21" s="83">
        <f>'13'!D108</f>
        <v>13.938229166666666</v>
      </c>
      <c r="E21" s="83">
        <f>'13'!E108</f>
        <v>9.3741666666666656</v>
      </c>
      <c r="F21" s="152" t="s">
        <v>15</v>
      </c>
      <c r="G21" s="83">
        <f>'13'!G108</f>
        <v>66.371354166666677</v>
      </c>
      <c r="H21" s="83">
        <f>'13'!H108</f>
        <v>28.872291666666666</v>
      </c>
      <c r="I21" s="83">
        <f>'13'!I108</f>
        <v>8.7678125000000033</v>
      </c>
      <c r="J21" s="83">
        <f>'13'!J108</f>
        <v>0.48593749999999991</v>
      </c>
      <c r="K21" s="83">
        <f>'13'!K108</f>
        <v>209.54593749999989</v>
      </c>
      <c r="L21" s="83">
        <f>'13'!L108</f>
        <v>29.380625000000009</v>
      </c>
      <c r="M21" s="83">
        <f>'13'!M108</f>
        <v>34.409062499999997</v>
      </c>
      <c r="N21" s="83">
        <f>'13'!N108</f>
        <v>88.621875000000003</v>
      </c>
      <c r="O21" s="83">
        <f>'13'!O108</f>
        <v>0</v>
      </c>
      <c r="P21" s="83">
        <f>'13'!P108</f>
        <v>0.75645833333333334</v>
      </c>
      <c r="Q21" s="83">
        <f>'13'!Q108</f>
        <v>28.045833333333345</v>
      </c>
      <c r="R21" s="76"/>
      <c r="S21" s="76"/>
      <c r="T21" s="76"/>
      <c r="U21" s="76"/>
    </row>
    <row r="22" spans="1:21">
      <c r="A22" s="139" t="str">
        <f>'14'!$B$2</f>
        <v>14/03/2025 00:15</v>
      </c>
      <c r="B22" s="140">
        <f>'14'!B108</f>
        <v>5.412812500000002</v>
      </c>
      <c r="C22" s="140">
        <f>'14'!C108</f>
        <v>15.381041666666667</v>
      </c>
      <c r="D22" s="140">
        <f>'14'!D108</f>
        <v>13.728645833333337</v>
      </c>
      <c r="E22" s="140">
        <f>'14'!E108</f>
        <v>10.992083333333328</v>
      </c>
      <c r="F22" s="152" t="s">
        <v>15</v>
      </c>
      <c r="G22" s="140">
        <f>'14'!G108</f>
        <v>58.050312499999997</v>
      </c>
      <c r="H22" s="140">
        <f>'14'!H108</f>
        <v>28.086875000000017</v>
      </c>
      <c r="I22" s="140">
        <f>'14'!I108</f>
        <v>10.74416666666667</v>
      </c>
      <c r="J22" s="140">
        <f>'14'!J108</f>
        <v>0.4825000000000001</v>
      </c>
      <c r="K22" s="140">
        <f>'14'!K108</f>
        <v>214.95854166666663</v>
      </c>
      <c r="L22" s="140">
        <f>'14'!L108</f>
        <v>29.858125000000001</v>
      </c>
      <c r="M22" s="140">
        <f>'14'!M108</f>
        <v>33.193437500000009</v>
      </c>
      <c r="N22" s="140">
        <f>'14'!N108</f>
        <v>91.711458333333383</v>
      </c>
      <c r="O22" s="140">
        <f>'14'!O108</f>
        <v>0</v>
      </c>
      <c r="P22" s="140">
        <f>'14'!P108</f>
        <v>0.92760416666666667</v>
      </c>
      <c r="Q22" s="140">
        <f>'14'!Q108</f>
        <v>25.787812499999998</v>
      </c>
      <c r="R22" s="153"/>
      <c r="S22" s="153"/>
      <c r="T22" s="153"/>
      <c r="U22" s="153"/>
    </row>
    <row r="23" spans="1:21">
      <c r="A23" s="139" t="str">
        <f>'15'!$B$2</f>
        <v>15/03/2025 00:15</v>
      </c>
      <c r="B23" s="83">
        <f>'15'!B108</f>
        <v>5.1466666666666674</v>
      </c>
      <c r="C23" s="83">
        <f>'15'!C108</f>
        <v>15.881458333333327</v>
      </c>
      <c r="D23" s="83">
        <f>'15'!D108</f>
        <v>13.7759375</v>
      </c>
      <c r="E23" s="83">
        <f>'15'!E108</f>
        <v>10.253229166666666</v>
      </c>
      <c r="F23" s="152" t="s">
        <v>15</v>
      </c>
      <c r="G23" s="83">
        <f>'15'!G108</f>
        <v>37.429062500000008</v>
      </c>
      <c r="H23" s="83">
        <f>'15'!H108</f>
        <v>23.795833333333324</v>
      </c>
      <c r="I23" s="83">
        <f>'15'!I108</f>
        <v>9.8371875000000006</v>
      </c>
      <c r="J23" s="83">
        <f>'15'!J108</f>
        <v>0.41520833333333335</v>
      </c>
      <c r="K23" s="83">
        <f>'15'!K108</f>
        <v>209.8038541666667</v>
      </c>
      <c r="L23" s="83">
        <f>'15'!L108</f>
        <v>29.933020833333334</v>
      </c>
      <c r="M23" s="83">
        <f>'15'!M108</f>
        <v>35.558333333333344</v>
      </c>
      <c r="N23" s="83">
        <f>'15'!N108</f>
        <v>86.728124999999991</v>
      </c>
      <c r="O23" s="83">
        <f>'15'!O108</f>
        <v>0</v>
      </c>
      <c r="P23" s="83">
        <f>'15'!P108</f>
        <v>0.87000000000000011</v>
      </c>
      <c r="Q23" s="83">
        <f>'15'!Q108</f>
        <v>28.058020833333345</v>
      </c>
      <c r="R23" s="76"/>
      <c r="S23" s="76"/>
      <c r="T23" s="76"/>
      <c r="U23" s="76"/>
    </row>
    <row r="24" spans="1:21">
      <c r="A24" s="139" t="str">
        <f>'16'!$B$2</f>
        <v>16/03/2025 00:15</v>
      </c>
      <c r="B24" s="83">
        <f>'16'!B108</f>
        <v>5.3353124999999961</v>
      </c>
      <c r="C24" s="83">
        <f>'16'!C108</f>
        <v>17.43041666666667</v>
      </c>
      <c r="D24" s="83">
        <f>'16'!D108</f>
        <v>14.736458333333331</v>
      </c>
      <c r="E24" s="83">
        <f>'16'!E108</f>
        <v>9.3114583333333307</v>
      </c>
      <c r="F24" s="152" t="s">
        <v>15</v>
      </c>
      <c r="G24" s="83">
        <f>'16'!G108</f>
        <v>1.837083333333333</v>
      </c>
      <c r="H24" s="83">
        <f>'16'!H108</f>
        <v>29.976666666666659</v>
      </c>
      <c r="I24" s="83">
        <f>'16'!I108</f>
        <v>10.815</v>
      </c>
      <c r="J24" s="83">
        <f>'16'!J108</f>
        <v>0.5786458333333333</v>
      </c>
      <c r="K24" s="83">
        <f>'16'!K108</f>
        <v>219.06322916666662</v>
      </c>
      <c r="L24" s="83">
        <f>'16'!L108</f>
        <v>30.176666666666677</v>
      </c>
      <c r="M24" s="83">
        <f>'16'!M108</f>
        <v>38.843854166666667</v>
      </c>
      <c r="N24" s="83">
        <f>'16'!N108</f>
        <v>85.920833333333348</v>
      </c>
      <c r="O24" s="83">
        <f>'16'!O108</f>
        <v>0</v>
      </c>
      <c r="P24" s="83">
        <f>'16'!P108</f>
        <v>0.92635416666666659</v>
      </c>
      <c r="Q24" s="83">
        <f>'16'!Q108</f>
        <v>28.064062500000016</v>
      </c>
      <c r="R24" s="76"/>
      <c r="S24" s="76"/>
      <c r="T24" s="76"/>
      <c r="U24" s="76"/>
    </row>
    <row r="25" spans="1:21">
      <c r="A25" s="139" t="str">
        <f>'17'!$B$2</f>
        <v>17/03/2025 00:15</v>
      </c>
      <c r="B25" s="83">
        <f>'17'!B108</f>
        <v>4.6593749999999989</v>
      </c>
      <c r="C25" s="83">
        <f>'17'!C108</f>
        <v>18.961354166666663</v>
      </c>
      <c r="D25" s="83">
        <f>'17'!D108</f>
        <v>14.995833333333335</v>
      </c>
      <c r="E25" s="83">
        <f>'17'!E108</f>
        <v>11.128437499999997</v>
      </c>
      <c r="F25" s="152" t="s">
        <v>15</v>
      </c>
      <c r="G25" s="83">
        <f>'17'!G108</f>
        <v>35.25</v>
      </c>
      <c r="H25" s="83">
        <f>'17'!H108</f>
        <v>32.015268817204323</v>
      </c>
      <c r="I25" s="83">
        <f>'17'!I108</f>
        <v>10.175520833333334</v>
      </c>
      <c r="J25" s="83">
        <f>'17'!J108</f>
        <v>0.58562499999999995</v>
      </c>
      <c r="K25" s="83">
        <f>'17'!K108</f>
        <v>237.5447916666667</v>
      </c>
      <c r="L25" s="83">
        <f>'17'!L108</f>
        <v>31.292083333333341</v>
      </c>
      <c r="M25" s="83">
        <f>'17'!M108</f>
        <v>30.730729166666659</v>
      </c>
      <c r="N25" s="83">
        <f>'17'!N108</f>
        <v>92.715625000000031</v>
      </c>
      <c r="O25" s="83">
        <f>'17'!O108</f>
        <v>0</v>
      </c>
      <c r="P25" s="83">
        <f>'17'!P108</f>
        <v>0.88718750000000013</v>
      </c>
      <c r="Q25" s="83">
        <f>'17'!Q108</f>
        <v>28.05135416666667</v>
      </c>
      <c r="R25" s="76"/>
      <c r="S25" s="76"/>
      <c r="T25" s="76"/>
      <c r="U25" s="76"/>
    </row>
    <row r="26" spans="1:21">
      <c r="A26" s="139" t="str">
        <f>'18'!$B$2</f>
        <v>18/03/2025 00:15</v>
      </c>
      <c r="B26" s="83">
        <f>'18'!B108</f>
        <v>8.0845833333333363</v>
      </c>
      <c r="C26" s="83">
        <f>'18'!C108</f>
        <v>19.964374999999986</v>
      </c>
      <c r="D26" s="83">
        <f>'18'!D108</f>
        <v>18.264895833333334</v>
      </c>
      <c r="E26" s="83">
        <f>'18'!E108</f>
        <v>11.583020833333331</v>
      </c>
      <c r="F26" s="152" t="s">
        <v>15</v>
      </c>
      <c r="G26" s="83">
        <f>'18'!G108</f>
        <v>85.77291666666666</v>
      </c>
      <c r="H26" s="83">
        <f>'18'!H108</f>
        <v>28.991770833333309</v>
      </c>
      <c r="I26" s="83">
        <f>'18'!I108</f>
        <v>8.0573958333333326</v>
      </c>
      <c r="J26" s="83">
        <f>'18'!J108</f>
        <v>0.48614583333333328</v>
      </c>
      <c r="K26" s="83">
        <f>'18'!K108</f>
        <v>143.15833333333333</v>
      </c>
      <c r="L26" s="83">
        <f>'18'!L108</f>
        <v>29.741770833333323</v>
      </c>
      <c r="M26" s="83">
        <f>'18'!M108</f>
        <v>32.411458333333336</v>
      </c>
      <c r="N26" s="83">
        <f>'18'!N108</f>
        <v>108.34062500000003</v>
      </c>
      <c r="O26" s="83">
        <f>'18'!O108</f>
        <v>0</v>
      </c>
      <c r="P26" s="83">
        <f>'18'!P108</f>
        <v>0.72572916666666643</v>
      </c>
      <c r="Q26" s="83">
        <f>'18'!Q108</f>
        <v>28.134687499999998</v>
      </c>
      <c r="R26" s="76"/>
      <c r="S26" s="76"/>
      <c r="T26" s="76"/>
      <c r="U26" s="76"/>
    </row>
    <row r="27" spans="1:21">
      <c r="A27" s="139" t="str">
        <f>'19'!$B$2</f>
        <v>19/03/2025 00:15</v>
      </c>
      <c r="B27" s="83">
        <f>'19'!B108</f>
        <v>7.105104166666667</v>
      </c>
      <c r="C27" s="83">
        <f>'19'!C108</f>
        <v>21.419895833333332</v>
      </c>
      <c r="D27" s="83">
        <f>'19'!D108</f>
        <v>18.240520833333335</v>
      </c>
      <c r="E27" s="83">
        <f>'19'!E108</f>
        <v>13.600833333333341</v>
      </c>
      <c r="F27" s="152" t="s">
        <v>15</v>
      </c>
      <c r="G27" s="83">
        <f>'19'!G108</f>
        <v>91.040937499999998</v>
      </c>
      <c r="H27" s="83">
        <f>'19'!H108</f>
        <v>36.823750000000004</v>
      </c>
      <c r="I27" s="83">
        <f>'19'!I108</f>
        <v>11.080520833333338</v>
      </c>
      <c r="J27" s="83">
        <f>'19'!J108</f>
        <v>0.42156250000000001</v>
      </c>
      <c r="K27" s="83">
        <f>'19'!K108</f>
        <v>161.68541666666664</v>
      </c>
      <c r="L27" s="83">
        <f>'19'!L108</f>
        <v>30.383645833333347</v>
      </c>
      <c r="M27" s="83">
        <f>'19'!M108</f>
        <v>35.004270833333329</v>
      </c>
      <c r="N27" s="83">
        <f>'19'!N108</f>
        <v>86.985416666666666</v>
      </c>
      <c r="O27" s="83">
        <f>'19'!O108</f>
        <v>0</v>
      </c>
      <c r="P27" s="83">
        <f>'19'!P108</f>
        <v>0.96489583333333317</v>
      </c>
      <c r="Q27" s="83">
        <f>'19'!Q108</f>
        <v>28.132395833333348</v>
      </c>
      <c r="R27" s="76"/>
      <c r="S27" s="76"/>
      <c r="T27" s="76"/>
      <c r="U27" s="76"/>
    </row>
    <row r="28" spans="1:21">
      <c r="A28" s="139" t="str">
        <f>'20'!$B$2</f>
        <v>20/03/2025 00:15</v>
      </c>
      <c r="B28" s="83">
        <f>'20'!B108</f>
        <v>4.9233333333333329</v>
      </c>
      <c r="C28" s="83">
        <f>'20'!C108</f>
        <v>19.185208333333335</v>
      </c>
      <c r="D28" s="83">
        <f>'20'!D108</f>
        <v>15.322812499999998</v>
      </c>
      <c r="E28" s="83">
        <f>'20'!E108</f>
        <v>9.3611458333333317</v>
      </c>
      <c r="F28" s="152" t="s">
        <v>15</v>
      </c>
      <c r="G28" s="83">
        <f>'20'!G108</f>
        <v>54.829375000000027</v>
      </c>
      <c r="H28" s="83">
        <f>'20'!H108</f>
        <v>25.744583333333335</v>
      </c>
      <c r="I28" s="83">
        <f>'20'!I108</f>
        <v>9.6566666666666645</v>
      </c>
      <c r="J28" s="83">
        <f>'20'!J108</f>
        <v>0.41333333333333305</v>
      </c>
      <c r="K28" s="83">
        <f>'20'!K108</f>
        <v>222.45500000000004</v>
      </c>
      <c r="L28" s="83">
        <f>'20'!L108</f>
        <v>30.271770833333335</v>
      </c>
      <c r="M28" s="83">
        <f>'20'!M108</f>
        <v>42.514166666666661</v>
      </c>
      <c r="N28" s="83">
        <f>'20'!N108</f>
        <v>99.22708333333334</v>
      </c>
      <c r="O28" s="83">
        <f>'20'!O108</f>
        <v>0</v>
      </c>
      <c r="P28" s="83">
        <f>'20'!P108</f>
        <v>0.84125000000000005</v>
      </c>
      <c r="Q28" s="83">
        <f>'20'!Q108</f>
        <v>28.051145833333337</v>
      </c>
      <c r="R28" s="76"/>
      <c r="S28" s="76"/>
      <c r="T28" s="76"/>
      <c r="U28" s="76"/>
    </row>
    <row r="29" spans="1:21">
      <c r="A29" s="139" t="str">
        <f>'21'!$B$2</f>
        <v>21/03/2025 00:15</v>
      </c>
      <c r="B29" s="83">
        <f>'21'!B108</f>
        <v>5.9785416666666658</v>
      </c>
      <c r="C29" s="83">
        <f>'21'!C108</f>
        <v>18.765208333333337</v>
      </c>
      <c r="D29" s="83">
        <f>'21'!D108</f>
        <v>15.949375000000005</v>
      </c>
      <c r="E29" s="83">
        <f>'21'!E108</f>
        <v>8.9391666666666687</v>
      </c>
      <c r="F29" s="152" t="s">
        <v>15</v>
      </c>
      <c r="G29" s="83">
        <f>'21'!G108</f>
        <v>64.024895833333332</v>
      </c>
      <c r="H29" s="83">
        <f>'21'!H108</f>
        <v>26.432291666666675</v>
      </c>
      <c r="I29" s="83">
        <f>'21'!I108</f>
        <v>10.327708333333346</v>
      </c>
      <c r="J29" s="83">
        <f>'21'!J108</f>
        <v>0.47572916666666654</v>
      </c>
      <c r="K29" s="83">
        <f>'21'!K108</f>
        <v>185.44635416666668</v>
      </c>
      <c r="L29" s="83">
        <f>'21'!L108</f>
        <v>28.188541666666691</v>
      </c>
      <c r="M29" s="83">
        <f>'21'!M108</f>
        <v>54.767187499999984</v>
      </c>
      <c r="N29" s="83">
        <f>'21'!N108</f>
        <v>75.840624999999989</v>
      </c>
      <c r="O29" s="83">
        <f>'21'!O108</f>
        <v>6.2499999999999995E-3</v>
      </c>
      <c r="P29" s="83">
        <f>'21'!P108</f>
        <v>0.74458333333333337</v>
      </c>
      <c r="Q29" s="83">
        <f>'21'!Q108</f>
        <v>28.084062499999998</v>
      </c>
      <c r="R29" s="76"/>
      <c r="S29" s="76"/>
      <c r="T29" s="76"/>
      <c r="U29" s="76"/>
    </row>
    <row r="30" spans="1:21">
      <c r="A30" s="139" t="str">
        <f>'22'!$B$2</f>
        <v>22/03/2025 00:15</v>
      </c>
      <c r="B30" s="83">
        <f>'22'!B108</f>
        <v>6.0415624999999977</v>
      </c>
      <c r="C30" s="83">
        <f>'22'!C108</f>
        <v>17.841249999999999</v>
      </c>
      <c r="D30" s="83">
        <f>'22'!D108</f>
        <v>15.517604166666667</v>
      </c>
      <c r="E30" s="83">
        <f>'22'!E108</f>
        <v>9.0178125000000016</v>
      </c>
      <c r="F30" s="152" t="s">
        <v>15</v>
      </c>
      <c r="G30" s="83">
        <f>'22'!G108</f>
        <v>35.888749999999973</v>
      </c>
      <c r="H30" s="83">
        <f>'22'!H108</f>
        <v>16.288854166666667</v>
      </c>
      <c r="I30" s="151" t="s">
        <v>8</v>
      </c>
      <c r="J30" s="83">
        <f>'22'!J108</f>
        <v>0.47208333333333341</v>
      </c>
      <c r="K30" s="83">
        <f>'22'!K108</f>
        <v>151.34500000000003</v>
      </c>
      <c r="L30" s="83">
        <f>'22'!L108</f>
        <v>27.94510416666667</v>
      </c>
      <c r="M30" s="83">
        <f>'22'!M108</f>
        <v>57.793125000000032</v>
      </c>
      <c r="N30" s="83">
        <f>'22'!N108</f>
        <v>184.99270833333333</v>
      </c>
      <c r="O30" s="83">
        <f>'22'!O108</f>
        <v>0</v>
      </c>
      <c r="P30" s="83">
        <f>'22'!P108</f>
        <v>0.57010416666666652</v>
      </c>
      <c r="Q30" s="83">
        <f>'22'!Q108</f>
        <v>28.08260416666668</v>
      </c>
      <c r="R30" s="76"/>
      <c r="S30" s="76"/>
      <c r="T30" s="76"/>
      <c r="U30" s="76"/>
    </row>
    <row r="31" spans="1:21">
      <c r="A31" s="139" t="str">
        <f>'23'!$B$2</f>
        <v>23/03/2025 00:15</v>
      </c>
      <c r="B31" s="83">
        <f>'23'!B108</f>
        <v>7.2129166666666658</v>
      </c>
      <c r="C31" s="83">
        <f>'23'!C108</f>
        <v>18.096875000000001</v>
      </c>
      <c r="D31" s="83">
        <f>'23'!D108</f>
        <v>16.590312500000003</v>
      </c>
      <c r="E31" s="83">
        <f>'23'!E108</f>
        <v>9.4518750000000047</v>
      </c>
      <c r="F31" s="152" t="s">
        <v>15</v>
      </c>
      <c r="G31" s="83">
        <f>'23'!G108</f>
        <v>43.946979166666672</v>
      </c>
      <c r="H31" s="83">
        <f>'23'!H108</f>
        <v>19.332812499999992</v>
      </c>
      <c r="I31" s="151" t="s">
        <v>8</v>
      </c>
      <c r="J31" s="83">
        <f>'23'!J108</f>
        <v>0.51125000000000032</v>
      </c>
      <c r="K31" s="83">
        <f>'23'!K108</f>
        <v>127.19510416666667</v>
      </c>
      <c r="L31" s="83">
        <f>'23'!L108</f>
        <v>27.900416666666661</v>
      </c>
      <c r="M31" s="83">
        <f>'23'!M108</f>
        <v>56.779895833333342</v>
      </c>
      <c r="N31" s="83">
        <f>'23'!N108</f>
        <v>143.18541666666667</v>
      </c>
      <c r="O31" s="83">
        <f>'23'!O108</f>
        <v>0</v>
      </c>
      <c r="P31" s="83">
        <f>'23'!P108</f>
        <v>0.64385416666666673</v>
      </c>
      <c r="Q31" s="83">
        <f>'23'!Q108</f>
        <v>28.109895833333344</v>
      </c>
      <c r="R31" s="76"/>
      <c r="S31" s="154"/>
      <c r="T31" s="76"/>
      <c r="U31" s="76"/>
    </row>
    <row r="32" spans="1:21">
      <c r="A32" s="139" t="str">
        <f>'24'!$B$2</f>
        <v>24/03/2025 00:15</v>
      </c>
      <c r="B32" s="83">
        <f>'24'!B108</f>
        <v>8.9351041666666706</v>
      </c>
      <c r="C32" s="83">
        <f>'24'!C108</f>
        <v>20.386041666666667</v>
      </c>
      <c r="D32" s="83">
        <f>'24'!D108</f>
        <v>19.168541666666659</v>
      </c>
      <c r="E32" s="83">
        <f>'24'!E108</f>
        <v>9.4015624999999989</v>
      </c>
      <c r="F32" s="152" t="s">
        <v>15</v>
      </c>
      <c r="G32" s="83">
        <f>'24'!G108</f>
        <v>54.475416666666682</v>
      </c>
      <c r="H32" s="83">
        <f>'24'!H108</f>
        <v>20.572499999999987</v>
      </c>
      <c r="I32" s="83">
        <f>'24'!I108</f>
        <v>6.1235294117647046</v>
      </c>
      <c r="J32" s="83">
        <f>'24'!J108</f>
        <v>0.5933333333333336</v>
      </c>
      <c r="K32" s="83">
        <f>'24'!K108</f>
        <v>121.22687500000002</v>
      </c>
      <c r="L32" s="83">
        <f>'24'!L108</f>
        <v>28.272604166666664</v>
      </c>
      <c r="M32" s="83">
        <f>'24'!M108</f>
        <v>48.09843750000001</v>
      </c>
      <c r="N32" s="83">
        <f>'24'!N108</f>
        <v>176.7916666666666</v>
      </c>
      <c r="O32" s="83">
        <f>'24'!O108</f>
        <v>0</v>
      </c>
      <c r="P32" s="83">
        <f>'24'!P108</f>
        <v>0.69010416666666685</v>
      </c>
      <c r="Q32" s="83">
        <f>'24'!Q108</f>
        <v>28.196354166666641</v>
      </c>
      <c r="R32" s="76"/>
      <c r="S32" s="76"/>
      <c r="T32" s="76"/>
      <c r="U32" s="76"/>
    </row>
    <row r="33" spans="1:21">
      <c r="A33" s="139" t="str">
        <f>'25'!$B$2</f>
        <v>25/03/2025 00:15</v>
      </c>
      <c r="B33" s="83">
        <f>'25'!B108</f>
        <v>8.9272916666666635</v>
      </c>
      <c r="C33" s="83">
        <f>'25'!C108</f>
        <v>20.2696875</v>
      </c>
      <c r="D33" s="83">
        <f>'25'!D108</f>
        <v>19.099583333333335</v>
      </c>
      <c r="E33" s="83">
        <f>'25'!E108</f>
        <v>11.468541666666667</v>
      </c>
      <c r="F33" s="152">
        <v>12.2</v>
      </c>
      <c r="G33" s="83">
        <f>'25'!G108</f>
        <v>83.58177083333338</v>
      </c>
      <c r="H33" s="83">
        <f>'25'!H108</f>
        <v>33.858749999999979</v>
      </c>
      <c r="I33" s="83">
        <f>'25'!I108</f>
        <v>8.5131249999999969</v>
      </c>
      <c r="J33" s="83">
        <f>'25'!J108</f>
        <v>0.30843749999999998</v>
      </c>
      <c r="K33" s="83">
        <f>'25'!K108</f>
        <v>168.79999999999998</v>
      </c>
      <c r="L33" s="83">
        <f>'25'!L108</f>
        <v>28.653854166666676</v>
      </c>
      <c r="M33" s="83">
        <f>'25'!M108</f>
        <v>38.308020833333352</v>
      </c>
      <c r="N33" s="83">
        <f>'25'!N108</f>
        <v>192.37812499999987</v>
      </c>
      <c r="O33" s="83">
        <f>'25'!O108</f>
        <v>0</v>
      </c>
      <c r="P33" s="83">
        <f>'25'!P108</f>
        <v>0.77593749999999961</v>
      </c>
      <c r="Q33" s="83">
        <f>'25'!Q108</f>
        <v>28.251874999999984</v>
      </c>
      <c r="R33" s="76"/>
      <c r="S33" s="154"/>
      <c r="T33" s="76"/>
      <c r="U33" s="76"/>
    </row>
    <row r="34" spans="1:21">
      <c r="A34" s="139" t="str">
        <f>'26'!$B$2</f>
        <v>26/03/2025 00:15</v>
      </c>
      <c r="B34" s="83">
        <f>'26'!B108</f>
        <v>8.6115625000000016</v>
      </c>
      <c r="C34" s="83">
        <f>'26'!C108</f>
        <v>19.550104166666667</v>
      </c>
      <c r="D34" s="83">
        <f>'26'!D108</f>
        <v>18.470625000000005</v>
      </c>
      <c r="E34" s="83">
        <f>'26'!E108</f>
        <v>10.111041666666667</v>
      </c>
      <c r="F34" s="152" t="s">
        <v>15</v>
      </c>
      <c r="G34" s="83">
        <f>'26'!G108</f>
        <v>84.020104166666599</v>
      </c>
      <c r="H34" s="83">
        <f>'26'!H108</f>
        <v>34.933749999999996</v>
      </c>
      <c r="I34" s="83">
        <f>'26'!I108</f>
        <v>8.208750000000002</v>
      </c>
      <c r="J34" s="83">
        <f>'26'!J108</f>
        <v>0.359375</v>
      </c>
      <c r="K34" s="83">
        <f>'26'!K108</f>
        <v>181.92468749999992</v>
      </c>
      <c r="L34" s="83">
        <f>'26'!L108</f>
        <v>29.427083333333343</v>
      </c>
      <c r="M34" s="83">
        <f>'26'!M108</f>
        <v>34.173749999999984</v>
      </c>
      <c r="N34" s="83">
        <f>'26'!N108</f>
        <v>192.29374999999996</v>
      </c>
      <c r="O34" s="83">
        <f>'26'!O108</f>
        <v>0</v>
      </c>
      <c r="P34" s="83">
        <f>'26'!P108</f>
        <v>0.77395833333333297</v>
      </c>
      <c r="Q34" s="83">
        <f>'26'!Q108</f>
        <v>28.226874999999982</v>
      </c>
      <c r="R34" s="76"/>
      <c r="S34" s="76"/>
      <c r="T34" s="76"/>
      <c r="U34" s="76"/>
    </row>
    <row r="35" spans="1:21">
      <c r="A35" s="139" t="str">
        <f>'27'!$B$2</f>
        <v>27/03/2025 00:15</v>
      </c>
      <c r="B35" s="83">
        <f>'27'!B108</f>
        <v>6.5528125000000017</v>
      </c>
      <c r="C35" s="83">
        <f>'27'!C108</f>
        <v>18.048437500000006</v>
      </c>
      <c r="D35" s="83">
        <f>'27'!D108</f>
        <v>16.035000000000007</v>
      </c>
      <c r="E35" s="83">
        <f>'27'!E108</f>
        <v>10.531562500000001</v>
      </c>
      <c r="F35" s="152" t="s">
        <v>15</v>
      </c>
      <c r="G35" s="83">
        <f>'27'!G108</f>
        <v>94.718958333333305</v>
      </c>
      <c r="H35" s="83">
        <f>'27'!H108</f>
        <v>39.160104166666663</v>
      </c>
      <c r="I35" s="83">
        <f>'27'!I108</f>
        <v>9.9612499999999979</v>
      </c>
      <c r="J35" s="83">
        <f>'27'!J108</f>
        <v>0.37291666666666662</v>
      </c>
      <c r="K35" s="83">
        <f>'27'!K108</f>
        <v>191.63947916666658</v>
      </c>
      <c r="L35" s="83">
        <f>'27'!L108</f>
        <v>30.237395833333341</v>
      </c>
      <c r="M35" s="83">
        <f>'27'!M108</f>
        <v>31.007395833333334</v>
      </c>
      <c r="N35" s="83">
        <f>'27'!N108</f>
        <v>184.14062500000011</v>
      </c>
      <c r="O35" s="83">
        <f>'27'!O108</f>
        <v>0</v>
      </c>
      <c r="P35" s="83">
        <f>'27'!P108</f>
        <v>0.87166666666666648</v>
      </c>
      <c r="Q35" s="83">
        <f>'27'!Q108</f>
        <v>28.159062499999994</v>
      </c>
      <c r="R35" s="76"/>
      <c r="S35" s="76"/>
      <c r="T35" s="76"/>
      <c r="U35" s="76"/>
    </row>
    <row r="36" spans="1:21">
      <c r="A36" s="139" t="str">
        <f>'28'!$B$2</f>
        <v>28/03/2025 00:15</v>
      </c>
      <c r="B36" s="83">
        <f>'28'!B108</f>
        <v>6.1803124999999985</v>
      </c>
      <c r="C36" s="83">
        <f>'28'!C108</f>
        <v>19.795625000000005</v>
      </c>
      <c r="D36" s="83">
        <f>'28'!D108</f>
        <v>16.649895833333339</v>
      </c>
      <c r="E36" s="83">
        <f>'28'!E108</f>
        <v>13.769166666666669</v>
      </c>
      <c r="F36" s="152" t="s">
        <v>15</v>
      </c>
      <c r="G36" s="83">
        <f>'28'!G108</f>
        <v>84.935624999999959</v>
      </c>
      <c r="H36" s="83">
        <f>'28'!H108</f>
        <v>37.258958333333347</v>
      </c>
      <c r="I36" s="83">
        <f>'28'!I108</f>
        <v>10.929166666666667</v>
      </c>
      <c r="J36" s="83">
        <f>'28'!J108</f>
        <v>0.40822916666666648</v>
      </c>
      <c r="K36" s="83">
        <f>'28'!K108</f>
        <v>140.98937500000008</v>
      </c>
      <c r="L36" s="83">
        <f>'28'!L108</f>
        <v>31.109375000000011</v>
      </c>
      <c r="M36" s="83">
        <f>'28'!M108</f>
        <v>29.219895833333336</v>
      </c>
      <c r="N36" s="83">
        <f>'28'!N108</f>
        <v>183.29583333333338</v>
      </c>
      <c r="O36" s="83">
        <f>'28'!O108</f>
        <v>0</v>
      </c>
      <c r="P36" s="83">
        <f>'28'!P108</f>
        <v>0.91812499999999986</v>
      </c>
      <c r="Q36" s="83">
        <f>'28'!Q108</f>
        <v>28.143333333333317</v>
      </c>
      <c r="R36" s="76"/>
      <c r="S36" s="76"/>
      <c r="T36" s="76"/>
      <c r="U36" s="76"/>
    </row>
    <row r="37" spans="1:21" s="2" customFormat="1">
      <c r="A37" s="139" t="str">
        <f>'29'!$B$2</f>
        <v>29/03/2025 00:15</v>
      </c>
      <c r="B37" s="83">
        <f>'29'!B108</f>
        <v>9.3704166666666691</v>
      </c>
      <c r="C37" s="83">
        <f>'29'!C108</f>
        <v>22.889583333333334</v>
      </c>
      <c r="D37" s="83">
        <f>'29'!D108</f>
        <v>20.824375</v>
      </c>
      <c r="E37" s="83">
        <f>'29'!E108</f>
        <v>12.065625000000002</v>
      </c>
      <c r="F37" s="152" t="s">
        <v>15</v>
      </c>
      <c r="G37" s="83">
        <f>'29'!G108</f>
        <v>99.736458333333317</v>
      </c>
      <c r="H37" s="83">
        <f>'29'!H108</f>
        <v>35.061875000000022</v>
      </c>
      <c r="I37" s="83">
        <f>'29'!I108</f>
        <v>10.273020833333337</v>
      </c>
      <c r="J37" s="83">
        <f>'29'!J108</f>
        <v>0.66677083333333342</v>
      </c>
      <c r="K37" s="83">
        <f>'29'!K108</f>
        <v>76.970729166666644</v>
      </c>
      <c r="L37" s="83">
        <f>'29'!L108</f>
        <v>32.71541666666667</v>
      </c>
      <c r="M37" s="83">
        <f>'29'!M108</f>
        <v>22.749687500000007</v>
      </c>
      <c r="N37" s="83">
        <f>'29'!N108</f>
        <v>173.03020833333326</v>
      </c>
      <c r="O37" s="83">
        <f>'29'!O108</f>
        <v>0</v>
      </c>
      <c r="P37" s="83">
        <f>'29'!P108</f>
        <v>0.83885416666666668</v>
      </c>
      <c r="Q37" s="83">
        <f>'29'!Q108</f>
        <v>28.231874999999977</v>
      </c>
      <c r="R37" s="76"/>
      <c r="S37" s="76"/>
      <c r="T37" s="76"/>
      <c r="U37" s="76"/>
    </row>
    <row r="38" spans="1:21" s="2" customFormat="1">
      <c r="A38" s="139" t="str">
        <f>'30'!$B$2</f>
        <v>30/03/2025 00:15</v>
      </c>
      <c r="B38" s="83">
        <f>'30'!B108</f>
        <v>7.722187499999996</v>
      </c>
      <c r="C38" s="83">
        <f>'30'!C108</f>
        <v>23.271458333333332</v>
      </c>
      <c r="D38" s="83">
        <f>'30'!D108</f>
        <v>19.702187499999994</v>
      </c>
      <c r="E38" s="83">
        <f>'30'!E108</f>
        <v>15.319270833333333</v>
      </c>
      <c r="F38" s="152" t="s">
        <v>15</v>
      </c>
      <c r="G38" s="83">
        <f>'30'!G108</f>
        <v>92.164687499999957</v>
      </c>
      <c r="H38" s="83">
        <f>'30'!H108</f>
        <v>33.299479166666671</v>
      </c>
      <c r="I38" s="83">
        <f>'30'!I108</f>
        <v>9.3883333333333354</v>
      </c>
      <c r="J38" s="83">
        <f>'30'!J108</f>
        <v>0.5704166666666669</v>
      </c>
      <c r="K38" s="83">
        <f>'30'!K108</f>
        <v>103.63687500000002</v>
      </c>
      <c r="L38" s="83">
        <f>'30'!L108</f>
        <v>31.436562500000008</v>
      </c>
      <c r="M38" s="83">
        <f>'30'!M108</f>
        <v>20.6246875</v>
      </c>
      <c r="N38" s="83">
        <f>'30'!N108</f>
        <v>177.86875000000006</v>
      </c>
      <c r="O38" s="83">
        <f>'30'!O108</f>
        <v>0</v>
      </c>
      <c r="P38" s="83">
        <f>'30'!P108</f>
        <v>0.76312499999999994</v>
      </c>
      <c r="Q38" s="83">
        <f>'30'!Q108</f>
        <v>28.173437499999974</v>
      </c>
      <c r="R38" s="76"/>
      <c r="S38" s="76"/>
      <c r="T38" s="76"/>
      <c r="U38" s="76"/>
    </row>
    <row r="39" spans="1:21" s="2" customFormat="1">
      <c r="A39" s="139" t="str">
        <f>'31'!$B$2</f>
        <v>31/03/2025 00:15</v>
      </c>
      <c r="B39" s="83">
        <f>'31'!B108</f>
        <v>8.1015625</v>
      </c>
      <c r="C39" s="83">
        <f>'31'!C108</f>
        <v>25.463229166666661</v>
      </c>
      <c r="D39" s="83">
        <f>'31'!D108</f>
        <v>21.151875</v>
      </c>
      <c r="E39" s="83">
        <f>'31'!E108</f>
        <v>16.475833333333338</v>
      </c>
      <c r="F39" s="152" t="s">
        <v>15</v>
      </c>
      <c r="G39" s="83">
        <f>'31'!G108</f>
        <v>120.11781249999994</v>
      </c>
      <c r="H39" s="83">
        <f>'31'!H108</f>
        <v>46.289583333333333</v>
      </c>
      <c r="I39" s="83">
        <f>'31'!I108</f>
        <v>11.321562500000001</v>
      </c>
      <c r="J39" s="83">
        <f>'31'!J108</f>
        <v>0.63625000000000009</v>
      </c>
      <c r="K39" s="83">
        <f>'31'!K108</f>
        <v>101.71968750000006</v>
      </c>
      <c r="L39" s="83">
        <f>'31'!L108</f>
        <v>31.103020833333336</v>
      </c>
      <c r="M39" s="83">
        <f>'31'!M108</f>
        <v>18.540104166666669</v>
      </c>
      <c r="N39" s="83">
        <f>'31'!N108</f>
        <v>168.18437500000002</v>
      </c>
      <c r="O39" s="83">
        <f>'31'!O108</f>
        <v>0</v>
      </c>
      <c r="P39" s="83">
        <f>'31'!P108</f>
        <v>0.96791666666666665</v>
      </c>
      <c r="Q39" s="83">
        <f>'31'!Q108</f>
        <v>28.19239583333329</v>
      </c>
      <c r="R39" s="76"/>
      <c r="S39" s="76"/>
      <c r="T39" s="76"/>
      <c r="U39" s="76"/>
    </row>
    <row r="40" spans="1:21" s="2" customFormat="1">
      <c r="A40" s="129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141"/>
      <c r="S40" s="141"/>
      <c r="T40" s="141"/>
      <c r="U40" s="141"/>
    </row>
    <row r="41" spans="1:21" s="2" customFormat="1">
      <c r="A41" s="129" t="s">
        <v>48</v>
      </c>
      <c r="B41" s="141">
        <f t="shared" ref="B41:Q41" si="0">MIN(B9:B39)</f>
        <v>4.4308333333333323</v>
      </c>
      <c r="C41" s="141">
        <f t="shared" si="0"/>
        <v>13.526249999999999</v>
      </c>
      <c r="D41" s="141">
        <f t="shared" si="0"/>
        <v>11.970729166666665</v>
      </c>
      <c r="E41" s="141">
        <f t="shared" si="0"/>
        <v>8.8714583333333277</v>
      </c>
      <c r="F41" s="141">
        <f t="shared" si="0"/>
        <v>12.2</v>
      </c>
      <c r="G41" s="141">
        <f t="shared" si="0"/>
        <v>1.837083333333333</v>
      </c>
      <c r="H41" s="141">
        <f t="shared" si="0"/>
        <v>16.288854166666667</v>
      </c>
      <c r="I41" s="141">
        <f t="shared" si="0"/>
        <v>6.1235294117647046</v>
      </c>
      <c r="J41" s="141">
        <f t="shared" si="0"/>
        <v>0.30843749999999998</v>
      </c>
      <c r="K41" s="141">
        <f t="shared" si="0"/>
        <v>76.970729166666644</v>
      </c>
      <c r="L41" s="141">
        <f t="shared" si="0"/>
        <v>23.530833333333334</v>
      </c>
      <c r="M41" s="141">
        <f t="shared" si="0"/>
        <v>18.540104166666669</v>
      </c>
      <c r="N41" s="141">
        <f t="shared" si="0"/>
        <v>75.840624999999989</v>
      </c>
      <c r="O41" s="141">
        <f t="shared" si="0"/>
        <v>0</v>
      </c>
      <c r="P41" s="141">
        <f t="shared" si="0"/>
        <v>0.57010416666666652</v>
      </c>
      <c r="Q41" s="141">
        <f t="shared" si="0"/>
        <v>25.787812499999998</v>
      </c>
      <c r="R41" s="141"/>
      <c r="S41" s="141"/>
      <c r="T41" s="141"/>
      <c r="U41" s="141"/>
    </row>
    <row r="42" spans="1:21" s="2" customFormat="1">
      <c r="A42" s="129" t="s">
        <v>49</v>
      </c>
      <c r="B42" s="141">
        <f t="shared" ref="B42:Q42" si="1">MAX(B9:B39)</f>
        <v>15.155104166666669</v>
      </c>
      <c r="C42" s="141">
        <f t="shared" si="1"/>
        <v>25.761979166666663</v>
      </c>
      <c r="D42" s="141">
        <f t="shared" si="1"/>
        <v>23.868333333333329</v>
      </c>
      <c r="E42" s="141">
        <f t="shared" si="1"/>
        <v>20.080208333333331</v>
      </c>
      <c r="F42" s="141">
        <f t="shared" si="1"/>
        <v>12.2</v>
      </c>
      <c r="G42" s="141">
        <f t="shared" si="1"/>
        <v>120.11781249999994</v>
      </c>
      <c r="H42" s="141">
        <f t="shared" si="1"/>
        <v>46.289583333333333</v>
      </c>
      <c r="I42" s="141">
        <f t="shared" si="1"/>
        <v>13.794375000000002</v>
      </c>
      <c r="J42" s="141">
        <f t="shared" si="1"/>
        <v>0.76562500000000033</v>
      </c>
      <c r="K42" s="141">
        <f t="shared" si="1"/>
        <v>237.5447916666667</v>
      </c>
      <c r="L42" s="141">
        <f t="shared" si="1"/>
        <v>32.71541666666667</v>
      </c>
      <c r="M42" s="141">
        <f t="shared" si="1"/>
        <v>57.793125000000032</v>
      </c>
      <c r="N42" s="141">
        <f t="shared" si="1"/>
        <v>192.37812499999987</v>
      </c>
      <c r="O42" s="141">
        <f t="shared" si="1"/>
        <v>6.2499999999999995E-3</v>
      </c>
      <c r="P42" s="141">
        <f t="shared" si="1"/>
        <v>0.99812500000000026</v>
      </c>
      <c r="Q42" s="141">
        <f t="shared" si="1"/>
        <v>28.393645833333334</v>
      </c>
      <c r="R42" s="141"/>
      <c r="S42" s="141"/>
      <c r="T42" s="141"/>
      <c r="U42" s="141"/>
    </row>
    <row r="43" spans="1:21" s="2" customFormat="1">
      <c r="A43" s="129" t="s">
        <v>50</v>
      </c>
      <c r="B43" s="141">
        <f t="shared" ref="B43:Q43" si="2">AVERAGE(B9:B39)</f>
        <v>7.9921337365591407</v>
      </c>
      <c r="C43" s="141">
        <f t="shared" si="2"/>
        <v>19.688891129032257</v>
      </c>
      <c r="D43" s="141">
        <f t="shared" si="2"/>
        <v>18.07096774193549</v>
      </c>
      <c r="E43" s="141">
        <f t="shared" si="2"/>
        <v>11.136528897849463</v>
      </c>
      <c r="F43" s="141">
        <f t="shared" si="2"/>
        <v>12.2</v>
      </c>
      <c r="G43" s="141">
        <f t="shared" si="2"/>
        <v>71.432866263440872</v>
      </c>
      <c r="H43" s="141">
        <f t="shared" si="2"/>
        <v>29.397908537114116</v>
      </c>
      <c r="I43" s="141">
        <f t="shared" si="2"/>
        <v>9.8673954107505111</v>
      </c>
      <c r="J43" s="141">
        <f t="shared" si="2"/>
        <v>0.4825806451612904</v>
      </c>
      <c r="K43" s="141">
        <f t="shared" si="2"/>
        <v>167.35176075268816</v>
      </c>
      <c r="L43" s="141">
        <f t="shared" si="2"/>
        <v>28.662338709677417</v>
      </c>
      <c r="M43" s="141">
        <f t="shared" si="2"/>
        <v>36.864949596774188</v>
      </c>
      <c r="N43" s="141">
        <f t="shared" si="2"/>
        <v>118.99176747311827</v>
      </c>
      <c r="O43" s="141">
        <f t="shared" si="2"/>
        <v>2.0161290322580642E-4</v>
      </c>
      <c r="P43" s="141">
        <f t="shared" si="2"/>
        <v>0.80884072580645172</v>
      </c>
      <c r="Q43" s="141">
        <f t="shared" si="2"/>
        <v>28.092120295698919</v>
      </c>
      <c r="R43" s="141"/>
      <c r="S43" s="141"/>
      <c r="T43" s="141"/>
      <c r="U43" s="141"/>
    </row>
    <row r="44" spans="1:21" s="2" customFormat="1">
      <c r="A44" s="129" t="s">
        <v>51</v>
      </c>
      <c r="B44" s="141">
        <f t="shared" ref="B44:Q44" si="3">STDEV(B9:B39)</f>
        <v>2.7365706139823534</v>
      </c>
      <c r="C44" s="141">
        <f t="shared" si="3"/>
        <v>2.9602358171982579</v>
      </c>
      <c r="D44" s="141">
        <f t="shared" si="3"/>
        <v>3.230872717133582</v>
      </c>
      <c r="E44" s="141">
        <f t="shared" si="3"/>
        <v>2.5492502814614291</v>
      </c>
      <c r="F44" s="141" t="e">
        <f t="shared" si="3"/>
        <v>#DIV/0!</v>
      </c>
      <c r="G44" s="141">
        <f t="shared" si="3"/>
        <v>24.163892944494215</v>
      </c>
      <c r="H44" s="141">
        <f t="shared" si="3"/>
        <v>6.6242197409074404</v>
      </c>
      <c r="I44" s="141">
        <f t="shared" si="3"/>
        <v>1.6035645967800289</v>
      </c>
      <c r="J44" s="141">
        <f t="shared" si="3"/>
        <v>0.10162712939974636</v>
      </c>
      <c r="K44" s="141">
        <f t="shared" si="3"/>
        <v>44.129643423466035</v>
      </c>
      <c r="L44" s="141">
        <f t="shared" si="3"/>
        <v>2.1057722664122474</v>
      </c>
      <c r="M44" s="141">
        <f t="shared" si="3"/>
        <v>10.033461954869848</v>
      </c>
      <c r="N44" s="141">
        <f t="shared" si="3"/>
        <v>42.347896583865364</v>
      </c>
      <c r="O44" s="141">
        <f t="shared" si="3"/>
        <v>1.122533137667343E-3</v>
      </c>
      <c r="P44" s="141">
        <f t="shared" si="3"/>
        <v>0.10594674090423205</v>
      </c>
      <c r="Q44" s="141">
        <f t="shared" si="3"/>
        <v>0.43645342458488806</v>
      </c>
      <c r="R44" s="132"/>
      <c r="S44" s="132"/>
      <c r="T44" s="132"/>
      <c r="U44" s="132"/>
    </row>
    <row r="45" spans="1:21" s="2" customFormat="1">
      <c r="A45" s="129" t="s">
        <v>52</v>
      </c>
      <c r="B45" s="132">
        <f t="shared" ref="B45:Q45" si="4">COUNT(B9:B39)</f>
        <v>31</v>
      </c>
      <c r="C45" s="132">
        <f t="shared" si="4"/>
        <v>31</v>
      </c>
      <c r="D45" s="132">
        <f t="shared" si="4"/>
        <v>31</v>
      </c>
      <c r="E45" s="132">
        <f t="shared" si="4"/>
        <v>31</v>
      </c>
      <c r="F45" s="132">
        <f t="shared" si="4"/>
        <v>1</v>
      </c>
      <c r="G45" s="132">
        <f t="shared" si="4"/>
        <v>31</v>
      </c>
      <c r="H45" s="132">
        <f t="shared" si="4"/>
        <v>31</v>
      </c>
      <c r="I45" s="132">
        <f t="shared" si="4"/>
        <v>29</v>
      </c>
      <c r="J45" s="132">
        <f t="shared" si="4"/>
        <v>31</v>
      </c>
      <c r="K45" s="132">
        <f t="shared" si="4"/>
        <v>31</v>
      </c>
      <c r="L45" s="132">
        <f t="shared" si="4"/>
        <v>31</v>
      </c>
      <c r="M45" s="132">
        <f t="shared" si="4"/>
        <v>31</v>
      </c>
      <c r="N45" s="132">
        <f t="shared" si="4"/>
        <v>31</v>
      </c>
      <c r="O45" s="132">
        <f t="shared" si="4"/>
        <v>31</v>
      </c>
      <c r="P45" s="132">
        <f t="shared" si="4"/>
        <v>31</v>
      </c>
      <c r="Q45" s="132">
        <f t="shared" si="4"/>
        <v>31</v>
      </c>
      <c r="R45" s="132"/>
      <c r="S45" s="132"/>
      <c r="T45" s="132"/>
      <c r="U45" s="132"/>
    </row>
    <row r="46" spans="1:21">
      <c r="A46" s="129" t="s">
        <v>53</v>
      </c>
      <c r="B46" s="132" t="str">
        <f>IF(B45&gt;=28,"&gt;90%",IF(B45&lt;=28,"&lt;90%"))</f>
        <v>&gt;90%</v>
      </c>
      <c r="C46" s="132" t="str">
        <f t="shared" ref="C46:Q46" si="5">IF(C45&gt;=28,"&gt;90%",IF(C45&lt;=28,"&lt;90%"))</f>
        <v>&gt;90%</v>
      </c>
      <c r="D46" s="132" t="str">
        <f t="shared" si="5"/>
        <v>&gt;90%</v>
      </c>
      <c r="E46" s="132" t="str">
        <f t="shared" si="5"/>
        <v>&gt;90%</v>
      </c>
      <c r="F46" s="132" t="str">
        <f t="shared" si="5"/>
        <v>&lt;90%</v>
      </c>
      <c r="G46" s="132" t="str">
        <f t="shared" si="5"/>
        <v>&gt;90%</v>
      </c>
      <c r="H46" s="132" t="str">
        <f t="shared" si="5"/>
        <v>&gt;90%</v>
      </c>
      <c r="I46" s="132" t="str">
        <f t="shared" si="5"/>
        <v>&gt;90%</v>
      </c>
      <c r="J46" s="132" t="str">
        <f t="shared" si="5"/>
        <v>&gt;90%</v>
      </c>
      <c r="K46" s="132" t="str">
        <f t="shared" si="5"/>
        <v>&gt;90%</v>
      </c>
      <c r="L46" s="132" t="str">
        <f t="shared" si="5"/>
        <v>&gt;90%</v>
      </c>
      <c r="M46" s="132" t="str">
        <f t="shared" si="5"/>
        <v>&gt;90%</v>
      </c>
      <c r="N46" s="132" t="str">
        <f t="shared" si="5"/>
        <v>&gt;90%</v>
      </c>
      <c r="O46" s="132" t="str">
        <f t="shared" si="5"/>
        <v>&gt;90%</v>
      </c>
      <c r="P46" s="132" t="str">
        <f t="shared" si="5"/>
        <v>&gt;90%</v>
      </c>
      <c r="Q46" s="132" t="str">
        <f t="shared" si="5"/>
        <v>&gt;90%</v>
      </c>
      <c r="R46" s="132"/>
      <c r="S46" s="132"/>
      <c r="T46" s="132"/>
      <c r="U46" s="132"/>
    </row>
    <row r="47" spans="1:21">
      <c r="A47" s="129" t="s">
        <v>54</v>
      </c>
      <c r="B47" s="132" t="str">
        <f>IF(B45&gt;=28,"OK",IF(B45&lt;=28,"LESS"))</f>
        <v>OK</v>
      </c>
      <c r="C47" s="132" t="str">
        <f t="shared" ref="C47:Q47" si="6">IF(C45&gt;=28,"OK",IF(C45&lt;=28,"LESS"))</f>
        <v>OK</v>
      </c>
      <c r="D47" s="132" t="str">
        <f t="shared" si="6"/>
        <v>OK</v>
      </c>
      <c r="E47" s="132" t="str">
        <f t="shared" si="6"/>
        <v>OK</v>
      </c>
      <c r="F47" s="132" t="str">
        <f t="shared" si="6"/>
        <v>LESS</v>
      </c>
      <c r="G47" s="132" t="str">
        <f t="shared" si="6"/>
        <v>OK</v>
      </c>
      <c r="H47" s="132" t="str">
        <f t="shared" si="6"/>
        <v>OK</v>
      </c>
      <c r="I47" s="132" t="str">
        <f t="shared" si="6"/>
        <v>OK</v>
      </c>
      <c r="J47" s="132" t="str">
        <f t="shared" si="6"/>
        <v>OK</v>
      </c>
      <c r="K47" s="132" t="str">
        <f t="shared" si="6"/>
        <v>OK</v>
      </c>
      <c r="L47" s="132" t="str">
        <f t="shared" si="6"/>
        <v>OK</v>
      </c>
      <c r="M47" s="132" t="str">
        <f t="shared" si="6"/>
        <v>OK</v>
      </c>
      <c r="N47" s="132" t="str">
        <f t="shared" si="6"/>
        <v>OK</v>
      </c>
      <c r="O47" s="132" t="str">
        <f t="shared" si="6"/>
        <v>OK</v>
      </c>
      <c r="P47" s="132" t="str">
        <f t="shared" si="6"/>
        <v>OK</v>
      </c>
      <c r="Q47" s="132" t="str">
        <f t="shared" si="6"/>
        <v>OK</v>
      </c>
      <c r="R47" s="2"/>
      <c r="S47" s="2"/>
      <c r="T47" s="2"/>
    </row>
    <row r="48" spans="1:2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50" spans="1:16">
      <c r="A50" s="129" t="s">
        <v>55</v>
      </c>
      <c r="B50" s="167" t="s">
        <v>56</v>
      </c>
      <c r="C50" s="167"/>
      <c r="D50" s="167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142"/>
      <c r="B51" s="2"/>
      <c r="C51" s="2"/>
      <c r="D51" s="143"/>
      <c r="E51" s="143"/>
      <c r="F51" s="143"/>
      <c r="G51" s="143"/>
      <c r="H51" s="143"/>
      <c r="I51" s="143"/>
      <c r="J51" s="2"/>
      <c r="K51" s="2"/>
      <c r="L51" s="2"/>
      <c r="M51" s="2"/>
      <c r="N51" s="2"/>
      <c r="O51" s="2"/>
      <c r="P51" s="2"/>
    </row>
    <row r="52" spans="1:16" ht="15.75">
      <c r="A52" s="144" t="s">
        <v>57</v>
      </c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</row>
    <row r="53" spans="1:16">
      <c r="A53" s="14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14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>
      <c r="A55" s="14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</sheetData>
  <mergeCells count="2">
    <mergeCell ref="B50:D50"/>
    <mergeCell ref="B52:P52"/>
  </mergeCells>
  <pageMargins left="0.17" right="0.17" top="0.19" bottom="0.16" header="0.17" footer="0.16"/>
  <pageSetup paperSize="9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>
  <dimension ref="B1:X119"/>
  <sheetViews>
    <sheetView topLeftCell="A10" zoomScale="85" zoomScaleNormal="85" workbookViewId="0">
      <selection activeCell="J21" sqref="J21"/>
    </sheetView>
  </sheetViews>
  <sheetFormatPr defaultColWidth="8.85546875" defaultRowHeight="15"/>
  <cols>
    <col min="1" max="1" width="4.5703125" style="2" customWidth="1"/>
    <col min="2" max="2" width="16.140625" style="74" customWidth="1"/>
    <col min="3" max="3" width="10.28515625" style="2" customWidth="1"/>
    <col min="4" max="7" width="9.140625" style="2" customWidth="1"/>
    <col min="8" max="8" width="9.140625" style="76" customWidth="1"/>
    <col min="9" max="12" width="9.140625" style="2" customWidth="1"/>
    <col min="13" max="13" width="13.28515625" style="2" customWidth="1"/>
    <col min="14" max="14" width="5.7109375" style="2" customWidth="1"/>
    <col min="15" max="15" width="16.140625" style="77" customWidth="1"/>
    <col min="16" max="16" width="10.85546875" style="77" customWidth="1"/>
    <col min="17" max="17" width="15.42578125" style="77" customWidth="1"/>
    <col min="18" max="18" width="13.42578125" style="77" customWidth="1"/>
    <col min="19" max="19" width="16.85546875" style="78" customWidth="1"/>
    <col min="20" max="20" width="10" style="78" customWidth="1"/>
    <col min="21" max="21" width="12.85546875" style="77" customWidth="1"/>
    <col min="22" max="22" width="10.7109375" style="77" customWidth="1"/>
    <col min="23" max="23" width="8.85546875" style="2"/>
    <col min="24" max="24" width="10.85546875" style="2" customWidth="1"/>
    <col min="25" max="16384" width="8.85546875" style="2"/>
  </cols>
  <sheetData>
    <row r="1" spans="2:24" ht="24" customHeight="1">
      <c r="B1" s="2"/>
      <c r="C1" s="79" t="s">
        <v>60</v>
      </c>
      <c r="D1" s="170" t="s">
        <v>61</v>
      </c>
      <c r="E1" s="170"/>
      <c r="F1" s="170"/>
      <c r="G1" s="170"/>
      <c r="H1" s="170"/>
      <c r="I1" s="170"/>
      <c r="J1" s="171"/>
    </row>
    <row r="2" spans="2:24" ht="22.5" customHeight="1">
      <c r="B2" s="2"/>
      <c r="C2" s="79" t="s">
        <v>2</v>
      </c>
      <c r="D2" s="172" t="s">
        <v>62</v>
      </c>
      <c r="E2" s="173"/>
      <c r="F2" s="173"/>
      <c r="G2" s="173"/>
      <c r="H2" s="173"/>
      <c r="I2" s="173"/>
      <c r="J2" s="174"/>
    </row>
    <row r="4" spans="2:24">
      <c r="S4" s="77"/>
      <c r="T4" s="77"/>
      <c r="U4" s="78"/>
      <c r="V4" s="78"/>
      <c r="W4" s="77"/>
      <c r="X4" s="77"/>
    </row>
    <row r="5" spans="2:24">
      <c r="B5" s="80"/>
      <c r="C5" s="81"/>
      <c r="D5" s="81"/>
      <c r="E5" s="81"/>
      <c r="F5" s="81"/>
      <c r="G5" s="175" t="s">
        <v>63</v>
      </c>
      <c r="H5" s="175"/>
      <c r="I5" s="81"/>
      <c r="J5" s="81"/>
      <c r="K5" s="81"/>
      <c r="L5" s="81"/>
      <c r="M5" s="95"/>
      <c r="O5" s="96"/>
      <c r="P5" s="97"/>
      <c r="Q5" s="97"/>
      <c r="R5" s="97"/>
      <c r="S5" s="114" t="s">
        <v>64</v>
      </c>
      <c r="T5" s="97"/>
      <c r="U5" s="115"/>
      <c r="V5" s="115"/>
      <c r="W5" s="97"/>
      <c r="X5" s="116"/>
    </row>
    <row r="6" spans="2:24">
      <c r="B6" s="82"/>
      <c r="C6" s="6"/>
      <c r="D6" s="6"/>
      <c r="E6" s="6"/>
      <c r="F6" s="6"/>
      <c r="G6" s="6"/>
      <c r="H6" s="83"/>
      <c r="I6" s="6"/>
      <c r="J6" s="6"/>
      <c r="K6" s="6"/>
      <c r="L6" s="6"/>
      <c r="M6" s="98"/>
      <c r="O6" s="99"/>
      <c r="P6" s="100"/>
      <c r="Q6" s="100"/>
      <c r="R6" s="100"/>
      <c r="S6" s="100"/>
      <c r="T6" s="100"/>
      <c r="U6" s="117"/>
      <c r="V6" s="117"/>
      <c r="W6" s="100"/>
      <c r="X6" s="118"/>
    </row>
    <row r="7" spans="2:24" ht="15.75">
      <c r="B7" s="84" t="s">
        <v>65</v>
      </c>
      <c r="C7" s="85" t="s">
        <v>66</v>
      </c>
      <c r="D7" s="85" t="s">
        <v>67</v>
      </c>
      <c r="E7" s="85" t="s">
        <v>68</v>
      </c>
      <c r="F7" s="85" t="s">
        <v>69</v>
      </c>
      <c r="G7" s="85" t="s">
        <v>70</v>
      </c>
      <c r="H7" s="86" t="s">
        <v>71</v>
      </c>
      <c r="I7" s="85" t="s">
        <v>72</v>
      </c>
      <c r="J7" s="85" t="s">
        <v>73</v>
      </c>
      <c r="K7" s="85" t="s">
        <v>74</v>
      </c>
      <c r="L7" s="85" t="s">
        <v>54</v>
      </c>
      <c r="M7" s="33" t="s">
        <v>75</v>
      </c>
      <c r="O7" s="101" t="s">
        <v>65</v>
      </c>
      <c r="P7" s="102" t="s">
        <v>66</v>
      </c>
      <c r="Q7" s="102" t="s">
        <v>76</v>
      </c>
      <c r="R7" s="102" t="s">
        <v>11</v>
      </c>
      <c r="S7" s="102" t="s">
        <v>77</v>
      </c>
      <c r="T7" s="102" t="s">
        <v>78</v>
      </c>
      <c r="U7" s="119" t="s">
        <v>79</v>
      </c>
      <c r="V7" s="119" t="s">
        <v>80</v>
      </c>
      <c r="W7" s="102" t="s">
        <v>54</v>
      </c>
      <c r="X7" s="120" t="s">
        <v>75</v>
      </c>
    </row>
    <row r="8" spans="2:24" ht="15.75">
      <c r="B8" s="72">
        <v>45719.527777777781</v>
      </c>
      <c r="C8" s="6" t="s">
        <v>63</v>
      </c>
      <c r="D8" s="6" t="s">
        <v>39</v>
      </c>
      <c r="E8" s="6">
        <v>0</v>
      </c>
      <c r="F8" s="6">
        <v>200</v>
      </c>
      <c r="G8" s="6">
        <v>0</v>
      </c>
      <c r="H8" s="83">
        <v>189.2</v>
      </c>
      <c r="I8" s="6">
        <v>0</v>
      </c>
      <c r="J8" s="83">
        <f>F8/H8</f>
        <v>1.0570824524312896</v>
      </c>
      <c r="K8" s="83">
        <f>(H8-F8)*100/F8</f>
        <v>-5.4000000000000057</v>
      </c>
      <c r="L8" s="6" t="s">
        <v>81</v>
      </c>
      <c r="M8" s="103" t="s">
        <v>56</v>
      </c>
      <c r="O8" s="72">
        <v>45719.527777777781</v>
      </c>
      <c r="P8" s="100" t="s">
        <v>64</v>
      </c>
      <c r="Q8" s="100">
        <v>4624.9799999999996</v>
      </c>
      <c r="R8" s="100">
        <v>3562.11</v>
      </c>
      <c r="S8" s="100" t="s">
        <v>82</v>
      </c>
      <c r="T8" s="100">
        <v>878.04</v>
      </c>
      <c r="U8" s="117">
        <v>0.98809999999999998</v>
      </c>
      <c r="V8" s="117">
        <v>0.97230000000000005</v>
      </c>
      <c r="W8" s="6" t="s">
        <v>81</v>
      </c>
      <c r="X8" s="103" t="s">
        <v>56</v>
      </c>
    </row>
    <row r="9" spans="2:24" ht="15.75">
      <c r="B9" s="72">
        <v>45723.509722222225</v>
      </c>
      <c r="C9" s="6" t="s">
        <v>63</v>
      </c>
      <c r="D9" s="6" t="s">
        <v>39</v>
      </c>
      <c r="E9" s="6">
        <v>0</v>
      </c>
      <c r="F9" s="6">
        <v>200</v>
      </c>
      <c r="G9" s="6">
        <v>0</v>
      </c>
      <c r="H9" s="83">
        <v>198.3</v>
      </c>
      <c r="I9" s="6">
        <v>0</v>
      </c>
      <c r="J9" s="83">
        <f t="shared" ref="J9:J14" si="0">F9/H9</f>
        <v>1.0085728693898133</v>
      </c>
      <c r="K9" s="83">
        <f t="shared" ref="K9:K14" si="1">(H9-F9)*100/F9</f>
        <v>-0.84999999999999432</v>
      </c>
      <c r="L9" s="6" t="s">
        <v>81</v>
      </c>
      <c r="M9" s="103" t="s">
        <v>56</v>
      </c>
      <c r="O9" s="72">
        <v>45723.509722222225</v>
      </c>
      <c r="P9" s="100" t="s">
        <v>64</v>
      </c>
      <c r="Q9" s="100">
        <v>4525.3</v>
      </c>
      <c r="R9" s="100">
        <v>3469.36</v>
      </c>
      <c r="S9" s="100" t="s">
        <v>82</v>
      </c>
      <c r="T9" s="100">
        <v>874.11</v>
      </c>
      <c r="U9" s="117">
        <v>0.97230000000000005</v>
      </c>
      <c r="V9" s="117">
        <v>0.96099999999999997</v>
      </c>
      <c r="W9" s="6" t="s">
        <v>81</v>
      </c>
      <c r="X9" s="103" t="s">
        <v>56</v>
      </c>
    </row>
    <row r="10" spans="2:24" ht="15.75">
      <c r="B10" s="72">
        <v>45743.5</v>
      </c>
      <c r="C10" s="6" t="s">
        <v>63</v>
      </c>
      <c r="D10" s="6" t="s">
        <v>39</v>
      </c>
      <c r="E10" s="6">
        <v>0</v>
      </c>
      <c r="F10" s="6">
        <v>200</v>
      </c>
      <c r="G10" s="6">
        <v>0</v>
      </c>
      <c r="H10" s="83">
        <v>200.3</v>
      </c>
      <c r="I10" s="6">
        <v>0</v>
      </c>
      <c r="J10" s="83">
        <f t="shared" si="0"/>
        <v>0.99850224663005482</v>
      </c>
      <c r="K10" s="83">
        <f t="shared" si="1"/>
        <v>0.15000000000000568</v>
      </c>
      <c r="L10" s="6" t="s">
        <v>81</v>
      </c>
      <c r="M10" s="103" t="s">
        <v>56</v>
      </c>
      <c r="O10" s="72">
        <v>45743.5</v>
      </c>
      <c r="P10" s="100" t="s">
        <v>64</v>
      </c>
      <c r="Q10" s="100">
        <v>4796.2</v>
      </c>
      <c r="R10" s="100">
        <v>3697.16</v>
      </c>
      <c r="S10" s="100" t="s">
        <v>82</v>
      </c>
      <c r="T10" s="100">
        <v>844.44</v>
      </c>
      <c r="U10" s="117">
        <v>0.96099999999999997</v>
      </c>
      <c r="V10" s="117">
        <v>0.98329999999999995</v>
      </c>
      <c r="W10" s="6" t="s">
        <v>81</v>
      </c>
      <c r="X10" s="103" t="s">
        <v>56</v>
      </c>
    </row>
    <row r="11" spans="2:24" ht="15.75">
      <c r="B11" s="72"/>
      <c r="C11" s="6" t="s">
        <v>63</v>
      </c>
      <c r="D11" s="6" t="s">
        <v>39</v>
      </c>
      <c r="E11" s="6">
        <v>0</v>
      </c>
      <c r="F11" s="6">
        <v>200</v>
      </c>
      <c r="G11" s="6">
        <v>0</v>
      </c>
      <c r="H11" s="83"/>
      <c r="I11" s="6">
        <v>0</v>
      </c>
      <c r="J11" s="83" t="e">
        <f t="shared" si="0"/>
        <v>#DIV/0!</v>
      </c>
      <c r="K11" s="83">
        <f t="shared" si="1"/>
        <v>-100</v>
      </c>
      <c r="L11" s="6" t="s">
        <v>81</v>
      </c>
      <c r="M11" s="103" t="s">
        <v>56</v>
      </c>
      <c r="O11" s="72"/>
      <c r="P11" s="100" t="s">
        <v>64</v>
      </c>
      <c r="Q11" s="100"/>
      <c r="R11" s="100"/>
      <c r="S11" s="100" t="s">
        <v>82</v>
      </c>
      <c r="T11" s="100"/>
      <c r="U11" s="117"/>
      <c r="V11" s="117"/>
      <c r="W11" s="6" t="s">
        <v>81</v>
      </c>
      <c r="X11" s="103" t="s">
        <v>56</v>
      </c>
    </row>
    <row r="12" spans="2:24" ht="15.75">
      <c r="B12" s="72"/>
      <c r="C12" s="6" t="s">
        <v>63</v>
      </c>
      <c r="D12" s="6" t="s">
        <v>39</v>
      </c>
      <c r="E12" s="6">
        <v>0</v>
      </c>
      <c r="F12" s="6">
        <v>200</v>
      </c>
      <c r="G12" s="6">
        <v>0</v>
      </c>
      <c r="H12" s="83"/>
      <c r="I12" s="6">
        <v>0</v>
      </c>
      <c r="J12" s="83" t="e">
        <f t="shared" si="0"/>
        <v>#DIV/0!</v>
      </c>
      <c r="K12" s="83">
        <f t="shared" si="1"/>
        <v>-100</v>
      </c>
      <c r="L12" s="6" t="s">
        <v>81</v>
      </c>
      <c r="M12" s="103" t="s">
        <v>56</v>
      </c>
      <c r="O12" s="72"/>
      <c r="P12" s="100" t="s">
        <v>64</v>
      </c>
      <c r="Q12" s="100"/>
      <c r="R12" s="100"/>
      <c r="S12" s="100" t="s">
        <v>82</v>
      </c>
      <c r="T12" s="100"/>
      <c r="U12" s="117"/>
      <c r="V12" s="117"/>
      <c r="W12" s="6" t="s">
        <v>81</v>
      </c>
      <c r="X12" s="103" t="s">
        <v>56</v>
      </c>
    </row>
    <row r="13" spans="2:24" ht="15.75">
      <c r="B13" s="72"/>
      <c r="C13" s="6" t="s">
        <v>63</v>
      </c>
      <c r="D13" s="6" t="s">
        <v>39</v>
      </c>
      <c r="E13" s="6">
        <v>0</v>
      </c>
      <c r="F13" s="6">
        <v>200</v>
      </c>
      <c r="G13" s="6">
        <v>0</v>
      </c>
      <c r="H13" s="83"/>
      <c r="I13" s="6">
        <v>0</v>
      </c>
      <c r="J13" s="83" t="e">
        <f t="shared" si="0"/>
        <v>#DIV/0!</v>
      </c>
      <c r="K13" s="83">
        <f t="shared" si="1"/>
        <v>-100</v>
      </c>
      <c r="L13" s="6" t="s">
        <v>81</v>
      </c>
      <c r="M13" s="103" t="s">
        <v>56</v>
      </c>
      <c r="O13" s="72"/>
      <c r="P13" s="100" t="s">
        <v>64</v>
      </c>
      <c r="Q13" s="100"/>
      <c r="R13" s="100"/>
      <c r="S13" s="100" t="s">
        <v>82</v>
      </c>
      <c r="T13" s="100"/>
      <c r="U13" s="117"/>
      <c r="V13" s="117"/>
      <c r="W13" s="6" t="s">
        <v>81</v>
      </c>
      <c r="X13" s="103" t="s">
        <v>56</v>
      </c>
    </row>
    <row r="14" spans="2:24" ht="15.75">
      <c r="B14" s="72"/>
      <c r="C14" s="6" t="s">
        <v>63</v>
      </c>
      <c r="D14" s="6" t="s">
        <v>39</v>
      </c>
      <c r="E14" s="6">
        <v>0</v>
      </c>
      <c r="F14" s="6">
        <v>200</v>
      </c>
      <c r="G14" s="6">
        <v>0</v>
      </c>
      <c r="H14" s="83"/>
      <c r="I14" s="6">
        <v>0</v>
      </c>
      <c r="J14" s="83" t="e">
        <f t="shared" si="0"/>
        <v>#DIV/0!</v>
      </c>
      <c r="K14" s="83">
        <f t="shared" si="1"/>
        <v>-100</v>
      </c>
      <c r="L14" s="6" t="s">
        <v>81</v>
      </c>
      <c r="M14" s="103" t="s">
        <v>56</v>
      </c>
      <c r="O14" s="72"/>
      <c r="P14" s="100" t="s">
        <v>64</v>
      </c>
      <c r="Q14" s="100"/>
      <c r="R14" s="100"/>
      <c r="S14" s="100" t="s">
        <v>82</v>
      </c>
      <c r="T14" s="100"/>
      <c r="U14" s="117"/>
      <c r="V14" s="117"/>
      <c r="W14" s="6" t="s">
        <v>81</v>
      </c>
      <c r="X14" s="103" t="s">
        <v>56</v>
      </c>
    </row>
    <row r="15" spans="2:24" ht="15.75">
      <c r="B15" s="72"/>
      <c r="C15" s="6"/>
      <c r="D15" s="6"/>
      <c r="E15" s="6"/>
      <c r="F15" s="6"/>
      <c r="G15" s="6"/>
      <c r="H15" s="83"/>
      <c r="I15" s="6"/>
      <c r="J15" s="83"/>
      <c r="K15" s="83"/>
      <c r="L15" s="6"/>
      <c r="M15" s="104"/>
      <c r="O15" s="72"/>
      <c r="P15" s="100" t="s">
        <v>64</v>
      </c>
      <c r="Q15" s="100"/>
      <c r="R15" s="100"/>
      <c r="S15" s="100" t="s">
        <v>82</v>
      </c>
      <c r="T15" s="100"/>
      <c r="U15" s="117"/>
      <c r="V15" s="117"/>
      <c r="W15" s="6" t="s">
        <v>81</v>
      </c>
      <c r="X15" s="103"/>
    </row>
    <row r="16" spans="2:24" ht="15.75">
      <c r="B16" s="72"/>
      <c r="C16" s="6"/>
      <c r="D16" s="6"/>
      <c r="E16" s="6"/>
      <c r="F16" s="6"/>
      <c r="G16" s="6"/>
      <c r="H16" s="83"/>
      <c r="I16" s="6"/>
      <c r="J16" s="83"/>
      <c r="K16" s="83"/>
      <c r="L16" s="6"/>
      <c r="M16" s="104"/>
      <c r="O16" s="72"/>
      <c r="P16" s="100" t="s">
        <v>64</v>
      </c>
      <c r="Q16" s="100"/>
      <c r="R16" s="100"/>
      <c r="S16" s="100" t="s">
        <v>82</v>
      </c>
      <c r="T16" s="100"/>
      <c r="U16" s="117"/>
      <c r="V16" s="117"/>
      <c r="W16" s="6" t="s">
        <v>81</v>
      </c>
      <c r="X16" s="103"/>
    </row>
    <row r="17" spans="2:24" ht="15.75">
      <c r="B17" s="72"/>
      <c r="C17" s="6"/>
      <c r="D17" s="6"/>
      <c r="E17" s="6"/>
      <c r="F17" s="6"/>
      <c r="G17" s="6"/>
      <c r="H17" s="83"/>
      <c r="I17" s="6"/>
      <c r="J17" s="83"/>
      <c r="K17" s="83"/>
      <c r="L17" s="6"/>
      <c r="M17" s="104"/>
      <c r="O17" s="72"/>
      <c r="P17" s="100" t="s">
        <v>64</v>
      </c>
      <c r="Q17" s="100"/>
      <c r="R17" s="100"/>
      <c r="S17" s="100" t="s">
        <v>82</v>
      </c>
      <c r="T17" s="100"/>
      <c r="U17" s="117"/>
      <c r="V17" s="117"/>
      <c r="W17" s="6"/>
      <c r="X17" s="103"/>
    </row>
    <row r="18" spans="2:24" ht="15.75">
      <c r="B18" s="72"/>
      <c r="C18" s="6"/>
      <c r="D18" s="6"/>
      <c r="E18" s="6"/>
      <c r="F18" s="6"/>
      <c r="G18" s="6"/>
      <c r="H18" s="83"/>
      <c r="I18" s="6"/>
      <c r="J18" s="83"/>
      <c r="K18" s="83"/>
      <c r="L18" s="6"/>
      <c r="M18" s="104"/>
      <c r="O18" s="70"/>
      <c r="P18" s="100"/>
      <c r="Q18" s="100"/>
      <c r="R18" s="100"/>
      <c r="S18" s="100"/>
      <c r="T18" s="100"/>
      <c r="U18" s="117"/>
      <c r="V18" s="117"/>
      <c r="W18" s="6"/>
      <c r="X18" s="103"/>
    </row>
    <row r="19" spans="2:24" ht="15.75">
      <c r="B19" s="72"/>
      <c r="C19" s="6"/>
      <c r="D19" s="6"/>
      <c r="E19" s="6"/>
      <c r="F19" s="6"/>
      <c r="G19" s="6"/>
      <c r="H19" s="83"/>
      <c r="I19" s="6"/>
      <c r="J19" s="83"/>
      <c r="K19" s="83"/>
      <c r="L19" s="6"/>
      <c r="M19" s="104"/>
      <c r="O19" s="105"/>
      <c r="P19" s="100"/>
      <c r="Q19" s="100"/>
      <c r="R19" s="100"/>
      <c r="S19" s="100"/>
      <c r="T19" s="100"/>
      <c r="U19" s="117"/>
      <c r="V19" s="117"/>
      <c r="W19" s="6"/>
      <c r="X19" s="103"/>
    </row>
    <row r="20" spans="2:24" ht="15.75">
      <c r="B20" s="72"/>
      <c r="C20" s="6"/>
      <c r="D20" s="6"/>
      <c r="E20" s="6"/>
      <c r="F20" s="6"/>
      <c r="G20" s="6"/>
      <c r="H20" s="83"/>
      <c r="I20" s="6"/>
      <c r="J20" s="83"/>
      <c r="K20" s="83"/>
      <c r="L20" s="6"/>
      <c r="M20" s="104"/>
      <c r="O20" s="105"/>
      <c r="P20" s="100"/>
      <c r="Q20" s="100"/>
      <c r="R20" s="100"/>
      <c r="S20" s="100"/>
      <c r="T20" s="100"/>
      <c r="U20" s="117"/>
      <c r="V20" s="117"/>
      <c r="W20" s="6"/>
      <c r="X20" s="103"/>
    </row>
    <row r="21" spans="2:24">
      <c r="B21" s="87"/>
      <c r="C21" s="176" t="s">
        <v>83</v>
      </c>
      <c r="D21" s="176"/>
      <c r="E21" s="176"/>
      <c r="F21" s="176"/>
      <c r="G21" s="176"/>
      <c r="H21" s="176"/>
      <c r="I21" s="106">
        <f>COUNT(B8:B20)</f>
        <v>3</v>
      </c>
      <c r="J21" s="107"/>
      <c r="K21" s="107"/>
      <c r="L21" s="94"/>
      <c r="M21" s="108"/>
      <c r="O21" s="109"/>
      <c r="P21" s="177" t="s">
        <v>84</v>
      </c>
      <c r="Q21" s="177"/>
      <c r="R21" s="177"/>
      <c r="S21" s="177"/>
      <c r="T21" s="121">
        <f>COUNT(O8:O20)</f>
        <v>3</v>
      </c>
      <c r="U21" s="122"/>
      <c r="V21" s="122"/>
      <c r="W21" s="123"/>
      <c r="X21" s="124"/>
    </row>
    <row r="22" spans="2:24">
      <c r="C22" s="88"/>
      <c r="D22" s="88"/>
      <c r="E22" s="88"/>
      <c r="F22" s="88"/>
      <c r="G22" s="88"/>
      <c r="H22" s="89"/>
      <c r="J22" s="76"/>
      <c r="K22" s="76"/>
      <c r="S22" s="77"/>
      <c r="T22" s="77"/>
      <c r="U22" s="78"/>
      <c r="V22" s="78"/>
      <c r="W22" s="77"/>
      <c r="X22" s="77"/>
    </row>
    <row r="23" spans="2:24">
      <c r="J23" s="76"/>
      <c r="K23" s="76"/>
      <c r="S23" s="77"/>
      <c r="T23" s="77"/>
      <c r="U23" s="78"/>
      <c r="V23" s="78"/>
      <c r="W23" s="77"/>
      <c r="X23" s="77"/>
    </row>
    <row r="24" spans="2:24">
      <c r="B24" s="80"/>
      <c r="C24" s="90"/>
      <c r="D24" s="90"/>
      <c r="E24" s="90"/>
      <c r="F24" s="90"/>
      <c r="G24" s="178" t="s">
        <v>85</v>
      </c>
      <c r="H24" s="178"/>
      <c r="I24" s="81"/>
      <c r="J24" s="110"/>
      <c r="K24" s="110"/>
      <c r="L24" s="81"/>
      <c r="M24" s="95"/>
      <c r="O24" s="96"/>
      <c r="P24" s="97"/>
      <c r="Q24" s="97"/>
      <c r="R24" s="97"/>
      <c r="S24" s="114" t="s">
        <v>29</v>
      </c>
      <c r="T24" s="97"/>
      <c r="U24" s="115"/>
      <c r="V24" s="115"/>
      <c r="W24" s="97"/>
      <c r="X24" s="116"/>
    </row>
    <row r="25" spans="2:24">
      <c r="B25" s="91"/>
      <c r="C25" s="92"/>
      <c r="D25" s="92"/>
      <c r="E25" s="92"/>
      <c r="F25" s="92"/>
      <c r="G25" s="93"/>
      <c r="H25" s="93"/>
      <c r="I25" s="93"/>
      <c r="J25" s="111"/>
      <c r="K25" s="111"/>
      <c r="L25" s="93"/>
      <c r="M25" s="112"/>
      <c r="O25" s="99"/>
      <c r="P25" s="100"/>
      <c r="Q25" s="100"/>
      <c r="R25" s="100"/>
      <c r="S25" s="100"/>
      <c r="T25" s="100"/>
      <c r="U25" s="117"/>
      <c r="V25" s="117"/>
      <c r="W25" s="100"/>
      <c r="X25" s="118"/>
    </row>
    <row r="26" spans="2:24" ht="15.75">
      <c r="B26" s="84" t="s">
        <v>65</v>
      </c>
      <c r="C26" s="85" t="s">
        <v>66</v>
      </c>
      <c r="D26" s="85" t="s">
        <v>67</v>
      </c>
      <c r="E26" s="85" t="s">
        <v>68</v>
      </c>
      <c r="F26" s="85" t="s">
        <v>69</v>
      </c>
      <c r="G26" s="85" t="s">
        <v>70</v>
      </c>
      <c r="H26" s="86" t="s">
        <v>71</v>
      </c>
      <c r="I26" s="85" t="s">
        <v>72</v>
      </c>
      <c r="J26" s="85" t="s">
        <v>73</v>
      </c>
      <c r="K26" s="85" t="s">
        <v>74</v>
      </c>
      <c r="L26" s="85" t="s">
        <v>54</v>
      </c>
      <c r="M26" s="33" t="s">
        <v>75</v>
      </c>
      <c r="O26" s="101" t="s">
        <v>65</v>
      </c>
      <c r="P26" s="102" t="s">
        <v>66</v>
      </c>
      <c r="Q26" s="102" t="s">
        <v>76</v>
      </c>
      <c r="R26" s="102" t="s">
        <v>11</v>
      </c>
      <c r="S26" s="102" t="s">
        <v>77</v>
      </c>
      <c r="T26" s="102" t="s">
        <v>78</v>
      </c>
      <c r="U26" s="119" t="s">
        <v>79</v>
      </c>
      <c r="V26" s="119" t="s">
        <v>80</v>
      </c>
      <c r="W26" s="102" t="s">
        <v>54</v>
      </c>
      <c r="X26" s="120" t="s">
        <v>75</v>
      </c>
    </row>
    <row r="27" spans="2:24" ht="15.75">
      <c r="B27" s="72">
        <v>45719.5625</v>
      </c>
      <c r="C27" s="6" t="s">
        <v>86</v>
      </c>
      <c r="D27" s="6" t="s">
        <v>39</v>
      </c>
      <c r="E27" s="6">
        <v>0</v>
      </c>
      <c r="F27" s="6">
        <v>200</v>
      </c>
      <c r="G27" s="6"/>
      <c r="H27" s="83">
        <v>200.1</v>
      </c>
      <c r="I27" s="6">
        <v>0</v>
      </c>
      <c r="J27" s="83">
        <f>F27/H27</f>
        <v>0.99950024987506247</v>
      </c>
      <c r="K27" s="83">
        <f>(H27-F27)*100/F27</f>
        <v>4.9999999999997158E-2</v>
      </c>
      <c r="L27" s="6" t="s">
        <v>81</v>
      </c>
      <c r="M27" s="103" t="s">
        <v>56</v>
      </c>
      <c r="O27" s="72">
        <v>45719.527777777781</v>
      </c>
      <c r="P27" s="100" t="s">
        <v>29</v>
      </c>
      <c r="Q27" s="100">
        <v>4649.28</v>
      </c>
      <c r="R27" s="100">
        <v>3634.87</v>
      </c>
      <c r="S27" s="100" t="s">
        <v>87</v>
      </c>
      <c r="T27" s="100">
        <v>781.92</v>
      </c>
      <c r="U27" s="117">
        <v>0.93310000000000004</v>
      </c>
      <c r="V27" s="117">
        <v>0.9415</v>
      </c>
      <c r="W27" s="6" t="s">
        <v>81</v>
      </c>
      <c r="X27" s="103" t="s">
        <v>56</v>
      </c>
    </row>
    <row r="28" spans="2:24" ht="15.75">
      <c r="B28" s="72">
        <v>45723.555555555555</v>
      </c>
      <c r="C28" s="6" t="s">
        <v>86</v>
      </c>
      <c r="D28" s="6" t="s">
        <v>39</v>
      </c>
      <c r="E28" s="6">
        <v>0</v>
      </c>
      <c r="F28" s="6">
        <v>200</v>
      </c>
      <c r="G28" s="6"/>
      <c r="H28" s="83">
        <v>199.4</v>
      </c>
      <c r="I28" s="6">
        <v>0</v>
      </c>
      <c r="J28" s="83">
        <f t="shared" ref="J28:J33" si="2">F28/H28</f>
        <v>1.0030090270812437</v>
      </c>
      <c r="K28" s="83">
        <f t="shared" ref="K28:K33" si="3">(H28-F28)*100/F28</f>
        <v>-0.29999999999999716</v>
      </c>
      <c r="L28" s="6" t="s">
        <v>81</v>
      </c>
      <c r="M28" s="103" t="s">
        <v>56</v>
      </c>
      <c r="O28" s="72">
        <v>45723.509722222225</v>
      </c>
      <c r="P28" s="100" t="s">
        <v>29</v>
      </c>
      <c r="Q28" s="100">
        <v>4917</v>
      </c>
      <c r="R28" s="100">
        <v>3835.38</v>
      </c>
      <c r="S28" s="100" t="s">
        <v>87</v>
      </c>
      <c r="T28" s="100">
        <v>791.29</v>
      </c>
      <c r="U28" s="117">
        <v>0.9415</v>
      </c>
      <c r="V28" s="117">
        <v>0.93879999999999997</v>
      </c>
      <c r="W28" s="6" t="s">
        <v>81</v>
      </c>
      <c r="X28" s="103" t="s">
        <v>56</v>
      </c>
    </row>
    <row r="29" spans="2:24" ht="15.75">
      <c r="B29" s="72">
        <v>45743.548611111109</v>
      </c>
      <c r="C29" s="6" t="s">
        <v>86</v>
      </c>
      <c r="D29" s="6" t="s">
        <v>39</v>
      </c>
      <c r="E29" s="6">
        <v>0</v>
      </c>
      <c r="F29" s="6">
        <v>200</v>
      </c>
      <c r="G29" s="6"/>
      <c r="H29" s="83">
        <v>199.6</v>
      </c>
      <c r="I29" s="6">
        <v>0</v>
      </c>
      <c r="J29" s="83">
        <f t="shared" si="2"/>
        <v>1.0020040080160322</v>
      </c>
      <c r="K29" s="83">
        <f t="shared" si="3"/>
        <v>-0.20000000000000284</v>
      </c>
      <c r="L29" s="6" t="s">
        <v>81</v>
      </c>
      <c r="M29" s="103" t="s">
        <v>56</v>
      </c>
      <c r="O29" s="72">
        <v>45743.5</v>
      </c>
      <c r="P29" s="100" t="s">
        <v>29</v>
      </c>
      <c r="Q29" s="100">
        <v>4654.62</v>
      </c>
      <c r="R29" s="100">
        <v>3634.31</v>
      </c>
      <c r="S29" s="100" t="s">
        <v>87</v>
      </c>
      <c r="T29" s="100">
        <v>782.42</v>
      </c>
      <c r="U29" s="117">
        <v>0.93879999999999997</v>
      </c>
      <c r="V29" s="117">
        <v>0.94669999999999999</v>
      </c>
      <c r="W29" s="6" t="s">
        <v>81</v>
      </c>
      <c r="X29" s="103" t="s">
        <v>56</v>
      </c>
    </row>
    <row r="30" spans="2:24" ht="15.75">
      <c r="B30" s="72"/>
      <c r="C30" s="6" t="s">
        <v>86</v>
      </c>
      <c r="D30" s="6" t="s">
        <v>39</v>
      </c>
      <c r="E30" s="6">
        <v>0</v>
      </c>
      <c r="F30" s="6">
        <v>200</v>
      </c>
      <c r="G30" s="6"/>
      <c r="H30" s="83"/>
      <c r="I30" s="6">
        <v>0</v>
      </c>
      <c r="J30" s="83" t="e">
        <f t="shared" si="2"/>
        <v>#DIV/0!</v>
      </c>
      <c r="K30" s="83">
        <f t="shared" si="3"/>
        <v>-100</v>
      </c>
      <c r="L30" s="6" t="s">
        <v>81</v>
      </c>
      <c r="M30" s="103" t="s">
        <v>56</v>
      </c>
      <c r="O30" s="72"/>
      <c r="P30" s="100" t="s">
        <v>29</v>
      </c>
      <c r="Q30" s="100"/>
      <c r="R30" s="100"/>
      <c r="S30" s="100" t="s">
        <v>87</v>
      </c>
      <c r="T30" s="100"/>
      <c r="U30" s="117"/>
      <c r="V30" s="117"/>
      <c r="W30" s="6" t="s">
        <v>81</v>
      </c>
      <c r="X30" s="103" t="s">
        <v>56</v>
      </c>
    </row>
    <row r="31" spans="2:24" ht="15.75">
      <c r="B31" s="72"/>
      <c r="C31" s="6" t="s">
        <v>86</v>
      </c>
      <c r="D31" s="6" t="s">
        <v>39</v>
      </c>
      <c r="E31" s="6">
        <v>0</v>
      </c>
      <c r="F31" s="6">
        <v>200</v>
      </c>
      <c r="G31" s="6"/>
      <c r="H31" s="83"/>
      <c r="I31" s="6">
        <v>0</v>
      </c>
      <c r="J31" s="83" t="e">
        <f t="shared" si="2"/>
        <v>#DIV/0!</v>
      </c>
      <c r="K31" s="83">
        <f t="shared" si="3"/>
        <v>-100</v>
      </c>
      <c r="L31" s="6" t="s">
        <v>81</v>
      </c>
      <c r="M31" s="103" t="s">
        <v>56</v>
      </c>
      <c r="O31" s="72"/>
      <c r="P31" s="100" t="s">
        <v>29</v>
      </c>
      <c r="Q31" s="100"/>
      <c r="R31" s="100"/>
      <c r="S31" s="100" t="s">
        <v>87</v>
      </c>
      <c r="T31" s="100"/>
      <c r="U31" s="117"/>
      <c r="V31" s="117"/>
      <c r="W31" s="6" t="s">
        <v>81</v>
      </c>
      <c r="X31" s="103" t="s">
        <v>56</v>
      </c>
    </row>
    <row r="32" spans="2:24" ht="15.75">
      <c r="B32" s="72"/>
      <c r="C32" s="6" t="s">
        <v>86</v>
      </c>
      <c r="D32" s="6" t="s">
        <v>39</v>
      </c>
      <c r="E32" s="6">
        <v>0</v>
      </c>
      <c r="F32" s="6">
        <v>200</v>
      </c>
      <c r="G32" s="6"/>
      <c r="H32" s="83"/>
      <c r="I32" s="6">
        <v>0</v>
      </c>
      <c r="J32" s="83" t="e">
        <f t="shared" si="2"/>
        <v>#DIV/0!</v>
      </c>
      <c r="K32" s="83">
        <f t="shared" si="3"/>
        <v>-100</v>
      </c>
      <c r="L32" s="6" t="s">
        <v>81</v>
      </c>
      <c r="M32" s="103" t="s">
        <v>56</v>
      </c>
      <c r="O32" s="72"/>
      <c r="P32" s="100" t="s">
        <v>29</v>
      </c>
      <c r="Q32" s="100"/>
      <c r="R32" s="100"/>
      <c r="S32" s="100" t="s">
        <v>87</v>
      </c>
      <c r="T32" s="100"/>
      <c r="U32" s="117"/>
      <c r="V32" s="117"/>
      <c r="W32" s="6" t="s">
        <v>81</v>
      </c>
      <c r="X32" s="103" t="s">
        <v>56</v>
      </c>
    </row>
    <row r="33" spans="2:24" ht="15.75">
      <c r="B33" s="72"/>
      <c r="C33" s="6" t="s">
        <v>86</v>
      </c>
      <c r="D33" s="6" t="s">
        <v>39</v>
      </c>
      <c r="E33" s="6">
        <v>0</v>
      </c>
      <c r="F33" s="6">
        <v>200</v>
      </c>
      <c r="G33" s="6"/>
      <c r="H33" s="83"/>
      <c r="I33" s="6">
        <v>0</v>
      </c>
      <c r="J33" s="83" t="e">
        <f t="shared" si="2"/>
        <v>#DIV/0!</v>
      </c>
      <c r="K33" s="83">
        <f t="shared" si="3"/>
        <v>-100</v>
      </c>
      <c r="L33" s="6" t="s">
        <v>81</v>
      </c>
      <c r="M33" s="103" t="s">
        <v>56</v>
      </c>
      <c r="O33" s="72"/>
      <c r="P33" s="100" t="s">
        <v>29</v>
      </c>
      <c r="Q33" s="100"/>
      <c r="R33" s="100"/>
      <c r="S33" s="100" t="s">
        <v>87</v>
      </c>
      <c r="T33" s="100"/>
      <c r="U33" s="117"/>
      <c r="V33" s="117"/>
      <c r="W33" s="6" t="s">
        <v>81</v>
      </c>
      <c r="X33" s="103" t="s">
        <v>56</v>
      </c>
    </row>
    <row r="34" spans="2:24" ht="15.75">
      <c r="B34" s="72"/>
      <c r="C34" s="6"/>
      <c r="D34" s="6"/>
      <c r="E34" s="6"/>
      <c r="F34" s="6"/>
      <c r="G34" s="6"/>
      <c r="H34" s="83"/>
      <c r="I34" s="6"/>
      <c r="J34" s="83"/>
      <c r="K34" s="83"/>
      <c r="L34" s="6"/>
      <c r="M34" s="104"/>
      <c r="O34" s="72"/>
      <c r="P34" s="100" t="s">
        <v>29</v>
      </c>
      <c r="Q34" s="100"/>
      <c r="R34" s="100"/>
      <c r="S34" s="100" t="s">
        <v>87</v>
      </c>
      <c r="T34" s="100"/>
      <c r="U34" s="117"/>
      <c r="V34" s="117"/>
      <c r="W34" s="6" t="s">
        <v>81</v>
      </c>
      <c r="X34" s="103"/>
    </row>
    <row r="35" spans="2:24" ht="15.75">
      <c r="B35" s="72"/>
      <c r="C35" s="6"/>
      <c r="D35" s="6"/>
      <c r="E35" s="6"/>
      <c r="F35" s="6"/>
      <c r="G35" s="6"/>
      <c r="H35" s="83"/>
      <c r="I35" s="6"/>
      <c r="J35" s="83"/>
      <c r="K35" s="83"/>
      <c r="L35" s="6"/>
      <c r="M35" s="104"/>
      <c r="O35" s="72"/>
      <c r="P35" s="100" t="s">
        <v>29</v>
      </c>
      <c r="Q35" s="100"/>
      <c r="R35" s="100"/>
      <c r="S35" s="100" t="s">
        <v>87</v>
      </c>
      <c r="T35" s="100"/>
      <c r="U35" s="117"/>
      <c r="V35" s="117"/>
      <c r="W35" s="6" t="s">
        <v>81</v>
      </c>
      <c r="X35" s="103"/>
    </row>
    <row r="36" spans="2:24" ht="15.75">
      <c r="B36" s="72"/>
      <c r="C36" s="6"/>
      <c r="D36" s="6"/>
      <c r="E36" s="6"/>
      <c r="F36" s="6"/>
      <c r="G36" s="6"/>
      <c r="H36" s="83"/>
      <c r="I36" s="6"/>
      <c r="J36" s="83"/>
      <c r="K36" s="83"/>
      <c r="L36" s="6"/>
      <c r="M36" s="104"/>
      <c r="O36" s="72"/>
      <c r="P36" s="100" t="s">
        <v>29</v>
      </c>
      <c r="Q36" s="100"/>
      <c r="R36" s="100"/>
      <c r="S36" s="100" t="s">
        <v>87</v>
      </c>
      <c r="T36" s="100"/>
      <c r="U36" s="117"/>
      <c r="V36" s="117"/>
      <c r="W36" s="6"/>
      <c r="X36" s="103"/>
    </row>
    <row r="37" spans="2:24" ht="15.75">
      <c r="B37" s="72"/>
      <c r="C37" s="6"/>
      <c r="D37" s="6"/>
      <c r="E37" s="6"/>
      <c r="F37" s="6"/>
      <c r="G37" s="6"/>
      <c r="H37" s="83"/>
      <c r="I37" s="6"/>
      <c r="J37" s="83"/>
      <c r="K37" s="83"/>
      <c r="L37" s="6"/>
      <c r="M37" s="104"/>
      <c r="O37" s="70"/>
      <c r="P37" s="100" t="s">
        <v>29</v>
      </c>
      <c r="Q37" s="100"/>
      <c r="R37" s="100"/>
      <c r="S37" s="100" t="s">
        <v>87</v>
      </c>
      <c r="T37" s="100"/>
      <c r="U37" s="117"/>
      <c r="V37" s="117"/>
      <c r="W37" s="6"/>
      <c r="X37" s="103"/>
    </row>
    <row r="38" spans="2:24" ht="15.75">
      <c r="B38" s="72"/>
      <c r="C38" s="6"/>
      <c r="D38" s="6"/>
      <c r="E38" s="6"/>
      <c r="F38" s="6"/>
      <c r="G38" s="6"/>
      <c r="H38" s="83"/>
      <c r="I38" s="6"/>
      <c r="J38" s="83"/>
      <c r="K38" s="83"/>
      <c r="L38" s="6"/>
      <c r="M38" s="104"/>
      <c r="O38" s="105"/>
      <c r="P38" s="100"/>
      <c r="Q38" s="100"/>
      <c r="R38" s="100"/>
      <c r="S38" s="100"/>
      <c r="T38" s="100"/>
      <c r="U38" s="117"/>
      <c r="V38" s="117"/>
      <c r="W38" s="6"/>
      <c r="X38" s="103"/>
    </row>
    <row r="39" spans="2:24" ht="15.75">
      <c r="B39" s="72"/>
      <c r="C39" s="6"/>
      <c r="D39" s="6"/>
      <c r="E39" s="6"/>
      <c r="F39" s="6"/>
      <c r="G39" s="6"/>
      <c r="H39" s="83"/>
      <c r="I39" s="6"/>
      <c r="J39" s="83"/>
      <c r="K39" s="83"/>
      <c r="L39" s="6"/>
      <c r="M39" s="104"/>
      <c r="O39" s="105"/>
      <c r="P39" s="100"/>
      <c r="Q39" s="100"/>
      <c r="R39" s="100"/>
      <c r="S39" s="100"/>
      <c r="T39" s="100"/>
      <c r="U39" s="117"/>
      <c r="V39" s="117"/>
      <c r="W39" s="6"/>
      <c r="X39" s="103"/>
    </row>
    <row r="40" spans="2:24" ht="15.75">
      <c r="B40" s="82"/>
      <c r="C40" s="6"/>
      <c r="D40" s="6"/>
      <c r="E40" s="6"/>
      <c r="F40" s="6"/>
      <c r="G40" s="6"/>
      <c r="H40" s="83"/>
      <c r="I40" s="6"/>
      <c r="J40" s="83"/>
      <c r="K40" s="83"/>
      <c r="L40" s="6"/>
      <c r="M40" s="104"/>
      <c r="O40" s="109"/>
      <c r="P40" s="177" t="s">
        <v>88</v>
      </c>
      <c r="Q40" s="177"/>
      <c r="R40" s="177"/>
      <c r="S40" s="177"/>
      <c r="T40" s="121">
        <f>COUNT(O27:O39)</f>
        <v>3</v>
      </c>
      <c r="U40" s="122"/>
      <c r="V40" s="122"/>
      <c r="W40" s="123"/>
      <c r="X40" s="124"/>
    </row>
    <row r="41" spans="2:24">
      <c r="B41" s="87"/>
      <c r="C41" s="94"/>
      <c r="D41" s="176" t="s">
        <v>89</v>
      </c>
      <c r="E41" s="176"/>
      <c r="F41" s="176"/>
      <c r="G41" s="176"/>
      <c r="H41" s="176"/>
      <c r="I41" s="176"/>
      <c r="J41" s="113">
        <f>COUNT(B27:B39)</f>
        <v>3</v>
      </c>
      <c r="K41" s="107"/>
      <c r="L41" s="94"/>
      <c r="M41" s="108"/>
      <c r="S41" s="77"/>
      <c r="T41" s="77"/>
      <c r="U41" s="78"/>
      <c r="V41" s="78"/>
      <c r="W41" s="77"/>
      <c r="X41" s="77"/>
    </row>
    <row r="44" spans="2:24">
      <c r="B44" s="80"/>
      <c r="C44" s="90"/>
      <c r="D44" s="90"/>
      <c r="E44" s="90"/>
      <c r="F44" s="90"/>
      <c r="G44" s="178" t="s">
        <v>38</v>
      </c>
      <c r="H44" s="178"/>
      <c r="I44" s="81"/>
      <c r="J44" s="110"/>
      <c r="K44" s="110"/>
      <c r="L44" s="81"/>
      <c r="M44" s="95"/>
    </row>
    <row r="45" spans="2:24">
      <c r="B45" s="82"/>
      <c r="C45" s="6"/>
      <c r="D45" s="6"/>
      <c r="E45" s="6"/>
      <c r="F45" s="6"/>
      <c r="G45" s="6"/>
      <c r="H45" s="83"/>
      <c r="I45" s="6"/>
      <c r="J45" s="83"/>
      <c r="K45" s="83"/>
      <c r="L45" s="6"/>
      <c r="M45" s="98"/>
    </row>
    <row r="46" spans="2:24" ht="15.75">
      <c r="B46" s="84" t="s">
        <v>65</v>
      </c>
      <c r="C46" s="85" t="s">
        <v>66</v>
      </c>
      <c r="D46" s="85" t="s">
        <v>67</v>
      </c>
      <c r="E46" s="85" t="s">
        <v>68</v>
      </c>
      <c r="F46" s="85" t="s">
        <v>69</v>
      </c>
      <c r="G46" s="85" t="s">
        <v>70</v>
      </c>
      <c r="H46" s="86" t="s">
        <v>71</v>
      </c>
      <c r="I46" s="85" t="s">
        <v>72</v>
      </c>
      <c r="J46" s="85" t="s">
        <v>73</v>
      </c>
      <c r="K46" s="85" t="s">
        <v>74</v>
      </c>
      <c r="L46" s="85" t="s">
        <v>54</v>
      </c>
      <c r="M46" s="33" t="s">
        <v>75</v>
      </c>
    </row>
    <row r="47" spans="2:24" ht="15.75">
      <c r="B47" s="72"/>
      <c r="C47" s="6" t="s">
        <v>38</v>
      </c>
      <c r="D47" s="6" t="s">
        <v>39</v>
      </c>
      <c r="E47" s="6">
        <v>0</v>
      </c>
      <c r="F47" s="6">
        <v>400</v>
      </c>
      <c r="G47" s="6">
        <v>0</v>
      </c>
      <c r="H47" s="83"/>
      <c r="I47" s="6">
        <v>0</v>
      </c>
      <c r="J47" s="83" t="e">
        <f>F47/H47</f>
        <v>#DIV/0!</v>
      </c>
      <c r="K47" s="83">
        <f>(H47-F47)*100/F47</f>
        <v>-100</v>
      </c>
      <c r="L47" s="6" t="s">
        <v>81</v>
      </c>
      <c r="M47" s="103" t="s">
        <v>56</v>
      </c>
    </row>
    <row r="48" spans="2:24" ht="15.75">
      <c r="B48" s="72"/>
      <c r="C48" s="6" t="s">
        <v>38</v>
      </c>
      <c r="D48" s="6" t="s">
        <v>39</v>
      </c>
      <c r="E48" s="6">
        <v>0</v>
      </c>
      <c r="F48" s="6">
        <v>400</v>
      </c>
      <c r="G48" s="6">
        <v>0</v>
      </c>
      <c r="H48" s="83"/>
      <c r="I48" s="6">
        <v>0</v>
      </c>
      <c r="J48" s="83" t="e">
        <f>F48/H48</f>
        <v>#DIV/0!</v>
      </c>
      <c r="K48" s="83">
        <f>(H48-F48)*100/F48</f>
        <v>-100</v>
      </c>
      <c r="L48" s="6" t="s">
        <v>81</v>
      </c>
      <c r="M48" s="103" t="s">
        <v>56</v>
      </c>
    </row>
    <row r="49" spans="2:13" ht="15.75">
      <c r="B49" s="72"/>
      <c r="C49" s="6" t="s">
        <v>38</v>
      </c>
      <c r="D49" s="6" t="s">
        <v>39</v>
      </c>
      <c r="E49" s="6">
        <v>0</v>
      </c>
      <c r="F49" s="6">
        <v>400</v>
      </c>
      <c r="G49" s="6">
        <v>0</v>
      </c>
      <c r="H49" s="83"/>
      <c r="I49" s="6">
        <v>0</v>
      </c>
      <c r="J49" s="83" t="e">
        <f>F49/H49</f>
        <v>#DIV/0!</v>
      </c>
      <c r="K49" s="83">
        <f>(H49-F49)*100/F49</f>
        <v>-100</v>
      </c>
      <c r="L49" s="6" t="s">
        <v>81</v>
      </c>
      <c r="M49" s="103" t="s">
        <v>56</v>
      </c>
    </row>
    <row r="50" spans="2:13" ht="15.75">
      <c r="B50" s="72"/>
      <c r="C50" s="6" t="s">
        <v>38</v>
      </c>
      <c r="D50" s="6" t="s">
        <v>39</v>
      </c>
      <c r="E50" s="6">
        <v>0</v>
      </c>
      <c r="F50" s="6">
        <v>400</v>
      </c>
      <c r="G50" s="6">
        <v>0</v>
      </c>
      <c r="H50" s="83"/>
      <c r="I50" s="6">
        <v>0</v>
      </c>
      <c r="J50" s="83" t="e">
        <f>F50/H50</f>
        <v>#DIV/0!</v>
      </c>
      <c r="K50" s="83">
        <f>(H50-F50)*100/F50</f>
        <v>-100</v>
      </c>
      <c r="L50" s="6" t="s">
        <v>81</v>
      </c>
      <c r="M50" s="103" t="s">
        <v>56</v>
      </c>
    </row>
    <row r="51" spans="2:13" ht="15.75">
      <c r="B51" s="72"/>
      <c r="C51" s="6" t="s">
        <v>38</v>
      </c>
      <c r="D51" s="6" t="s">
        <v>39</v>
      </c>
      <c r="E51" s="6">
        <v>0</v>
      </c>
      <c r="F51" s="6">
        <v>400</v>
      </c>
      <c r="G51" s="6">
        <v>0</v>
      </c>
      <c r="H51" s="83"/>
      <c r="I51" s="6">
        <v>0</v>
      </c>
      <c r="J51" s="83" t="e">
        <f>F51/H51</f>
        <v>#DIV/0!</v>
      </c>
      <c r="K51" s="83">
        <f>(H51-F51)*100/F51</f>
        <v>-100</v>
      </c>
      <c r="L51" s="6" t="s">
        <v>81</v>
      </c>
      <c r="M51" s="103" t="s">
        <v>56</v>
      </c>
    </row>
    <row r="52" spans="2:13" ht="15.75">
      <c r="B52" s="72"/>
      <c r="C52" s="6"/>
      <c r="D52" s="6"/>
      <c r="E52" s="6"/>
      <c r="F52" s="6"/>
      <c r="G52" s="6"/>
      <c r="H52" s="83"/>
      <c r="I52" s="6"/>
      <c r="J52" s="83"/>
      <c r="K52" s="83"/>
      <c r="L52" s="6"/>
      <c r="M52" s="103" t="s">
        <v>56</v>
      </c>
    </row>
    <row r="53" spans="2:13" ht="15.75">
      <c r="B53" s="72"/>
      <c r="C53" s="6"/>
      <c r="D53" s="6"/>
      <c r="E53" s="6"/>
      <c r="F53" s="6"/>
      <c r="G53" s="6"/>
      <c r="H53" s="83"/>
      <c r="I53" s="6"/>
      <c r="J53" s="83"/>
      <c r="K53" s="83"/>
      <c r="L53" s="6"/>
      <c r="M53" s="103" t="s">
        <v>56</v>
      </c>
    </row>
    <row r="54" spans="2:13" ht="15.75">
      <c r="B54" s="72"/>
      <c r="C54" s="6"/>
      <c r="D54" s="6"/>
      <c r="E54" s="6"/>
      <c r="F54" s="6"/>
      <c r="G54" s="6"/>
      <c r="H54" s="83"/>
      <c r="I54" s="6"/>
      <c r="J54" s="83"/>
      <c r="K54" s="83"/>
      <c r="L54" s="6"/>
      <c r="M54" s="104"/>
    </row>
    <row r="55" spans="2:13" ht="15.75">
      <c r="B55" s="72"/>
      <c r="C55" s="6"/>
      <c r="D55" s="6"/>
      <c r="E55" s="6"/>
      <c r="F55" s="6"/>
      <c r="G55" s="6"/>
      <c r="H55" s="83"/>
      <c r="I55" s="6"/>
      <c r="J55" s="83"/>
      <c r="K55" s="83"/>
      <c r="L55" s="6"/>
      <c r="M55" s="104"/>
    </row>
    <row r="56" spans="2:13" ht="15.75">
      <c r="B56" s="72"/>
      <c r="C56" s="6"/>
      <c r="D56" s="6"/>
      <c r="E56" s="6"/>
      <c r="F56" s="6"/>
      <c r="G56" s="6"/>
      <c r="H56" s="83"/>
      <c r="I56" s="6"/>
      <c r="J56" s="83"/>
      <c r="K56" s="83"/>
      <c r="L56" s="6"/>
      <c r="M56" s="104"/>
    </row>
    <row r="57" spans="2:13" ht="15.75">
      <c r="B57" s="72"/>
      <c r="C57" s="6"/>
      <c r="D57" s="6"/>
      <c r="E57" s="6"/>
      <c r="F57" s="6"/>
      <c r="G57" s="6"/>
      <c r="H57" s="83"/>
      <c r="I57" s="6"/>
      <c r="J57" s="83"/>
      <c r="K57" s="83"/>
      <c r="L57" s="6"/>
      <c r="M57" s="104"/>
    </row>
    <row r="58" spans="2:13" ht="15.75">
      <c r="B58" s="72"/>
      <c r="C58" s="6"/>
      <c r="D58" s="6"/>
      <c r="E58" s="6"/>
      <c r="F58" s="6"/>
      <c r="G58" s="6"/>
      <c r="H58" s="83"/>
      <c r="I58" s="6"/>
      <c r="J58" s="83"/>
      <c r="K58" s="83"/>
      <c r="L58" s="6"/>
      <c r="M58" s="104"/>
    </row>
    <row r="59" spans="2:13" ht="15.75">
      <c r="B59" s="72"/>
      <c r="C59" s="6"/>
      <c r="D59" s="6"/>
      <c r="E59" s="6"/>
      <c r="F59" s="6"/>
      <c r="G59" s="6"/>
      <c r="H59" s="83"/>
      <c r="I59" s="6"/>
      <c r="J59" s="83"/>
      <c r="K59" s="83"/>
      <c r="L59" s="6"/>
      <c r="M59" s="104"/>
    </row>
    <row r="60" spans="2:13" ht="15.75">
      <c r="B60" s="82"/>
      <c r="C60" s="6"/>
      <c r="D60" s="6"/>
      <c r="E60" s="6"/>
      <c r="F60" s="6"/>
      <c r="G60" s="6"/>
      <c r="H60" s="83"/>
      <c r="I60" s="6"/>
      <c r="J60" s="83"/>
      <c r="K60" s="83"/>
      <c r="L60" s="6"/>
      <c r="M60" s="104"/>
    </row>
    <row r="61" spans="2:13">
      <c r="B61" s="87"/>
      <c r="C61" s="94"/>
      <c r="D61" s="176" t="s">
        <v>90</v>
      </c>
      <c r="E61" s="176"/>
      <c r="F61" s="176"/>
      <c r="G61" s="176"/>
      <c r="H61" s="176"/>
      <c r="I61" s="176"/>
      <c r="J61" s="113">
        <f>COUNT(B47:B59)</f>
        <v>0</v>
      </c>
      <c r="K61" s="107"/>
      <c r="L61" s="94"/>
      <c r="M61" s="108"/>
    </row>
    <row r="64" spans="2:13">
      <c r="B64" s="80"/>
      <c r="C64" s="90"/>
      <c r="D64" s="90"/>
      <c r="E64" s="90"/>
      <c r="F64" s="90"/>
      <c r="G64" s="178" t="s">
        <v>37</v>
      </c>
      <c r="H64" s="178"/>
      <c r="I64" s="81"/>
      <c r="J64" s="110"/>
      <c r="K64" s="110"/>
      <c r="L64" s="81"/>
      <c r="M64" s="95"/>
    </row>
    <row r="65" spans="2:13">
      <c r="B65" s="82"/>
      <c r="C65" s="6"/>
      <c r="D65" s="6"/>
      <c r="E65" s="6"/>
      <c r="F65" s="6"/>
      <c r="G65" s="6"/>
      <c r="H65" s="83"/>
      <c r="I65" s="6"/>
      <c r="J65" s="83"/>
      <c r="K65" s="83"/>
      <c r="L65" s="6"/>
      <c r="M65" s="98"/>
    </row>
    <row r="66" spans="2:13" ht="15.75">
      <c r="B66" s="84" t="s">
        <v>65</v>
      </c>
      <c r="C66" s="85" t="s">
        <v>66</v>
      </c>
      <c r="D66" s="85" t="s">
        <v>67</v>
      </c>
      <c r="E66" s="85" t="s">
        <v>68</v>
      </c>
      <c r="F66" s="85" t="s">
        <v>69</v>
      </c>
      <c r="G66" s="85" t="s">
        <v>70</v>
      </c>
      <c r="H66" s="86" t="s">
        <v>71</v>
      </c>
      <c r="I66" s="85" t="s">
        <v>72</v>
      </c>
      <c r="J66" s="85" t="s">
        <v>73</v>
      </c>
      <c r="K66" s="85" t="s">
        <v>74</v>
      </c>
      <c r="L66" s="85" t="s">
        <v>54</v>
      </c>
      <c r="M66" s="33" t="s">
        <v>75</v>
      </c>
    </row>
    <row r="67" spans="2:13" ht="15.75">
      <c r="B67" s="72">
        <v>45719.697916666664</v>
      </c>
      <c r="C67" s="6" t="s">
        <v>37</v>
      </c>
      <c r="D67" s="6" t="s">
        <v>47</v>
      </c>
      <c r="E67" s="6">
        <v>0</v>
      </c>
      <c r="F67" s="6">
        <v>5</v>
      </c>
      <c r="G67" s="6">
        <v>0</v>
      </c>
      <c r="H67" s="125">
        <v>4.9000000000000004</v>
      </c>
      <c r="I67" s="6">
        <v>0</v>
      </c>
      <c r="J67" s="83">
        <f>F67/H67</f>
        <v>1.0204081632653061</v>
      </c>
      <c r="K67" s="83">
        <f>(H67-F67)*100/F67</f>
        <v>-1.9999999999999929</v>
      </c>
      <c r="L67" s="6" t="s">
        <v>81</v>
      </c>
      <c r="M67" s="103" t="s">
        <v>56</v>
      </c>
    </row>
    <row r="68" spans="2:13" ht="15.75">
      <c r="B68" s="72">
        <v>45723.676388888889</v>
      </c>
      <c r="C68" s="6" t="s">
        <v>37</v>
      </c>
      <c r="D68" s="6" t="s">
        <v>47</v>
      </c>
      <c r="E68" s="6">
        <v>0</v>
      </c>
      <c r="F68" s="6">
        <v>5</v>
      </c>
      <c r="G68" s="6">
        <v>0</v>
      </c>
      <c r="H68" s="83">
        <v>5.0999999999999996</v>
      </c>
      <c r="I68" s="6">
        <v>0</v>
      </c>
      <c r="J68" s="83">
        <f t="shared" ref="J68:J73" si="4">F68/H68</f>
        <v>0.98039215686274517</v>
      </c>
      <c r="K68" s="83">
        <f t="shared" ref="K68:K73" si="5">(H68-F68)*100/F68</f>
        <v>1.9999999999999929</v>
      </c>
      <c r="L68" s="6" t="s">
        <v>81</v>
      </c>
      <c r="M68" s="103" t="s">
        <v>56</v>
      </c>
    </row>
    <row r="69" spans="2:13" ht="15.75">
      <c r="B69" s="72">
        <v>45743.666666666664</v>
      </c>
      <c r="C69" s="6" t="s">
        <v>37</v>
      </c>
      <c r="D69" s="6" t="s">
        <v>47</v>
      </c>
      <c r="E69" s="6">
        <v>0</v>
      </c>
      <c r="F69" s="6">
        <v>5</v>
      </c>
      <c r="G69" s="6">
        <v>0</v>
      </c>
      <c r="H69" s="83">
        <v>4.5</v>
      </c>
      <c r="I69" s="6">
        <v>0</v>
      </c>
      <c r="J69" s="83">
        <f t="shared" si="4"/>
        <v>1.1111111111111112</v>
      </c>
      <c r="K69" s="83">
        <f t="shared" si="5"/>
        <v>-10</v>
      </c>
      <c r="L69" s="6" t="s">
        <v>81</v>
      </c>
      <c r="M69" s="103" t="s">
        <v>56</v>
      </c>
    </row>
    <row r="70" spans="2:13" ht="15.75">
      <c r="B70" s="72"/>
      <c r="C70" s="6" t="s">
        <v>37</v>
      </c>
      <c r="D70" s="6" t="s">
        <v>47</v>
      </c>
      <c r="E70" s="6">
        <v>0</v>
      </c>
      <c r="F70" s="6">
        <v>5</v>
      </c>
      <c r="G70" s="6">
        <v>0</v>
      </c>
      <c r="H70" s="83"/>
      <c r="I70" s="6">
        <v>0</v>
      </c>
      <c r="J70" s="83" t="e">
        <f t="shared" si="4"/>
        <v>#DIV/0!</v>
      </c>
      <c r="K70" s="83">
        <f t="shared" si="5"/>
        <v>-100</v>
      </c>
      <c r="L70" s="6" t="s">
        <v>81</v>
      </c>
      <c r="M70" s="103" t="s">
        <v>56</v>
      </c>
    </row>
    <row r="71" spans="2:13" ht="15.75">
      <c r="B71" s="72"/>
      <c r="C71" s="6" t="s">
        <v>37</v>
      </c>
      <c r="D71" s="6" t="s">
        <v>47</v>
      </c>
      <c r="E71" s="6">
        <v>0</v>
      </c>
      <c r="F71" s="6">
        <v>5</v>
      </c>
      <c r="G71" s="6">
        <v>0</v>
      </c>
      <c r="H71" s="125"/>
      <c r="I71" s="6">
        <v>0</v>
      </c>
      <c r="J71" s="83" t="e">
        <f t="shared" si="4"/>
        <v>#DIV/0!</v>
      </c>
      <c r="K71" s="83">
        <f t="shared" si="5"/>
        <v>-100</v>
      </c>
      <c r="L71" s="6" t="s">
        <v>81</v>
      </c>
      <c r="M71" s="103" t="s">
        <v>56</v>
      </c>
    </row>
    <row r="72" spans="2:13" ht="15.75">
      <c r="B72" s="72"/>
      <c r="C72" s="6" t="s">
        <v>37</v>
      </c>
      <c r="D72" s="6" t="s">
        <v>47</v>
      </c>
      <c r="E72" s="6">
        <v>0</v>
      </c>
      <c r="F72" s="6">
        <v>5</v>
      </c>
      <c r="G72" s="6">
        <v>0</v>
      </c>
      <c r="H72" s="125"/>
      <c r="I72" s="6">
        <v>0</v>
      </c>
      <c r="J72" s="83" t="e">
        <f t="shared" si="4"/>
        <v>#DIV/0!</v>
      </c>
      <c r="K72" s="83">
        <f t="shared" si="5"/>
        <v>-100</v>
      </c>
      <c r="L72" s="6" t="s">
        <v>81</v>
      </c>
      <c r="M72" s="103" t="s">
        <v>56</v>
      </c>
    </row>
    <row r="73" spans="2:13" ht="15.75">
      <c r="B73" s="72"/>
      <c r="C73" s="6" t="s">
        <v>37</v>
      </c>
      <c r="D73" s="6" t="s">
        <v>47</v>
      </c>
      <c r="E73" s="6">
        <v>0</v>
      </c>
      <c r="F73" s="6">
        <v>5</v>
      </c>
      <c r="G73" s="6">
        <v>0</v>
      </c>
      <c r="H73" s="125"/>
      <c r="I73" s="6">
        <v>0</v>
      </c>
      <c r="J73" s="83" t="e">
        <f t="shared" si="4"/>
        <v>#DIV/0!</v>
      </c>
      <c r="K73" s="83">
        <f t="shared" si="5"/>
        <v>-100</v>
      </c>
      <c r="L73" s="6" t="s">
        <v>81</v>
      </c>
      <c r="M73" s="103" t="s">
        <v>56</v>
      </c>
    </row>
    <row r="74" spans="2:13" ht="15.75">
      <c r="B74" s="72"/>
      <c r="C74" s="6"/>
      <c r="D74" s="6"/>
      <c r="E74" s="6"/>
      <c r="F74" s="6"/>
      <c r="G74" s="6"/>
      <c r="H74" s="125"/>
      <c r="I74" s="6"/>
      <c r="J74" s="83"/>
      <c r="K74" s="83"/>
      <c r="L74" s="6"/>
      <c r="M74" s="104"/>
    </row>
    <row r="75" spans="2:13" ht="15.75">
      <c r="B75" s="72"/>
      <c r="C75" s="6"/>
      <c r="D75" s="6"/>
      <c r="E75" s="6"/>
      <c r="F75" s="6"/>
      <c r="G75" s="6"/>
      <c r="H75" s="125"/>
      <c r="I75" s="6"/>
      <c r="J75" s="83"/>
      <c r="K75" s="83"/>
      <c r="L75" s="6"/>
      <c r="M75" s="104"/>
    </row>
    <row r="76" spans="2:13" ht="15.75">
      <c r="B76" s="72"/>
      <c r="C76" s="6"/>
      <c r="D76" s="6"/>
      <c r="E76" s="6"/>
      <c r="F76" s="6"/>
      <c r="G76" s="6"/>
      <c r="H76" s="125"/>
      <c r="I76" s="6"/>
      <c r="J76" s="83"/>
      <c r="K76" s="83"/>
      <c r="L76" s="6"/>
      <c r="M76" s="104"/>
    </row>
    <row r="77" spans="2:13" ht="15.75">
      <c r="B77" s="72"/>
      <c r="C77" s="6"/>
      <c r="D77" s="6"/>
      <c r="E77" s="6"/>
      <c r="F77" s="6"/>
      <c r="G77" s="6"/>
      <c r="H77" s="125"/>
      <c r="I77" s="6"/>
      <c r="J77" s="83"/>
      <c r="K77" s="83"/>
      <c r="L77" s="6"/>
      <c r="M77" s="104"/>
    </row>
    <row r="78" spans="2:13" ht="15.75">
      <c r="B78" s="72"/>
      <c r="C78" s="6"/>
      <c r="D78" s="6"/>
      <c r="E78" s="6"/>
      <c r="F78" s="6"/>
      <c r="G78" s="6"/>
      <c r="H78" s="125"/>
      <c r="I78" s="6"/>
      <c r="J78" s="83"/>
      <c r="K78" s="83"/>
      <c r="L78" s="6"/>
      <c r="M78" s="104"/>
    </row>
    <row r="79" spans="2:13" ht="15.75">
      <c r="B79" s="72"/>
      <c r="C79" s="6"/>
      <c r="D79" s="6"/>
      <c r="E79" s="6"/>
      <c r="F79" s="6"/>
      <c r="G79" s="6"/>
      <c r="H79" s="125"/>
      <c r="I79" s="6"/>
      <c r="J79" s="83"/>
      <c r="K79" s="83"/>
      <c r="L79" s="6"/>
      <c r="M79" s="104"/>
    </row>
    <row r="80" spans="2:13" ht="15.75">
      <c r="B80" s="82"/>
      <c r="C80" s="6"/>
      <c r="D80" s="6"/>
      <c r="E80" s="6"/>
      <c r="F80" s="6"/>
      <c r="G80" s="6"/>
      <c r="H80" s="125"/>
      <c r="I80" s="6"/>
      <c r="J80" s="83"/>
      <c r="K80" s="83"/>
      <c r="L80" s="6"/>
      <c r="M80" s="104"/>
    </row>
    <row r="81" spans="2:13">
      <c r="B81" s="87"/>
      <c r="C81" s="94"/>
      <c r="D81" s="176" t="s">
        <v>91</v>
      </c>
      <c r="E81" s="176"/>
      <c r="F81" s="176"/>
      <c r="G81" s="176"/>
      <c r="H81" s="176"/>
      <c r="I81" s="176"/>
      <c r="J81" s="113">
        <f>COUNT(B67:B79)</f>
        <v>3</v>
      </c>
      <c r="K81" s="107"/>
      <c r="L81" s="94"/>
      <c r="M81" s="108"/>
    </row>
    <row r="84" spans="2:13">
      <c r="B84" s="80"/>
      <c r="C84" s="90"/>
      <c r="D84" s="90"/>
      <c r="E84" s="90"/>
      <c r="F84" s="90"/>
      <c r="G84" s="178" t="s">
        <v>92</v>
      </c>
      <c r="H84" s="178"/>
      <c r="I84" s="81"/>
      <c r="J84" s="110"/>
      <c r="K84" s="110"/>
      <c r="L84" s="81"/>
      <c r="M84" s="95"/>
    </row>
    <row r="85" spans="2:13">
      <c r="B85" s="82"/>
      <c r="C85" s="6"/>
      <c r="D85" s="6"/>
      <c r="E85" s="6"/>
      <c r="F85" s="6"/>
      <c r="G85" s="6"/>
      <c r="H85" s="83"/>
      <c r="I85" s="6"/>
      <c r="J85" s="83"/>
      <c r="K85" s="83"/>
      <c r="L85" s="6"/>
      <c r="M85" s="98"/>
    </row>
    <row r="86" spans="2:13" ht="15.75">
      <c r="B86" s="84" t="s">
        <v>65</v>
      </c>
      <c r="C86" s="85" t="s">
        <v>66</v>
      </c>
      <c r="D86" s="85" t="s">
        <v>67</v>
      </c>
      <c r="E86" s="85" t="s">
        <v>68</v>
      </c>
      <c r="F86" s="85" t="s">
        <v>69</v>
      </c>
      <c r="G86" s="85" t="s">
        <v>70</v>
      </c>
      <c r="H86" s="86" t="s">
        <v>71</v>
      </c>
      <c r="I86" s="85" t="s">
        <v>72</v>
      </c>
      <c r="J86" s="85" t="s">
        <v>73</v>
      </c>
      <c r="K86" s="85" t="s">
        <v>74</v>
      </c>
      <c r="L86" s="85" t="s">
        <v>54</v>
      </c>
      <c r="M86" s="33" t="s">
        <v>75</v>
      </c>
    </row>
    <row r="87" spans="2:13" ht="15.75">
      <c r="B87" s="72"/>
      <c r="C87" s="6" t="s">
        <v>92</v>
      </c>
      <c r="D87" s="6" t="s">
        <v>39</v>
      </c>
      <c r="E87" s="6">
        <v>0</v>
      </c>
      <c r="F87" s="6">
        <v>60</v>
      </c>
      <c r="G87" s="6">
        <v>0</v>
      </c>
      <c r="H87" s="83"/>
      <c r="I87" s="6">
        <v>0</v>
      </c>
      <c r="J87" s="83" t="e">
        <f t="shared" ref="J87:J92" si="6">F87/H87</f>
        <v>#DIV/0!</v>
      </c>
      <c r="K87" s="83">
        <f t="shared" ref="K87:K92" si="7">(H87-F87)*100/F87</f>
        <v>-100</v>
      </c>
      <c r="L87" s="6" t="s">
        <v>81</v>
      </c>
      <c r="M87" s="103" t="s">
        <v>56</v>
      </c>
    </row>
    <row r="88" spans="2:13" ht="15.75">
      <c r="B88" s="72"/>
      <c r="C88" s="6" t="s">
        <v>92</v>
      </c>
      <c r="D88" s="6" t="s">
        <v>39</v>
      </c>
      <c r="E88" s="6">
        <v>0</v>
      </c>
      <c r="F88" s="6">
        <v>60</v>
      </c>
      <c r="G88" s="6">
        <v>0</v>
      </c>
      <c r="H88" s="83"/>
      <c r="I88" s="6">
        <v>0</v>
      </c>
      <c r="J88" s="83" t="e">
        <f t="shared" si="6"/>
        <v>#DIV/0!</v>
      </c>
      <c r="K88" s="83">
        <f t="shared" si="7"/>
        <v>-100</v>
      </c>
      <c r="L88" s="6" t="s">
        <v>81</v>
      </c>
      <c r="M88" s="103" t="s">
        <v>56</v>
      </c>
    </row>
    <row r="89" spans="2:13" ht="15.75">
      <c r="B89" s="72"/>
      <c r="C89" s="6" t="s">
        <v>92</v>
      </c>
      <c r="D89" s="6" t="s">
        <v>39</v>
      </c>
      <c r="E89" s="6">
        <v>0</v>
      </c>
      <c r="F89" s="6">
        <v>60</v>
      </c>
      <c r="G89" s="6">
        <v>0</v>
      </c>
      <c r="H89" s="83"/>
      <c r="I89" s="6">
        <v>0</v>
      </c>
      <c r="J89" s="83" t="e">
        <f t="shared" si="6"/>
        <v>#DIV/0!</v>
      </c>
      <c r="K89" s="83">
        <f t="shared" si="7"/>
        <v>-100</v>
      </c>
      <c r="L89" s="6" t="s">
        <v>81</v>
      </c>
      <c r="M89" s="103" t="s">
        <v>56</v>
      </c>
    </row>
    <row r="90" spans="2:13" ht="15.75">
      <c r="B90" s="72"/>
      <c r="C90" s="6" t="s">
        <v>92</v>
      </c>
      <c r="D90" s="6" t="s">
        <v>39</v>
      </c>
      <c r="E90" s="6">
        <v>0</v>
      </c>
      <c r="F90" s="6">
        <v>60</v>
      </c>
      <c r="G90" s="6">
        <v>0</v>
      </c>
      <c r="H90" s="83"/>
      <c r="I90" s="6">
        <v>0</v>
      </c>
      <c r="J90" s="83" t="e">
        <f t="shared" si="6"/>
        <v>#DIV/0!</v>
      </c>
      <c r="K90" s="83">
        <f t="shared" si="7"/>
        <v>-100</v>
      </c>
      <c r="L90" s="6" t="s">
        <v>81</v>
      </c>
      <c r="M90" s="103" t="s">
        <v>56</v>
      </c>
    </row>
    <row r="91" spans="2:13" ht="15.75">
      <c r="B91" s="72"/>
      <c r="C91" s="6" t="s">
        <v>92</v>
      </c>
      <c r="D91" s="6" t="s">
        <v>39</v>
      </c>
      <c r="E91" s="6">
        <v>0</v>
      </c>
      <c r="F91" s="6">
        <v>60</v>
      </c>
      <c r="G91" s="6">
        <v>0</v>
      </c>
      <c r="H91" s="83"/>
      <c r="I91" s="6">
        <v>0</v>
      </c>
      <c r="J91" s="83" t="e">
        <f t="shared" si="6"/>
        <v>#DIV/0!</v>
      </c>
      <c r="K91" s="83">
        <f t="shared" si="7"/>
        <v>-100</v>
      </c>
      <c r="L91" s="6" t="s">
        <v>81</v>
      </c>
      <c r="M91" s="103" t="s">
        <v>56</v>
      </c>
    </row>
    <row r="92" spans="2:13" ht="15.75">
      <c r="B92" s="72"/>
      <c r="C92" s="6" t="s">
        <v>92</v>
      </c>
      <c r="D92" s="6" t="s">
        <v>39</v>
      </c>
      <c r="E92" s="6">
        <v>0</v>
      </c>
      <c r="F92" s="6">
        <v>60</v>
      </c>
      <c r="G92" s="6">
        <v>0</v>
      </c>
      <c r="H92" s="83"/>
      <c r="I92" s="6">
        <v>0</v>
      </c>
      <c r="J92" s="83" t="e">
        <f t="shared" si="6"/>
        <v>#DIV/0!</v>
      </c>
      <c r="K92" s="83">
        <f t="shared" si="7"/>
        <v>-100</v>
      </c>
      <c r="L92" s="6" t="s">
        <v>81</v>
      </c>
      <c r="M92" s="103" t="s">
        <v>56</v>
      </c>
    </row>
    <row r="93" spans="2:13" ht="15.75">
      <c r="B93" s="72"/>
      <c r="C93" s="6"/>
      <c r="D93" s="6"/>
      <c r="E93" s="6"/>
      <c r="F93" s="6"/>
      <c r="G93" s="6"/>
      <c r="H93" s="83"/>
      <c r="I93" s="6"/>
      <c r="J93" s="83"/>
      <c r="K93" s="83"/>
      <c r="L93" s="6"/>
      <c r="M93" s="103" t="s">
        <v>56</v>
      </c>
    </row>
    <row r="94" spans="2:13" ht="15.75">
      <c r="B94" s="72"/>
      <c r="C94" s="6"/>
      <c r="D94" s="6"/>
      <c r="E94" s="6"/>
      <c r="F94" s="6"/>
      <c r="G94" s="6"/>
      <c r="H94" s="83"/>
      <c r="I94" s="6"/>
      <c r="J94" s="83"/>
      <c r="K94" s="83"/>
      <c r="L94" s="6"/>
      <c r="M94" s="104"/>
    </row>
    <row r="95" spans="2:13" ht="15.75">
      <c r="B95" s="72"/>
      <c r="C95" s="6"/>
      <c r="D95" s="6"/>
      <c r="E95" s="6"/>
      <c r="F95" s="6"/>
      <c r="G95" s="6"/>
      <c r="H95" s="83"/>
      <c r="I95" s="6"/>
      <c r="J95" s="83"/>
      <c r="K95" s="83"/>
      <c r="L95" s="6"/>
      <c r="M95" s="104"/>
    </row>
    <row r="96" spans="2:13" ht="15.75">
      <c r="B96" s="72"/>
      <c r="C96" s="6"/>
      <c r="D96" s="6"/>
      <c r="E96" s="6"/>
      <c r="F96" s="6"/>
      <c r="G96" s="6"/>
      <c r="H96" s="83"/>
      <c r="I96" s="6"/>
      <c r="J96" s="83"/>
      <c r="K96" s="83"/>
      <c r="L96" s="6"/>
      <c r="M96" s="104"/>
    </row>
    <row r="97" spans="2:13" ht="15.75">
      <c r="B97" s="72"/>
      <c r="C97" s="6"/>
      <c r="D97" s="6"/>
      <c r="E97" s="6"/>
      <c r="F97" s="6"/>
      <c r="G97" s="6"/>
      <c r="H97" s="83"/>
      <c r="I97" s="6"/>
      <c r="J97" s="83"/>
      <c r="K97" s="83"/>
      <c r="L97" s="6"/>
      <c r="M97" s="104"/>
    </row>
    <row r="98" spans="2:13" ht="15.75">
      <c r="B98" s="72"/>
      <c r="C98" s="6"/>
      <c r="D98" s="6"/>
      <c r="E98" s="6"/>
      <c r="F98" s="6"/>
      <c r="G98" s="6"/>
      <c r="H98" s="83"/>
      <c r="I98" s="6"/>
      <c r="J98" s="83"/>
      <c r="K98" s="83"/>
      <c r="L98" s="6"/>
      <c r="M98" s="104"/>
    </row>
    <row r="99" spans="2:13" ht="15.75">
      <c r="B99" s="72"/>
      <c r="C99" s="6"/>
      <c r="D99" s="6"/>
      <c r="E99" s="6"/>
      <c r="F99" s="6"/>
      <c r="G99" s="6"/>
      <c r="H99" s="83"/>
      <c r="I99" s="6"/>
      <c r="J99" s="83"/>
      <c r="K99" s="83"/>
      <c r="L99" s="6"/>
      <c r="M99" s="104"/>
    </row>
    <row r="100" spans="2:13" ht="15.75">
      <c r="B100" s="82"/>
      <c r="C100" s="6"/>
      <c r="D100" s="6"/>
      <c r="E100" s="6"/>
      <c r="F100" s="6"/>
      <c r="G100" s="6"/>
      <c r="H100" s="83"/>
      <c r="I100" s="6"/>
      <c r="J100" s="83"/>
      <c r="K100" s="83"/>
      <c r="L100" s="6"/>
      <c r="M100" s="104"/>
    </row>
    <row r="101" spans="2:13">
      <c r="B101" s="87"/>
      <c r="C101" s="94"/>
      <c r="D101" s="176" t="s">
        <v>93</v>
      </c>
      <c r="E101" s="176"/>
      <c r="F101" s="176"/>
      <c r="G101" s="176"/>
      <c r="H101" s="176"/>
      <c r="I101" s="176"/>
      <c r="J101" s="113">
        <f>COUNT(B87:B99)</f>
        <v>0</v>
      </c>
      <c r="K101" s="107"/>
      <c r="L101" s="94"/>
      <c r="M101" s="108"/>
    </row>
    <row r="104" spans="2:13">
      <c r="B104" s="80"/>
      <c r="C104" s="81"/>
      <c r="D104" s="81"/>
      <c r="E104" s="81"/>
      <c r="F104" s="81"/>
      <c r="G104" s="175" t="s">
        <v>94</v>
      </c>
      <c r="H104" s="175"/>
      <c r="I104" s="81"/>
      <c r="J104" s="81"/>
      <c r="K104" s="81"/>
      <c r="L104" s="81"/>
      <c r="M104" s="95"/>
    </row>
    <row r="105" spans="2:13">
      <c r="B105" s="82"/>
      <c r="C105" s="6"/>
      <c r="D105" s="6"/>
      <c r="E105" s="6"/>
      <c r="F105" s="6"/>
      <c r="G105" s="6"/>
      <c r="H105" s="83"/>
      <c r="I105" s="6"/>
      <c r="J105" s="6"/>
      <c r="K105" s="6"/>
      <c r="L105" s="6"/>
      <c r="M105" s="98"/>
    </row>
    <row r="106" spans="2:13" ht="15.75">
      <c r="B106" s="126" t="s">
        <v>65</v>
      </c>
      <c r="C106" s="85" t="s">
        <v>66</v>
      </c>
      <c r="D106" s="85" t="s">
        <v>67</v>
      </c>
      <c r="E106" s="85" t="s">
        <v>68</v>
      </c>
      <c r="F106" s="85" t="s">
        <v>69</v>
      </c>
      <c r="G106" s="85" t="s">
        <v>70</v>
      </c>
      <c r="H106" s="86" t="s">
        <v>71</v>
      </c>
      <c r="I106" s="85" t="s">
        <v>72</v>
      </c>
      <c r="J106" s="85" t="s">
        <v>73</v>
      </c>
      <c r="K106" s="85" t="s">
        <v>74</v>
      </c>
      <c r="L106" s="85" t="s">
        <v>54</v>
      </c>
      <c r="M106" s="127" t="s">
        <v>75</v>
      </c>
    </row>
    <row r="107" spans="2:13" ht="15.75">
      <c r="B107" s="72"/>
      <c r="C107" s="6" t="s">
        <v>94</v>
      </c>
      <c r="D107" s="6" t="s">
        <v>39</v>
      </c>
      <c r="E107" s="6">
        <v>0</v>
      </c>
      <c r="F107" s="6">
        <v>320</v>
      </c>
      <c r="G107" s="6">
        <v>0</v>
      </c>
      <c r="H107" s="83"/>
      <c r="I107" s="6">
        <f>G107-E107</f>
        <v>0</v>
      </c>
      <c r="J107" s="83" t="e">
        <f>F107/H107</f>
        <v>#DIV/0!</v>
      </c>
      <c r="K107" s="83">
        <f>(H107-F107)*100/F107</f>
        <v>-100</v>
      </c>
      <c r="L107" s="6" t="s">
        <v>81</v>
      </c>
      <c r="M107" s="103" t="s">
        <v>56</v>
      </c>
    </row>
    <row r="108" spans="2:13" ht="15.75">
      <c r="B108" s="72"/>
      <c r="C108" s="6" t="s">
        <v>94</v>
      </c>
      <c r="D108" s="6" t="s">
        <v>39</v>
      </c>
      <c r="E108" s="6">
        <v>0</v>
      </c>
      <c r="F108" s="6">
        <v>320</v>
      </c>
      <c r="G108" s="6">
        <v>0</v>
      </c>
      <c r="H108" s="83"/>
      <c r="I108" s="6">
        <f>G108-E108</f>
        <v>0</v>
      </c>
      <c r="J108" s="83" t="e">
        <f>F108/H108</f>
        <v>#DIV/0!</v>
      </c>
      <c r="K108" s="83">
        <f>(H108-F108)*100/F108</f>
        <v>-100</v>
      </c>
      <c r="L108" s="6" t="s">
        <v>81</v>
      </c>
      <c r="M108" s="103" t="s">
        <v>56</v>
      </c>
    </row>
    <row r="109" spans="2:13" ht="15.75">
      <c r="B109" s="72"/>
      <c r="C109" s="6" t="s">
        <v>94</v>
      </c>
      <c r="D109" s="6" t="s">
        <v>39</v>
      </c>
      <c r="E109" s="6">
        <v>0</v>
      </c>
      <c r="F109" s="6">
        <v>320</v>
      </c>
      <c r="G109" s="6">
        <v>0</v>
      </c>
      <c r="H109" s="83"/>
      <c r="I109" s="6">
        <f t="shared" ref="I109:I115" si="8">G109-E109</f>
        <v>0</v>
      </c>
      <c r="J109" s="83" t="e">
        <f t="shared" ref="J109:J115" si="9">F109/H109</f>
        <v>#DIV/0!</v>
      </c>
      <c r="K109" s="83">
        <f t="shared" ref="K109:K115" si="10">(H109-F109)*100/F109</f>
        <v>-100</v>
      </c>
      <c r="L109" s="6" t="s">
        <v>81</v>
      </c>
      <c r="M109" s="103" t="s">
        <v>56</v>
      </c>
    </row>
    <row r="110" spans="2:13" ht="15.75">
      <c r="B110" s="72"/>
      <c r="C110" s="6" t="s">
        <v>94</v>
      </c>
      <c r="D110" s="6" t="s">
        <v>39</v>
      </c>
      <c r="E110" s="6">
        <v>0</v>
      </c>
      <c r="F110" s="6">
        <v>320</v>
      </c>
      <c r="G110" s="6">
        <v>0</v>
      </c>
      <c r="H110" s="83"/>
      <c r="I110" s="6">
        <f t="shared" si="8"/>
        <v>0</v>
      </c>
      <c r="J110" s="83" t="e">
        <f t="shared" si="9"/>
        <v>#DIV/0!</v>
      </c>
      <c r="K110" s="83">
        <f t="shared" si="10"/>
        <v>-100</v>
      </c>
      <c r="L110" s="6" t="s">
        <v>81</v>
      </c>
      <c r="M110" s="103" t="s">
        <v>56</v>
      </c>
    </row>
    <row r="111" spans="2:13" ht="15.75">
      <c r="B111" s="72"/>
      <c r="C111" s="6" t="s">
        <v>94</v>
      </c>
      <c r="D111" s="6" t="s">
        <v>39</v>
      </c>
      <c r="E111" s="6">
        <v>0</v>
      </c>
      <c r="F111" s="6">
        <v>320</v>
      </c>
      <c r="G111" s="6">
        <v>0</v>
      </c>
      <c r="H111" s="83"/>
      <c r="I111" s="6">
        <f t="shared" si="8"/>
        <v>0</v>
      </c>
      <c r="J111" s="83" t="e">
        <f t="shared" si="9"/>
        <v>#DIV/0!</v>
      </c>
      <c r="K111" s="83">
        <f t="shared" si="10"/>
        <v>-100</v>
      </c>
      <c r="L111" s="6" t="s">
        <v>81</v>
      </c>
      <c r="M111" s="103" t="s">
        <v>56</v>
      </c>
    </row>
    <row r="112" spans="2:13" ht="15.75">
      <c r="B112" s="72"/>
      <c r="C112" s="6" t="s">
        <v>94</v>
      </c>
      <c r="D112" s="6" t="s">
        <v>39</v>
      </c>
      <c r="E112" s="6">
        <v>0</v>
      </c>
      <c r="F112" s="6">
        <v>320</v>
      </c>
      <c r="G112" s="6">
        <v>0</v>
      </c>
      <c r="H112" s="83"/>
      <c r="I112" s="6">
        <f t="shared" si="8"/>
        <v>0</v>
      </c>
      <c r="J112" s="83" t="e">
        <f t="shared" si="9"/>
        <v>#DIV/0!</v>
      </c>
      <c r="K112" s="83">
        <f t="shared" si="10"/>
        <v>-100</v>
      </c>
      <c r="L112" s="6" t="s">
        <v>81</v>
      </c>
      <c r="M112" s="103" t="s">
        <v>56</v>
      </c>
    </row>
    <row r="113" spans="2:13" ht="15.75">
      <c r="B113" s="72"/>
      <c r="C113" s="6" t="s">
        <v>94</v>
      </c>
      <c r="D113" s="6" t="s">
        <v>39</v>
      </c>
      <c r="E113" s="6">
        <v>0</v>
      </c>
      <c r="F113" s="6">
        <v>320</v>
      </c>
      <c r="G113" s="6">
        <v>0</v>
      </c>
      <c r="H113" s="83"/>
      <c r="I113" s="6">
        <f t="shared" si="8"/>
        <v>0</v>
      </c>
      <c r="J113" s="83" t="e">
        <f t="shared" si="9"/>
        <v>#DIV/0!</v>
      </c>
      <c r="K113" s="83">
        <f t="shared" si="10"/>
        <v>-100</v>
      </c>
      <c r="L113" s="6" t="s">
        <v>81</v>
      </c>
      <c r="M113" s="103" t="s">
        <v>56</v>
      </c>
    </row>
    <row r="114" spans="2:13" ht="15.75">
      <c r="B114" s="72"/>
      <c r="C114" s="6" t="s">
        <v>94</v>
      </c>
      <c r="D114" s="6" t="s">
        <v>39</v>
      </c>
      <c r="E114" s="6">
        <v>0</v>
      </c>
      <c r="F114" s="6">
        <v>320</v>
      </c>
      <c r="G114" s="6">
        <v>0</v>
      </c>
      <c r="H114" s="83"/>
      <c r="I114" s="6">
        <f t="shared" si="8"/>
        <v>0</v>
      </c>
      <c r="J114" s="83" t="e">
        <f t="shared" si="9"/>
        <v>#DIV/0!</v>
      </c>
      <c r="K114" s="83">
        <f t="shared" si="10"/>
        <v>-100</v>
      </c>
      <c r="L114" s="6" t="s">
        <v>81</v>
      </c>
      <c r="M114" s="104"/>
    </row>
    <row r="115" spans="2:13" ht="15.75">
      <c r="B115" s="72"/>
      <c r="C115" s="6" t="s">
        <v>94</v>
      </c>
      <c r="D115" s="6" t="s">
        <v>39</v>
      </c>
      <c r="E115" s="6">
        <v>0</v>
      </c>
      <c r="F115" s="6">
        <v>320</v>
      </c>
      <c r="G115" s="6">
        <v>0</v>
      </c>
      <c r="H115" s="83"/>
      <c r="I115" s="6">
        <f t="shared" si="8"/>
        <v>0</v>
      </c>
      <c r="J115" s="83" t="e">
        <f t="shared" si="9"/>
        <v>#DIV/0!</v>
      </c>
      <c r="K115" s="83">
        <f t="shared" si="10"/>
        <v>-100</v>
      </c>
      <c r="L115" s="6" t="s">
        <v>81</v>
      </c>
      <c r="M115" s="104"/>
    </row>
    <row r="116" spans="2:13" ht="15.75">
      <c r="B116" s="72"/>
      <c r="C116" s="6"/>
      <c r="D116" s="6"/>
      <c r="E116" s="6"/>
      <c r="F116" s="6"/>
      <c r="G116" s="6"/>
      <c r="H116" s="83"/>
      <c r="I116" s="6"/>
      <c r="J116" s="83"/>
      <c r="K116" s="83"/>
      <c r="L116" s="6"/>
      <c r="M116" s="104"/>
    </row>
    <row r="117" spans="2:13" ht="15.75">
      <c r="B117" s="72"/>
      <c r="C117" s="6"/>
      <c r="D117" s="6"/>
      <c r="E117" s="6"/>
      <c r="F117" s="6"/>
      <c r="G117" s="6"/>
      <c r="H117" s="83"/>
      <c r="I117" s="6"/>
      <c r="J117" s="83"/>
      <c r="K117" s="83"/>
      <c r="L117" s="6"/>
      <c r="M117" s="104"/>
    </row>
    <row r="118" spans="2:13" ht="15.75">
      <c r="B118" s="82"/>
      <c r="C118" s="6"/>
      <c r="D118" s="6"/>
      <c r="E118" s="6"/>
      <c r="F118" s="6"/>
      <c r="G118" s="6"/>
      <c r="H118" s="83"/>
      <c r="I118" s="6"/>
      <c r="J118" s="83"/>
      <c r="K118" s="83"/>
      <c r="L118" s="6"/>
      <c r="M118" s="104"/>
    </row>
    <row r="119" spans="2:13">
      <c r="B119" s="87"/>
      <c r="C119" s="176" t="s">
        <v>95</v>
      </c>
      <c r="D119" s="176"/>
      <c r="E119" s="176"/>
      <c r="F119" s="176"/>
      <c r="G119" s="176"/>
      <c r="H119" s="176"/>
      <c r="I119" s="113">
        <f>COUNT(B107:B118)</f>
        <v>0</v>
      </c>
      <c r="J119" s="107"/>
      <c r="K119" s="107"/>
      <c r="L119" s="94"/>
      <c r="M119" s="108"/>
    </row>
  </sheetData>
  <mergeCells count="16">
    <mergeCell ref="C119:H119"/>
    <mergeCell ref="G64:H64"/>
    <mergeCell ref="D81:I81"/>
    <mergeCell ref="G84:H84"/>
    <mergeCell ref="D101:I101"/>
    <mergeCell ref="G104:H104"/>
    <mergeCell ref="G24:H24"/>
    <mergeCell ref="P40:S40"/>
    <mergeCell ref="D41:I41"/>
    <mergeCell ref="G44:H44"/>
    <mergeCell ref="D61:I61"/>
    <mergeCell ref="D1:J1"/>
    <mergeCell ref="D2:J2"/>
    <mergeCell ref="G5:H5"/>
    <mergeCell ref="C21:H21"/>
    <mergeCell ref="P21:S21"/>
  </mergeCells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>
  <dimension ref="B2:E56"/>
  <sheetViews>
    <sheetView workbookViewId="0">
      <selection activeCell="D2" sqref="D2:E3"/>
    </sheetView>
  </sheetViews>
  <sheetFormatPr defaultColWidth="9" defaultRowHeight="15"/>
  <cols>
    <col min="1" max="1" width="9.140625" customWidth="1"/>
    <col min="2" max="2" width="28.28515625" customWidth="1"/>
    <col min="3" max="3" width="30" customWidth="1"/>
    <col min="4" max="4" width="27.85546875" customWidth="1"/>
  </cols>
  <sheetData>
    <row r="2" spans="2:5">
      <c r="B2" s="179" t="s">
        <v>96</v>
      </c>
      <c r="C2" s="179"/>
      <c r="D2" s="181" t="str">
        <f>'MONTHLY 31'!$B$2</f>
        <v>01/03/2025 00:15</v>
      </c>
      <c r="E2" s="181"/>
    </row>
    <row r="3" spans="2:5">
      <c r="B3" s="179" t="s">
        <v>97</v>
      </c>
      <c r="C3" s="179"/>
      <c r="D3" s="181"/>
      <c r="E3" s="181"/>
    </row>
    <row r="7" spans="2:5" s="2" customFormat="1">
      <c r="B7" s="68" t="s">
        <v>98</v>
      </c>
      <c r="C7" s="68" t="s">
        <v>99</v>
      </c>
      <c r="D7" s="69" t="s">
        <v>100</v>
      </c>
    </row>
    <row r="8" spans="2:5" s="2" customFormat="1">
      <c r="B8" s="70"/>
      <c r="C8" s="70"/>
      <c r="D8" s="71">
        <f t="shared" ref="D8:D13" si="0">C8-B8</f>
        <v>0</v>
      </c>
    </row>
    <row r="9" spans="2:5" s="2" customFormat="1">
      <c r="B9" s="70"/>
      <c r="C9" s="70"/>
      <c r="D9" s="71">
        <f t="shared" si="0"/>
        <v>0</v>
      </c>
    </row>
    <row r="10" spans="2:5" s="2" customFormat="1">
      <c r="B10" s="72"/>
      <c r="C10" s="72"/>
      <c r="D10" s="71">
        <f t="shared" si="0"/>
        <v>0</v>
      </c>
    </row>
    <row r="11" spans="2:5" s="2" customFormat="1">
      <c r="B11" s="72"/>
      <c r="C11" s="72"/>
      <c r="D11" s="71">
        <f t="shared" si="0"/>
        <v>0</v>
      </c>
    </row>
    <row r="12" spans="2:5">
      <c r="B12" s="72"/>
      <c r="C12" s="72"/>
      <c r="D12" s="71">
        <f t="shared" si="0"/>
        <v>0</v>
      </c>
    </row>
    <row r="13" spans="2:5">
      <c r="B13" s="72"/>
      <c r="C13" s="72"/>
      <c r="D13" s="71">
        <f t="shared" si="0"/>
        <v>0</v>
      </c>
    </row>
    <row r="14" spans="2:5">
      <c r="B14" s="72"/>
      <c r="C14" s="72"/>
      <c r="D14" s="71">
        <f t="shared" ref="D14:D23" si="1">C14-B14</f>
        <v>0</v>
      </c>
    </row>
    <row r="15" spans="2:5">
      <c r="B15" s="72"/>
      <c r="C15" s="72"/>
      <c r="D15" s="71">
        <f t="shared" si="1"/>
        <v>0</v>
      </c>
    </row>
    <row r="16" spans="2:5">
      <c r="B16" s="72"/>
      <c r="C16" s="72"/>
      <c r="D16" s="71">
        <f t="shared" si="1"/>
        <v>0</v>
      </c>
    </row>
    <row r="17" spans="2:4">
      <c r="B17" s="72"/>
      <c r="C17" s="72"/>
      <c r="D17" s="71">
        <f t="shared" si="1"/>
        <v>0</v>
      </c>
    </row>
    <row r="18" spans="2:4">
      <c r="B18" s="72"/>
      <c r="C18" s="72"/>
      <c r="D18" s="71">
        <f t="shared" si="1"/>
        <v>0</v>
      </c>
    </row>
    <row r="19" spans="2:4">
      <c r="B19" s="72"/>
      <c r="C19" s="72"/>
      <c r="D19" s="71">
        <f t="shared" si="1"/>
        <v>0</v>
      </c>
    </row>
    <row r="20" spans="2:4">
      <c r="B20" s="72"/>
      <c r="C20" s="72"/>
      <c r="D20" s="71">
        <f t="shared" si="1"/>
        <v>0</v>
      </c>
    </row>
    <row r="21" spans="2:4">
      <c r="B21" s="72"/>
      <c r="C21" s="72"/>
      <c r="D21" s="71">
        <f t="shared" si="1"/>
        <v>0</v>
      </c>
    </row>
    <row r="22" spans="2:4">
      <c r="B22" s="72"/>
      <c r="C22" s="72"/>
      <c r="D22" s="71">
        <f t="shared" si="1"/>
        <v>0</v>
      </c>
    </row>
    <row r="23" spans="2:4">
      <c r="B23" s="72"/>
      <c r="C23" s="72"/>
      <c r="D23" s="71">
        <f t="shared" si="1"/>
        <v>0</v>
      </c>
    </row>
    <row r="24" spans="2:4">
      <c r="B24" s="73" t="s">
        <v>101</v>
      </c>
      <c r="C24" s="72"/>
      <c r="D24" s="71">
        <f>SUM(D7:D23)</f>
        <v>0</v>
      </c>
    </row>
    <row r="25" spans="2:4">
      <c r="B25" s="74"/>
      <c r="C25" s="74"/>
      <c r="D25" s="75"/>
    </row>
    <row r="26" spans="2:4">
      <c r="B26" s="74"/>
      <c r="C26" s="74"/>
      <c r="D26" s="75"/>
    </row>
    <row r="27" spans="2:4">
      <c r="B27" s="74"/>
      <c r="C27" s="74"/>
      <c r="D27" s="75"/>
    </row>
    <row r="28" spans="2:4">
      <c r="B28" s="74"/>
      <c r="C28" s="74"/>
      <c r="D28" s="75"/>
    </row>
    <row r="29" spans="2:4">
      <c r="B29" s="74"/>
      <c r="C29" s="74"/>
      <c r="D29" s="75"/>
    </row>
    <row r="30" spans="2:4">
      <c r="B30" s="74"/>
      <c r="C30" s="74"/>
      <c r="D30" s="75"/>
    </row>
    <row r="31" spans="2:4">
      <c r="B31" s="74"/>
      <c r="C31" s="74"/>
      <c r="D31" s="75"/>
    </row>
    <row r="32" spans="2:4">
      <c r="B32" s="74"/>
      <c r="C32" s="74"/>
      <c r="D32" s="75"/>
    </row>
    <row r="33" spans="2:4">
      <c r="B33" s="74"/>
      <c r="C33" s="74"/>
      <c r="D33" s="75"/>
    </row>
    <row r="34" spans="2:4">
      <c r="B34" s="74"/>
      <c r="C34" s="74"/>
      <c r="D34" s="75"/>
    </row>
    <row r="35" spans="2:4">
      <c r="B35" s="74"/>
      <c r="C35" s="74"/>
      <c r="D35" s="75"/>
    </row>
    <row r="36" spans="2:4">
      <c r="B36" s="74"/>
      <c r="C36" s="74"/>
      <c r="D36" s="75"/>
    </row>
    <row r="37" spans="2:4">
      <c r="B37" s="74"/>
      <c r="C37" s="74"/>
      <c r="D37" s="75"/>
    </row>
    <row r="38" spans="2:4">
      <c r="B38" s="74"/>
      <c r="C38" s="74"/>
      <c r="D38" s="75"/>
    </row>
    <row r="39" spans="2:4">
      <c r="B39" s="74"/>
      <c r="C39" s="74"/>
      <c r="D39" s="75"/>
    </row>
    <row r="40" spans="2:4">
      <c r="B40" s="74"/>
      <c r="C40" s="74"/>
      <c r="D40" s="75"/>
    </row>
    <row r="41" spans="2:4">
      <c r="B41" s="74"/>
      <c r="C41" s="74"/>
      <c r="D41" s="75"/>
    </row>
    <row r="42" spans="2:4">
      <c r="B42" s="74"/>
      <c r="C42" s="74"/>
      <c r="D42" s="75"/>
    </row>
    <row r="43" spans="2:4">
      <c r="B43" s="74"/>
      <c r="C43" s="74"/>
      <c r="D43" s="75"/>
    </row>
    <row r="44" spans="2:4" ht="15.75">
      <c r="B44" s="180" t="s">
        <v>101</v>
      </c>
      <c r="C44" s="180"/>
      <c r="D44" s="75">
        <f>SUM(D11:D42)</f>
        <v>0</v>
      </c>
    </row>
    <row r="45" spans="2:4">
      <c r="B45" s="74"/>
      <c r="C45" s="74"/>
      <c r="D45" s="75"/>
    </row>
    <row r="46" spans="2:4">
      <c r="B46" s="74"/>
      <c r="C46" s="74"/>
      <c r="D46" s="75"/>
    </row>
    <row r="47" spans="2:4">
      <c r="B47" s="74"/>
      <c r="C47" s="74"/>
      <c r="D47" s="75"/>
    </row>
    <row r="48" spans="2:4">
      <c r="B48" s="74"/>
      <c r="C48" s="74"/>
      <c r="D48" s="75"/>
    </row>
    <row r="49" spans="2:4">
      <c r="B49" s="74"/>
      <c r="C49" s="74"/>
      <c r="D49" s="75"/>
    </row>
    <row r="50" spans="2:4">
      <c r="B50" s="74"/>
      <c r="C50" s="74"/>
      <c r="D50" s="75"/>
    </row>
    <row r="51" spans="2:4">
      <c r="B51" s="74"/>
      <c r="C51" s="74"/>
      <c r="D51" s="75"/>
    </row>
    <row r="52" spans="2:4">
      <c r="B52" s="74"/>
      <c r="C52" s="74"/>
      <c r="D52" s="75"/>
    </row>
    <row r="53" spans="2:4">
      <c r="B53" s="74"/>
      <c r="C53" s="74"/>
      <c r="D53" s="75"/>
    </row>
    <row r="54" spans="2:4">
      <c r="B54" s="74"/>
      <c r="C54" s="74"/>
      <c r="D54" s="75"/>
    </row>
    <row r="55" spans="2:4">
      <c r="D55" s="75"/>
    </row>
    <row r="56" spans="2:4">
      <c r="D56" s="75"/>
    </row>
  </sheetData>
  <mergeCells count="4">
    <mergeCell ref="B2:C2"/>
    <mergeCell ref="B3:C3"/>
    <mergeCell ref="B44:C44"/>
    <mergeCell ref="D2:E3"/>
  </mergeCells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>
  <dimension ref="B2:AB86"/>
  <sheetViews>
    <sheetView workbookViewId="0">
      <selection activeCell="F4" sqref="F4"/>
    </sheetView>
  </sheetViews>
  <sheetFormatPr defaultColWidth="9.140625" defaultRowHeight="15"/>
  <cols>
    <col min="1" max="1" width="7" style="2" customWidth="1"/>
    <col min="2" max="2" width="13.42578125" style="2" customWidth="1"/>
    <col min="3" max="3" width="14" style="2" customWidth="1"/>
    <col min="4" max="4" width="14.140625" style="2" customWidth="1"/>
    <col min="5" max="5" width="18" style="2" customWidth="1"/>
    <col min="6" max="6" width="12.5703125" style="2" customWidth="1"/>
    <col min="7" max="8" width="12" style="2" customWidth="1"/>
    <col min="9" max="9" width="12.5703125" style="2" customWidth="1"/>
    <col min="10" max="10" width="12" style="2" customWidth="1"/>
    <col min="11" max="11" width="13.140625" style="2" customWidth="1"/>
    <col min="12" max="12" width="12.5703125" style="2" customWidth="1"/>
    <col min="13" max="13" width="12" style="2" customWidth="1"/>
    <col min="14" max="14" width="14" style="2" customWidth="1"/>
    <col min="15" max="15" width="14.5703125" style="2" customWidth="1"/>
    <col min="16" max="16" width="11.140625" style="2" customWidth="1"/>
    <col min="17" max="17" width="11.7109375" style="2" customWidth="1"/>
    <col min="18" max="18" width="11.85546875" style="2" customWidth="1"/>
    <col min="19" max="19" width="12.5703125" style="2" customWidth="1"/>
    <col min="20" max="20" width="12" style="2" customWidth="1"/>
    <col min="21" max="21" width="14" style="2" customWidth="1"/>
    <col min="22" max="22" width="14.5703125" style="2" customWidth="1"/>
    <col min="23" max="23" width="9.140625" style="2"/>
    <col min="24" max="24" width="12.28515625" style="2" customWidth="1"/>
    <col min="25" max="25" width="11.7109375" style="2" customWidth="1"/>
    <col min="26" max="16384" width="9.140625" style="2"/>
  </cols>
  <sheetData>
    <row r="2" spans="2:24" customFormat="1" ht="15" customHeight="1">
      <c r="B2" s="182" t="s">
        <v>102</v>
      </c>
      <c r="C2" s="182"/>
      <c r="D2" s="182"/>
      <c r="E2" s="182"/>
      <c r="F2" s="183">
        <v>1</v>
      </c>
      <c r="G2" s="184"/>
      <c r="H2" s="184"/>
    </row>
    <row r="3" spans="2:24" customFormat="1" ht="15" customHeight="1">
      <c r="B3" s="182"/>
      <c r="C3" s="182"/>
      <c r="D3" s="182"/>
      <c r="E3" s="182"/>
      <c r="F3" s="184"/>
      <c r="G3" s="184"/>
      <c r="H3" s="184"/>
    </row>
    <row r="8" spans="2:24">
      <c r="U8" s="39"/>
    </row>
    <row r="9" spans="2:24" ht="15.75">
      <c r="J9" s="29"/>
      <c r="K9" s="29"/>
      <c r="U9" s="39"/>
    </row>
    <row r="10" spans="2:24">
      <c r="U10" s="39"/>
    </row>
    <row r="11" spans="2:24">
      <c r="U11" s="39"/>
    </row>
    <row r="12" spans="2:24" ht="15.75" customHeight="1">
      <c r="B12" s="187" t="s">
        <v>94</v>
      </c>
      <c r="C12" s="198" t="s">
        <v>103</v>
      </c>
      <c r="D12" s="199"/>
      <c r="E12" s="199"/>
      <c r="F12" s="199"/>
      <c r="G12" s="199"/>
      <c r="H12" s="199"/>
      <c r="I12" s="199"/>
      <c r="J12" s="199"/>
      <c r="K12" s="199"/>
      <c r="L12" s="199"/>
      <c r="M12" s="199"/>
      <c r="N12" s="199"/>
      <c r="O12" s="199"/>
      <c r="P12" s="199"/>
      <c r="Q12" s="199"/>
      <c r="R12" s="40"/>
      <c r="U12" s="39"/>
    </row>
    <row r="13" spans="2:24" ht="15" customHeight="1">
      <c r="B13" s="188"/>
      <c r="C13" s="3" t="s">
        <v>104</v>
      </c>
      <c r="D13" s="4" t="s">
        <v>105</v>
      </c>
      <c r="E13" s="4" t="s">
        <v>106</v>
      </c>
      <c r="F13" s="4" t="s">
        <v>107</v>
      </c>
      <c r="G13" s="4" t="s">
        <v>108</v>
      </c>
      <c r="H13" s="4" t="s">
        <v>109</v>
      </c>
      <c r="I13" s="4" t="s">
        <v>110</v>
      </c>
      <c r="J13" s="4" t="s">
        <v>111</v>
      </c>
      <c r="K13" s="4" t="s">
        <v>112</v>
      </c>
      <c r="L13" s="4" t="s">
        <v>113</v>
      </c>
      <c r="M13" s="4" t="s">
        <v>114</v>
      </c>
      <c r="N13" s="4" t="s">
        <v>115</v>
      </c>
      <c r="O13" s="4" t="s">
        <v>116</v>
      </c>
      <c r="P13" s="30" t="s">
        <v>117</v>
      </c>
      <c r="Q13" s="4" t="s">
        <v>118</v>
      </c>
      <c r="R13" s="41"/>
      <c r="U13" s="39"/>
    </row>
    <row r="14" spans="2:24" ht="15" customHeight="1">
      <c r="B14" s="188"/>
      <c r="C14" s="5"/>
      <c r="D14" s="6"/>
      <c r="E14" s="6"/>
      <c r="F14" s="6"/>
      <c r="G14" s="6"/>
      <c r="H14" s="6"/>
      <c r="I14" s="6"/>
      <c r="J14" s="6"/>
      <c r="K14" s="9"/>
      <c r="L14" s="9"/>
      <c r="M14" s="6"/>
      <c r="N14" s="6"/>
      <c r="O14" s="6"/>
      <c r="P14" s="6"/>
      <c r="Q14" s="6"/>
      <c r="R14" s="6"/>
      <c r="X14" s="42"/>
    </row>
    <row r="15" spans="2:24" ht="15" customHeight="1">
      <c r="B15" s="188"/>
      <c r="C15" s="7" t="s">
        <v>119</v>
      </c>
      <c r="D15" s="8" t="s">
        <v>120</v>
      </c>
      <c r="E15" s="8" t="s">
        <v>121</v>
      </c>
      <c r="F15" s="8" t="s">
        <v>122</v>
      </c>
      <c r="G15" s="8" t="s">
        <v>123</v>
      </c>
      <c r="H15" s="8" t="s">
        <v>124</v>
      </c>
      <c r="I15" s="8" t="s">
        <v>125</v>
      </c>
      <c r="J15" s="8" t="s">
        <v>126</v>
      </c>
      <c r="K15" s="8" t="s">
        <v>127</v>
      </c>
      <c r="L15" s="8" t="s">
        <v>128</v>
      </c>
      <c r="M15" s="8" t="s">
        <v>129</v>
      </c>
      <c r="N15" s="8" t="s">
        <v>130</v>
      </c>
      <c r="O15" s="8" t="s">
        <v>131</v>
      </c>
      <c r="P15" s="31" t="s">
        <v>132</v>
      </c>
      <c r="Q15" s="8" t="s">
        <v>133</v>
      </c>
      <c r="R15" s="43" t="s">
        <v>75</v>
      </c>
      <c r="X15" s="42"/>
    </row>
    <row r="16" spans="2:24" ht="15.75" customHeight="1">
      <c r="B16" s="188"/>
      <c r="C16" s="9"/>
      <c r="D16" s="9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44"/>
      <c r="X16" s="42"/>
    </row>
    <row r="17" spans="2:28" ht="15.75" customHeight="1">
      <c r="B17" s="188"/>
      <c r="C17" s="10"/>
      <c r="P17" s="1"/>
      <c r="Q17" s="1"/>
      <c r="R17" s="45"/>
      <c r="X17" s="42"/>
    </row>
    <row r="18" spans="2:28" ht="15.75" customHeight="1">
      <c r="B18" s="188"/>
      <c r="C18" s="8" t="s">
        <v>104</v>
      </c>
      <c r="D18" s="8" t="s">
        <v>105</v>
      </c>
      <c r="E18" s="8" t="s">
        <v>106</v>
      </c>
      <c r="F18" s="8" t="s">
        <v>134</v>
      </c>
      <c r="G18" s="8" t="s">
        <v>108</v>
      </c>
      <c r="H18" s="8" t="s">
        <v>109</v>
      </c>
      <c r="I18" s="8" t="s">
        <v>110</v>
      </c>
      <c r="J18" s="8" t="s">
        <v>111</v>
      </c>
      <c r="K18" s="8" t="s">
        <v>112</v>
      </c>
      <c r="L18" s="8" t="s">
        <v>113</v>
      </c>
      <c r="M18" s="8" t="s">
        <v>114</v>
      </c>
      <c r="N18" s="8" t="s">
        <v>115</v>
      </c>
      <c r="O18" s="8" t="s">
        <v>116</v>
      </c>
      <c r="P18" s="31" t="s">
        <v>117</v>
      </c>
      <c r="Q18" s="8" t="s">
        <v>118</v>
      </c>
      <c r="R18" s="45"/>
    </row>
    <row r="19" spans="2:28" ht="15.75">
      <c r="B19" s="11"/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45"/>
    </row>
    <row r="20" spans="2:28" ht="15.75">
      <c r="B20" s="11"/>
      <c r="C20" s="8" t="s">
        <v>119</v>
      </c>
      <c r="D20" s="8" t="s">
        <v>120</v>
      </c>
      <c r="E20" s="8" t="s">
        <v>121</v>
      </c>
      <c r="F20" s="8" t="s">
        <v>122</v>
      </c>
      <c r="G20" s="8" t="s">
        <v>123</v>
      </c>
      <c r="H20" s="8" t="s">
        <v>124</v>
      </c>
      <c r="I20" s="8" t="s">
        <v>125</v>
      </c>
      <c r="J20" s="8" t="s">
        <v>126</v>
      </c>
      <c r="K20" s="8" t="s">
        <v>127</v>
      </c>
      <c r="L20" s="8" t="s">
        <v>128</v>
      </c>
      <c r="M20" s="8" t="s">
        <v>129</v>
      </c>
      <c r="N20" s="8" t="s">
        <v>130</v>
      </c>
      <c r="O20" s="8" t="s">
        <v>131</v>
      </c>
      <c r="P20" s="31" t="s">
        <v>132</v>
      </c>
      <c r="Q20" s="8" t="s">
        <v>133</v>
      </c>
      <c r="R20" s="46" t="s">
        <v>75</v>
      </c>
    </row>
    <row r="21" spans="2:28" ht="15.75">
      <c r="B21" s="12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47"/>
      <c r="R21" s="48"/>
      <c r="S21"/>
    </row>
    <row r="23" spans="2:28" s="1" customFormat="1" ht="15.75" customHeight="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Z23" s="2"/>
      <c r="AA23" s="2"/>
    </row>
    <row r="24" spans="2:28" ht="15" customHeight="1"/>
    <row r="25" spans="2:28" ht="15" customHeight="1">
      <c r="B25" s="189" t="s">
        <v>85</v>
      </c>
      <c r="C25" s="200" t="s">
        <v>103</v>
      </c>
      <c r="D25" s="201"/>
      <c r="E25" s="201"/>
      <c r="F25" s="201"/>
      <c r="G25" s="201"/>
      <c r="H25" s="201"/>
      <c r="I25" s="201"/>
      <c r="J25" s="201"/>
      <c r="K25" s="201"/>
      <c r="L25" s="201"/>
      <c r="M25" s="201"/>
      <c r="N25" s="201"/>
      <c r="O25" s="201"/>
      <c r="P25" s="201"/>
      <c r="Q25" s="201"/>
      <c r="R25" s="185"/>
      <c r="S25" s="49"/>
      <c r="T25" s="50"/>
    </row>
    <row r="26" spans="2:28" ht="15" customHeight="1">
      <c r="B26" s="189"/>
      <c r="C26" s="14" t="s">
        <v>104</v>
      </c>
      <c r="D26" s="15" t="s">
        <v>135</v>
      </c>
      <c r="E26" s="15" t="s">
        <v>136</v>
      </c>
      <c r="F26" s="15" t="s">
        <v>137</v>
      </c>
      <c r="G26" s="15" t="s">
        <v>138</v>
      </c>
      <c r="H26" s="15" t="s">
        <v>139</v>
      </c>
      <c r="I26" s="15" t="s">
        <v>140</v>
      </c>
      <c r="J26" s="15" t="s">
        <v>141</v>
      </c>
      <c r="K26" s="15" t="s">
        <v>142</v>
      </c>
      <c r="L26" s="15" t="s">
        <v>143</v>
      </c>
      <c r="M26" s="15" t="s">
        <v>144</v>
      </c>
      <c r="N26" s="15" t="s">
        <v>145</v>
      </c>
      <c r="O26" s="15" t="s">
        <v>146</v>
      </c>
      <c r="P26" s="15" t="s">
        <v>147</v>
      </c>
      <c r="Q26" s="15" t="s">
        <v>148</v>
      </c>
      <c r="R26" s="15" t="s">
        <v>149</v>
      </c>
      <c r="S26" s="15" t="s">
        <v>150</v>
      </c>
      <c r="T26" s="51" t="s">
        <v>75</v>
      </c>
      <c r="Z26" s="1"/>
      <c r="AA26" s="1"/>
      <c r="AB26" s="1"/>
    </row>
    <row r="27" spans="2:28" ht="15.75" customHeight="1">
      <c r="B27" s="189"/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34"/>
    </row>
    <row r="28" spans="2:28" ht="15" customHeight="1">
      <c r="B28" s="189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52"/>
      <c r="T28" s="52"/>
    </row>
    <row r="29" spans="2:28" ht="15.75" customHeight="1">
      <c r="B29" s="190"/>
      <c r="C29" s="18" t="s">
        <v>104</v>
      </c>
      <c r="D29" s="19" t="s">
        <v>135</v>
      </c>
      <c r="E29" s="19" t="s">
        <v>136</v>
      </c>
      <c r="F29" s="19" t="s">
        <v>137</v>
      </c>
      <c r="G29" s="19" t="s">
        <v>138</v>
      </c>
      <c r="H29" s="19" t="s">
        <v>139</v>
      </c>
      <c r="I29" s="19" t="s">
        <v>140</v>
      </c>
      <c r="J29" s="19" t="s">
        <v>141</v>
      </c>
      <c r="K29" s="19" t="s">
        <v>142</v>
      </c>
      <c r="L29" s="19" t="s">
        <v>143</v>
      </c>
      <c r="M29" s="19" t="s">
        <v>144</v>
      </c>
      <c r="N29" s="19" t="s">
        <v>145</v>
      </c>
      <c r="O29" s="19" t="s">
        <v>146</v>
      </c>
      <c r="P29" s="19" t="s">
        <v>147</v>
      </c>
      <c r="Q29" s="19" t="s">
        <v>148</v>
      </c>
      <c r="R29" s="19" t="s">
        <v>149</v>
      </c>
      <c r="S29" s="19" t="s">
        <v>150</v>
      </c>
      <c r="T29" s="53" t="s">
        <v>75</v>
      </c>
    </row>
    <row r="30" spans="2:28">
      <c r="B30" s="20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34"/>
    </row>
    <row r="31" spans="2:28">
      <c r="C31" s="21"/>
    </row>
    <row r="32" spans="2:28">
      <c r="C32" s="21"/>
    </row>
    <row r="33" spans="2:25" ht="15" customHeight="1">
      <c r="C33" s="21"/>
    </row>
    <row r="34" spans="2:25" ht="15.75" customHeight="1"/>
    <row r="35" spans="2:25" ht="15" customHeight="1"/>
    <row r="36" spans="2:25" ht="15.75" customHeight="1">
      <c r="B36" s="191" t="s">
        <v>37</v>
      </c>
      <c r="C36" s="202" t="s">
        <v>103</v>
      </c>
      <c r="D36" s="202"/>
      <c r="E36" s="202"/>
      <c r="F36" s="202"/>
      <c r="G36" s="202"/>
      <c r="H36" s="202"/>
      <c r="I36" s="202"/>
      <c r="J36" s="202"/>
      <c r="K36" s="202"/>
      <c r="L36" s="202"/>
      <c r="M36" s="202"/>
      <c r="N36" s="202"/>
      <c r="O36" s="203"/>
    </row>
    <row r="37" spans="2:25" ht="15.75" customHeight="1">
      <c r="B37" s="192"/>
      <c r="C37" s="22" t="s">
        <v>104</v>
      </c>
      <c r="D37" s="8" t="s">
        <v>135</v>
      </c>
      <c r="E37" s="8" t="s">
        <v>136</v>
      </c>
      <c r="F37" s="8" t="s">
        <v>151</v>
      </c>
      <c r="G37" s="8" t="s">
        <v>152</v>
      </c>
      <c r="H37" s="8" t="s">
        <v>153</v>
      </c>
      <c r="I37" s="8" t="s">
        <v>154</v>
      </c>
      <c r="J37" s="8" t="s">
        <v>155</v>
      </c>
      <c r="K37" s="8" t="s">
        <v>156</v>
      </c>
      <c r="L37" s="8" t="s">
        <v>157</v>
      </c>
      <c r="M37" s="8" t="s">
        <v>158</v>
      </c>
      <c r="N37" s="8" t="s">
        <v>159</v>
      </c>
      <c r="O37" s="32" t="s">
        <v>160</v>
      </c>
    </row>
    <row r="38" spans="2:25">
      <c r="B38" s="192"/>
      <c r="C38" s="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W38" s="1"/>
      <c r="X38" s="1"/>
      <c r="Y38" s="1"/>
    </row>
    <row r="39" spans="2:25" ht="15.75">
      <c r="B39" s="192"/>
      <c r="C39" s="22" t="s">
        <v>161</v>
      </c>
      <c r="D39" s="8" t="s">
        <v>162</v>
      </c>
      <c r="E39" s="8" t="s">
        <v>163</v>
      </c>
      <c r="F39" s="8" t="s">
        <v>164</v>
      </c>
      <c r="G39" s="8" t="s">
        <v>165</v>
      </c>
      <c r="H39" s="8" t="s">
        <v>166</v>
      </c>
      <c r="I39" s="8" t="s">
        <v>167</v>
      </c>
      <c r="J39" s="8" t="s">
        <v>168</v>
      </c>
      <c r="K39" s="8" t="s">
        <v>169</v>
      </c>
      <c r="L39" s="8" t="s">
        <v>170</v>
      </c>
      <c r="M39" s="8" t="s">
        <v>171</v>
      </c>
      <c r="N39" s="8" t="s">
        <v>172</v>
      </c>
      <c r="O39" s="33" t="s">
        <v>75</v>
      </c>
      <c r="W39" s="1"/>
      <c r="X39" s="1"/>
      <c r="Y39" s="1"/>
    </row>
    <row r="40" spans="2:25">
      <c r="B40" s="192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34"/>
      <c r="W40" s="1"/>
      <c r="X40" s="1"/>
      <c r="Y40" s="1"/>
    </row>
    <row r="41" spans="2:25">
      <c r="B41" s="23"/>
      <c r="C41" s="21"/>
      <c r="J41" s="35"/>
      <c r="O41" s="36"/>
    </row>
    <row r="42" spans="2:25" ht="15.75" customHeight="1">
      <c r="B42" s="23"/>
      <c r="C42" s="22" t="s">
        <v>104</v>
      </c>
      <c r="D42" s="8" t="s">
        <v>135</v>
      </c>
      <c r="E42" s="8" t="s">
        <v>136</v>
      </c>
      <c r="F42" s="8" t="s">
        <v>151</v>
      </c>
      <c r="G42" s="8" t="s">
        <v>152</v>
      </c>
      <c r="H42" s="8" t="s">
        <v>153</v>
      </c>
      <c r="I42" s="8" t="s">
        <v>154</v>
      </c>
      <c r="J42" s="8" t="s">
        <v>155</v>
      </c>
      <c r="K42" s="8" t="s">
        <v>156</v>
      </c>
      <c r="L42" s="8" t="s">
        <v>157</v>
      </c>
      <c r="M42" s="8" t="s">
        <v>158</v>
      </c>
      <c r="N42" s="8" t="s">
        <v>159</v>
      </c>
      <c r="O42" s="32" t="s">
        <v>160</v>
      </c>
    </row>
    <row r="43" spans="2:25" ht="15" customHeight="1">
      <c r="B43" s="23"/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25" ht="15" customHeight="1">
      <c r="B44" s="23"/>
      <c r="C44" s="22" t="s">
        <v>161</v>
      </c>
      <c r="D44" s="8" t="s">
        <v>162</v>
      </c>
      <c r="E44" s="8" t="s">
        <v>163</v>
      </c>
      <c r="F44" s="8" t="s">
        <v>164</v>
      </c>
      <c r="G44" s="8" t="s">
        <v>165</v>
      </c>
      <c r="H44" s="8" t="s">
        <v>166</v>
      </c>
      <c r="I44" s="8" t="s">
        <v>167</v>
      </c>
      <c r="J44" s="8" t="s">
        <v>168</v>
      </c>
      <c r="K44" s="8" t="s">
        <v>169</v>
      </c>
      <c r="L44" s="8" t="s">
        <v>170</v>
      </c>
      <c r="M44" s="8" t="s">
        <v>171</v>
      </c>
      <c r="N44" s="8" t="s">
        <v>172</v>
      </c>
      <c r="O44" s="33" t="s">
        <v>75</v>
      </c>
      <c r="R44" s="54"/>
    </row>
    <row r="45" spans="2:25" ht="15" customHeight="1">
      <c r="B45" s="24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37"/>
      <c r="R45" s="55"/>
    </row>
    <row r="46" spans="2:25" ht="15.75" customHeight="1">
      <c r="J46" s="38"/>
      <c r="R46"/>
      <c r="Y46" s="1"/>
    </row>
    <row r="47" spans="2:25" ht="15.75">
      <c r="J47" s="38"/>
      <c r="R47" s="55"/>
    </row>
    <row r="48" spans="2:25">
      <c r="B48" s="193" t="s">
        <v>63</v>
      </c>
      <c r="C48" s="25" t="s">
        <v>103</v>
      </c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56"/>
      <c r="R48"/>
    </row>
    <row r="49" spans="2:20">
      <c r="B49" s="194"/>
      <c r="C49" s="22" t="s">
        <v>104</v>
      </c>
      <c r="D49" s="8" t="s">
        <v>126</v>
      </c>
      <c r="E49" s="8" t="s">
        <v>173</v>
      </c>
      <c r="F49" s="8" t="s">
        <v>174</v>
      </c>
      <c r="G49" s="8" t="s">
        <v>175</v>
      </c>
      <c r="H49" s="8" t="s">
        <v>176</v>
      </c>
      <c r="I49" s="8" t="s">
        <v>177</v>
      </c>
      <c r="J49" s="8" t="s">
        <v>111</v>
      </c>
      <c r="K49" s="8" t="s">
        <v>178</v>
      </c>
      <c r="L49" s="8" t="s">
        <v>179</v>
      </c>
      <c r="M49" s="8" t="s">
        <v>180</v>
      </c>
      <c r="N49" s="8" t="s">
        <v>181</v>
      </c>
      <c r="O49" s="8" t="s">
        <v>182</v>
      </c>
      <c r="P49" s="8" t="s">
        <v>183</v>
      </c>
      <c r="Q49" s="32" t="s">
        <v>184</v>
      </c>
    </row>
    <row r="50" spans="2:20">
      <c r="B50" s="194"/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20" ht="15.75">
      <c r="B51" s="194"/>
      <c r="C51" s="22" t="s">
        <v>185</v>
      </c>
      <c r="D51" s="8" t="s">
        <v>186</v>
      </c>
      <c r="E51" s="8" t="s">
        <v>187</v>
      </c>
      <c r="F51" s="8" t="s">
        <v>188</v>
      </c>
      <c r="G51" s="8" t="s">
        <v>189</v>
      </c>
      <c r="H51" s="8" t="s">
        <v>190</v>
      </c>
      <c r="I51" s="8" t="s">
        <v>191</v>
      </c>
      <c r="J51" s="8" t="s">
        <v>192</v>
      </c>
      <c r="K51" s="8" t="s">
        <v>193</v>
      </c>
      <c r="L51" s="8" t="s">
        <v>136</v>
      </c>
      <c r="M51" s="8" t="s">
        <v>194</v>
      </c>
      <c r="N51" s="8" t="s">
        <v>132</v>
      </c>
      <c r="O51" s="8" t="s">
        <v>195</v>
      </c>
      <c r="P51" s="8" t="s">
        <v>196</v>
      </c>
      <c r="Q51" s="33" t="s">
        <v>75</v>
      </c>
    </row>
    <row r="52" spans="2:20" ht="15.75">
      <c r="B52" s="194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37"/>
    </row>
    <row r="53" spans="2:20">
      <c r="B53" s="23"/>
      <c r="Q53" s="36"/>
    </row>
    <row r="54" spans="2:20">
      <c r="B54" s="23"/>
      <c r="C54" s="22" t="s">
        <v>104</v>
      </c>
      <c r="D54" s="8" t="s">
        <v>126</v>
      </c>
      <c r="E54" s="8" t="s">
        <v>173</v>
      </c>
      <c r="F54" s="8" t="s">
        <v>174</v>
      </c>
      <c r="G54" s="8" t="s">
        <v>175</v>
      </c>
      <c r="H54" s="8" t="s">
        <v>176</v>
      </c>
      <c r="I54" s="8" t="s">
        <v>177</v>
      </c>
      <c r="J54" s="8" t="s">
        <v>111</v>
      </c>
      <c r="K54" s="8" t="s">
        <v>178</v>
      </c>
      <c r="L54" s="8" t="s">
        <v>179</v>
      </c>
      <c r="M54" s="8" t="s">
        <v>180</v>
      </c>
      <c r="N54" s="8" t="s">
        <v>181</v>
      </c>
      <c r="O54" s="8" t="s">
        <v>182</v>
      </c>
      <c r="P54" s="8" t="s">
        <v>183</v>
      </c>
      <c r="Q54" s="32" t="s">
        <v>184</v>
      </c>
    </row>
    <row r="55" spans="2:20">
      <c r="B55" s="23"/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20" ht="15.75">
      <c r="B56" s="23"/>
      <c r="C56" s="22" t="s">
        <v>185</v>
      </c>
      <c r="D56" s="8" t="s">
        <v>186</v>
      </c>
      <c r="E56" s="8" t="s">
        <v>187</v>
      </c>
      <c r="F56" s="8" t="s">
        <v>188</v>
      </c>
      <c r="G56" s="8" t="s">
        <v>189</v>
      </c>
      <c r="H56" s="8" t="s">
        <v>190</v>
      </c>
      <c r="I56" s="8" t="s">
        <v>191</v>
      </c>
      <c r="J56" s="8" t="s">
        <v>192</v>
      </c>
      <c r="K56" s="8" t="s">
        <v>193</v>
      </c>
      <c r="L56" s="8" t="s">
        <v>136</v>
      </c>
      <c r="M56" s="8" t="s">
        <v>194</v>
      </c>
      <c r="N56" s="8" t="s">
        <v>132</v>
      </c>
      <c r="O56" s="8" t="s">
        <v>195</v>
      </c>
      <c r="P56" s="8" t="s">
        <v>196</v>
      </c>
      <c r="Q56" s="33" t="s">
        <v>75</v>
      </c>
    </row>
    <row r="57" spans="2:20" ht="15.75">
      <c r="B57" s="12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37"/>
    </row>
    <row r="61" spans="2:20">
      <c r="B61" s="189" t="s">
        <v>197</v>
      </c>
      <c r="C61" s="200" t="s">
        <v>103</v>
      </c>
      <c r="D61" s="201"/>
      <c r="E61" s="201"/>
      <c r="F61" s="201"/>
      <c r="G61" s="201"/>
      <c r="H61" s="201"/>
      <c r="I61" s="201"/>
      <c r="J61" s="201"/>
      <c r="K61" s="201"/>
      <c r="L61" s="201"/>
      <c r="M61" s="201"/>
      <c r="N61" s="201"/>
      <c r="O61" s="201"/>
      <c r="P61" s="201"/>
      <c r="Q61" s="201"/>
      <c r="R61" s="185"/>
      <c r="S61" s="57"/>
      <c r="T61" s="58"/>
    </row>
    <row r="62" spans="2:20" ht="15.75">
      <c r="B62" s="189"/>
      <c r="C62" s="27" t="s">
        <v>104</v>
      </c>
      <c r="D62" s="27" t="s">
        <v>198</v>
      </c>
      <c r="E62" s="27" t="s">
        <v>199</v>
      </c>
      <c r="F62" s="27" t="s">
        <v>200</v>
      </c>
      <c r="G62" s="27" t="s">
        <v>201</v>
      </c>
      <c r="H62" s="27" t="s">
        <v>202</v>
      </c>
      <c r="I62" s="27" t="s">
        <v>203</v>
      </c>
      <c r="J62" s="27" t="s">
        <v>204</v>
      </c>
      <c r="K62" s="27" t="s">
        <v>205</v>
      </c>
      <c r="L62" s="27" t="s">
        <v>206</v>
      </c>
      <c r="M62" s="27" t="s">
        <v>207</v>
      </c>
      <c r="N62" s="27" t="s">
        <v>208</v>
      </c>
      <c r="O62" s="27" t="s">
        <v>209</v>
      </c>
      <c r="P62" s="27" t="s">
        <v>210</v>
      </c>
      <c r="Q62" s="27" t="s">
        <v>211</v>
      </c>
      <c r="R62" s="27" t="s">
        <v>212</v>
      </c>
      <c r="S62" s="27" t="s">
        <v>213</v>
      </c>
      <c r="T62" s="51" t="s">
        <v>75</v>
      </c>
    </row>
    <row r="63" spans="2:20" ht="15.75">
      <c r="B63" s="195"/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37"/>
    </row>
    <row r="64" spans="2:20">
      <c r="B64" s="195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59"/>
      <c r="T64" s="59"/>
    </row>
    <row r="65" spans="2:20" ht="15.75">
      <c r="B65" s="190"/>
      <c r="C65" s="60" t="s">
        <v>104</v>
      </c>
      <c r="D65" s="60" t="s">
        <v>198</v>
      </c>
      <c r="E65" s="60" t="s">
        <v>199</v>
      </c>
      <c r="F65" s="60" t="s">
        <v>200</v>
      </c>
      <c r="G65" s="60" t="s">
        <v>201</v>
      </c>
      <c r="H65" s="60" t="s">
        <v>202</v>
      </c>
      <c r="I65" s="60" t="s">
        <v>203</v>
      </c>
      <c r="J65" s="60" t="s">
        <v>204</v>
      </c>
      <c r="K65" s="60" t="s">
        <v>205</v>
      </c>
      <c r="L65" s="60" t="s">
        <v>206</v>
      </c>
      <c r="M65" s="60" t="s">
        <v>207</v>
      </c>
      <c r="N65" s="60" t="s">
        <v>208</v>
      </c>
      <c r="O65" s="60" t="s">
        <v>209</v>
      </c>
      <c r="P65" s="60" t="s">
        <v>210</v>
      </c>
      <c r="Q65" s="60" t="s">
        <v>211</v>
      </c>
      <c r="R65" s="60" t="s">
        <v>212</v>
      </c>
      <c r="S65" s="60" t="s">
        <v>213</v>
      </c>
      <c r="T65" s="53" t="s">
        <v>75</v>
      </c>
    </row>
    <row r="66" spans="2:20" ht="15.75">
      <c r="B66" s="20"/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37"/>
    </row>
    <row r="69" spans="2:20">
      <c r="B69" s="189" t="s">
        <v>214</v>
      </c>
      <c r="C69" s="200" t="s">
        <v>103</v>
      </c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185"/>
      <c r="S69" s="57"/>
      <c r="T69" s="58"/>
    </row>
    <row r="70" spans="2:20" ht="15.75">
      <c r="B70" s="189"/>
      <c r="C70" s="60" t="s">
        <v>104</v>
      </c>
      <c r="D70" s="60" t="s">
        <v>198</v>
      </c>
      <c r="E70" s="60" t="s">
        <v>199</v>
      </c>
      <c r="F70" s="60" t="s">
        <v>200</v>
      </c>
      <c r="G70" s="60" t="s">
        <v>201</v>
      </c>
      <c r="H70" s="60" t="s">
        <v>202</v>
      </c>
      <c r="I70" s="60" t="s">
        <v>203</v>
      </c>
      <c r="J70" s="60" t="s">
        <v>204</v>
      </c>
      <c r="K70" s="60" t="s">
        <v>205</v>
      </c>
      <c r="L70" s="60" t="s">
        <v>206</v>
      </c>
      <c r="M70" s="60" t="s">
        <v>207</v>
      </c>
      <c r="N70" s="60" t="s">
        <v>208</v>
      </c>
      <c r="O70" s="60" t="s">
        <v>209</v>
      </c>
      <c r="P70" s="60" t="s">
        <v>210</v>
      </c>
      <c r="Q70" s="60" t="s">
        <v>211</v>
      </c>
      <c r="R70" s="60" t="s">
        <v>212</v>
      </c>
      <c r="S70" s="60" t="s">
        <v>213</v>
      </c>
      <c r="T70" s="53" t="s">
        <v>75</v>
      </c>
    </row>
    <row r="71" spans="2:20" ht="15.75">
      <c r="B71" s="189"/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37"/>
    </row>
    <row r="72" spans="2:20">
      <c r="B72" s="195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59"/>
      <c r="T72" s="59"/>
    </row>
    <row r="73" spans="2:20" ht="15.75">
      <c r="B73" s="190"/>
      <c r="C73" s="60" t="s">
        <v>104</v>
      </c>
      <c r="D73" s="60" t="s">
        <v>198</v>
      </c>
      <c r="E73" s="60" t="s">
        <v>199</v>
      </c>
      <c r="F73" s="60" t="s">
        <v>200</v>
      </c>
      <c r="G73" s="60" t="s">
        <v>201</v>
      </c>
      <c r="H73" s="60" t="s">
        <v>202</v>
      </c>
      <c r="I73" s="60" t="s">
        <v>203</v>
      </c>
      <c r="J73" s="60" t="s">
        <v>204</v>
      </c>
      <c r="K73" s="60" t="s">
        <v>205</v>
      </c>
      <c r="L73" s="60" t="s">
        <v>206</v>
      </c>
      <c r="M73" s="60" t="s">
        <v>207</v>
      </c>
      <c r="N73" s="60" t="s">
        <v>208</v>
      </c>
      <c r="O73" s="60" t="s">
        <v>209</v>
      </c>
      <c r="P73" s="60" t="s">
        <v>210</v>
      </c>
      <c r="Q73" s="60" t="s">
        <v>211</v>
      </c>
      <c r="R73" s="60" t="s">
        <v>212</v>
      </c>
      <c r="S73" s="60" t="s">
        <v>213</v>
      </c>
      <c r="T73" s="53" t="s">
        <v>75</v>
      </c>
    </row>
    <row r="74" spans="2:20" ht="15.75">
      <c r="B74" s="20"/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37"/>
    </row>
    <row r="77" spans="2:20">
      <c r="B77" s="196" t="s">
        <v>92</v>
      </c>
      <c r="C77" s="185" t="s">
        <v>103</v>
      </c>
      <c r="D77" s="186"/>
      <c r="E77" s="186"/>
      <c r="F77" s="186"/>
      <c r="G77" s="186"/>
      <c r="H77" s="186"/>
      <c r="I77" s="186"/>
      <c r="J77" s="186"/>
      <c r="K77" s="186"/>
      <c r="L77" s="186"/>
      <c r="M77" s="186"/>
      <c r="N77" s="186"/>
      <c r="O77" s="186"/>
      <c r="P77" s="186"/>
      <c r="Q77" s="186"/>
      <c r="R77" s="61"/>
      <c r="S77" s="61"/>
      <c r="T77" s="13"/>
    </row>
    <row r="78" spans="2:20">
      <c r="B78" s="197"/>
      <c r="C78" s="15" t="s">
        <v>104</v>
      </c>
      <c r="D78" s="15" t="s">
        <v>215</v>
      </c>
      <c r="E78" s="15" t="s">
        <v>216</v>
      </c>
      <c r="F78" s="15" t="s">
        <v>217</v>
      </c>
      <c r="G78" s="15" t="s">
        <v>218</v>
      </c>
      <c r="H78" s="62" t="s">
        <v>219</v>
      </c>
      <c r="I78" s="62" t="s">
        <v>220</v>
      </c>
      <c r="J78" s="62" t="s">
        <v>221</v>
      </c>
      <c r="K78" s="62" t="s">
        <v>222</v>
      </c>
      <c r="L78" s="62" t="s">
        <v>135</v>
      </c>
      <c r="M78" s="15" t="s">
        <v>223</v>
      </c>
      <c r="N78" s="62" t="s">
        <v>224</v>
      </c>
      <c r="O78" s="62" t="s">
        <v>216</v>
      </c>
      <c r="P78" s="62" t="s">
        <v>225</v>
      </c>
      <c r="Q78" s="62" t="s">
        <v>226</v>
      </c>
      <c r="R78" s="62" t="s">
        <v>216</v>
      </c>
      <c r="S78" s="62" t="s">
        <v>227</v>
      </c>
      <c r="T78" s="60" t="s">
        <v>216</v>
      </c>
    </row>
    <row r="79" spans="2:20">
      <c r="B79" s="197"/>
      <c r="C79" s="5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2:20" ht="15.75">
      <c r="B80" s="197"/>
      <c r="C80" s="60" t="s">
        <v>228</v>
      </c>
      <c r="D80" s="60" t="s">
        <v>229</v>
      </c>
      <c r="E80" s="60" t="s">
        <v>230</v>
      </c>
      <c r="F80" s="60" t="s">
        <v>216</v>
      </c>
      <c r="G80" s="60" t="s">
        <v>225</v>
      </c>
      <c r="H80" s="60" t="s">
        <v>231</v>
      </c>
      <c r="I80" s="60" t="s">
        <v>216</v>
      </c>
      <c r="J80" s="60" t="s">
        <v>232</v>
      </c>
      <c r="K80" s="60" t="s">
        <v>233</v>
      </c>
      <c r="L80" s="60" t="s">
        <v>234</v>
      </c>
      <c r="M80" s="60" t="s">
        <v>216</v>
      </c>
      <c r="N80" s="60" t="s">
        <v>235</v>
      </c>
      <c r="O80" s="60" t="s">
        <v>216</v>
      </c>
      <c r="P80" s="60" t="s">
        <v>236</v>
      </c>
      <c r="Q80" s="60" t="s">
        <v>216</v>
      </c>
      <c r="R80" s="60" t="s">
        <v>237</v>
      </c>
      <c r="S80" s="60" t="s">
        <v>216</v>
      </c>
      <c r="T80" s="53" t="s">
        <v>75</v>
      </c>
    </row>
    <row r="81" spans="2:20" ht="15.75">
      <c r="B81" s="197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37" t="s">
        <v>238</v>
      </c>
    </row>
    <row r="82" spans="2:20">
      <c r="B82" s="197"/>
      <c r="C82" s="63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28"/>
      <c r="Q82" s="28"/>
      <c r="R82" s="66"/>
      <c r="S82" s="59"/>
      <c r="T82" s="67"/>
    </row>
    <row r="83" spans="2:20">
      <c r="B83" s="197"/>
      <c r="C83" s="19" t="s">
        <v>104</v>
      </c>
      <c r="D83" s="19" t="s">
        <v>215</v>
      </c>
      <c r="E83" s="19" t="s">
        <v>216</v>
      </c>
      <c r="F83" s="19" t="s">
        <v>217</v>
      </c>
      <c r="G83" s="19" t="s">
        <v>218</v>
      </c>
      <c r="H83" s="60" t="s">
        <v>219</v>
      </c>
      <c r="I83" s="60" t="s">
        <v>220</v>
      </c>
      <c r="J83" s="60" t="s">
        <v>221</v>
      </c>
      <c r="K83" s="60" t="s">
        <v>222</v>
      </c>
      <c r="L83" s="60" t="s">
        <v>135</v>
      </c>
      <c r="M83" s="19" t="s">
        <v>223</v>
      </c>
      <c r="N83" s="60" t="s">
        <v>224</v>
      </c>
      <c r="O83" s="60" t="s">
        <v>216</v>
      </c>
      <c r="P83" s="60" t="s">
        <v>225</v>
      </c>
      <c r="Q83" s="60" t="s">
        <v>226</v>
      </c>
      <c r="R83" s="60" t="s">
        <v>216</v>
      </c>
      <c r="S83" s="60" t="s">
        <v>227</v>
      </c>
      <c r="T83" s="60" t="s">
        <v>216</v>
      </c>
    </row>
    <row r="84" spans="2:20">
      <c r="B84" s="64"/>
      <c r="C84" s="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2:20" ht="15.75">
      <c r="B85" s="64"/>
      <c r="C85" s="60" t="s">
        <v>228</v>
      </c>
      <c r="D85" s="60" t="s">
        <v>229</v>
      </c>
      <c r="E85" s="60" t="s">
        <v>230</v>
      </c>
      <c r="F85" s="60" t="s">
        <v>216</v>
      </c>
      <c r="G85" s="60" t="s">
        <v>225</v>
      </c>
      <c r="H85" s="60" t="s">
        <v>231</v>
      </c>
      <c r="I85" s="60" t="s">
        <v>216</v>
      </c>
      <c r="J85" s="60" t="s">
        <v>232</v>
      </c>
      <c r="K85" s="60" t="s">
        <v>233</v>
      </c>
      <c r="L85" s="60" t="s">
        <v>234</v>
      </c>
      <c r="M85" s="60" t="s">
        <v>216</v>
      </c>
      <c r="N85" s="60" t="s">
        <v>235</v>
      </c>
      <c r="O85" s="60" t="s">
        <v>216</v>
      </c>
      <c r="P85" s="60" t="s">
        <v>236</v>
      </c>
      <c r="Q85" s="60" t="s">
        <v>216</v>
      </c>
      <c r="R85" s="60" t="s">
        <v>237</v>
      </c>
      <c r="S85" s="60" t="s">
        <v>216</v>
      </c>
      <c r="T85" s="51" t="s">
        <v>75</v>
      </c>
    </row>
    <row r="86" spans="2:20" ht="15.75">
      <c r="B86" s="6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37"/>
    </row>
  </sheetData>
  <mergeCells count="15">
    <mergeCell ref="B2:E3"/>
    <mergeCell ref="F2:H3"/>
    <mergeCell ref="C77:Q77"/>
    <mergeCell ref="B12:B18"/>
    <mergeCell ref="B25:B29"/>
    <mergeCell ref="B36:B40"/>
    <mergeCell ref="B48:B52"/>
    <mergeCell ref="B61:B65"/>
    <mergeCell ref="B69:B73"/>
    <mergeCell ref="B77:B83"/>
    <mergeCell ref="C12:Q12"/>
    <mergeCell ref="C25:R25"/>
    <mergeCell ref="C36:O36"/>
    <mergeCell ref="C61:R61"/>
    <mergeCell ref="C69:R69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com</cp:lastModifiedBy>
  <cp:lastPrinted>2018-05-18T12:00:00Z</cp:lastPrinted>
  <dcterms:created xsi:type="dcterms:W3CDTF">2013-08-23T16:44:00Z</dcterms:created>
  <dcterms:modified xsi:type="dcterms:W3CDTF">2026-02-20T11:51:54Z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29B6B2F9E06F44349954069453EA1FDF</vt:lpwstr>
  </property>
  <property fmtid="{D5CDD505-2E9C-101B-9397-08002B2CF9AE}" pid="3" name="KSOProductBuildVer">
    <vt:lpwstr>1033-11.2.0.11219</vt:lpwstr>
  </property>
</Properties>
</file>