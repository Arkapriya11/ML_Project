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may 2025\"/>
    </mc:Choice>
  </mc:AlternateContent>
  <xr:revisionPtr revIDLastSave="0" documentId="13_ncr:1_{387850CC-0C5B-404D-8A4B-153D20CA39E6}" xr6:coauthVersionLast="47" xr6:coauthVersionMax="47" xr10:uidLastSave="{00000000-0000-0000-0000-000000000000}"/>
  <bookViews>
    <workbookView xWindow="-120" yWindow="-120" windowWidth="20730" windowHeight="11040" tabRatio="913" firstSheet="6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91029"/>
</workbook>
</file>

<file path=xl/calcChain.xml><?xml version="1.0" encoding="utf-8"?>
<calcChain xmlns="http://schemas.openxmlformats.org/spreadsheetml/2006/main">
  <c r="C44" i="39" l="1"/>
  <c r="D44" i="39"/>
  <c r="B44" i="39"/>
  <c r="C38" i="24"/>
  <c r="C39" i="24" s="1"/>
  <c r="D38" i="24"/>
  <c r="D39" i="24" s="1"/>
  <c r="B38" i="24"/>
  <c r="B39" i="24" s="1"/>
  <c r="D38" i="17"/>
  <c r="C38" i="17"/>
  <c r="B38" i="17"/>
  <c r="B40" i="17" s="1"/>
  <c r="C38" i="16"/>
  <c r="D38" i="16"/>
  <c r="B39" i="16"/>
  <c r="B38" i="16"/>
  <c r="H38" i="12"/>
  <c r="G38" i="12"/>
  <c r="H38" i="10"/>
  <c r="G38" i="10"/>
  <c r="F38" i="10"/>
  <c r="F38" i="9"/>
  <c r="I38" i="3"/>
  <c r="G14" i="39"/>
  <c r="L40" i="41"/>
  <c r="L39" i="41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M40" i="40"/>
  <c r="M39" i="40"/>
  <c r="F39" i="40"/>
  <c r="Q38" i="40"/>
  <c r="Q39" i="40" s="1"/>
  <c r="P38" i="40"/>
  <c r="P40" i="40" s="1"/>
  <c r="O38" i="40"/>
  <c r="O40" i="40" s="1"/>
  <c r="N38" i="40"/>
  <c r="N40" i="40" s="1"/>
  <c r="M38" i="40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E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K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E40" i="33" s="1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J40" i="32"/>
  <c r="G40" i="32"/>
  <c r="J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I38" i="32"/>
  <c r="I39" i="32" s="1"/>
  <c r="H38" i="32"/>
  <c r="H39" i="32" s="1"/>
  <c r="G38" i="32"/>
  <c r="G39" i="32" s="1"/>
  <c r="F38" i="32"/>
  <c r="F39" i="32" s="1"/>
  <c r="E38" i="32"/>
  <c r="E40" i="32" s="1"/>
  <c r="D38" i="32"/>
  <c r="D39" i="32" s="1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M40" i="31"/>
  <c r="J40" i="31"/>
  <c r="H39" i="31"/>
  <c r="G39" i="31"/>
  <c r="C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40" i="31" s="1"/>
  <c r="K38" i="31"/>
  <c r="K40" i="31" s="1"/>
  <c r="J38" i="31"/>
  <c r="J39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D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K40" i="29"/>
  <c r="J40" i="29"/>
  <c r="I40" i="29"/>
  <c r="G40" i="29"/>
  <c r="E40" i="29"/>
  <c r="Q38" i="29"/>
  <c r="Q40" i="29" s="1"/>
  <c r="P38" i="29"/>
  <c r="P39" i="29" s="1"/>
  <c r="O38" i="29"/>
  <c r="O39" i="29" s="1"/>
  <c r="N38" i="29"/>
  <c r="N39" i="29" s="1"/>
  <c r="M38" i="29"/>
  <c r="M39" i="29" s="1"/>
  <c r="L38" i="29"/>
  <c r="L39" i="29" s="1"/>
  <c r="K38" i="29"/>
  <c r="K39" i="29" s="1"/>
  <c r="J38" i="29"/>
  <c r="J39" i="29" s="1"/>
  <c r="I38" i="29"/>
  <c r="I39" i="29" s="1"/>
  <c r="H38" i="29"/>
  <c r="H40" i="29" s="1"/>
  <c r="G38" i="29"/>
  <c r="G39" i="29" s="1"/>
  <c r="F38" i="29"/>
  <c r="F40" i="29" s="1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G40" i="28"/>
  <c r="F40" i="28"/>
  <c r="Q38" i="28"/>
  <c r="Q39" i="28" s="1"/>
  <c r="P38" i="28"/>
  <c r="P39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G39" i="28" s="1"/>
  <c r="F38" i="28"/>
  <c r="F39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39" i="27" s="1"/>
  <c r="P38" i="27"/>
  <c r="P39" i="27" s="1"/>
  <c r="O38" i="27"/>
  <c r="O39" i="27" s="1"/>
  <c r="N38" i="27"/>
  <c r="N39" i="27" s="1"/>
  <c r="M38" i="27"/>
  <c r="M39" i="27" s="1"/>
  <c r="L38" i="27"/>
  <c r="L39" i="27" s="1"/>
  <c r="K38" i="27"/>
  <c r="K40" i="27" s="1"/>
  <c r="J38" i="27"/>
  <c r="J40" i="27" s="1"/>
  <c r="I38" i="27"/>
  <c r="I39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I40" i="26"/>
  <c r="F40" i="26"/>
  <c r="N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39" i="26" s="1"/>
  <c r="H38" i="26"/>
  <c r="H39" i="26" s="1"/>
  <c r="G38" i="26"/>
  <c r="G40" i="26" s="1"/>
  <c r="F38" i="26"/>
  <c r="F39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40" i="25"/>
  <c r="N40" i="25"/>
  <c r="Q39" i="25"/>
  <c r="N39" i="25"/>
  <c r="M39" i="25"/>
  <c r="Q38" i="25"/>
  <c r="P38" i="25"/>
  <c r="P39" i="25" s="1"/>
  <c r="O38" i="25"/>
  <c r="O39" i="25" s="1"/>
  <c r="N38" i="25"/>
  <c r="M38" i="25"/>
  <c r="M40" i="25" s="1"/>
  <c r="L38" i="25"/>
  <c r="L40" i="25" s="1"/>
  <c r="K38" i="25"/>
  <c r="K39" i="25" s="1"/>
  <c r="J38" i="25"/>
  <c r="J39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9" i="24"/>
  <c r="P39" i="24"/>
  <c r="K39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40" i="24" s="1"/>
  <c r="J38" i="24"/>
  <c r="J39" i="24" s="1"/>
  <c r="I38" i="24"/>
  <c r="I40" i="24" s="1"/>
  <c r="H38" i="24"/>
  <c r="H40" i="24" s="1"/>
  <c r="G38" i="24"/>
  <c r="G40" i="24" s="1"/>
  <c r="F38" i="24"/>
  <c r="F40" i="24" s="1"/>
  <c r="E38" i="24"/>
  <c r="E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L40" i="23"/>
  <c r="L39" i="23"/>
  <c r="K39" i="23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M40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39" i="22" s="1"/>
  <c r="K38" i="22"/>
  <c r="K40" i="22" s="1"/>
  <c r="J38" i="22"/>
  <c r="J39" i="22" s="1"/>
  <c r="I38" i="22"/>
  <c r="I40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40" i="21"/>
  <c r="G40" i="21"/>
  <c r="D40" i="21"/>
  <c r="O39" i="21"/>
  <c r="N39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C40" i="20"/>
  <c r="B40" i="20"/>
  <c r="Q38" i="20"/>
  <c r="Q40" i="20" s="1"/>
  <c r="P38" i="20"/>
  <c r="P39" i="20" s="1"/>
  <c r="O38" i="20"/>
  <c r="O40" i="20" s="1"/>
  <c r="N38" i="20"/>
  <c r="N39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L39" i="19"/>
  <c r="K39" i="19"/>
  <c r="Q38" i="19"/>
  <c r="Q40" i="19" s="1"/>
  <c r="P38" i="19"/>
  <c r="P40" i="19" s="1"/>
  <c r="O38" i="19"/>
  <c r="O40" i="19" s="1"/>
  <c r="N38" i="19"/>
  <c r="N40" i="19" s="1"/>
  <c r="M38" i="19"/>
  <c r="M39" i="19" s="1"/>
  <c r="L38" i="19"/>
  <c r="L40" i="19" s="1"/>
  <c r="K38" i="19"/>
  <c r="K40" i="19" s="1"/>
  <c r="J38" i="19"/>
  <c r="J39" i="19" s="1"/>
  <c r="I38" i="19"/>
  <c r="I40" i="19" s="1"/>
  <c r="H38" i="19"/>
  <c r="H40" i="19" s="1"/>
  <c r="G38" i="19"/>
  <c r="G39" i="19" s="1"/>
  <c r="F38" i="19"/>
  <c r="F39" i="19" s="1"/>
  <c r="E38" i="19"/>
  <c r="E39" i="19" s="1"/>
  <c r="D38" i="19"/>
  <c r="D39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P40" i="18"/>
  <c r="B40" i="18"/>
  <c r="M39" i="18"/>
  <c r="L39" i="18"/>
  <c r="K39" i="18"/>
  <c r="Q38" i="18"/>
  <c r="Q39" i="18" s="1"/>
  <c r="P38" i="18"/>
  <c r="P39" i="18" s="1"/>
  <c r="O38" i="18"/>
  <c r="O40" i="18" s="1"/>
  <c r="N38" i="18"/>
  <c r="N39" i="18" s="1"/>
  <c r="M38" i="18"/>
  <c r="M40" i="18" s="1"/>
  <c r="L38" i="18"/>
  <c r="L40" i="18" s="1"/>
  <c r="K38" i="18"/>
  <c r="K40" i="18" s="1"/>
  <c r="J38" i="18"/>
  <c r="J39" i="18" s="1"/>
  <c r="I38" i="18"/>
  <c r="I40" i="18" s="1"/>
  <c r="H38" i="18"/>
  <c r="H39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K40" i="17"/>
  <c r="O39" i="17"/>
  <c r="N39" i="17"/>
  <c r="L39" i="17"/>
  <c r="J39" i="17"/>
  <c r="Q38" i="17"/>
  <c r="Q39" i="17" s="1"/>
  <c r="P38" i="17"/>
  <c r="P40" i="17" s="1"/>
  <c r="O38" i="17"/>
  <c r="O40" i="17" s="1"/>
  <c r="N38" i="17"/>
  <c r="N40" i="17" s="1"/>
  <c r="M38" i="17"/>
  <c r="M39" i="17" s="1"/>
  <c r="L38" i="17"/>
  <c r="L40" i="17" s="1"/>
  <c r="K38" i="17"/>
  <c r="K39" i="17" s="1"/>
  <c r="J38" i="17"/>
  <c r="J40" i="17" s="1"/>
  <c r="I38" i="17"/>
  <c r="I39" i="17" s="1"/>
  <c r="H38" i="17"/>
  <c r="H39" i="17" s="1"/>
  <c r="G38" i="17"/>
  <c r="G39" i="17" s="1"/>
  <c r="F38" i="17"/>
  <c r="F40" i="17" s="1"/>
  <c r="E38" i="17"/>
  <c r="E39" i="17" s="1"/>
  <c r="D40" i="17"/>
  <c r="C39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9" i="16"/>
  <c r="C39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C36" i="16"/>
  <c r="B36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40" i="15"/>
  <c r="M40" i="15"/>
  <c r="L40" i="15"/>
  <c r="G39" i="15"/>
  <c r="Q38" i="15"/>
  <c r="Q39" i="15" s="1"/>
  <c r="P38" i="15"/>
  <c r="P39" i="15" s="1"/>
  <c r="O38" i="15"/>
  <c r="O40" i="15" s="1"/>
  <c r="N38" i="15"/>
  <c r="N39" i="15" s="1"/>
  <c r="M38" i="15"/>
  <c r="M39" i="15" s="1"/>
  <c r="L38" i="15"/>
  <c r="L39" i="15" s="1"/>
  <c r="K38" i="15"/>
  <c r="K40" i="15" s="1"/>
  <c r="J38" i="15"/>
  <c r="J39" i="15" s="1"/>
  <c r="I38" i="15"/>
  <c r="I40" i="15" s="1"/>
  <c r="H38" i="15"/>
  <c r="H39" i="15" s="1"/>
  <c r="G38" i="15"/>
  <c r="G40" i="15" s="1"/>
  <c r="F38" i="15"/>
  <c r="F40" i="15" s="1"/>
  <c r="E38" i="15"/>
  <c r="E40" i="15" s="1"/>
  <c r="D38" i="15"/>
  <c r="D39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P40" i="14"/>
  <c r="D40" i="14"/>
  <c r="Q39" i="14"/>
  <c r="N39" i="14"/>
  <c r="L39" i="14"/>
  <c r="K39" i="14"/>
  <c r="J39" i="14"/>
  <c r="D39" i="14"/>
  <c r="Q38" i="14"/>
  <c r="Q40" i="14" s="1"/>
  <c r="P38" i="14"/>
  <c r="P39" i="14" s="1"/>
  <c r="O38" i="14"/>
  <c r="O40" i="14" s="1"/>
  <c r="N38" i="14"/>
  <c r="N40" i="14" s="1"/>
  <c r="M38" i="14"/>
  <c r="M39" i="14" s="1"/>
  <c r="L38" i="14"/>
  <c r="L40" i="14" s="1"/>
  <c r="K38" i="14"/>
  <c r="K40" i="14" s="1"/>
  <c r="J38" i="14"/>
  <c r="J40" i="14" s="1"/>
  <c r="I38" i="14"/>
  <c r="I39" i="14" s="1"/>
  <c r="H38" i="14"/>
  <c r="H39" i="14" s="1"/>
  <c r="G38" i="14"/>
  <c r="G39" i="14" s="1"/>
  <c r="F38" i="14"/>
  <c r="F39" i="14" s="1"/>
  <c r="E38" i="14"/>
  <c r="E39" i="14" s="1"/>
  <c r="D38" i="14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40" i="12"/>
  <c r="G40" i="12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D39" i="10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40" i="10"/>
  <c r="G40" i="10"/>
  <c r="F40" i="10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40" i="9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40" i="3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B40" i="43" l="1"/>
  <c r="F40" i="33"/>
  <c r="E39" i="33"/>
  <c r="J39" i="33"/>
  <c r="I40" i="33"/>
  <c r="Q39" i="33"/>
  <c r="C40" i="33"/>
  <c r="B40" i="32"/>
  <c r="D40" i="32"/>
  <c r="F40" i="32"/>
  <c r="H40" i="32"/>
  <c r="I40" i="32"/>
  <c r="K40" i="32"/>
  <c r="I39" i="31"/>
  <c r="K39" i="31"/>
  <c r="L39" i="31"/>
  <c r="I39" i="30"/>
  <c r="J39" i="30"/>
  <c r="L39" i="30"/>
  <c r="M39" i="30"/>
  <c r="N39" i="30"/>
  <c r="B40" i="30"/>
  <c r="L40" i="29"/>
  <c r="M40" i="29"/>
  <c r="C39" i="29"/>
  <c r="N40" i="29"/>
  <c r="F39" i="29"/>
  <c r="P40" i="28"/>
  <c r="Q40" i="28"/>
  <c r="D39" i="28"/>
  <c r="L39" i="28"/>
  <c r="M39" i="28"/>
  <c r="O39" i="28"/>
  <c r="I40" i="27"/>
  <c r="N40" i="27"/>
  <c r="O40" i="27"/>
  <c r="P40" i="27"/>
  <c r="G39" i="27"/>
  <c r="L40" i="27"/>
  <c r="H39" i="27"/>
  <c r="M40" i="27"/>
  <c r="K39" i="27"/>
  <c r="C40" i="26"/>
  <c r="H40" i="26"/>
  <c r="L40" i="26"/>
  <c r="O39" i="26"/>
  <c r="Q39" i="26"/>
  <c r="B40" i="26"/>
  <c r="J40" i="25"/>
  <c r="K40" i="25"/>
  <c r="O40" i="25"/>
  <c r="P40" i="25"/>
  <c r="I39" i="25"/>
  <c r="H39" i="24"/>
  <c r="C40" i="24"/>
  <c r="D40" i="24"/>
  <c r="E40" i="24"/>
  <c r="J40" i="24"/>
  <c r="N40" i="24"/>
  <c r="M39" i="23"/>
  <c r="O39" i="23"/>
  <c r="P39" i="23"/>
  <c r="Q39" i="23"/>
  <c r="B40" i="23"/>
  <c r="C40" i="23"/>
  <c r="L40" i="22"/>
  <c r="I39" i="22"/>
  <c r="N39" i="22"/>
  <c r="C40" i="22"/>
  <c r="D40" i="22"/>
  <c r="F40" i="22"/>
  <c r="G40" i="22"/>
  <c r="J40" i="22"/>
  <c r="E40" i="21"/>
  <c r="F40" i="21"/>
  <c r="H40" i="21"/>
  <c r="K40" i="21"/>
  <c r="B40" i="21"/>
  <c r="O39" i="20"/>
  <c r="E40" i="20"/>
  <c r="H40" i="20"/>
  <c r="I40" i="20"/>
  <c r="L40" i="20"/>
  <c r="N40" i="20"/>
  <c r="P40" i="20"/>
  <c r="D40" i="20"/>
  <c r="I39" i="19"/>
  <c r="O39" i="19"/>
  <c r="P39" i="19"/>
  <c r="Q39" i="19"/>
  <c r="D40" i="19"/>
  <c r="F40" i="19"/>
  <c r="J40" i="19"/>
  <c r="M40" i="19"/>
  <c r="H39" i="19"/>
  <c r="G40" i="18"/>
  <c r="H40" i="18"/>
  <c r="J40" i="18"/>
  <c r="N40" i="18"/>
  <c r="E39" i="18"/>
  <c r="F39" i="18"/>
  <c r="I39" i="18"/>
  <c r="C40" i="17"/>
  <c r="E40" i="17"/>
  <c r="G40" i="17"/>
  <c r="H40" i="17"/>
  <c r="I40" i="17"/>
  <c r="O40" i="39"/>
  <c r="F39" i="17"/>
  <c r="C40" i="16"/>
  <c r="D40" i="16"/>
  <c r="F40" i="16"/>
  <c r="G40" i="16"/>
  <c r="H40" i="16"/>
  <c r="I40" i="16"/>
  <c r="J40" i="16"/>
  <c r="M40" i="16"/>
  <c r="N40" i="16"/>
  <c r="C39" i="15"/>
  <c r="E39" i="15"/>
  <c r="F39" i="15"/>
  <c r="P40" i="15"/>
  <c r="I39" i="15"/>
  <c r="K39" i="15"/>
  <c r="O39" i="15"/>
  <c r="H40" i="15"/>
  <c r="O39" i="14"/>
  <c r="B40" i="14"/>
  <c r="E40" i="14"/>
  <c r="F40" i="14"/>
  <c r="G40" i="14"/>
  <c r="H40" i="14"/>
  <c r="M41" i="39"/>
  <c r="C39" i="40"/>
  <c r="H39" i="40"/>
  <c r="I39" i="40"/>
  <c r="O39" i="40"/>
  <c r="P39" i="43"/>
  <c r="I39" i="43"/>
  <c r="N39" i="43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N39" i="41"/>
  <c r="C40" i="8"/>
  <c r="F44" i="39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4" i="39"/>
  <c r="Q43" i="39"/>
  <c r="Q42" i="39"/>
  <c r="Q41" i="39"/>
  <c r="Q40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Q39" i="41"/>
  <c r="B39" i="41"/>
  <c r="C39" i="41"/>
  <c r="G39" i="33"/>
  <c r="F39" i="43"/>
  <c r="E39" i="40"/>
  <c r="D39" i="41"/>
  <c r="E39" i="41"/>
  <c r="F39" i="41"/>
  <c r="G39" i="41"/>
  <c r="H39" i="41"/>
  <c r="O39" i="30"/>
  <c r="N39" i="31"/>
  <c r="M39" i="32"/>
  <c r="L39" i="33"/>
  <c r="K39" i="43"/>
  <c r="J39" i="40"/>
  <c r="I39" i="41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J39" i="41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K39" i="41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M39" i="41"/>
  <c r="E39" i="30"/>
  <c r="D39" i="31"/>
  <c r="C39" i="32"/>
  <c r="B39" i="33"/>
  <c r="Q39" i="43"/>
  <c r="P39" i="40"/>
  <c r="O39" i="41"/>
  <c r="P39" i="41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<sst xmlns="http://schemas.openxmlformats.org/spreadsheetml/2006/main" count="3055" uniqueCount="804">
  <si>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</si>
  <si>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</si>
  <si>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</si>
  <si>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</si>
  <si>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</si>
  <si>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</si>
  <si>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</si>
  <si>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</si>
  <si>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</si>
  <si>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</si>
  <si>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</si>
  <si>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</si>
  <si>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</si>
  <si>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</si>
  <si>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</si>
  <si>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</si>
  <si>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</si>
  <si>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</si>
  <si>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</si>
  <si>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</si>
  <si>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</si>
  <si>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</si>
  <si>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</si>
  <si>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</si>
  <si>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</si>
  <si>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</si>
  <si>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</si>
  <si>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</si>
  <si>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</si>
  <si>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</si>
  <si>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</si>
  <si>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</si>
  <si>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</si>
  <si>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</si>
  <si>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</si>
  <si>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</si>
  <si>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</si>
  <si>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</si>
  <si>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</si>
  <si>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</si>
  <si>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</si>
  <si>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</si>
  <si>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</si>
  <si>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</si>
  <si>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</si>
  <si>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</si>
  <si>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</si>
  <si>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</si>
  <si>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</si>
  <si>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</si>
  <si>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</si>
  <si>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</si>
  <si>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</si>
  <si>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</si>
  <si>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</si>
  <si>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</si>
  <si>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Comment</t>
  </si>
  <si>
    <t>IGKV, RAIPUR</t>
  </si>
  <si>
    <t>24 HRS</t>
  </si>
  <si>
    <t>animesh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</si>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</sst>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33" activePane="bottomRight" state="frozen"/>
      <selection pane="topRight"/>
      <selection pane="bottomLeft"/>
      <selection pane="bottomRight" activeCell="B43" sqref="B43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132</v>
      </c>
      <c r="B9" s="40">
        <v>4.08</v>
      </c>
      <c r="C9" s="40">
        <v>33.479999999999997</v>
      </c>
      <c r="D9" s="40">
        <v>21.44</v>
      </c>
      <c r="E9" s="40">
        <v>1.66</v>
      </c>
      <c r="F9" s="40">
        <v>6.86</v>
      </c>
      <c r="G9" s="40">
        <v>25.4</v>
      </c>
      <c r="H9" s="40">
        <v>16.36</v>
      </c>
      <c r="I9" s="40">
        <v>9.25</v>
      </c>
      <c r="J9" s="40">
        <v>0.76</v>
      </c>
      <c r="K9" s="40">
        <v>165</v>
      </c>
      <c r="L9" s="40">
        <v>27.97</v>
      </c>
      <c r="M9" s="40">
        <v>51.83</v>
      </c>
      <c r="N9" s="40">
        <v>22.8</v>
      </c>
      <c r="O9" s="40">
        <v>0</v>
      </c>
      <c r="P9" s="40">
        <v>0.5</v>
      </c>
      <c r="Q9" s="40">
        <v>28.07</v>
      </c>
      <c r="R9" s="38"/>
      <c r="S9" s="38"/>
      <c r="T9" s="38"/>
      <c r="U9" s="38"/>
    </row>
    <row r="10" spans="1:21" customFormat="1">
      <c r="A10" s="39" t="s">
        <v>133</v>
      </c>
      <c r="B10" s="40">
        <v>4.8099999999999996</v>
      </c>
      <c r="C10" s="40">
        <v>35.619999999999997</v>
      </c>
      <c r="D10" s="40">
        <v>23.14</v>
      </c>
      <c r="E10" s="40">
        <v>1.56</v>
      </c>
      <c r="F10" s="40">
        <v>9.35</v>
      </c>
      <c r="G10" s="40">
        <v>24.23</v>
      </c>
      <c r="H10" s="40">
        <v>13.5</v>
      </c>
      <c r="I10" s="40">
        <v>9.0299999999999994</v>
      </c>
      <c r="J10" s="40">
        <v>0.53</v>
      </c>
      <c r="K10" s="40">
        <v>206.72</v>
      </c>
      <c r="L10" s="40">
        <v>27.95</v>
      </c>
      <c r="M10" s="40">
        <v>52.16</v>
      </c>
      <c r="N10" s="40">
        <v>22.7</v>
      </c>
      <c r="O10" s="40">
        <v>0</v>
      </c>
      <c r="P10" s="40">
        <v>0.46</v>
      </c>
      <c r="Q10" s="40">
        <v>28.13</v>
      </c>
      <c r="R10" s="38"/>
      <c r="S10" s="38"/>
      <c r="T10" s="38"/>
      <c r="U10" s="38"/>
    </row>
    <row r="11" spans="1:21" customFormat="1">
      <c r="A11" s="39" t="s">
        <v>134</v>
      </c>
      <c r="B11" s="40">
        <v>4.82</v>
      </c>
      <c r="C11" s="40">
        <v>34.47</v>
      </c>
      <c r="D11" s="40">
        <v>22.55</v>
      </c>
      <c r="E11" s="40">
        <v>1.19</v>
      </c>
      <c r="F11" s="40">
        <v>8.7899999999999991</v>
      </c>
      <c r="G11" s="40">
        <v>19.82</v>
      </c>
      <c r="H11" s="40">
        <v>10.93</v>
      </c>
      <c r="I11" s="40">
        <v>8.5399999999999991</v>
      </c>
      <c r="J11" s="40">
        <v>0.57999999999999996</v>
      </c>
      <c r="K11" s="40">
        <v>287.11</v>
      </c>
      <c r="L11" s="40">
        <v>27.37</v>
      </c>
      <c r="M11" s="40">
        <v>55.51</v>
      </c>
      <c r="N11" s="40">
        <v>22.9</v>
      </c>
      <c r="O11" s="40">
        <v>0</v>
      </c>
      <c r="P11" s="40">
        <v>0.44</v>
      </c>
      <c r="Q11" s="40">
        <v>28.12</v>
      </c>
      <c r="R11" s="38"/>
      <c r="S11" s="38"/>
      <c r="T11" s="38"/>
      <c r="U11" s="38"/>
    </row>
    <row r="12" spans="1:21" customFormat="1">
      <c r="A12" s="39" t="s">
        <v>135</v>
      </c>
      <c r="B12" s="40">
        <v>6.84</v>
      </c>
      <c r="C12" s="40">
        <v>42.1</v>
      </c>
      <c r="D12" s="40">
        <v>27.6</v>
      </c>
      <c r="E12" s="40">
        <v>0.97</v>
      </c>
      <c r="F12" s="40">
        <v>6.06</v>
      </c>
      <c r="G12" s="40">
        <v>24.54</v>
      </c>
      <c r="H12" s="40">
        <v>14.17</v>
      </c>
      <c r="I12" s="40">
        <v>8.1199999999999992</v>
      </c>
      <c r="J12" s="40">
        <v>0.72</v>
      </c>
      <c r="K12" s="40">
        <v>284.27999999999997</v>
      </c>
      <c r="L12" s="40">
        <v>26.6</v>
      </c>
      <c r="M12" s="40">
        <v>59.38</v>
      </c>
      <c r="N12" s="40">
        <v>22.8</v>
      </c>
      <c r="O12" s="40">
        <v>0</v>
      </c>
      <c r="P12" s="40">
        <v>0.45</v>
      </c>
      <c r="Q12" s="40">
        <v>27.82</v>
      </c>
      <c r="R12" s="38"/>
      <c r="S12" s="38"/>
      <c r="T12" s="38"/>
      <c r="U12" s="38"/>
    </row>
    <row r="13" spans="1:21" customFormat="1">
      <c r="A13" s="39" t="s">
        <v>136</v>
      </c>
      <c r="B13" s="40">
        <v>10.58</v>
      </c>
      <c r="C13" s="40">
        <v>39.96</v>
      </c>
      <c r="D13" s="40">
        <v>29.98</v>
      </c>
      <c r="E13" s="40">
        <v>1.49</v>
      </c>
      <c r="F13" s="40">
        <v>2.75</v>
      </c>
      <c r="G13" s="40">
        <v>41.85</v>
      </c>
      <c r="H13" s="40">
        <v>18.079999999999998</v>
      </c>
      <c r="I13" s="40">
        <v>8.3000000000000007</v>
      </c>
      <c r="J13" s="40">
        <v>0.71</v>
      </c>
      <c r="K13" s="40">
        <v>101.37</v>
      </c>
      <c r="L13" s="40">
        <v>26.33</v>
      </c>
      <c r="M13" s="40">
        <v>62.32</v>
      </c>
      <c r="N13" s="40">
        <v>22.8</v>
      </c>
      <c r="O13" s="40">
        <v>0</v>
      </c>
      <c r="P13" s="40">
        <v>0.45</v>
      </c>
      <c r="Q13" s="40">
        <v>27.55</v>
      </c>
      <c r="R13" s="38"/>
      <c r="S13" s="38"/>
      <c r="T13" s="38"/>
      <c r="U13" s="38"/>
    </row>
    <row r="14" spans="1:21" customFormat="1">
      <c r="A14" s="39" t="s">
        <v>137</v>
      </c>
      <c r="B14" s="40">
        <v>13.23</v>
      </c>
      <c r="C14" s="40">
        <v>34.24</v>
      </c>
      <c r="D14" s="40">
        <v>29.18</v>
      </c>
      <c r="E14" s="40">
        <v>1.62</v>
      </c>
      <c r="F14" s="40">
        <v>3.41</v>
      </c>
      <c r="G14" s="40">
        <v>72.37</v>
      </c>
      <c r="H14" s="40">
        <v>28.3</v>
      </c>
      <c r="I14" s="40">
        <v>10.35</v>
      </c>
      <c r="J14" s="40">
        <v>0.7</v>
      </c>
      <c r="K14" s="40">
        <v>160.21</v>
      </c>
      <c r="L14" s="40">
        <v>25.73</v>
      </c>
      <c r="M14" s="40">
        <v>64.13</v>
      </c>
      <c r="N14" s="40">
        <v>37.4</v>
      </c>
      <c r="O14" s="40">
        <v>0</v>
      </c>
      <c r="P14" s="40">
        <v>0.56999999999999995</v>
      </c>
      <c r="Q14" s="40">
        <v>27.59</v>
      </c>
      <c r="R14" s="38"/>
      <c r="S14" s="38"/>
      <c r="T14" s="38"/>
      <c r="U14" s="38"/>
    </row>
    <row r="15" spans="1:21" customFormat="1">
      <c r="A15" s="39" t="s">
        <v>138</v>
      </c>
      <c r="B15" s="40">
        <v>12.98</v>
      </c>
      <c r="C15" s="40">
        <v>39.93</v>
      </c>
      <c r="D15" s="40">
        <v>31.85</v>
      </c>
      <c r="E15" s="40">
        <v>1.5</v>
      </c>
      <c r="F15" s="40">
        <v>3.64</v>
      </c>
      <c r="G15" s="40">
        <v>91.42</v>
      </c>
      <c r="H15" s="40">
        <v>35.57</v>
      </c>
      <c r="I15" s="40">
        <v>10.79</v>
      </c>
      <c r="J15" s="40">
        <v>0.51</v>
      </c>
      <c r="K15" s="40">
        <v>146.91</v>
      </c>
      <c r="L15" s="40">
        <v>26.78</v>
      </c>
      <c r="M15" s="40">
        <v>64.27</v>
      </c>
      <c r="N15" s="40">
        <v>79.400000000000006</v>
      </c>
      <c r="O15" s="40">
        <v>0</v>
      </c>
      <c r="P15" s="40">
        <v>0.56999999999999995</v>
      </c>
      <c r="Q15" s="40">
        <v>27.41</v>
      </c>
      <c r="R15" s="38"/>
      <c r="S15" s="38"/>
      <c r="T15" s="38"/>
      <c r="U15" s="38"/>
    </row>
    <row r="16" spans="1:21" customFormat="1">
      <c r="A16" s="39" t="s">
        <v>139</v>
      </c>
      <c r="B16" s="40">
        <v>13.17</v>
      </c>
      <c r="C16" s="40">
        <v>39.81</v>
      </c>
      <c r="D16" s="40">
        <v>32.01</v>
      </c>
      <c r="E16" s="40">
        <v>1.63</v>
      </c>
      <c r="F16" s="40">
        <v>3.37</v>
      </c>
      <c r="G16" s="40">
        <v>82.62</v>
      </c>
      <c r="H16" s="40">
        <v>32.72</v>
      </c>
      <c r="I16" s="40">
        <v>10.93</v>
      </c>
      <c r="J16" s="40">
        <v>0.68</v>
      </c>
      <c r="K16" s="40">
        <v>235.49</v>
      </c>
      <c r="L16" s="40">
        <v>28.66</v>
      </c>
      <c r="M16" s="40">
        <v>56.03</v>
      </c>
      <c r="N16" s="40">
        <v>168.1</v>
      </c>
      <c r="O16" s="40">
        <v>0</v>
      </c>
      <c r="P16" s="40">
        <v>0.56000000000000005</v>
      </c>
      <c r="Q16" s="40">
        <v>27.33</v>
      </c>
      <c r="R16" s="38"/>
      <c r="S16" s="38"/>
      <c r="T16" s="38"/>
      <c r="U16" s="38"/>
    </row>
    <row r="17" spans="1:21" customFormat="1">
      <c r="A17" s="39" t="s">
        <v>140</v>
      </c>
      <c r="B17" s="40">
        <v>12.69</v>
      </c>
      <c r="C17" s="40">
        <v>38.549999999999997</v>
      </c>
      <c r="D17" s="40">
        <v>30.99</v>
      </c>
      <c r="E17" s="40">
        <v>1.83</v>
      </c>
      <c r="F17" s="40">
        <v>10.14</v>
      </c>
      <c r="G17" s="40">
        <v>72.290000000000006</v>
      </c>
      <c r="H17" s="40">
        <v>32.880000000000003</v>
      </c>
      <c r="I17" s="40">
        <v>11.02</v>
      </c>
      <c r="J17" s="40">
        <v>1.18</v>
      </c>
      <c r="K17" s="40">
        <v>228.84</v>
      </c>
      <c r="L17" s="40">
        <v>30.38</v>
      </c>
      <c r="M17" s="40">
        <v>49.09</v>
      </c>
      <c r="N17" s="40">
        <v>296.7</v>
      </c>
      <c r="O17" s="40">
        <v>0</v>
      </c>
      <c r="P17" s="40">
        <v>0.55000000000000004</v>
      </c>
      <c r="Q17" s="40">
        <v>27.8</v>
      </c>
      <c r="R17" s="38"/>
      <c r="S17" s="38"/>
      <c r="T17" s="38"/>
      <c r="U17" s="38"/>
    </row>
    <row r="18" spans="1:21" customFormat="1">
      <c r="A18" s="39" t="s">
        <v>141</v>
      </c>
      <c r="B18" s="40">
        <v>7.86</v>
      </c>
      <c r="C18" s="40">
        <v>33.090000000000003</v>
      </c>
      <c r="D18" s="40">
        <v>23.88</v>
      </c>
      <c r="E18" s="40">
        <v>1.45</v>
      </c>
      <c r="F18" s="40">
        <v>9.31</v>
      </c>
      <c r="G18" s="40">
        <v>54.28</v>
      </c>
      <c r="H18" s="40">
        <v>22.69</v>
      </c>
      <c r="I18" s="40">
        <v>10.7</v>
      </c>
      <c r="J18" s="40">
        <v>1.2</v>
      </c>
      <c r="K18" s="40">
        <v>235.28</v>
      </c>
      <c r="L18" s="40">
        <v>32.33</v>
      </c>
      <c r="M18" s="40">
        <v>42.56</v>
      </c>
      <c r="N18" s="40">
        <v>702.9</v>
      </c>
      <c r="O18" s="40">
        <v>0</v>
      </c>
      <c r="P18" s="40">
        <v>0.56000000000000005</v>
      </c>
      <c r="Q18" s="40">
        <v>27.92</v>
      </c>
      <c r="R18" s="38"/>
      <c r="S18" s="38"/>
      <c r="T18" s="38"/>
      <c r="U18" s="38"/>
    </row>
    <row r="19" spans="1:21" customFormat="1">
      <c r="A19" s="39" t="s">
        <v>142</v>
      </c>
      <c r="B19" s="40">
        <v>5.48</v>
      </c>
      <c r="C19" s="40">
        <v>39.369999999999997</v>
      </c>
      <c r="D19" s="40">
        <v>25.64</v>
      </c>
      <c r="E19" s="40">
        <v>1.53</v>
      </c>
      <c r="F19" s="40">
        <v>7.96</v>
      </c>
      <c r="G19" s="40">
        <v>44.32</v>
      </c>
      <c r="H19" s="40">
        <v>18.46</v>
      </c>
      <c r="I19" s="40">
        <v>10.08</v>
      </c>
      <c r="J19" s="40">
        <v>1.01</v>
      </c>
      <c r="K19" s="40">
        <v>237.79</v>
      </c>
      <c r="L19" s="40">
        <v>34.17</v>
      </c>
      <c r="M19" s="40">
        <v>38.28</v>
      </c>
      <c r="N19" s="40">
        <v>813.3</v>
      </c>
      <c r="O19" s="40">
        <v>0</v>
      </c>
      <c r="P19" s="40">
        <v>0.55000000000000004</v>
      </c>
      <c r="Q19" s="40">
        <v>28.03</v>
      </c>
      <c r="R19" s="38"/>
      <c r="S19" s="38"/>
      <c r="T19" s="38"/>
      <c r="U19" s="38"/>
    </row>
    <row r="20" spans="1:21" customFormat="1">
      <c r="A20" s="39" t="s">
        <v>143</v>
      </c>
      <c r="B20" s="40">
        <v>4.2300000000000004</v>
      </c>
      <c r="C20" s="40">
        <v>35.090000000000003</v>
      </c>
      <c r="D20" s="40">
        <v>22.4</v>
      </c>
      <c r="E20" s="40">
        <v>1.79</v>
      </c>
      <c r="F20" s="40">
        <v>20.64</v>
      </c>
      <c r="G20" s="40">
        <v>35.32</v>
      </c>
      <c r="H20" s="40">
        <v>19.04</v>
      </c>
      <c r="I20" s="40">
        <v>9.74</v>
      </c>
      <c r="J20" s="40">
        <v>1.02</v>
      </c>
      <c r="K20" s="40">
        <v>304.26</v>
      </c>
      <c r="L20" s="40">
        <v>35.950000000000003</v>
      </c>
      <c r="M20" s="40">
        <v>36.22</v>
      </c>
      <c r="N20" s="40">
        <v>850.7</v>
      </c>
      <c r="O20" s="40">
        <v>0</v>
      </c>
      <c r="P20" s="40">
        <v>0.51</v>
      </c>
      <c r="Q20" s="40">
        <v>28.67</v>
      </c>
      <c r="R20" s="38"/>
      <c r="S20" s="38"/>
      <c r="T20" s="38"/>
      <c r="U20" s="38"/>
    </row>
    <row r="21" spans="1:21" customFormat="1">
      <c r="A21" s="39" t="s">
        <v>144</v>
      </c>
      <c r="B21" s="40">
        <v>3.1</v>
      </c>
      <c r="C21" s="40">
        <v>25.08</v>
      </c>
      <c r="D21" s="40">
        <v>16.27</v>
      </c>
      <c r="E21" s="40">
        <v>2.0699999999999998</v>
      </c>
      <c r="F21" s="40">
        <v>23.12</v>
      </c>
      <c r="G21" s="40">
        <v>33.93</v>
      </c>
      <c r="H21" s="40">
        <v>20.2</v>
      </c>
      <c r="I21" s="40">
        <v>10.72</v>
      </c>
      <c r="J21" s="40">
        <v>1.58</v>
      </c>
      <c r="K21" s="40">
        <v>305.57</v>
      </c>
      <c r="L21" s="40">
        <v>37.049999999999997</v>
      </c>
      <c r="M21" s="40">
        <v>33.96</v>
      </c>
      <c r="N21" s="40">
        <v>837.2</v>
      </c>
      <c r="O21" s="40">
        <v>0</v>
      </c>
      <c r="P21" s="40">
        <v>0.61</v>
      </c>
      <c r="Q21" s="40">
        <v>28.66</v>
      </c>
      <c r="R21" s="38"/>
      <c r="S21" s="38"/>
      <c r="T21" s="38"/>
      <c r="U21" s="38"/>
    </row>
    <row r="22" spans="1:21" customFormat="1">
      <c r="A22" s="39" t="s">
        <v>145</v>
      </c>
      <c r="B22" s="40">
        <v>2.5099999999999998</v>
      </c>
      <c r="C22" s="40">
        <v>31.12</v>
      </c>
      <c r="D22" s="40">
        <v>18.87</v>
      </c>
      <c r="E22" s="40">
        <v>4.3099999999999996</v>
      </c>
      <c r="F22" s="40">
        <v>26.72</v>
      </c>
      <c r="G22" s="40">
        <v>38.15</v>
      </c>
      <c r="H22" s="40">
        <v>18.940000000000001</v>
      </c>
      <c r="I22" s="40">
        <v>12.94</v>
      </c>
      <c r="J22" s="40">
        <v>1.43</v>
      </c>
      <c r="K22" s="40">
        <v>256.62</v>
      </c>
      <c r="L22" s="40">
        <v>38.270000000000003</v>
      </c>
      <c r="M22" s="40">
        <v>30.29</v>
      </c>
      <c r="N22" s="40">
        <v>799</v>
      </c>
      <c r="O22" s="40">
        <v>0</v>
      </c>
      <c r="P22" s="40">
        <v>0.66</v>
      </c>
      <c r="Q22" s="40">
        <v>28.6</v>
      </c>
      <c r="R22" s="38"/>
      <c r="S22" s="38"/>
      <c r="T22" s="38"/>
      <c r="U22" s="38"/>
    </row>
    <row r="23" spans="1:21" customFormat="1">
      <c r="A23" s="39" t="s">
        <v>146</v>
      </c>
      <c r="B23" s="40">
        <v>2.58</v>
      </c>
      <c r="C23" s="40">
        <v>28.06</v>
      </c>
      <c r="D23" s="40">
        <v>17.41</v>
      </c>
      <c r="E23" s="40">
        <v>4.7300000000000004</v>
      </c>
      <c r="F23" s="40">
        <v>14.03</v>
      </c>
      <c r="G23" s="40">
        <v>43.52</v>
      </c>
      <c r="H23" s="40">
        <v>21.72</v>
      </c>
      <c r="I23" s="40">
        <v>14.35</v>
      </c>
      <c r="J23" s="40">
        <v>1.79</v>
      </c>
      <c r="K23" s="40">
        <v>240.48</v>
      </c>
      <c r="L23" s="40">
        <v>39.01</v>
      </c>
      <c r="M23" s="40">
        <v>27.48</v>
      </c>
      <c r="N23" s="40">
        <v>659.4</v>
      </c>
      <c r="O23" s="40">
        <v>0</v>
      </c>
      <c r="P23" s="40">
        <v>0.66</v>
      </c>
      <c r="Q23" s="40">
        <v>28.75</v>
      </c>
      <c r="R23" s="38"/>
      <c r="S23" s="38"/>
      <c r="T23" s="38"/>
      <c r="U23" s="38"/>
    </row>
    <row r="24" spans="1:21" customFormat="1">
      <c r="A24" s="39" t="s">
        <v>147</v>
      </c>
      <c r="B24" s="40">
        <v>2.83</v>
      </c>
      <c r="C24" s="40">
        <v>26.44</v>
      </c>
      <c r="D24" s="40">
        <v>16.68</v>
      </c>
      <c r="E24" s="40">
        <v>2.84</v>
      </c>
      <c r="F24" s="40">
        <v>44.4</v>
      </c>
      <c r="G24" s="40">
        <v>46.08</v>
      </c>
      <c r="H24" s="40">
        <v>22.54</v>
      </c>
      <c r="I24" s="40">
        <v>14.23</v>
      </c>
      <c r="J24" s="40">
        <v>0.6</v>
      </c>
      <c r="K24" s="40">
        <v>237.14</v>
      </c>
      <c r="L24" s="40">
        <v>40.94</v>
      </c>
      <c r="M24" s="40">
        <v>28.53</v>
      </c>
      <c r="N24" s="40">
        <v>559</v>
      </c>
      <c r="O24" s="40">
        <v>0</v>
      </c>
      <c r="P24" s="40">
        <v>0.6</v>
      </c>
      <c r="Q24" s="40">
        <v>29.09</v>
      </c>
      <c r="R24" s="38"/>
      <c r="S24" s="38"/>
      <c r="T24" s="38"/>
      <c r="U24" s="38"/>
    </row>
    <row r="25" spans="1:21" customFormat="1">
      <c r="A25" s="39" t="s">
        <v>148</v>
      </c>
      <c r="B25" s="40">
        <v>3.02</v>
      </c>
      <c r="C25" s="40">
        <v>26.96</v>
      </c>
      <c r="D25" s="40">
        <v>16.5</v>
      </c>
      <c r="E25" s="40">
        <v>2.97</v>
      </c>
      <c r="F25" s="40">
        <v>39.1</v>
      </c>
      <c r="G25" s="40">
        <v>42.24</v>
      </c>
      <c r="H25" s="40">
        <v>28.09</v>
      </c>
      <c r="I25" s="40">
        <v>11.32</v>
      </c>
      <c r="J25" s="40">
        <v>5.29</v>
      </c>
      <c r="K25" s="40">
        <v>357.93</v>
      </c>
      <c r="L25" s="40">
        <v>37.21</v>
      </c>
      <c r="M25" s="40">
        <v>90.95</v>
      </c>
      <c r="N25" s="40">
        <v>39.9</v>
      </c>
      <c r="O25" s="40">
        <v>2.6</v>
      </c>
      <c r="P25" s="40">
        <v>0.57999999999999996</v>
      </c>
      <c r="Q25" s="40">
        <v>29.12</v>
      </c>
      <c r="R25" s="38"/>
      <c r="S25" s="38"/>
      <c r="T25" s="38"/>
      <c r="U25" s="38"/>
    </row>
    <row r="26" spans="1:21" customFormat="1">
      <c r="A26" s="39" t="s">
        <v>149</v>
      </c>
      <c r="B26" s="40">
        <v>3.36</v>
      </c>
      <c r="C26" s="40">
        <v>35.770000000000003</v>
      </c>
      <c r="D26" s="40">
        <v>22.05</v>
      </c>
      <c r="E26" s="40">
        <v>2.7</v>
      </c>
      <c r="F26" s="40">
        <v>16.13</v>
      </c>
      <c r="G26" s="40">
        <v>18.149999999999999</v>
      </c>
      <c r="H26" s="40">
        <v>35.31</v>
      </c>
      <c r="I26" s="40">
        <v>11.32</v>
      </c>
      <c r="J26" s="40">
        <v>2.15</v>
      </c>
      <c r="K26" s="40">
        <v>81.96</v>
      </c>
      <c r="L26" s="40">
        <v>23.27</v>
      </c>
      <c r="M26" s="40">
        <v>82.84</v>
      </c>
      <c r="N26" s="40">
        <v>27.5</v>
      </c>
      <c r="O26" s="40">
        <v>0.2</v>
      </c>
      <c r="P26" s="40">
        <v>0.45</v>
      </c>
      <c r="Q26" s="40">
        <v>28.48</v>
      </c>
      <c r="R26" s="38"/>
      <c r="S26" s="38"/>
      <c r="T26" s="38"/>
      <c r="U26" s="38"/>
    </row>
    <row r="27" spans="1:21" customFormat="1">
      <c r="A27" s="39" t="s">
        <v>150</v>
      </c>
      <c r="B27" s="40">
        <v>5.9</v>
      </c>
      <c r="C27" s="40">
        <v>38.1</v>
      </c>
      <c r="D27" s="40">
        <v>24.77</v>
      </c>
      <c r="E27" s="40">
        <v>1.58</v>
      </c>
      <c r="F27" s="40">
        <v>3.87</v>
      </c>
      <c r="G27" s="40">
        <v>19.14</v>
      </c>
      <c r="H27" s="40">
        <v>21.84</v>
      </c>
      <c r="I27" s="40">
        <v>11.32</v>
      </c>
      <c r="J27" s="40">
        <v>0.73</v>
      </c>
      <c r="K27" s="40">
        <v>150.91</v>
      </c>
      <c r="L27" s="40">
        <v>24.31</v>
      </c>
      <c r="M27" s="40">
        <v>70.069999999999993</v>
      </c>
      <c r="N27" s="40">
        <v>27.5</v>
      </c>
      <c r="O27" s="40">
        <v>0</v>
      </c>
      <c r="P27" s="40">
        <v>0.51</v>
      </c>
      <c r="Q27" s="40">
        <v>27.91</v>
      </c>
      <c r="R27" s="38"/>
      <c r="S27" s="38"/>
      <c r="T27" s="38"/>
      <c r="U27" s="38"/>
    </row>
    <row r="28" spans="1:21" customFormat="1">
      <c r="A28" s="39" t="s">
        <v>151</v>
      </c>
      <c r="B28" s="40">
        <v>6.46</v>
      </c>
      <c r="C28" s="40">
        <v>40.81</v>
      </c>
      <c r="D28" s="40">
        <v>27.12</v>
      </c>
      <c r="E28" s="40">
        <v>1.61</v>
      </c>
      <c r="F28" s="40">
        <v>3.83</v>
      </c>
      <c r="G28" s="40">
        <v>24.17</v>
      </c>
      <c r="H28" s="40">
        <v>14.55</v>
      </c>
      <c r="I28" s="40">
        <v>11.32</v>
      </c>
      <c r="J28" s="40">
        <v>0.61</v>
      </c>
      <c r="K28" s="40">
        <v>150.29</v>
      </c>
      <c r="L28" s="40">
        <v>24.7</v>
      </c>
      <c r="M28" s="40">
        <v>65.2</v>
      </c>
      <c r="N28" s="40">
        <v>23.6</v>
      </c>
      <c r="O28" s="40">
        <v>0</v>
      </c>
      <c r="P28" s="40">
        <v>0.54</v>
      </c>
      <c r="Q28" s="40">
        <v>27.49</v>
      </c>
      <c r="R28" s="38"/>
      <c r="S28" s="38"/>
      <c r="T28" s="38"/>
      <c r="U28" s="38"/>
    </row>
    <row r="29" spans="1:21" customFormat="1">
      <c r="A29" s="39" t="s">
        <v>152</v>
      </c>
      <c r="B29" s="40">
        <v>7.02</v>
      </c>
      <c r="C29" s="40">
        <v>38.36</v>
      </c>
      <c r="D29" s="40">
        <v>26.15</v>
      </c>
      <c r="E29" s="40">
        <v>1.59</v>
      </c>
      <c r="F29" s="40">
        <v>3.93</v>
      </c>
      <c r="G29" s="40">
        <v>27.81</v>
      </c>
      <c r="H29" s="40">
        <v>14.61</v>
      </c>
      <c r="I29" s="40">
        <v>11.32</v>
      </c>
      <c r="J29" s="40">
        <v>1.78</v>
      </c>
      <c r="K29" s="40">
        <v>210.74</v>
      </c>
      <c r="L29" s="40">
        <v>24.96</v>
      </c>
      <c r="M29" s="40">
        <v>70.48</v>
      </c>
      <c r="N29" s="40">
        <v>24.4</v>
      </c>
      <c r="O29" s="40">
        <v>0</v>
      </c>
      <c r="P29" s="40">
        <v>0.52</v>
      </c>
      <c r="Q29" s="40">
        <v>27.69</v>
      </c>
      <c r="R29" s="38"/>
      <c r="S29" s="38"/>
      <c r="T29" s="38"/>
      <c r="U29" s="38"/>
    </row>
    <row r="30" spans="1:21" customFormat="1">
      <c r="A30" s="39" t="s">
        <v>153</v>
      </c>
      <c r="B30" s="40">
        <v>6.64</v>
      </c>
      <c r="C30" s="40">
        <v>39.39</v>
      </c>
      <c r="D30" s="40">
        <v>26.58</v>
      </c>
      <c r="E30" s="40">
        <v>1.35</v>
      </c>
      <c r="F30" s="40">
        <v>3.99</v>
      </c>
      <c r="G30" s="40">
        <v>18.5</v>
      </c>
      <c r="H30" s="40">
        <v>9.76</v>
      </c>
      <c r="I30" s="40">
        <v>11.32</v>
      </c>
      <c r="J30" s="40">
        <v>1.62</v>
      </c>
      <c r="K30" s="40">
        <v>218.01</v>
      </c>
      <c r="L30" s="40">
        <v>23.25</v>
      </c>
      <c r="M30" s="40">
        <v>74.209999999999994</v>
      </c>
      <c r="N30" s="40">
        <v>23.5</v>
      </c>
      <c r="O30" s="40">
        <v>0</v>
      </c>
      <c r="P30" s="40">
        <v>0.48</v>
      </c>
      <c r="Q30" s="40">
        <v>27.82</v>
      </c>
      <c r="R30" s="38"/>
      <c r="S30" s="38"/>
      <c r="T30" s="38"/>
      <c r="U30" s="38"/>
    </row>
    <row r="31" spans="1:21" customFormat="1">
      <c r="A31" s="39" t="s">
        <v>154</v>
      </c>
      <c r="B31" s="40">
        <v>5.94</v>
      </c>
      <c r="C31" s="40">
        <v>38.82</v>
      </c>
      <c r="D31" s="40">
        <v>25.46</v>
      </c>
      <c r="E31" s="40">
        <v>1.1200000000000001</v>
      </c>
      <c r="F31" s="40">
        <v>3.37</v>
      </c>
      <c r="G31" s="40">
        <v>9.06</v>
      </c>
      <c r="H31" s="40">
        <v>9.4700000000000006</v>
      </c>
      <c r="I31" s="40">
        <v>11.32</v>
      </c>
      <c r="J31" s="40">
        <v>1.01</v>
      </c>
      <c r="K31" s="40">
        <v>233.6</v>
      </c>
      <c r="L31" s="40">
        <v>23.36</v>
      </c>
      <c r="M31" s="40">
        <v>73.55</v>
      </c>
      <c r="N31" s="40">
        <v>22.9</v>
      </c>
      <c r="O31" s="40">
        <v>0</v>
      </c>
      <c r="P31" s="40">
        <v>0.46</v>
      </c>
      <c r="Q31" s="40">
        <v>27.73</v>
      </c>
      <c r="R31" s="38"/>
      <c r="S31" s="38"/>
      <c r="T31" s="38"/>
      <c r="U31" s="38"/>
    </row>
    <row r="32" spans="1:21" customFormat="1">
      <c r="A32" s="39" t="s">
        <v>155</v>
      </c>
      <c r="B32" s="40">
        <v>7.33</v>
      </c>
      <c r="C32" s="40">
        <v>41.14</v>
      </c>
      <c r="D32" s="40">
        <v>27.5</v>
      </c>
      <c r="E32" s="40">
        <v>0.56999999999999995</v>
      </c>
      <c r="F32" s="40">
        <v>3.18</v>
      </c>
      <c r="G32" s="40">
        <v>14.13</v>
      </c>
      <c r="H32" s="40">
        <v>9.76</v>
      </c>
      <c r="I32" s="40">
        <v>11.32</v>
      </c>
      <c r="J32" s="40">
        <v>1.51</v>
      </c>
      <c r="K32" s="40">
        <v>357.81</v>
      </c>
      <c r="L32" s="40">
        <v>23.18</v>
      </c>
      <c r="M32" s="40">
        <v>78.52</v>
      </c>
      <c r="N32" s="40">
        <v>23.2</v>
      </c>
      <c r="O32" s="40">
        <v>0</v>
      </c>
      <c r="P32" s="40">
        <v>0.44</v>
      </c>
      <c r="Q32" s="40">
        <v>27.63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2.5099999999999998</v>
      </c>
      <c r="C34" s="18">
        <f t="shared" si="0"/>
        <v>25.08</v>
      </c>
      <c r="D34" s="18">
        <f t="shared" si="0"/>
        <v>16.27</v>
      </c>
      <c r="E34" s="18">
        <f t="shared" si="0"/>
        <v>0.56999999999999995</v>
      </c>
      <c r="F34" s="18">
        <f t="shared" si="0"/>
        <v>2.75</v>
      </c>
      <c r="G34" s="18">
        <f t="shared" si="0"/>
        <v>9.06</v>
      </c>
      <c r="H34" s="18">
        <f t="shared" si="0"/>
        <v>9.4700000000000006</v>
      </c>
      <c r="I34" s="18">
        <f t="shared" si="0"/>
        <v>8.1199999999999992</v>
      </c>
      <c r="J34" s="18">
        <f t="shared" si="0"/>
        <v>0.51</v>
      </c>
      <c r="K34" s="18">
        <f t="shared" si="0"/>
        <v>81.96</v>
      </c>
      <c r="L34" s="18">
        <f t="shared" si="0"/>
        <v>23.18</v>
      </c>
      <c r="M34" s="18">
        <f t="shared" si="0"/>
        <v>27.48</v>
      </c>
      <c r="N34" s="18">
        <f t="shared" si="0"/>
        <v>22.7</v>
      </c>
      <c r="O34" s="18">
        <f t="shared" si="0"/>
        <v>0</v>
      </c>
      <c r="P34" s="18">
        <f t="shared" si="0"/>
        <v>0.44</v>
      </c>
      <c r="Q34" s="18">
        <f t="shared" si="0"/>
        <v>27.33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13.23</v>
      </c>
      <c r="C35" s="3">
        <f t="shared" si="1"/>
        <v>42.1</v>
      </c>
      <c r="D35" s="3">
        <f t="shared" si="1"/>
        <v>32.01</v>
      </c>
      <c r="E35" s="3">
        <f t="shared" si="1"/>
        <v>4.7300000000000004</v>
      </c>
      <c r="F35" s="3">
        <f t="shared" si="1"/>
        <v>44.4</v>
      </c>
      <c r="G35" s="3">
        <f t="shared" si="1"/>
        <v>91.42</v>
      </c>
      <c r="H35" s="3">
        <f t="shared" si="1"/>
        <v>35.57</v>
      </c>
      <c r="I35" s="3">
        <f t="shared" si="1"/>
        <v>14.35</v>
      </c>
      <c r="J35" s="3">
        <f t="shared" si="1"/>
        <v>5.29</v>
      </c>
      <c r="K35" s="3">
        <f t="shared" si="1"/>
        <v>357.93</v>
      </c>
      <c r="L35" s="3">
        <f t="shared" si="1"/>
        <v>40.94</v>
      </c>
      <c r="M35" s="3">
        <f t="shared" si="1"/>
        <v>90.95</v>
      </c>
      <c r="N35" s="3">
        <f t="shared" si="1"/>
        <v>850.7</v>
      </c>
      <c r="O35" s="3">
        <f t="shared" si="1"/>
        <v>2.6</v>
      </c>
      <c r="P35" s="3">
        <f t="shared" si="1"/>
        <v>0.66</v>
      </c>
      <c r="Q35" s="3">
        <f t="shared" si="1"/>
        <v>29.12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6.560833333333334</v>
      </c>
      <c r="C36" s="18">
        <f t="shared" si="2"/>
        <v>35.656666666666673</v>
      </c>
      <c r="D36" s="18">
        <f t="shared" si="2"/>
        <v>24.4175</v>
      </c>
      <c r="E36" s="18">
        <f t="shared" si="2"/>
        <v>1.9025000000000001</v>
      </c>
      <c r="F36" s="18">
        <f t="shared" si="2"/>
        <v>11.581249999999999</v>
      </c>
      <c r="G36" s="18">
        <f t="shared" si="2"/>
        <v>38.472499999999997</v>
      </c>
      <c r="H36" s="18">
        <f t="shared" si="2"/>
        <v>20.395416666666666</v>
      </c>
      <c r="I36" s="18">
        <f t="shared" si="2"/>
        <v>10.818749999999996</v>
      </c>
      <c r="J36" s="18">
        <f t="shared" si="2"/>
        <v>1.2375</v>
      </c>
      <c r="K36" s="18">
        <f t="shared" si="2"/>
        <v>224.76333333333335</v>
      </c>
      <c r="L36" s="18">
        <f t="shared" si="2"/>
        <v>29.572083333333335</v>
      </c>
      <c r="M36" s="18">
        <f t="shared" si="2"/>
        <v>56.577500000000008</v>
      </c>
      <c r="N36" s="18">
        <f t="shared" si="2"/>
        <v>255.39999999999995</v>
      </c>
      <c r="O36" s="18">
        <f t="shared" si="2"/>
        <v>0.11666666666666668</v>
      </c>
      <c r="P36" s="18">
        <f t="shared" si="2"/>
        <v>0.52833333333333321</v>
      </c>
      <c r="Q36" s="18">
        <f t="shared" si="2"/>
        <v>28.058750000000014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3.5280169533589874</v>
      </c>
      <c r="C37" s="18">
        <f t="shared" ref="C37:Q37" si="3">STDEV(C9:C32)</f>
        <v>5.0102709001363008</v>
      </c>
      <c r="D37" s="18">
        <f t="shared" si="3"/>
        <v>4.8445058526666944</v>
      </c>
      <c r="E37" s="18">
        <f t="shared" si="3"/>
        <v>0.97478314199263993</v>
      </c>
      <c r="F37" s="18">
        <f t="shared" si="3"/>
        <v>11.49723229927439</v>
      </c>
      <c r="G37" s="18">
        <f t="shared" si="3"/>
        <v>22.210578805370343</v>
      </c>
      <c r="H37" s="18">
        <f t="shared" si="3"/>
        <v>8.1143415598109652</v>
      </c>
      <c r="I37" s="18">
        <f t="shared" si="3"/>
        <v>1.5756773905627202</v>
      </c>
      <c r="J37" s="18">
        <f t="shared" si="3"/>
        <v>0.9842023916990279</v>
      </c>
      <c r="K37" s="18">
        <f t="shared" si="3"/>
        <v>71.810654209323374</v>
      </c>
      <c r="L37" s="18">
        <f t="shared" si="3"/>
        <v>5.7593190865396391</v>
      </c>
      <c r="M37" s="18">
        <f t="shared" si="3"/>
        <v>17.984937961479339</v>
      </c>
      <c r="N37" s="18">
        <f t="shared" si="3"/>
        <v>331.84416981992962</v>
      </c>
      <c r="O37" s="18">
        <f t="shared" si="3"/>
        <v>0.53051793123542845</v>
      </c>
      <c r="P37" s="18">
        <f t="shared" si="3"/>
        <v>6.6898148844648772E-2</v>
      </c>
      <c r="Q37" s="18">
        <f t="shared" si="3"/>
        <v>0.52282936363431343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156</v>
      </c>
      <c r="B9" s="40">
        <v>9.3800000000000008</v>
      </c>
      <c r="C9" s="40">
        <v>43.09</v>
      </c>
      <c r="D9" s="40">
        <v>30.27</v>
      </c>
      <c r="E9" s="40">
        <v>0.9</v>
      </c>
      <c r="F9" s="40">
        <v>2.67</v>
      </c>
      <c r="G9" s="40">
        <v>20.64</v>
      </c>
      <c r="H9" s="40">
        <v>12.24</v>
      </c>
      <c r="I9" s="27" t="s">
        <v>8</v>
      </c>
      <c r="J9" s="40">
        <v>0.71</v>
      </c>
      <c r="K9" s="40">
        <v>305.11</v>
      </c>
      <c r="L9" s="40">
        <v>22.78</v>
      </c>
      <c r="M9" s="40">
        <v>80.38</v>
      </c>
      <c r="N9" s="40">
        <v>23</v>
      </c>
      <c r="O9" s="40">
        <v>0</v>
      </c>
      <c r="P9" s="40">
        <v>0.41</v>
      </c>
      <c r="Q9" s="40">
        <v>27.43</v>
      </c>
      <c r="R9" s="38"/>
      <c r="S9" s="38"/>
      <c r="T9" s="38"/>
      <c r="U9" s="38"/>
    </row>
    <row r="10" spans="1:21" customFormat="1">
      <c r="A10" s="39" t="s">
        <v>157</v>
      </c>
      <c r="B10" s="40">
        <v>11.28</v>
      </c>
      <c r="C10" s="40">
        <v>39.29</v>
      </c>
      <c r="D10" s="40">
        <v>30.25</v>
      </c>
      <c r="E10" s="40">
        <v>0.26</v>
      </c>
      <c r="F10" s="40">
        <v>2.57</v>
      </c>
      <c r="G10" s="40">
        <v>39.46</v>
      </c>
      <c r="H10" s="40">
        <v>14.32</v>
      </c>
      <c r="I10" s="27" t="s">
        <v>8</v>
      </c>
      <c r="J10" s="40">
        <v>0.91</v>
      </c>
      <c r="K10" s="40">
        <v>81.349999999999994</v>
      </c>
      <c r="L10" s="40">
        <v>22.69</v>
      </c>
      <c r="M10" s="40">
        <v>81.38</v>
      </c>
      <c r="N10" s="40">
        <v>22.9</v>
      </c>
      <c r="O10" s="40">
        <v>0</v>
      </c>
      <c r="P10" s="40">
        <v>0.48</v>
      </c>
      <c r="Q10" s="40">
        <v>27.41</v>
      </c>
      <c r="R10" s="38"/>
      <c r="S10" s="38"/>
      <c r="T10" s="38"/>
      <c r="U10" s="38"/>
    </row>
    <row r="11" spans="1:21" customFormat="1">
      <c r="A11" s="39" t="s">
        <v>158</v>
      </c>
      <c r="B11" s="40">
        <v>13.28</v>
      </c>
      <c r="C11" s="40">
        <v>39.69</v>
      </c>
      <c r="D11" s="40">
        <v>31.04</v>
      </c>
      <c r="E11" s="40">
        <v>0.09</v>
      </c>
      <c r="F11" s="40">
        <v>2.59</v>
      </c>
      <c r="G11" s="40">
        <v>59.95</v>
      </c>
      <c r="H11" s="40">
        <v>17.38</v>
      </c>
      <c r="I11" s="27" t="s">
        <v>8</v>
      </c>
      <c r="J11" s="40">
        <v>0.52</v>
      </c>
      <c r="K11" s="40">
        <v>136.96</v>
      </c>
      <c r="L11" s="40">
        <v>22.62</v>
      </c>
      <c r="M11" s="40">
        <v>80.66</v>
      </c>
      <c r="N11" s="40">
        <v>22.9</v>
      </c>
      <c r="O11" s="40">
        <v>0</v>
      </c>
      <c r="P11" s="40">
        <v>0.5</v>
      </c>
      <c r="Q11" s="40">
        <v>27.22</v>
      </c>
      <c r="R11" s="38"/>
      <c r="S11" s="38"/>
      <c r="T11" s="38"/>
      <c r="U11" s="38"/>
    </row>
    <row r="12" spans="1:21" customFormat="1">
      <c r="A12" s="39" t="s">
        <v>159</v>
      </c>
      <c r="B12" s="40">
        <v>14.93</v>
      </c>
      <c r="C12" s="40">
        <v>40.700000000000003</v>
      </c>
      <c r="D12" s="40">
        <v>33.909999999999997</v>
      </c>
      <c r="E12" s="40">
        <v>0.26</v>
      </c>
      <c r="F12" s="40">
        <v>2.56</v>
      </c>
      <c r="G12" s="40">
        <v>65.44</v>
      </c>
      <c r="H12" s="40">
        <v>18.37</v>
      </c>
      <c r="I12" s="27" t="s">
        <v>8</v>
      </c>
      <c r="J12" s="40">
        <v>0.57999999999999996</v>
      </c>
      <c r="K12" s="40">
        <v>104.2</v>
      </c>
      <c r="L12" s="40">
        <v>22.63</v>
      </c>
      <c r="M12" s="40">
        <v>79.239999999999995</v>
      </c>
      <c r="N12" s="40">
        <v>22.9</v>
      </c>
      <c r="O12" s="40">
        <v>0</v>
      </c>
      <c r="P12" s="40">
        <v>0.46</v>
      </c>
      <c r="Q12" s="40">
        <v>27.09</v>
      </c>
      <c r="R12" s="38"/>
      <c r="S12" s="38"/>
      <c r="T12" s="38"/>
      <c r="U12" s="38"/>
    </row>
    <row r="13" spans="1:21" customFormat="1">
      <c r="A13" s="39" t="s">
        <v>160</v>
      </c>
      <c r="B13" s="40">
        <v>15.33</v>
      </c>
      <c r="C13" s="40">
        <v>39.090000000000003</v>
      </c>
      <c r="D13" s="40">
        <v>33.200000000000003</v>
      </c>
      <c r="E13" s="40">
        <v>0.26</v>
      </c>
      <c r="F13" s="40">
        <v>2.5</v>
      </c>
      <c r="G13" s="40">
        <v>17.46</v>
      </c>
      <c r="H13" s="40">
        <v>14.54</v>
      </c>
      <c r="I13" s="27" t="s">
        <v>8</v>
      </c>
      <c r="J13" s="40">
        <v>0.85</v>
      </c>
      <c r="K13" s="40">
        <v>134.97999999999999</v>
      </c>
      <c r="L13" s="40">
        <v>22.06</v>
      </c>
      <c r="M13" s="40">
        <v>80.819999999999993</v>
      </c>
      <c r="N13" s="40">
        <v>23</v>
      </c>
      <c r="O13" s="40">
        <v>0</v>
      </c>
      <c r="P13" s="40">
        <v>0.44</v>
      </c>
      <c r="Q13" s="40">
        <v>27.17</v>
      </c>
      <c r="R13" s="38"/>
      <c r="S13" s="38"/>
      <c r="T13" s="38"/>
      <c r="U13" s="38"/>
    </row>
    <row r="14" spans="1:21" customFormat="1">
      <c r="A14" s="39" t="s">
        <v>161</v>
      </c>
      <c r="B14" s="40">
        <v>15.5</v>
      </c>
      <c r="C14" s="40">
        <v>39.9</v>
      </c>
      <c r="D14" s="40">
        <v>33.53</v>
      </c>
      <c r="E14" s="40">
        <v>1.32</v>
      </c>
      <c r="F14" s="40">
        <v>2.57</v>
      </c>
      <c r="G14" s="40">
        <v>20.04</v>
      </c>
      <c r="H14" s="40">
        <v>10.57</v>
      </c>
      <c r="I14" s="27" t="s">
        <v>8</v>
      </c>
      <c r="J14" s="40">
        <v>0.55000000000000004</v>
      </c>
      <c r="K14" s="40">
        <v>102.24</v>
      </c>
      <c r="L14" s="40">
        <v>21.82</v>
      </c>
      <c r="M14" s="40">
        <v>81.62</v>
      </c>
      <c r="N14" s="40">
        <v>40.299999999999997</v>
      </c>
      <c r="O14" s="40">
        <v>0</v>
      </c>
      <c r="P14" s="40">
        <v>0.45</v>
      </c>
      <c r="Q14" s="40">
        <v>27.09</v>
      </c>
      <c r="R14" s="38"/>
      <c r="S14" s="38"/>
      <c r="T14" s="38"/>
      <c r="U14" s="38"/>
    </row>
    <row r="15" spans="1:21" customFormat="1">
      <c r="A15" s="39" t="s">
        <v>162</v>
      </c>
      <c r="B15" s="40">
        <v>17.170000000000002</v>
      </c>
      <c r="C15" s="40">
        <v>39.08</v>
      </c>
      <c r="D15" s="40">
        <v>34.869999999999997</v>
      </c>
      <c r="E15" s="40">
        <v>1.25</v>
      </c>
      <c r="F15" s="40">
        <v>2.64</v>
      </c>
      <c r="G15" s="40">
        <v>26.72</v>
      </c>
      <c r="H15" s="40">
        <v>11.99</v>
      </c>
      <c r="I15" s="27" t="s">
        <v>8</v>
      </c>
      <c r="J15" s="40">
        <v>0.5</v>
      </c>
      <c r="K15" s="40">
        <v>131.80000000000001</v>
      </c>
      <c r="L15" s="40">
        <v>23.4</v>
      </c>
      <c r="M15" s="40">
        <v>80.48</v>
      </c>
      <c r="N15" s="40">
        <v>85.8</v>
      </c>
      <c r="O15" s="40">
        <v>0</v>
      </c>
      <c r="P15" s="40">
        <v>0.44</v>
      </c>
      <c r="Q15" s="40">
        <v>27.07</v>
      </c>
      <c r="R15" s="38"/>
      <c r="S15" s="38"/>
      <c r="T15" s="38"/>
      <c r="U15" s="38"/>
    </row>
    <row r="16" spans="1:21" customFormat="1">
      <c r="A16" s="39" t="s">
        <v>163</v>
      </c>
      <c r="B16" s="40">
        <v>17.25</v>
      </c>
      <c r="C16" s="40">
        <v>39.51</v>
      </c>
      <c r="D16" s="40">
        <v>35.119999999999997</v>
      </c>
      <c r="E16" s="40">
        <v>1.22</v>
      </c>
      <c r="F16" s="40">
        <v>3.23</v>
      </c>
      <c r="G16" s="40">
        <v>29.2</v>
      </c>
      <c r="H16" s="40">
        <v>13.16</v>
      </c>
      <c r="I16" s="27" t="s">
        <v>8</v>
      </c>
      <c r="J16" s="40">
        <v>0.74</v>
      </c>
      <c r="K16" s="40">
        <v>182.63</v>
      </c>
      <c r="L16" s="40">
        <v>25.03</v>
      </c>
      <c r="M16" s="40">
        <v>70.569999999999993</v>
      </c>
      <c r="N16" s="40">
        <v>170.5</v>
      </c>
      <c r="O16" s="40">
        <v>0</v>
      </c>
      <c r="P16" s="40">
        <v>0.47</v>
      </c>
      <c r="Q16" s="40">
        <v>26.96</v>
      </c>
      <c r="R16" s="38"/>
      <c r="S16" s="38"/>
      <c r="T16" s="38"/>
      <c r="U16" s="38"/>
    </row>
    <row r="17" spans="1:21" customFormat="1">
      <c r="A17" s="39" t="s">
        <v>164</v>
      </c>
      <c r="B17" s="40">
        <v>16.739999999999998</v>
      </c>
      <c r="C17" s="40">
        <v>38.35</v>
      </c>
      <c r="D17" s="40">
        <v>33.81</v>
      </c>
      <c r="E17" s="40">
        <v>1.35</v>
      </c>
      <c r="F17" s="40">
        <v>3.23</v>
      </c>
      <c r="G17" s="40">
        <v>51.03</v>
      </c>
      <c r="H17" s="40">
        <v>15.59</v>
      </c>
      <c r="I17" s="27" t="s">
        <v>8</v>
      </c>
      <c r="J17" s="40">
        <v>0.88</v>
      </c>
      <c r="K17" s="40">
        <v>35.68</v>
      </c>
      <c r="L17" s="40">
        <v>27.14</v>
      </c>
      <c r="M17" s="40">
        <v>65.569999999999993</v>
      </c>
      <c r="N17" s="40">
        <v>335.1</v>
      </c>
      <c r="O17" s="40">
        <v>0</v>
      </c>
      <c r="P17" s="40">
        <v>0.56999999999999995</v>
      </c>
      <c r="Q17" s="40">
        <v>26.83</v>
      </c>
      <c r="R17" s="38"/>
      <c r="S17" s="38"/>
      <c r="T17" s="38"/>
      <c r="U17" s="38"/>
    </row>
    <row r="18" spans="1:21" customFormat="1">
      <c r="A18" s="39" t="s">
        <v>165</v>
      </c>
      <c r="B18" s="40">
        <v>17.57</v>
      </c>
      <c r="C18" s="40">
        <v>41.77</v>
      </c>
      <c r="D18" s="40">
        <v>36.4</v>
      </c>
      <c r="E18" s="40">
        <v>1.23</v>
      </c>
      <c r="F18" s="40">
        <v>3</v>
      </c>
      <c r="G18" s="40">
        <v>89.37</v>
      </c>
      <c r="H18" s="40">
        <v>24.46</v>
      </c>
      <c r="I18" s="27" t="s">
        <v>8</v>
      </c>
      <c r="J18" s="40">
        <v>0.63</v>
      </c>
      <c r="K18" s="40">
        <v>329.36</v>
      </c>
      <c r="L18" s="40">
        <v>29.76</v>
      </c>
      <c r="M18" s="40">
        <v>55.69</v>
      </c>
      <c r="N18" s="40">
        <v>629.29999999999995</v>
      </c>
      <c r="O18" s="40">
        <v>0</v>
      </c>
      <c r="P18" s="40">
        <v>0.59</v>
      </c>
      <c r="Q18" s="40">
        <v>26.66</v>
      </c>
      <c r="R18" s="38"/>
      <c r="S18" s="38"/>
      <c r="T18" s="38"/>
      <c r="U18" s="38"/>
    </row>
    <row r="19" spans="1:21" customFormat="1">
      <c r="A19" s="39" t="s">
        <v>166</v>
      </c>
      <c r="B19" s="40">
        <v>18.32</v>
      </c>
      <c r="C19" s="40">
        <v>41.54</v>
      </c>
      <c r="D19" s="40">
        <v>36.840000000000003</v>
      </c>
      <c r="E19" s="40">
        <v>3.79</v>
      </c>
      <c r="F19" s="40">
        <v>7.98</v>
      </c>
      <c r="G19" s="40">
        <v>115.65</v>
      </c>
      <c r="H19" s="40">
        <v>34.92</v>
      </c>
      <c r="I19" s="27" t="s">
        <v>8</v>
      </c>
      <c r="J19" s="40">
        <v>1.1100000000000001</v>
      </c>
      <c r="K19" s="40">
        <v>335.1</v>
      </c>
      <c r="L19" s="40">
        <v>30.84</v>
      </c>
      <c r="M19" s="40">
        <v>50.55</v>
      </c>
      <c r="N19" s="40">
        <v>713.9</v>
      </c>
      <c r="O19" s="40">
        <v>0</v>
      </c>
      <c r="P19" s="40">
        <v>0.67</v>
      </c>
      <c r="Q19" s="40">
        <v>26.91</v>
      </c>
      <c r="R19" s="38"/>
      <c r="S19" s="38"/>
      <c r="T19" s="38"/>
      <c r="U19" s="38"/>
    </row>
    <row r="20" spans="1:21" customFormat="1">
      <c r="A20" s="39" t="s">
        <v>167</v>
      </c>
      <c r="B20" s="40">
        <v>17.3</v>
      </c>
      <c r="C20" s="40">
        <v>31.58</v>
      </c>
      <c r="D20" s="40">
        <v>30.76</v>
      </c>
      <c r="E20" s="40">
        <v>2.93</v>
      </c>
      <c r="F20" s="40">
        <v>13.23</v>
      </c>
      <c r="G20" s="40">
        <v>122.6</v>
      </c>
      <c r="H20" s="40">
        <v>39.64</v>
      </c>
      <c r="I20" s="27" t="s">
        <v>8</v>
      </c>
      <c r="J20" s="40">
        <v>0.87</v>
      </c>
      <c r="K20" s="40">
        <v>352.33</v>
      </c>
      <c r="L20" s="40">
        <v>32.9</v>
      </c>
      <c r="M20" s="40">
        <v>47.38</v>
      </c>
      <c r="N20" s="40">
        <v>815.9</v>
      </c>
      <c r="O20" s="40">
        <v>0</v>
      </c>
      <c r="P20" s="40">
        <v>0.68</v>
      </c>
      <c r="Q20" s="40">
        <v>27.19</v>
      </c>
      <c r="R20" s="38"/>
      <c r="S20" s="38"/>
      <c r="T20" s="38"/>
      <c r="U20" s="38"/>
    </row>
    <row r="21" spans="1:21" customFormat="1">
      <c r="A21" s="39" t="s">
        <v>168</v>
      </c>
      <c r="B21" s="40">
        <v>12.78</v>
      </c>
      <c r="C21" s="40">
        <v>34.75</v>
      </c>
      <c r="D21" s="40">
        <v>27.37</v>
      </c>
      <c r="E21" s="40">
        <v>4.76</v>
      </c>
      <c r="F21" s="40">
        <v>10.16</v>
      </c>
      <c r="G21" s="40">
        <v>116.84</v>
      </c>
      <c r="H21" s="40">
        <v>39.979999999999997</v>
      </c>
      <c r="I21" s="27" t="s">
        <v>8</v>
      </c>
      <c r="J21" s="40">
        <v>1.29</v>
      </c>
      <c r="K21" s="40">
        <v>280.12</v>
      </c>
      <c r="L21" s="40">
        <v>34.520000000000003</v>
      </c>
      <c r="M21" s="40">
        <v>39.159999999999997</v>
      </c>
      <c r="N21" s="40">
        <v>849.1</v>
      </c>
      <c r="O21" s="40">
        <v>0</v>
      </c>
      <c r="P21" s="40">
        <v>0.67</v>
      </c>
      <c r="Q21" s="40">
        <v>27.43</v>
      </c>
      <c r="R21" s="38"/>
      <c r="S21" s="38"/>
      <c r="T21" s="38"/>
      <c r="U21" s="38"/>
    </row>
    <row r="22" spans="1:21" customFormat="1">
      <c r="A22" s="39" t="s">
        <v>169</v>
      </c>
      <c r="B22" s="40">
        <v>8.34</v>
      </c>
      <c r="C22" s="40">
        <v>34.65</v>
      </c>
      <c r="D22" s="40">
        <v>25.45</v>
      </c>
      <c r="E22" s="40">
        <v>4.26</v>
      </c>
      <c r="F22" s="40">
        <v>21.37</v>
      </c>
      <c r="G22" s="40">
        <v>101.7</v>
      </c>
      <c r="H22" s="40">
        <v>34.44</v>
      </c>
      <c r="I22" s="27" t="s">
        <v>8</v>
      </c>
      <c r="J22" s="40">
        <v>1.47</v>
      </c>
      <c r="K22" s="40">
        <v>269.56</v>
      </c>
      <c r="L22" s="40">
        <v>37.270000000000003</v>
      </c>
      <c r="M22" s="40">
        <v>30.29</v>
      </c>
      <c r="N22" s="40">
        <v>838.8</v>
      </c>
      <c r="O22" s="40">
        <v>0</v>
      </c>
      <c r="P22" s="40">
        <v>0.62</v>
      </c>
      <c r="Q22" s="40">
        <v>28.04</v>
      </c>
      <c r="R22" s="38"/>
      <c r="S22" s="38"/>
      <c r="T22" s="38"/>
      <c r="U22" s="38"/>
    </row>
    <row r="23" spans="1:21" customFormat="1">
      <c r="A23" s="39" t="s">
        <v>170</v>
      </c>
      <c r="B23" s="40">
        <v>3.24</v>
      </c>
      <c r="C23" s="40">
        <v>27.59</v>
      </c>
      <c r="D23" s="40">
        <v>17.55</v>
      </c>
      <c r="E23" s="40">
        <v>3.3</v>
      </c>
      <c r="F23" s="40">
        <v>26.7</v>
      </c>
      <c r="G23" s="40">
        <v>69.31</v>
      </c>
      <c r="H23" s="40">
        <v>31.22</v>
      </c>
      <c r="I23" s="27" t="s">
        <v>8</v>
      </c>
      <c r="J23" s="40">
        <v>0.91</v>
      </c>
      <c r="K23" s="40">
        <v>344.29</v>
      </c>
      <c r="L23" s="40">
        <v>37.979999999999997</v>
      </c>
      <c r="M23" s="40">
        <v>25.2</v>
      </c>
      <c r="N23" s="40">
        <v>740.7</v>
      </c>
      <c r="O23" s="40">
        <v>0</v>
      </c>
      <c r="P23" s="40">
        <v>0.57999999999999996</v>
      </c>
      <c r="Q23" s="40">
        <v>28.44</v>
      </c>
      <c r="R23" s="38"/>
      <c r="S23" s="38"/>
      <c r="T23" s="38"/>
      <c r="U23" s="38"/>
    </row>
    <row r="24" spans="1:21" customFormat="1">
      <c r="A24" s="39" t="s">
        <v>171</v>
      </c>
      <c r="B24" s="40">
        <v>1.99</v>
      </c>
      <c r="C24" s="40">
        <v>31.22</v>
      </c>
      <c r="D24" s="40">
        <v>18.39</v>
      </c>
      <c r="E24" s="40">
        <v>2.86</v>
      </c>
      <c r="F24" s="40">
        <v>25.09</v>
      </c>
      <c r="G24" s="40">
        <v>48.75</v>
      </c>
      <c r="H24" s="40">
        <v>26.75</v>
      </c>
      <c r="I24" s="27" t="s">
        <v>8</v>
      </c>
      <c r="J24" s="40">
        <v>0.89</v>
      </c>
      <c r="K24" s="40">
        <v>357.18</v>
      </c>
      <c r="L24" s="40">
        <v>38.299999999999997</v>
      </c>
      <c r="M24" s="40">
        <v>24.78</v>
      </c>
      <c r="N24" s="40">
        <v>576.9</v>
      </c>
      <c r="O24" s="40">
        <v>0</v>
      </c>
      <c r="P24" s="40">
        <v>0.55000000000000004</v>
      </c>
      <c r="Q24" s="40">
        <v>28.55</v>
      </c>
      <c r="R24" s="38"/>
      <c r="S24" s="38"/>
      <c r="T24" s="38"/>
      <c r="U24" s="38"/>
    </row>
    <row r="25" spans="1:21" customFormat="1">
      <c r="A25" s="39" t="s">
        <v>172</v>
      </c>
      <c r="B25" s="40">
        <v>1.73</v>
      </c>
      <c r="C25" s="40">
        <v>29.55</v>
      </c>
      <c r="D25" s="40">
        <v>17.5</v>
      </c>
      <c r="E25" s="40">
        <v>3.49</v>
      </c>
      <c r="F25" s="40">
        <v>57.34</v>
      </c>
      <c r="G25" s="40">
        <v>41.46</v>
      </c>
      <c r="H25" s="40">
        <v>25.88</v>
      </c>
      <c r="I25" s="27" t="s">
        <v>8</v>
      </c>
      <c r="J25" s="40">
        <v>0.82</v>
      </c>
      <c r="K25" s="40">
        <v>317.20999999999998</v>
      </c>
      <c r="L25" s="40">
        <v>38.46</v>
      </c>
      <c r="M25" s="40">
        <v>26.11</v>
      </c>
      <c r="N25" s="40">
        <v>366.4</v>
      </c>
      <c r="O25" s="40">
        <v>0</v>
      </c>
      <c r="P25" s="40">
        <v>0.52</v>
      </c>
      <c r="Q25" s="40">
        <v>28.77</v>
      </c>
      <c r="R25" s="38"/>
      <c r="S25" s="38"/>
      <c r="T25" s="38"/>
      <c r="U25" s="38"/>
    </row>
    <row r="26" spans="1:21" customFormat="1">
      <c r="A26" s="39" t="s">
        <v>173</v>
      </c>
      <c r="B26" s="40">
        <v>0.37</v>
      </c>
      <c r="C26" s="40">
        <v>20.3</v>
      </c>
      <c r="D26" s="40">
        <v>11.53</v>
      </c>
      <c r="E26" s="40">
        <v>6.46</v>
      </c>
      <c r="F26" s="40">
        <v>74.2</v>
      </c>
      <c r="G26" s="40">
        <v>32.67</v>
      </c>
      <c r="H26" s="40">
        <v>21.7</v>
      </c>
      <c r="I26" s="40">
        <v>8.08</v>
      </c>
      <c r="J26" s="40">
        <v>0.92</v>
      </c>
      <c r="K26" s="40">
        <v>216.46</v>
      </c>
      <c r="L26" s="40">
        <v>38.4</v>
      </c>
      <c r="M26" s="40">
        <v>29.2</v>
      </c>
      <c r="N26" s="40">
        <v>159.69999999999999</v>
      </c>
      <c r="O26" s="40">
        <v>0</v>
      </c>
      <c r="P26" s="40">
        <v>0.57999999999999996</v>
      </c>
      <c r="Q26" s="40">
        <v>29.08</v>
      </c>
      <c r="R26" s="38"/>
      <c r="S26" s="38"/>
      <c r="T26" s="38"/>
      <c r="U26" s="38"/>
    </row>
    <row r="27" spans="1:21" customFormat="1">
      <c r="A27" s="39" t="s">
        <v>174</v>
      </c>
      <c r="B27" s="40">
        <v>1.03</v>
      </c>
      <c r="C27" s="40">
        <v>26.91</v>
      </c>
      <c r="D27" s="40">
        <v>15.56</v>
      </c>
      <c r="E27" s="40">
        <v>7.01</v>
      </c>
      <c r="F27" s="40">
        <v>33.64</v>
      </c>
      <c r="G27" s="40">
        <v>42.96</v>
      </c>
      <c r="H27" s="40">
        <v>24.44</v>
      </c>
      <c r="I27" s="40">
        <v>12.19</v>
      </c>
      <c r="J27" s="40">
        <v>1.21</v>
      </c>
      <c r="K27" s="40">
        <v>222.91</v>
      </c>
      <c r="L27" s="40">
        <v>35.130000000000003</v>
      </c>
      <c r="M27" s="40">
        <v>37.799999999999997</v>
      </c>
      <c r="N27" s="40">
        <v>34</v>
      </c>
      <c r="O27" s="40">
        <v>0</v>
      </c>
      <c r="P27" s="40">
        <v>0.72</v>
      </c>
      <c r="Q27" s="40">
        <v>28.54</v>
      </c>
      <c r="R27" s="38"/>
      <c r="S27" s="38"/>
      <c r="T27" s="38"/>
      <c r="U27" s="38"/>
    </row>
    <row r="28" spans="1:21" customFormat="1">
      <c r="A28" s="39" t="s">
        <v>175</v>
      </c>
      <c r="B28" s="40">
        <v>2.72</v>
      </c>
      <c r="C28" s="40">
        <v>32.82</v>
      </c>
      <c r="D28" s="40">
        <v>19.37</v>
      </c>
      <c r="E28" s="40">
        <v>8.32</v>
      </c>
      <c r="F28" s="40">
        <v>31.39</v>
      </c>
      <c r="G28" s="40">
        <v>53.42</v>
      </c>
      <c r="H28" s="40">
        <v>27.15</v>
      </c>
      <c r="I28" s="40">
        <v>12.95</v>
      </c>
      <c r="J28" s="40">
        <v>0.91</v>
      </c>
      <c r="K28" s="40">
        <v>237.52</v>
      </c>
      <c r="L28" s="40">
        <v>33.409999999999997</v>
      </c>
      <c r="M28" s="40">
        <v>38.56</v>
      </c>
      <c r="N28" s="40">
        <v>22.7</v>
      </c>
      <c r="O28" s="40">
        <v>0</v>
      </c>
      <c r="P28" s="40">
        <v>0.74</v>
      </c>
      <c r="Q28" s="40">
        <v>28.41</v>
      </c>
      <c r="R28" s="38"/>
      <c r="S28" s="38"/>
      <c r="T28" s="38"/>
      <c r="U28" s="38"/>
    </row>
    <row r="29" spans="1:21" customFormat="1">
      <c r="A29" s="39" t="s">
        <v>176</v>
      </c>
      <c r="B29" s="40">
        <v>2.61</v>
      </c>
      <c r="C29" s="40">
        <v>31.98</v>
      </c>
      <c r="D29" s="40">
        <v>19.38</v>
      </c>
      <c r="E29" s="40">
        <v>7.42</v>
      </c>
      <c r="F29" s="40">
        <v>19.21</v>
      </c>
      <c r="G29" s="40">
        <v>58.93</v>
      </c>
      <c r="H29" s="40">
        <v>27.67</v>
      </c>
      <c r="I29" s="40">
        <v>14.36</v>
      </c>
      <c r="J29" s="40">
        <v>1.1200000000000001</v>
      </c>
      <c r="K29" s="40">
        <v>216.66</v>
      </c>
      <c r="L29" s="40">
        <v>32.159999999999997</v>
      </c>
      <c r="M29" s="40">
        <v>47.11</v>
      </c>
      <c r="N29" s="40">
        <v>23.3</v>
      </c>
      <c r="O29" s="40">
        <v>0</v>
      </c>
      <c r="P29" s="40">
        <v>0.77</v>
      </c>
      <c r="Q29" s="40">
        <v>28.34</v>
      </c>
      <c r="R29" s="38"/>
      <c r="S29" s="38"/>
      <c r="T29" s="38"/>
      <c r="U29" s="38"/>
    </row>
    <row r="30" spans="1:21" customFormat="1">
      <c r="A30" s="39" t="s">
        <v>177</v>
      </c>
      <c r="B30" s="40">
        <v>2.46</v>
      </c>
      <c r="C30" s="40">
        <v>25.29</v>
      </c>
      <c r="D30" s="40">
        <v>15.86</v>
      </c>
      <c r="E30" s="40">
        <v>5.5</v>
      </c>
      <c r="F30" s="40">
        <v>24.71</v>
      </c>
      <c r="G30" s="40">
        <v>56.87</v>
      </c>
      <c r="H30" s="40">
        <v>25.95</v>
      </c>
      <c r="I30" s="40">
        <v>14.22</v>
      </c>
      <c r="J30" s="40">
        <v>0.74</v>
      </c>
      <c r="K30" s="40">
        <v>122.44</v>
      </c>
      <c r="L30" s="40">
        <v>31.27</v>
      </c>
      <c r="M30" s="40">
        <v>51.01</v>
      </c>
      <c r="N30" s="40">
        <v>22.9</v>
      </c>
      <c r="O30" s="40">
        <v>0</v>
      </c>
      <c r="P30" s="40">
        <v>0.76</v>
      </c>
      <c r="Q30" s="40">
        <v>28.44</v>
      </c>
      <c r="R30" s="38"/>
      <c r="S30" s="38"/>
      <c r="T30" s="38"/>
      <c r="U30" s="38"/>
    </row>
    <row r="31" spans="1:21" customFormat="1">
      <c r="A31" s="39" t="s">
        <v>178</v>
      </c>
      <c r="B31" s="40">
        <v>2.96</v>
      </c>
      <c r="C31" s="40">
        <v>37.01</v>
      </c>
      <c r="D31" s="40">
        <v>22.32</v>
      </c>
      <c r="E31" s="40">
        <v>4.88</v>
      </c>
      <c r="F31" s="40">
        <v>14.45</v>
      </c>
      <c r="G31" s="40">
        <v>45.9</v>
      </c>
      <c r="H31" s="40">
        <v>22.78</v>
      </c>
      <c r="I31" s="40">
        <v>12.54</v>
      </c>
      <c r="J31" s="40">
        <v>0.75</v>
      </c>
      <c r="K31" s="40">
        <v>130.18</v>
      </c>
      <c r="L31" s="40">
        <v>30.12</v>
      </c>
      <c r="M31" s="40">
        <v>51.9</v>
      </c>
      <c r="N31" s="40">
        <v>22.8</v>
      </c>
      <c r="O31" s="40">
        <v>0</v>
      </c>
      <c r="P31" s="40">
        <v>0.7</v>
      </c>
      <c r="Q31" s="40">
        <v>28.31</v>
      </c>
      <c r="R31" s="38"/>
      <c r="S31" s="38"/>
      <c r="T31" s="38"/>
      <c r="U31" s="38"/>
    </row>
    <row r="32" spans="1:21" customFormat="1">
      <c r="A32" s="39" t="s">
        <v>179</v>
      </c>
      <c r="B32" s="40">
        <v>3.38</v>
      </c>
      <c r="C32" s="40">
        <v>33.79</v>
      </c>
      <c r="D32" s="40">
        <v>20.94</v>
      </c>
      <c r="E32" s="40">
        <v>2.16</v>
      </c>
      <c r="F32" s="40">
        <v>21.18</v>
      </c>
      <c r="G32" s="40">
        <v>39.69</v>
      </c>
      <c r="H32" s="40">
        <v>20.77</v>
      </c>
      <c r="I32" s="40">
        <v>12.54</v>
      </c>
      <c r="J32" s="40">
        <v>0.74</v>
      </c>
      <c r="K32" s="40">
        <v>123.64</v>
      </c>
      <c r="L32" s="40">
        <v>30.22</v>
      </c>
      <c r="M32" s="40">
        <v>48.81</v>
      </c>
      <c r="N32" s="40">
        <v>22.9</v>
      </c>
      <c r="O32" s="40">
        <v>0</v>
      </c>
      <c r="P32" s="40">
        <v>0.63</v>
      </c>
      <c r="Q32" s="40">
        <v>28.45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0.37</v>
      </c>
      <c r="C34" s="18">
        <f t="shared" si="0"/>
        <v>20.3</v>
      </c>
      <c r="D34" s="18">
        <f t="shared" si="0"/>
        <v>11.53</v>
      </c>
      <c r="E34" s="18">
        <f t="shared" si="0"/>
        <v>0.09</v>
      </c>
      <c r="F34" s="18">
        <f t="shared" si="0"/>
        <v>2.5</v>
      </c>
      <c r="G34" s="18">
        <f t="shared" si="0"/>
        <v>17.46</v>
      </c>
      <c r="H34" s="18">
        <f t="shared" si="0"/>
        <v>10.57</v>
      </c>
      <c r="I34" s="18">
        <f t="shared" si="0"/>
        <v>8.08</v>
      </c>
      <c r="J34" s="18">
        <f t="shared" si="0"/>
        <v>0.5</v>
      </c>
      <c r="K34" s="18">
        <f t="shared" si="0"/>
        <v>35.68</v>
      </c>
      <c r="L34" s="18">
        <f t="shared" si="0"/>
        <v>21.82</v>
      </c>
      <c r="M34" s="18">
        <f t="shared" si="0"/>
        <v>24.78</v>
      </c>
      <c r="N34" s="18">
        <f t="shared" si="0"/>
        <v>22.7</v>
      </c>
      <c r="O34" s="18">
        <f t="shared" si="0"/>
        <v>0</v>
      </c>
      <c r="P34" s="18">
        <f t="shared" si="0"/>
        <v>0.41</v>
      </c>
      <c r="Q34" s="18">
        <f t="shared" si="0"/>
        <v>26.66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18.32</v>
      </c>
      <c r="C35" s="3">
        <f t="shared" si="1"/>
        <v>43.09</v>
      </c>
      <c r="D35" s="3">
        <f t="shared" si="1"/>
        <v>36.840000000000003</v>
      </c>
      <c r="E35" s="3">
        <f t="shared" si="1"/>
        <v>8.32</v>
      </c>
      <c r="F35" s="3">
        <f t="shared" si="1"/>
        <v>74.2</v>
      </c>
      <c r="G35" s="3">
        <f t="shared" si="1"/>
        <v>122.6</v>
      </c>
      <c r="H35" s="3">
        <f t="shared" si="1"/>
        <v>39.979999999999997</v>
      </c>
      <c r="I35" s="3">
        <f t="shared" si="1"/>
        <v>14.36</v>
      </c>
      <c r="J35" s="3">
        <f t="shared" si="1"/>
        <v>1.47</v>
      </c>
      <c r="K35" s="3">
        <f t="shared" si="1"/>
        <v>357.18</v>
      </c>
      <c r="L35" s="3">
        <f t="shared" si="1"/>
        <v>38.46</v>
      </c>
      <c r="M35" s="3">
        <f t="shared" si="1"/>
        <v>81.62</v>
      </c>
      <c r="N35" s="3">
        <f t="shared" si="1"/>
        <v>849.1</v>
      </c>
      <c r="O35" s="3">
        <f t="shared" si="1"/>
        <v>0</v>
      </c>
      <c r="P35" s="3">
        <f t="shared" si="1"/>
        <v>0.77</v>
      </c>
      <c r="Q35" s="3">
        <f t="shared" si="1"/>
        <v>29.08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9.4858333333333356</v>
      </c>
      <c r="C36" s="18">
        <f t="shared" si="2"/>
        <v>34.977083333333333</v>
      </c>
      <c r="D36" s="18">
        <f t="shared" si="2"/>
        <v>26.300833333333333</v>
      </c>
      <c r="E36" s="18">
        <f t="shared" si="2"/>
        <v>3.1366666666666663</v>
      </c>
      <c r="F36" s="18">
        <f t="shared" si="2"/>
        <v>17.008749999999996</v>
      </c>
      <c r="G36" s="18">
        <f t="shared" si="2"/>
        <v>56.919166666666683</v>
      </c>
      <c r="H36" s="18">
        <f t="shared" si="2"/>
        <v>23.162916666666661</v>
      </c>
      <c r="I36" s="18">
        <f t="shared" si="2"/>
        <v>12.411428571428571</v>
      </c>
      <c r="J36" s="18">
        <f t="shared" si="2"/>
        <v>0.85916666666666675</v>
      </c>
      <c r="K36" s="18">
        <f t="shared" si="2"/>
        <v>211.24625</v>
      </c>
      <c r="L36" s="18">
        <f t="shared" si="2"/>
        <v>30.037916666666661</v>
      </c>
      <c r="M36" s="18">
        <f t="shared" si="2"/>
        <v>54.344583333333311</v>
      </c>
      <c r="N36" s="18">
        <f t="shared" si="2"/>
        <v>274.40416666666658</v>
      </c>
      <c r="O36" s="18">
        <f t="shared" si="2"/>
        <v>0</v>
      </c>
      <c r="P36" s="18">
        <f t="shared" si="2"/>
        <v>0.58333333333333337</v>
      </c>
      <c r="Q36" s="18">
        <f t="shared" si="2"/>
        <v>27.74291666666667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6.7192034444222752</v>
      </c>
      <c r="C37" s="18">
        <f t="shared" ref="C37:Q37" si="3">STDEV(C9:C32)</f>
        <v>5.9777009388637703</v>
      </c>
      <c r="D37" s="18">
        <f t="shared" si="3"/>
        <v>7.9500341353747146</v>
      </c>
      <c r="E37" s="18">
        <f t="shared" si="3"/>
        <v>2.4839111281915107</v>
      </c>
      <c r="F37" s="18">
        <f t="shared" si="3"/>
        <v>18.441515384423081</v>
      </c>
      <c r="G37" s="18">
        <f t="shared" si="3"/>
        <v>31.224135719812541</v>
      </c>
      <c r="H37" s="18">
        <f t="shared" si="3"/>
        <v>8.6709918589997983</v>
      </c>
      <c r="I37" s="18">
        <f t="shared" si="3"/>
        <v>2.0897083414632145</v>
      </c>
      <c r="J37" s="18">
        <f t="shared" si="3"/>
        <v>0.24443220215281633</v>
      </c>
      <c r="K37" s="18">
        <f t="shared" si="3"/>
        <v>99.759431626135353</v>
      </c>
      <c r="L37" s="18">
        <f t="shared" si="3"/>
        <v>5.9787762156006767</v>
      </c>
      <c r="M37" s="18">
        <f t="shared" si="3"/>
        <v>20.734380602016472</v>
      </c>
      <c r="N37" s="18">
        <f t="shared" si="3"/>
        <v>322.13570254079156</v>
      </c>
      <c r="O37" s="18">
        <f t="shared" si="3"/>
        <v>0</v>
      </c>
      <c r="P37" s="18">
        <f t="shared" si="3"/>
        <v>0.11243033269605236</v>
      </c>
      <c r="Q37" s="18">
        <f t="shared" si="3"/>
        <v>0.74147021498516363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>COUNT(I9:I32)+17</f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3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180</v>
      </c>
      <c r="B9" s="40">
        <v>5.0599999999999996</v>
      </c>
      <c r="C9" s="40">
        <v>27.4</v>
      </c>
      <c r="D9" s="40">
        <v>19.05</v>
      </c>
      <c r="E9" s="40">
        <v>1.77</v>
      </c>
      <c r="F9" s="40">
        <v>18.329999999999998</v>
      </c>
      <c r="G9" s="40">
        <v>37.700000000000003</v>
      </c>
      <c r="H9" s="40">
        <v>18.05</v>
      </c>
      <c r="I9" s="40">
        <v>11.78</v>
      </c>
      <c r="J9" s="40">
        <v>0.74</v>
      </c>
      <c r="K9" s="40">
        <v>189.77</v>
      </c>
      <c r="L9" s="40">
        <v>29.56</v>
      </c>
      <c r="M9" s="40">
        <v>49.45</v>
      </c>
      <c r="N9" s="40">
        <v>22.9</v>
      </c>
      <c r="O9" s="40">
        <v>0</v>
      </c>
      <c r="P9" s="40">
        <v>0.59</v>
      </c>
      <c r="Q9" s="40">
        <v>28.47</v>
      </c>
      <c r="R9" s="38"/>
      <c r="S9" s="38"/>
      <c r="T9" s="38"/>
      <c r="U9" s="38"/>
    </row>
    <row r="10" spans="1:21" customFormat="1">
      <c r="A10" s="39" t="s">
        <v>181</v>
      </c>
      <c r="B10" s="40">
        <v>7.28</v>
      </c>
      <c r="C10" s="40">
        <v>41.5</v>
      </c>
      <c r="D10" s="40">
        <v>28.19</v>
      </c>
      <c r="E10" s="40">
        <v>1.58</v>
      </c>
      <c r="F10" s="40">
        <v>7.29</v>
      </c>
      <c r="G10" s="40">
        <v>34.729999999999997</v>
      </c>
      <c r="H10" s="40">
        <v>16.239999999999998</v>
      </c>
      <c r="I10" s="40">
        <v>11.34</v>
      </c>
      <c r="J10" s="40">
        <v>1.25</v>
      </c>
      <c r="K10" s="40">
        <v>223.18</v>
      </c>
      <c r="L10" s="40">
        <v>29.54</v>
      </c>
      <c r="M10" s="40">
        <v>53.76</v>
      </c>
      <c r="N10" s="40">
        <v>23</v>
      </c>
      <c r="O10" s="40">
        <v>0</v>
      </c>
      <c r="P10" s="40">
        <v>0.61</v>
      </c>
      <c r="Q10" s="40">
        <v>28.06</v>
      </c>
      <c r="R10" s="38"/>
      <c r="S10" s="38"/>
      <c r="T10" s="38"/>
      <c r="U10" s="38"/>
    </row>
    <row r="11" spans="1:21" customFormat="1">
      <c r="A11" s="39" t="s">
        <v>182</v>
      </c>
      <c r="B11" s="40">
        <v>8.7100000000000009</v>
      </c>
      <c r="C11" s="40">
        <v>38.97</v>
      </c>
      <c r="D11" s="40">
        <v>27.2</v>
      </c>
      <c r="E11" s="40">
        <v>1.39</v>
      </c>
      <c r="F11" s="40">
        <v>3.6</v>
      </c>
      <c r="G11" s="40">
        <v>36.58</v>
      </c>
      <c r="H11" s="40">
        <v>18.53</v>
      </c>
      <c r="I11" s="40">
        <v>11.49</v>
      </c>
      <c r="J11" s="40">
        <v>0.93</v>
      </c>
      <c r="K11" s="40">
        <v>206.9</v>
      </c>
      <c r="L11" s="40">
        <v>28.76</v>
      </c>
      <c r="M11" s="40">
        <v>55.54</v>
      </c>
      <c r="N11" s="40">
        <v>22.8</v>
      </c>
      <c r="O11" s="40">
        <v>0</v>
      </c>
      <c r="P11" s="40">
        <v>0.57999999999999996</v>
      </c>
      <c r="Q11" s="40">
        <v>27.73</v>
      </c>
      <c r="R11" s="38"/>
      <c r="S11" s="38"/>
      <c r="T11" s="38"/>
      <c r="U11" s="38"/>
    </row>
    <row r="12" spans="1:21" customFormat="1">
      <c r="A12" s="39" t="s">
        <v>183</v>
      </c>
      <c r="B12" s="40">
        <v>9</v>
      </c>
      <c r="C12" s="40">
        <v>36.1</v>
      </c>
      <c r="D12" s="40">
        <v>26.58</v>
      </c>
      <c r="E12" s="40">
        <v>1.49</v>
      </c>
      <c r="F12" s="40">
        <v>7.65</v>
      </c>
      <c r="G12" s="40">
        <v>36.549999999999997</v>
      </c>
      <c r="H12" s="40">
        <v>19.75</v>
      </c>
      <c r="I12" s="40">
        <v>11.35</v>
      </c>
      <c r="J12" s="40">
        <v>0.83</v>
      </c>
      <c r="K12" s="40">
        <v>178.03</v>
      </c>
      <c r="L12" s="40">
        <v>28.27</v>
      </c>
      <c r="M12" s="40">
        <v>59.53</v>
      </c>
      <c r="N12" s="40">
        <v>23.1</v>
      </c>
      <c r="O12" s="40">
        <v>0</v>
      </c>
      <c r="P12" s="40">
        <v>0.55000000000000004</v>
      </c>
      <c r="Q12" s="40">
        <v>28.01</v>
      </c>
      <c r="R12" s="38"/>
      <c r="S12" s="38"/>
      <c r="T12" s="38"/>
      <c r="U12" s="38"/>
    </row>
    <row r="13" spans="1:21" customFormat="1">
      <c r="A13" s="39" t="s">
        <v>184</v>
      </c>
      <c r="B13" s="40">
        <v>10.81</v>
      </c>
      <c r="C13" s="40">
        <v>30.15</v>
      </c>
      <c r="D13" s="40">
        <v>24.61</v>
      </c>
      <c r="E13" s="40">
        <v>0.97</v>
      </c>
      <c r="F13" s="40">
        <v>5.39</v>
      </c>
      <c r="G13" s="40">
        <v>31.03</v>
      </c>
      <c r="H13" s="40">
        <v>17.91</v>
      </c>
      <c r="I13" s="40">
        <v>10.53</v>
      </c>
      <c r="J13" s="40">
        <v>1.41</v>
      </c>
      <c r="K13" s="40">
        <v>257.31</v>
      </c>
      <c r="L13" s="40">
        <v>27.94</v>
      </c>
      <c r="M13" s="40">
        <v>61.64</v>
      </c>
      <c r="N13" s="40">
        <v>23.2</v>
      </c>
      <c r="O13" s="40">
        <v>0</v>
      </c>
      <c r="P13" s="40">
        <v>0.54</v>
      </c>
      <c r="Q13" s="40">
        <v>27.87</v>
      </c>
      <c r="R13" s="38"/>
      <c r="S13" s="38"/>
      <c r="T13" s="38"/>
      <c r="U13" s="38"/>
    </row>
    <row r="14" spans="1:21" customFormat="1">
      <c r="A14" s="39" t="s">
        <v>185</v>
      </c>
      <c r="B14" s="40">
        <v>12.73</v>
      </c>
      <c r="C14" s="40">
        <v>30.8</v>
      </c>
      <c r="D14" s="40">
        <v>26.98</v>
      </c>
      <c r="E14" s="40">
        <v>1.05</v>
      </c>
      <c r="F14" s="40">
        <v>2.84</v>
      </c>
      <c r="G14" s="40">
        <v>34.17</v>
      </c>
      <c r="H14" s="40">
        <v>15.53</v>
      </c>
      <c r="I14" s="40">
        <v>10.69</v>
      </c>
      <c r="J14" s="40">
        <v>1.1100000000000001</v>
      </c>
      <c r="K14" s="40">
        <v>317.77</v>
      </c>
      <c r="L14" s="40">
        <v>27.78</v>
      </c>
      <c r="M14" s="40">
        <v>64.8</v>
      </c>
      <c r="N14" s="40">
        <v>43</v>
      </c>
      <c r="O14" s="40">
        <v>0</v>
      </c>
      <c r="P14" s="40">
        <v>0.53</v>
      </c>
      <c r="Q14" s="40">
        <v>27.84</v>
      </c>
      <c r="R14" s="38"/>
      <c r="S14" s="38"/>
      <c r="T14" s="38"/>
      <c r="U14" s="38"/>
    </row>
    <row r="15" spans="1:21" customFormat="1">
      <c r="A15" s="39" t="s">
        <v>186</v>
      </c>
      <c r="B15" s="40">
        <v>13.48</v>
      </c>
      <c r="C15" s="40">
        <v>33.6</v>
      </c>
      <c r="D15" s="40">
        <v>29.02</v>
      </c>
      <c r="E15" s="40">
        <v>1.02</v>
      </c>
      <c r="F15" s="40">
        <v>4.51</v>
      </c>
      <c r="G15" s="40">
        <v>45.11</v>
      </c>
      <c r="H15" s="40">
        <v>23.28</v>
      </c>
      <c r="I15" s="40">
        <v>11.76</v>
      </c>
      <c r="J15" s="40">
        <v>1.72</v>
      </c>
      <c r="K15" s="40">
        <v>223.49</v>
      </c>
      <c r="L15" s="40">
        <v>28.89</v>
      </c>
      <c r="M15" s="40">
        <v>63.76</v>
      </c>
      <c r="N15" s="40">
        <v>79.599999999999994</v>
      </c>
      <c r="O15" s="40">
        <v>0</v>
      </c>
      <c r="P15" s="40">
        <v>0.55000000000000004</v>
      </c>
      <c r="Q15" s="40">
        <v>27.76</v>
      </c>
      <c r="R15" s="38"/>
      <c r="S15" s="38"/>
      <c r="T15" s="38"/>
      <c r="U15" s="38"/>
    </row>
    <row r="16" spans="1:21" customFormat="1">
      <c r="A16" s="39" t="s">
        <v>187</v>
      </c>
      <c r="B16" s="40">
        <v>12.64</v>
      </c>
      <c r="C16" s="40">
        <v>28.84</v>
      </c>
      <c r="D16" s="40">
        <v>25.89</v>
      </c>
      <c r="E16" s="40">
        <v>0.93</v>
      </c>
      <c r="F16" s="40">
        <v>6.11</v>
      </c>
      <c r="G16" s="40">
        <v>55.17</v>
      </c>
      <c r="H16" s="40">
        <v>28.71</v>
      </c>
      <c r="I16" s="40">
        <v>12.63</v>
      </c>
      <c r="J16" s="40">
        <v>2.15</v>
      </c>
      <c r="K16" s="40">
        <v>237.67</v>
      </c>
      <c r="L16" s="40">
        <v>30.89</v>
      </c>
      <c r="M16" s="40">
        <v>62.4</v>
      </c>
      <c r="N16" s="40">
        <v>224.3</v>
      </c>
      <c r="O16" s="40">
        <v>0</v>
      </c>
      <c r="P16" s="40">
        <v>0.76</v>
      </c>
      <c r="Q16" s="40">
        <v>27.8</v>
      </c>
      <c r="R16" s="38"/>
      <c r="S16" s="38"/>
      <c r="T16" s="38"/>
      <c r="U16" s="38"/>
    </row>
    <row r="17" spans="1:21" customFormat="1">
      <c r="A17" s="39" t="s">
        <v>188</v>
      </c>
      <c r="B17" s="40">
        <v>10.84</v>
      </c>
      <c r="C17" s="40">
        <v>30.25</v>
      </c>
      <c r="D17" s="40">
        <v>24.88</v>
      </c>
      <c r="E17" s="40">
        <v>0.34</v>
      </c>
      <c r="F17" s="40">
        <v>4.93</v>
      </c>
      <c r="G17" s="40">
        <v>59.42</v>
      </c>
      <c r="H17" s="40">
        <v>28.71</v>
      </c>
      <c r="I17" s="40">
        <v>15.15</v>
      </c>
      <c r="J17" s="40">
        <v>2.82</v>
      </c>
      <c r="K17" s="40">
        <v>234.07</v>
      </c>
      <c r="L17" s="40">
        <v>32.58</v>
      </c>
      <c r="M17" s="40">
        <v>56.41</v>
      </c>
      <c r="N17" s="40">
        <v>417.5</v>
      </c>
      <c r="O17" s="40">
        <v>0</v>
      </c>
      <c r="P17" s="40">
        <v>0.71</v>
      </c>
      <c r="Q17" s="40">
        <v>28.04</v>
      </c>
      <c r="R17" s="38"/>
      <c r="S17" s="38"/>
      <c r="T17" s="38"/>
      <c r="U17" s="38"/>
    </row>
    <row r="18" spans="1:21" customFormat="1">
      <c r="A18" s="39" t="s">
        <v>189</v>
      </c>
      <c r="B18" s="40">
        <v>7.79</v>
      </c>
      <c r="C18" s="40">
        <v>29.45</v>
      </c>
      <c r="D18" s="40">
        <v>22.31</v>
      </c>
      <c r="E18" s="40">
        <v>1.3</v>
      </c>
      <c r="F18" s="40">
        <v>8.24</v>
      </c>
      <c r="G18" s="40">
        <v>50.2</v>
      </c>
      <c r="H18" s="40">
        <v>25.75</v>
      </c>
      <c r="I18" s="40">
        <v>13.64</v>
      </c>
      <c r="J18" s="40">
        <v>2.34</v>
      </c>
      <c r="K18" s="40">
        <v>232.9</v>
      </c>
      <c r="L18" s="40">
        <v>34.01</v>
      </c>
      <c r="M18" s="40">
        <v>52.78</v>
      </c>
      <c r="N18" s="40">
        <v>638.20000000000005</v>
      </c>
      <c r="O18" s="40">
        <v>0</v>
      </c>
      <c r="P18" s="40">
        <v>0.64</v>
      </c>
      <c r="Q18" s="40">
        <v>28.32</v>
      </c>
      <c r="R18" s="38"/>
      <c r="S18" s="38"/>
      <c r="T18" s="38"/>
      <c r="U18" s="38"/>
    </row>
    <row r="19" spans="1:21" customFormat="1">
      <c r="A19" s="39" t="s">
        <v>190</v>
      </c>
      <c r="B19" s="40">
        <v>5.19</v>
      </c>
      <c r="C19" s="40">
        <v>27.47</v>
      </c>
      <c r="D19" s="40">
        <v>19.190000000000001</v>
      </c>
      <c r="E19" s="40">
        <v>1.05</v>
      </c>
      <c r="F19" s="40">
        <v>14.04</v>
      </c>
      <c r="G19" s="40">
        <v>48.94</v>
      </c>
      <c r="H19" s="40">
        <v>23.28</v>
      </c>
      <c r="I19" s="40">
        <v>14.19</v>
      </c>
      <c r="J19" s="40">
        <v>2.0099999999999998</v>
      </c>
      <c r="K19" s="40">
        <v>236.99</v>
      </c>
      <c r="L19" s="40">
        <v>35.979999999999997</v>
      </c>
      <c r="M19" s="40">
        <v>47.46</v>
      </c>
      <c r="N19" s="40">
        <v>787.4</v>
      </c>
      <c r="O19" s="40">
        <v>0</v>
      </c>
      <c r="P19" s="40">
        <v>0.65</v>
      </c>
      <c r="Q19" s="40">
        <v>28.58</v>
      </c>
      <c r="R19" s="38"/>
      <c r="S19" s="38"/>
      <c r="T19" s="38"/>
      <c r="U19" s="38"/>
    </row>
    <row r="20" spans="1:21" customFormat="1">
      <c r="A20" s="39" t="s">
        <v>191</v>
      </c>
      <c r="B20" s="40">
        <v>2.82</v>
      </c>
      <c r="C20" s="40">
        <v>27.17</v>
      </c>
      <c r="D20" s="40">
        <v>17.13</v>
      </c>
      <c r="E20" s="40">
        <v>1.77</v>
      </c>
      <c r="F20" s="40">
        <v>16.36</v>
      </c>
      <c r="G20" s="40">
        <v>46.34</v>
      </c>
      <c r="H20" s="40">
        <v>22.77</v>
      </c>
      <c r="I20" s="40">
        <v>13.88</v>
      </c>
      <c r="J20" s="40">
        <v>2.02</v>
      </c>
      <c r="K20" s="40">
        <v>216.06</v>
      </c>
      <c r="L20" s="40">
        <v>38.01</v>
      </c>
      <c r="M20" s="40">
        <v>40.51</v>
      </c>
      <c r="N20" s="40">
        <v>810.4</v>
      </c>
      <c r="O20" s="40">
        <v>0</v>
      </c>
      <c r="P20" s="40">
        <v>0.63</v>
      </c>
      <c r="Q20" s="40">
        <v>28.78</v>
      </c>
      <c r="R20" s="38"/>
      <c r="S20" s="38"/>
      <c r="T20" s="38"/>
      <c r="U20" s="38"/>
    </row>
    <row r="21" spans="1:21" customFormat="1">
      <c r="A21" s="39" t="s">
        <v>192</v>
      </c>
      <c r="B21" s="40">
        <v>2.52</v>
      </c>
      <c r="C21" s="40">
        <v>23.08</v>
      </c>
      <c r="D21" s="40">
        <v>14.74</v>
      </c>
      <c r="E21" s="40">
        <v>3.46</v>
      </c>
      <c r="F21" s="40">
        <v>18.63</v>
      </c>
      <c r="G21" s="40">
        <v>46.99</v>
      </c>
      <c r="H21" s="40">
        <v>24.48</v>
      </c>
      <c r="I21" s="40">
        <v>15.92</v>
      </c>
      <c r="J21" s="40">
        <v>2.08</v>
      </c>
      <c r="K21" s="40">
        <v>237.53</v>
      </c>
      <c r="L21" s="40">
        <v>38.47</v>
      </c>
      <c r="M21" s="40">
        <v>35.51</v>
      </c>
      <c r="N21" s="40">
        <v>713.9</v>
      </c>
      <c r="O21" s="40">
        <v>0</v>
      </c>
      <c r="P21" s="40">
        <v>0.67</v>
      </c>
      <c r="Q21" s="40">
        <v>29.11</v>
      </c>
      <c r="R21" s="38"/>
      <c r="S21" s="38"/>
      <c r="T21" s="38"/>
      <c r="U21" s="38"/>
    </row>
    <row r="22" spans="1:21" customFormat="1">
      <c r="A22" s="39" t="s">
        <v>193</v>
      </c>
      <c r="B22" s="40">
        <v>2.52</v>
      </c>
      <c r="C22" s="40">
        <v>20.69</v>
      </c>
      <c r="D22" s="40">
        <v>13.38</v>
      </c>
      <c r="E22" s="40">
        <v>2.83</v>
      </c>
      <c r="F22" s="40">
        <v>20.329999999999998</v>
      </c>
      <c r="G22" s="40">
        <v>48.25</v>
      </c>
      <c r="H22" s="40">
        <v>23.16</v>
      </c>
      <c r="I22" s="40">
        <v>16.37</v>
      </c>
      <c r="J22" s="40">
        <v>2.15</v>
      </c>
      <c r="K22" s="40">
        <v>229.38</v>
      </c>
      <c r="L22" s="40">
        <v>39.369999999999997</v>
      </c>
      <c r="M22" s="40">
        <v>29.29</v>
      </c>
      <c r="N22" s="40">
        <v>818.3</v>
      </c>
      <c r="O22" s="40">
        <v>0</v>
      </c>
      <c r="P22" s="40">
        <v>0.63</v>
      </c>
      <c r="Q22" s="40">
        <v>28.89</v>
      </c>
      <c r="R22" s="38"/>
      <c r="S22" s="38"/>
      <c r="T22" s="38"/>
      <c r="U22" s="38"/>
    </row>
    <row r="23" spans="1:21" customFormat="1">
      <c r="A23" s="39" t="s">
        <v>194</v>
      </c>
      <c r="B23" s="40">
        <v>3.78</v>
      </c>
      <c r="C23" s="40">
        <v>19.32</v>
      </c>
      <c r="D23" s="40">
        <v>13.8</v>
      </c>
      <c r="E23" s="40">
        <v>1.92</v>
      </c>
      <c r="F23" s="40">
        <v>35.79</v>
      </c>
      <c r="G23" s="40">
        <v>47.9</v>
      </c>
      <c r="H23" s="40">
        <v>20.53</v>
      </c>
      <c r="I23" s="40">
        <v>14.01</v>
      </c>
      <c r="J23" s="40">
        <v>1.95</v>
      </c>
      <c r="K23" s="40">
        <v>261.22000000000003</v>
      </c>
      <c r="L23" s="40">
        <v>38.58</v>
      </c>
      <c r="M23" s="40">
        <v>30.71</v>
      </c>
      <c r="N23" s="40">
        <v>160.19999999999999</v>
      </c>
      <c r="O23" s="40">
        <v>0</v>
      </c>
      <c r="P23" s="40">
        <v>0.59</v>
      </c>
      <c r="Q23" s="40">
        <v>29</v>
      </c>
      <c r="R23" s="38"/>
      <c r="S23" s="38"/>
      <c r="T23" s="38"/>
      <c r="U23" s="38"/>
    </row>
    <row r="24" spans="1:21" customFormat="1">
      <c r="A24" s="39" t="s">
        <v>195</v>
      </c>
      <c r="B24" s="40">
        <v>2.52</v>
      </c>
      <c r="C24" s="40">
        <v>17.14</v>
      </c>
      <c r="D24" s="40">
        <v>11.11</v>
      </c>
      <c r="E24" s="40">
        <v>2.41</v>
      </c>
      <c r="F24" s="40">
        <v>10.3</v>
      </c>
      <c r="G24" s="40">
        <v>47.45</v>
      </c>
      <c r="H24" s="40">
        <v>21.39</v>
      </c>
      <c r="I24" s="40">
        <v>11.86</v>
      </c>
      <c r="J24" s="40">
        <v>3.58</v>
      </c>
      <c r="K24" s="40">
        <v>248.4</v>
      </c>
      <c r="L24" s="40">
        <v>31.49</v>
      </c>
      <c r="M24" s="40">
        <v>96.93</v>
      </c>
      <c r="N24" s="40">
        <v>51.7</v>
      </c>
      <c r="O24" s="40">
        <v>20.399999999999999</v>
      </c>
      <c r="P24" s="40">
        <v>0.54</v>
      </c>
      <c r="Q24" s="40">
        <v>29.15</v>
      </c>
      <c r="R24" s="38"/>
      <c r="S24" s="38"/>
      <c r="T24" s="38"/>
      <c r="U24" s="38"/>
    </row>
    <row r="25" spans="1:21" customFormat="1">
      <c r="A25" s="39" t="s">
        <v>196</v>
      </c>
      <c r="B25" s="40">
        <v>2.76</v>
      </c>
      <c r="C25" s="40">
        <v>28.72</v>
      </c>
      <c r="D25" s="40">
        <v>17.87</v>
      </c>
      <c r="E25" s="40">
        <v>1.6</v>
      </c>
      <c r="F25" s="40">
        <v>12.97</v>
      </c>
      <c r="G25" s="40">
        <v>33.26</v>
      </c>
      <c r="H25" s="40">
        <v>18.760000000000002</v>
      </c>
      <c r="I25" s="40">
        <v>10.51</v>
      </c>
      <c r="J25" s="40">
        <v>2.91</v>
      </c>
      <c r="K25" s="40">
        <v>43.27</v>
      </c>
      <c r="L25" s="40">
        <v>22.5</v>
      </c>
      <c r="M25" s="40">
        <v>96.98</v>
      </c>
      <c r="N25" s="40">
        <v>28.8</v>
      </c>
      <c r="O25" s="40">
        <v>0.8</v>
      </c>
      <c r="P25" s="40">
        <v>0.45</v>
      </c>
      <c r="Q25" s="40">
        <v>28.87</v>
      </c>
      <c r="R25" s="38"/>
      <c r="S25" s="38"/>
      <c r="T25" s="38"/>
      <c r="U25" s="38"/>
    </row>
    <row r="26" spans="1:21" customFormat="1">
      <c r="A26" s="39" t="s">
        <v>197</v>
      </c>
      <c r="B26" s="40">
        <v>4.49</v>
      </c>
      <c r="C26" s="40">
        <v>30.71</v>
      </c>
      <c r="D26" s="40">
        <v>20.32</v>
      </c>
      <c r="E26" s="40">
        <v>1.49</v>
      </c>
      <c r="F26" s="40">
        <v>6.8</v>
      </c>
      <c r="G26" s="40">
        <v>28.33</v>
      </c>
      <c r="H26" s="40">
        <v>14.88</v>
      </c>
      <c r="I26" s="40">
        <v>8.81</v>
      </c>
      <c r="J26" s="40">
        <v>1.62</v>
      </c>
      <c r="K26" s="40">
        <v>144.1</v>
      </c>
      <c r="L26" s="40">
        <v>22.51</v>
      </c>
      <c r="M26" s="40">
        <v>95.75</v>
      </c>
      <c r="N26" s="40">
        <v>30.5</v>
      </c>
      <c r="O26" s="40">
        <v>0.8</v>
      </c>
      <c r="P26" s="40">
        <v>0.46</v>
      </c>
      <c r="Q26" s="40">
        <v>28.27</v>
      </c>
      <c r="R26" s="38"/>
      <c r="S26" s="38"/>
      <c r="T26" s="38"/>
      <c r="U26" s="38"/>
    </row>
    <row r="27" spans="1:21" customFormat="1">
      <c r="A27" s="39" t="s">
        <v>198</v>
      </c>
      <c r="B27" s="40">
        <v>8.48</v>
      </c>
      <c r="C27" s="40">
        <v>30.48</v>
      </c>
      <c r="D27" s="40">
        <v>22.41</v>
      </c>
      <c r="E27" s="40">
        <v>2.29</v>
      </c>
      <c r="F27" s="40">
        <v>3.43</v>
      </c>
      <c r="G27" s="40">
        <v>29.41</v>
      </c>
      <c r="H27" s="40">
        <v>16.02</v>
      </c>
      <c r="I27" s="40">
        <v>9.25</v>
      </c>
      <c r="J27" s="40">
        <v>1.1200000000000001</v>
      </c>
      <c r="K27" s="40">
        <v>155.55000000000001</v>
      </c>
      <c r="L27" s="40">
        <v>25.07</v>
      </c>
      <c r="M27" s="40">
        <v>95.81</v>
      </c>
      <c r="N27" s="40">
        <v>26.6</v>
      </c>
      <c r="O27" s="40">
        <v>0</v>
      </c>
      <c r="P27" s="40">
        <v>0.47</v>
      </c>
      <c r="Q27" s="40">
        <v>28.1</v>
      </c>
      <c r="R27" s="38"/>
      <c r="S27" s="38"/>
      <c r="T27" s="38"/>
      <c r="U27" s="38"/>
    </row>
    <row r="28" spans="1:21" customFormat="1">
      <c r="A28" s="39" t="s">
        <v>199</v>
      </c>
      <c r="B28" s="40">
        <v>11.83</v>
      </c>
      <c r="C28" s="40">
        <v>30.75</v>
      </c>
      <c r="D28" s="40">
        <v>25.37</v>
      </c>
      <c r="E28" s="40">
        <v>2.02</v>
      </c>
      <c r="F28" s="40">
        <v>2.93</v>
      </c>
      <c r="G28" s="40">
        <v>29.58</v>
      </c>
      <c r="H28" s="40">
        <v>14.17</v>
      </c>
      <c r="I28" s="40">
        <v>9.93</v>
      </c>
      <c r="J28" s="40">
        <v>1.44</v>
      </c>
      <c r="K28" s="40">
        <v>230</v>
      </c>
      <c r="L28" s="40">
        <v>24.32</v>
      </c>
      <c r="M28" s="40">
        <v>86.52</v>
      </c>
      <c r="N28" s="40">
        <v>25</v>
      </c>
      <c r="O28" s="40">
        <v>0</v>
      </c>
      <c r="P28" s="40">
        <v>0.51</v>
      </c>
      <c r="Q28" s="40">
        <v>27.91</v>
      </c>
      <c r="R28" s="38"/>
      <c r="S28" s="38"/>
      <c r="T28" s="38"/>
      <c r="U28" s="38"/>
    </row>
    <row r="29" spans="1:21" customFormat="1">
      <c r="A29" s="39" t="s">
        <v>200</v>
      </c>
      <c r="B29" s="40">
        <v>12.08</v>
      </c>
      <c r="C29" s="40">
        <v>29.26</v>
      </c>
      <c r="D29" s="40">
        <v>25.65</v>
      </c>
      <c r="E29" s="40">
        <v>1.3</v>
      </c>
      <c r="F29" s="40">
        <v>2.57</v>
      </c>
      <c r="G29" s="40">
        <v>31.02</v>
      </c>
      <c r="H29" s="40">
        <v>15.22</v>
      </c>
      <c r="I29" s="40">
        <v>10.039999999999999</v>
      </c>
      <c r="J29" s="40">
        <v>1.24</v>
      </c>
      <c r="K29" s="40">
        <v>199.42</v>
      </c>
      <c r="L29" s="40">
        <v>24.29</v>
      </c>
      <c r="M29" s="40">
        <v>79.64</v>
      </c>
      <c r="N29" s="40">
        <v>24.3</v>
      </c>
      <c r="O29" s="40">
        <v>0</v>
      </c>
      <c r="P29" s="40">
        <v>0.53</v>
      </c>
      <c r="Q29" s="40">
        <v>27.85</v>
      </c>
      <c r="R29" s="38"/>
      <c r="S29" s="38"/>
      <c r="T29" s="38"/>
      <c r="U29" s="38"/>
    </row>
    <row r="30" spans="1:21" customFormat="1">
      <c r="A30" s="39" t="s">
        <v>201</v>
      </c>
      <c r="B30" s="40">
        <v>15.23</v>
      </c>
      <c r="C30" s="40">
        <v>46.01</v>
      </c>
      <c r="D30" s="40">
        <v>36.92</v>
      </c>
      <c r="E30" s="40">
        <v>1.43</v>
      </c>
      <c r="F30" s="40">
        <v>2.73</v>
      </c>
      <c r="G30" s="40">
        <v>32.6</v>
      </c>
      <c r="H30" s="40">
        <v>14.26</v>
      </c>
      <c r="I30" s="40">
        <v>10.39</v>
      </c>
      <c r="J30" s="40">
        <v>1.34</v>
      </c>
      <c r="K30" s="40">
        <v>98.41</v>
      </c>
      <c r="L30" s="40">
        <v>24.12</v>
      </c>
      <c r="M30" s="40">
        <v>82.33</v>
      </c>
      <c r="N30" s="40">
        <v>23.8</v>
      </c>
      <c r="O30" s="40">
        <v>0</v>
      </c>
      <c r="P30" s="40">
        <v>0.57999999999999996</v>
      </c>
      <c r="Q30" s="40">
        <v>27.67</v>
      </c>
      <c r="R30" s="38"/>
      <c r="S30" s="38"/>
      <c r="T30" s="38"/>
      <c r="U30" s="38"/>
    </row>
    <row r="31" spans="1:21" customFormat="1">
      <c r="A31" s="39" t="s">
        <v>202</v>
      </c>
      <c r="B31" s="40">
        <v>19.12</v>
      </c>
      <c r="C31" s="40">
        <v>45.01</v>
      </c>
      <c r="D31" s="40">
        <v>37.79</v>
      </c>
      <c r="E31" s="40">
        <v>2.16</v>
      </c>
      <c r="F31" s="40">
        <v>2.56</v>
      </c>
      <c r="G31" s="40">
        <v>40.090000000000003</v>
      </c>
      <c r="H31" s="40">
        <v>18</v>
      </c>
      <c r="I31" s="40">
        <v>10.91</v>
      </c>
      <c r="J31" s="40">
        <v>0.73</v>
      </c>
      <c r="K31" s="40">
        <v>358.24</v>
      </c>
      <c r="L31" s="40">
        <v>23.84</v>
      </c>
      <c r="M31" s="40">
        <v>82.52</v>
      </c>
      <c r="N31" s="40">
        <v>23.3</v>
      </c>
      <c r="O31" s="40">
        <v>0</v>
      </c>
      <c r="P31" s="40">
        <v>0.57999999999999996</v>
      </c>
      <c r="Q31" s="40">
        <v>26.85</v>
      </c>
      <c r="R31" s="38"/>
      <c r="S31" s="38"/>
      <c r="T31" s="38"/>
      <c r="U31" s="38"/>
    </row>
    <row r="32" spans="1:21" customFormat="1">
      <c r="A32" s="39" t="s">
        <v>203</v>
      </c>
      <c r="B32" s="40">
        <v>19.309999999999999</v>
      </c>
      <c r="C32" s="40">
        <v>32.82</v>
      </c>
      <c r="D32" s="40">
        <v>33.31</v>
      </c>
      <c r="E32" s="40">
        <v>0.94</v>
      </c>
      <c r="F32" s="40">
        <v>2.93</v>
      </c>
      <c r="G32" s="40">
        <v>42.16</v>
      </c>
      <c r="H32" s="40">
        <v>18.760000000000002</v>
      </c>
      <c r="I32" s="40">
        <v>10.88</v>
      </c>
      <c r="J32" s="40">
        <v>1.31</v>
      </c>
      <c r="K32" s="40">
        <v>171.28</v>
      </c>
      <c r="L32" s="40">
        <v>23.32</v>
      </c>
      <c r="M32" s="40">
        <v>82.77</v>
      </c>
      <c r="N32" s="40">
        <v>23.2</v>
      </c>
      <c r="O32" s="40">
        <v>0</v>
      </c>
      <c r="P32" s="40">
        <v>0.56000000000000005</v>
      </c>
      <c r="Q32" s="40">
        <v>27.11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2.52</v>
      </c>
      <c r="C34" s="18">
        <f t="shared" si="0"/>
        <v>17.14</v>
      </c>
      <c r="D34" s="18">
        <f t="shared" si="0"/>
        <v>11.11</v>
      </c>
      <c r="E34" s="18">
        <f t="shared" si="0"/>
        <v>0.34</v>
      </c>
      <c r="F34" s="18">
        <f t="shared" si="0"/>
        <v>2.56</v>
      </c>
      <c r="G34" s="18">
        <f t="shared" si="0"/>
        <v>28.33</v>
      </c>
      <c r="H34" s="18">
        <f t="shared" si="0"/>
        <v>14.17</v>
      </c>
      <c r="I34" s="18">
        <f t="shared" si="0"/>
        <v>8.81</v>
      </c>
      <c r="J34" s="18">
        <f t="shared" si="0"/>
        <v>0.73</v>
      </c>
      <c r="K34" s="18">
        <f t="shared" si="0"/>
        <v>43.27</v>
      </c>
      <c r="L34" s="18">
        <f t="shared" si="0"/>
        <v>22.5</v>
      </c>
      <c r="M34" s="18">
        <f t="shared" si="0"/>
        <v>29.29</v>
      </c>
      <c r="N34" s="18">
        <f t="shared" si="0"/>
        <v>22.8</v>
      </c>
      <c r="O34" s="18">
        <f t="shared" si="0"/>
        <v>0</v>
      </c>
      <c r="P34" s="18">
        <f t="shared" si="0"/>
        <v>0.45</v>
      </c>
      <c r="Q34" s="18">
        <f t="shared" si="0"/>
        <v>26.85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19.309999999999999</v>
      </c>
      <c r="C35" s="3">
        <f t="shared" si="1"/>
        <v>46.01</v>
      </c>
      <c r="D35" s="3">
        <f t="shared" si="1"/>
        <v>37.79</v>
      </c>
      <c r="E35" s="3">
        <f t="shared" si="1"/>
        <v>3.46</v>
      </c>
      <c r="F35" s="3">
        <f t="shared" si="1"/>
        <v>35.79</v>
      </c>
      <c r="G35" s="3">
        <f t="shared" si="1"/>
        <v>59.42</v>
      </c>
      <c r="H35" s="3">
        <f t="shared" si="1"/>
        <v>28.71</v>
      </c>
      <c r="I35" s="3">
        <f t="shared" si="1"/>
        <v>16.37</v>
      </c>
      <c r="J35" s="3">
        <f t="shared" si="1"/>
        <v>3.58</v>
      </c>
      <c r="K35" s="3">
        <f t="shared" si="1"/>
        <v>358.24</v>
      </c>
      <c r="L35" s="3">
        <f t="shared" si="1"/>
        <v>39.369999999999997</v>
      </c>
      <c r="M35" s="3">
        <f t="shared" si="1"/>
        <v>96.98</v>
      </c>
      <c r="N35" s="3">
        <f t="shared" si="1"/>
        <v>818.3</v>
      </c>
      <c r="O35" s="3">
        <f t="shared" si="1"/>
        <v>20.399999999999999</v>
      </c>
      <c r="P35" s="3">
        <f t="shared" si="1"/>
        <v>0.76</v>
      </c>
      <c r="Q35" s="3">
        <f t="shared" si="1"/>
        <v>29.15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8.7912499999999998</v>
      </c>
      <c r="C36" s="18">
        <f t="shared" si="2"/>
        <v>30.653750000000002</v>
      </c>
      <c r="D36" s="18">
        <f t="shared" si="2"/>
        <v>23.487500000000001</v>
      </c>
      <c r="E36" s="18">
        <f t="shared" si="2"/>
        <v>1.6045833333333335</v>
      </c>
      <c r="F36" s="18">
        <f t="shared" si="2"/>
        <v>9.2191666666666663</v>
      </c>
      <c r="G36" s="18">
        <f t="shared" si="2"/>
        <v>40.540833333333339</v>
      </c>
      <c r="H36" s="18">
        <f t="shared" si="2"/>
        <v>19.922500000000003</v>
      </c>
      <c r="I36" s="18">
        <f t="shared" si="2"/>
        <v>11.97125</v>
      </c>
      <c r="J36" s="18">
        <f t="shared" si="2"/>
        <v>1.7</v>
      </c>
      <c r="K36" s="18">
        <f t="shared" si="2"/>
        <v>213.78916666666666</v>
      </c>
      <c r="L36" s="18">
        <f t="shared" si="2"/>
        <v>29.587083333333336</v>
      </c>
      <c r="M36" s="18">
        <f t="shared" si="2"/>
        <v>65.11666666666666</v>
      </c>
      <c r="N36" s="18">
        <f t="shared" si="2"/>
        <v>211.04166666666671</v>
      </c>
      <c r="O36" s="18">
        <f t="shared" si="2"/>
        <v>0.91666666666666663</v>
      </c>
      <c r="P36" s="18">
        <f t="shared" si="2"/>
        <v>0.57958333333333334</v>
      </c>
      <c r="Q36" s="18">
        <f t="shared" si="2"/>
        <v>28.168333333333333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5.1218791664439101</v>
      </c>
      <c r="C37" s="18">
        <f t="shared" ref="C37:Q37" si="3">STDEV(C9:C32)</f>
        <v>7.172491418759158</v>
      </c>
      <c r="D37" s="18">
        <f t="shared" si="3"/>
        <v>7.025968136909631</v>
      </c>
      <c r="E37" s="18">
        <f t="shared" si="3"/>
        <v>0.68659195632686598</v>
      </c>
      <c r="F37" s="18">
        <f t="shared" si="3"/>
        <v>8.0324158024338104</v>
      </c>
      <c r="G37" s="18">
        <f t="shared" si="3"/>
        <v>8.8437607172055621</v>
      </c>
      <c r="H37" s="18">
        <f t="shared" si="3"/>
        <v>4.3214965704829078</v>
      </c>
      <c r="I37" s="18">
        <f t="shared" si="3"/>
        <v>2.0648577432840183</v>
      </c>
      <c r="J37" s="18">
        <f t="shared" si="3"/>
        <v>0.72902555570402705</v>
      </c>
      <c r="K37" s="18">
        <f t="shared" si="3"/>
        <v>64.172283595677527</v>
      </c>
      <c r="L37" s="18">
        <f t="shared" si="3"/>
        <v>5.4722028623459016</v>
      </c>
      <c r="M37" s="18">
        <f t="shared" si="3"/>
        <v>21.361897950743302</v>
      </c>
      <c r="N37" s="18">
        <f t="shared" si="3"/>
        <v>299.52879358820547</v>
      </c>
      <c r="O37" s="18">
        <f t="shared" si="3"/>
        <v>4.1560502431020252</v>
      </c>
      <c r="P37" s="18">
        <f t="shared" si="3"/>
        <v>7.5381878035983674E-2</v>
      </c>
      <c r="Q37" s="18">
        <f t="shared" si="3"/>
        <v>0.59880073383436938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3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204</v>
      </c>
      <c r="B9" s="40">
        <v>18.29</v>
      </c>
      <c r="C9" s="40">
        <v>45.14</v>
      </c>
      <c r="D9" s="40">
        <v>38.93</v>
      </c>
      <c r="E9" s="40">
        <v>1.1200000000000001</v>
      </c>
      <c r="F9" s="40">
        <v>2.52</v>
      </c>
      <c r="G9" s="40">
        <v>39.28</v>
      </c>
      <c r="H9" s="40">
        <v>18.190000000000001</v>
      </c>
      <c r="I9" s="40">
        <v>10.18</v>
      </c>
      <c r="J9" s="40">
        <v>0.9</v>
      </c>
      <c r="K9" s="40">
        <v>199.36</v>
      </c>
      <c r="L9" s="40">
        <v>23.36</v>
      </c>
      <c r="M9" s="40">
        <v>85.31</v>
      </c>
      <c r="N9" s="40">
        <v>23.1</v>
      </c>
      <c r="O9" s="40">
        <v>0</v>
      </c>
      <c r="P9" s="40">
        <v>0.54</v>
      </c>
      <c r="Q9" s="40">
        <v>26.78</v>
      </c>
      <c r="R9" s="38"/>
      <c r="S9" s="38"/>
      <c r="T9" s="38"/>
      <c r="U9" s="38"/>
    </row>
    <row r="10" spans="1:21" customFormat="1">
      <c r="A10" s="39" t="s">
        <v>205</v>
      </c>
      <c r="B10" s="40">
        <v>21.27</v>
      </c>
      <c r="C10" s="40">
        <v>45.29</v>
      </c>
      <c r="D10" s="40">
        <v>39.630000000000003</v>
      </c>
      <c r="E10" s="40">
        <v>0.88</v>
      </c>
      <c r="F10" s="40">
        <v>2.57</v>
      </c>
      <c r="G10" s="40">
        <v>43.84</v>
      </c>
      <c r="H10" s="40">
        <v>18.68</v>
      </c>
      <c r="I10" s="40">
        <v>9.9</v>
      </c>
      <c r="J10" s="40">
        <v>1.75</v>
      </c>
      <c r="K10" s="40">
        <v>217.03</v>
      </c>
      <c r="L10" s="40">
        <v>23.31</v>
      </c>
      <c r="M10" s="40">
        <v>87.4</v>
      </c>
      <c r="N10" s="40">
        <v>23.1</v>
      </c>
      <c r="O10" s="40">
        <v>0</v>
      </c>
      <c r="P10" s="40">
        <v>0.52</v>
      </c>
      <c r="Q10" s="40">
        <v>26.28</v>
      </c>
      <c r="R10" s="38"/>
      <c r="S10" s="38"/>
      <c r="T10" s="38"/>
      <c r="U10" s="38"/>
    </row>
    <row r="11" spans="1:21" customFormat="1">
      <c r="A11" s="39" t="s">
        <v>206</v>
      </c>
      <c r="B11" s="40">
        <v>21.39</v>
      </c>
      <c r="C11" s="40">
        <v>37.99</v>
      </c>
      <c r="D11" s="40">
        <v>37.68</v>
      </c>
      <c r="E11" s="40">
        <v>0.44</v>
      </c>
      <c r="F11" s="40">
        <v>2.63</v>
      </c>
      <c r="G11" s="40">
        <v>48.24</v>
      </c>
      <c r="H11" s="40">
        <v>20.62</v>
      </c>
      <c r="I11" s="40">
        <v>10.119999999999999</v>
      </c>
      <c r="J11" s="40">
        <v>2.04</v>
      </c>
      <c r="K11" s="40">
        <v>220.18</v>
      </c>
      <c r="L11" s="40">
        <v>22.93</v>
      </c>
      <c r="M11" s="40">
        <v>86.96</v>
      </c>
      <c r="N11" s="40">
        <v>23.4</v>
      </c>
      <c r="O11" s="40">
        <v>0</v>
      </c>
      <c r="P11" s="40">
        <v>0.51</v>
      </c>
      <c r="Q11" s="40">
        <v>26.94</v>
      </c>
      <c r="R11" s="38"/>
      <c r="S11" s="38"/>
      <c r="T11" s="38"/>
      <c r="U11" s="38"/>
    </row>
    <row r="12" spans="1:21" customFormat="1">
      <c r="A12" s="39" t="s">
        <v>207</v>
      </c>
      <c r="B12" s="40">
        <v>18.329999999999998</v>
      </c>
      <c r="C12" s="40">
        <v>31.46</v>
      </c>
      <c r="D12" s="40">
        <v>31.6</v>
      </c>
      <c r="E12" s="40">
        <v>0.31</v>
      </c>
      <c r="F12" s="40">
        <v>2.57</v>
      </c>
      <c r="G12" s="40">
        <v>40.770000000000003</v>
      </c>
      <c r="H12" s="40">
        <v>21.97</v>
      </c>
      <c r="I12" s="40">
        <v>9.77</v>
      </c>
      <c r="J12" s="40">
        <v>2.1800000000000002</v>
      </c>
      <c r="K12" s="40">
        <v>246.77</v>
      </c>
      <c r="L12" s="40">
        <v>23.23</v>
      </c>
      <c r="M12" s="40">
        <v>84.28</v>
      </c>
      <c r="N12" s="40">
        <v>23.4</v>
      </c>
      <c r="O12" s="40">
        <v>0</v>
      </c>
      <c r="P12" s="40">
        <v>0.5</v>
      </c>
      <c r="Q12" s="40">
        <v>27.14</v>
      </c>
      <c r="R12" s="38"/>
      <c r="S12" s="38"/>
      <c r="T12" s="38"/>
      <c r="U12" s="38"/>
    </row>
    <row r="13" spans="1:21" customFormat="1">
      <c r="A13" s="39" t="s">
        <v>208</v>
      </c>
      <c r="B13" s="40">
        <v>17.79</v>
      </c>
      <c r="C13" s="40">
        <v>37.94</v>
      </c>
      <c r="D13" s="40">
        <v>34.770000000000003</v>
      </c>
      <c r="E13" s="40">
        <v>0.71</v>
      </c>
      <c r="F13" s="24" t="s">
        <v>14</v>
      </c>
      <c r="G13" s="40">
        <v>35</v>
      </c>
      <c r="H13" s="40">
        <v>19.29</v>
      </c>
      <c r="I13" s="40">
        <v>9.16</v>
      </c>
      <c r="J13" s="40">
        <v>0.67</v>
      </c>
      <c r="K13" s="40">
        <v>137.4</v>
      </c>
      <c r="L13" s="40">
        <v>23.31</v>
      </c>
      <c r="M13" s="40">
        <v>85.24</v>
      </c>
      <c r="N13" s="40">
        <v>23.4</v>
      </c>
      <c r="O13" s="40">
        <v>0</v>
      </c>
      <c r="P13" s="40">
        <v>0.46</v>
      </c>
      <c r="Q13" s="40">
        <v>26.94</v>
      </c>
      <c r="R13" s="38"/>
      <c r="S13" s="38"/>
      <c r="T13" s="38"/>
      <c r="U13" s="38"/>
    </row>
    <row r="14" spans="1:21" customFormat="1">
      <c r="A14" s="39" t="s">
        <v>209</v>
      </c>
      <c r="B14" s="40">
        <v>19.47</v>
      </c>
      <c r="C14" s="40">
        <v>38.549999999999997</v>
      </c>
      <c r="D14" s="40">
        <v>35.89</v>
      </c>
      <c r="E14" s="40">
        <v>1.1399999999999999</v>
      </c>
      <c r="F14" s="24" t="s">
        <v>14</v>
      </c>
      <c r="G14" s="40">
        <v>29.09</v>
      </c>
      <c r="H14" s="40">
        <v>15.83</v>
      </c>
      <c r="I14" s="40">
        <v>11</v>
      </c>
      <c r="J14" s="40">
        <v>1.74</v>
      </c>
      <c r="K14" s="40">
        <v>239.68</v>
      </c>
      <c r="L14" s="40">
        <v>23.62</v>
      </c>
      <c r="M14" s="40">
        <v>86.77</v>
      </c>
      <c r="N14" s="40">
        <v>57</v>
      </c>
      <c r="O14" s="40">
        <v>0</v>
      </c>
      <c r="P14" s="40">
        <v>0.47</v>
      </c>
      <c r="Q14" s="40">
        <v>26.88</v>
      </c>
      <c r="R14" s="38"/>
      <c r="S14" s="38"/>
      <c r="T14" s="38"/>
      <c r="U14" s="38"/>
    </row>
    <row r="15" spans="1:21" customFormat="1">
      <c r="A15" s="39" t="s">
        <v>210</v>
      </c>
      <c r="B15" s="40">
        <v>19.46</v>
      </c>
      <c r="C15" s="40">
        <v>34.5</v>
      </c>
      <c r="D15" s="40">
        <v>34.28</v>
      </c>
      <c r="E15" s="40">
        <v>0.69</v>
      </c>
      <c r="F15" s="24" t="s">
        <v>14</v>
      </c>
      <c r="G15" s="40">
        <v>29.36</v>
      </c>
      <c r="H15" s="40">
        <v>16.48</v>
      </c>
      <c r="I15" s="40">
        <v>11.75</v>
      </c>
      <c r="J15" s="40">
        <v>0.71</v>
      </c>
      <c r="K15" s="40">
        <v>184.89</v>
      </c>
      <c r="L15" s="40">
        <v>24.33</v>
      </c>
      <c r="M15" s="40">
        <v>85.73</v>
      </c>
      <c r="N15" s="40">
        <v>93.9</v>
      </c>
      <c r="O15" s="40">
        <v>0</v>
      </c>
      <c r="P15" s="40">
        <v>0.48</v>
      </c>
      <c r="Q15" s="40">
        <v>26.87</v>
      </c>
      <c r="R15" s="38"/>
      <c r="S15" s="38"/>
      <c r="T15" s="38"/>
      <c r="U15" s="38"/>
    </row>
    <row r="16" spans="1:21" customFormat="1">
      <c r="A16" s="39" t="s">
        <v>211</v>
      </c>
      <c r="B16" s="40">
        <v>21.22</v>
      </c>
      <c r="C16" s="40">
        <v>39.630000000000003</v>
      </c>
      <c r="D16" s="40">
        <v>38.119999999999997</v>
      </c>
      <c r="E16" s="40">
        <v>0.53</v>
      </c>
      <c r="F16" s="24" t="s">
        <v>14</v>
      </c>
      <c r="G16" s="40">
        <v>31.25</v>
      </c>
      <c r="H16" s="40">
        <v>16.170000000000002</v>
      </c>
      <c r="I16" s="40">
        <v>11.43</v>
      </c>
      <c r="J16" s="40">
        <v>1.08</v>
      </c>
      <c r="K16" s="40">
        <v>105.29</v>
      </c>
      <c r="L16" s="40">
        <v>25.79</v>
      </c>
      <c r="M16" s="40">
        <v>81.63</v>
      </c>
      <c r="N16" s="40">
        <v>160.19999999999999</v>
      </c>
      <c r="O16" s="40">
        <v>0</v>
      </c>
      <c r="P16" s="40">
        <v>0.48</v>
      </c>
      <c r="Q16" s="40">
        <v>26.77</v>
      </c>
      <c r="R16" s="38"/>
      <c r="S16" s="38"/>
      <c r="T16" s="38"/>
      <c r="U16" s="38"/>
    </row>
    <row r="17" spans="1:21" customFormat="1">
      <c r="A17" s="39" t="s">
        <v>212</v>
      </c>
      <c r="B17" s="40">
        <v>22.16</v>
      </c>
      <c r="C17" s="40">
        <v>39.26</v>
      </c>
      <c r="D17" s="40">
        <v>38.880000000000003</v>
      </c>
      <c r="E17" s="40">
        <v>0.28999999999999998</v>
      </c>
      <c r="F17" s="24" t="s">
        <v>14</v>
      </c>
      <c r="G17" s="40">
        <v>38.24</v>
      </c>
      <c r="H17" s="40">
        <v>18.39</v>
      </c>
      <c r="I17" s="40">
        <v>11.76</v>
      </c>
      <c r="J17" s="40">
        <v>1.19</v>
      </c>
      <c r="K17" s="40">
        <v>254.64</v>
      </c>
      <c r="L17" s="40">
        <v>27.47</v>
      </c>
      <c r="M17" s="40">
        <v>73.260000000000005</v>
      </c>
      <c r="N17" s="40">
        <v>417.4</v>
      </c>
      <c r="O17" s="40">
        <v>0</v>
      </c>
      <c r="P17" s="40">
        <v>0.5</v>
      </c>
      <c r="Q17" s="40">
        <v>26.7</v>
      </c>
      <c r="R17" s="38"/>
      <c r="S17" s="38"/>
      <c r="T17" s="38"/>
      <c r="U17" s="38"/>
    </row>
    <row r="18" spans="1:21" customFormat="1">
      <c r="A18" s="39" t="s">
        <v>213</v>
      </c>
      <c r="B18" s="40">
        <v>19.89</v>
      </c>
      <c r="C18" s="40">
        <v>32</v>
      </c>
      <c r="D18" s="40">
        <v>33.340000000000003</v>
      </c>
      <c r="E18" s="40">
        <v>0.34</v>
      </c>
      <c r="F18" s="24" t="s">
        <v>14</v>
      </c>
      <c r="G18" s="40">
        <v>42.45</v>
      </c>
      <c r="H18" s="40">
        <v>18.739999999999998</v>
      </c>
      <c r="I18" s="40">
        <v>11.74</v>
      </c>
      <c r="J18" s="40">
        <v>1.53</v>
      </c>
      <c r="K18" s="40">
        <v>276.39</v>
      </c>
      <c r="L18" s="40">
        <v>29.29</v>
      </c>
      <c r="M18" s="40">
        <v>61.14</v>
      </c>
      <c r="N18" s="40">
        <v>748.9</v>
      </c>
      <c r="O18" s="40">
        <v>0</v>
      </c>
      <c r="P18" s="40">
        <v>0.51</v>
      </c>
      <c r="Q18" s="40">
        <v>27.16</v>
      </c>
      <c r="R18" s="38"/>
      <c r="S18" s="38"/>
      <c r="T18" s="38"/>
      <c r="U18" s="38"/>
    </row>
    <row r="19" spans="1:21" customFormat="1">
      <c r="A19" s="39" t="s">
        <v>214</v>
      </c>
      <c r="B19" s="40">
        <v>13.17</v>
      </c>
      <c r="C19" s="40">
        <v>39.51</v>
      </c>
      <c r="D19" s="40">
        <v>30.22</v>
      </c>
      <c r="E19" s="40">
        <v>0.52</v>
      </c>
      <c r="F19" s="24" t="s">
        <v>14</v>
      </c>
      <c r="G19" s="40">
        <v>48.56</v>
      </c>
      <c r="H19" s="40">
        <v>23.55</v>
      </c>
      <c r="I19" s="40">
        <v>11.21</v>
      </c>
      <c r="J19" s="40">
        <v>1.43</v>
      </c>
      <c r="K19" s="40">
        <v>102.61</v>
      </c>
      <c r="L19" s="40">
        <v>31.62</v>
      </c>
      <c r="M19" s="40">
        <v>54.54</v>
      </c>
      <c r="N19" s="40">
        <v>825.2</v>
      </c>
      <c r="O19" s="40">
        <v>0</v>
      </c>
      <c r="P19" s="40">
        <v>0.56000000000000005</v>
      </c>
      <c r="Q19" s="40">
        <v>27.41</v>
      </c>
      <c r="R19" s="38"/>
      <c r="S19" s="38"/>
      <c r="T19" s="38"/>
      <c r="U19" s="38"/>
    </row>
    <row r="20" spans="1:21" customFormat="1">
      <c r="A20" s="39" t="s">
        <v>215</v>
      </c>
      <c r="B20" s="40">
        <v>10.64</v>
      </c>
      <c r="C20" s="40">
        <v>37.04</v>
      </c>
      <c r="D20" s="40">
        <v>28.56</v>
      </c>
      <c r="E20" s="40">
        <v>2.52</v>
      </c>
      <c r="F20" s="24" t="s">
        <v>14</v>
      </c>
      <c r="G20" s="40">
        <v>58.55</v>
      </c>
      <c r="H20" s="40">
        <v>29.65</v>
      </c>
      <c r="I20" s="40">
        <v>12.95</v>
      </c>
      <c r="J20" s="40">
        <v>0.77</v>
      </c>
      <c r="K20" s="40">
        <v>347.56</v>
      </c>
      <c r="L20" s="40">
        <v>33.630000000000003</v>
      </c>
      <c r="M20" s="40">
        <v>49.07</v>
      </c>
      <c r="N20" s="40">
        <v>921.9</v>
      </c>
      <c r="O20" s="40">
        <v>0</v>
      </c>
      <c r="P20" s="40">
        <v>0.61</v>
      </c>
      <c r="Q20" s="40">
        <v>27.82</v>
      </c>
      <c r="R20" s="38"/>
      <c r="S20" s="38"/>
      <c r="T20" s="38"/>
      <c r="U20" s="38"/>
    </row>
    <row r="21" spans="1:21" customFormat="1">
      <c r="A21" s="39" t="s">
        <v>216</v>
      </c>
      <c r="B21" s="40">
        <v>7.65</v>
      </c>
      <c r="C21" s="40">
        <v>29.29</v>
      </c>
      <c r="D21" s="40">
        <v>22.12</v>
      </c>
      <c r="E21" s="40">
        <v>2.4500000000000002</v>
      </c>
      <c r="F21" s="24" t="s">
        <v>14</v>
      </c>
      <c r="G21" s="40">
        <v>59.92</v>
      </c>
      <c r="H21" s="40">
        <v>31.41</v>
      </c>
      <c r="I21" s="40">
        <v>12.76</v>
      </c>
      <c r="J21" s="40">
        <v>0.81</v>
      </c>
      <c r="K21" s="40">
        <v>351.53</v>
      </c>
      <c r="L21" s="40">
        <v>35.29</v>
      </c>
      <c r="M21" s="40">
        <v>38.92</v>
      </c>
      <c r="N21" s="40">
        <v>925.4</v>
      </c>
      <c r="O21" s="40">
        <v>0</v>
      </c>
      <c r="P21" s="40">
        <v>0.59</v>
      </c>
      <c r="Q21" s="40">
        <v>28.11</v>
      </c>
      <c r="R21" s="38"/>
      <c r="S21" s="38"/>
      <c r="T21" s="38"/>
      <c r="U21" s="38"/>
    </row>
    <row r="22" spans="1:21" customFormat="1">
      <c r="A22" s="39" t="s">
        <v>217</v>
      </c>
      <c r="B22" s="40">
        <v>3.3</v>
      </c>
      <c r="C22" s="40">
        <v>32.32</v>
      </c>
      <c r="D22" s="40">
        <v>19.54</v>
      </c>
      <c r="E22" s="40">
        <v>2.0499999999999998</v>
      </c>
      <c r="F22" s="24" t="s">
        <v>14</v>
      </c>
      <c r="G22" s="40">
        <v>53.19</v>
      </c>
      <c r="H22" s="40">
        <v>23.24</v>
      </c>
      <c r="I22" s="40">
        <v>11.51</v>
      </c>
      <c r="J22" s="40">
        <v>1.6</v>
      </c>
      <c r="K22" s="40">
        <v>281.08999999999997</v>
      </c>
      <c r="L22" s="40">
        <v>37.08</v>
      </c>
      <c r="M22" s="40">
        <v>35.299999999999997</v>
      </c>
      <c r="N22" s="40">
        <v>897.8</v>
      </c>
      <c r="O22" s="40">
        <v>0</v>
      </c>
      <c r="P22" s="40">
        <v>0.56999999999999995</v>
      </c>
      <c r="Q22" s="40">
        <v>28.34</v>
      </c>
      <c r="R22" s="38"/>
      <c r="S22" s="38"/>
      <c r="T22" s="38"/>
      <c r="U22" s="38"/>
    </row>
    <row r="23" spans="1:21" customFormat="1">
      <c r="A23" s="39" t="s">
        <v>218</v>
      </c>
      <c r="B23" s="40">
        <v>2.44</v>
      </c>
      <c r="C23" s="40">
        <v>30.71</v>
      </c>
      <c r="D23" s="40">
        <v>18.68</v>
      </c>
      <c r="E23" s="40">
        <v>2.14</v>
      </c>
      <c r="F23" s="24" t="s">
        <v>14</v>
      </c>
      <c r="G23" s="40">
        <v>41.49</v>
      </c>
      <c r="H23" s="40">
        <v>21.37</v>
      </c>
      <c r="I23" s="40">
        <v>11.01</v>
      </c>
      <c r="J23" s="40">
        <v>2.13</v>
      </c>
      <c r="K23" s="40">
        <v>353.06</v>
      </c>
      <c r="L23" s="40">
        <v>39.33</v>
      </c>
      <c r="M23" s="40">
        <v>27.83</v>
      </c>
      <c r="N23" s="40">
        <v>782.7</v>
      </c>
      <c r="O23" s="40">
        <v>0</v>
      </c>
      <c r="P23" s="40">
        <v>0.54</v>
      </c>
      <c r="Q23" s="40">
        <v>28.98</v>
      </c>
      <c r="R23" s="38"/>
      <c r="S23" s="38"/>
      <c r="T23" s="38"/>
      <c r="U23" s="38"/>
    </row>
    <row r="24" spans="1:21" customFormat="1">
      <c r="A24" s="39" t="s">
        <v>219</v>
      </c>
      <c r="B24" s="40">
        <v>1.86</v>
      </c>
      <c r="C24" s="40">
        <v>22.96</v>
      </c>
      <c r="D24" s="40">
        <v>14.16</v>
      </c>
      <c r="E24" s="40">
        <v>2.25</v>
      </c>
      <c r="F24" s="24" t="s">
        <v>14</v>
      </c>
      <c r="G24" s="40">
        <v>38.47</v>
      </c>
      <c r="H24" s="40">
        <v>15.68</v>
      </c>
      <c r="I24" s="40">
        <v>10.36</v>
      </c>
      <c r="J24" s="40">
        <v>1.81</v>
      </c>
      <c r="K24" s="40">
        <v>327.25</v>
      </c>
      <c r="L24" s="40">
        <v>39.4</v>
      </c>
      <c r="M24" s="40">
        <v>24.81</v>
      </c>
      <c r="N24" s="40">
        <v>608.70000000000005</v>
      </c>
      <c r="O24" s="40">
        <v>0</v>
      </c>
      <c r="P24" s="40">
        <v>0.48</v>
      </c>
      <c r="Q24" s="40">
        <v>28.96</v>
      </c>
      <c r="R24" s="38"/>
      <c r="S24" s="38"/>
      <c r="T24" s="38"/>
      <c r="U24" s="38"/>
    </row>
    <row r="25" spans="1:21" customFormat="1">
      <c r="A25" s="39" t="s">
        <v>220</v>
      </c>
      <c r="B25" s="40">
        <v>1.88</v>
      </c>
      <c r="C25" s="40">
        <v>22.5</v>
      </c>
      <c r="D25" s="40">
        <v>13.94</v>
      </c>
      <c r="E25" s="40">
        <v>1.67</v>
      </c>
      <c r="F25" s="24" t="s">
        <v>14</v>
      </c>
      <c r="G25" s="40">
        <v>34.369999999999997</v>
      </c>
      <c r="H25" s="40">
        <v>15.14</v>
      </c>
      <c r="I25" s="40">
        <v>9.23</v>
      </c>
      <c r="J25" s="40">
        <v>1.29</v>
      </c>
      <c r="K25" s="40">
        <v>211.31</v>
      </c>
      <c r="L25" s="40">
        <v>40.1</v>
      </c>
      <c r="M25" s="40">
        <v>24.53</v>
      </c>
      <c r="N25" s="40">
        <v>386.7</v>
      </c>
      <c r="O25" s="40">
        <v>0</v>
      </c>
      <c r="P25" s="40">
        <v>0.5</v>
      </c>
      <c r="Q25" s="40">
        <v>28.88</v>
      </c>
      <c r="R25" s="38"/>
      <c r="S25" s="38"/>
      <c r="T25" s="38"/>
      <c r="U25" s="38"/>
    </row>
    <row r="26" spans="1:21" customFormat="1">
      <c r="A26" s="39" t="s">
        <v>221</v>
      </c>
      <c r="B26" s="40">
        <v>1.82</v>
      </c>
      <c r="C26" s="40">
        <v>24.49</v>
      </c>
      <c r="D26" s="40">
        <v>14.93</v>
      </c>
      <c r="E26" s="40">
        <v>2.5499999999999998</v>
      </c>
      <c r="F26" s="24" t="s">
        <v>14</v>
      </c>
      <c r="G26" s="40">
        <v>31.17</v>
      </c>
      <c r="H26" s="40">
        <v>12.63</v>
      </c>
      <c r="I26" s="40">
        <v>8.65</v>
      </c>
      <c r="J26" s="40">
        <v>1.02</v>
      </c>
      <c r="K26" s="40">
        <v>151.13999999999999</v>
      </c>
      <c r="L26" s="40">
        <v>39.18</v>
      </c>
      <c r="M26" s="40">
        <v>28.96</v>
      </c>
      <c r="N26" s="40">
        <v>171.6</v>
      </c>
      <c r="O26" s="40">
        <v>0</v>
      </c>
      <c r="P26" s="40">
        <v>0.44</v>
      </c>
      <c r="Q26" s="40">
        <v>29.19</v>
      </c>
      <c r="R26" s="38"/>
      <c r="S26" s="38"/>
      <c r="T26" s="38"/>
      <c r="U26" s="38"/>
    </row>
    <row r="27" spans="1:21" customFormat="1">
      <c r="A27" s="39" t="s">
        <v>222</v>
      </c>
      <c r="B27" s="40">
        <v>5.83</v>
      </c>
      <c r="C27" s="40">
        <v>42.48</v>
      </c>
      <c r="D27" s="40">
        <v>27.54</v>
      </c>
      <c r="E27" s="40">
        <v>4.1399999999999997</v>
      </c>
      <c r="F27" s="24" t="s">
        <v>14</v>
      </c>
      <c r="G27" s="40">
        <v>33.03</v>
      </c>
      <c r="H27" s="40">
        <v>20.12</v>
      </c>
      <c r="I27" s="40">
        <v>11.02</v>
      </c>
      <c r="J27" s="40">
        <v>0.97</v>
      </c>
      <c r="K27" s="40">
        <v>147.94999999999999</v>
      </c>
      <c r="L27" s="40">
        <v>34.880000000000003</v>
      </c>
      <c r="M27" s="40">
        <v>37.1</v>
      </c>
      <c r="N27" s="40">
        <v>35.200000000000003</v>
      </c>
      <c r="O27" s="40">
        <v>0</v>
      </c>
      <c r="P27" s="40">
        <v>1.0900000000000001</v>
      </c>
      <c r="Q27" s="40">
        <v>29.01</v>
      </c>
      <c r="R27" s="38"/>
      <c r="S27" s="38"/>
      <c r="T27" s="38"/>
      <c r="U27" s="38"/>
    </row>
    <row r="28" spans="1:21" customFormat="1">
      <c r="A28" s="39" t="s">
        <v>223</v>
      </c>
      <c r="B28" s="40">
        <v>4.7699999999999996</v>
      </c>
      <c r="C28" s="40">
        <v>40.229999999999997</v>
      </c>
      <c r="D28" s="40">
        <v>25.52</v>
      </c>
      <c r="E28" s="40">
        <v>3.81</v>
      </c>
      <c r="F28" s="24" t="s">
        <v>14</v>
      </c>
      <c r="G28" s="40">
        <v>38.1</v>
      </c>
      <c r="H28" s="40">
        <v>25.73</v>
      </c>
      <c r="I28" s="40">
        <v>17.75</v>
      </c>
      <c r="J28" s="40">
        <v>0.88</v>
      </c>
      <c r="K28" s="40">
        <v>126.87</v>
      </c>
      <c r="L28" s="40">
        <v>33.03</v>
      </c>
      <c r="M28" s="40">
        <v>41.85</v>
      </c>
      <c r="N28" s="40">
        <v>22.8</v>
      </c>
      <c r="O28" s="40">
        <v>0</v>
      </c>
      <c r="P28" s="40">
        <v>0.93</v>
      </c>
      <c r="Q28" s="40">
        <v>27.79</v>
      </c>
      <c r="R28" s="38"/>
      <c r="S28" s="38"/>
      <c r="T28" s="38"/>
      <c r="U28" s="38"/>
    </row>
    <row r="29" spans="1:21" customFormat="1">
      <c r="A29" s="39" t="s">
        <v>224</v>
      </c>
      <c r="B29" s="40">
        <v>4.22</v>
      </c>
      <c r="C29" s="40">
        <v>36.47</v>
      </c>
      <c r="D29" s="40">
        <v>23.12</v>
      </c>
      <c r="E29" s="40">
        <v>3.18</v>
      </c>
      <c r="F29" s="24" t="s">
        <v>14</v>
      </c>
      <c r="G29" s="40">
        <v>41.41</v>
      </c>
      <c r="H29" s="40">
        <v>25.04</v>
      </c>
      <c r="I29" s="40">
        <v>15.17</v>
      </c>
      <c r="J29" s="40">
        <v>1.02</v>
      </c>
      <c r="K29" s="40">
        <v>145.5</v>
      </c>
      <c r="L29" s="40">
        <v>32.35</v>
      </c>
      <c r="M29" s="40">
        <v>47.21</v>
      </c>
      <c r="N29" s="40">
        <v>22.9</v>
      </c>
      <c r="O29" s="40">
        <v>0</v>
      </c>
      <c r="P29" s="40">
        <v>0.81</v>
      </c>
      <c r="Q29" s="40">
        <v>27.83</v>
      </c>
      <c r="R29" s="38"/>
      <c r="S29" s="38"/>
      <c r="T29" s="38"/>
      <c r="U29" s="38"/>
    </row>
    <row r="30" spans="1:21" customFormat="1">
      <c r="A30" s="39" t="s">
        <v>225</v>
      </c>
      <c r="B30" s="40">
        <v>5.09</v>
      </c>
      <c r="C30" s="40">
        <v>29.78</v>
      </c>
      <c r="D30" s="40">
        <v>19.920000000000002</v>
      </c>
      <c r="E30" s="40">
        <v>3.1</v>
      </c>
      <c r="F30" s="24" t="s">
        <v>14</v>
      </c>
      <c r="G30" s="40">
        <v>48.72</v>
      </c>
      <c r="H30" s="40">
        <v>22.87</v>
      </c>
      <c r="I30" s="40">
        <v>14.24</v>
      </c>
      <c r="J30" s="40">
        <v>1.43</v>
      </c>
      <c r="K30" s="40">
        <v>223.33</v>
      </c>
      <c r="L30" s="40">
        <v>32.22</v>
      </c>
      <c r="M30" s="40">
        <v>51.23</v>
      </c>
      <c r="N30" s="40">
        <v>23.1</v>
      </c>
      <c r="O30" s="40">
        <v>0</v>
      </c>
      <c r="P30" s="40">
        <v>0.76</v>
      </c>
      <c r="Q30" s="40">
        <v>28.25</v>
      </c>
      <c r="R30" s="38"/>
      <c r="S30" s="38"/>
      <c r="T30" s="38"/>
      <c r="U30" s="38"/>
    </row>
    <row r="31" spans="1:21" customFormat="1">
      <c r="A31" s="39" t="s">
        <v>226</v>
      </c>
      <c r="B31" s="40">
        <v>4.79</v>
      </c>
      <c r="C31" s="40">
        <v>27.22</v>
      </c>
      <c r="D31" s="40">
        <v>18.64</v>
      </c>
      <c r="E31" s="40">
        <v>2.42</v>
      </c>
      <c r="F31" s="24" t="s">
        <v>14</v>
      </c>
      <c r="G31" s="40">
        <v>55.18</v>
      </c>
      <c r="H31" s="40">
        <v>23.96</v>
      </c>
      <c r="I31" s="40">
        <v>13.72</v>
      </c>
      <c r="J31" s="40">
        <v>1.8</v>
      </c>
      <c r="K31" s="40">
        <v>227.21</v>
      </c>
      <c r="L31" s="40">
        <v>31.36</v>
      </c>
      <c r="M31" s="40">
        <v>51.14</v>
      </c>
      <c r="N31" s="40">
        <v>23</v>
      </c>
      <c r="O31" s="40">
        <v>0</v>
      </c>
      <c r="P31" s="40">
        <v>0.69</v>
      </c>
      <c r="Q31" s="40">
        <v>28.31</v>
      </c>
      <c r="R31" s="38"/>
      <c r="S31" s="38"/>
      <c r="T31" s="38"/>
      <c r="U31" s="38"/>
    </row>
    <row r="32" spans="1:21" customFormat="1">
      <c r="A32" s="39" t="s">
        <v>227</v>
      </c>
      <c r="B32" s="40">
        <v>4.3499999999999996</v>
      </c>
      <c r="C32" s="40">
        <v>37.96</v>
      </c>
      <c r="D32" s="40">
        <v>22.74</v>
      </c>
      <c r="E32" s="40">
        <v>1.18</v>
      </c>
      <c r="F32" s="24" t="s">
        <v>14</v>
      </c>
      <c r="G32" s="40">
        <v>41.65</v>
      </c>
      <c r="H32" s="40">
        <v>24.62</v>
      </c>
      <c r="I32" s="40">
        <v>12.69</v>
      </c>
      <c r="J32" s="40">
        <v>3.25</v>
      </c>
      <c r="K32" s="40">
        <v>245.38</v>
      </c>
      <c r="L32" s="40">
        <v>31.17</v>
      </c>
      <c r="M32" s="40">
        <v>50.44</v>
      </c>
      <c r="N32" s="40">
        <v>24.9</v>
      </c>
      <c r="O32" s="40">
        <v>0</v>
      </c>
      <c r="P32" s="40">
        <v>0.67</v>
      </c>
      <c r="Q32" s="40">
        <v>28.3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1.82</v>
      </c>
      <c r="C34" s="18">
        <f t="shared" si="0"/>
        <v>22.5</v>
      </c>
      <c r="D34" s="18">
        <f t="shared" si="0"/>
        <v>13.94</v>
      </c>
      <c r="E34" s="18">
        <f t="shared" si="0"/>
        <v>0.28999999999999998</v>
      </c>
      <c r="F34" s="18">
        <f t="shared" si="0"/>
        <v>2.52</v>
      </c>
      <c r="G34" s="18">
        <f t="shared" si="0"/>
        <v>29.09</v>
      </c>
      <c r="H34" s="18">
        <f t="shared" si="0"/>
        <v>12.63</v>
      </c>
      <c r="I34" s="18">
        <f t="shared" si="0"/>
        <v>8.65</v>
      </c>
      <c r="J34" s="18">
        <f t="shared" si="0"/>
        <v>0.67</v>
      </c>
      <c r="K34" s="18">
        <f t="shared" si="0"/>
        <v>102.61</v>
      </c>
      <c r="L34" s="18">
        <f t="shared" si="0"/>
        <v>22.93</v>
      </c>
      <c r="M34" s="18">
        <f t="shared" si="0"/>
        <v>24.53</v>
      </c>
      <c r="N34" s="18">
        <f t="shared" si="0"/>
        <v>22.8</v>
      </c>
      <c r="O34" s="18">
        <f t="shared" si="0"/>
        <v>0</v>
      </c>
      <c r="P34" s="18">
        <f t="shared" si="0"/>
        <v>0.44</v>
      </c>
      <c r="Q34" s="18">
        <f t="shared" si="0"/>
        <v>26.28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22.16</v>
      </c>
      <c r="C35" s="3">
        <f t="shared" si="1"/>
        <v>45.29</v>
      </c>
      <c r="D35" s="3">
        <f t="shared" si="1"/>
        <v>39.630000000000003</v>
      </c>
      <c r="E35" s="3">
        <f t="shared" si="1"/>
        <v>4.1399999999999997</v>
      </c>
      <c r="F35" s="3">
        <f t="shared" si="1"/>
        <v>2.63</v>
      </c>
      <c r="G35" s="3">
        <f t="shared" si="1"/>
        <v>59.92</v>
      </c>
      <c r="H35" s="3">
        <f t="shared" si="1"/>
        <v>31.41</v>
      </c>
      <c r="I35" s="3">
        <f t="shared" si="1"/>
        <v>17.75</v>
      </c>
      <c r="J35" s="3">
        <f t="shared" si="1"/>
        <v>3.25</v>
      </c>
      <c r="K35" s="3">
        <f t="shared" si="1"/>
        <v>353.06</v>
      </c>
      <c r="L35" s="3">
        <f t="shared" si="1"/>
        <v>40.1</v>
      </c>
      <c r="M35" s="3">
        <f t="shared" si="1"/>
        <v>87.4</v>
      </c>
      <c r="N35" s="3">
        <f t="shared" si="1"/>
        <v>925.4</v>
      </c>
      <c r="O35" s="3">
        <f t="shared" si="1"/>
        <v>0</v>
      </c>
      <c r="P35" s="3">
        <f t="shared" si="1"/>
        <v>1.0900000000000001</v>
      </c>
      <c r="Q35" s="3">
        <f t="shared" si="1"/>
        <v>29.19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11.295000000000002</v>
      </c>
      <c r="C36" s="18">
        <f t="shared" si="2"/>
        <v>34.780000000000008</v>
      </c>
      <c r="D36" s="18">
        <f t="shared" si="2"/>
        <v>27.614583333333332</v>
      </c>
      <c r="E36" s="18">
        <f t="shared" si="2"/>
        <v>1.6845833333333333</v>
      </c>
      <c r="F36" s="18">
        <f t="shared" si="2"/>
        <v>2.5724999999999998</v>
      </c>
      <c r="G36" s="18">
        <f t="shared" si="2"/>
        <v>41.72208333333333</v>
      </c>
      <c r="H36" s="18">
        <f t="shared" si="2"/>
        <v>20.807083333333335</v>
      </c>
      <c r="I36" s="18">
        <f t="shared" si="2"/>
        <v>11.628333333333332</v>
      </c>
      <c r="J36" s="18">
        <f t="shared" si="2"/>
        <v>1.4166666666666663</v>
      </c>
      <c r="K36" s="18">
        <f t="shared" si="2"/>
        <v>221.80916666666667</v>
      </c>
      <c r="L36" s="18">
        <f t="shared" si="2"/>
        <v>30.719999999999995</v>
      </c>
      <c r="M36" s="18">
        <f t="shared" si="2"/>
        <v>57.527083333333337</v>
      </c>
      <c r="N36" s="18">
        <f t="shared" si="2"/>
        <v>302.73750000000001</v>
      </c>
      <c r="O36" s="18">
        <f t="shared" si="2"/>
        <v>0</v>
      </c>
      <c r="P36" s="18">
        <f t="shared" si="2"/>
        <v>0.59208333333333329</v>
      </c>
      <c r="Q36" s="18">
        <f t="shared" si="2"/>
        <v>27.734999999999999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7.9248865030962063</v>
      </c>
      <c r="C37" s="18">
        <f t="shared" ref="C37:Q37" si="3">STDEV(C9:C32)</f>
        <v>6.5123995444141887</v>
      </c>
      <c r="D37" s="18">
        <f t="shared" si="3"/>
        <v>8.6569685321518151</v>
      </c>
      <c r="E37" s="18">
        <f t="shared" si="3"/>
        <v>1.1676322350089021</v>
      </c>
      <c r="F37" s="18">
        <f t="shared" si="3"/>
        <v>4.499999999999995E-2</v>
      </c>
      <c r="G37" s="18">
        <f t="shared" si="3"/>
        <v>8.8985558081642981</v>
      </c>
      <c r="H37" s="18">
        <f t="shared" si="3"/>
        <v>4.6212218214654275</v>
      </c>
      <c r="I37" s="18">
        <f t="shared" si="3"/>
        <v>2.0843717991523185</v>
      </c>
      <c r="J37" s="18">
        <f t="shared" si="3"/>
        <v>0.60785915607415897</v>
      </c>
      <c r="K37" s="18">
        <f t="shared" si="3"/>
        <v>75.838663244769876</v>
      </c>
      <c r="L37" s="18">
        <f t="shared" si="3"/>
        <v>5.9590201995907561</v>
      </c>
      <c r="M37" s="18">
        <f t="shared" si="3"/>
        <v>23.016496065282983</v>
      </c>
      <c r="N37" s="18">
        <f t="shared" si="3"/>
        <v>357.23961367139412</v>
      </c>
      <c r="O37" s="18">
        <f t="shared" si="3"/>
        <v>0</v>
      </c>
      <c r="P37" s="18">
        <f t="shared" si="3"/>
        <v>0.16124459321347745</v>
      </c>
      <c r="Q37" s="18">
        <f t="shared" si="3"/>
        <v>0.88736052180169356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COUNT(F9:F32)+20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228</v>
      </c>
      <c r="B9" s="40">
        <v>4.5999999999999996</v>
      </c>
      <c r="C9" s="40">
        <v>37.82</v>
      </c>
      <c r="D9" s="40">
        <v>23.19</v>
      </c>
      <c r="E9" s="40">
        <v>1.66</v>
      </c>
      <c r="F9" s="24" t="s">
        <v>14</v>
      </c>
      <c r="G9" s="40">
        <v>43.81</v>
      </c>
      <c r="H9" s="40">
        <v>16</v>
      </c>
      <c r="I9" s="40">
        <v>11.44</v>
      </c>
      <c r="J9" s="40">
        <v>1.2</v>
      </c>
      <c r="K9" s="40">
        <v>106.18</v>
      </c>
      <c r="L9" s="40">
        <v>29.48</v>
      </c>
      <c r="M9" s="40">
        <v>46.4</v>
      </c>
      <c r="N9" s="40">
        <v>23.2</v>
      </c>
      <c r="O9" s="40">
        <v>0</v>
      </c>
      <c r="P9" s="40">
        <v>0.56000000000000005</v>
      </c>
      <c r="Q9" s="40">
        <v>28.26</v>
      </c>
      <c r="R9" s="38"/>
      <c r="S9" s="38"/>
      <c r="T9" s="38"/>
      <c r="U9" s="38"/>
    </row>
    <row r="10" spans="1:21" customFormat="1">
      <c r="A10" s="39" t="s">
        <v>229</v>
      </c>
      <c r="B10" s="40">
        <v>6.1</v>
      </c>
      <c r="C10" s="40">
        <v>30.79</v>
      </c>
      <c r="D10" s="40">
        <v>20.71</v>
      </c>
      <c r="E10" s="40">
        <v>1.8</v>
      </c>
      <c r="F10" s="24" t="s">
        <v>14</v>
      </c>
      <c r="G10" s="40">
        <v>39.659999999999997</v>
      </c>
      <c r="H10" s="40">
        <v>12.19</v>
      </c>
      <c r="I10" s="40">
        <v>10.48</v>
      </c>
      <c r="J10" s="40">
        <v>1.48</v>
      </c>
      <c r="K10" s="40">
        <v>223.56</v>
      </c>
      <c r="L10" s="40">
        <v>29.3</v>
      </c>
      <c r="M10" s="40">
        <v>43.47</v>
      </c>
      <c r="N10" s="40">
        <v>23.4</v>
      </c>
      <c r="O10" s="40">
        <v>0</v>
      </c>
      <c r="P10" s="40">
        <v>0.53</v>
      </c>
      <c r="Q10" s="40">
        <v>28.17</v>
      </c>
      <c r="R10" s="38"/>
      <c r="S10" s="38"/>
      <c r="T10" s="38"/>
      <c r="U10" s="38"/>
    </row>
    <row r="11" spans="1:21" customFormat="1">
      <c r="A11" s="39" t="s">
        <v>230</v>
      </c>
      <c r="B11" s="40">
        <v>6.82</v>
      </c>
      <c r="C11" s="40">
        <v>32.799999999999997</v>
      </c>
      <c r="D11" s="40">
        <v>23.28</v>
      </c>
      <c r="E11" s="40">
        <v>1.66</v>
      </c>
      <c r="F11" s="24" t="s">
        <v>14</v>
      </c>
      <c r="G11" s="40">
        <v>45.29</v>
      </c>
      <c r="H11" s="40">
        <v>13.48</v>
      </c>
      <c r="I11" s="40">
        <v>9.9600000000000009</v>
      </c>
      <c r="J11" s="40">
        <v>1.3</v>
      </c>
      <c r="K11" s="40">
        <v>326.27</v>
      </c>
      <c r="L11" s="40">
        <v>28.82</v>
      </c>
      <c r="M11" s="40">
        <v>52.5</v>
      </c>
      <c r="N11" s="40">
        <v>23.7</v>
      </c>
      <c r="O11" s="40">
        <v>0</v>
      </c>
      <c r="P11" s="40">
        <v>0.53</v>
      </c>
      <c r="Q11" s="40">
        <v>28.03</v>
      </c>
      <c r="R11" s="38"/>
      <c r="S11" s="38"/>
      <c r="T11" s="38"/>
      <c r="U11" s="38"/>
    </row>
    <row r="12" spans="1:21" customFormat="1">
      <c r="A12" s="39" t="s">
        <v>231</v>
      </c>
      <c r="B12" s="40">
        <v>8.9</v>
      </c>
      <c r="C12" s="40">
        <v>47.81</v>
      </c>
      <c r="D12" s="40">
        <v>32.090000000000003</v>
      </c>
      <c r="E12" s="40">
        <v>1.58</v>
      </c>
      <c r="F12" s="24" t="s">
        <v>14</v>
      </c>
      <c r="G12" s="40">
        <v>41.36</v>
      </c>
      <c r="H12" s="40">
        <v>14.26</v>
      </c>
      <c r="I12" s="40">
        <v>9.2799999999999994</v>
      </c>
      <c r="J12" s="40">
        <v>1.98</v>
      </c>
      <c r="K12" s="40">
        <v>259.41000000000003</v>
      </c>
      <c r="L12" s="40">
        <v>27.39</v>
      </c>
      <c r="M12" s="40">
        <v>56.47</v>
      </c>
      <c r="N12" s="40">
        <v>23.3</v>
      </c>
      <c r="O12" s="40">
        <v>0</v>
      </c>
      <c r="P12" s="40">
        <v>0.49</v>
      </c>
      <c r="Q12" s="40">
        <v>27.61</v>
      </c>
      <c r="R12" s="38"/>
      <c r="S12" s="38"/>
      <c r="T12" s="38"/>
      <c r="U12" s="38"/>
    </row>
    <row r="13" spans="1:21" customFormat="1">
      <c r="A13" s="39" t="s">
        <v>232</v>
      </c>
      <c r="B13" s="40">
        <v>10.31</v>
      </c>
      <c r="C13" s="40">
        <v>46.19</v>
      </c>
      <c r="D13" s="40">
        <v>32.47</v>
      </c>
      <c r="E13" s="40">
        <v>1.74</v>
      </c>
      <c r="F13" s="24" t="s">
        <v>14</v>
      </c>
      <c r="G13" s="40">
        <v>39.33</v>
      </c>
      <c r="H13" s="40">
        <v>15.61</v>
      </c>
      <c r="I13" s="40">
        <v>9.67</v>
      </c>
      <c r="J13" s="40">
        <v>2.2000000000000002</v>
      </c>
      <c r="K13" s="40">
        <v>252.59</v>
      </c>
      <c r="L13" s="40">
        <v>27.28</v>
      </c>
      <c r="M13" s="40">
        <v>55.34</v>
      </c>
      <c r="N13" s="40">
        <v>23.2</v>
      </c>
      <c r="O13" s="40">
        <v>0</v>
      </c>
      <c r="P13" s="40">
        <v>0.49</v>
      </c>
      <c r="Q13" s="40">
        <v>27.79</v>
      </c>
      <c r="R13" s="38"/>
      <c r="S13" s="38"/>
      <c r="T13" s="38"/>
      <c r="U13" s="38"/>
    </row>
    <row r="14" spans="1:21" customFormat="1">
      <c r="A14" s="39" t="s">
        <v>233</v>
      </c>
      <c r="B14" s="40">
        <v>11.02</v>
      </c>
      <c r="C14" s="40">
        <v>31.52</v>
      </c>
      <c r="D14" s="40">
        <v>25.98</v>
      </c>
      <c r="E14" s="40">
        <v>1.53</v>
      </c>
      <c r="F14" s="24" t="s">
        <v>14</v>
      </c>
      <c r="G14" s="40">
        <v>39.19</v>
      </c>
      <c r="H14" s="40">
        <v>14.64</v>
      </c>
      <c r="I14" s="40">
        <v>11.24</v>
      </c>
      <c r="J14" s="40">
        <v>1.1200000000000001</v>
      </c>
      <c r="K14" s="40">
        <v>319.72000000000003</v>
      </c>
      <c r="L14" s="40">
        <v>27.07</v>
      </c>
      <c r="M14" s="40">
        <v>54</v>
      </c>
      <c r="N14" s="40">
        <v>47.3</v>
      </c>
      <c r="O14" s="40">
        <v>0</v>
      </c>
      <c r="P14" s="40">
        <v>0.49</v>
      </c>
      <c r="Q14" s="40">
        <v>27.69</v>
      </c>
      <c r="R14" s="38"/>
      <c r="S14" s="38"/>
      <c r="T14" s="38"/>
      <c r="U14" s="38"/>
    </row>
    <row r="15" spans="1:21" customFormat="1">
      <c r="A15" s="39" t="s">
        <v>234</v>
      </c>
      <c r="B15" s="40">
        <v>13.23</v>
      </c>
      <c r="C15" s="40">
        <v>44.09</v>
      </c>
      <c r="D15" s="40">
        <v>34.26</v>
      </c>
      <c r="E15" s="40">
        <v>1.43</v>
      </c>
      <c r="F15" s="24" t="s">
        <v>14</v>
      </c>
      <c r="G15" s="40">
        <v>42.73</v>
      </c>
      <c r="H15" s="40">
        <v>16.29</v>
      </c>
      <c r="I15" s="40">
        <v>11.19</v>
      </c>
      <c r="J15" s="40">
        <v>1.34</v>
      </c>
      <c r="K15" s="40">
        <v>94.1</v>
      </c>
      <c r="L15" s="40">
        <v>28.55</v>
      </c>
      <c r="M15" s="40">
        <v>55.44</v>
      </c>
      <c r="N15" s="40">
        <v>125.3</v>
      </c>
      <c r="O15" s="40">
        <v>0</v>
      </c>
      <c r="P15" s="40">
        <v>0.48</v>
      </c>
      <c r="Q15" s="40">
        <v>27.42</v>
      </c>
      <c r="R15" s="38"/>
      <c r="S15" s="38"/>
      <c r="T15" s="38"/>
      <c r="U15" s="38"/>
    </row>
    <row r="16" spans="1:21" customFormat="1">
      <c r="A16" s="39" t="s">
        <v>235</v>
      </c>
      <c r="B16" s="40">
        <v>15.15</v>
      </c>
      <c r="C16" s="40">
        <v>42.46</v>
      </c>
      <c r="D16" s="40">
        <v>34.44</v>
      </c>
      <c r="E16" s="40">
        <v>2.5499999999999998</v>
      </c>
      <c r="F16" s="24" t="s">
        <v>14</v>
      </c>
      <c r="G16" s="40">
        <v>61.07</v>
      </c>
      <c r="H16" s="40">
        <v>23.1</v>
      </c>
      <c r="I16" s="40">
        <v>11.25</v>
      </c>
      <c r="J16" s="40">
        <v>0.91</v>
      </c>
      <c r="K16" s="40">
        <v>150.09</v>
      </c>
      <c r="L16" s="40">
        <v>30.78</v>
      </c>
      <c r="M16" s="40">
        <v>48.72</v>
      </c>
      <c r="N16" s="40">
        <v>215.5</v>
      </c>
      <c r="O16" s="40">
        <v>0</v>
      </c>
      <c r="P16" s="40">
        <v>0.55000000000000004</v>
      </c>
      <c r="Q16" s="40">
        <v>27.06</v>
      </c>
      <c r="R16" s="38"/>
      <c r="S16" s="38"/>
      <c r="T16" s="38"/>
      <c r="U16" s="38"/>
    </row>
    <row r="17" spans="1:21" customFormat="1">
      <c r="A17" s="39" t="s">
        <v>236</v>
      </c>
      <c r="B17" s="40">
        <v>15.07</v>
      </c>
      <c r="C17" s="40">
        <v>31.64</v>
      </c>
      <c r="D17" s="40">
        <v>28.71</v>
      </c>
      <c r="E17" s="40">
        <v>2.2599999999999998</v>
      </c>
      <c r="F17" s="24" t="s">
        <v>14</v>
      </c>
      <c r="G17" s="40">
        <v>84.16</v>
      </c>
      <c r="H17" s="40">
        <v>28.5</v>
      </c>
      <c r="I17" s="40">
        <v>11.8</v>
      </c>
      <c r="J17" s="40">
        <v>1.76</v>
      </c>
      <c r="K17" s="40">
        <v>240.78</v>
      </c>
      <c r="L17" s="40">
        <v>32.22</v>
      </c>
      <c r="M17" s="40">
        <v>39.729999999999997</v>
      </c>
      <c r="N17" s="40">
        <v>401</v>
      </c>
      <c r="O17" s="40">
        <v>0</v>
      </c>
      <c r="P17" s="40">
        <v>0.6</v>
      </c>
      <c r="Q17" s="40">
        <v>27.31</v>
      </c>
      <c r="R17" s="38"/>
      <c r="S17" s="38"/>
      <c r="T17" s="38"/>
      <c r="U17" s="38"/>
    </row>
    <row r="18" spans="1:21" customFormat="1">
      <c r="A18" s="39" t="s">
        <v>237</v>
      </c>
      <c r="B18" s="40">
        <v>13.63</v>
      </c>
      <c r="C18" s="40">
        <v>35.54</v>
      </c>
      <c r="D18" s="40">
        <v>28.74</v>
      </c>
      <c r="E18" s="40">
        <v>2.85</v>
      </c>
      <c r="F18" s="24" t="s">
        <v>14</v>
      </c>
      <c r="G18" s="40">
        <v>92.51</v>
      </c>
      <c r="H18" s="40">
        <v>29.08</v>
      </c>
      <c r="I18" s="40">
        <v>12.01</v>
      </c>
      <c r="J18" s="40">
        <v>1.29</v>
      </c>
      <c r="K18" s="40">
        <v>213.11</v>
      </c>
      <c r="L18" s="40">
        <v>33.06</v>
      </c>
      <c r="M18" s="40">
        <v>39.97</v>
      </c>
      <c r="N18" s="40">
        <v>805.3</v>
      </c>
      <c r="O18" s="40">
        <v>0</v>
      </c>
      <c r="P18" s="40">
        <v>0.6</v>
      </c>
      <c r="Q18" s="40">
        <v>27.4</v>
      </c>
      <c r="R18" s="38"/>
      <c r="S18" s="38"/>
      <c r="T18" s="38"/>
      <c r="U18" s="38"/>
    </row>
    <row r="19" spans="1:21" customFormat="1">
      <c r="A19" s="39" t="s">
        <v>238</v>
      </c>
      <c r="B19" s="40">
        <v>11.03</v>
      </c>
      <c r="C19" s="40">
        <v>36.72</v>
      </c>
      <c r="D19" s="40">
        <v>28.05</v>
      </c>
      <c r="E19" s="40">
        <v>2.54</v>
      </c>
      <c r="F19" s="40">
        <v>12.92</v>
      </c>
      <c r="G19" s="40">
        <v>77.17</v>
      </c>
      <c r="H19" s="40">
        <v>29.48</v>
      </c>
      <c r="I19" s="40">
        <v>12.02</v>
      </c>
      <c r="J19" s="40">
        <v>1.07</v>
      </c>
      <c r="K19" s="40">
        <v>340.7</v>
      </c>
      <c r="L19" s="40">
        <v>35.020000000000003</v>
      </c>
      <c r="M19" s="40">
        <v>31.41</v>
      </c>
      <c r="N19" s="40">
        <v>781.9</v>
      </c>
      <c r="O19" s="40">
        <v>0</v>
      </c>
      <c r="P19" s="40">
        <v>0.64</v>
      </c>
      <c r="Q19" s="40">
        <v>27.66</v>
      </c>
      <c r="R19" s="38"/>
      <c r="S19" s="38"/>
      <c r="T19" s="38"/>
      <c r="U19" s="38"/>
    </row>
    <row r="20" spans="1:21" customFormat="1">
      <c r="A20" s="39" t="s">
        <v>239</v>
      </c>
      <c r="B20" s="40">
        <v>6.32</v>
      </c>
      <c r="C20" s="40">
        <v>38.549999999999997</v>
      </c>
      <c r="D20" s="40">
        <v>25.88</v>
      </c>
      <c r="E20" s="40">
        <v>5.51</v>
      </c>
      <c r="F20" s="40">
        <v>33.75</v>
      </c>
      <c r="G20" s="10" t="s">
        <v>12</v>
      </c>
      <c r="H20" s="10" t="s">
        <v>12</v>
      </c>
      <c r="I20" s="40">
        <v>12.66</v>
      </c>
      <c r="J20" s="40">
        <v>2.37</v>
      </c>
      <c r="K20" s="40">
        <v>285.8</v>
      </c>
      <c r="L20" s="40">
        <v>36.76</v>
      </c>
      <c r="M20" s="40">
        <v>29.4</v>
      </c>
      <c r="N20" s="40">
        <v>950.5</v>
      </c>
      <c r="O20" s="40">
        <v>0</v>
      </c>
      <c r="P20" s="40">
        <v>0.66</v>
      </c>
      <c r="Q20" s="40">
        <v>28.26</v>
      </c>
      <c r="R20" s="38"/>
      <c r="S20" s="38"/>
      <c r="T20" s="38"/>
      <c r="U20" s="38"/>
    </row>
    <row r="21" spans="1:21" customFormat="1">
      <c r="A21" s="39" t="s">
        <v>240</v>
      </c>
      <c r="B21" s="40">
        <v>1.59</v>
      </c>
      <c r="C21" s="40">
        <v>27.08</v>
      </c>
      <c r="D21" s="40">
        <v>15.06</v>
      </c>
      <c r="E21" s="40">
        <v>2.99</v>
      </c>
      <c r="F21" s="40">
        <v>40.25</v>
      </c>
      <c r="G21" s="10" t="s">
        <v>12</v>
      </c>
      <c r="H21" s="10" t="s">
        <v>12</v>
      </c>
      <c r="I21" s="40">
        <v>15.76</v>
      </c>
      <c r="J21" s="40">
        <v>3.12</v>
      </c>
      <c r="K21" s="40">
        <v>235.78</v>
      </c>
      <c r="L21" s="40">
        <v>37.94</v>
      </c>
      <c r="M21" s="40">
        <v>27.72</v>
      </c>
      <c r="N21" s="40">
        <v>916.3</v>
      </c>
      <c r="O21" s="40">
        <v>0</v>
      </c>
      <c r="P21" s="40">
        <v>0.68</v>
      </c>
      <c r="Q21" s="40">
        <v>28.48</v>
      </c>
      <c r="R21" s="38"/>
      <c r="S21" s="38"/>
      <c r="T21" s="38"/>
      <c r="U21" s="38"/>
    </row>
    <row r="22" spans="1:21" customFormat="1">
      <c r="A22" s="39" t="s">
        <v>241</v>
      </c>
      <c r="B22" s="40">
        <v>1.47</v>
      </c>
      <c r="C22" s="40">
        <v>24.84</v>
      </c>
      <c r="D22" s="40">
        <v>14.15</v>
      </c>
      <c r="E22" s="40">
        <v>3.97</v>
      </c>
      <c r="F22" s="40">
        <v>33.97</v>
      </c>
      <c r="G22" s="10" t="s">
        <v>12</v>
      </c>
      <c r="H22" s="10" t="s">
        <v>12</v>
      </c>
      <c r="I22" s="40">
        <v>17.38</v>
      </c>
      <c r="J22" s="40">
        <v>2.44</v>
      </c>
      <c r="K22" s="40">
        <v>249.87</v>
      </c>
      <c r="L22" s="40">
        <v>39.22</v>
      </c>
      <c r="M22" s="40">
        <v>24.89</v>
      </c>
      <c r="N22" s="40">
        <v>887.9</v>
      </c>
      <c r="O22" s="40">
        <v>0</v>
      </c>
      <c r="P22" s="40">
        <v>0.63</v>
      </c>
      <c r="Q22" s="40">
        <v>28.51</v>
      </c>
      <c r="R22" s="38"/>
      <c r="S22" s="38"/>
      <c r="T22" s="38"/>
      <c r="U22" s="38"/>
    </row>
    <row r="23" spans="1:21" customFormat="1">
      <c r="A23" s="39" t="s">
        <v>242</v>
      </c>
      <c r="B23" s="40">
        <v>1.03</v>
      </c>
      <c r="C23" s="40">
        <v>27.14</v>
      </c>
      <c r="D23" s="40">
        <v>14.89</v>
      </c>
      <c r="E23" s="40">
        <v>8.2100000000000009</v>
      </c>
      <c r="F23" s="40">
        <v>20.079999999999998</v>
      </c>
      <c r="G23" s="40">
        <v>35.15</v>
      </c>
      <c r="H23" s="40">
        <v>1.25</v>
      </c>
      <c r="I23" s="40">
        <v>14.45</v>
      </c>
      <c r="J23" s="40">
        <v>2.11</v>
      </c>
      <c r="K23" s="40">
        <v>241.04</v>
      </c>
      <c r="L23" s="40">
        <v>39.5</v>
      </c>
      <c r="M23" s="40">
        <v>21.87</v>
      </c>
      <c r="N23" s="40">
        <v>761</v>
      </c>
      <c r="O23" s="40">
        <v>0</v>
      </c>
      <c r="P23" s="40">
        <v>0.55000000000000004</v>
      </c>
      <c r="Q23" s="40">
        <v>28.6</v>
      </c>
      <c r="R23" s="38"/>
      <c r="S23" s="38"/>
      <c r="T23" s="38"/>
      <c r="U23" s="38"/>
    </row>
    <row r="24" spans="1:21" customFormat="1">
      <c r="A24" s="39" t="s">
        <v>243</v>
      </c>
      <c r="B24" s="40">
        <v>2.5499999999999998</v>
      </c>
      <c r="C24" s="40">
        <v>22.6</v>
      </c>
      <c r="D24" s="40">
        <v>12.92</v>
      </c>
      <c r="E24" s="40">
        <v>7.46</v>
      </c>
      <c r="F24" s="40">
        <v>20.97</v>
      </c>
      <c r="G24" s="40">
        <v>35.15</v>
      </c>
      <c r="H24" s="40">
        <v>2.5099999999999998</v>
      </c>
      <c r="I24" s="40">
        <v>12.97</v>
      </c>
      <c r="J24" s="40">
        <v>1.73</v>
      </c>
      <c r="K24" s="40">
        <v>290.36</v>
      </c>
      <c r="L24" s="40">
        <v>39.51</v>
      </c>
      <c r="M24" s="40">
        <v>20.89</v>
      </c>
      <c r="N24" s="40">
        <v>578.6</v>
      </c>
      <c r="O24" s="40">
        <v>0</v>
      </c>
      <c r="P24" s="40">
        <v>0.54</v>
      </c>
      <c r="Q24" s="40">
        <v>28.72</v>
      </c>
      <c r="R24" s="38"/>
      <c r="S24" s="38"/>
      <c r="T24" s="38"/>
      <c r="U24" s="38"/>
    </row>
    <row r="25" spans="1:21" customFormat="1">
      <c r="A25" s="39" t="s">
        <v>244</v>
      </c>
      <c r="B25" s="40">
        <v>1.53</v>
      </c>
      <c r="C25" s="40">
        <v>25.23</v>
      </c>
      <c r="D25" s="40">
        <v>14.27</v>
      </c>
      <c r="E25" s="40">
        <v>7.37</v>
      </c>
      <c r="F25" s="40">
        <v>10.95</v>
      </c>
      <c r="G25" s="40">
        <v>34.68</v>
      </c>
      <c r="H25" s="40">
        <v>4.75</v>
      </c>
      <c r="I25" s="40">
        <v>12.46</v>
      </c>
      <c r="J25" s="40">
        <v>2.66</v>
      </c>
      <c r="K25" s="40">
        <v>241.99</v>
      </c>
      <c r="L25" s="40">
        <v>38.840000000000003</v>
      </c>
      <c r="M25" s="40">
        <v>18.82</v>
      </c>
      <c r="N25" s="40">
        <v>365.8</v>
      </c>
      <c r="O25" s="40">
        <v>0</v>
      </c>
      <c r="P25" s="40">
        <v>0.55000000000000004</v>
      </c>
      <c r="Q25" s="40">
        <v>28.8</v>
      </c>
      <c r="R25" s="38"/>
      <c r="S25" s="38"/>
      <c r="T25" s="38"/>
      <c r="U25" s="38"/>
    </row>
    <row r="26" spans="1:21" customFormat="1">
      <c r="A26" s="39" t="s">
        <v>245</v>
      </c>
      <c r="B26" s="40">
        <v>2.02</v>
      </c>
      <c r="C26" s="40">
        <v>30.89</v>
      </c>
      <c r="D26" s="40">
        <v>17.760000000000002</v>
      </c>
      <c r="E26" s="40">
        <v>4.25</v>
      </c>
      <c r="F26" s="40">
        <v>36.81</v>
      </c>
      <c r="G26" s="40">
        <v>35.24</v>
      </c>
      <c r="H26" s="40">
        <v>10.47</v>
      </c>
      <c r="I26" s="40">
        <v>12.26</v>
      </c>
      <c r="J26" s="40">
        <v>4.3</v>
      </c>
      <c r="K26" s="40">
        <v>252.5</v>
      </c>
      <c r="L26" s="40">
        <v>38.15</v>
      </c>
      <c r="M26" s="40">
        <v>25.89</v>
      </c>
      <c r="N26" s="40">
        <v>158.80000000000001</v>
      </c>
      <c r="O26" s="40">
        <v>0</v>
      </c>
      <c r="P26" s="40">
        <v>0.51</v>
      </c>
      <c r="Q26" s="40">
        <v>28.64</v>
      </c>
      <c r="R26" s="38"/>
      <c r="S26" s="38"/>
      <c r="T26" s="38"/>
      <c r="U26" s="38"/>
    </row>
    <row r="27" spans="1:21" customFormat="1">
      <c r="A27" s="39" t="s">
        <v>246</v>
      </c>
      <c r="B27" s="40">
        <v>3.22</v>
      </c>
      <c r="C27" s="40">
        <v>32.619999999999997</v>
      </c>
      <c r="D27" s="40">
        <v>19.62</v>
      </c>
      <c r="E27" s="40">
        <v>4.0599999999999996</v>
      </c>
      <c r="F27" s="40">
        <v>33.229999999999997</v>
      </c>
      <c r="G27" s="40">
        <v>35.24</v>
      </c>
      <c r="H27" s="40">
        <v>10.47</v>
      </c>
      <c r="I27" s="40">
        <v>10.98</v>
      </c>
      <c r="J27" s="40">
        <v>3.95</v>
      </c>
      <c r="K27" s="40">
        <v>133.69</v>
      </c>
      <c r="L27" s="40">
        <v>35.200000000000003</v>
      </c>
      <c r="M27" s="40">
        <v>29.86</v>
      </c>
      <c r="N27" s="40">
        <v>33.6</v>
      </c>
      <c r="O27" s="40">
        <v>0</v>
      </c>
      <c r="P27" s="40">
        <v>0.69</v>
      </c>
      <c r="Q27" s="40">
        <v>28.51</v>
      </c>
      <c r="R27" s="38"/>
      <c r="S27" s="38"/>
      <c r="T27" s="38"/>
      <c r="U27" s="38"/>
    </row>
    <row r="28" spans="1:21" customFormat="1">
      <c r="A28" s="39" t="s">
        <v>247</v>
      </c>
      <c r="B28" s="40">
        <v>2.2000000000000002</v>
      </c>
      <c r="C28" s="40">
        <v>30.95</v>
      </c>
      <c r="D28" s="40">
        <v>17.91</v>
      </c>
      <c r="E28" s="40">
        <v>4.1500000000000004</v>
      </c>
      <c r="F28" s="40">
        <v>31.16</v>
      </c>
      <c r="G28" s="40">
        <v>32.93</v>
      </c>
      <c r="H28" s="40">
        <v>13.24</v>
      </c>
      <c r="I28" s="40">
        <v>13.6</v>
      </c>
      <c r="J28" s="40">
        <v>5.07</v>
      </c>
      <c r="K28" s="40">
        <v>149.46</v>
      </c>
      <c r="L28" s="40">
        <v>33.799999999999997</v>
      </c>
      <c r="M28" s="40">
        <v>31.62</v>
      </c>
      <c r="N28" s="40">
        <v>22.6</v>
      </c>
      <c r="O28" s="40">
        <v>0</v>
      </c>
      <c r="P28" s="40">
        <v>0.52</v>
      </c>
      <c r="Q28" s="40">
        <v>28.31</v>
      </c>
      <c r="R28" s="38"/>
      <c r="S28" s="38"/>
      <c r="T28" s="38"/>
      <c r="U28" s="38"/>
    </row>
    <row r="29" spans="1:21" customFormat="1">
      <c r="A29" s="39" t="s">
        <v>248</v>
      </c>
      <c r="B29" s="40">
        <v>8.43</v>
      </c>
      <c r="C29" s="40">
        <v>42.93</v>
      </c>
      <c r="D29" s="40">
        <v>29.19</v>
      </c>
      <c r="E29" s="40">
        <v>4.66</v>
      </c>
      <c r="F29" s="40">
        <v>12.66</v>
      </c>
      <c r="G29" s="40">
        <v>36.33</v>
      </c>
      <c r="H29" s="40">
        <v>14.81</v>
      </c>
      <c r="I29" s="40">
        <v>14.63</v>
      </c>
      <c r="J29" s="40">
        <v>3.85</v>
      </c>
      <c r="K29" s="40">
        <v>126.49</v>
      </c>
      <c r="L29" s="40">
        <v>33.53</v>
      </c>
      <c r="M29" s="40">
        <v>36.340000000000003</v>
      </c>
      <c r="N29" s="40">
        <v>22.8</v>
      </c>
      <c r="O29" s="40">
        <v>0</v>
      </c>
      <c r="P29" s="40">
        <v>1.06</v>
      </c>
      <c r="Q29" s="40">
        <v>27.65</v>
      </c>
      <c r="R29" s="38"/>
      <c r="S29" s="38"/>
      <c r="T29" s="38"/>
      <c r="U29" s="38"/>
    </row>
    <row r="30" spans="1:21" customFormat="1">
      <c r="A30" s="39" t="s">
        <v>249</v>
      </c>
      <c r="B30" s="40">
        <v>9.18</v>
      </c>
      <c r="C30" s="40">
        <v>40.81</v>
      </c>
      <c r="D30" s="40">
        <v>28.2</v>
      </c>
      <c r="E30" s="40">
        <v>4.05</v>
      </c>
      <c r="F30" s="40">
        <v>8.8000000000000007</v>
      </c>
      <c r="G30" s="40">
        <v>48</v>
      </c>
      <c r="H30" s="40">
        <v>24.96</v>
      </c>
      <c r="I30" s="40">
        <v>21.18</v>
      </c>
      <c r="J30" s="40">
        <v>3.44</v>
      </c>
      <c r="K30" s="40">
        <v>216.3</v>
      </c>
      <c r="L30" s="40">
        <v>32.96</v>
      </c>
      <c r="M30" s="40">
        <v>36.99</v>
      </c>
      <c r="N30" s="40">
        <v>22.8</v>
      </c>
      <c r="O30" s="40">
        <v>0</v>
      </c>
      <c r="P30" s="40">
        <v>1</v>
      </c>
      <c r="Q30" s="40">
        <v>26.97</v>
      </c>
      <c r="R30" s="38"/>
      <c r="S30" s="38"/>
      <c r="T30" s="38"/>
      <c r="U30" s="38"/>
    </row>
    <row r="31" spans="1:21" customFormat="1">
      <c r="A31" s="39" t="s">
        <v>250</v>
      </c>
      <c r="B31" s="40">
        <v>9.73</v>
      </c>
      <c r="C31" s="40">
        <v>35.15</v>
      </c>
      <c r="D31" s="40">
        <v>25.42</v>
      </c>
      <c r="E31" s="40">
        <v>3.5</v>
      </c>
      <c r="F31" s="40">
        <v>15.31</v>
      </c>
      <c r="G31" s="40">
        <v>59.23</v>
      </c>
      <c r="H31" s="40">
        <v>24.96</v>
      </c>
      <c r="I31" s="40">
        <v>20.67</v>
      </c>
      <c r="J31" s="40">
        <v>4.54</v>
      </c>
      <c r="K31" s="40">
        <v>28.85</v>
      </c>
      <c r="L31" s="40">
        <v>32.369999999999997</v>
      </c>
      <c r="M31" s="40">
        <v>51.34</v>
      </c>
      <c r="N31" s="40">
        <v>26.1</v>
      </c>
      <c r="O31" s="40">
        <v>0</v>
      </c>
      <c r="P31" s="40">
        <v>0.86</v>
      </c>
      <c r="Q31" s="40">
        <v>27.42</v>
      </c>
      <c r="R31" s="38"/>
      <c r="S31" s="38"/>
      <c r="T31" s="38"/>
      <c r="U31" s="38"/>
    </row>
    <row r="32" spans="1:21" customFormat="1">
      <c r="A32" s="39" t="s">
        <v>251</v>
      </c>
      <c r="B32" s="40">
        <v>6.11</v>
      </c>
      <c r="C32" s="40">
        <v>36.82</v>
      </c>
      <c r="D32" s="40">
        <v>23.87</v>
      </c>
      <c r="E32" s="40">
        <v>2.13</v>
      </c>
      <c r="F32" s="40">
        <v>7.76</v>
      </c>
      <c r="G32" s="40">
        <v>59.23</v>
      </c>
      <c r="H32" s="40">
        <v>24.39</v>
      </c>
      <c r="I32" s="40">
        <v>15.39</v>
      </c>
      <c r="J32" s="40">
        <v>4.32</v>
      </c>
      <c r="K32" s="40">
        <v>142.96</v>
      </c>
      <c r="L32" s="40">
        <v>28.84</v>
      </c>
      <c r="M32" s="40">
        <v>52.62</v>
      </c>
      <c r="N32" s="40">
        <v>23.5</v>
      </c>
      <c r="O32" s="40">
        <v>0</v>
      </c>
      <c r="P32" s="40">
        <v>0.7</v>
      </c>
      <c r="Q32" s="40">
        <v>27.5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1.03</v>
      </c>
      <c r="C34" s="18">
        <f t="shared" si="0"/>
        <v>22.6</v>
      </c>
      <c r="D34" s="18">
        <f t="shared" si="0"/>
        <v>12.92</v>
      </c>
      <c r="E34" s="18">
        <f t="shared" si="0"/>
        <v>1.43</v>
      </c>
      <c r="F34" s="18">
        <f t="shared" si="0"/>
        <v>7.76</v>
      </c>
      <c r="G34" s="18">
        <f t="shared" si="0"/>
        <v>32.93</v>
      </c>
      <c r="H34" s="18">
        <f t="shared" si="0"/>
        <v>1.25</v>
      </c>
      <c r="I34" s="18">
        <f t="shared" si="0"/>
        <v>9.2799999999999994</v>
      </c>
      <c r="J34" s="18">
        <f t="shared" si="0"/>
        <v>0.91</v>
      </c>
      <c r="K34" s="18">
        <f t="shared" si="0"/>
        <v>28.85</v>
      </c>
      <c r="L34" s="18">
        <f t="shared" si="0"/>
        <v>27.07</v>
      </c>
      <c r="M34" s="18">
        <f t="shared" si="0"/>
        <v>18.82</v>
      </c>
      <c r="N34" s="18">
        <f t="shared" si="0"/>
        <v>22.6</v>
      </c>
      <c r="O34" s="18">
        <f t="shared" si="0"/>
        <v>0</v>
      </c>
      <c r="P34" s="18">
        <f t="shared" si="0"/>
        <v>0.48</v>
      </c>
      <c r="Q34" s="18">
        <f t="shared" si="0"/>
        <v>26.97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15.15</v>
      </c>
      <c r="C35" s="3">
        <f t="shared" si="1"/>
        <v>47.81</v>
      </c>
      <c r="D35" s="3">
        <f t="shared" si="1"/>
        <v>34.44</v>
      </c>
      <c r="E35" s="3">
        <f t="shared" si="1"/>
        <v>8.2100000000000009</v>
      </c>
      <c r="F35" s="3">
        <f t="shared" si="1"/>
        <v>40.25</v>
      </c>
      <c r="G35" s="3">
        <f t="shared" si="1"/>
        <v>92.51</v>
      </c>
      <c r="H35" s="3">
        <f t="shared" si="1"/>
        <v>29.48</v>
      </c>
      <c r="I35" s="3">
        <f t="shared" si="1"/>
        <v>21.18</v>
      </c>
      <c r="J35" s="3">
        <f t="shared" si="1"/>
        <v>5.07</v>
      </c>
      <c r="K35" s="3">
        <f t="shared" si="1"/>
        <v>340.7</v>
      </c>
      <c r="L35" s="3">
        <f t="shared" si="1"/>
        <v>39.51</v>
      </c>
      <c r="M35" s="3">
        <f t="shared" si="1"/>
        <v>56.47</v>
      </c>
      <c r="N35" s="3">
        <f t="shared" si="1"/>
        <v>950.5</v>
      </c>
      <c r="O35" s="3">
        <f t="shared" si="1"/>
        <v>0</v>
      </c>
      <c r="P35" s="3">
        <f t="shared" si="1"/>
        <v>1.06</v>
      </c>
      <c r="Q35" s="3">
        <f t="shared" si="1"/>
        <v>28.8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7.1350000000000016</v>
      </c>
      <c r="C36" s="18">
        <f t="shared" si="2"/>
        <v>34.707916666666669</v>
      </c>
      <c r="D36" s="18">
        <f t="shared" si="2"/>
        <v>23.794166666666666</v>
      </c>
      <c r="E36" s="18">
        <f t="shared" si="2"/>
        <v>3.4962499999999999</v>
      </c>
      <c r="F36" s="18">
        <f t="shared" si="2"/>
        <v>22.758571428571429</v>
      </c>
      <c r="G36" s="18">
        <f t="shared" si="2"/>
        <v>48.450476190476188</v>
      </c>
      <c r="H36" s="18">
        <f t="shared" si="2"/>
        <v>16.401904761904756</v>
      </c>
      <c r="I36" s="18">
        <f t="shared" si="2"/>
        <v>13.113749999999998</v>
      </c>
      <c r="J36" s="18">
        <f t="shared" si="2"/>
        <v>2.4812500000000002</v>
      </c>
      <c r="K36" s="18">
        <f t="shared" si="2"/>
        <v>213.4</v>
      </c>
      <c r="L36" s="18">
        <f t="shared" si="2"/>
        <v>33.149583333333332</v>
      </c>
      <c r="M36" s="18">
        <f t="shared" si="2"/>
        <v>38.82083333333334</v>
      </c>
      <c r="N36" s="18">
        <f t="shared" si="2"/>
        <v>302.64166666666671</v>
      </c>
      <c r="O36" s="18">
        <f t="shared" si="2"/>
        <v>0</v>
      </c>
      <c r="P36" s="18">
        <f t="shared" si="2"/>
        <v>0.62124999999999997</v>
      </c>
      <c r="Q36" s="18">
        <f t="shared" si="2"/>
        <v>27.94875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4.6170591053839329</v>
      </c>
      <c r="C37" s="18">
        <f t="shared" ref="C37:Q37" si="3">STDEV(C9:C32)</f>
        <v>6.9507359505035753</v>
      </c>
      <c r="D37" s="18">
        <f t="shared" si="3"/>
        <v>6.7570831864352465</v>
      </c>
      <c r="E37" s="18">
        <f t="shared" si="3"/>
        <v>1.9845288839682711</v>
      </c>
      <c r="F37" s="18">
        <f t="shared" si="3"/>
        <v>11.615672341971601</v>
      </c>
      <c r="G37" s="18">
        <f t="shared" si="3"/>
        <v>17.427081647880858</v>
      </c>
      <c r="H37" s="18">
        <f t="shared" si="3"/>
        <v>8.3943448934670517</v>
      </c>
      <c r="I37" s="18">
        <f t="shared" si="3"/>
        <v>3.1198520205988647</v>
      </c>
      <c r="J37" s="18">
        <f t="shared" si="3"/>
        <v>1.2796069794038831</v>
      </c>
      <c r="K37" s="18">
        <f t="shared" si="3"/>
        <v>80.114415627303543</v>
      </c>
      <c r="L37" s="18">
        <f t="shared" si="3"/>
        <v>4.2617984356134206</v>
      </c>
      <c r="M37" s="18">
        <f t="shared" si="3"/>
        <v>12.481559586451692</v>
      </c>
      <c r="N37" s="18">
        <f t="shared" si="3"/>
        <v>354.95478697589272</v>
      </c>
      <c r="O37" s="18">
        <f t="shared" si="3"/>
        <v>0</v>
      </c>
      <c r="P37" s="18">
        <f t="shared" si="3"/>
        <v>0.15416852721164867</v>
      </c>
      <c r="Q37" s="18">
        <f t="shared" si="3"/>
        <v>0.55601307851368154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COUNT(F9:F32)+10</f>
        <v>24</v>
      </c>
      <c r="G38" s="34">
        <f>COUNT(G9:G32)+3</f>
        <v>24</v>
      </c>
      <c r="H38" s="34">
        <f>COUNT(H9:H32)+3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252</v>
      </c>
      <c r="B9" s="40">
        <v>5.44</v>
      </c>
      <c r="C9" s="40">
        <v>45.72</v>
      </c>
      <c r="D9" s="40">
        <v>28.25</v>
      </c>
      <c r="E9" s="40">
        <v>1.74</v>
      </c>
      <c r="F9" s="40">
        <v>5.67</v>
      </c>
      <c r="G9" s="40">
        <v>52.07</v>
      </c>
      <c r="H9" s="40">
        <v>24.24</v>
      </c>
      <c r="I9" s="40">
        <v>14.18</v>
      </c>
      <c r="J9" s="40">
        <v>2.02</v>
      </c>
      <c r="K9" s="40">
        <v>123.16</v>
      </c>
      <c r="L9" s="40">
        <v>28.42</v>
      </c>
      <c r="M9" s="40">
        <v>54.66</v>
      </c>
      <c r="N9" s="40">
        <v>22.8</v>
      </c>
      <c r="O9" s="40">
        <v>0</v>
      </c>
      <c r="P9" s="40">
        <v>0.64</v>
      </c>
      <c r="Q9" s="40">
        <v>27.7</v>
      </c>
      <c r="R9" s="38"/>
      <c r="S9" s="38"/>
      <c r="T9" s="38"/>
      <c r="U9" s="38"/>
    </row>
    <row r="10" spans="1:21" customFormat="1">
      <c r="A10" s="39" t="s">
        <v>253</v>
      </c>
      <c r="B10" s="40">
        <v>6.08</v>
      </c>
      <c r="C10" s="40">
        <v>38.020000000000003</v>
      </c>
      <c r="D10" s="40">
        <v>24.74</v>
      </c>
      <c r="E10" s="40">
        <v>2.15</v>
      </c>
      <c r="F10" s="40">
        <v>6.25</v>
      </c>
      <c r="G10" s="40">
        <v>51.43</v>
      </c>
      <c r="H10" s="40">
        <v>25.05</v>
      </c>
      <c r="I10" s="40">
        <v>13.13</v>
      </c>
      <c r="J10" s="40">
        <v>1.89</v>
      </c>
      <c r="K10" s="40">
        <v>89.24</v>
      </c>
      <c r="L10" s="40">
        <v>28.05</v>
      </c>
      <c r="M10" s="40">
        <v>54.28</v>
      </c>
      <c r="N10" s="40">
        <v>22.8</v>
      </c>
      <c r="O10" s="40">
        <v>0</v>
      </c>
      <c r="P10" s="40">
        <v>0.63</v>
      </c>
      <c r="Q10" s="40">
        <v>27.62</v>
      </c>
      <c r="R10" s="38"/>
      <c r="S10" s="38"/>
      <c r="T10" s="38"/>
      <c r="U10" s="38"/>
    </row>
    <row r="11" spans="1:21" customFormat="1">
      <c r="A11" s="39" t="s">
        <v>254</v>
      </c>
      <c r="B11" s="40">
        <v>8.27</v>
      </c>
      <c r="C11" s="40">
        <v>40.369999999999997</v>
      </c>
      <c r="D11" s="40">
        <v>26.94</v>
      </c>
      <c r="E11" s="40">
        <v>2.88</v>
      </c>
      <c r="F11" s="40">
        <v>3.17</v>
      </c>
      <c r="G11" s="40">
        <v>55.55</v>
      </c>
      <c r="H11" s="40">
        <v>26.03</v>
      </c>
      <c r="I11" s="40">
        <v>12.15</v>
      </c>
      <c r="J11" s="40">
        <v>5.22</v>
      </c>
      <c r="K11" s="40">
        <v>252.35</v>
      </c>
      <c r="L11" s="40">
        <v>28.23</v>
      </c>
      <c r="M11" s="40">
        <v>58.5</v>
      </c>
      <c r="N11" s="40">
        <v>24</v>
      </c>
      <c r="O11" s="40">
        <v>0</v>
      </c>
      <c r="P11" s="40">
        <v>0.6</v>
      </c>
      <c r="Q11" s="40">
        <v>27.23</v>
      </c>
      <c r="R11" s="38"/>
      <c r="S11" s="38"/>
      <c r="T11" s="38"/>
      <c r="U11" s="38"/>
    </row>
    <row r="12" spans="1:21" customFormat="1">
      <c r="A12" s="39" t="s">
        <v>255</v>
      </c>
      <c r="B12" s="40">
        <v>7.55</v>
      </c>
      <c r="C12" s="40">
        <v>42.93</v>
      </c>
      <c r="D12" s="40">
        <v>28.4</v>
      </c>
      <c r="E12" s="40">
        <v>2.72</v>
      </c>
      <c r="F12" s="40">
        <v>3.13</v>
      </c>
      <c r="G12" s="40">
        <v>55.55</v>
      </c>
      <c r="H12" s="40">
        <v>26.03</v>
      </c>
      <c r="I12" s="40">
        <v>12.07</v>
      </c>
      <c r="J12" s="40">
        <v>3.73</v>
      </c>
      <c r="K12" s="40">
        <v>209.84</v>
      </c>
      <c r="L12" s="40">
        <v>27.86</v>
      </c>
      <c r="M12" s="40">
        <v>52.04</v>
      </c>
      <c r="N12" s="40">
        <v>22.9</v>
      </c>
      <c r="O12" s="40">
        <v>0</v>
      </c>
      <c r="P12" s="40">
        <v>0.54</v>
      </c>
      <c r="Q12" s="40">
        <v>27.76</v>
      </c>
      <c r="R12" s="38"/>
      <c r="S12" s="38"/>
      <c r="T12" s="38"/>
      <c r="U12" s="38"/>
    </row>
    <row r="13" spans="1:21" customFormat="1">
      <c r="A13" s="39" t="s">
        <v>256</v>
      </c>
      <c r="B13" s="40">
        <v>7.22</v>
      </c>
      <c r="C13" s="40">
        <v>35.44</v>
      </c>
      <c r="D13" s="40">
        <v>24.31</v>
      </c>
      <c r="E13" s="40">
        <v>1.83</v>
      </c>
      <c r="F13" s="40">
        <v>5.04</v>
      </c>
      <c r="G13" s="40">
        <v>54.26</v>
      </c>
      <c r="H13" s="40">
        <v>23.51</v>
      </c>
      <c r="I13" s="40">
        <v>11.1</v>
      </c>
      <c r="J13" s="40">
        <v>2.84</v>
      </c>
      <c r="K13" s="40">
        <v>132.97</v>
      </c>
      <c r="L13" s="40">
        <v>27.51</v>
      </c>
      <c r="M13" s="40">
        <v>50.32</v>
      </c>
      <c r="N13" s="40">
        <v>23.2</v>
      </c>
      <c r="O13" s="40">
        <v>0</v>
      </c>
      <c r="P13" s="40">
        <v>0.5</v>
      </c>
      <c r="Q13" s="40">
        <v>27.9</v>
      </c>
      <c r="R13" s="38"/>
      <c r="S13" s="38"/>
      <c r="T13" s="38"/>
      <c r="U13" s="38"/>
    </row>
    <row r="14" spans="1:21" customFormat="1">
      <c r="A14" s="39" t="s">
        <v>257</v>
      </c>
      <c r="B14" s="40">
        <v>9.3000000000000007</v>
      </c>
      <c r="C14" s="40">
        <v>36.26</v>
      </c>
      <c r="D14" s="40">
        <v>26.06</v>
      </c>
      <c r="E14" s="40">
        <v>1.63</v>
      </c>
      <c r="F14" s="40">
        <v>3.72</v>
      </c>
      <c r="G14" s="40">
        <v>42.85</v>
      </c>
      <c r="H14" s="40">
        <v>19.13</v>
      </c>
      <c r="I14" s="40">
        <v>9.9700000000000006</v>
      </c>
      <c r="J14" s="40">
        <v>3.87</v>
      </c>
      <c r="K14" s="40">
        <v>246.85</v>
      </c>
      <c r="L14" s="40">
        <v>28.14</v>
      </c>
      <c r="M14" s="40">
        <v>49.89</v>
      </c>
      <c r="N14" s="40">
        <v>37.700000000000003</v>
      </c>
      <c r="O14" s="40">
        <v>0</v>
      </c>
      <c r="P14" s="40">
        <v>0.46</v>
      </c>
      <c r="Q14" s="40">
        <v>27.56</v>
      </c>
      <c r="R14" s="38"/>
      <c r="S14" s="38"/>
      <c r="T14" s="38"/>
      <c r="U14" s="38"/>
    </row>
    <row r="15" spans="1:21" customFormat="1">
      <c r="A15" s="39" t="s">
        <v>258</v>
      </c>
      <c r="B15" s="40">
        <v>10.83</v>
      </c>
      <c r="C15" s="40">
        <v>37.99</v>
      </c>
      <c r="D15" s="40">
        <v>28.06</v>
      </c>
      <c r="E15" s="40">
        <v>1.93</v>
      </c>
      <c r="F15" s="40">
        <v>2.69</v>
      </c>
      <c r="G15" s="40">
        <v>40.14</v>
      </c>
      <c r="H15" s="40">
        <v>16.37</v>
      </c>
      <c r="I15" s="40">
        <v>9.73</v>
      </c>
      <c r="J15" s="40">
        <v>4.34</v>
      </c>
      <c r="K15" s="40">
        <v>238.56</v>
      </c>
      <c r="L15" s="40">
        <v>27.59</v>
      </c>
      <c r="M15" s="40">
        <v>53.35</v>
      </c>
      <c r="N15" s="40">
        <v>80.8</v>
      </c>
      <c r="O15" s="40">
        <v>0</v>
      </c>
      <c r="P15" s="40">
        <v>0.42</v>
      </c>
      <c r="Q15" s="40">
        <v>27.47</v>
      </c>
      <c r="R15" s="38"/>
      <c r="S15" s="38"/>
      <c r="T15" s="38"/>
      <c r="U15" s="38"/>
    </row>
    <row r="16" spans="1:21" customFormat="1">
      <c r="A16" s="39" t="s">
        <v>259</v>
      </c>
      <c r="B16" s="40">
        <v>12.44</v>
      </c>
      <c r="C16" s="40">
        <v>35.840000000000003</v>
      </c>
      <c r="D16" s="40">
        <v>28.7</v>
      </c>
      <c r="E16" s="40">
        <v>1.34</v>
      </c>
      <c r="F16" s="40">
        <v>3.66</v>
      </c>
      <c r="G16" s="40">
        <v>40.35</v>
      </c>
      <c r="H16" s="40">
        <v>13.61</v>
      </c>
      <c r="I16" s="40">
        <v>9.8000000000000007</v>
      </c>
      <c r="J16" s="40">
        <v>2.89</v>
      </c>
      <c r="K16" s="40">
        <v>265.72000000000003</v>
      </c>
      <c r="L16" s="40">
        <v>28.39</v>
      </c>
      <c r="M16" s="40">
        <v>51.12</v>
      </c>
      <c r="N16" s="40">
        <v>210.3</v>
      </c>
      <c r="O16" s="40">
        <v>0</v>
      </c>
      <c r="P16" s="40">
        <v>0.46</v>
      </c>
      <c r="Q16" s="40">
        <v>27.57</v>
      </c>
      <c r="R16" s="38"/>
      <c r="S16" s="38"/>
      <c r="T16" s="38"/>
      <c r="U16" s="38"/>
    </row>
    <row r="17" spans="1:21" customFormat="1">
      <c r="A17" s="39" t="s">
        <v>260</v>
      </c>
      <c r="B17" s="40">
        <v>12.55</v>
      </c>
      <c r="C17" s="40">
        <v>35.58</v>
      </c>
      <c r="D17" s="40">
        <v>28.66</v>
      </c>
      <c r="E17" s="40">
        <v>1.37</v>
      </c>
      <c r="F17" s="40">
        <v>3.61</v>
      </c>
      <c r="G17" s="40">
        <v>52.55</v>
      </c>
      <c r="H17" s="40">
        <v>18.809999999999999</v>
      </c>
      <c r="I17" s="40">
        <v>10.11</v>
      </c>
      <c r="J17" s="40">
        <v>2.9</v>
      </c>
      <c r="K17" s="40">
        <v>343.35</v>
      </c>
      <c r="L17" s="40">
        <v>30.43</v>
      </c>
      <c r="M17" s="40">
        <v>45.72</v>
      </c>
      <c r="N17" s="40">
        <v>315.5</v>
      </c>
      <c r="O17" s="40">
        <v>0</v>
      </c>
      <c r="P17" s="40">
        <v>0.46</v>
      </c>
      <c r="Q17" s="40">
        <v>27.3</v>
      </c>
      <c r="R17" s="38"/>
      <c r="S17" s="38"/>
      <c r="T17" s="38"/>
      <c r="U17" s="38"/>
    </row>
    <row r="18" spans="1:21" customFormat="1">
      <c r="A18" s="39" t="s">
        <v>261</v>
      </c>
      <c r="B18" s="40">
        <v>11.86</v>
      </c>
      <c r="C18" s="40">
        <v>36.86</v>
      </c>
      <c r="D18" s="40">
        <v>27.81</v>
      </c>
      <c r="E18" s="40">
        <v>1.67</v>
      </c>
      <c r="F18" s="40">
        <v>4.4400000000000004</v>
      </c>
      <c r="G18" s="40">
        <v>53.99</v>
      </c>
      <c r="H18" s="40">
        <v>19.34</v>
      </c>
      <c r="I18" s="40">
        <v>10.32</v>
      </c>
      <c r="J18" s="40">
        <v>3.85</v>
      </c>
      <c r="K18" s="40">
        <v>269.27999999999997</v>
      </c>
      <c r="L18" s="40">
        <v>33.1</v>
      </c>
      <c r="M18" s="40">
        <v>38.57</v>
      </c>
      <c r="N18" s="40">
        <v>774.2</v>
      </c>
      <c r="O18" s="40">
        <v>0</v>
      </c>
      <c r="P18" s="40">
        <v>0.45</v>
      </c>
      <c r="Q18" s="40">
        <v>27.46</v>
      </c>
      <c r="R18" s="38"/>
      <c r="S18" s="38"/>
      <c r="T18" s="38"/>
      <c r="U18" s="38"/>
    </row>
    <row r="19" spans="1:21" customFormat="1">
      <c r="A19" s="39" t="s">
        <v>262</v>
      </c>
      <c r="B19" s="40">
        <v>10.47</v>
      </c>
      <c r="C19" s="40">
        <v>33.61</v>
      </c>
      <c r="D19" s="40">
        <v>25.85</v>
      </c>
      <c r="E19" s="40">
        <v>2.0099999999999998</v>
      </c>
      <c r="F19" s="40">
        <v>28.59</v>
      </c>
      <c r="G19" s="40">
        <v>53.99</v>
      </c>
      <c r="H19" s="40">
        <v>19.34</v>
      </c>
      <c r="I19" s="40">
        <v>10.55</v>
      </c>
      <c r="J19" s="40">
        <v>4.91</v>
      </c>
      <c r="K19" s="40">
        <v>237.52</v>
      </c>
      <c r="L19" s="40">
        <v>34.880000000000003</v>
      </c>
      <c r="M19" s="40">
        <v>29.91</v>
      </c>
      <c r="N19" s="40">
        <v>864.9</v>
      </c>
      <c r="O19" s="40">
        <v>0</v>
      </c>
      <c r="P19" s="40">
        <v>0.82</v>
      </c>
      <c r="Q19" s="40">
        <v>27.73</v>
      </c>
      <c r="R19" s="38"/>
      <c r="S19" s="38"/>
      <c r="T19" s="38"/>
      <c r="U19" s="38"/>
    </row>
    <row r="20" spans="1:21" customFormat="1">
      <c r="A20" s="39" t="s">
        <v>263</v>
      </c>
      <c r="B20" s="40">
        <v>1.69</v>
      </c>
      <c r="C20" s="40">
        <v>29.07</v>
      </c>
      <c r="D20" s="40">
        <v>16.54</v>
      </c>
      <c r="E20" s="40">
        <v>3.18</v>
      </c>
      <c r="F20" s="40">
        <v>37.159999999999997</v>
      </c>
      <c r="G20" s="40">
        <v>46.13</v>
      </c>
      <c r="H20" s="40">
        <v>18.170000000000002</v>
      </c>
      <c r="I20" s="40">
        <v>16.100000000000001</v>
      </c>
      <c r="J20" s="40">
        <v>4.88</v>
      </c>
      <c r="K20" s="40">
        <v>238.66</v>
      </c>
      <c r="L20" s="40">
        <v>35.840000000000003</v>
      </c>
      <c r="M20" s="40">
        <v>26.55</v>
      </c>
      <c r="N20" s="40">
        <v>893</v>
      </c>
      <c r="O20" s="40">
        <v>0</v>
      </c>
      <c r="P20" s="40">
        <v>0.88</v>
      </c>
      <c r="Q20" s="40">
        <v>28.25</v>
      </c>
      <c r="R20" s="38"/>
      <c r="S20" s="38"/>
      <c r="T20" s="38"/>
      <c r="U20" s="38"/>
    </row>
    <row r="21" spans="1:21" customFormat="1">
      <c r="A21" s="39" t="s">
        <v>264</v>
      </c>
      <c r="B21" s="40">
        <v>1.35</v>
      </c>
      <c r="C21" s="40">
        <v>26.37</v>
      </c>
      <c r="D21" s="40">
        <v>14.86</v>
      </c>
      <c r="E21" s="40">
        <v>13.96</v>
      </c>
      <c r="F21" s="40">
        <v>71.08</v>
      </c>
      <c r="G21" s="40">
        <v>46.55</v>
      </c>
      <c r="H21" s="40">
        <v>18.59</v>
      </c>
      <c r="I21" s="40">
        <v>18.89</v>
      </c>
      <c r="J21" s="40">
        <v>4.12</v>
      </c>
      <c r="K21" s="40">
        <v>256.64</v>
      </c>
      <c r="L21" s="40">
        <v>37.380000000000003</v>
      </c>
      <c r="M21" s="40">
        <v>25.58</v>
      </c>
      <c r="N21" s="40">
        <v>915.8</v>
      </c>
      <c r="O21" s="40">
        <v>0</v>
      </c>
      <c r="P21" s="40">
        <v>0.89</v>
      </c>
      <c r="Q21" s="40">
        <v>28.48</v>
      </c>
      <c r="R21" s="38"/>
      <c r="S21" s="38"/>
      <c r="T21" s="38"/>
      <c r="U21" s="38"/>
    </row>
    <row r="22" spans="1:21" customFormat="1">
      <c r="A22" s="39" t="s">
        <v>265</v>
      </c>
      <c r="B22" s="40">
        <v>1.61</v>
      </c>
      <c r="C22" s="40">
        <v>39.29</v>
      </c>
      <c r="D22" s="40">
        <v>21.39</v>
      </c>
      <c r="E22" s="40">
        <v>9.6300000000000008</v>
      </c>
      <c r="F22" s="40">
        <v>26.06</v>
      </c>
      <c r="G22" s="40">
        <v>48.66</v>
      </c>
      <c r="H22" s="40">
        <v>18.66</v>
      </c>
      <c r="I22" s="40">
        <v>14.57</v>
      </c>
      <c r="J22" s="40">
        <v>4.12</v>
      </c>
      <c r="K22" s="40">
        <v>299.33999999999997</v>
      </c>
      <c r="L22" s="40">
        <v>38.54</v>
      </c>
      <c r="M22" s="40">
        <v>21.96</v>
      </c>
      <c r="N22" s="40">
        <v>877.7</v>
      </c>
      <c r="O22" s="40">
        <v>0</v>
      </c>
      <c r="P22" s="40">
        <v>0.76</v>
      </c>
      <c r="Q22" s="40">
        <v>28.24</v>
      </c>
      <c r="R22" s="38"/>
      <c r="S22" s="38"/>
      <c r="T22" s="38"/>
      <c r="U22" s="38"/>
    </row>
    <row r="23" spans="1:21" customFormat="1">
      <c r="A23" s="39" t="s">
        <v>266</v>
      </c>
      <c r="B23" s="40">
        <v>1.86</v>
      </c>
      <c r="C23" s="40">
        <v>43.36</v>
      </c>
      <c r="D23" s="40">
        <v>23.81</v>
      </c>
      <c r="E23" s="40">
        <v>7.47</v>
      </c>
      <c r="F23" s="40">
        <v>17.440000000000001</v>
      </c>
      <c r="G23" s="40">
        <v>48.66</v>
      </c>
      <c r="H23" s="40">
        <v>18.66</v>
      </c>
      <c r="I23" s="40">
        <v>13.53</v>
      </c>
      <c r="J23" s="40">
        <v>5.15</v>
      </c>
      <c r="K23" s="40">
        <v>254.63</v>
      </c>
      <c r="L23" s="40">
        <v>39.44</v>
      </c>
      <c r="M23" s="40">
        <v>18.57</v>
      </c>
      <c r="N23" s="40">
        <v>761</v>
      </c>
      <c r="O23" s="40">
        <v>0</v>
      </c>
      <c r="P23" s="40">
        <v>0.7</v>
      </c>
      <c r="Q23" s="40">
        <v>27.77</v>
      </c>
      <c r="R23" s="38"/>
      <c r="S23" s="38"/>
      <c r="T23" s="38"/>
      <c r="U23" s="38"/>
    </row>
    <row r="24" spans="1:21" customFormat="1">
      <c r="A24" s="39" t="s">
        <v>267</v>
      </c>
      <c r="B24" s="40">
        <v>1.72</v>
      </c>
      <c r="C24" s="40">
        <v>41.22</v>
      </c>
      <c r="D24" s="40">
        <v>22.79</v>
      </c>
      <c r="E24" s="40">
        <v>8.1</v>
      </c>
      <c r="F24" s="40">
        <v>15.17</v>
      </c>
      <c r="G24" s="40">
        <v>46.76</v>
      </c>
      <c r="H24" s="40">
        <v>18.22</v>
      </c>
      <c r="I24" s="40">
        <v>12.7</v>
      </c>
      <c r="J24" s="40">
        <v>4.97</v>
      </c>
      <c r="K24" s="40">
        <v>250.43</v>
      </c>
      <c r="L24" s="40">
        <v>40.06</v>
      </c>
      <c r="M24" s="40">
        <v>16.84</v>
      </c>
      <c r="N24" s="40">
        <v>602</v>
      </c>
      <c r="O24" s="40">
        <v>0</v>
      </c>
      <c r="P24" s="40">
        <v>0.63</v>
      </c>
      <c r="Q24" s="40">
        <v>28.12</v>
      </c>
      <c r="R24" s="38"/>
      <c r="S24" s="38"/>
      <c r="T24" s="38"/>
      <c r="U24" s="38"/>
    </row>
    <row r="25" spans="1:21" customFormat="1">
      <c r="A25" s="39" t="s">
        <v>268</v>
      </c>
      <c r="B25" s="40">
        <v>1.87</v>
      </c>
      <c r="C25" s="40">
        <v>36.11</v>
      </c>
      <c r="D25" s="40">
        <v>20.29</v>
      </c>
      <c r="E25" s="40">
        <v>8.6199999999999992</v>
      </c>
      <c r="F25" s="40">
        <v>23.34</v>
      </c>
      <c r="G25" s="40">
        <v>40.75</v>
      </c>
      <c r="H25" s="40">
        <v>18.22</v>
      </c>
      <c r="I25" s="40">
        <v>11.54</v>
      </c>
      <c r="J25" s="40">
        <v>4.25</v>
      </c>
      <c r="K25" s="40">
        <v>235.31</v>
      </c>
      <c r="L25" s="40">
        <v>40.04</v>
      </c>
      <c r="M25" s="40">
        <v>18.86</v>
      </c>
      <c r="N25" s="40">
        <v>387.6</v>
      </c>
      <c r="O25" s="40">
        <v>0</v>
      </c>
      <c r="P25" s="40">
        <v>0.53</v>
      </c>
      <c r="Q25" s="40">
        <v>28.19</v>
      </c>
      <c r="R25" s="38"/>
      <c r="S25" s="38"/>
      <c r="T25" s="38"/>
      <c r="U25" s="38"/>
    </row>
    <row r="26" spans="1:21" customFormat="1">
      <c r="A26" s="39" t="s">
        <v>269</v>
      </c>
      <c r="B26" s="40">
        <v>2.06</v>
      </c>
      <c r="C26" s="40">
        <v>34.75</v>
      </c>
      <c r="D26" s="40">
        <v>19.71</v>
      </c>
      <c r="E26" s="40">
        <v>2.75</v>
      </c>
      <c r="F26" s="40">
        <v>25.55</v>
      </c>
      <c r="G26" s="40">
        <v>41.92</v>
      </c>
      <c r="H26" s="40">
        <v>18.14</v>
      </c>
      <c r="I26" s="40">
        <v>11.21</v>
      </c>
      <c r="J26" s="40">
        <v>3.93</v>
      </c>
      <c r="K26" s="40">
        <v>221.05</v>
      </c>
      <c r="L26" s="40">
        <v>39.130000000000003</v>
      </c>
      <c r="M26" s="40">
        <v>22.61</v>
      </c>
      <c r="N26" s="40">
        <v>173.5</v>
      </c>
      <c r="O26" s="40">
        <v>0</v>
      </c>
      <c r="P26" s="40">
        <v>0.52</v>
      </c>
      <c r="Q26" s="40">
        <v>28.16</v>
      </c>
      <c r="R26" s="38"/>
      <c r="S26" s="38"/>
      <c r="T26" s="38"/>
      <c r="U26" s="38"/>
    </row>
    <row r="27" spans="1:21" customFormat="1">
      <c r="A27" s="39" t="s">
        <v>270</v>
      </c>
      <c r="B27" s="40">
        <v>2.61</v>
      </c>
      <c r="C27" s="40">
        <v>31.99</v>
      </c>
      <c r="D27" s="40">
        <v>18.48</v>
      </c>
      <c r="E27" s="40">
        <v>4.28</v>
      </c>
      <c r="F27" s="40">
        <v>27.27</v>
      </c>
      <c r="G27" s="40">
        <v>41.92</v>
      </c>
      <c r="H27" s="40">
        <v>18.14</v>
      </c>
      <c r="I27" s="40">
        <v>10.62</v>
      </c>
      <c r="J27" s="40">
        <v>3.55</v>
      </c>
      <c r="K27" s="40">
        <v>207.37</v>
      </c>
      <c r="L27" s="40">
        <v>37.32</v>
      </c>
      <c r="M27" s="40">
        <v>28.02</v>
      </c>
      <c r="N27" s="40">
        <v>37.200000000000003</v>
      </c>
      <c r="O27" s="40">
        <v>0</v>
      </c>
      <c r="P27" s="40">
        <v>0.51</v>
      </c>
      <c r="Q27" s="40">
        <v>28.21</v>
      </c>
      <c r="R27" s="38"/>
      <c r="S27" s="38"/>
      <c r="T27" s="38"/>
      <c r="U27" s="38"/>
    </row>
    <row r="28" spans="1:21" customFormat="1">
      <c r="A28" s="39" t="s">
        <v>271</v>
      </c>
      <c r="B28" s="40">
        <v>2.95</v>
      </c>
      <c r="C28" s="40">
        <v>31.21</v>
      </c>
      <c r="D28" s="40">
        <v>18.579999999999998</v>
      </c>
      <c r="E28" s="40">
        <v>4.5</v>
      </c>
      <c r="F28" s="40">
        <v>25.51</v>
      </c>
      <c r="G28" s="40">
        <v>36.72</v>
      </c>
      <c r="H28" s="40">
        <v>15.36</v>
      </c>
      <c r="I28" s="40">
        <v>9.43</v>
      </c>
      <c r="J28" s="40">
        <v>3.78</v>
      </c>
      <c r="K28" s="40">
        <v>150.61000000000001</v>
      </c>
      <c r="L28" s="40">
        <v>35.17</v>
      </c>
      <c r="M28" s="40">
        <v>31.26</v>
      </c>
      <c r="N28" s="40">
        <v>22.6</v>
      </c>
      <c r="O28" s="40">
        <v>0</v>
      </c>
      <c r="P28" s="40">
        <v>0.46</v>
      </c>
      <c r="Q28" s="40">
        <v>28.24</v>
      </c>
      <c r="R28" s="38"/>
      <c r="S28" s="38"/>
      <c r="T28" s="38"/>
      <c r="U28" s="38"/>
    </row>
    <row r="29" spans="1:21" customFormat="1">
      <c r="A29" s="39" t="s">
        <v>272</v>
      </c>
      <c r="B29" s="40">
        <v>4.66</v>
      </c>
      <c r="C29" s="40">
        <v>34.4</v>
      </c>
      <c r="D29" s="40">
        <v>21.71</v>
      </c>
      <c r="E29" s="40">
        <v>3.58</v>
      </c>
      <c r="F29" s="40">
        <v>20.38</v>
      </c>
      <c r="G29" s="40">
        <v>44.98</v>
      </c>
      <c r="H29" s="40">
        <v>21.77</v>
      </c>
      <c r="I29" s="40">
        <v>12.35</v>
      </c>
      <c r="J29" s="40">
        <v>3.49</v>
      </c>
      <c r="K29" s="40">
        <v>152.44</v>
      </c>
      <c r="L29" s="40">
        <v>33.57</v>
      </c>
      <c r="M29" s="40">
        <v>34.18</v>
      </c>
      <c r="N29" s="40">
        <v>22.6</v>
      </c>
      <c r="O29" s="40">
        <v>0</v>
      </c>
      <c r="P29" s="40">
        <v>0.57999999999999996</v>
      </c>
      <c r="Q29" s="40">
        <v>27.73</v>
      </c>
      <c r="R29" s="38"/>
      <c r="S29" s="38"/>
      <c r="T29" s="38"/>
      <c r="U29" s="38"/>
    </row>
    <row r="30" spans="1:21" customFormat="1">
      <c r="A30" s="39" t="s">
        <v>273</v>
      </c>
      <c r="B30" s="40">
        <v>6.4</v>
      </c>
      <c r="C30" s="40">
        <v>33.4</v>
      </c>
      <c r="D30" s="40">
        <v>22.59</v>
      </c>
      <c r="E30" s="40">
        <v>3.04</v>
      </c>
      <c r="F30" s="40">
        <v>18.149999999999999</v>
      </c>
      <c r="G30" s="40">
        <v>47.77</v>
      </c>
      <c r="H30" s="40">
        <v>22.67</v>
      </c>
      <c r="I30" s="40">
        <v>12.32</v>
      </c>
      <c r="J30" s="40">
        <v>3.6</v>
      </c>
      <c r="K30" s="40">
        <v>187.89</v>
      </c>
      <c r="L30" s="40">
        <v>32.979999999999997</v>
      </c>
      <c r="M30" s="40">
        <v>38.33</v>
      </c>
      <c r="N30" s="40">
        <v>22.8</v>
      </c>
      <c r="O30" s="40">
        <v>0</v>
      </c>
      <c r="P30" s="40">
        <v>0.54</v>
      </c>
      <c r="Q30" s="40">
        <v>27.85</v>
      </c>
      <c r="R30" s="38"/>
      <c r="S30" s="38"/>
      <c r="T30" s="38"/>
      <c r="U30" s="38"/>
    </row>
    <row r="31" spans="1:21" customFormat="1">
      <c r="A31" s="39" t="s">
        <v>274</v>
      </c>
      <c r="B31" s="40">
        <v>6.89</v>
      </c>
      <c r="C31" s="40">
        <v>31.88</v>
      </c>
      <c r="D31" s="40">
        <v>21.66</v>
      </c>
      <c r="E31" s="40">
        <v>2.39</v>
      </c>
      <c r="F31" s="40">
        <v>10.89</v>
      </c>
      <c r="G31" s="40">
        <v>50.4</v>
      </c>
      <c r="H31" s="40">
        <v>22.67</v>
      </c>
      <c r="I31" s="40">
        <v>11.04</v>
      </c>
      <c r="J31" s="40">
        <v>4.09</v>
      </c>
      <c r="K31" s="40">
        <v>178.56</v>
      </c>
      <c r="L31" s="40">
        <v>32.29</v>
      </c>
      <c r="M31" s="40">
        <v>39.450000000000003</v>
      </c>
      <c r="N31" s="40">
        <v>22.5</v>
      </c>
      <c r="O31" s="40">
        <v>0</v>
      </c>
      <c r="P31" s="40">
        <v>0.5</v>
      </c>
      <c r="Q31" s="40">
        <v>27.89</v>
      </c>
      <c r="R31" s="38"/>
      <c r="S31" s="38"/>
      <c r="T31" s="38"/>
      <c r="U31" s="38"/>
    </row>
    <row r="32" spans="1:21" customFormat="1">
      <c r="A32" s="39" t="s">
        <v>275</v>
      </c>
      <c r="B32" s="40">
        <v>7.42</v>
      </c>
      <c r="C32" s="40">
        <v>29.6</v>
      </c>
      <c r="D32" s="40">
        <v>21.32</v>
      </c>
      <c r="E32" s="40">
        <v>2.48</v>
      </c>
      <c r="F32" s="40">
        <v>8.99</v>
      </c>
      <c r="G32" s="40">
        <v>50.4</v>
      </c>
      <c r="H32" s="40">
        <v>20.55</v>
      </c>
      <c r="I32" s="40">
        <v>10.76</v>
      </c>
      <c r="J32" s="40">
        <v>3.37</v>
      </c>
      <c r="K32" s="40">
        <v>200.18</v>
      </c>
      <c r="L32" s="40">
        <v>31.5</v>
      </c>
      <c r="M32" s="40">
        <v>42.15</v>
      </c>
      <c r="N32" s="40">
        <v>22.8</v>
      </c>
      <c r="O32" s="40">
        <v>0</v>
      </c>
      <c r="P32" s="40">
        <v>0.53</v>
      </c>
      <c r="Q32" s="40">
        <v>27.92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1.35</v>
      </c>
      <c r="C34" s="18">
        <f t="shared" si="0"/>
        <v>26.37</v>
      </c>
      <c r="D34" s="18">
        <f t="shared" si="0"/>
        <v>14.86</v>
      </c>
      <c r="E34" s="18">
        <f t="shared" si="0"/>
        <v>1.34</v>
      </c>
      <c r="F34" s="18">
        <f t="shared" si="0"/>
        <v>2.69</v>
      </c>
      <c r="G34" s="18">
        <f t="shared" si="0"/>
        <v>36.72</v>
      </c>
      <c r="H34" s="18">
        <f t="shared" si="0"/>
        <v>13.61</v>
      </c>
      <c r="I34" s="18">
        <f t="shared" si="0"/>
        <v>9.43</v>
      </c>
      <c r="J34" s="18">
        <f t="shared" si="0"/>
        <v>1.89</v>
      </c>
      <c r="K34" s="18">
        <f t="shared" si="0"/>
        <v>89.24</v>
      </c>
      <c r="L34" s="18">
        <f t="shared" si="0"/>
        <v>27.51</v>
      </c>
      <c r="M34" s="18">
        <f t="shared" si="0"/>
        <v>16.84</v>
      </c>
      <c r="N34" s="18">
        <f t="shared" si="0"/>
        <v>22.5</v>
      </c>
      <c r="O34" s="18">
        <f t="shared" si="0"/>
        <v>0</v>
      </c>
      <c r="P34" s="18">
        <f t="shared" si="0"/>
        <v>0.42</v>
      </c>
      <c r="Q34" s="18">
        <f t="shared" si="0"/>
        <v>27.23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12.55</v>
      </c>
      <c r="C35" s="3">
        <f t="shared" si="1"/>
        <v>45.72</v>
      </c>
      <c r="D35" s="3">
        <f t="shared" si="1"/>
        <v>28.7</v>
      </c>
      <c r="E35" s="3">
        <f t="shared" si="1"/>
        <v>13.96</v>
      </c>
      <c r="F35" s="3">
        <f t="shared" si="1"/>
        <v>71.08</v>
      </c>
      <c r="G35" s="3">
        <f t="shared" si="1"/>
        <v>55.55</v>
      </c>
      <c r="H35" s="3">
        <f t="shared" si="1"/>
        <v>26.03</v>
      </c>
      <c r="I35" s="3">
        <f t="shared" si="1"/>
        <v>18.89</v>
      </c>
      <c r="J35" s="3">
        <f t="shared" si="1"/>
        <v>5.22</v>
      </c>
      <c r="K35" s="3">
        <f t="shared" si="1"/>
        <v>343.35</v>
      </c>
      <c r="L35" s="3">
        <f t="shared" si="1"/>
        <v>40.06</v>
      </c>
      <c r="M35" s="3">
        <f t="shared" si="1"/>
        <v>58.5</v>
      </c>
      <c r="N35" s="3">
        <f t="shared" si="1"/>
        <v>915.8</v>
      </c>
      <c r="O35" s="3">
        <f t="shared" si="1"/>
        <v>0</v>
      </c>
      <c r="P35" s="3">
        <f t="shared" si="1"/>
        <v>0.89</v>
      </c>
      <c r="Q35" s="3">
        <f t="shared" si="1"/>
        <v>28.48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6.0458333333333316</v>
      </c>
      <c r="C36" s="18">
        <f t="shared" si="2"/>
        <v>35.886250000000004</v>
      </c>
      <c r="D36" s="18">
        <f t="shared" si="2"/>
        <v>23.396249999999998</v>
      </c>
      <c r="E36" s="18">
        <f t="shared" si="2"/>
        <v>3.9687500000000004</v>
      </c>
      <c r="F36" s="18">
        <f t="shared" si="2"/>
        <v>16.539999999999996</v>
      </c>
      <c r="G36" s="18">
        <f t="shared" si="2"/>
        <v>47.681250000000006</v>
      </c>
      <c r="H36" s="18">
        <f t="shared" si="2"/>
        <v>20.053333333333338</v>
      </c>
      <c r="I36" s="18">
        <f t="shared" si="2"/>
        <v>12.007083333333334</v>
      </c>
      <c r="J36" s="18">
        <f t="shared" si="2"/>
        <v>3.8233333333333328</v>
      </c>
      <c r="K36" s="18">
        <f t="shared" si="2"/>
        <v>218.41458333333333</v>
      </c>
      <c r="L36" s="18">
        <f t="shared" si="2"/>
        <v>33.160833333333336</v>
      </c>
      <c r="M36" s="18">
        <f t="shared" si="2"/>
        <v>37.613333333333337</v>
      </c>
      <c r="N36" s="18">
        <f t="shared" si="2"/>
        <v>298.3416666666667</v>
      </c>
      <c r="O36" s="18">
        <f t="shared" si="2"/>
        <v>0</v>
      </c>
      <c r="P36" s="18">
        <f t="shared" si="2"/>
        <v>0.58374999999999999</v>
      </c>
      <c r="Q36" s="18">
        <f t="shared" si="2"/>
        <v>27.847916666666666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3.8181305654066859</v>
      </c>
      <c r="C37" s="18">
        <f t="shared" ref="C37:Q37" si="3">STDEV(C9:C32)</f>
        <v>4.7421429869517242</v>
      </c>
      <c r="D37" s="18">
        <f t="shared" si="3"/>
        <v>4.0638467667320146</v>
      </c>
      <c r="E37" s="18">
        <f t="shared" si="3"/>
        <v>3.2238868149567805</v>
      </c>
      <c r="F37" s="18">
        <f t="shared" si="3"/>
        <v>15.629031792872162</v>
      </c>
      <c r="G37" s="18">
        <f t="shared" si="3"/>
        <v>5.5199498363346935</v>
      </c>
      <c r="H37" s="18">
        <f t="shared" si="3"/>
        <v>3.2764902572412784</v>
      </c>
      <c r="I37" s="18">
        <f t="shared" si="3"/>
        <v>2.2382378145525013</v>
      </c>
      <c r="J37" s="18">
        <f t="shared" si="3"/>
        <v>0.88871018735100082</v>
      </c>
      <c r="K37" s="18">
        <f t="shared" si="3"/>
        <v>58.707993232472724</v>
      </c>
      <c r="L37" s="18">
        <f t="shared" si="3"/>
        <v>4.526769571518197</v>
      </c>
      <c r="M37" s="18">
        <f t="shared" si="3"/>
        <v>13.404764132549092</v>
      </c>
      <c r="N37" s="18">
        <f t="shared" si="3"/>
        <v>354.96199908877759</v>
      </c>
      <c r="O37" s="18">
        <f t="shared" si="3"/>
        <v>0</v>
      </c>
      <c r="P37" s="18">
        <f t="shared" si="3"/>
        <v>0.13653515234578664</v>
      </c>
      <c r="Q37" s="18">
        <f t="shared" si="3"/>
        <v>0.33289218997286119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276</v>
      </c>
      <c r="B9" s="40">
        <v>6.17</v>
      </c>
      <c r="C9" s="40">
        <v>31.34</v>
      </c>
      <c r="D9" s="40">
        <v>21.32</v>
      </c>
      <c r="E9" s="40">
        <v>2.5299999999999998</v>
      </c>
      <c r="F9" s="40">
        <v>8.73</v>
      </c>
      <c r="G9" s="40">
        <v>42.09</v>
      </c>
      <c r="H9" s="40">
        <v>21.33</v>
      </c>
      <c r="I9" s="40">
        <v>10.24</v>
      </c>
      <c r="J9" s="40">
        <v>4.18</v>
      </c>
      <c r="K9" s="40">
        <v>186.28</v>
      </c>
      <c r="L9" s="40">
        <v>30.96</v>
      </c>
      <c r="M9" s="40">
        <v>47.17</v>
      </c>
      <c r="N9" s="40">
        <v>22.8</v>
      </c>
      <c r="O9" s="40">
        <v>0</v>
      </c>
      <c r="P9" s="40">
        <v>0.52</v>
      </c>
      <c r="Q9" s="40">
        <v>27.88</v>
      </c>
      <c r="R9" s="38"/>
      <c r="S9" s="38"/>
      <c r="T9" s="38"/>
      <c r="U9" s="38"/>
    </row>
    <row r="10" spans="1:21" customFormat="1">
      <c r="A10" s="39" t="s">
        <v>277</v>
      </c>
      <c r="B10" s="40">
        <v>7.16</v>
      </c>
      <c r="C10" s="40">
        <v>33.54</v>
      </c>
      <c r="D10" s="40">
        <v>23.08</v>
      </c>
      <c r="E10" s="40">
        <v>2.2599999999999998</v>
      </c>
      <c r="F10" s="40">
        <v>7.64</v>
      </c>
      <c r="G10" s="40">
        <v>42.6</v>
      </c>
      <c r="H10" s="40">
        <v>21.33</v>
      </c>
      <c r="I10" s="40">
        <v>9.59</v>
      </c>
      <c r="J10" s="40">
        <v>4.17</v>
      </c>
      <c r="K10" s="40">
        <v>151.74</v>
      </c>
      <c r="L10" s="40">
        <v>29.89</v>
      </c>
      <c r="M10" s="40">
        <v>49.76</v>
      </c>
      <c r="N10" s="40">
        <v>22.8</v>
      </c>
      <c r="O10" s="40">
        <v>0</v>
      </c>
      <c r="P10" s="40">
        <v>0.5</v>
      </c>
      <c r="Q10" s="40">
        <v>27.75</v>
      </c>
      <c r="R10" s="38"/>
      <c r="S10" s="38"/>
      <c r="T10" s="38"/>
      <c r="U10" s="38"/>
    </row>
    <row r="11" spans="1:21" customFormat="1">
      <c r="A11" s="39" t="s">
        <v>278</v>
      </c>
      <c r="B11" s="40">
        <v>7.34</v>
      </c>
      <c r="C11" s="40">
        <v>33.25</v>
      </c>
      <c r="D11" s="40">
        <v>23.26</v>
      </c>
      <c r="E11" s="40">
        <v>2.38</v>
      </c>
      <c r="F11" s="40">
        <v>7.8</v>
      </c>
      <c r="G11" s="40">
        <v>42.6</v>
      </c>
      <c r="H11" s="40">
        <v>19.010000000000002</v>
      </c>
      <c r="I11" s="40">
        <v>9.3800000000000008</v>
      </c>
      <c r="J11" s="40">
        <v>4.0199999999999996</v>
      </c>
      <c r="K11" s="40">
        <v>114.87</v>
      </c>
      <c r="L11" s="40">
        <v>29.38</v>
      </c>
      <c r="M11" s="40">
        <v>52.27</v>
      </c>
      <c r="N11" s="40">
        <v>22.5</v>
      </c>
      <c r="O11" s="40">
        <v>0</v>
      </c>
      <c r="P11" s="40">
        <v>0.46</v>
      </c>
      <c r="Q11" s="40">
        <v>27.96</v>
      </c>
      <c r="R11" s="38"/>
      <c r="S11" s="38"/>
      <c r="T11" s="38"/>
      <c r="U11" s="38"/>
    </row>
    <row r="12" spans="1:21" customFormat="1">
      <c r="A12" s="39" t="s">
        <v>279</v>
      </c>
      <c r="B12" s="40">
        <v>7.82</v>
      </c>
      <c r="C12" s="40">
        <v>31.53</v>
      </c>
      <c r="D12" s="40">
        <v>22.74</v>
      </c>
      <c r="E12" s="40">
        <v>2</v>
      </c>
      <c r="F12" s="40">
        <v>4.67</v>
      </c>
      <c r="G12" s="40">
        <v>41.07</v>
      </c>
      <c r="H12" s="40">
        <v>16.329999999999998</v>
      </c>
      <c r="I12" s="40">
        <v>9.7100000000000009</v>
      </c>
      <c r="J12" s="40">
        <v>3.3</v>
      </c>
      <c r="K12" s="40">
        <v>249.04</v>
      </c>
      <c r="L12" s="40">
        <v>29.25</v>
      </c>
      <c r="M12" s="40">
        <v>54.2</v>
      </c>
      <c r="N12" s="40">
        <v>23.1</v>
      </c>
      <c r="O12" s="40">
        <v>0</v>
      </c>
      <c r="P12" s="40">
        <v>0.48</v>
      </c>
      <c r="Q12" s="40">
        <v>27.73</v>
      </c>
      <c r="R12" s="38"/>
      <c r="S12" s="38"/>
      <c r="T12" s="38"/>
      <c r="U12" s="38"/>
    </row>
    <row r="13" spans="1:21" customFormat="1">
      <c r="A13" s="39" t="s">
        <v>280</v>
      </c>
      <c r="B13" s="40">
        <v>9.8800000000000008</v>
      </c>
      <c r="C13" s="40">
        <v>31.66</v>
      </c>
      <c r="D13" s="40">
        <v>23.93</v>
      </c>
      <c r="E13" s="40">
        <v>1.93</v>
      </c>
      <c r="F13" s="40">
        <v>3.85</v>
      </c>
      <c r="G13" s="40">
        <v>41.07</v>
      </c>
      <c r="H13" s="40">
        <v>16.329999999999998</v>
      </c>
      <c r="I13" s="40">
        <v>9.35</v>
      </c>
      <c r="J13" s="40">
        <v>3.57</v>
      </c>
      <c r="K13" s="40">
        <v>196.72</v>
      </c>
      <c r="L13" s="40">
        <v>28.41</v>
      </c>
      <c r="M13" s="40">
        <v>58.53</v>
      </c>
      <c r="N13" s="40">
        <v>23</v>
      </c>
      <c r="O13" s="40">
        <v>0</v>
      </c>
      <c r="P13" s="40">
        <v>0.47</v>
      </c>
      <c r="Q13" s="40">
        <v>27.74</v>
      </c>
      <c r="R13" s="38"/>
      <c r="S13" s="38"/>
      <c r="T13" s="38"/>
      <c r="U13" s="38"/>
    </row>
    <row r="14" spans="1:21" customFormat="1">
      <c r="A14" s="39" t="s">
        <v>281</v>
      </c>
      <c r="B14" s="40">
        <v>11.69</v>
      </c>
      <c r="C14" s="40">
        <v>32.869999999999997</v>
      </c>
      <c r="D14" s="40">
        <v>25.91</v>
      </c>
      <c r="E14" s="40">
        <v>1.95</v>
      </c>
      <c r="F14" s="40">
        <v>2.95</v>
      </c>
      <c r="G14" s="40">
        <v>38.99</v>
      </c>
      <c r="H14" s="40">
        <v>16.2</v>
      </c>
      <c r="I14" s="40">
        <v>9.39</v>
      </c>
      <c r="J14" s="40">
        <v>3.54</v>
      </c>
      <c r="K14" s="40">
        <v>206.28</v>
      </c>
      <c r="L14" s="40">
        <v>28.31</v>
      </c>
      <c r="M14" s="40">
        <v>55.72</v>
      </c>
      <c r="N14" s="40">
        <v>42.6</v>
      </c>
      <c r="O14" s="40">
        <v>0</v>
      </c>
      <c r="P14" s="40">
        <v>0.44</v>
      </c>
      <c r="Q14" s="40">
        <v>27.55</v>
      </c>
      <c r="R14" s="38"/>
      <c r="S14" s="38"/>
      <c r="T14" s="38"/>
      <c r="U14" s="38"/>
    </row>
    <row r="15" spans="1:21" customFormat="1">
      <c r="A15" s="39" t="s">
        <v>282</v>
      </c>
      <c r="B15" s="40">
        <v>11.71</v>
      </c>
      <c r="C15" s="40">
        <v>29.74</v>
      </c>
      <c r="D15" s="40">
        <v>24.28</v>
      </c>
      <c r="E15" s="40">
        <v>1.48</v>
      </c>
      <c r="F15" s="40">
        <v>3.85</v>
      </c>
      <c r="G15" s="40">
        <v>35.770000000000003</v>
      </c>
      <c r="H15" s="40">
        <v>16.2</v>
      </c>
      <c r="I15" s="40">
        <v>9.41</v>
      </c>
      <c r="J15" s="40">
        <v>3.64</v>
      </c>
      <c r="K15" s="40">
        <v>214.69</v>
      </c>
      <c r="L15" s="40">
        <v>28.81</v>
      </c>
      <c r="M15" s="40">
        <v>55.03</v>
      </c>
      <c r="N15" s="40">
        <v>97</v>
      </c>
      <c r="O15" s="40">
        <v>0</v>
      </c>
      <c r="P15" s="40">
        <v>0.47</v>
      </c>
      <c r="Q15" s="40">
        <v>27.59</v>
      </c>
      <c r="R15" s="38"/>
      <c r="S15" s="38"/>
      <c r="T15" s="38"/>
      <c r="U15" s="38"/>
    </row>
    <row r="16" spans="1:21" customFormat="1">
      <c r="A16" s="39" t="s">
        <v>283</v>
      </c>
      <c r="B16" s="40">
        <v>10.25</v>
      </c>
      <c r="C16" s="40">
        <v>33.799999999999997</v>
      </c>
      <c r="D16" s="40">
        <v>25.28</v>
      </c>
      <c r="E16" s="40">
        <v>1.91</v>
      </c>
      <c r="F16" s="40">
        <v>4.2</v>
      </c>
      <c r="G16" s="40">
        <v>39.799999999999997</v>
      </c>
      <c r="H16" s="40">
        <v>13.41</v>
      </c>
      <c r="I16" s="40">
        <v>9.58</v>
      </c>
      <c r="J16" s="40">
        <v>3.42</v>
      </c>
      <c r="K16" s="40">
        <v>245.52</v>
      </c>
      <c r="L16" s="40">
        <v>30.61</v>
      </c>
      <c r="M16" s="40">
        <v>52.4</v>
      </c>
      <c r="N16" s="40">
        <v>212.2</v>
      </c>
      <c r="O16" s="40">
        <v>0</v>
      </c>
      <c r="P16" s="40">
        <v>0.48</v>
      </c>
      <c r="Q16" s="40">
        <v>27.59</v>
      </c>
      <c r="R16" s="38"/>
      <c r="S16" s="38"/>
      <c r="T16" s="38"/>
      <c r="U16" s="38"/>
    </row>
    <row r="17" spans="1:21" customFormat="1">
      <c r="A17" s="39" t="s">
        <v>284</v>
      </c>
      <c r="B17" s="40">
        <v>9.27</v>
      </c>
      <c r="C17" s="40">
        <v>31.17</v>
      </c>
      <c r="D17" s="40">
        <v>23.23</v>
      </c>
      <c r="E17" s="40">
        <v>1.81</v>
      </c>
      <c r="F17" s="40">
        <v>6.91</v>
      </c>
      <c r="G17" s="40">
        <v>44.39</v>
      </c>
      <c r="H17" s="40">
        <v>13.74</v>
      </c>
      <c r="I17" s="40">
        <v>10.89</v>
      </c>
      <c r="J17" s="40">
        <v>3.34</v>
      </c>
      <c r="K17" s="40">
        <v>277.39999999999998</v>
      </c>
      <c r="L17" s="40">
        <v>32.79</v>
      </c>
      <c r="M17" s="40">
        <v>43.54</v>
      </c>
      <c r="N17" s="40">
        <v>428.9</v>
      </c>
      <c r="O17" s="40">
        <v>0</v>
      </c>
      <c r="P17" s="40">
        <v>0.53</v>
      </c>
      <c r="Q17" s="40">
        <v>27.67</v>
      </c>
      <c r="R17" s="38"/>
      <c r="S17" s="38"/>
      <c r="T17" s="38"/>
      <c r="U17" s="38"/>
    </row>
    <row r="18" spans="1:21" customFormat="1">
      <c r="A18" s="39" t="s">
        <v>285</v>
      </c>
      <c r="B18" s="40">
        <v>7.55</v>
      </c>
      <c r="C18" s="40">
        <v>32.08</v>
      </c>
      <c r="D18" s="40">
        <v>21.3</v>
      </c>
      <c r="E18" s="40">
        <v>2.35</v>
      </c>
      <c r="F18" s="40">
        <v>13.31</v>
      </c>
      <c r="G18" s="40">
        <v>51.4</v>
      </c>
      <c r="H18" s="40">
        <v>22.66</v>
      </c>
      <c r="I18" s="40">
        <v>11.06</v>
      </c>
      <c r="J18" s="40">
        <v>4.37</v>
      </c>
      <c r="K18" s="40">
        <v>256.10000000000002</v>
      </c>
      <c r="L18" s="40">
        <v>34.78</v>
      </c>
      <c r="M18" s="40">
        <v>36.200000000000003</v>
      </c>
      <c r="N18" s="40">
        <v>708.2</v>
      </c>
      <c r="O18" s="40">
        <v>0</v>
      </c>
      <c r="P18" s="40">
        <v>0.55000000000000004</v>
      </c>
      <c r="Q18" s="40">
        <v>27.89</v>
      </c>
      <c r="R18" s="38"/>
      <c r="S18" s="38"/>
      <c r="T18" s="38"/>
      <c r="U18" s="38"/>
    </row>
    <row r="19" spans="1:21" customFormat="1">
      <c r="A19" s="39" t="s">
        <v>286</v>
      </c>
      <c r="B19" s="40">
        <v>3.27</v>
      </c>
      <c r="C19" s="40">
        <v>32.35</v>
      </c>
      <c r="D19" s="40">
        <v>19.34</v>
      </c>
      <c r="E19" s="40">
        <v>1.58</v>
      </c>
      <c r="F19" s="40">
        <v>11.28</v>
      </c>
      <c r="G19" s="40">
        <v>51.4</v>
      </c>
      <c r="H19" s="40">
        <v>22.66</v>
      </c>
      <c r="I19" s="40">
        <v>11.17</v>
      </c>
      <c r="J19" s="40">
        <v>5.42</v>
      </c>
      <c r="K19" s="40">
        <v>264.64999999999998</v>
      </c>
      <c r="L19" s="40">
        <v>35.83</v>
      </c>
      <c r="M19" s="40">
        <v>32.15</v>
      </c>
      <c r="N19" s="40">
        <v>842.9</v>
      </c>
      <c r="O19" s="40">
        <v>0</v>
      </c>
      <c r="P19" s="40">
        <v>0.57999999999999996</v>
      </c>
      <c r="Q19" s="40">
        <v>28.19</v>
      </c>
      <c r="R19" s="38"/>
      <c r="S19" s="38"/>
      <c r="T19" s="38"/>
      <c r="U19" s="38"/>
    </row>
    <row r="20" spans="1:21" customFormat="1">
      <c r="A20" s="39" t="s">
        <v>287</v>
      </c>
      <c r="B20" s="40">
        <v>1.17</v>
      </c>
      <c r="C20" s="40">
        <v>26.51</v>
      </c>
      <c r="D20" s="40">
        <v>14.32</v>
      </c>
      <c r="E20" s="40">
        <v>6.66</v>
      </c>
      <c r="F20" s="40">
        <v>43.27</v>
      </c>
      <c r="G20" s="24" t="s">
        <v>14</v>
      </c>
      <c r="H20" s="24" t="s">
        <v>14</v>
      </c>
      <c r="I20" s="40">
        <v>12.77</v>
      </c>
      <c r="J20" s="40">
        <v>6</v>
      </c>
      <c r="K20" s="40">
        <v>254.63</v>
      </c>
      <c r="L20" s="40">
        <v>37.130000000000003</v>
      </c>
      <c r="M20" s="40">
        <v>28.89</v>
      </c>
      <c r="N20" s="40">
        <v>873.9</v>
      </c>
      <c r="O20" s="40">
        <v>0</v>
      </c>
      <c r="P20" s="40">
        <v>0.64</v>
      </c>
      <c r="Q20" s="40">
        <v>28.74</v>
      </c>
      <c r="R20" s="38"/>
      <c r="S20" s="38"/>
      <c r="T20" s="38"/>
      <c r="U20" s="38"/>
    </row>
    <row r="21" spans="1:21" customFormat="1">
      <c r="A21" s="39" t="s">
        <v>288</v>
      </c>
      <c r="B21" s="40">
        <v>0.95</v>
      </c>
      <c r="C21" s="40">
        <v>20.86</v>
      </c>
      <c r="D21" s="40">
        <v>11.37</v>
      </c>
      <c r="E21" s="40">
        <v>11.24</v>
      </c>
      <c r="F21" s="40">
        <v>50.63</v>
      </c>
      <c r="G21" s="24" t="s">
        <v>14</v>
      </c>
      <c r="H21" s="24" t="s">
        <v>14</v>
      </c>
      <c r="I21" s="40">
        <v>14.34</v>
      </c>
      <c r="J21" s="40">
        <v>5.09</v>
      </c>
      <c r="K21" s="40">
        <v>253.4</v>
      </c>
      <c r="L21" s="40">
        <v>38.700000000000003</v>
      </c>
      <c r="M21" s="40">
        <v>27.42</v>
      </c>
      <c r="N21" s="40">
        <v>908.3</v>
      </c>
      <c r="O21" s="40">
        <v>0</v>
      </c>
      <c r="P21" s="40">
        <v>0.64</v>
      </c>
      <c r="Q21" s="40">
        <v>28.83</v>
      </c>
      <c r="R21" s="38"/>
      <c r="S21" s="38"/>
      <c r="T21" s="38"/>
      <c r="U21" s="38"/>
    </row>
    <row r="22" spans="1:21" customFormat="1">
      <c r="A22" s="39" t="s">
        <v>289</v>
      </c>
      <c r="B22" s="40">
        <v>0.81</v>
      </c>
      <c r="C22" s="40">
        <v>17.14</v>
      </c>
      <c r="D22" s="40">
        <v>9.4499999999999993</v>
      </c>
      <c r="E22" s="40">
        <v>8.8800000000000008</v>
      </c>
      <c r="F22" s="40">
        <v>44.49</v>
      </c>
      <c r="G22" s="40">
        <v>9.57</v>
      </c>
      <c r="H22" s="40">
        <v>0.55000000000000004</v>
      </c>
      <c r="I22" s="40">
        <v>11.24</v>
      </c>
      <c r="J22" s="40">
        <v>3.65</v>
      </c>
      <c r="K22" s="40">
        <v>250.35</v>
      </c>
      <c r="L22" s="40">
        <v>39.979999999999997</v>
      </c>
      <c r="M22" s="40">
        <v>25.34</v>
      </c>
      <c r="N22" s="40">
        <v>866.8</v>
      </c>
      <c r="O22" s="40">
        <v>0</v>
      </c>
      <c r="P22" s="40">
        <v>0.5</v>
      </c>
      <c r="Q22" s="40">
        <v>28.99</v>
      </c>
      <c r="R22" s="38"/>
      <c r="S22" s="38"/>
      <c r="T22" s="38"/>
      <c r="U22" s="38"/>
    </row>
    <row r="23" spans="1:21" customFormat="1">
      <c r="A23" s="39" t="s">
        <v>290</v>
      </c>
      <c r="B23" s="40">
        <v>1.5</v>
      </c>
      <c r="C23" s="40">
        <v>20.09</v>
      </c>
      <c r="D23" s="40">
        <v>10.94</v>
      </c>
      <c r="E23" s="40">
        <v>8.59</v>
      </c>
      <c r="F23" s="40">
        <v>29.16</v>
      </c>
      <c r="G23" s="40">
        <v>45.35</v>
      </c>
      <c r="H23" s="40">
        <v>3.18</v>
      </c>
      <c r="I23" s="40">
        <v>8.56</v>
      </c>
      <c r="J23" s="40">
        <v>3.91</v>
      </c>
      <c r="K23" s="40">
        <v>254.34</v>
      </c>
      <c r="L23" s="40">
        <v>40.28</v>
      </c>
      <c r="M23" s="40">
        <v>20.97</v>
      </c>
      <c r="N23" s="40">
        <v>765.8</v>
      </c>
      <c r="O23" s="40">
        <v>0</v>
      </c>
      <c r="P23" s="40">
        <v>0.42</v>
      </c>
      <c r="Q23" s="40">
        <v>28.83</v>
      </c>
      <c r="R23" s="38"/>
      <c r="S23" s="38"/>
      <c r="T23" s="38"/>
      <c r="U23" s="38"/>
    </row>
    <row r="24" spans="1:21" customFormat="1">
      <c r="A24" s="39" t="s">
        <v>291</v>
      </c>
      <c r="B24" s="40">
        <v>0.71</v>
      </c>
      <c r="C24" s="40">
        <v>24.49</v>
      </c>
      <c r="D24" s="40">
        <v>13.33</v>
      </c>
      <c r="E24" s="40">
        <v>8.3699999999999992</v>
      </c>
      <c r="F24" s="40">
        <v>35.11</v>
      </c>
      <c r="G24" s="40">
        <v>39.68</v>
      </c>
      <c r="H24" s="40">
        <v>6.36</v>
      </c>
      <c r="I24" s="40">
        <v>8.6999999999999993</v>
      </c>
      <c r="J24" s="40">
        <v>5.01</v>
      </c>
      <c r="K24" s="40">
        <v>299.17</v>
      </c>
      <c r="L24" s="40">
        <v>40.549999999999997</v>
      </c>
      <c r="M24" s="40">
        <v>20.92</v>
      </c>
      <c r="N24" s="40">
        <v>525.20000000000005</v>
      </c>
      <c r="O24" s="40">
        <v>0</v>
      </c>
      <c r="P24" s="40">
        <v>0.35</v>
      </c>
      <c r="Q24" s="40">
        <v>28.95</v>
      </c>
      <c r="R24" s="38"/>
      <c r="S24" s="38"/>
      <c r="T24" s="38"/>
      <c r="U24" s="38"/>
    </row>
    <row r="25" spans="1:21" customFormat="1">
      <c r="A25" s="39" t="s">
        <v>292</v>
      </c>
      <c r="B25" s="40">
        <v>1.35</v>
      </c>
      <c r="C25" s="40">
        <v>24.25</v>
      </c>
      <c r="D25" s="40">
        <v>13.52</v>
      </c>
      <c r="E25" s="40">
        <v>7.45</v>
      </c>
      <c r="F25" s="40">
        <v>17.03</v>
      </c>
      <c r="G25" s="40">
        <v>38.64</v>
      </c>
      <c r="H25" s="40">
        <v>10.36</v>
      </c>
      <c r="I25" s="40">
        <v>7.48</v>
      </c>
      <c r="J25" s="40">
        <v>4.51</v>
      </c>
      <c r="K25" s="40">
        <v>240.96</v>
      </c>
      <c r="L25" s="40">
        <v>40.03</v>
      </c>
      <c r="M25" s="40">
        <v>18.39</v>
      </c>
      <c r="N25" s="40">
        <v>418.3</v>
      </c>
      <c r="O25" s="40">
        <v>0</v>
      </c>
      <c r="P25" s="40">
        <v>0.36</v>
      </c>
      <c r="Q25" s="40">
        <v>28.74</v>
      </c>
      <c r="R25" s="38"/>
      <c r="S25" s="38"/>
      <c r="T25" s="38"/>
      <c r="U25" s="38"/>
    </row>
    <row r="26" spans="1:21" customFormat="1">
      <c r="A26" s="39" t="s">
        <v>293</v>
      </c>
      <c r="B26" s="40">
        <v>1.9</v>
      </c>
      <c r="C26" s="40">
        <v>27.44</v>
      </c>
      <c r="D26" s="40">
        <v>15.41</v>
      </c>
      <c r="E26" s="40">
        <v>2.4500000000000002</v>
      </c>
      <c r="F26" s="40">
        <v>24.99</v>
      </c>
      <c r="G26" s="40">
        <v>35.229999999999997</v>
      </c>
      <c r="H26" s="40">
        <v>8.4600000000000009</v>
      </c>
      <c r="I26" s="40">
        <v>7.3</v>
      </c>
      <c r="J26" s="40">
        <v>3.63</v>
      </c>
      <c r="K26" s="40">
        <v>242.03</v>
      </c>
      <c r="L26" s="40">
        <v>40.369999999999997</v>
      </c>
      <c r="M26" s="40">
        <v>23.08</v>
      </c>
      <c r="N26" s="40">
        <v>171.2</v>
      </c>
      <c r="O26" s="40">
        <v>0</v>
      </c>
      <c r="P26" s="40">
        <v>0.38</v>
      </c>
      <c r="Q26" s="40">
        <v>28.62</v>
      </c>
      <c r="R26" s="38"/>
      <c r="S26" s="38"/>
      <c r="T26" s="38"/>
      <c r="U26" s="38"/>
    </row>
    <row r="27" spans="1:21" customFormat="1">
      <c r="A27" s="39" t="s">
        <v>294</v>
      </c>
      <c r="B27" s="40">
        <v>1.83</v>
      </c>
      <c r="C27" s="40">
        <v>23.75</v>
      </c>
      <c r="D27" s="40">
        <v>13.87</v>
      </c>
      <c r="E27" s="40">
        <v>4.5599999999999996</v>
      </c>
      <c r="F27" s="40">
        <v>26.99</v>
      </c>
      <c r="G27" s="40">
        <v>33.65</v>
      </c>
      <c r="H27" s="40">
        <v>9.36</v>
      </c>
      <c r="I27" s="40">
        <v>8.27</v>
      </c>
      <c r="J27" s="40">
        <v>3.48</v>
      </c>
      <c r="K27" s="40">
        <v>246.47</v>
      </c>
      <c r="L27" s="40">
        <v>38.5</v>
      </c>
      <c r="M27" s="40">
        <v>23.92</v>
      </c>
      <c r="N27" s="40">
        <v>37.5</v>
      </c>
      <c r="O27" s="40">
        <v>0</v>
      </c>
      <c r="P27" s="40">
        <v>0.41</v>
      </c>
      <c r="Q27" s="40">
        <v>28.75</v>
      </c>
      <c r="R27" s="38"/>
      <c r="S27" s="38"/>
      <c r="T27" s="38"/>
      <c r="U27" s="38"/>
    </row>
    <row r="28" spans="1:21" customFormat="1">
      <c r="A28" s="39" t="s">
        <v>295</v>
      </c>
      <c r="B28" s="40">
        <v>2.33</v>
      </c>
      <c r="C28" s="40">
        <v>24.54</v>
      </c>
      <c r="D28" s="40">
        <v>14.68</v>
      </c>
      <c r="E28" s="40">
        <v>4.6100000000000003</v>
      </c>
      <c r="F28" s="40">
        <v>30.41</v>
      </c>
      <c r="G28" s="40">
        <v>36.119999999999997</v>
      </c>
      <c r="H28" s="40">
        <v>13.3</v>
      </c>
      <c r="I28" s="40">
        <v>8.42</v>
      </c>
      <c r="J28" s="40">
        <v>2.83</v>
      </c>
      <c r="K28" s="40">
        <v>261.25</v>
      </c>
      <c r="L28" s="40">
        <v>37.26</v>
      </c>
      <c r="M28" s="40">
        <v>30.65</v>
      </c>
      <c r="N28" s="40">
        <v>23.1</v>
      </c>
      <c r="O28" s="40">
        <v>0</v>
      </c>
      <c r="P28" s="40">
        <v>0.45</v>
      </c>
      <c r="Q28" s="40">
        <v>28.35</v>
      </c>
      <c r="R28" s="38"/>
      <c r="S28" s="38"/>
      <c r="T28" s="38"/>
      <c r="U28" s="38"/>
    </row>
    <row r="29" spans="1:21" customFormat="1">
      <c r="A29" s="39" t="s">
        <v>296</v>
      </c>
      <c r="B29" s="40">
        <v>4.72</v>
      </c>
      <c r="C29" s="40">
        <v>38.72</v>
      </c>
      <c r="D29" s="40">
        <v>23.65</v>
      </c>
      <c r="E29" s="40">
        <v>3.67</v>
      </c>
      <c r="F29" s="40">
        <v>19.84</v>
      </c>
      <c r="G29" s="40">
        <v>37.17</v>
      </c>
      <c r="H29" s="40">
        <v>17.600000000000001</v>
      </c>
      <c r="I29" s="40">
        <v>10.43</v>
      </c>
      <c r="J29" s="40">
        <v>3.16</v>
      </c>
      <c r="K29" s="40">
        <v>195.61</v>
      </c>
      <c r="L29" s="40">
        <v>35.06</v>
      </c>
      <c r="M29" s="40">
        <v>30.28</v>
      </c>
      <c r="N29" s="40">
        <v>22.5</v>
      </c>
      <c r="O29" s="40">
        <v>0</v>
      </c>
      <c r="P29" s="40">
        <v>0.45</v>
      </c>
      <c r="Q29" s="40">
        <v>27.94</v>
      </c>
      <c r="R29" s="38"/>
      <c r="S29" s="38"/>
      <c r="T29" s="38"/>
      <c r="U29" s="38"/>
    </row>
    <row r="30" spans="1:21" customFormat="1">
      <c r="A30" s="39" t="s">
        <v>297</v>
      </c>
      <c r="B30" s="40">
        <v>4.2300000000000004</v>
      </c>
      <c r="C30" s="40">
        <v>39.6</v>
      </c>
      <c r="D30" s="40">
        <v>24.08</v>
      </c>
      <c r="E30" s="40">
        <v>2.96</v>
      </c>
      <c r="F30" s="40">
        <v>14.09</v>
      </c>
      <c r="G30" s="40">
        <v>49.09</v>
      </c>
      <c r="H30" s="40">
        <v>19.239999999999998</v>
      </c>
      <c r="I30" s="40">
        <v>9.27</v>
      </c>
      <c r="J30" s="40">
        <v>3.13</v>
      </c>
      <c r="K30" s="40">
        <v>226.29</v>
      </c>
      <c r="L30" s="40">
        <v>34.950000000000003</v>
      </c>
      <c r="M30" s="40">
        <v>31.27</v>
      </c>
      <c r="N30" s="40">
        <v>22.5</v>
      </c>
      <c r="O30" s="40">
        <v>0</v>
      </c>
      <c r="P30" s="40">
        <v>0.42</v>
      </c>
      <c r="Q30" s="40">
        <v>28.1</v>
      </c>
      <c r="R30" s="38"/>
      <c r="S30" s="38"/>
      <c r="T30" s="38"/>
      <c r="U30" s="38"/>
    </row>
    <row r="31" spans="1:21" customFormat="1">
      <c r="A31" s="39" t="s">
        <v>298</v>
      </c>
      <c r="B31" s="40">
        <v>4.12</v>
      </c>
      <c r="C31" s="40">
        <v>25.98</v>
      </c>
      <c r="D31" s="40">
        <v>16.88</v>
      </c>
      <c r="E31" s="40">
        <v>2.72</v>
      </c>
      <c r="F31" s="40">
        <v>15.47</v>
      </c>
      <c r="G31" s="40">
        <v>42.66</v>
      </c>
      <c r="H31" s="40">
        <v>18.66</v>
      </c>
      <c r="I31" s="40">
        <v>8.69</v>
      </c>
      <c r="J31" s="40">
        <v>3.07</v>
      </c>
      <c r="K31" s="40">
        <v>184</v>
      </c>
      <c r="L31" s="40">
        <v>34.17</v>
      </c>
      <c r="M31" s="40">
        <v>36.03</v>
      </c>
      <c r="N31" s="40">
        <v>22.9</v>
      </c>
      <c r="O31" s="40">
        <v>0</v>
      </c>
      <c r="P31" s="40">
        <v>0.41</v>
      </c>
      <c r="Q31" s="40">
        <v>28.4</v>
      </c>
      <c r="R31" s="38"/>
      <c r="S31" s="38"/>
      <c r="T31" s="38"/>
      <c r="U31" s="38"/>
    </row>
    <row r="32" spans="1:21" customFormat="1">
      <c r="A32" s="39" t="s">
        <v>299</v>
      </c>
      <c r="B32" s="40">
        <v>4.4000000000000004</v>
      </c>
      <c r="C32" s="40">
        <v>27.31</v>
      </c>
      <c r="D32" s="40">
        <v>17.78</v>
      </c>
      <c r="E32" s="40">
        <v>2.5499999999999998</v>
      </c>
      <c r="F32" s="40">
        <v>14.79</v>
      </c>
      <c r="G32" s="40">
        <v>44.15</v>
      </c>
      <c r="H32" s="40">
        <v>17.91</v>
      </c>
      <c r="I32" s="40">
        <v>8.0500000000000007</v>
      </c>
      <c r="J32" s="40">
        <v>3.19</v>
      </c>
      <c r="K32" s="40">
        <v>219</v>
      </c>
      <c r="L32" s="40">
        <v>33.28</v>
      </c>
      <c r="M32" s="40">
        <v>35.15</v>
      </c>
      <c r="N32" s="40">
        <v>22.4</v>
      </c>
      <c r="O32" s="40">
        <v>0</v>
      </c>
      <c r="P32" s="40">
        <v>0.39</v>
      </c>
      <c r="Q32" s="40">
        <v>28.15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0.71</v>
      </c>
      <c r="C34" s="18">
        <f t="shared" si="0"/>
        <v>17.14</v>
      </c>
      <c r="D34" s="18">
        <f t="shared" si="0"/>
        <v>9.4499999999999993</v>
      </c>
      <c r="E34" s="18">
        <f t="shared" si="0"/>
        <v>1.48</v>
      </c>
      <c r="F34" s="18">
        <f t="shared" si="0"/>
        <v>2.95</v>
      </c>
      <c r="G34" s="18">
        <f t="shared" si="0"/>
        <v>9.57</v>
      </c>
      <c r="H34" s="18">
        <f t="shared" si="0"/>
        <v>0.55000000000000004</v>
      </c>
      <c r="I34" s="18">
        <f t="shared" si="0"/>
        <v>7.3</v>
      </c>
      <c r="J34" s="18">
        <f t="shared" si="0"/>
        <v>2.83</v>
      </c>
      <c r="K34" s="18">
        <f t="shared" si="0"/>
        <v>114.87</v>
      </c>
      <c r="L34" s="18">
        <f t="shared" si="0"/>
        <v>28.31</v>
      </c>
      <c r="M34" s="18">
        <f t="shared" si="0"/>
        <v>18.39</v>
      </c>
      <c r="N34" s="18">
        <f t="shared" si="0"/>
        <v>22.4</v>
      </c>
      <c r="O34" s="18">
        <f t="shared" si="0"/>
        <v>0</v>
      </c>
      <c r="P34" s="18">
        <f t="shared" si="0"/>
        <v>0.35</v>
      </c>
      <c r="Q34" s="18">
        <f t="shared" si="0"/>
        <v>27.55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11.71</v>
      </c>
      <c r="C35" s="3">
        <f t="shared" si="1"/>
        <v>39.6</v>
      </c>
      <c r="D35" s="3">
        <f t="shared" si="1"/>
        <v>25.91</v>
      </c>
      <c r="E35" s="3">
        <f t="shared" si="1"/>
        <v>11.24</v>
      </c>
      <c r="F35" s="3">
        <f t="shared" si="1"/>
        <v>50.63</v>
      </c>
      <c r="G35" s="3">
        <f t="shared" si="1"/>
        <v>51.4</v>
      </c>
      <c r="H35" s="3">
        <f t="shared" si="1"/>
        <v>22.66</v>
      </c>
      <c r="I35" s="3">
        <f t="shared" si="1"/>
        <v>14.34</v>
      </c>
      <c r="J35" s="3">
        <f t="shared" si="1"/>
        <v>6</v>
      </c>
      <c r="K35" s="3">
        <f t="shared" si="1"/>
        <v>299.17</v>
      </c>
      <c r="L35" s="3">
        <f t="shared" si="1"/>
        <v>40.549999999999997</v>
      </c>
      <c r="M35" s="3">
        <f t="shared" si="1"/>
        <v>58.53</v>
      </c>
      <c r="N35" s="3">
        <f t="shared" si="1"/>
        <v>908.3</v>
      </c>
      <c r="O35" s="3">
        <f t="shared" si="1"/>
        <v>0</v>
      </c>
      <c r="P35" s="3">
        <f t="shared" si="1"/>
        <v>0.64</v>
      </c>
      <c r="Q35" s="3">
        <f t="shared" si="1"/>
        <v>28.99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5.0887500000000001</v>
      </c>
      <c r="C36" s="18">
        <f t="shared" si="2"/>
        <v>28.917083333333334</v>
      </c>
      <c r="D36" s="18">
        <f t="shared" si="2"/>
        <v>18.872916666666665</v>
      </c>
      <c r="E36" s="18">
        <f t="shared" si="2"/>
        <v>4.0370833333333334</v>
      </c>
      <c r="F36" s="18">
        <f t="shared" si="2"/>
        <v>18.394166666666667</v>
      </c>
      <c r="G36" s="18">
        <f t="shared" si="2"/>
        <v>40.113181818181808</v>
      </c>
      <c r="H36" s="18">
        <f t="shared" si="2"/>
        <v>14.735454545454552</v>
      </c>
      <c r="I36" s="18">
        <f t="shared" si="2"/>
        <v>9.7204166666666669</v>
      </c>
      <c r="J36" s="18">
        <f t="shared" si="2"/>
        <v>3.9012499999999992</v>
      </c>
      <c r="K36" s="18">
        <f t="shared" si="2"/>
        <v>228.78291666666667</v>
      </c>
      <c r="L36" s="18">
        <f t="shared" si="2"/>
        <v>34.553333333333327</v>
      </c>
      <c r="M36" s="18">
        <f t="shared" si="2"/>
        <v>37.053333333333327</v>
      </c>
      <c r="N36" s="18">
        <f t="shared" si="2"/>
        <v>296.93333333333334</v>
      </c>
      <c r="O36" s="18">
        <f t="shared" si="2"/>
        <v>0</v>
      </c>
      <c r="P36" s="18">
        <f t="shared" si="2"/>
        <v>0.47083333333333327</v>
      </c>
      <c r="Q36" s="18">
        <f t="shared" si="2"/>
        <v>28.205416666666668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3.6674624712818638</v>
      </c>
      <c r="C37" s="18">
        <f t="shared" ref="C37:Q37" si="3">STDEV(C9:C32)</f>
        <v>5.6165752207323623</v>
      </c>
      <c r="D37" s="18">
        <f t="shared" si="3"/>
        <v>5.2178143676603241</v>
      </c>
      <c r="E37" s="18">
        <f t="shared" si="3"/>
        <v>2.8571458533886989</v>
      </c>
      <c r="F37" s="18">
        <f t="shared" si="3"/>
        <v>14.174545745858989</v>
      </c>
      <c r="G37" s="18">
        <f t="shared" si="3"/>
        <v>8.3599540818764631</v>
      </c>
      <c r="H37" s="18">
        <f t="shared" si="3"/>
        <v>6.1385958742500026</v>
      </c>
      <c r="I37" s="18">
        <f t="shared" si="3"/>
        <v>1.6231704862817713</v>
      </c>
      <c r="J37" s="18">
        <f t="shared" si="3"/>
        <v>0.81100213102170293</v>
      </c>
      <c r="K37" s="18">
        <f t="shared" si="3"/>
        <v>41.589795621268024</v>
      </c>
      <c r="L37" s="18">
        <f t="shared" si="3"/>
        <v>4.3265767838635742</v>
      </c>
      <c r="M37" s="18">
        <f t="shared" si="3"/>
        <v>12.990362536918681</v>
      </c>
      <c r="N37" s="18">
        <f t="shared" si="3"/>
        <v>345.74294128626161</v>
      </c>
      <c r="O37" s="18">
        <f t="shared" si="3"/>
        <v>0</v>
      </c>
      <c r="P37" s="18">
        <f t="shared" si="3"/>
        <v>7.7846932679048145E-2</v>
      </c>
      <c r="Q37" s="18">
        <f t="shared" si="3"/>
        <v>0.49003974254682825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COUNT(G9:G32)+2</f>
        <v>24</v>
      </c>
      <c r="H38" s="34">
        <f>COUNT(H9:H32)+2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300</v>
      </c>
      <c r="B9" s="40">
        <v>5.82</v>
      </c>
      <c r="C9" s="40">
        <v>42.34</v>
      </c>
      <c r="D9" s="40">
        <v>26.49</v>
      </c>
      <c r="E9" s="40">
        <v>2.67</v>
      </c>
      <c r="F9" s="40">
        <v>7.66</v>
      </c>
      <c r="G9" s="40">
        <v>39.770000000000003</v>
      </c>
      <c r="H9" s="40">
        <v>18.37</v>
      </c>
      <c r="I9" s="40">
        <v>8.02</v>
      </c>
      <c r="J9" s="40">
        <v>3.1</v>
      </c>
      <c r="K9" s="40">
        <v>211.23</v>
      </c>
      <c r="L9" s="40">
        <v>32.74</v>
      </c>
      <c r="M9" s="40">
        <v>39.51</v>
      </c>
      <c r="N9" s="40">
        <v>22.7</v>
      </c>
      <c r="O9" s="40">
        <v>0</v>
      </c>
      <c r="P9" s="40">
        <v>0.41</v>
      </c>
      <c r="Q9" s="40">
        <v>27.74</v>
      </c>
      <c r="R9" s="38"/>
      <c r="S9" s="38"/>
      <c r="T9" s="38"/>
      <c r="U9" s="38"/>
    </row>
    <row r="10" spans="1:21" customFormat="1">
      <c r="A10" s="39" t="s">
        <v>301</v>
      </c>
      <c r="B10" s="40">
        <v>6.08</v>
      </c>
      <c r="C10" s="40">
        <v>34.58</v>
      </c>
      <c r="D10" s="40">
        <v>22.94</v>
      </c>
      <c r="E10" s="40">
        <v>2.6</v>
      </c>
      <c r="F10" s="40">
        <v>10.61</v>
      </c>
      <c r="G10" s="40">
        <v>38.090000000000003</v>
      </c>
      <c r="H10" s="40">
        <v>19.54</v>
      </c>
      <c r="I10" s="40">
        <v>7.97</v>
      </c>
      <c r="J10" s="40">
        <v>3.36</v>
      </c>
      <c r="K10" s="40">
        <v>231.99</v>
      </c>
      <c r="L10" s="40">
        <v>31.7</v>
      </c>
      <c r="M10" s="40">
        <v>42.49</v>
      </c>
      <c r="N10" s="40">
        <v>22.8</v>
      </c>
      <c r="O10" s="40">
        <v>0</v>
      </c>
      <c r="P10" s="40">
        <v>0.37</v>
      </c>
      <c r="Q10" s="40">
        <v>28.19</v>
      </c>
      <c r="R10" s="38"/>
      <c r="S10" s="38"/>
      <c r="T10" s="38"/>
      <c r="U10" s="38"/>
    </row>
    <row r="11" spans="1:21" customFormat="1">
      <c r="A11" s="39" t="s">
        <v>302</v>
      </c>
      <c r="B11" s="40">
        <v>5.94</v>
      </c>
      <c r="C11" s="40">
        <v>28.74</v>
      </c>
      <c r="D11" s="40">
        <v>19.53</v>
      </c>
      <c r="E11" s="40">
        <v>2.35</v>
      </c>
      <c r="F11" s="40">
        <v>9.8800000000000008</v>
      </c>
      <c r="G11" s="40">
        <v>36.89</v>
      </c>
      <c r="H11" s="40">
        <v>17.63</v>
      </c>
      <c r="I11" s="40">
        <v>7.62</v>
      </c>
      <c r="J11" s="40">
        <v>3.04</v>
      </c>
      <c r="K11" s="40">
        <v>204.12</v>
      </c>
      <c r="L11" s="40">
        <v>30.48</v>
      </c>
      <c r="M11" s="40">
        <v>45.94</v>
      </c>
      <c r="N11" s="40">
        <v>22.9</v>
      </c>
      <c r="O11" s="40">
        <v>0</v>
      </c>
      <c r="P11" s="40">
        <v>0.36</v>
      </c>
      <c r="Q11" s="40">
        <v>28.13</v>
      </c>
      <c r="R11" s="38"/>
      <c r="S11" s="38"/>
      <c r="T11" s="38"/>
      <c r="U11" s="38"/>
    </row>
    <row r="12" spans="1:21" customFormat="1">
      <c r="A12" s="39" t="s">
        <v>303</v>
      </c>
      <c r="B12" s="40">
        <v>6.15</v>
      </c>
      <c r="C12" s="40">
        <v>33.450000000000003</v>
      </c>
      <c r="D12" s="40">
        <v>22.12</v>
      </c>
      <c r="E12" s="40">
        <v>2.38</v>
      </c>
      <c r="F12" s="40">
        <v>6.81</v>
      </c>
      <c r="G12" s="40">
        <v>35.15</v>
      </c>
      <c r="H12" s="40">
        <v>15.16</v>
      </c>
      <c r="I12" s="40">
        <v>7.31</v>
      </c>
      <c r="J12" s="40">
        <v>3.88</v>
      </c>
      <c r="K12" s="40">
        <v>252.56</v>
      </c>
      <c r="L12" s="40">
        <v>30.07</v>
      </c>
      <c r="M12" s="40">
        <v>47.77</v>
      </c>
      <c r="N12" s="40">
        <v>22.7</v>
      </c>
      <c r="O12" s="40">
        <v>0</v>
      </c>
      <c r="P12" s="40">
        <v>0.36</v>
      </c>
      <c r="Q12" s="40">
        <v>28.27</v>
      </c>
      <c r="R12" s="38"/>
      <c r="S12" s="38"/>
      <c r="T12" s="38"/>
      <c r="U12" s="38"/>
    </row>
    <row r="13" spans="1:21" customFormat="1">
      <c r="A13" s="39" t="s">
        <v>304</v>
      </c>
      <c r="B13" s="40">
        <v>7.04</v>
      </c>
      <c r="C13" s="40">
        <v>33.18</v>
      </c>
      <c r="D13" s="40">
        <v>22.66</v>
      </c>
      <c r="E13" s="40">
        <v>2.31</v>
      </c>
      <c r="F13" s="40">
        <v>5.0999999999999996</v>
      </c>
      <c r="G13" s="40">
        <v>31.45</v>
      </c>
      <c r="H13" s="40">
        <v>14.18</v>
      </c>
      <c r="I13" s="40">
        <v>7.31</v>
      </c>
      <c r="J13" s="40">
        <v>3.38</v>
      </c>
      <c r="K13" s="40">
        <v>265.58</v>
      </c>
      <c r="L13" s="40">
        <v>29.44</v>
      </c>
      <c r="M13" s="40">
        <v>48.72</v>
      </c>
      <c r="N13" s="40">
        <v>22.9</v>
      </c>
      <c r="O13" s="40">
        <v>0</v>
      </c>
      <c r="P13" s="40">
        <v>0.35</v>
      </c>
      <c r="Q13" s="40">
        <v>28.23</v>
      </c>
      <c r="R13" s="38"/>
      <c r="S13" s="38"/>
      <c r="T13" s="38"/>
      <c r="U13" s="38"/>
    </row>
    <row r="14" spans="1:21" customFormat="1">
      <c r="A14" s="39" t="s">
        <v>305</v>
      </c>
      <c r="B14" s="40">
        <v>7.37</v>
      </c>
      <c r="C14" s="40">
        <v>27.45</v>
      </c>
      <c r="D14" s="40">
        <v>20.25</v>
      </c>
      <c r="E14" s="40">
        <v>0.86</v>
      </c>
      <c r="F14" s="40">
        <v>6.26</v>
      </c>
      <c r="G14" s="40">
        <v>32.47</v>
      </c>
      <c r="H14" s="40">
        <v>15.58</v>
      </c>
      <c r="I14" s="40">
        <v>7.29</v>
      </c>
      <c r="J14" s="40">
        <v>3.24</v>
      </c>
      <c r="K14" s="40">
        <v>187.84</v>
      </c>
      <c r="L14" s="40">
        <v>28.72</v>
      </c>
      <c r="M14" s="40">
        <v>53.16</v>
      </c>
      <c r="N14" s="40">
        <v>42.5</v>
      </c>
      <c r="O14" s="40">
        <v>0</v>
      </c>
      <c r="P14" s="40">
        <v>0.35</v>
      </c>
      <c r="Q14" s="40">
        <v>28.24</v>
      </c>
      <c r="R14" s="38"/>
      <c r="S14" s="38"/>
      <c r="T14" s="38"/>
      <c r="U14" s="38"/>
    </row>
    <row r="15" spans="1:21" customFormat="1">
      <c r="A15" s="39" t="s">
        <v>306</v>
      </c>
      <c r="B15" s="40">
        <v>8.74</v>
      </c>
      <c r="C15" s="40">
        <v>33.46</v>
      </c>
      <c r="D15" s="40">
        <v>24.2</v>
      </c>
      <c r="E15" s="40">
        <v>0.78</v>
      </c>
      <c r="F15" s="40">
        <v>4.2300000000000004</v>
      </c>
      <c r="G15" s="40">
        <v>30.56</v>
      </c>
      <c r="H15" s="40">
        <v>12.97</v>
      </c>
      <c r="I15" s="40">
        <v>7.4</v>
      </c>
      <c r="J15" s="40">
        <v>3.43</v>
      </c>
      <c r="K15" s="40">
        <v>203.74</v>
      </c>
      <c r="L15" s="40">
        <v>29.43</v>
      </c>
      <c r="M15" s="40">
        <v>52.78</v>
      </c>
      <c r="N15" s="40">
        <v>103.3</v>
      </c>
      <c r="O15" s="40">
        <v>0</v>
      </c>
      <c r="P15" s="40">
        <v>0.36</v>
      </c>
      <c r="Q15" s="40">
        <v>27.9</v>
      </c>
      <c r="R15" s="38"/>
      <c r="S15" s="38"/>
      <c r="T15" s="38"/>
      <c r="U15" s="38"/>
    </row>
    <row r="16" spans="1:21" customFormat="1">
      <c r="A16" s="39" t="s">
        <v>307</v>
      </c>
      <c r="B16" s="40">
        <v>9.1999999999999993</v>
      </c>
      <c r="C16" s="40">
        <v>28.02</v>
      </c>
      <c r="D16" s="40">
        <v>21.81</v>
      </c>
      <c r="E16" s="40">
        <v>0.96</v>
      </c>
      <c r="F16" s="40">
        <v>5.84</v>
      </c>
      <c r="G16" s="40">
        <v>36.590000000000003</v>
      </c>
      <c r="H16" s="40">
        <v>16.86</v>
      </c>
      <c r="I16" s="40">
        <v>7.71</v>
      </c>
      <c r="J16" s="40">
        <v>3.41</v>
      </c>
      <c r="K16" s="40">
        <v>233.45</v>
      </c>
      <c r="L16" s="40">
        <v>31.57</v>
      </c>
      <c r="M16" s="40">
        <v>49.61</v>
      </c>
      <c r="N16" s="40">
        <v>224.5</v>
      </c>
      <c r="O16" s="40">
        <v>0</v>
      </c>
      <c r="P16" s="40">
        <v>0.39</v>
      </c>
      <c r="Q16" s="40">
        <v>28.06</v>
      </c>
      <c r="R16" s="38"/>
      <c r="S16" s="38"/>
      <c r="T16" s="38"/>
      <c r="U16" s="38"/>
    </row>
    <row r="17" spans="1:21" customFormat="1">
      <c r="A17" s="39" t="s">
        <v>308</v>
      </c>
      <c r="B17" s="40">
        <v>8.98</v>
      </c>
      <c r="C17" s="40">
        <v>26.8</v>
      </c>
      <c r="D17" s="40">
        <v>20.53</v>
      </c>
      <c r="E17" s="40">
        <v>0.81</v>
      </c>
      <c r="F17" s="40">
        <v>9.9700000000000006</v>
      </c>
      <c r="G17" s="40">
        <v>39.07</v>
      </c>
      <c r="H17" s="40">
        <v>16.78</v>
      </c>
      <c r="I17" s="40">
        <v>8.4600000000000009</v>
      </c>
      <c r="J17" s="40">
        <v>4.7300000000000004</v>
      </c>
      <c r="K17" s="40">
        <v>241.46</v>
      </c>
      <c r="L17" s="40">
        <v>34.090000000000003</v>
      </c>
      <c r="M17" s="40">
        <v>45.87</v>
      </c>
      <c r="N17" s="40">
        <v>404.9</v>
      </c>
      <c r="O17" s="40">
        <v>0</v>
      </c>
      <c r="P17" s="40">
        <v>0.42</v>
      </c>
      <c r="Q17" s="40">
        <v>28.05</v>
      </c>
      <c r="R17" s="38"/>
      <c r="S17" s="38"/>
      <c r="T17" s="38"/>
      <c r="U17" s="38"/>
    </row>
    <row r="18" spans="1:21" customFormat="1">
      <c r="A18" s="39" t="s">
        <v>309</v>
      </c>
      <c r="B18" s="40">
        <v>5.2</v>
      </c>
      <c r="C18" s="40">
        <v>28.36</v>
      </c>
      <c r="D18" s="40">
        <v>18.84</v>
      </c>
      <c r="E18" s="40">
        <v>0.89</v>
      </c>
      <c r="F18" s="40">
        <v>8.82</v>
      </c>
      <c r="G18" s="40">
        <v>41.09</v>
      </c>
      <c r="H18" s="40">
        <v>18.66</v>
      </c>
      <c r="I18" s="40">
        <v>8.94</v>
      </c>
      <c r="J18" s="40">
        <v>6.16</v>
      </c>
      <c r="K18" s="40">
        <v>240.18</v>
      </c>
      <c r="L18" s="40">
        <v>35.42</v>
      </c>
      <c r="M18" s="40">
        <v>37.93</v>
      </c>
      <c r="N18" s="40">
        <v>692.6</v>
      </c>
      <c r="O18" s="40">
        <v>0</v>
      </c>
      <c r="P18" s="40">
        <v>0.47</v>
      </c>
      <c r="Q18" s="40">
        <v>28.2</v>
      </c>
      <c r="R18" s="38"/>
      <c r="S18" s="38"/>
      <c r="T18" s="38"/>
      <c r="U18" s="38"/>
    </row>
    <row r="19" spans="1:21" customFormat="1">
      <c r="A19" s="39" t="s">
        <v>310</v>
      </c>
      <c r="B19" s="40">
        <v>2.5</v>
      </c>
      <c r="C19" s="40">
        <v>31.31</v>
      </c>
      <c r="D19" s="40">
        <v>18.309999999999999</v>
      </c>
      <c r="E19" s="40">
        <v>2.3199999999999998</v>
      </c>
      <c r="F19" s="40">
        <v>12.05</v>
      </c>
      <c r="G19" s="40">
        <v>45.13</v>
      </c>
      <c r="H19" s="40">
        <v>17.760000000000002</v>
      </c>
      <c r="I19" s="40">
        <v>10.25</v>
      </c>
      <c r="J19" s="40">
        <v>5.72</v>
      </c>
      <c r="K19" s="40">
        <v>245.29</v>
      </c>
      <c r="L19" s="40">
        <v>36.92</v>
      </c>
      <c r="M19" s="40">
        <v>34.35</v>
      </c>
      <c r="N19" s="40">
        <v>793</v>
      </c>
      <c r="O19" s="40">
        <v>0</v>
      </c>
      <c r="P19" s="40">
        <v>0.56000000000000005</v>
      </c>
      <c r="Q19" s="40">
        <v>28.57</v>
      </c>
      <c r="R19" s="38"/>
      <c r="S19" s="38"/>
      <c r="T19" s="38"/>
      <c r="U19" s="38"/>
    </row>
    <row r="20" spans="1:21" customFormat="1">
      <c r="A20" s="39" t="s">
        <v>311</v>
      </c>
      <c r="B20" s="40">
        <v>2.48</v>
      </c>
      <c r="C20" s="40">
        <v>25.53</v>
      </c>
      <c r="D20" s="40">
        <v>14.55</v>
      </c>
      <c r="E20" s="40">
        <v>3.35</v>
      </c>
      <c r="F20" s="40">
        <v>25.56</v>
      </c>
      <c r="G20" s="40">
        <v>47.82</v>
      </c>
      <c r="H20" s="40">
        <v>21.19</v>
      </c>
      <c r="I20" s="40">
        <v>13.48</v>
      </c>
      <c r="J20" s="40">
        <v>5.54</v>
      </c>
      <c r="K20" s="40">
        <v>243.42</v>
      </c>
      <c r="L20" s="40">
        <v>38.33</v>
      </c>
      <c r="M20" s="40">
        <v>31.89</v>
      </c>
      <c r="N20" s="40">
        <v>829.7</v>
      </c>
      <c r="O20" s="40">
        <v>0</v>
      </c>
      <c r="P20" s="40">
        <v>0.69</v>
      </c>
      <c r="Q20" s="40">
        <v>28.45</v>
      </c>
      <c r="R20" s="38"/>
      <c r="S20" s="38"/>
      <c r="T20" s="38"/>
      <c r="U20" s="38"/>
    </row>
    <row r="21" spans="1:21" customFormat="1">
      <c r="A21" s="39" t="s">
        <v>312</v>
      </c>
      <c r="B21" s="40">
        <v>2.2599999999999998</v>
      </c>
      <c r="C21" s="40">
        <v>21.05</v>
      </c>
      <c r="D21" s="40">
        <v>12.1</v>
      </c>
      <c r="E21" s="40">
        <v>6.72</v>
      </c>
      <c r="F21" s="40">
        <v>30.93</v>
      </c>
      <c r="G21" s="40">
        <v>52.42</v>
      </c>
      <c r="H21" s="40">
        <v>23.02</v>
      </c>
      <c r="I21" s="40">
        <v>13.36</v>
      </c>
      <c r="J21" s="40">
        <v>4.33</v>
      </c>
      <c r="K21" s="40">
        <v>256.14999999999998</v>
      </c>
      <c r="L21" s="40">
        <v>39.61</v>
      </c>
      <c r="M21" s="40">
        <v>27.56</v>
      </c>
      <c r="N21" s="40">
        <v>876.8</v>
      </c>
      <c r="O21" s="40">
        <v>0</v>
      </c>
      <c r="P21" s="40">
        <v>0.69</v>
      </c>
      <c r="Q21" s="40">
        <v>28.79</v>
      </c>
      <c r="R21" s="38"/>
      <c r="S21" s="38"/>
      <c r="T21" s="38"/>
      <c r="U21" s="38"/>
    </row>
    <row r="22" spans="1:21" customFormat="1">
      <c r="A22" s="39" t="s">
        <v>313</v>
      </c>
      <c r="B22" s="40">
        <v>3.07</v>
      </c>
      <c r="C22" s="40">
        <v>21.84</v>
      </c>
      <c r="D22" s="40">
        <v>12.9</v>
      </c>
      <c r="E22" s="40">
        <v>9.0299999999999994</v>
      </c>
      <c r="F22" s="40">
        <v>22.56</v>
      </c>
      <c r="G22" s="40">
        <v>52.79</v>
      </c>
      <c r="H22" s="40">
        <v>26.21</v>
      </c>
      <c r="I22" s="40">
        <v>12.64</v>
      </c>
      <c r="J22" s="40">
        <v>5.01</v>
      </c>
      <c r="K22" s="40">
        <v>253.61</v>
      </c>
      <c r="L22" s="40">
        <v>40.880000000000003</v>
      </c>
      <c r="M22" s="40">
        <v>23.34</v>
      </c>
      <c r="N22" s="40">
        <v>849.3</v>
      </c>
      <c r="O22" s="40">
        <v>0</v>
      </c>
      <c r="P22" s="40">
        <v>0.63</v>
      </c>
      <c r="Q22" s="40">
        <v>28.72</v>
      </c>
      <c r="R22" s="38"/>
      <c r="S22" s="38"/>
      <c r="T22" s="38"/>
      <c r="U22" s="38"/>
    </row>
    <row r="23" spans="1:21" customFormat="1">
      <c r="A23" s="39" t="s">
        <v>314</v>
      </c>
      <c r="B23" s="40">
        <v>2.97</v>
      </c>
      <c r="C23" s="40">
        <v>18.93</v>
      </c>
      <c r="D23" s="40">
        <v>12.02</v>
      </c>
      <c r="E23" s="40">
        <v>9.74</v>
      </c>
      <c r="F23" s="40">
        <v>26.98</v>
      </c>
      <c r="G23" s="40">
        <v>57.52</v>
      </c>
      <c r="H23" s="40">
        <v>21.24</v>
      </c>
      <c r="I23" s="40">
        <v>12.26</v>
      </c>
      <c r="J23" s="40">
        <v>3.48</v>
      </c>
      <c r="K23" s="40">
        <v>273.23</v>
      </c>
      <c r="L23" s="40">
        <v>41.2</v>
      </c>
      <c r="M23" s="40">
        <v>23.06</v>
      </c>
      <c r="N23" s="40">
        <v>597.70000000000005</v>
      </c>
      <c r="O23" s="40">
        <v>0</v>
      </c>
      <c r="P23" s="40">
        <v>0.56999999999999995</v>
      </c>
      <c r="Q23" s="40">
        <v>28.95</v>
      </c>
      <c r="R23" s="38"/>
      <c r="S23" s="38"/>
      <c r="T23" s="38"/>
      <c r="U23" s="38"/>
    </row>
    <row r="24" spans="1:21" customFormat="1">
      <c r="A24" s="39" t="s">
        <v>315</v>
      </c>
      <c r="B24" s="40">
        <v>2.15</v>
      </c>
      <c r="C24" s="40">
        <v>17.66</v>
      </c>
      <c r="D24" s="40">
        <v>10.95</v>
      </c>
      <c r="E24" s="40">
        <v>7.62</v>
      </c>
      <c r="F24" s="40">
        <v>16.239999999999998</v>
      </c>
      <c r="G24" s="40">
        <v>52.6</v>
      </c>
      <c r="H24" s="40">
        <v>23.79</v>
      </c>
      <c r="I24" s="40">
        <v>10.97</v>
      </c>
      <c r="J24" s="40">
        <v>3.98</v>
      </c>
      <c r="K24" s="40">
        <v>239.12</v>
      </c>
      <c r="L24" s="40">
        <v>40.15</v>
      </c>
      <c r="M24" s="40">
        <v>34.86</v>
      </c>
      <c r="N24" s="40">
        <v>545.79999999999995</v>
      </c>
      <c r="O24" s="40">
        <v>0</v>
      </c>
      <c r="P24" s="40">
        <v>0.55000000000000004</v>
      </c>
      <c r="Q24" s="40">
        <v>28.94</v>
      </c>
      <c r="R24" s="38"/>
      <c r="S24" s="38"/>
      <c r="T24" s="38"/>
      <c r="U24" s="38"/>
    </row>
    <row r="25" spans="1:21" customFormat="1">
      <c r="A25" s="39" t="s">
        <v>316</v>
      </c>
      <c r="B25" s="40">
        <v>2.2000000000000002</v>
      </c>
      <c r="C25" s="40">
        <v>17.86</v>
      </c>
      <c r="D25" s="40">
        <v>11.1</v>
      </c>
      <c r="E25" s="40">
        <v>6.88</v>
      </c>
      <c r="F25" s="40">
        <v>22.05</v>
      </c>
      <c r="G25" s="40">
        <v>57.19</v>
      </c>
      <c r="H25" s="40">
        <v>30.32</v>
      </c>
      <c r="I25" s="40">
        <v>10.38</v>
      </c>
      <c r="J25" s="40">
        <v>2.72</v>
      </c>
      <c r="K25" s="40">
        <v>240.55</v>
      </c>
      <c r="L25" s="40">
        <v>36.35</v>
      </c>
      <c r="M25" s="40">
        <v>35.049999999999997</v>
      </c>
      <c r="N25" s="40">
        <v>293.7</v>
      </c>
      <c r="O25" s="40">
        <v>0</v>
      </c>
      <c r="P25" s="40">
        <v>0.49</v>
      </c>
      <c r="Q25" s="40">
        <v>29.01</v>
      </c>
      <c r="R25" s="38"/>
      <c r="S25" s="38"/>
      <c r="T25" s="38"/>
      <c r="U25" s="38"/>
    </row>
    <row r="26" spans="1:21" customFormat="1">
      <c r="A26" s="39" t="s">
        <v>317</v>
      </c>
      <c r="B26" s="40">
        <v>1.66</v>
      </c>
      <c r="C26" s="40">
        <v>19.399999999999999</v>
      </c>
      <c r="D26" s="40">
        <v>11.47</v>
      </c>
      <c r="E26" s="40">
        <v>7.2</v>
      </c>
      <c r="F26" s="40">
        <v>11.36</v>
      </c>
      <c r="G26" s="40">
        <v>54.66</v>
      </c>
      <c r="H26" s="40">
        <v>24.21</v>
      </c>
      <c r="I26" s="40">
        <v>9.25</v>
      </c>
      <c r="J26" s="40">
        <v>4.5599999999999996</v>
      </c>
      <c r="K26" s="40">
        <v>210.23</v>
      </c>
      <c r="L26" s="40">
        <v>36.32</v>
      </c>
      <c r="M26" s="40">
        <v>37.979999999999997</v>
      </c>
      <c r="N26" s="40">
        <v>208.5</v>
      </c>
      <c r="O26" s="40">
        <v>0</v>
      </c>
      <c r="P26" s="40">
        <v>0.41</v>
      </c>
      <c r="Q26" s="40">
        <v>28.91</v>
      </c>
      <c r="R26" s="38"/>
      <c r="S26" s="38"/>
      <c r="T26" s="38"/>
      <c r="U26" s="38"/>
    </row>
    <row r="27" spans="1:21" customFormat="1">
      <c r="A27" s="39" t="s">
        <v>318</v>
      </c>
      <c r="B27" s="40">
        <v>1.87</v>
      </c>
      <c r="C27" s="40">
        <v>18.43</v>
      </c>
      <c r="D27" s="40">
        <v>11.08</v>
      </c>
      <c r="E27" s="40">
        <v>6.39</v>
      </c>
      <c r="F27" s="40">
        <v>12.79</v>
      </c>
      <c r="G27" s="40">
        <v>51.21</v>
      </c>
      <c r="H27" s="40">
        <v>20.09</v>
      </c>
      <c r="I27" s="40">
        <v>8.27</v>
      </c>
      <c r="J27" s="40">
        <v>4.84</v>
      </c>
      <c r="K27" s="40">
        <v>215.23</v>
      </c>
      <c r="L27" s="40">
        <v>34.590000000000003</v>
      </c>
      <c r="M27" s="40">
        <v>41.85</v>
      </c>
      <c r="N27" s="40">
        <v>57</v>
      </c>
      <c r="O27" s="40">
        <v>0</v>
      </c>
      <c r="P27" s="40">
        <v>0.38</v>
      </c>
      <c r="Q27" s="40">
        <v>28.86</v>
      </c>
      <c r="R27" s="38"/>
      <c r="S27" s="38"/>
      <c r="T27" s="38"/>
      <c r="U27" s="38"/>
    </row>
    <row r="28" spans="1:21" customFormat="1">
      <c r="A28" s="39" t="s">
        <v>319</v>
      </c>
      <c r="B28" s="40">
        <v>1.97</v>
      </c>
      <c r="C28" s="40">
        <v>27.9</v>
      </c>
      <c r="D28" s="40">
        <v>16.149999999999999</v>
      </c>
      <c r="E28" s="40">
        <v>6.46</v>
      </c>
      <c r="F28" s="40">
        <v>11.81</v>
      </c>
      <c r="G28" s="40">
        <v>35.409999999999997</v>
      </c>
      <c r="H28" s="40">
        <v>20.76</v>
      </c>
      <c r="I28" s="40">
        <v>7.74</v>
      </c>
      <c r="J28" s="40">
        <v>4.25</v>
      </c>
      <c r="K28" s="40">
        <v>217.09</v>
      </c>
      <c r="L28" s="40">
        <v>32.22</v>
      </c>
      <c r="M28" s="40">
        <v>41.68</v>
      </c>
      <c r="N28" s="40">
        <v>23.2</v>
      </c>
      <c r="O28" s="40">
        <v>0</v>
      </c>
      <c r="P28" s="40">
        <v>0.38</v>
      </c>
      <c r="Q28" s="40">
        <v>28.81</v>
      </c>
      <c r="R28" s="38"/>
      <c r="S28" s="38"/>
      <c r="T28" s="38"/>
      <c r="U28" s="38"/>
    </row>
    <row r="29" spans="1:21" customFormat="1">
      <c r="A29" s="39" t="s">
        <v>320</v>
      </c>
      <c r="B29" s="40">
        <v>2.75</v>
      </c>
      <c r="C29" s="40">
        <v>28.05</v>
      </c>
      <c r="D29" s="40">
        <v>16.399999999999999</v>
      </c>
      <c r="E29" s="40">
        <v>6.66</v>
      </c>
      <c r="F29" s="40">
        <v>7.73</v>
      </c>
      <c r="G29" s="40">
        <v>36.869999999999997</v>
      </c>
      <c r="H29" s="40">
        <v>20.92</v>
      </c>
      <c r="I29" s="40">
        <v>7.51</v>
      </c>
      <c r="J29" s="40">
        <v>4.7699999999999996</v>
      </c>
      <c r="K29" s="40">
        <v>215.19</v>
      </c>
      <c r="L29" s="40">
        <v>32.54</v>
      </c>
      <c r="M29" s="40">
        <v>42.27</v>
      </c>
      <c r="N29" s="40">
        <v>23.2</v>
      </c>
      <c r="O29" s="40">
        <v>0</v>
      </c>
      <c r="P29" s="40">
        <v>0.37</v>
      </c>
      <c r="Q29" s="40">
        <v>28.77</v>
      </c>
      <c r="R29" s="38"/>
      <c r="S29" s="38"/>
      <c r="T29" s="38"/>
      <c r="U29" s="38"/>
    </row>
    <row r="30" spans="1:21" customFormat="1">
      <c r="A30" s="39" t="s">
        <v>321</v>
      </c>
      <c r="B30" s="40">
        <v>2.38</v>
      </c>
      <c r="C30" s="40">
        <v>30.62</v>
      </c>
      <c r="D30" s="40">
        <v>17.89</v>
      </c>
      <c r="E30" s="40">
        <v>6.6</v>
      </c>
      <c r="F30" s="40">
        <v>11.71</v>
      </c>
      <c r="G30" s="40">
        <v>33.33</v>
      </c>
      <c r="H30" s="40">
        <v>15.92</v>
      </c>
      <c r="I30" s="40">
        <v>7.44</v>
      </c>
      <c r="J30" s="40">
        <v>4.16</v>
      </c>
      <c r="K30" s="40">
        <v>206.89</v>
      </c>
      <c r="L30" s="40">
        <v>31.78</v>
      </c>
      <c r="M30" s="40">
        <v>47.44</v>
      </c>
      <c r="N30" s="40">
        <v>23.3</v>
      </c>
      <c r="O30" s="40">
        <v>0</v>
      </c>
      <c r="P30" s="40">
        <v>0.37</v>
      </c>
      <c r="Q30" s="40">
        <v>28.86</v>
      </c>
      <c r="R30" s="38"/>
      <c r="S30" s="38"/>
      <c r="T30" s="38"/>
      <c r="U30" s="38"/>
    </row>
    <row r="31" spans="1:21" customFormat="1">
      <c r="A31" s="39" t="s">
        <v>322</v>
      </c>
      <c r="B31" s="40">
        <v>2.66</v>
      </c>
      <c r="C31" s="40">
        <v>21.44</v>
      </c>
      <c r="D31" s="40">
        <v>13.33</v>
      </c>
      <c r="E31" s="40">
        <v>6.15</v>
      </c>
      <c r="F31" s="40">
        <v>10.84</v>
      </c>
      <c r="G31" s="40">
        <v>30.5</v>
      </c>
      <c r="H31" s="40">
        <v>11.62</v>
      </c>
      <c r="I31" s="40">
        <v>6.72</v>
      </c>
      <c r="J31" s="40">
        <v>3.85</v>
      </c>
      <c r="K31" s="40">
        <v>203.21</v>
      </c>
      <c r="L31" s="40">
        <v>30.79</v>
      </c>
      <c r="M31" s="40">
        <v>48.61</v>
      </c>
      <c r="N31" s="40">
        <v>22.7</v>
      </c>
      <c r="O31" s="40">
        <v>0</v>
      </c>
      <c r="P31" s="40">
        <v>0.36</v>
      </c>
      <c r="Q31" s="40">
        <v>28.78</v>
      </c>
      <c r="R31" s="38"/>
      <c r="S31" s="38"/>
      <c r="T31" s="38"/>
      <c r="U31" s="38"/>
    </row>
    <row r="32" spans="1:21" customFormat="1">
      <c r="A32" s="39" t="s">
        <v>323</v>
      </c>
      <c r="B32" s="40">
        <v>3.81</v>
      </c>
      <c r="C32" s="40">
        <v>31.72</v>
      </c>
      <c r="D32" s="40">
        <v>19.21</v>
      </c>
      <c r="E32" s="40">
        <v>1.1100000000000001</v>
      </c>
      <c r="F32" s="40">
        <v>5.13</v>
      </c>
      <c r="G32" s="40">
        <v>26.54</v>
      </c>
      <c r="H32" s="40">
        <v>13.54</v>
      </c>
      <c r="I32" s="40">
        <v>6.78</v>
      </c>
      <c r="J32" s="40">
        <v>4.38</v>
      </c>
      <c r="K32" s="40">
        <v>216.45</v>
      </c>
      <c r="L32" s="40">
        <v>30.88</v>
      </c>
      <c r="M32" s="40">
        <v>51.06</v>
      </c>
      <c r="N32" s="40">
        <v>23.2</v>
      </c>
      <c r="O32" s="40">
        <v>0</v>
      </c>
      <c r="P32" s="40">
        <v>0.4</v>
      </c>
      <c r="Q32" s="40">
        <v>28.39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1.66</v>
      </c>
      <c r="C34" s="18">
        <f t="shared" si="0"/>
        <v>17.66</v>
      </c>
      <c r="D34" s="18">
        <f t="shared" si="0"/>
        <v>10.95</v>
      </c>
      <c r="E34" s="18">
        <f t="shared" si="0"/>
        <v>0.78</v>
      </c>
      <c r="F34" s="18">
        <f t="shared" si="0"/>
        <v>4.2300000000000004</v>
      </c>
      <c r="G34" s="18">
        <f t="shared" si="0"/>
        <v>26.54</v>
      </c>
      <c r="H34" s="18">
        <f t="shared" si="0"/>
        <v>11.62</v>
      </c>
      <c r="I34" s="18">
        <f t="shared" si="0"/>
        <v>6.72</v>
      </c>
      <c r="J34" s="18">
        <f t="shared" si="0"/>
        <v>2.72</v>
      </c>
      <c r="K34" s="18">
        <f t="shared" si="0"/>
        <v>187.84</v>
      </c>
      <c r="L34" s="18">
        <f t="shared" si="0"/>
        <v>28.72</v>
      </c>
      <c r="M34" s="18">
        <f t="shared" si="0"/>
        <v>23.06</v>
      </c>
      <c r="N34" s="18">
        <f t="shared" si="0"/>
        <v>22.7</v>
      </c>
      <c r="O34" s="18">
        <f t="shared" si="0"/>
        <v>0</v>
      </c>
      <c r="P34" s="18">
        <f t="shared" si="0"/>
        <v>0.35</v>
      </c>
      <c r="Q34" s="18">
        <f t="shared" si="0"/>
        <v>27.74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9.1999999999999993</v>
      </c>
      <c r="C35" s="3">
        <f t="shared" si="1"/>
        <v>42.34</v>
      </c>
      <c r="D35" s="3">
        <f t="shared" si="1"/>
        <v>26.49</v>
      </c>
      <c r="E35" s="3">
        <f t="shared" si="1"/>
        <v>9.74</v>
      </c>
      <c r="F35" s="3">
        <f t="shared" si="1"/>
        <v>30.93</v>
      </c>
      <c r="G35" s="3">
        <f t="shared" si="1"/>
        <v>57.52</v>
      </c>
      <c r="H35" s="3">
        <f t="shared" si="1"/>
        <v>30.32</v>
      </c>
      <c r="I35" s="3">
        <f t="shared" si="1"/>
        <v>13.48</v>
      </c>
      <c r="J35" s="3">
        <f t="shared" si="1"/>
        <v>6.16</v>
      </c>
      <c r="K35" s="3">
        <f t="shared" si="1"/>
        <v>273.23</v>
      </c>
      <c r="L35" s="3">
        <f t="shared" si="1"/>
        <v>41.2</v>
      </c>
      <c r="M35" s="3">
        <f t="shared" si="1"/>
        <v>53.16</v>
      </c>
      <c r="N35" s="3">
        <f t="shared" si="1"/>
        <v>876.8</v>
      </c>
      <c r="O35" s="3">
        <f t="shared" si="1"/>
        <v>0</v>
      </c>
      <c r="P35" s="3">
        <f t="shared" si="1"/>
        <v>0.69</v>
      </c>
      <c r="Q35" s="3">
        <f t="shared" si="1"/>
        <v>29.01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4.385416666666667</v>
      </c>
      <c r="C36" s="18">
        <f t="shared" si="2"/>
        <v>27.005000000000006</v>
      </c>
      <c r="D36" s="18">
        <f t="shared" si="2"/>
        <v>17.367916666666662</v>
      </c>
      <c r="E36" s="18">
        <f t="shared" si="2"/>
        <v>4.2849999999999993</v>
      </c>
      <c r="F36" s="18">
        <f t="shared" si="2"/>
        <v>12.621666666666664</v>
      </c>
      <c r="G36" s="18">
        <f t="shared" si="2"/>
        <v>41.463333333333331</v>
      </c>
      <c r="H36" s="18">
        <f t="shared" si="2"/>
        <v>19.013333333333332</v>
      </c>
      <c r="I36" s="18">
        <f t="shared" si="2"/>
        <v>8.9616666666666678</v>
      </c>
      <c r="J36" s="18">
        <f t="shared" si="2"/>
        <v>4.1383333333333328</v>
      </c>
      <c r="K36" s="18">
        <f t="shared" si="2"/>
        <v>229.49208333333331</v>
      </c>
      <c r="L36" s="18">
        <f t="shared" si="2"/>
        <v>34.009166666666665</v>
      </c>
      <c r="M36" s="18">
        <f t="shared" si="2"/>
        <v>41.032499999999999</v>
      </c>
      <c r="N36" s="18">
        <f t="shared" si="2"/>
        <v>281.20416666666665</v>
      </c>
      <c r="O36" s="18">
        <f t="shared" si="2"/>
        <v>0</v>
      </c>
      <c r="P36" s="18">
        <f t="shared" si="2"/>
        <v>0.44541666666666663</v>
      </c>
      <c r="Q36" s="18">
        <f t="shared" si="2"/>
        <v>28.492499999999996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2.5120111104134422</v>
      </c>
      <c r="C37" s="18">
        <f t="shared" ref="C37:Q37" si="3">STDEV(C9:C32)</f>
        <v>6.3879540168772992</v>
      </c>
      <c r="D37" s="18">
        <f t="shared" si="3"/>
        <v>4.7490841031551252</v>
      </c>
      <c r="E37" s="18">
        <f t="shared" si="3"/>
        <v>2.9370556093090761</v>
      </c>
      <c r="F37" s="18">
        <f t="shared" si="3"/>
        <v>7.5212069259653056</v>
      </c>
      <c r="G37" s="18">
        <f t="shared" si="3"/>
        <v>9.491352891455735</v>
      </c>
      <c r="H37" s="18">
        <f t="shared" si="3"/>
        <v>4.4608486876930513</v>
      </c>
      <c r="I37" s="18">
        <f t="shared" si="3"/>
        <v>2.1296512608297204</v>
      </c>
      <c r="J37" s="18">
        <f t="shared" si="3"/>
        <v>0.90325819250026329</v>
      </c>
      <c r="K37" s="18">
        <f t="shared" si="3"/>
        <v>22.513280327912867</v>
      </c>
      <c r="L37" s="18">
        <f t="shared" si="3"/>
        <v>3.8979447390138655</v>
      </c>
      <c r="M37" s="18">
        <f t="shared" si="3"/>
        <v>8.7360687855629227</v>
      </c>
      <c r="N37" s="18">
        <f t="shared" si="3"/>
        <v>323.66335097519584</v>
      </c>
      <c r="O37" s="18">
        <f t="shared" si="3"/>
        <v>0</v>
      </c>
      <c r="P37" s="18">
        <f t="shared" si="3"/>
        <v>0.10978156836929961</v>
      </c>
      <c r="Q37" s="18">
        <f t="shared" si="3"/>
        <v>0.38059735656739296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324</v>
      </c>
      <c r="B9" s="40">
        <v>3.59</v>
      </c>
      <c r="C9" s="40">
        <v>30.59</v>
      </c>
      <c r="D9" s="40">
        <v>18.829999999999998</v>
      </c>
      <c r="E9" s="40">
        <v>0.87</v>
      </c>
      <c r="F9" s="40">
        <v>5.36</v>
      </c>
      <c r="G9" s="40">
        <v>29.56</v>
      </c>
      <c r="H9" s="40">
        <v>16.09</v>
      </c>
      <c r="I9" s="40">
        <v>6.68</v>
      </c>
      <c r="J9" s="40">
        <v>4.47</v>
      </c>
      <c r="K9" s="40">
        <v>220.67</v>
      </c>
      <c r="L9" s="40">
        <v>29.88</v>
      </c>
      <c r="M9" s="40">
        <v>57.48</v>
      </c>
      <c r="N9" s="40">
        <v>23.2</v>
      </c>
      <c r="O9" s="40">
        <v>0</v>
      </c>
      <c r="P9" s="40">
        <v>0.39</v>
      </c>
      <c r="Q9" s="40">
        <v>28.58</v>
      </c>
      <c r="R9" s="38"/>
      <c r="S9" s="38"/>
      <c r="T9" s="38"/>
      <c r="U9" s="38"/>
    </row>
    <row r="10" spans="1:21" customFormat="1">
      <c r="A10" s="39" t="s">
        <v>325</v>
      </c>
      <c r="B10" s="40">
        <v>3.28</v>
      </c>
      <c r="C10" s="40">
        <v>23.73</v>
      </c>
      <c r="D10" s="40">
        <v>15.03</v>
      </c>
      <c r="E10" s="40">
        <v>0.87</v>
      </c>
      <c r="F10" s="40">
        <v>6.55</v>
      </c>
      <c r="G10" s="40">
        <v>26.87</v>
      </c>
      <c r="H10" s="40">
        <v>13.19</v>
      </c>
      <c r="I10" s="40">
        <v>6.5</v>
      </c>
      <c r="J10" s="40">
        <v>4.12</v>
      </c>
      <c r="K10" s="40">
        <v>263.73</v>
      </c>
      <c r="L10" s="40">
        <v>28.91</v>
      </c>
      <c r="M10" s="40">
        <v>58.89</v>
      </c>
      <c r="N10" s="40">
        <v>23.2</v>
      </c>
      <c r="O10" s="40">
        <v>0</v>
      </c>
      <c r="P10" s="40">
        <v>0.38</v>
      </c>
      <c r="Q10" s="40">
        <v>28.51</v>
      </c>
      <c r="R10" s="38"/>
      <c r="S10" s="38"/>
      <c r="T10" s="38"/>
      <c r="U10" s="38"/>
    </row>
    <row r="11" spans="1:21" customFormat="1">
      <c r="A11" s="39" t="s">
        <v>326</v>
      </c>
      <c r="B11" s="40">
        <v>4.3499999999999996</v>
      </c>
      <c r="C11" s="40">
        <v>29.5</v>
      </c>
      <c r="D11" s="40">
        <v>18.579999999999998</v>
      </c>
      <c r="E11" s="40">
        <v>0.79</v>
      </c>
      <c r="F11" s="40">
        <v>6.07</v>
      </c>
      <c r="G11" s="40">
        <v>24.25</v>
      </c>
      <c r="H11" s="40">
        <v>9.57</v>
      </c>
      <c r="I11" s="40">
        <v>5.93</v>
      </c>
      <c r="J11" s="40">
        <v>2.79</v>
      </c>
      <c r="K11" s="40">
        <v>161.52000000000001</v>
      </c>
      <c r="L11" s="40">
        <v>28.78</v>
      </c>
      <c r="M11" s="40">
        <v>58.71</v>
      </c>
      <c r="N11" s="40">
        <v>22.7</v>
      </c>
      <c r="O11" s="40">
        <v>0</v>
      </c>
      <c r="P11" s="40">
        <v>0.37</v>
      </c>
      <c r="Q11" s="40">
        <v>28.43</v>
      </c>
      <c r="R11" s="38"/>
      <c r="S11" s="38"/>
      <c r="T11" s="38"/>
      <c r="U11" s="38"/>
    </row>
    <row r="12" spans="1:21" customFormat="1">
      <c r="A12" s="39" t="s">
        <v>327</v>
      </c>
      <c r="B12" s="40">
        <v>5.9</v>
      </c>
      <c r="C12" s="40">
        <v>26.13</v>
      </c>
      <c r="D12" s="40">
        <v>18.38</v>
      </c>
      <c r="E12" s="40">
        <v>0.44</v>
      </c>
      <c r="F12" s="40">
        <v>6.78</v>
      </c>
      <c r="G12" s="40">
        <v>21.47</v>
      </c>
      <c r="H12" s="40">
        <v>9.77</v>
      </c>
      <c r="I12" s="40">
        <v>5.95</v>
      </c>
      <c r="J12" s="40">
        <v>0.94</v>
      </c>
      <c r="K12" s="40">
        <v>293.58999999999997</v>
      </c>
      <c r="L12" s="40">
        <v>28.93</v>
      </c>
      <c r="M12" s="40">
        <v>55.46</v>
      </c>
      <c r="N12" s="40">
        <v>22.5</v>
      </c>
      <c r="O12" s="40">
        <v>0</v>
      </c>
      <c r="P12" s="40">
        <v>0.36</v>
      </c>
      <c r="Q12" s="40">
        <v>28.37</v>
      </c>
      <c r="R12" s="38"/>
      <c r="S12" s="38"/>
      <c r="T12" s="38"/>
      <c r="U12" s="38"/>
    </row>
    <row r="13" spans="1:21" customFormat="1">
      <c r="A13" s="39" t="s">
        <v>328</v>
      </c>
      <c r="B13" s="40">
        <v>6.87</v>
      </c>
      <c r="C13" s="40">
        <v>25.95</v>
      </c>
      <c r="D13" s="40">
        <v>19.059999999999999</v>
      </c>
      <c r="E13" s="40">
        <v>0.73</v>
      </c>
      <c r="F13" s="40">
        <v>5.7</v>
      </c>
      <c r="G13" s="40">
        <v>22.77</v>
      </c>
      <c r="H13" s="40">
        <v>10.06</v>
      </c>
      <c r="I13" s="40">
        <v>6.07</v>
      </c>
      <c r="J13" s="40">
        <v>3.38</v>
      </c>
      <c r="K13" s="40">
        <v>121.93</v>
      </c>
      <c r="L13" s="40">
        <v>28.54</v>
      </c>
      <c r="M13" s="40">
        <v>59.54</v>
      </c>
      <c r="N13" s="40">
        <v>22.9</v>
      </c>
      <c r="O13" s="40">
        <v>0</v>
      </c>
      <c r="P13" s="40">
        <v>0.36</v>
      </c>
      <c r="Q13" s="40">
        <v>28.15</v>
      </c>
      <c r="R13" s="38"/>
      <c r="S13" s="38"/>
      <c r="T13" s="38"/>
      <c r="U13" s="38"/>
    </row>
    <row r="14" spans="1:21" customFormat="1">
      <c r="A14" s="39" t="s">
        <v>329</v>
      </c>
      <c r="B14" s="40">
        <v>8.85</v>
      </c>
      <c r="C14" s="40">
        <v>35.11</v>
      </c>
      <c r="D14" s="40">
        <v>25.44</v>
      </c>
      <c r="E14" s="40">
        <v>0.76</v>
      </c>
      <c r="F14" s="40">
        <v>4.8499999999999996</v>
      </c>
      <c r="G14" s="40">
        <v>34.19</v>
      </c>
      <c r="H14" s="40">
        <v>16.54</v>
      </c>
      <c r="I14" s="40">
        <v>6.92</v>
      </c>
      <c r="J14" s="40">
        <v>3.31</v>
      </c>
      <c r="K14" s="40">
        <v>133.93</v>
      </c>
      <c r="L14" s="40">
        <v>28.09</v>
      </c>
      <c r="M14" s="40">
        <v>60.86</v>
      </c>
      <c r="N14" s="40">
        <v>42.9</v>
      </c>
      <c r="O14" s="40">
        <v>0</v>
      </c>
      <c r="P14" s="40">
        <v>0.42</v>
      </c>
      <c r="Q14" s="40">
        <v>27.9</v>
      </c>
      <c r="R14" s="38"/>
      <c r="S14" s="38"/>
      <c r="T14" s="38"/>
      <c r="U14" s="38"/>
    </row>
    <row r="15" spans="1:21" customFormat="1">
      <c r="A15" s="39" t="s">
        <v>330</v>
      </c>
      <c r="B15" s="40">
        <v>11.86</v>
      </c>
      <c r="C15" s="40">
        <v>34.39</v>
      </c>
      <c r="D15" s="40">
        <v>26.44</v>
      </c>
      <c r="E15" s="40">
        <v>1.28</v>
      </c>
      <c r="F15" s="40">
        <v>2.79</v>
      </c>
      <c r="G15" s="40">
        <v>55.78</v>
      </c>
      <c r="H15" s="40">
        <v>27.69</v>
      </c>
      <c r="I15" s="40">
        <v>8.4700000000000006</v>
      </c>
      <c r="J15" s="40">
        <v>3.68</v>
      </c>
      <c r="K15" s="40">
        <v>256.64999999999998</v>
      </c>
      <c r="L15" s="40">
        <v>29.72</v>
      </c>
      <c r="M15" s="40">
        <v>57.79</v>
      </c>
      <c r="N15" s="40">
        <v>110.4</v>
      </c>
      <c r="O15" s="40">
        <v>0</v>
      </c>
      <c r="P15" s="40">
        <v>0.51</v>
      </c>
      <c r="Q15" s="40">
        <v>27.8</v>
      </c>
      <c r="R15" s="38"/>
      <c r="S15" s="38"/>
      <c r="T15" s="38"/>
      <c r="U15" s="38"/>
    </row>
    <row r="16" spans="1:21" customFormat="1">
      <c r="A16" s="39" t="s">
        <v>331</v>
      </c>
      <c r="B16" s="40">
        <v>13.78</v>
      </c>
      <c r="C16" s="40">
        <v>33.119999999999997</v>
      </c>
      <c r="D16" s="40">
        <v>27.45</v>
      </c>
      <c r="E16" s="40">
        <v>0.88</v>
      </c>
      <c r="F16" s="40">
        <v>4.97</v>
      </c>
      <c r="G16" s="40">
        <v>82.52</v>
      </c>
      <c r="H16" s="40">
        <v>37.880000000000003</v>
      </c>
      <c r="I16" s="40">
        <v>9.66</v>
      </c>
      <c r="J16" s="40">
        <v>3.86</v>
      </c>
      <c r="K16" s="40">
        <v>238.16</v>
      </c>
      <c r="L16" s="40">
        <v>31.14</v>
      </c>
      <c r="M16" s="40">
        <v>58.47</v>
      </c>
      <c r="N16" s="40">
        <v>243.7</v>
      </c>
      <c r="O16" s="40">
        <v>0</v>
      </c>
      <c r="P16" s="40">
        <v>0.59</v>
      </c>
      <c r="Q16" s="40">
        <v>27.6</v>
      </c>
      <c r="R16" s="38"/>
      <c r="S16" s="38"/>
      <c r="T16" s="38"/>
      <c r="U16" s="38"/>
    </row>
    <row r="17" spans="1:21" customFormat="1">
      <c r="A17" s="39" t="s">
        <v>332</v>
      </c>
      <c r="B17" s="40">
        <v>13.72</v>
      </c>
      <c r="C17" s="40">
        <v>26.23</v>
      </c>
      <c r="D17" s="40">
        <v>24.71</v>
      </c>
      <c r="E17" s="40">
        <v>0.65</v>
      </c>
      <c r="F17" s="40">
        <v>5.81</v>
      </c>
      <c r="G17" s="40">
        <v>86.06</v>
      </c>
      <c r="H17" s="40">
        <v>39.44</v>
      </c>
      <c r="I17" s="40">
        <v>10.42</v>
      </c>
      <c r="J17" s="40">
        <v>3.31</v>
      </c>
      <c r="K17" s="40">
        <v>207.29</v>
      </c>
      <c r="L17" s="40">
        <v>33.770000000000003</v>
      </c>
      <c r="M17" s="40">
        <v>48.85</v>
      </c>
      <c r="N17" s="40">
        <v>416.8</v>
      </c>
      <c r="O17" s="40">
        <v>0</v>
      </c>
      <c r="P17" s="40">
        <v>0.59</v>
      </c>
      <c r="Q17" s="40">
        <v>27.6</v>
      </c>
      <c r="R17" s="38"/>
      <c r="S17" s="38"/>
      <c r="T17" s="38"/>
      <c r="U17" s="38"/>
    </row>
    <row r="18" spans="1:21" customFormat="1">
      <c r="A18" s="39" t="s">
        <v>333</v>
      </c>
      <c r="B18" s="40">
        <v>11.47</v>
      </c>
      <c r="C18" s="40">
        <v>28.94</v>
      </c>
      <c r="D18" s="40">
        <v>24.3</v>
      </c>
      <c r="E18" s="40">
        <v>0.75</v>
      </c>
      <c r="F18" s="40">
        <v>8.8000000000000007</v>
      </c>
      <c r="G18" s="40">
        <v>73.010000000000005</v>
      </c>
      <c r="H18" s="40">
        <v>35.97</v>
      </c>
      <c r="I18" s="40">
        <v>11.91</v>
      </c>
      <c r="J18" s="40">
        <v>3.81</v>
      </c>
      <c r="K18" s="40">
        <v>236.31</v>
      </c>
      <c r="L18" s="40">
        <v>37.35</v>
      </c>
      <c r="M18" s="40">
        <v>41.55</v>
      </c>
      <c r="N18" s="40">
        <v>747.7</v>
      </c>
      <c r="O18" s="40">
        <v>0</v>
      </c>
      <c r="P18" s="40">
        <v>0.66</v>
      </c>
      <c r="Q18" s="40">
        <v>27.98</v>
      </c>
      <c r="R18" s="38"/>
      <c r="S18" s="38"/>
      <c r="T18" s="38"/>
      <c r="U18" s="38"/>
    </row>
    <row r="19" spans="1:21" customFormat="1">
      <c r="A19" s="39" t="s">
        <v>334</v>
      </c>
      <c r="B19" s="40">
        <v>8.41</v>
      </c>
      <c r="C19" s="40">
        <v>28.27</v>
      </c>
      <c r="D19" s="40">
        <v>20.81</v>
      </c>
      <c r="E19" s="40">
        <v>4.0199999999999996</v>
      </c>
      <c r="F19" s="40">
        <v>21.34</v>
      </c>
      <c r="G19" s="40">
        <v>60.32</v>
      </c>
      <c r="H19" s="40">
        <v>32.04</v>
      </c>
      <c r="I19" s="40">
        <v>12.09</v>
      </c>
      <c r="J19" s="40">
        <v>3.46</v>
      </c>
      <c r="K19" s="40">
        <v>280.72000000000003</v>
      </c>
      <c r="L19" s="40">
        <v>37.78</v>
      </c>
      <c r="M19" s="40">
        <v>35.17</v>
      </c>
      <c r="N19" s="40">
        <v>819.5</v>
      </c>
      <c r="O19" s="40">
        <v>0</v>
      </c>
      <c r="P19" s="40">
        <v>0.73</v>
      </c>
      <c r="Q19" s="40">
        <v>28.43</v>
      </c>
      <c r="R19" s="38"/>
      <c r="S19" s="38"/>
      <c r="T19" s="38"/>
      <c r="U19" s="38"/>
    </row>
    <row r="20" spans="1:21" customFormat="1">
      <c r="A20" s="39" t="s">
        <v>335</v>
      </c>
      <c r="B20" s="40">
        <v>1.19</v>
      </c>
      <c r="C20" s="40">
        <v>22.11</v>
      </c>
      <c r="D20" s="40">
        <v>11.88</v>
      </c>
      <c r="E20" s="40">
        <v>11.51</v>
      </c>
      <c r="F20" s="40">
        <v>35.29</v>
      </c>
      <c r="G20" s="40">
        <v>44.25</v>
      </c>
      <c r="H20" s="40">
        <v>25.93</v>
      </c>
      <c r="I20" s="40">
        <v>14.82</v>
      </c>
      <c r="J20" s="40">
        <v>3.69</v>
      </c>
      <c r="K20" s="40">
        <v>243.78</v>
      </c>
      <c r="L20" s="40">
        <v>39.380000000000003</v>
      </c>
      <c r="M20" s="40">
        <v>30.44</v>
      </c>
      <c r="N20" s="40">
        <v>849.8</v>
      </c>
      <c r="O20" s="40">
        <v>0</v>
      </c>
      <c r="P20" s="40">
        <v>0.73</v>
      </c>
      <c r="Q20" s="40">
        <v>28.59</v>
      </c>
      <c r="R20" s="38"/>
      <c r="S20" s="38"/>
      <c r="T20" s="38"/>
      <c r="U20" s="38"/>
    </row>
    <row r="21" spans="1:21" customFormat="1">
      <c r="A21" s="39" t="s">
        <v>336</v>
      </c>
      <c r="B21" s="40">
        <v>0.81</v>
      </c>
      <c r="C21" s="40">
        <v>29.13</v>
      </c>
      <c r="D21" s="40">
        <v>15.64</v>
      </c>
      <c r="E21" s="40">
        <v>12.76</v>
      </c>
      <c r="F21" s="40">
        <v>20.07</v>
      </c>
      <c r="G21" s="40">
        <v>50.35</v>
      </c>
      <c r="H21" s="40">
        <v>26.84</v>
      </c>
      <c r="I21" s="40">
        <v>15.39</v>
      </c>
      <c r="J21" s="40">
        <v>3.17</v>
      </c>
      <c r="K21" s="40">
        <v>229.25</v>
      </c>
      <c r="L21" s="40">
        <v>41.23</v>
      </c>
      <c r="M21" s="40">
        <v>27.69</v>
      </c>
      <c r="N21" s="40">
        <v>916.2</v>
      </c>
      <c r="O21" s="40">
        <v>0</v>
      </c>
      <c r="P21" s="40">
        <v>0.7</v>
      </c>
      <c r="Q21" s="40">
        <v>28.82</v>
      </c>
      <c r="R21" s="38"/>
      <c r="S21" s="38"/>
      <c r="T21" s="38"/>
      <c r="U21" s="38"/>
    </row>
    <row r="22" spans="1:21" customFormat="1">
      <c r="A22" s="39" t="s">
        <v>337</v>
      </c>
      <c r="B22" s="40">
        <v>0.78</v>
      </c>
      <c r="C22" s="40">
        <v>22.12</v>
      </c>
      <c r="D22" s="40">
        <v>12.11</v>
      </c>
      <c r="E22" s="40">
        <v>13.4</v>
      </c>
      <c r="F22" s="40">
        <v>33.270000000000003</v>
      </c>
      <c r="G22" s="40">
        <v>54.22</v>
      </c>
      <c r="H22" s="40">
        <v>22.22</v>
      </c>
      <c r="I22" s="40">
        <v>13.95</v>
      </c>
      <c r="J22" s="40">
        <v>2.97</v>
      </c>
      <c r="K22" s="40">
        <v>342.25</v>
      </c>
      <c r="L22" s="40">
        <v>41.84</v>
      </c>
      <c r="M22" s="40">
        <v>23.13</v>
      </c>
      <c r="N22" s="40">
        <v>878.4</v>
      </c>
      <c r="O22" s="40">
        <v>0</v>
      </c>
      <c r="P22" s="40">
        <v>0.65</v>
      </c>
      <c r="Q22" s="40">
        <v>28.82</v>
      </c>
      <c r="R22" s="38"/>
      <c r="S22" s="38"/>
      <c r="T22" s="38"/>
      <c r="U22" s="38"/>
    </row>
    <row r="23" spans="1:21" customFormat="1">
      <c r="A23" s="39" t="s">
        <v>338</v>
      </c>
      <c r="B23" s="40">
        <v>0.9</v>
      </c>
      <c r="C23" s="40">
        <v>22.24</v>
      </c>
      <c r="D23" s="40">
        <v>12.22</v>
      </c>
      <c r="E23" s="40">
        <v>12.26</v>
      </c>
      <c r="F23" s="40">
        <v>25.76</v>
      </c>
      <c r="G23" s="40">
        <v>42.33</v>
      </c>
      <c r="H23" s="40">
        <v>20.399999999999999</v>
      </c>
      <c r="I23" s="40">
        <v>13.42</v>
      </c>
      <c r="J23" s="40">
        <v>3.72</v>
      </c>
      <c r="K23" s="40">
        <v>268.92</v>
      </c>
      <c r="L23" s="40">
        <v>42.86</v>
      </c>
      <c r="M23" s="40">
        <v>20.28</v>
      </c>
      <c r="N23" s="40">
        <v>774.6</v>
      </c>
      <c r="O23" s="40">
        <v>0</v>
      </c>
      <c r="P23" s="40">
        <v>0.63</v>
      </c>
      <c r="Q23" s="40">
        <v>28.79</v>
      </c>
      <c r="R23" s="38"/>
      <c r="S23" s="38"/>
      <c r="T23" s="38"/>
      <c r="U23" s="38"/>
    </row>
    <row r="24" spans="1:21" customFormat="1">
      <c r="A24" s="39" t="s">
        <v>339</v>
      </c>
      <c r="B24" s="40">
        <v>1.04</v>
      </c>
      <c r="C24" s="40">
        <v>22</v>
      </c>
      <c r="D24" s="40">
        <v>12.25</v>
      </c>
      <c r="E24" s="40">
        <v>11.97</v>
      </c>
      <c r="F24" s="40">
        <v>27.04</v>
      </c>
      <c r="G24" s="40">
        <v>41.42</v>
      </c>
      <c r="H24" s="40">
        <v>17.170000000000002</v>
      </c>
      <c r="I24" s="40">
        <v>12.26</v>
      </c>
      <c r="J24" s="40">
        <v>2.87</v>
      </c>
      <c r="K24" s="40">
        <v>244.23</v>
      </c>
      <c r="L24" s="40">
        <v>43.86</v>
      </c>
      <c r="M24" s="40">
        <v>19.38</v>
      </c>
      <c r="N24" s="40">
        <v>596.70000000000005</v>
      </c>
      <c r="O24" s="40">
        <v>0</v>
      </c>
      <c r="P24" s="40">
        <v>0.54</v>
      </c>
      <c r="Q24" s="40">
        <v>28.86</v>
      </c>
      <c r="R24" s="38"/>
      <c r="S24" s="38"/>
      <c r="T24" s="38"/>
      <c r="U24" s="38"/>
    </row>
    <row r="25" spans="1:21" customFormat="1">
      <c r="A25" s="39" t="s">
        <v>340</v>
      </c>
      <c r="B25" s="40">
        <v>1.23</v>
      </c>
      <c r="C25" s="40">
        <v>18.71</v>
      </c>
      <c r="D25" s="40">
        <v>10.64</v>
      </c>
      <c r="E25" s="40">
        <v>12.68</v>
      </c>
      <c r="F25" s="40">
        <v>29.25</v>
      </c>
      <c r="G25" s="40">
        <v>30</v>
      </c>
      <c r="H25" s="40">
        <v>17.11</v>
      </c>
      <c r="I25" s="40">
        <v>11.4</v>
      </c>
      <c r="J25" s="40">
        <v>3.58</v>
      </c>
      <c r="K25" s="40">
        <v>196.97</v>
      </c>
      <c r="L25" s="40">
        <v>43.19</v>
      </c>
      <c r="M25" s="40">
        <v>20.21</v>
      </c>
      <c r="N25" s="40">
        <v>408.6</v>
      </c>
      <c r="O25" s="40">
        <v>0</v>
      </c>
      <c r="P25" s="40">
        <v>0.49</v>
      </c>
      <c r="Q25" s="40">
        <v>28.97</v>
      </c>
      <c r="R25" s="38"/>
      <c r="S25" s="38"/>
      <c r="T25" s="38"/>
      <c r="U25" s="38"/>
    </row>
    <row r="26" spans="1:21" customFormat="1">
      <c r="A26" s="39" t="s">
        <v>341</v>
      </c>
      <c r="B26" s="40">
        <v>1.01</v>
      </c>
      <c r="C26" s="40">
        <v>20.74</v>
      </c>
      <c r="D26" s="40">
        <v>11.65</v>
      </c>
      <c r="E26" s="40">
        <v>7.6</v>
      </c>
      <c r="F26" s="40">
        <v>38.520000000000003</v>
      </c>
      <c r="G26" s="40">
        <v>31.89</v>
      </c>
      <c r="H26" s="40">
        <v>16.899999999999999</v>
      </c>
      <c r="I26" s="40">
        <v>10.11</v>
      </c>
      <c r="J26" s="40">
        <v>3.33</v>
      </c>
      <c r="K26" s="40">
        <v>205.8</v>
      </c>
      <c r="L26" s="40">
        <v>42.2</v>
      </c>
      <c r="M26" s="40">
        <v>23.63</v>
      </c>
      <c r="N26" s="40">
        <v>153</v>
      </c>
      <c r="O26" s="40">
        <v>0</v>
      </c>
      <c r="P26" s="40">
        <v>0.44</v>
      </c>
      <c r="Q26" s="40">
        <v>29.03</v>
      </c>
      <c r="R26" s="38"/>
      <c r="S26" s="38"/>
      <c r="T26" s="38"/>
      <c r="U26" s="38"/>
    </row>
    <row r="27" spans="1:21" customFormat="1">
      <c r="A27" s="39" t="s">
        <v>342</v>
      </c>
      <c r="B27" s="40">
        <v>0.99</v>
      </c>
      <c r="C27" s="40">
        <v>25.17</v>
      </c>
      <c r="D27" s="40">
        <v>13.94</v>
      </c>
      <c r="E27" s="40">
        <v>7.57</v>
      </c>
      <c r="F27" s="40">
        <v>32.82</v>
      </c>
      <c r="G27" s="40">
        <v>28.19</v>
      </c>
      <c r="H27" s="40">
        <v>12.46</v>
      </c>
      <c r="I27" s="40">
        <v>7.96</v>
      </c>
      <c r="J27" s="40">
        <v>3.07</v>
      </c>
      <c r="K27" s="40">
        <v>197.02</v>
      </c>
      <c r="L27" s="40">
        <v>38.979999999999997</v>
      </c>
      <c r="M27" s="40">
        <v>28.2</v>
      </c>
      <c r="N27" s="40">
        <v>37.4</v>
      </c>
      <c r="O27" s="40">
        <v>0</v>
      </c>
      <c r="P27" s="40">
        <v>0.4</v>
      </c>
      <c r="Q27" s="40">
        <v>28.81</v>
      </c>
      <c r="R27" s="38"/>
      <c r="S27" s="38"/>
      <c r="T27" s="38"/>
      <c r="U27" s="38"/>
    </row>
    <row r="28" spans="1:21" customFormat="1">
      <c r="A28" s="39" t="s">
        <v>343</v>
      </c>
      <c r="B28" s="40">
        <v>4.03</v>
      </c>
      <c r="C28" s="40">
        <v>33.57</v>
      </c>
      <c r="D28" s="40">
        <v>20.77</v>
      </c>
      <c r="E28" s="40">
        <v>8.41</v>
      </c>
      <c r="F28" s="40">
        <v>20.43</v>
      </c>
      <c r="G28" s="40">
        <v>23.39</v>
      </c>
      <c r="H28" s="40">
        <v>11.12</v>
      </c>
      <c r="I28" s="40">
        <v>9.73</v>
      </c>
      <c r="J28" s="40">
        <v>3.2</v>
      </c>
      <c r="K28" s="40">
        <v>137.03</v>
      </c>
      <c r="L28" s="40">
        <v>36.549999999999997</v>
      </c>
      <c r="M28" s="40">
        <v>30.78</v>
      </c>
      <c r="N28" s="40">
        <v>22.5</v>
      </c>
      <c r="O28" s="40">
        <v>0</v>
      </c>
      <c r="P28" s="40">
        <v>0.57999999999999996</v>
      </c>
      <c r="Q28" s="40">
        <v>28.24</v>
      </c>
      <c r="R28" s="38"/>
      <c r="S28" s="38"/>
      <c r="T28" s="38"/>
      <c r="U28" s="38"/>
    </row>
    <row r="29" spans="1:21" customFormat="1">
      <c r="A29" s="39" t="s">
        <v>344</v>
      </c>
      <c r="B29" s="40">
        <v>4.22</v>
      </c>
      <c r="C29" s="40">
        <v>30.33</v>
      </c>
      <c r="D29" s="40">
        <v>19.23</v>
      </c>
      <c r="E29" s="40">
        <v>8.5</v>
      </c>
      <c r="F29" s="40">
        <v>21.09</v>
      </c>
      <c r="G29" s="40">
        <v>28.3</v>
      </c>
      <c r="H29" s="40">
        <v>13.98</v>
      </c>
      <c r="I29" s="40">
        <v>11.36</v>
      </c>
      <c r="J29" s="40">
        <v>3.3</v>
      </c>
      <c r="K29" s="40">
        <v>260.44</v>
      </c>
      <c r="L29" s="40">
        <v>36.36</v>
      </c>
      <c r="M29" s="40">
        <v>33.49</v>
      </c>
      <c r="N29" s="40">
        <v>22.7</v>
      </c>
      <c r="O29" s="40">
        <v>0</v>
      </c>
      <c r="P29" s="40">
        <v>0.6</v>
      </c>
      <c r="Q29" s="40">
        <v>28.34</v>
      </c>
      <c r="R29" s="38"/>
      <c r="S29" s="38"/>
      <c r="T29" s="38"/>
      <c r="U29" s="38"/>
    </row>
    <row r="30" spans="1:21" customFormat="1">
      <c r="A30" s="39" t="s">
        <v>345</v>
      </c>
      <c r="B30" s="40">
        <v>4.09</v>
      </c>
      <c r="C30" s="40">
        <v>32.31</v>
      </c>
      <c r="D30" s="40">
        <v>20.16</v>
      </c>
      <c r="E30" s="40">
        <v>7.79</v>
      </c>
      <c r="F30" s="40">
        <v>17.559999999999999</v>
      </c>
      <c r="G30" s="40">
        <v>37.5</v>
      </c>
      <c r="H30" s="40">
        <v>17.559999999999999</v>
      </c>
      <c r="I30" s="40">
        <v>12.03</v>
      </c>
      <c r="J30" s="40">
        <v>3.44</v>
      </c>
      <c r="K30" s="40">
        <v>150.61000000000001</v>
      </c>
      <c r="L30" s="40">
        <v>34.53</v>
      </c>
      <c r="M30" s="40">
        <v>35.31</v>
      </c>
      <c r="N30" s="40">
        <v>22.6</v>
      </c>
      <c r="O30" s="40">
        <v>0</v>
      </c>
      <c r="P30" s="40">
        <v>0.53</v>
      </c>
      <c r="Q30" s="40">
        <v>27.73</v>
      </c>
      <c r="R30" s="38"/>
      <c r="S30" s="38"/>
      <c r="T30" s="38"/>
      <c r="U30" s="38"/>
    </row>
    <row r="31" spans="1:21" customFormat="1">
      <c r="A31" s="39" t="s">
        <v>346</v>
      </c>
      <c r="B31" s="40">
        <v>6.99</v>
      </c>
      <c r="C31" s="40">
        <v>43.1</v>
      </c>
      <c r="D31" s="40">
        <v>27.52</v>
      </c>
      <c r="E31" s="40">
        <v>7.84</v>
      </c>
      <c r="F31" s="40">
        <v>7.6</v>
      </c>
      <c r="G31" s="40">
        <v>42.11</v>
      </c>
      <c r="H31" s="40">
        <v>16.37</v>
      </c>
      <c r="I31" s="40">
        <v>11.17</v>
      </c>
      <c r="J31" s="40">
        <v>3.72</v>
      </c>
      <c r="K31" s="40">
        <v>227.18</v>
      </c>
      <c r="L31" s="40">
        <v>34.53</v>
      </c>
      <c r="M31" s="40">
        <v>36.64</v>
      </c>
      <c r="N31" s="40">
        <v>22.5</v>
      </c>
      <c r="O31" s="40">
        <v>0</v>
      </c>
      <c r="P31" s="40">
        <v>0.54</v>
      </c>
      <c r="Q31" s="40">
        <v>27.3</v>
      </c>
      <c r="R31" s="38"/>
      <c r="S31" s="38"/>
      <c r="T31" s="38"/>
      <c r="U31" s="38"/>
    </row>
    <row r="32" spans="1:21" customFormat="1">
      <c r="A32" s="39" t="s">
        <v>347</v>
      </c>
      <c r="B32" s="40">
        <v>7.09</v>
      </c>
      <c r="C32" s="40">
        <v>31.15</v>
      </c>
      <c r="D32" s="40">
        <v>21.96</v>
      </c>
      <c r="E32" s="40">
        <v>7.29</v>
      </c>
      <c r="F32" s="40">
        <v>13.17</v>
      </c>
      <c r="G32" s="40">
        <v>49.88</v>
      </c>
      <c r="H32" s="40">
        <v>21.1</v>
      </c>
      <c r="I32" s="40">
        <v>11.61</v>
      </c>
      <c r="J32" s="40">
        <v>3.41</v>
      </c>
      <c r="K32" s="40">
        <v>180.76</v>
      </c>
      <c r="L32" s="40">
        <v>34.28</v>
      </c>
      <c r="M32" s="40">
        <v>39.42</v>
      </c>
      <c r="N32" s="40">
        <v>22.7</v>
      </c>
      <c r="O32" s="40">
        <v>0</v>
      </c>
      <c r="P32" s="40">
        <v>0.54</v>
      </c>
      <c r="Q32" s="40">
        <v>27.72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0.78</v>
      </c>
      <c r="C34" s="18">
        <f t="shared" si="0"/>
        <v>18.71</v>
      </c>
      <c r="D34" s="18">
        <f t="shared" si="0"/>
        <v>10.64</v>
      </c>
      <c r="E34" s="18">
        <f t="shared" si="0"/>
        <v>0.44</v>
      </c>
      <c r="F34" s="18">
        <f t="shared" si="0"/>
        <v>2.79</v>
      </c>
      <c r="G34" s="18">
        <f t="shared" si="0"/>
        <v>21.47</v>
      </c>
      <c r="H34" s="18">
        <f t="shared" si="0"/>
        <v>9.57</v>
      </c>
      <c r="I34" s="18">
        <f t="shared" si="0"/>
        <v>5.93</v>
      </c>
      <c r="J34" s="18">
        <f t="shared" si="0"/>
        <v>0.94</v>
      </c>
      <c r="K34" s="18">
        <f t="shared" si="0"/>
        <v>121.93</v>
      </c>
      <c r="L34" s="18">
        <f t="shared" si="0"/>
        <v>28.09</v>
      </c>
      <c r="M34" s="18">
        <f t="shared" si="0"/>
        <v>19.38</v>
      </c>
      <c r="N34" s="18">
        <f t="shared" si="0"/>
        <v>22.5</v>
      </c>
      <c r="O34" s="18">
        <f t="shared" si="0"/>
        <v>0</v>
      </c>
      <c r="P34" s="18">
        <f t="shared" si="0"/>
        <v>0.36</v>
      </c>
      <c r="Q34" s="18">
        <f t="shared" si="0"/>
        <v>27.3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13.78</v>
      </c>
      <c r="C35" s="3">
        <f t="shared" si="1"/>
        <v>43.1</v>
      </c>
      <c r="D35" s="3">
        <f t="shared" si="1"/>
        <v>27.52</v>
      </c>
      <c r="E35" s="3">
        <f t="shared" si="1"/>
        <v>13.4</v>
      </c>
      <c r="F35" s="3">
        <f t="shared" si="1"/>
        <v>38.520000000000003</v>
      </c>
      <c r="G35" s="3">
        <f t="shared" si="1"/>
        <v>86.06</v>
      </c>
      <c r="H35" s="3">
        <f t="shared" si="1"/>
        <v>39.44</v>
      </c>
      <c r="I35" s="3">
        <f t="shared" si="1"/>
        <v>15.39</v>
      </c>
      <c r="J35" s="3">
        <f t="shared" si="1"/>
        <v>4.47</v>
      </c>
      <c r="K35" s="3">
        <f t="shared" si="1"/>
        <v>342.25</v>
      </c>
      <c r="L35" s="3">
        <f t="shared" si="1"/>
        <v>43.86</v>
      </c>
      <c r="M35" s="3">
        <f t="shared" si="1"/>
        <v>60.86</v>
      </c>
      <c r="N35" s="3">
        <f t="shared" si="1"/>
        <v>916.2</v>
      </c>
      <c r="O35" s="3">
        <f t="shared" si="1"/>
        <v>0</v>
      </c>
      <c r="P35" s="3">
        <f t="shared" si="1"/>
        <v>0.73</v>
      </c>
      <c r="Q35" s="3">
        <f t="shared" si="1"/>
        <v>29.03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5.2687500000000007</v>
      </c>
      <c r="C36" s="18">
        <f t="shared" si="2"/>
        <v>28.110000000000003</v>
      </c>
      <c r="D36" s="18">
        <f t="shared" si="2"/>
        <v>18.708333333333332</v>
      </c>
      <c r="E36" s="18">
        <f t="shared" si="2"/>
        <v>5.900833333333332</v>
      </c>
      <c r="F36" s="18">
        <f t="shared" si="2"/>
        <v>16.703749999999999</v>
      </c>
      <c r="G36" s="18">
        <f t="shared" si="2"/>
        <v>42.526250000000005</v>
      </c>
      <c r="H36" s="18">
        <f t="shared" si="2"/>
        <v>20.30833333333333</v>
      </c>
      <c r="I36" s="18">
        <f t="shared" si="2"/>
        <v>10.242083333333333</v>
      </c>
      <c r="J36" s="18">
        <f t="shared" si="2"/>
        <v>3.3583333333333325</v>
      </c>
      <c r="K36" s="18">
        <f t="shared" si="2"/>
        <v>220.78083333333333</v>
      </c>
      <c r="L36" s="18">
        <f t="shared" si="2"/>
        <v>35.528333333333329</v>
      </c>
      <c r="M36" s="18">
        <f t="shared" si="2"/>
        <v>40.057083333333338</v>
      </c>
      <c r="N36" s="18">
        <f t="shared" si="2"/>
        <v>300.96666666666664</v>
      </c>
      <c r="O36" s="18">
        <f t="shared" si="2"/>
        <v>0</v>
      </c>
      <c r="P36" s="18">
        <f t="shared" si="2"/>
        <v>0.53041666666666654</v>
      </c>
      <c r="Q36" s="18">
        <f t="shared" si="2"/>
        <v>28.307083333333335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4.2515023559453295</v>
      </c>
      <c r="C37" s="18">
        <f t="shared" ref="C37:Q37" si="3">STDEV(C9:C32)</f>
        <v>5.6568235056357077</v>
      </c>
      <c r="D37" s="18">
        <f t="shared" si="3"/>
        <v>5.4489669277497121</v>
      </c>
      <c r="E37" s="18">
        <f t="shared" si="3"/>
        <v>4.8896055826235321</v>
      </c>
      <c r="F37" s="18">
        <f t="shared" si="3"/>
        <v>11.574391077043661</v>
      </c>
      <c r="G37" s="18">
        <f t="shared" si="3"/>
        <v>18.524374967452534</v>
      </c>
      <c r="H37" s="18">
        <f t="shared" si="3"/>
        <v>8.9579669018417771</v>
      </c>
      <c r="I37" s="18">
        <f t="shared" si="3"/>
        <v>2.8835575539022393</v>
      </c>
      <c r="J37" s="18">
        <f t="shared" si="3"/>
        <v>0.64366928226189357</v>
      </c>
      <c r="K37" s="18">
        <f t="shared" si="3"/>
        <v>54.49729733359883</v>
      </c>
      <c r="L37" s="18">
        <f t="shared" si="3"/>
        <v>5.373804956466584</v>
      </c>
      <c r="M37" s="18">
        <f t="shared" si="3"/>
        <v>14.936781411980135</v>
      </c>
      <c r="N37" s="18">
        <f t="shared" si="3"/>
        <v>348.287530724215</v>
      </c>
      <c r="O37" s="18">
        <f t="shared" si="3"/>
        <v>0</v>
      </c>
      <c r="P37" s="18">
        <f t="shared" si="3"/>
        <v>0.11972719594676685</v>
      </c>
      <c r="Q37" s="18">
        <f t="shared" si="3"/>
        <v>0.50051694291494986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3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348</v>
      </c>
      <c r="B9" s="40">
        <v>8.08</v>
      </c>
      <c r="C9" s="40">
        <v>31.01</v>
      </c>
      <c r="D9" s="40">
        <v>22.68</v>
      </c>
      <c r="E9" s="40">
        <v>6.98</v>
      </c>
      <c r="F9" s="40">
        <v>13.13</v>
      </c>
      <c r="G9" s="40">
        <v>48.51</v>
      </c>
      <c r="H9" s="40">
        <v>20.88</v>
      </c>
      <c r="I9" s="40">
        <v>11.01</v>
      </c>
      <c r="J9" s="40">
        <v>3.61</v>
      </c>
      <c r="K9" s="40">
        <v>172.92</v>
      </c>
      <c r="L9" s="40">
        <v>32.78</v>
      </c>
      <c r="M9" s="40">
        <v>42.18</v>
      </c>
      <c r="N9" s="40">
        <v>22.8</v>
      </c>
      <c r="O9" s="40">
        <v>0</v>
      </c>
      <c r="P9" s="40">
        <v>0.53</v>
      </c>
      <c r="Q9" s="40">
        <v>27.59</v>
      </c>
      <c r="R9" s="38"/>
      <c r="S9" s="38"/>
      <c r="T9" s="38"/>
      <c r="U9" s="38"/>
    </row>
    <row r="10" spans="1:21" customFormat="1">
      <c r="A10" s="39" t="s">
        <v>349</v>
      </c>
      <c r="B10" s="40">
        <v>10.91</v>
      </c>
      <c r="C10" s="40">
        <v>48.19</v>
      </c>
      <c r="D10" s="40">
        <v>33.93</v>
      </c>
      <c r="E10" s="40">
        <v>6.78</v>
      </c>
      <c r="F10" s="40">
        <v>8.7799999999999994</v>
      </c>
      <c r="G10" s="40">
        <v>47.49</v>
      </c>
      <c r="H10" s="40">
        <v>21.29</v>
      </c>
      <c r="I10" s="40">
        <v>10.87</v>
      </c>
      <c r="J10" s="40">
        <v>3.68</v>
      </c>
      <c r="K10" s="40">
        <v>230.39</v>
      </c>
      <c r="L10" s="40">
        <v>32.6</v>
      </c>
      <c r="M10" s="40">
        <v>42.45</v>
      </c>
      <c r="N10" s="40">
        <v>22.7</v>
      </c>
      <c r="O10" s="40">
        <v>0</v>
      </c>
      <c r="P10" s="40">
        <v>0.53</v>
      </c>
      <c r="Q10" s="40">
        <v>27.42</v>
      </c>
      <c r="R10" s="38"/>
      <c r="S10" s="38"/>
      <c r="T10" s="38"/>
      <c r="U10" s="38"/>
    </row>
    <row r="11" spans="1:21" customFormat="1">
      <c r="A11" s="39" t="s">
        <v>350</v>
      </c>
      <c r="B11" s="40">
        <v>11.02</v>
      </c>
      <c r="C11" s="40">
        <v>33.72</v>
      </c>
      <c r="D11" s="40">
        <v>26.46</v>
      </c>
      <c r="E11" s="40">
        <v>6.66</v>
      </c>
      <c r="F11" s="40">
        <v>10.35</v>
      </c>
      <c r="G11" s="40">
        <v>35.57</v>
      </c>
      <c r="H11" s="40">
        <v>17.41</v>
      </c>
      <c r="I11" s="40">
        <v>10.76</v>
      </c>
      <c r="J11" s="40">
        <v>4.22</v>
      </c>
      <c r="K11" s="40">
        <v>251.37</v>
      </c>
      <c r="L11" s="40">
        <v>32.520000000000003</v>
      </c>
      <c r="M11" s="40">
        <v>44.84</v>
      </c>
      <c r="N11" s="40">
        <v>22.9</v>
      </c>
      <c r="O11" s="40">
        <v>0</v>
      </c>
      <c r="P11" s="40">
        <v>0.52</v>
      </c>
      <c r="Q11" s="40">
        <v>27.95</v>
      </c>
      <c r="R11" s="38"/>
      <c r="S11" s="38"/>
      <c r="T11" s="38"/>
      <c r="U11" s="38"/>
    </row>
    <row r="12" spans="1:21" customFormat="1">
      <c r="A12" s="39" t="s">
        <v>351</v>
      </c>
      <c r="B12" s="40">
        <v>10.34</v>
      </c>
      <c r="C12" s="40">
        <v>30.12</v>
      </c>
      <c r="D12" s="40">
        <v>24.03</v>
      </c>
      <c r="E12" s="40">
        <v>6.39</v>
      </c>
      <c r="F12" s="40">
        <v>10.24</v>
      </c>
      <c r="G12" s="40">
        <v>39.200000000000003</v>
      </c>
      <c r="H12" s="40">
        <v>18.07</v>
      </c>
      <c r="I12" s="40">
        <v>10.59</v>
      </c>
      <c r="J12" s="40">
        <v>3.04</v>
      </c>
      <c r="K12" s="40">
        <v>347.12</v>
      </c>
      <c r="L12" s="40">
        <v>31.91</v>
      </c>
      <c r="M12" s="40">
        <v>49.29</v>
      </c>
      <c r="N12" s="40">
        <v>23</v>
      </c>
      <c r="O12" s="40">
        <v>0</v>
      </c>
      <c r="P12" s="40">
        <v>0.49</v>
      </c>
      <c r="Q12" s="40">
        <v>27.89</v>
      </c>
      <c r="R12" s="38"/>
      <c r="S12" s="38"/>
      <c r="T12" s="38"/>
      <c r="U12" s="38"/>
    </row>
    <row r="13" spans="1:21" customFormat="1">
      <c r="A13" s="39" t="s">
        <v>352</v>
      </c>
      <c r="B13" s="40">
        <v>12.31</v>
      </c>
      <c r="C13" s="40">
        <v>48.41</v>
      </c>
      <c r="D13" s="40">
        <v>35.159999999999997</v>
      </c>
      <c r="E13" s="40">
        <v>6.41</v>
      </c>
      <c r="F13" s="40">
        <v>6.4</v>
      </c>
      <c r="G13" s="40">
        <v>42.2</v>
      </c>
      <c r="H13" s="40">
        <v>18.989999999999998</v>
      </c>
      <c r="I13" s="40">
        <v>10.64</v>
      </c>
      <c r="J13" s="40">
        <v>3.28</v>
      </c>
      <c r="K13" s="40">
        <v>132.77000000000001</v>
      </c>
      <c r="L13" s="40">
        <v>30.47</v>
      </c>
      <c r="M13" s="40">
        <v>50.66</v>
      </c>
      <c r="N13" s="40">
        <v>22.8</v>
      </c>
      <c r="O13" s="40">
        <v>0</v>
      </c>
      <c r="P13" s="40">
        <v>0.49</v>
      </c>
      <c r="Q13" s="40">
        <v>27.54</v>
      </c>
      <c r="R13" s="38"/>
      <c r="S13" s="38"/>
      <c r="T13" s="38"/>
      <c r="U13" s="38"/>
    </row>
    <row r="14" spans="1:21" customFormat="1">
      <c r="A14" s="39" t="s">
        <v>353</v>
      </c>
      <c r="B14" s="40">
        <v>14.16</v>
      </c>
      <c r="C14" s="40">
        <v>46.42</v>
      </c>
      <c r="D14" s="40">
        <v>34.72</v>
      </c>
      <c r="E14" s="40">
        <v>7.48</v>
      </c>
      <c r="F14" s="40">
        <v>3.13</v>
      </c>
      <c r="G14" s="40">
        <v>46.2</v>
      </c>
      <c r="H14" s="40">
        <v>20.76</v>
      </c>
      <c r="I14" s="40">
        <v>11.13</v>
      </c>
      <c r="J14" s="40">
        <v>3.19</v>
      </c>
      <c r="K14" s="40">
        <v>152.18</v>
      </c>
      <c r="L14" s="40">
        <v>30.95</v>
      </c>
      <c r="M14" s="40">
        <v>52.43</v>
      </c>
      <c r="N14" s="40">
        <v>42.7</v>
      </c>
      <c r="O14" s="40">
        <v>0</v>
      </c>
      <c r="P14" s="40">
        <v>0.49</v>
      </c>
      <c r="Q14" s="40">
        <v>26.93</v>
      </c>
      <c r="R14" s="38"/>
      <c r="S14" s="38"/>
      <c r="T14" s="38"/>
      <c r="U14" s="38"/>
    </row>
    <row r="15" spans="1:21" customFormat="1">
      <c r="A15" s="39" t="s">
        <v>354</v>
      </c>
      <c r="B15" s="40">
        <v>13.68</v>
      </c>
      <c r="C15" s="40">
        <v>31.69</v>
      </c>
      <c r="D15" s="40">
        <v>27.53</v>
      </c>
      <c r="E15" s="40">
        <v>7.22</v>
      </c>
      <c r="F15" s="40">
        <v>7.38</v>
      </c>
      <c r="G15" s="40">
        <v>47.38</v>
      </c>
      <c r="H15" s="40">
        <v>16.440000000000001</v>
      </c>
      <c r="I15" s="40">
        <v>11.21</v>
      </c>
      <c r="J15" s="40">
        <v>2.97</v>
      </c>
      <c r="K15" s="40">
        <v>200.75</v>
      </c>
      <c r="L15" s="40">
        <v>32.03</v>
      </c>
      <c r="M15" s="40">
        <v>49.45</v>
      </c>
      <c r="N15" s="40">
        <v>115.5</v>
      </c>
      <c r="O15" s="40">
        <v>0</v>
      </c>
      <c r="P15" s="40">
        <v>0.47</v>
      </c>
      <c r="Q15" s="40">
        <v>27.67</v>
      </c>
      <c r="R15" s="38"/>
      <c r="S15" s="38"/>
      <c r="T15" s="38"/>
      <c r="U15" s="38"/>
    </row>
    <row r="16" spans="1:21" customFormat="1">
      <c r="A16" s="39" t="s">
        <v>355</v>
      </c>
      <c r="B16" s="40">
        <v>12.38</v>
      </c>
      <c r="C16" s="40">
        <v>31.41</v>
      </c>
      <c r="D16" s="40">
        <v>24.91</v>
      </c>
      <c r="E16" s="40">
        <v>6.81</v>
      </c>
      <c r="F16" s="40">
        <v>8.18</v>
      </c>
      <c r="G16" s="40">
        <v>43.27</v>
      </c>
      <c r="H16" s="40">
        <v>17.510000000000002</v>
      </c>
      <c r="I16" s="40">
        <v>10.79</v>
      </c>
      <c r="J16" s="40">
        <v>3.3</v>
      </c>
      <c r="K16" s="40">
        <v>219.33</v>
      </c>
      <c r="L16" s="40">
        <v>33.450000000000003</v>
      </c>
      <c r="M16" s="40">
        <v>46.54</v>
      </c>
      <c r="N16" s="40">
        <v>270</v>
      </c>
      <c r="O16" s="40">
        <v>0</v>
      </c>
      <c r="P16" s="40">
        <v>0.51</v>
      </c>
      <c r="Q16" s="40">
        <v>27.61</v>
      </c>
      <c r="R16" s="38"/>
      <c r="S16" s="38"/>
      <c r="T16" s="38"/>
      <c r="U16" s="38"/>
    </row>
    <row r="17" spans="1:21" customFormat="1">
      <c r="A17" s="39" t="s">
        <v>356</v>
      </c>
      <c r="B17" s="40">
        <v>10.51</v>
      </c>
      <c r="C17" s="40">
        <v>41.7</v>
      </c>
      <c r="D17" s="40">
        <v>30.22</v>
      </c>
      <c r="E17" s="40">
        <v>7.06</v>
      </c>
      <c r="F17" s="40">
        <v>6.18</v>
      </c>
      <c r="G17" s="40">
        <v>45.96</v>
      </c>
      <c r="H17" s="40">
        <v>19.239999999999998</v>
      </c>
      <c r="I17" s="40">
        <v>11.56</v>
      </c>
      <c r="J17" s="40">
        <v>4.26</v>
      </c>
      <c r="K17" s="40">
        <v>244.78</v>
      </c>
      <c r="L17" s="40">
        <v>36.32</v>
      </c>
      <c r="M17" s="40">
        <v>44.25</v>
      </c>
      <c r="N17" s="40">
        <v>432.2</v>
      </c>
      <c r="O17" s="40">
        <v>0</v>
      </c>
      <c r="P17" s="40">
        <v>0.54</v>
      </c>
      <c r="Q17" s="40">
        <v>27.45</v>
      </c>
      <c r="R17" s="38"/>
      <c r="S17" s="38"/>
      <c r="T17" s="38"/>
      <c r="U17" s="38"/>
    </row>
    <row r="18" spans="1:21" customFormat="1">
      <c r="A18" s="39" t="s">
        <v>357</v>
      </c>
      <c r="B18" s="40">
        <v>7.03</v>
      </c>
      <c r="C18" s="40">
        <v>32.67</v>
      </c>
      <c r="D18" s="40">
        <v>22.7</v>
      </c>
      <c r="E18" s="40">
        <v>7.5</v>
      </c>
      <c r="F18" s="40">
        <v>13.91</v>
      </c>
      <c r="G18" s="40">
        <v>50.89</v>
      </c>
      <c r="H18" s="40">
        <v>21.38</v>
      </c>
      <c r="I18" s="40">
        <v>12.72</v>
      </c>
      <c r="J18" s="40">
        <v>4.09</v>
      </c>
      <c r="K18" s="40">
        <v>240.27</v>
      </c>
      <c r="L18" s="40">
        <v>38.729999999999997</v>
      </c>
      <c r="M18" s="40">
        <v>36.96</v>
      </c>
      <c r="N18" s="40">
        <v>716.7</v>
      </c>
      <c r="O18" s="40">
        <v>0</v>
      </c>
      <c r="P18" s="40">
        <v>0.59</v>
      </c>
      <c r="Q18" s="40">
        <v>28.4</v>
      </c>
      <c r="R18" s="38"/>
      <c r="S18" s="38"/>
      <c r="T18" s="38"/>
      <c r="U18" s="38"/>
    </row>
    <row r="19" spans="1:21" customFormat="1">
      <c r="A19" s="39" t="s">
        <v>358</v>
      </c>
      <c r="B19" s="40">
        <v>3.06</v>
      </c>
      <c r="C19" s="40">
        <v>23.81</v>
      </c>
      <c r="D19" s="40">
        <v>14.42</v>
      </c>
      <c r="E19" s="40">
        <v>7.04</v>
      </c>
      <c r="F19" s="40">
        <v>20.96</v>
      </c>
      <c r="G19" s="40">
        <v>53.99</v>
      </c>
      <c r="H19" s="40">
        <v>20.69</v>
      </c>
      <c r="I19" s="40">
        <v>12.84</v>
      </c>
      <c r="J19" s="40">
        <v>3.01</v>
      </c>
      <c r="K19" s="40">
        <v>264.63</v>
      </c>
      <c r="L19" s="40">
        <v>40.28</v>
      </c>
      <c r="M19" s="40">
        <v>31.48</v>
      </c>
      <c r="N19" s="40">
        <v>823.9</v>
      </c>
      <c r="O19" s="40">
        <v>0</v>
      </c>
      <c r="P19" s="40">
        <v>0.56999999999999995</v>
      </c>
      <c r="Q19" s="40">
        <v>28.5</v>
      </c>
      <c r="R19" s="38"/>
      <c r="S19" s="38"/>
      <c r="T19" s="38"/>
      <c r="U19" s="38"/>
    </row>
    <row r="20" spans="1:21" customFormat="1">
      <c r="A20" s="39" t="s">
        <v>359</v>
      </c>
      <c r="B20" s="40">
        <v>1.96</v>
      </c>
      <c r="C20" s="40">
        <v>31.93</v>
      </c>
      <c r="D20" s="40">
        <v>18.100000000000001</v>
      </c>
      <c r="E20" s="40">
        <v>7.32</v>
      </c>
      <c r="F20" s="40">
        <v>27.5</v>
      </c>
      <c r="G20" s="40">
        <v>41.72</v>
      </c>
      <c r="H20" s="40">
        <v>18.07</v>
      </c>
      <c r="I20" s="40">
        <v>11.84</v>
      </c>
      <c r="J20" s="40">
        <v>2.79</v>
      </c>
      <c r="K20" s="40">
        <v>325.37</v>
      </c>
      <c r="L20" s="40">
        <v>40.96</v>
      </c>
      <c r="M20" s="40">
        <v>27.53</v>
      </c>
      <c r="N20" s="40">
        <v>857.1</v>
      </c>
      <c r="O20" s="40">
        <v>0</v>
      </c>
      <c r="P20" s="40">
        <v>0.56999999999999995</v>
      </c>
      <c r="Q20" s="40">
        <v>28.74</v>
      </c>
      <c r="R20" s="38"/>
      <c r="S20" s="38"/>
      <c r="T20" s="38"/>
      <c r="U20" s="38"/>
    </row>
    <row r="21" spans="1:21" customFormat="1">
      <c r="A21" s="39" t="s">
        <v>360</v>
      </c>
      <c r="B21" s="40">
        <v>1.52</v>
      </c>
      <c r="C21" s="40">
        <v>26.29</v>
      </c>
      <c r="D21" s="40">
        <v>14.9</v>
      </c>
      <c r="E21" s="40">
        <v>8.64</v>
      </c>
      <c r="F21" s="40">
        <v>38.270000000000003</v>
      </c>
      <c r="G21" s="40">
        <v>42.29</v>
      </c>
      <c r="H21" s="40">
        <v>19.309999999999999</v>
      </c>
      <c r="I21" s="40">
        <v>12.15</v>
      </c>
      <c r="J21" s="40">
        <v>3.62</v>
      </c>
      <c r="K21" s="40">
        <v>215.92</v>
      </c>
      <c r="L21" s="40">
        <v>42.52</v>
      </c>
      <c r="M21" s="40">
        <v>24.88</v>
      </c>
      <c r="N21" s="40">
        <v>891.2</v>
      </c>
      <c r="O21" s="40">
        <v>0</v>
      </c>
      <c r="P21" s="40">
        <v>0.57999999999999996</v>
      </c>
      <c r="Q21" s="40">
        <v>28.61</v>
      </c>
      <c r="R21" s="38"/>
      <c r="S21" s="38"/>
      <c r="T21" s="38"/>
      <c r="U21" s="38"/>
    </row>
    <row r="22" spans="1:21" customFormat="1">
      <c r="A22" s="39" t="s">
        <v>361</v>
      </c>
      <c r="B22" s="40">
        <v>1.47</v>
      </c>
      <c r="C22" s="40">
        <v>21.72</v>
      </c>
      <c r="D22" s="40">
        <v>12.53</v>
      </c>
      <c r="E22" s="40">
        <v>7.92</v>
      </c>
      <c r="F22" s="40">
        <v>34.35</v>
      </c>
      <c r="G22" s="40">
        <v>47.2</v>
      </c>
      <c r="H22" s="40">
        <v>22.18</v>
      </c>
      <c r="I22" s="40">
        <v>12.05</v>
      </c>
      <c r="J22" s="40">
        <v>3.69</v>
      </c>
      <c r="K22" s="40">
        <v>236.22</v>
      </c>
      <c r="L22" s="40">
        <v>43.69</v>
      </c>
      <c r="M22" s="40">
        <v>21.65</v>
      </c>
      <c r="N22" s="40">
        <v>855.5</v>
      </c>
      <c r="O22" s="40">
        <v>0</v>
      </c>
      <c r="P22" s="40">
        <v>0.56999999999999995</v>
      </c>
      <c r="Q22" s="40">
        <v>28.73</v>
      </c>
      <c r="R22" s="38"/>
      <c r="S22" s="38"/>
      <c r="T22" s="38"/>
      <c r="U22" s="38"/>
    </row>
    <row r="23" spans="1:21" customFormat="1">
      <c r="A23" s="39" t="s">
        <v>362</v>
      </c>
      <c r="B23" s="40">
        <v>1.36</v>
      </c>
      <c r="C23" s="40">
        <v>25.02</v>
      </c>
      <c r="D23" s="40">
        <v>14.15</v>
      </c>
      <c r="E23" s="40">
        <v>8.43</v>
      </c>
      <c r="F23" s="40">
        <v>29.66</v>
      </c>
      <c r="G23" s="40">
        <v>43.34</v>
      </c>
      <c r="H23" s="40">
        <v>19.89</v>
      </c>
      <c r="I23" s="40">
        <v>11.4</v>
      </c>
      <c r="J23" s="40">
        <v>3.29</v>
      </c>
      <c r="K23" s="40">
        <v>246.77</v>
      </c>
      <c r="L23" s="40">
        <v>44.92</v>
      </c>
      <c r="M23" s="40">
        <v>20.52</v>
      </c>
      <c r="N23" s="40">
        <v>746.1</v>
      </c>
      <c r="O23" s="40">
        <v>0</v>
      </c>
      <c r="P23" s="40">
        <v>0.52</v>
      </c>
      <c r="Q23" s="40">
        <v>28.82</v>
      </c>
      <c r="R23" s="38"/>
      <c r="S23" s="38"/>
      <c r="T23" s="38"/>
      <c r="U23" s="38"/>
    </row>
    <row r="24" spans="1:21" customFormat="1">
      <c r="A24" s="39" t="s">
        <v>363</v>
      </c>
      <c r="B24" s="40">
        <v>1.97</v>
      </c>
      <c r="C24" s="40">
        <v>21.22</v>
      </c>
      <c r="D24" s="40">
        <v>12.67</v>
      </c>
      <c r="E24" s="40">
        <v>8.6</v>
      </c>
      <c r="F24" s="40">
        <v>23.35</v>
      </c>
      <c r="G24" s="40">
        <v>40.86</v>
      </c>
      <c r="H24" s="40">
        <v>18.260000000000002</v>
      </c>
      <c r="I24" s="40">
        <v>10.84</v>
      </c>
      <c r="J24" s="40">
        <v>2.57</v>
      </c>
      <c r="K24" s="40">
        <v>236.17</v>
      </c>
      <c r="L24" s="40">
        <v>44.62</v>
      </c>
      <c r="M24" s="40">
        <v>20.399999999999999</v>
      </c>
      <c r="N24" s="40">
        <v>592.5</v>
      </c>
      <c r="O24" s="40">
        <v>0</v>
      </c>
      <c r="P24" s="40">
        <v>0.47</v>
      </c>
      <c r="Q24" s="40">
        <v>28.92</v>
      </c>
      <c r="R24" s="38"/>
      <c r="S24" s="38"/>
      <c r="T24" s="38"/>
      <c r="U24" s="38"/>
    </row>
    <row r="25" spans="1:21" customFormat="1">
      <c r="A25" s="39" t="s">
        <v>364</v>
      </c>
      <c r="B25" s="40">
        <v>2.29</v>
      </c>
      <c r="C25" s="40">
        <v>29.18</v>
      </c>
      <c r="D25" s="40">
        <v>16.87</v>
      </c>
      <c r="E25" s="40">
        <v>8.4</v>
      </c>
      <c r="F25" s="40">
        <v>27.32</v>
      </c>
      <c r="G25" s="40">
        <v>38.729999999999997</v>
      </c>
      <c r="H25" s="40">
        <v>18.600000000000001</v>
      </c>
      <c r="I25" s="40">
        <v>9.7799999999999994</v>
      </c>
      <c r="J25" s="40">
        <v>3.72</v>
      </c>
      <c r="K25" s="40">
        <v>272.99</v>
      </c>
      <c r="L25" s="40">
        <v>43.81</v>
      </c>
      <c r="M25" s="40">
        <v>20.73</v>
      </c>
      <c r="N25" s="40">
        <v>382.4</v>
      </c>
      <c r="O25" s="40">
        <v>0</v>
      </c>
      <c r="P25" s="40">
        <v>0.44</v>
      </c>
      <c r="Q25" s="40">
        <v>28.44</v>
      </c>
      <c r="R25" s="38"/>
      <c r="S25" s="38"/>
      <c r="T25" s="38"/>
      <c r="U25" s="38"/>
    </row>
    <row r="26" spans="1:21" customFormat="1">
      <c r="A26" s="39" t="s">
        <v>365</v>
      </c>
      <c r="B26" s="40">
        <v>1.92</v>
      </c>
      <c r="C26" s="40">
        <v>23.25</v>
      </c>
      <c r="D26" s="40">
        <v>13.64</v>
      </c>
      <c r="E26" s="40">
        <v>7.65</v>
      </c>
      <c r="F26" s="40">
        <v>34.08</v>
      </c>
      <c r="G26" s="40">
        <v>36.69</v>
      </c>
      <c r="H26" s="40">
        <v>17.11</v>
      </c>
      <c r="I26" s="40">
        <v>8.59</v>
      </c>
      <c r="J26" s="40">
        <v>4.47</v>
      </c>
      <c r="K26" s="40">
        <v>224.87</v>
      </c>
      <c r="L26" s="40">
        <v>41.83</v>
      </c>
      <c r="M26" s="40">
        <v>24.66</v>
      </c>
      <c r="N26" s="40">
        <v>141.1</v>
      </c>
      <c r="O26" s="40">
        <v>0</v>
      </c>
      <c r="P26" s="40">
        <v>0.46</v>
      </c>
      <c r="Q26" s="40">
        <v>28.84</v>
      </c>
      <c r="R26" s="38"/>
      <c r="S26" s="38"/>
      <c r="T26" s="38"/>
      <c r="U26" s="38"/>
    </row>
    <row r="27" spans="1:21" customFormat="1">
      <c r="A27" s="39" t="s">
        <v>366</v>
      </c>
      <c r="B27" s="40">
        <v>1.51</v>
      </c>
      <c r="C27" s="40">
        <v>19.690000000000001</v>
      </c>
      <c r="D27" s="40">
        <v>11.5</v>
      </c>
      <c r="E27" s="40">
        <v>8.49</v>
      </c>
      <c r="F27" s="40">
        <v>40.659999999999997</v>
      </c>
      <c r="G27" s="40">
        <v>30.69</v>
      </c>
      <c r="H27" s="40">
        <v>14.97</v>
      </c>
      <c r="I27" s="40">
        <v>7.59</v>
      </c>
      <c r="J27" s="40">
        <v>3.96</v>
      </c>
      <c r="K27" s="40">
        <v>156.94</v>
      </c>
      <c r="L27" s="40">
        <v>40</v>
      </c>
      <c r="M27" s="40">
        <v>28.66</v>
      </c>
      <c r="N27" s="40">
        <v>29.1</v>
      </c>
      <c r="O27" s="40">
        <v>0</v>
      </c>
      <c r="P27" s="40">
        <v>0.51</v>
      </c>
      <c r="Q27" s="40">
        <v>28.89</v>
      </c>
      <c r="R27" s="38"/>
      <c r="S27" s="38"/>
      <c r="T27" s="38"/>
      <c r="U27" s="38"/>
    </row>
    <row r="28" spans="1:21" customFormat="1">
      <c r="A28" s="39" t="s">
        <v>367</v>
      </c>
      <c r="B28" s="40">
        <v>1.51</v>
      </c>
      <c r="C28" s="40">
        <v>19.690000000000001</v>
      </c>
      <c r="D28" s="40">
        <v>11.5</v>
      </c>
      <c r="E28" s="40">
        <v>8.23</v>
      </c>
      <c r="F28" s="40">
        <v>29.33</v>
      </c>
      <c r="G28" s="40">
        <v>34.03</v>
      </c>
      <c r="H28" s="40">
        <v>16.02</v>
      </c>
      <c r="I28" s="40">
        <v>10.97</v>
      </c>
      <c r="J28" s="40">
        <v>3.94</v>
      </c>
      <c r="K28" s="40">
        <v>176.39</v>
      </c>
      <c r="L28" s="40">
        <v>38.81</v>
      </c>
      <c r="M28" s="40">
        <v>32.04</v>
      </c>
      <c r="N28" s="40">
        <v>22.8</v>
      </c>
      <c r="O28" s="40">
        <v>0</v>
      </c>
      <c r="P28" s="40">
        <v>0.54</v>
      </c>
      <c r="Q28" s="40">
        <v>28.35</v>
      </c>
      <c r="R28" s="38"/>
      <c r="S28" s="38"/>
      <c r="T28" s="38"/>
      <c r="U28" s="38"/>
    </row>
    <row r="29" spans="1:21" customFormat="1">
      <c r="A29" s="39" t="s">
        <v>368</v>
      </c>
      <c r="B29" s="40">
        <v>1.51</v>
      </c>
      <c r="C29" s="40">
        <v>19.690000000000001</v>
      </c>
      <c r="D29" s="40">
        <v>11.5</v>
      </c>
      <c r="E29" s="40">
        <v>8.0500000000000007</v>
      </c>
      <c r="F29" s="40">
        <v>26.58</v>
      </c>
      <c r="G29" s="40">
        <v>37.880000000000003</v>
      </c>
      <c r="H29" s="40">
        <v>21.55</v>
      </c>
      <c r="I29" s="40">
        <v>10.75</v>
      </c>
      <c r="J29" s="40">
        <v>3.19</v>
      </c>
      <c r="K29" s="40">
        <v>157.19999999999999</v>
      </c>
      <c r="L29" s="40">
        <v>37.130000000000003</v>
      </c>
      <c r="M29" s="40">
        <v>33.39</v>
      </c>
      <c r="N29" s="40">
        <v>22.6</v>
      </c>
      <c r="O29" s="40">
        <v>0</v>
      </c>
      <c r="P29" s="40">
        <v>0.56000000000000005</v>
      </c>
      <c r="Q29" s="40">
        <v>28.46</v>
      </c>
      <c r="R29" s="38"/>
      <c r="S29" s="38"/>
      <c r="T29" s="38"/>
      <c r="U29" s="38"/>
    </row>
    <row r="30" spans="1:21" customFormat="1">
      <c r="A30" s="39" t="s">
        <v>369</v>
      </c>
      <c r="B30" s="40">
        <v>1.51</v>
      </c>
      <c r="C30" s="40">
        <v>19.690000000000001</v>
      </c>
      <c r="D30" s="40">
        <v>11.5</v>
      </c>
      <c r="E30" s="40">
        <v>8.0500000000000007</v>
      </c>
      <c r="F30" s="40">
        <v>18.11</v>
      </c>
      <c r="G30" s="40">
        <v>46.13</v>
      </c>
      <c r="H30" s="40">
        <v>22.06</v>
      </c>
      <c r="I30" s="40">
        <v>9.9700000000000006</v>
      </c>
      <c r="J30" s="40">
        <v>2.73</v>
      </c>
      <c r="K30" s="40">
        <v>333.89</v>
      </c>
      <c r="L30" s="40">
        <v>37.049999999999997</v>
      </c>
      <c r="M30" s="40">
        <v>33.86</v>
      </c>
      <c r="N30" s="40">
        <v>22.7</v>
      </c>
      <c r="O30" s="40">
        <v>0</v>
      </c>
      <c r="P30" s="40">
        <v>0.6</v>
      </c>
      <c r="Q30" s="40">
        <v>28.24</v>
      </c>
      <c r="R30" s="38"/>
      <c r="S30" s="38"/>
      <c r="T30" s="38"/>
      <c r="U30" s="38"/>
    </row>
    <row r="31" spans="1:21" customFormat="1">
      <c r="A31" s="39" t="s">
        <v>370</v>
      </c>
      <c r="B31" s="40">
        <v>1.51</v>
      </c>
      <c r="C31" s="40">
        <v>19.690000000000001</v>
      </c>
      <c r="D31" s="40">
        <v>11.5</v>
      </c>
      <c r="E31" s="40">
        <v>10.87</v>
      </c>
      <c r="F31" s="40">
        <v>18.61</v>
      </c>
      <c r="G31" s="40">
        <v>47.59</v>
      </c>
      <c r="H31" s="40">
        <v>17.920000000000002</v>
      </c>
      <c r="I31" s="40">
        <v>10.48</v>
      </c>
      <c r="J31" s="40">
        <v>3.44</v>
      </c>
      <c r="K31" s="40">
        <v>45.76</v>
      </c>
      <c r="L31" s="40">
        <v>36.159999999999997</v>
      </c>
      <c r="M31" s="40">
        <v>37.700000000000003</v>
      </c>
      <c r="N31" s="40">
        <v>22.9</v>
      </c>
      <c r="O31" s="40">
        <v>0</v>
      </c>
      <c r="P31" s="40">
        <v>0.59</v>
      </c>
      <c r="Q31" s="40">
        <v>27.98</v>
      </c>
      <c r="R31" s="38"/>
      <c r="S31" s="38"/>
      <c r="T31" s="38"/>
      <c r="U31" s="38"/>
    </row>
    <row r="32" spans="1:21" customFormat="1">
      <c r="A32" s="39" t="s">
        <v>371</v>
      </c>
      <c r="B32" s="40">
        <v>1.51</v>
      </c>
      <c r="C32" s="40">
        <v>19.690000000000001</v>
      </c>
      <c r="D32" s="40">
        <v>11.5</v>
      </c>
      <c r="E32" s="40">
        <v>8.81</v>
      </c>
      <c r="F32" s="40">
        <v>20.21</v>
      </c>
      <c r="G32" s="40">
        <v>51.55</v>
      </c>
      <c r="H32" s="40">
        <v>23.07</v>
      </c>
      <c r="I32" s="40">
        <v>10.07</v>
      </c>
      <c r="J32" s="40">
        <v>3.55</v>
      </c>
      <c r="K32" s="40">
        <v>185.2</v>
      </c>
      <c r="L32" s="40">
        <v>35.71</v>
      </c>
      <c r="M32" s="40">
        <v>40.29</v>
      </c>
      <c r="N32" s="40">
        <v>22.7</v>
      </c>
      <c r="O32" s="40">
        <v>0</v>
      </c>
      <c r="P32" s="40">
        <v>0.59</v>
      </c>
      <c r="Q32" s="40">
        <v>28.15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1.36</v>
      </c>
      <c r="C34" s="18">
        <f t="shared" si="0"/>
        <v>19.690000000000001</v>
      </c>
      <c r="D34" s="18">
        <f t="shared" si="0"/>
        <v>11.5</v>
      </c>
      <c r="E34" s="18">
        <f t="shared" si="0"/>
        <v>6.39</v>
      </c>
      <c r="F34" s="18">
        <f t="shared" si="0"/>
        <v>3.13</v>
      </c>
      <c r="G34" s="18">
        <f t="shared" si="0"/>
        <v>30.69</v>
      </c>
      <c r="H34" s="18">
        <f t="shared" si="0"/>
        <v>14.97</v>
      </c>
      <c r="I34" s="18">
        <f t="shared" si="0"/>
        <v>7.59</v>
      </c>
      <c r="J34" s="18">
        <f t="shared" si="0"/>
        <v>2.57</v>
      </c>
      <c r="K34" s="18">
        <f t="shared" si="0"/>
        <v>45.76</v>
      </c>
      <c r="L34" s="18">
        <f t="shared" si="0"/>
        <v>30.47</v>
      </c>
      <c r="M34" s="18">
        <f t="shared" si="0"/>
        <v>20.399999999999999</v>
      </c>
      <c r="N34" s="18">
        <f t="shared" si="0"/>
        <v>22.6</v>
      </c>
      <c r="O34" s="18">
        <f t="shared" si="0"/>
        <v>0</v>
      </c>
      <c r="P34" s="18">
        <f t="shared" si="0"/>
        <v>0.44</v>
      </c>
      <c r="Q34" s="18">
        <f t="shared" si="0"/>
        <v>26.93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14.16</v>
      </c>
      <c r="C35" s="3">
        <f t="shared" si="1"/>
        <v>48.41</v>
      </c>
      <c r="D35" s="3">
        <f t="shared" si="1"/>
        <v>35.159999999999997</v>
      </c>
      <c r="E35" s="3">
        <f t="shared" si="1"/>
        <v>10.87</v>
      </c>
      <c r="F35" s="3">
        <f t="shared" si="1"/>
        <v>40.659999999999997</v>
      </c>
      <c r="G35" s="3">
        <f t="shared" si="1"/>
        <v>53.99</v>
      </c>
      <c r="H35" s="3">
        <f t="shared" si="1"/>
        <v>23.07</v>
      </c>
      <c r="I35" s="3">
        <f t="shared" si="1"/>
        <v>12.84</v>
      </c>
      <c r="J35" s="3">
        <f t="shared" si="1"/>
        <v>4.47</v>
      </c>
      <c r="K35" s="3">
        <f t="shared" si="1"/>
        <v>347.12</v>
      </c>
      <c r="L35" s="3">
        <f t="shared" si="1"/>
        <v>44.92</v>
      </c>
      <c r="M35" s="3">
        <f t="shared" si="1"/>
        <v>52.43</v>
      </c>
      <c r="N35" s="3">
        <f t="shared" si="1"/>
        <v>891.2</v>
      </c>
      <c r="O35" s="3">
        <f t="shared" si="1"/>
        <v>0</v>
      </c>
      <c r="P35" s="3">
        <f t="shared" si="1"/>
        <v>0.6</v>
      </c>
      <c r="Q35" s="3">
        <f t="shared" si="1"/>
        <v>28.92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5.6262499999999989</v>
      </c>
      <c r="C36" s="18">
        <f t="shared" si="2"/>
        <v>28.995833333333348</v>
      </c>
      <c r="D36" s="18">
        <f t="shared" si="2"/>
        <v>19.525833333333331</v>
      </c>
      <c r="E36" s="18">
        <f t="shared" si="2"/>
        <v>7.7412500000000017</v>
      </c>
      <c r="F36" s="18">
        <f t="shared" si="2"/>
        <v>19.861250000000002</v>
      </c>
      <c r="G36" s="18">
        <f t="shared" si="2"/>
        <v>43.306666666666672</v>
      </c>
      <c r="H36" s="18">
        <f t="shared" si="2"/>
        <v>19.236250000000002</v>
      </c>
      <c r="I36" s="18">
        <f t="shared" si="2"/>
        <v>10.858333333333334</v>
      </c>
      <c r="J36" s="18">
        <f t="shared" si="2"/>
        <v>3.4837499999999992</v>
      </c>
      <c r="K36" s="18">
        <f t="shared" si="2"/>
        <v>219.59166666666667</v>
      </c>
      <c r="L36" s="18">
        <f t="shared" si="2"/>
        <v>37.46875</v>
      </c>
      <c r="M36" s="18">
        <f t="shared" si="2"/>
        <v>35.701666666666661</v>
      </c>
      <c r="N36" s="18">
        <f t="shared" si="2"/>
        <v>296.82916666666671</v>
      </c>
      <c r="O36" s="18">
        <f t="shared" si="2"/>
        <v>0</v>
      </c>
      <c r="P36" s="18">
        <f t="shared" si="2"/>
        <v>0.53041666666666665</v>
      </c>
      <c r="Q36" s="18">
        <f t="shared" si="2"/>
        <v>28.17166666666667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4.8958969622753905</v>
      </c>
      <c r="C37" s="18">
        <f t="shared" ref="C37:Q37" si="3">STDEV(C9:C32)</f>
        <v>9.2998830832606885</v>
      </c>
      <c r="D37" s="18">
        <f t="shared" si="3"/>
        <v>8.2911959155567523</v>
      </c>
      <c r="E37" s="18">
        <f t="shared" si="3"/>
        <v>1.0018387985403774</v>
      </c>
      <c r="F37" s="18">
        <f t="shared" si="3"/>
        <v>11.177618674795204</v>
      </c>
      <c r="G37" s="18">
        <f t="shared" si="3"/>
        <v>5.8404315405379021</v>
      </c>
      <c r="H37" s="18">
        <f t="shared" si="3"/>
        <v>2.14825877418656</v>
      </c>
      <c r="I37" s="18">
        <f t="shared" si="3"/>
        <v>1.1638342428917985</v>
      </c>
      <c r="J37" s="18">
        <f t="shared" si="3"/>
        <v>0.50873083769061389</v>
      </c>
      <c r="K37" s="18">
        <f t="shared" si="3"/>
        <v>67.442909490766539</v>
      </c>
      <c r="L37" s="18">
        <f t="shared" si="3"/>
        <v>4.6844008595597009</v>
      </c>
      <c r="M37" s="18">
        <f t="shared" si="3"/>
        <v>10.523301956038869</v>
      </c>
      <c r="N37" s="18">
        <f t="shared" si="3"/>
        <v>342.20439414652225</v>
      </c>
      <c r="O37" s="18">
        <f t="shared" si="3"/>
        <v>0</v>
      </c>
      <c r="P37" s="18">
        <f t="shared" si="3"/>
        <v>4.6669901544195772E-2</v>
      </c>
      <c r="Q37" s="18">
        <f t="shared" si="3"/>
        <v>0.56024580526661749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R2" sqref="R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372</v>
      </c>
      <c r="B9" s="27" t="s">
        <v>8</v>
      </c>
      <c r="C9" s="27" t="s">
        <v>8</v>
      </c>
      <c r="D9" s="27" t="s">
        <v>8</v>
      </c>
      <c r="E9" s="40">
        <v>9.25</v>
      </c>
      <c r="F9" s="40">
        <v>13.58</v>
      </c>
      <c r="G9" s="40">
        <v>56.03</v>
      </c>
      <c r="H9" s="40">
        <v>25.58</v>
      </c>
      <c r="I9" s="40">
        <v>10.36</v>
      </c>
      <c r="J9" s="40">
        <v>2.78</v>
      </c>
      <c r="K9" s="40">
        <v>249.39</v>
      </c>
      <c r="L9" s="40">
        <v>35.18</v>
      </c>
      <c r="M9" s="40">
        <v>41.41</v>
      </c>
      <c r="N9" s="40">
        <v>22.5</v>
      </c>
      <c r="O9" s="40">
        <v>0</v>
      </c>
      <c r="P9" s="40">
        <v>0.59</v>
      </c>
      <c r="Q9" s="40">
        <v>27.98</v>
      </c>
      <c r="R9" s="38"/>
      <c r="S9" s="38"/>
      <c r="T9" s="38"/>
      <c r="U9" s="38"/>
    </row>
    <row r="10" spans="1:21" customFormat="1">
      <c r="A10" s="39" t="s">
        <v>373</v>
      </c>
      <c r="B10" s="27" t="s">
        <v>8</v>
      </c>
      <c r="C10" s="27" t="s">
        <v>8</v>
      </c>
      <c r="D10" s="27" t="s">
        <v>8</v>
      </c>
      <c r="E10" s="40">
        <v>8.52</v>
      </c>
      <c r="F10" s="40">
        <v>7.51</v>
      </c>
      <c r="G10" s="40">
        <v>60.36</v>
      </c>
      <c r="H10" s="40">
        <v>27.05</v>
      </c>
      <c r="I10" s="40">
        <v>10.06</v>
      </c>
      <c r="J10" s="40">
        <v>3.37</v>
      </c>
      <c r="K10" s="40">
        <v>259.5</v>
      </c>
      <c r="L10" s="40">
        <v>34.75</v>
      </c>
      <c r="M10" s="40">
        <v>42.88</v>
      </c>
      <c r="N10" s="40">
        <v>22.6</v>
      </c>
      <c r="O10" s="40">
        <v>0</v>
      </c>
      <c r="P10" s="40">
        <v>0.54</v>
      </c>
      <c r="Q10" s="40">
        <v>27.47</v>
      </c>
      <c r="R10" s="38"/>
      <c r="S10" s="38"/>
      <c r="T10" s="38"/>
      <c r="U10" s="38"/>
    </row>
    <row r="11" spans="1:21" customFormat="1">
      <c r="A11" s="39" t="s">
        <v>374</v>
      </c>
      <c r="B11" s="27" t="s">
        <v>8</v>
      </c>
      <c r="C11" s="27" t="s">
        <v>8</v>
      </c>
      <c r="D11" s="27" t="s">
        <v>8</v>
      </c>
      <c r="E11" s="40">
        <v>6.69</v>
      </c>
      <c r="F11" s="40">
        <v>12.12</v>
      </c>
      <c r="G11" s="40">
        <v>59.16</v>
      </c>
      <c r="H11" s="40">
        <v>28.07</v>
      </c>
      <c r="I11" s="40">
        <v>9.49</v>
      </c>
      <c r="J11" s="40">
        <v>2.78</v>
      </c>
      <c r="K11" s="40">
        <v>268</v>
      </c>
      <c r="L11" s="40">
        <v>34.35</v>
      </c>
      <c r="M11" s="40">
        <v>43.71</v>
      </c>
      <c r="N11" s="40">
        <v>22.6</v>
      </c>
      <c r="O11" s="40">
        <v>0</v>
      </c>
      <c r="P11" s="40">
        <v>0.5</v>
      </c>
      <c r="Q11" s="40">
        <v>27.69</v>
      </c>
      <c r="R11" s="38"/>
      <c r="S11" s="38"/>
      <c r="T11" s="38"/>
      <c r="U11" s="38"/>
    </row>
    <row r="12" spans="1:21" customFormat="1">
      <c r="A12" s="39" t="s">
        <v>375</v>
      </c>
      <c r="B12" s="27" t="s">
        <v>8</v>
      </c>
      <c r="C12" s="27" t="s">
        <v>8</v>
      </c>
      <c r="D12" s="27" t="s">
        <v>8</v>
      </c>
      <c r="E12" s="40">
        <v>6.2</v>
      </c>
      <c r="F12" s="40">
        <v>10.49</v>
      </c>
      <c r="G12" s="40">
        <v>54.93</v>
      </c>
      <c r="H12" s="40">
        <v>28.33</v>
      </c>
      <c r="I12" s="40">
        <v>8.61</v>
      </c>
      <c r="J12" s="40">
        <v>3.55</v>
      </c>
      <c r="K12" s="40">
        <v>211.17</v>
      </c>
      <c r="L12" s="40">
        <v>34.06</v>
      </c>
      <c r="M12" s="40">
        <v>44.1</v>
      </c>
      <c r="N12" s="40">
        <v>22.8</v>
      </c>
      <c r="O12" s="40">
        <v>0</v>
      </c>
      <c r="P12" s="40">
        <v>0.51</v>
      </c>
      <c r="Q12" s="40">
        <v>27.58</v>
      </c>
      <c r="R12" s="38"/>
      <c r="S12" s="38"/>
      <c r="T12" s="38"/>
      <c r="U12" s="38"/>
    </row>
    <row r="13" spans="1:21" customFormat="1">
      <c r="A13" s="39" t="s">
        <v>376</v>
      </c>
      <c r="B13" s="27" t="s">
        <v>8</v>
      </c>
      <c r="C13" s="27" t="s">
        <v>8</v>
      </c>
      <c r="D13" s="27" t="s">
        <v>8</v>
      </c>
      <c r="E13" s="40">
        <v>6.58</v>
      </c>
      <c r="F13" s="40">
        <v>5.31</v>
      </c>
      <c r="G13" s="40">
        <v>56.56</v>
      </c>
      <c r="H13" s="40">
        <v>29.34</v>
      </c>
      <c r="I13" s="40">
        <v>8.67</v>
      </c>
      <c r="J13" s="40">
        <v>4.2</v>
      </c>
      <c r="K13" s="40">
        <v>254.25</v>
      </c>
      <c r="L13" s="40">
        <v>33.79</v>
      </c>
      <c r="M13" s="40">
        <v>47.83</v>
      </c>
      <c r="N13" s="40">
        <v>23.3</v>
      </c>
      <c r="O13" s="40">
        <v>0</v>
      </c>
      <c r="P13" s="40">
        <v>0.49</v>
      </c>
      <c r="Q13" s="40">
        <v>27.88</v>
      </c>
      <c r="R13" s="38"/>
      <c r="S13" s="38"/>
      <c r="T13" s="38"/>
      <c r="U13" s="38"/>
    </row>
    <row r="14" spans="1:21" customFormat="1">
      <c r="A14" s="39" t="s">
        <v>377</v>
      </c>
      <c r="B14" s="27" t="s">
        <v>8</v>
      </c>
      <c r="C14" s="27" t="s">
        <v>8</v>
      </c>
      <c r="D14" s="27" t="s">
        <v>8</v>
      </c>
      <c r="E14" s="40">
        <v>7.65</v>
      </c>
      <c r="F14" s="40">
        <v>5.84</v>
      </c>
      <c r="G14" s="40">
        <v>59.64</v>
      </c>
      <c r="H14" s="40">
        <v>29.41</v>
      </c>
      <c r="I14" s="40">
        <v>10.38</v>
      </c>
      <c r="J14" s="40">
        <v>2.16</v>
      </c>
      <c r="K14" s="40">
        <v>194.51</v>
      </c>
      <c r="L14" s="40">
        <v>32.869999999999997</v>
      </c>
      <c r="M14" s="40">
        <v>49.46</v>
      </c>
      <c r="N14" s="40">
        <v>44.7</v>
      </c>
      <c r="O14" s="40">
        <v>0</v>
      </c>
      <c r="P14" s="40">
        <v>0.47</v>
      </c>
      <c r="Q14" s="40">
        <v>27.74</v>
      </c>
      <c r="R14" s="38"/>
      <c r="S14" s="38"/>
      <c r="T14" s="38"/>
      <c r="U14" s="38"/>
    </row>
    <row r="15" spans="1:21" customFormat="1">
      <c r="A15" s="39" t="s">
        <v>378</v>
      </c>
      <c r="B15" s="27" t="s">
        <v>8</v>
      </c>
      <c r="C15" s="27" t="s">
        <v>8</v>
      </c>
      <c r="D15" s="27" t="s">
        <v>8</v>
      </c>
      <c r="E15" s="40">
        <v>7.74</v>
      </c>
      <c r="F15" s="40">
        <v>6.47</v>
      </c>
      <c r="G15" s="40">
        <v>64.36</v>
      </c>
      <c r="H15" s="40">
        <v>29.36</v>
      </c>
      <c r="I15" s="40">
        <v>11.67</v>
      </c>
      <c r="J15" s="40">
        <v>4.71</v>
      </c>
      <c r="K15" s="40">
        <v>248.16</v>
      </c>
      <c r="L15" s="40">
        <v>33.4</v>
      </c>
      <c r="M15" s="40">
        <v>48.14</v>
      </c>
      <c r="N15" s="40">
        <v>111.2</v>
      </c>
      <c r="O15" s="40">
        <v>0</v>
      </c>
      <c r="P15" s="40">
        <v>0.53</v>
      </c>
      <c r="Q15" s="40">
        <v>27.39</v>
      </c>
      <c r="R15" s="38"/>
      <c r="S15" s="38"/>
      <c r="T15" s="38"/>
      <c r="U15" s="38"/>
    </row>
    <row r="16" spans="1:21" customFormat="1">
      <c r="A16" s="39" t="s">
        <v>379</v>
      </c>
      <c r="B16" s="27" t="s">
        <v>8</v>
      </c>
      <c r="C16" s="27" t="s">
        <v>8</v>
      </c>
      <c r="D16" s="27" t="s">
        <v>8</v>
      </c>
      <c r="E16" s="40">
        <v>7.38</v>
      </c>
      <c r="F16" s="40">
        <v>4.6100000000000003</v>
      </c>
      <c r="G16" s="40">
        <v>71.959999999999994</v>
      </c>
      <c r="H16" s="40">
        <v>31.08</v>
      </c>
      <c r="I16" s="40">
        <v>12.2</v>
      </c>
      <c r="J16" s="40">
        <v>4.9800000000000004</v>
      </c>
      <c r="K16" s="40">
        <v>246.25</v>
      </c>
      <c r="L16" s="40">
        <v>34.659999999999997</v>
      </c>
      <c r="M16" s="40">
        <v>48.54</v>
      </c>
      <c r="N16" s="40">
        <v>272.2</v>
      </c>
      <c r="O16" s="40">
        <v>0</v>
      </c>
      <c r="P16" s="40">
        <v>0.48</v>
      </c>
      <c r="Q16" s="40">
        <v>27.56</v>
      </c>
      <c r="R16" s="38"/>
      <c r="S16" s="38"/>
      <c r="T16" s="38"/>
      <c r="U16" s="38"/>
    </row>
    <row r="17" spans="1:21" customFormat="1">
      <c r="A17" s="39" t="s">
        <v>380</v>
      </c>
      <c r="B17" s="27" t="s">
        <v>8</v>
      </c>
      <c r="C17" s="27" t="s">
        <v>8</v>
      </c>
      <c r="D17" s="27" t="s">
        <v>8</v>
      </c>
      <c r="E17" s="40">
        <v>7.83</v>
      </c>
      <c r="F17" s="40">
        <v>21.55</v>
      </c>
      <c r="G17" s="40">
        <v>70.12</v>
      </c>
      <c r="H17" s="40">
        <v>30.53</v>
      </c>
      <c r="I17" s="40">
        <v>12.94</v>
      </c>
      <c r="J17" s="40">
        <v>4.04</v>
      </c>
      <c r="K17" s="40">
        <v>248.66</v>
      </c>
      <c r="L17" s="40">
        <v>39.979999999999997</v>
      </c>
      <c r="M17" s="40">
        <v>40.57</v>
      </c>
      <c r="N17" s="40">
        <v>374</v>
      </c>
      <c r="O17" s="40">
        <v>0</v>
      </c>
      <c r="P17" s="40">
        <v>0.48</v>
      </c>
      <c r="Q17" s="40">
        <v>28.21</v>
      </c>
      <c r="R17" s="38"/>
      <c r="S17" s="38"/>
      <c r="T17" s="38"/>
      <c r="U17" s="38"/>
    </row>
    <row r="18" spans="1:21" customFormat="1">
      <c r="A18" s="39" t="s">
        <v>381</v>
      </c>
      <c r="B18" s="27" t="s">
        <v>8</v>
      </c>
      <c r="C18" s="27" t="s">
        <v>8</v>
      </c>
      <c r="D18" s="27" t="s">
        <v>8</v>
      </c>
      <c r="E18" s="40">
        <v>7.22</v>
      </c>
      <c r="F18" s="40">
        <v>17.48</v>
      </c>
      <c r="G18" s="40">
        <v>69.53</v>
      </c>
      <c r="H18" s="40">
        <v>29.86</v>
      </c>
      <c r="I18" s="40">
        <v>12.06</v>
      </c>
      <c r="J18" s="40">
        <v>4.18</v>
      </c>
      <c r="K18" s="40">
        <v>237.58</v>
      </c>
      <c r="L18" s="40">
        <v>38.96</v>
      </c>
      <c r="M18" s="40">
        <v>32.65</v>
      </c>
      <c r="N18" s="40">
        <v>672.6</v>
      </c>
      <c r="O18" s="40">
        <v>0</v>
      </c>
      <c r="P18" s="40">
        <v>0.48</v>
      </c>
      <c r="Q18" s="40">
        <v>28.41</v>
      </c>
      <c r="R18" s="38"/>
      <c r="S18" s="38"/>
      <c r="T18" s="38"/>
      <c r="U18" s="38"/>
    </row>
    <row r="19" spans="1:21" customFormat="1">
      <c r="A19" s="39" t="s">
        <v>382</v>
      </c>
      <c r="B19" s="27" t="s">
        <v>8</v>
      </c>
      <c r="C19" s="27" t="s">
        <v>8</v>
      </c>
      <c r="D19" s="27" t="s">
        <v>8</v>
      </c>
      <c r="E19" s="40">
        <v>8.01</v>
      </c>
      <c r="F19" s="40">
        <v>20.2</v>
      </c>
      <c r="G19" s="40">
        <v>56.52</v>
      </c>
      <c r="H19" s="40">
        <v>25.27</v>
      </c>
      <c r="I19" s="40">
        <v>11.11</v>
      </c>
      <c r="J19" s="40">
        <v>4.4800000000000004</v>
      </c>
      <c r="K19" s="40">
        <v>254.02</v>
      </c>
      <c r="L19" s="40">
        <v>40.700000000000003</v>
      </c>
      <c r="M19" s="40">
        <v>29.18</v>
      </c>
      <c r="N19" s="40">
        <v>791.5</v>
      </c>
      <c r="O19" s="40">
        <v>0</v>
      </c>
      <c r="P19" s="40">
        <v>0.47</v>
      </c>
      <c r="Q19" s="40">
        <v>28.8</v>
      </c>
      <c r="R19" s="38"/>
      <c r="S19" s="38"/>
      <c r="T19" s="38"/>
      <c r="U19" s="38"/>
    </row>
    <row r="20" spans="1:21" customFormat="1">
      <c r="A20" s="39" t="s">
        <v>383</v>
      </c>
      <c r="B20" s="27" t="s">
        <v>8</v>
      </c>
      <c r="C20" s="27" t="s">
        <v>8</v>
      </c>
      <c r="D20" s="27" t="s">
        <v>8</v>
      </c>
      <c r="E20" s="40">
        <v>7.41</v>
      </c>
      <c r="F20" s="40">
        <v>34.57</v>
      </c>
      <c r="G20" s="40">
        <v>43.34</v>
      </c>
      <c r="H20" s="40">
        <v>21.37</v>
      </c>
      <c r="I20" s="40">
        <v>10.039999999999999</v>
      </c>
      <c r="J20" s="40">
        <v>4.57</v>
      </c>
      <c r="K20" s="40">
        <v>233.6</v>
      </c>
      <c r="L20" s="40">
        <v>42.5</v>
      </c>
      <c r="M20" s="40">
        <v>26.3</v>
      </c>
      <c r="N20" s="40">
        <v>846.2</v>
      </c>
      <c r="O20" s="40">
        <v>0</v>
      </c>
      <c r="P20" s="40">
        <v>0.46</v>
      </c>
      <c r="Q20" s="40">
        <v>29.04</v>
      </c>
      <c r="R20" s="38"/>
      <c r="S20" s="38"/>
      <c r="T20" s="38"/>
      <c r="U20" s="38"/>
    </row>
    <row r="21" spans="1:21" customFormat="1">
      <c r="A21" s="39" t="s">
        <v>384</v>
      </c>
      <c r="B21" s="27" t="s">
        <v>8</v>
      </c>
      <c r="C21" s="27" t="s">
        <v>8</v>
      </c>
      <c r="D21" s="27" t="s">
        <v>8</v>
      </c>
      <c r="E21" s="40">
        <v>6.95</v>
      </c>
      <c r="F21" s="40">
        <v>41.75</v>
      </c>
      <c r="G21" s="40">
        <v>45.74</v>
      </c>
      <c r="H21" s="40">
        <v>25.37</v>
      </c>
      <c r="I21" s="40">
        <v>9.07</v>
      </c>
      <c r="J21" s="40">
        <v>4.43</v>
      </c>
      <c r="K21" s="40">
        <v>228.66</v>
      </c>
      <c r="L21" s="40">
        <v>43.72</v>
      </c>
      <c r="M21" s="40">
        <v>24.15</v>
      </c>
      <c r="N21" s="40">
        <v>865.1</v>
      </c>
      <c r="O21" s="40">
        <v>0</v>
      </c>
      <c r="P21" s="40">
        <v>0.56000000000000005</v>
      </c>
      <c r="Q21" s="40">
        <v>28.61</v>
      </c>
      <c r="R21" s="38"/>
      <c r="S21" s="38"/>
      <c r="T21" s="38"/>
      <c r="U21" s="38"/>
    </row>
    <row r="22" spans="1:21" customFormat="1">
      <c r="A22" s="39" t="s">
        <v>385</v>
      </c>
      <c r="B22" s="27" t="s">
        <v>8</v>
      </c>
      <c r="C22" s="27" t="s">
        <v>8</v>
      </c>
      <c r="D22" s="27" t="s">
        <v>8</v>
      </c>
      <c r="E22" s="40">
        <v>7.85</v>
      </c>
      <c r="F22" s="40">
        <v>33.82</v>
      </c>
      <c r="G22" s="40">
        <v>47.45</v>
      </c>
      <c r="H22" s="40">
        <v>27.49</v>
      </c>
      <c r="I22" s="40">
        <v>11.91</v>
      </c>
      <c r="J22" s="40">
        <v>4.26</v>
      </c>
      <c r="K22" s="40">
        <v>250.53</v>
      </c>
      <c r="L22" s="40">
        <v>43.25</v>
      </c>
      <c r="M22" s="40">
        <v>23.47</v>
      </c>
      <c r="N22" s="40">
        <v>807.8</v>
      </c>
      <c r="O22" s="40">
        <v>0</v>
      </c>
      <c r="P22" s="40">
        <v>0.59</v>
      </c>
      <c r="Q22" s="40">
        <v>28.59</v>
      </c>
      <c r="R22" s="38"/>
      <c r="S22" s="38"/>
      <c r="T22" s="38"/>
      <c r="U22" s="38"/>
    </row>
    <row r="23" spans="1:21" customFormat="1">
      <c r="A23" s="39" t="s">
        <v>386</v>
      </c>
      <c r="B23" s="27" t="s">
        <v>8</v>
      </c>
      <c r="C23" s="27" t="s">
        <v>8</v>
      </c>
      <c r="D23" s="27" t="s">
        <v>8</v>
      </c>
      <c r="E23" s="40">
        <v>8.82</v>
      </c>
      <c r="F23" s="40">
        <v>21.07</v>
      </c>
      <c r="G23" s="40">
        <v>45.87</v>
      </c>
      <c r="H23" s="40">
        <v>24.97</v>
      </c>
      <c r="I23" s="40">
        <v>12.13</v>
      </c>
      <c r="J23" s="40">
        <v>4.33</v>
      </c>
      <c r="K23" s="40">
        <v>239.29</v>
      </c>
      <c r="L23" s="40">
        <v>44.34</v>
      </c>
      <c r="M23" s="40">
        <v>22.36</v>
      </c>
      <c r="N23" s="40">
        <v>643.29999999999995</v>
      </c>
      <c r="O23" s="40">
        <v>0</v>
      </c>
      <c r="P23" s="40">
        <v>0.59</v>
      </c>
      <c r="Q23" s="40">
        <v>28.66</v>
      </c>
      <c r="R23" s="38"/>
      <c r="S23" s="38"/>
      <c r="T23" s="38"/>
      <c r="U23" s="38"/>
    </row>
    <row r="24" spans="1:21" customFormat="1">
      <c r="A24" s="39" t="s">
        <v>387</v>
      </c>
      <c r="B24" s="27" t="s">
        <v>8</v>
      </c>
      <c r="C24" s="27" t="s">
        <v>8</v>
      </c>
      <c r="D24" s="27" t="s">
        <v>8</v>
      </c>
      <c r="E24" s="40">
        <v>9.11</v>
      </c>
      <c r="F24" s="40">
        <v>33.42</v>
      </c>
      <c r="G24" s="40">
        <v>47.76</v>
      </c>
      <c r="H24" s="40">
        <v>25.09</v>
      </c>
      <c r="I24" s="40">
        <v>12.02</v>
      </c>
      <c r="J24" s="40">
        <v>3.43</v>
      </c>
      <c r="K24" s="40">
        <v>248.48</v>
      </c>
      <c r="L24" s="40">
        <v>46.88</v>
      </c>
      <c r="M24" s="40">
        <v>20.74</v>
      </c>
      <c r="N24" s="40">
        <v>489.8</v>
      </c>
      <c r="O24" s="40">
        <v>0</v>
      </c>
      <c r="P24" s="40">
        <v>0.59</v>
      </c>
      <c r="Q24" s="40">
        <v>28.66</v>
      </c>
      <c r="R24" s="38"/>
      <c r="S24" s="38"/>
      <c r="T24" s="38"/>
      <c r="U24" s="38"/>
    </row>
    <row r="25" spans="1:21" customFormat="1">
      <c r="A25" s="39" t="s">
        <v>388</v>
      </c>
      <c r="B25" s="27" t="s">
        <v>8</v>
      </c>
      <c r="C25" s="27" t="s">
        <v>8</v>
      </c>
      <c r="D25" s="27" t="s">
        <v>8</v>
      </c>
      <c r="E25" s="40">
        <v>8.5399999999999991</v>
      </c>
      <c r="F25" s="40">
        <v>40.090000000000003</v>
      </c>
      <c r="G25" s="40">
        <v>48.18</v>
      </c>
      <c r="H25" s="40">
        <v>28.04</v>
      </c>
      <c r="I25" s="40">
        <v>11.89</v>
      </c>
      <c r="J25" s="40">
        <v>3.45</v>
      </c>
      <c r="K25" s="40">
        <v>310.97000000000003</v>
      </c>
      <c r="L25" s="40">
        <v>42.97</v>
      </c>
      <c r="M25" s="40">
        <v>21.24</v>
      </c>
      <c r="N25" s="40">
        <v>288.3</v>
      </c>
      <c r="O25" s="40">
        <v>0</v>
      </c>
      <c r="P25" s="40">
        <v>0.63</v>
      </c>
      <c r="Q25" s="40">
        <v>28.66</v>
      </c>
      <c r="R25" s="38"/>
      <c r="S25" s="38"/>
      <c r="T25" s="38"/>
      <c r="U25" s="38"/>
    </row>
    <row r="26" spans="1:21" customFormat="1">
      <c r="A26" s="39" t="s">
        <v>389</v>
      </c>
      <c r="B26" s="27" t="s">
        <v>8</v>
      </c>
      <c r="C26" s="27" t="s">
        <v>8</v>
      </c>
      <c r="D26" s="27" t="s">
        <v>8</v>
      </c>
      <c r="E26" s="40">
        <v>12.19</v>
      </c>
      <c r="F26" s="40">
        <v>36.659999999999997</v>
      </c>
      <c r="G26" s="40">
        <v>46.24</v>
      </c>
      <c r="H26" s="40">
        <v>28.12</v>
      </c>
      <c r="I26" s="40">
        <v>10.83</v>
      </c>
      <c r="J26" s="40">
        <v>2.0299999999999998</v>
      </c>
      <c r="K26" s="40">
        <v>210.44</v>
      </c>
      <c r="L26" s="40">
        <v>40.89</v>
      </c>
      <c r="M26" s="40">
        <v>32.18</v>
      </c>
      <c r="N26" s="40">
        <v>65</v>
      </c>
      <c r="O26" s="40">
        <v>0</v>
      </c>
      <c r="P26" s="40">
        <v>0.64</v>
      </c>
      <c r="Q26" s="40">
        <v>28.46</v>
      </c>
      <c r="R26" s="38"/>
      <c r="S26" s="38"/>
      <c r="T26" s="38"/>
      <c r="U26" s="38"/>
    </row>
    <row r="27" spans="1:21" customFormat="1">
      <c r="A27" s="39" t="s">
        <v>390</v>
      </c>
      <c r="B27" s="27" t="s">
        <v>8</v>
      </c>
      <c r="C27" s="27" t="s">
        <v>8</v>
      </c>
      <c r="D27" s="27" t="s">
        <v>8</v>
      </c>
      <c r="E27" s="40">
        <v>10.79</v>
      </c>
      <c r="F27" s="40">
        <v>24.47</v>
      </c>
      <c r="G27" s="40">
        <v>48.48</v>
      </c>
      <c r="H27" s="40">
        <v>27.51</v>
      </c>
      <c r="I27" s="40">
        <v>10.97</v>
      </c>
      <c r="J27" s="40">
        <v>2.88</v>
      </c>
      <c r="K27" s="40">
        <v>156.25</v>
      </c>
      <c r="L27" s="40">
        <v>36.17</v>
      </c>
      <c r="M27" s="40">
        <v>41.2</v>
      </c>
      <c r="N27" s="40">
        <v>38</v>
      </c>
      <c r="O27" s="40">
        <v>0</v>
      </c>
      <c r="P27" s="40">
        <v>0.62</v>
      </c>
      <c r="Q27" s="40">
        <v>28.79</v>
      </c>
      <c r="R27" s="38"/>
      <c r="S27" s="38"/>
      <c r="T27" s="38"/>
      <c r="U27" s="38"/>
    </row>
    <row r="28" spans="1:21" customFormat="1">
      <c r="A28" s="39" t="s">
        <v>391</v>
      </c>
      <c r="B28" s="27" t="s">
        <v>8</v>
      </c>
      <c r="C28" s="27" t="s">
        <v>8</v>
      </c>
      <c r="D28" s="27" t="s">
        <v>8</v>
      </c>
      <c r="E28" s="40">
        <v>7.11</v>
      </c>
      <c r="F28" s="40">
        <v>27.9</v>
      </c>
      <c r="G28" s="40">
        <v>52.48</v>
      </c>
      <c r="H28" s="40">
        <v>28.3</v>
      </c>
      <c r="I28" s="40">
        <v>10.18</v>
      </c>
      <c r="J28" s="40">
        <v>3.39</v>
      </c>
      <c r="K28" s="40">
        <v>207.76</v>
      </c>
      <c r="L28" s="40">
        <v>34.39</v>
      </c>
      <c r="M28" s="40">
        <v>43.56</v>
      </c>
      <c r="N28" s="40">
        <v>22.9</v>
      </c>
      <c r="O28" s="40">
        <v>0</v>
      </c>
      <c r="P28" s="40">
        <v>0.56999999999999995</v>
      </c>
      <c r="Q28" s="40">
        <v>28.86</v>
      </c>
      <c r="R28" s="38"/>
      <c r="S28" s="38"/>
      <c r="T28" s="38"/>
      <c r="U28" s="38"/>
    </row>
    <row r="29" spans="1:21" customFormat="1">
      <c r="A29" s="39" t="s">
        <v>392</v>
      </c>
      <c r="B29" s="27" t="s">
        <v>8</v>
      </c>
      <c r="C29" s="27" t="s">
        <v>8</v>
      </c>
      <c r="D29" s="27" t="s">
        <v>8</v>
      </c>
      <c r="E29" s="40">
        <v>7.24</v>
      </c>
      <c r="F29" s="40">
        <v>19</v>
      </c>
      <c r="G29" s="40">
        <v>50.34</v>
      </c>
      <c r="H29" s="40">
        <v>25.17</v>
      </c>
      <c r="I29" s="40">
        <v>9.35</v>
      </c>
      <c r="J29" s="40">
        <v>3.77</v>
      </c>
      <c r="K29" s="40">
        <v>231.48</v>
      </c>
      <c r="L29" s="40">
        <v>34.85</v>
      </c>
      <c r="M29" s="40">
        <v>41.71</v>
      </c>
      <c r="N29" s="40">
        <v>22.2</v>
      </c>
      <c r="O29" s="40">
        <v>0</v>
      </c>
      <c r="P29" s="40">
        <v>0.56000000000000005</v>
      </c>
      <c r="Q29" s="40">
        <v>28.62</v>
      </c>
      <c r="R29" s="38"/>
      <c r="S29" s="38"/>
      <c r="T29" s="38"/>
      <c r="U29" s="38"/>
    </row>
    <row r="30" spans="1:21" customFormat="1">
      <c r="A30" s="39" t="s">
        <v>393</v>
      </c>
      <c r="B30" s="27" t="s">
        <v>8</v>
      </c>
      <c r="C30" s="27" t="s">
        <v>8</v>
      </c>
      <c r="D30" s="27" t="s">
        <v>8</v>
      </c>
      <c r="E30" s="40">
        <v>7.05</v>
      </c>
      <c r="F30" s="40">
        <v>21.2</v>
      </c>
      <c r="G30" s="40">
        <v>46.58</v>
      </c>
      <c r="H30" s="40">
        <v>22.83</v>
      </c>
      <c r="I30" s="40">
        <v>9.0500000000000007</v>
      </c>
      <c r="J30" s="40">
        <v>3.45</v>
      </c>
      <c r="K30" s="40">
        <v>220.04</v>
      </c>
      <c r="L30" s="40">
        <v>34.43</v>
      </c>
      <c r="M30" s="40">
        <v>40.93</v>
      </c>
      <c r="N30" s="40">
        <v>22.7</v>
      </c>
      <c r="O30" s="40">
        <v>0</v>
      </c>
      <c r="P30" s="40">
        <v>0.53</v>
      </c>
      <c r="Q30" s="40">
        <v>28.75</v>
      </c>
      <c r="R30" s="38"/>
      <c r="S30" s="38"/>
      <c r="T30" s="38"/>
      <c r="U30" s="38"/>
    </row>
    <row r="31" spans="1:21" customFormat="1">
      <c r="A31" s="39" t="s">
        <v>394</v>
      </c>
      <c r="B31" s="27" t="s">
        <v>8</v>
      </c>
      <c r="C31" s="27" t="s">
        <v>8</v>
      </c>
      <c r="D31" s="27" t="s">
        <v>8</v>
      </c>
      <c r="E31" s="40">
        <v>6.35</v>
      </c>
      <c r="F31" s="40">
        <v>19.04</v>
      </c>
      <c r="G31" s="40">
        <v>39.64</v>
      </c>
      <c r="H31" s="40">
        <v>22.45</v>
      </c>
      <c r="I31" s="40">
        <v>8.26</v>
      </c>
      <c r="J31" s="40">
        <v>4.45</v>
      </c>
      <c r="K31" s="40">
        <v>233.75</v>
      </c>
      <c r="L31" s="40">
        <v>34.4</v>
      </c>
      <c r="M31" s="40">
        <v>41.08</v>
      </c>
      <c r="N31" s="40">
        <v>22.6</v>
      </c>
      <c r="O31" s="40">
        <v>0</v>
      </c>
      <c r="P31" s="40">
        <v>0.49</v>
      </c>
      <c r="Q31" s="40">
        <v>28.78</v>
      </c>
      <c r="R31" s="38"/>
      <c r="S31" s="38"/>
      <c r="T31" s="38"/>
      <c r="U31" s="38"/>
    </row>
    <row r="32" spans="1:21" customFormat="1">
      <c r="A32" s="39" t="s">
        <v>395</v>
      </c>
      <c r="B32" s="27" t="s">
        <v>8</v>
      </c>
      <c r="C32" s="27" t="s">
        <v>8</v>
      </c>
      <c r="D32" s="27" t="s">
        <v>8</v>
      </c>
      <c r="E32" s="40">
        <v>7.18</v>
      </c>
      <c r="F32" s="40">
        <v>14.92</v>
      </c>
      <c r="G32" s="40">
        <v>37.659999999999997</v>
      </c>
      <c r="H32" s="40">
        <v>21.39</v>
      </c>
      <c r="I32" s="40">
        <v>7.98</v>
      </c>
      <c r="J32" s="40">
        <v>3.89</v>
      </c>
      <c r="K32" s="40">
        <v>231.49</v>
      </c>
      <c r="L32" s="40">
        <v>34.17</v>
      </c>
      <c r="M32" s="40">
        <v>40.99</v>
      </c>
      <c r="N32" s="40">
        <v>23.2</v>
      </c>
      <c r="O32" s="40">
        <v>0</v>
      </c>
      <c r="P32" s="40">
        <v>0.48</v>
      </c>
      <c r="Q32" s="40">
        <v>28.55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6.2</v>
      </c>
      <c r="F34" s="18">
        <f t="shared" si="0"/>
        <v>4.6100000000000003</v>
      </c>
      <c r="G34" s="18">
        <f t="shared" si="0"/>
        <v>37.659999999999997</v>
      </c>
      <c r="H34" s="18">
        <f t="shared" si="0"/>
        <v>21.37</v>
      </c>
      <c r="I34" s="18">
        <f t="shared" si="0"/>
        <v>7.98</v>
      </c>
      <c r="J34" s="18">
        <f t="shared" si="0"/>
        <v>2.0299999999999998</v>
      </c>
      <c r="K34" s="18">
        <f t="shared" si="0"/>
        <v>156.25</v>
      </c>
      <c r="L34" s="18">
        <f t="shared" si="0"/>
        <v>32.869999999999997</v>
      </c>
      <c r="M34" s="18">
        <f t="shared" si="0"/>
        <v>20.74</v>
      </c>
      <c r="N34" s="18">
        <f t="shared" si="0"/>
        <v>22.2</v>
      </c>
      <c r="O34" s="18">
        <f t="shared" si="0"/>
        <v>0</v>
      </c>
      <c r="P34" s="18">
        <f t="shared" si="0"/>
        <v>0.46</v>
      </c>
      <c r="Q34" s="18">
        <f t="shared" si="0"/>
        <v>27.39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12.19</v>
      </c>
      <c r="F35" s="3">
        <f t="shared" si="1"/>
        <v>41.75</v>
      </c>
      <c r="G35" s="3">
        <f t="shared" si="1"/>
        <v>71.959999999999994</v>
      </c>
      <c r="H35" s="3">
        <f t="shared" si="1"/>
        <v>31.08</v>
      </c>
      <c r="I35" s="3">
        <f t="shared" si="1"/>
        <v>12.94</v>
      </c>
      <c r="J35" s="3">
        <f t="shared" si="1"/>
        <v>4.9800000000000004</v>
      </c>
      <c r="K35" s="3">
        <f t="shared" si="1"/>
        <v>310.97000000000003</v>
      </c>
      <c r="L35" s="3">
        <f t="shared" si="1"/>
        <v>46.88</v>
      </c>
      <c r="M35" s="3">
        <f t="shared" si="1"/>
        <v>49.46</v>
      </c>
      <c r="N35" s="3">
        <f t="shared" si="1"/>
        <v>865.1</v>
      </c>
      <c r="O35" s="3">
        <f t="shared" si="1"/>
        <v>0</v>
      </c>
      <c r="P35" s="3">
        <f t="shared" si="1"/>
        <v>0.64</v>
      </c>
      <c r="Q35" s="3">
        <f t="shared" si="1"/>
        <v>29.04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>
        <f t="shared" si="2"/>
        <v>7.9025000000000007</v>
      </c>
      <c r="F36" s="18">
        <f t="shared" si="2"/>
        <v>20.544583333333332</v>
      </c>
      <c r="G36" s="18">
        <f t="shared" si="2"/>
        <v>53.28875</v>
      </c>
      <c r="H36" s="18">
        <f t="shared" si="2"/>
        <v>26.749166666666667</v>
      </c>
      <c r="I36" s="18">
        <f t="shared" si="2"/>
        <v>10.467916666666667</v>
      </c>
      <c r="J36" s="18">
        <f t="shared" si="2"/>
        <v>3.7316666666666669</v>
      </c>
      <c r="K36" s="18">
        <f t="shared" si="2"/>
        <v>236.42624999999995</v>
      </c>
      <c r="L36" s="18">
        <f t="shared" si="2"/>
        <v>37.735833333333325</v>
      </c>
      <c r="M36" s="18">
        <f t="shared" si="2"/>
        <v>37.01583333333334</v>
      </c>
      <c r="N36" s="18">
        <f t="shared" si="2"/>
        <v>272.37916666666666</v>
      </c>
      <c r="O36" s="18">
        <f t="shared" si="2"/>
        <v>0</v>
      </c>
      <c r="P36" s="18">
        <f t="shared" si="2"/>
        <v>0.53541666666666676</v>
      </c>
      <c r="Q36" s="18">
        <f t="shared" si="2"/>
        <v>28.322500000000002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>
        <f t="shared" si="3"/>
        <v>1.3904276789659995</v>
      </c>
      <c r="F37" s="18">
        <f t="shared" si="3"/>
        <v>11.492804168040434</v>
      </c>
      <c r="G37" s="18">
        <f t="shared" si="3"/>
        <v>9.4037186504340049</v>
      </c>
      <c r="H37" s="18">
        <f t="shared" si="3"/>
        <v>2.798424893410147</v>
      </c>
      <c r="I37" s="18">
        <f t="shared" si="3"/>
        <v>1.4375612778369564</v>
      </c>
      <c r="J37" s="18">
        <f t="shared" si="3"/>
        <v>0.7910843777711819</v>
      </c>
      <c r="K37" s="18">
        <f t="shared" si="3"/>
        <v>28.9916582924035</v>
      </c>
      <c r="L37" s="18">
        <f t="shared" si="3"/>
        <v>4.3413381193667977</v>
      </c>
      <c r="M37" s="18">
        <f t="shared" si="3"/>
        <v>9.5915537648072249</v>
      </c>
      <c r="N37" s="18">
        <f t="shared" si="3"/>
        <v>322.44417646843277</v>
      </c>
      <c r="O37" s="18">
        <f t="shared" si="3"/>
        <v>0</v>
      </c>
      <c r="P37" s="18">
        <f t="shared" si="3"/>
        <v>5.6720456141743487E-2</v>
      </c>
      <c r="Q37" s="18">
        <f t="shared" si="3"/>
        <v>0.51496095250872764</v>
      </c>
      <c r="R37" s="18"/>
      <c r="S37" s="18"/>
      <c r="T37" s="18"/>
      <c r="U37" s="18"/>
    </row>
    <row r="38" spans="1:21">
      <c r="A38" s="34" t="s">
        <v>52</v>
      </c>
      <c r="B38" s="34">
        <f>COUNT(B9:B32)+24</f>
        <v>24</v>
      </c>
      <c r="C38" s="34">
        <f t="shared" ref="C38:D38" si="4">COUNT(C9:C32)+24</f>
        <v>24</v>
      </c>
      <c r="D38" s="34">
        <f t="shared" si="4"/>
        <v>24</v>
      </c>
      <c r="E38" s="34">
        <f t="shared" ref="B38:Q38" si="5">COUNT(E9:E32)</f>
        <v>24</v>
      </c>
      <c r="F38" s="34">
        <f t="shared" si="5"/>
        <v>24</v>
      </c>
      <c r="G38" s="34">
        <f t="shared" si="5"/>
        <v>24</v>
      </c>
      <c r="H38" s="34">
        <f t="shared" si="5"/>
        <v>24</v>
      </c>
      <c r="I38" s="34">
        <f t="shared" si="5"/>
        <v>24</v>
      </c>
      <c r="J38" s="34">
        <f t="shared" si="5"/>
        <v>24</v>
      </c>
      <c r="K38" s="34">
        <f t="shared" si="5"/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 t="shared" si="5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396</v>
      </c>
      <c r="B9" s="27" t="s">
        <v>8</v>
      </c>
      <c r="C9" s="27" t="s">
        <v>8</v>
      </c>
      <c r="D9" s="27" t="s">
        <v>8</v>
      </c>
      <c r="E9" s="40">
        <v>6.82</v>
      </c>
      <c r="F9" s="40">
        <v>15.09</v>
      </c>
      <c r="G9" s="40">
        <v>34.020000000000003</v>
      </c>
      <c r="H9" s="40">
        <v>21.72</v>
      </c>
      <c r="I9" s="40">
        <v>7.94</v>
      </c>
      <c r="J9" s="40">
        <v>3.78</v>
      </c>
      <c r="K9" s="40">
        <v>229.54</v>
      </c>
      <c r="L9" s="40">
        <v>33.76</v>
      </c>
      <c r="M9" s="40">
        <v>42.19</v>
      </c>
      <c r="N9" s="40">
        <v>23.1</v>
      </c>
      <c r="O9" s="40">
        <v>0</v>
      </c>
      <c r="P9" s="40">
        <v>0.48</v>
      </c>
      <c r="Q9" s="40">
        <v>28.72</v>
      </c>
      <c r="R9" s="38"/>
      <c r="S9" s="38"/>
      <c r="T9" s="38"/>
      <c r="U9" s="38"/>
    </row>
    <row r="10" spans="1:21" customFormat="1">
      <c r="A10" s="39" t="s">
        <v>397</v>
      </c>
      <c r="B10" s="27" t="s">
        <v>8</v>
      </c>
      <c r="C10" s="27" t="s">
        <v>8</v>
      </c>
      <c r="D10" s="27" t="s">
        <v>8</v>
      </c>
      <c r="E10" s="40">
        <v>6.53</v>
      </c>
      <c r="F10" s="40">
        <v>16.96</v>
      </c>
      <c r="G10" s="40">
        <v>36.08</v>
      </c>
      <c r="H10" s="40">
        <v>18.21</v>
      </c>
      <c r="I10" s="40">
        <v>7.5</v>
      </c>
      <c r="J10" s="40">
        <v>3.56</v>
      </c>
      <c r="K10" s="40">
        <v>199.3</v>
      </c>
      <c r="L10" s="40">
        <v>33.26</v>
      </c>
      <c r="M10" s="40">
        <v>44.57</v>
      </c>
      <c r="N10" s="40">
        <v>23.2</v>
      </c>
      <c r="O10" s="40">
        <v>0</v>
      </c>
      <c r="P10" s="40">
        <v>0.44</v>
      </c>
      <c r="Q10" s="40">
        <v>28.67</v>
      </c>
      <c r="R10" s="38"/>
      <c r="S10" s="38"/>
      <c r="T10" s="38"/>
      <c r="U10" s="38"/>
    </row>
    <row r="11" spans="1:21" customFormat="1">
      <c r="A11" s="39" t="s">
        <v>398</v>
      </c>
      <c r="B11" s="27" t="s">
        <v>8</v>
      </c>
      <c r="C11" s="27" t="s">
        <v>8</v>
      </c>
      <c r="D11" s="27" t="s">
        <v>8</v>
      </c>
      <c r="E11" s="40">
        <v>6.46</v>
      </c>
      <c r="F11" s="40">
        <v>15.14</v>
      </c>
      <c r="G11" s="40">
        <v>30.84</v>
      </c>
      <c r="H11" s="40">
        <v>16.329999999999998</v>
      </c>
      <c r="I11" s="40">
        <v>6.85</v>
      </c>
      <c r="J11" s="40">
        <v>3.61</v>
      </c>
      <c r="K11" s="40">
        <v>201.26</v>
      </c>
      <c r="L11" s="40">
        <v>32.700000000000003</v>
      </c>
      <c r="M11" s="40">
        <v>46.64</v>
      </c>
      <c r="N11" s="40">
        <v>23</v>
      </c>
      <c r="O11" s="40">
        <v>0</v>
      </c>
      <c r="P11" s="40">
        <v>0.45</v>
      </c>
      <c r="Q11" s="40">
        <v>28.6</v>
      </c>
      <c r="R11" s="38"/>
      <c r="S11" s="38"/>
      <c r="T11" s="38"/>
      <c r="U11" s="38"/>
    </row>
    <row r="12" spans="1:21" customFormat="1">
      <c r="A12" s="39" t="s">
        <v>399</v>
      </c>
      <c r="B12" s="27" t="s">
        <v>8</v>
      </c>
      <c r="C12" s="27" t="s">
        <v>8</v>
      </c>
      <c r="D12" s="27" t="s">
        <v>8</v>
      </c>
      <c r="E12" s="40">
        <v>6.76</v>
      </c>
      <c r="F12" s="40">
        <v>6.42</v>
      </c>
      <c r="G12" s="40">
        <v>30.19</v>
      </c>
      <c r="H12" s="40">
        <v>16.100000000000001</v>
      </c>
      <c r="I12" s="40">
        <v>7.17</v>
      </c>
      <c r="J12" s="40">
        <v>3.69</v>
      </c>
      <c r="K12" s="40">
        <v>229.52</v>
      </c>
      <c r="L12" s="40">
        <v>32.340000000000003</v>
      </c>
      <c r="M12" s="40">
        <v>47.39</v>
      </c>
      <c r="N12" s="40">
        <v>22.8</v>
      </c>
      <c r="O12" s="40">
        <v>0</v>
      </c>
      <c r="P12" s="40">
        <v>0.44</v>
      </c>
      <c r="Q12" s="40">
        <v>28.21</v>
      </c>
      <c r="R12" s="38"/>
      <c r="S12" s="38"/>
      <c r="T12" s="38"/>
      <c r="U12" s="38"/>
    </row>
    <row r="13" spans="1:21" customFormat="1">
      <c r="A13" s="39" t="s">
        <v>400</v>
      </c>
      <c r="B13" s="27" t="s">
        <v>8</v>
      </c>
      <c r="C13" s="27" t="s">
        <v>8</v>
      </c>
      <c r="D13" s="27" t="s">
        <v>8</v>
      </c>
      <c r="E13" s="40">
        <v>6.73</v>
      </c>
      <c r="F13" s="40">
        <v>9.58</v>
      </c>
      <c r="G13" s="40">
        <v>32.630000000000003</v>
      </c>
      <c r="H13" s="40">
        <v>17.899999999999999</v>
      </c>
      <c r="I13" s="40">
        <v>7.16</v>
      </c>
      <c r="J13" s="40">
        <v>3.34</v>
      </c>
      <c r="K13" s="40">
        <v>264.16000000000003</v>
      </c>
      <c r="L13" s="40">
        <v>32.97</v>
      </c>
      <c r="M13" s="40">
        <v>48.9</v>
      </c>
      <c r="N13" s="40">
        <v>22.7</v>
      </c>
      <c r="O13" s="40">
        <v>0</v>
      </c>
      <c r="P13" s="40">
        <v>0.45</v>
      </c>
      <c r="Q13" s="40">
        <v>28.54</v>
      </c>
      <c r="R13" s="38"/>
      <c r="S13" s="38"/>
      <c r="T13" s="38"/>
      <c r="U13" s="38"/>
    </row>
    <row r="14" spans="1:21" customFormat="1">
      <c r="A14" s="39" t="s">
        <v>401</v>
      </c>
      <c r="B14" s="27" t="s">
        <v>8</v>
      </c>
      <c r="C14" s="27" t="s">
        <v>8</v>
      </c>
      <c r="D14" s="27" t="s">
        <v>8</v>
      </c>
      <c r="E14" s="40">
        <v>6.34</v>
      </c>
      <c r="F14" s="40">
        <v>6.5</v>
      </c>
      <c r="G14" s="40">
        <v>35.49</v>
      </c>
      <c r="H14" s="40">
        <v>17.149999999999999</v>
      </c>
      <c r="I14" s="40">
        <v>8.1199999999999992</v>
      </c>
      <c r="J14" s="40">
        <v>3.7</v>
      </c>
      <c r="K14" s="40">
        <v>248.14</v>
      </c>
      <c r="L14" s="40">
        <v>32.08</v>
      </c>
      <c r="M14" s="40">
        <v>51.41</v>
      </c>
      <c r="N14" s="40">
        <v>44.1</v>
      </c>
      <c r="O14" s="40">
        <v>0</v>
      </c>
      <c r="P14" s="40">
        <v>0.46</v>
      </c>
      <c r="Q14" s="40">
        <v>28.32</v>
      </c>
      <c r="R14" s="38"/>
      <c r="S14" s="38"/>
      <c r="T14" s="38"/>
      <c r="U14" s="38"/>
    </row>
    <row r="15" spans="1:21" customFormat="1">
      <c r="A15" s="39" t="s">
        <v>402</v>
      </c>
      <c r="B15" s="27" t="s">
        <v>8</v>
      </c>
      <c r="C15" s="27" t="s">
        <v>8</v>
      </c>
      <c r="D15" s="27" t="s">
        <v>8</v>
      </c>
      <c r="E15" s="40">
        <v>6.62</v>
      </c>
      <c r="F15" s="40">
        <v>3.74</v>
      </c>
      <c r="G15" s="40">
        <v>44.57</v>
      </c>
      <c r="H15" s="40">
        <v>16.47</v>
      </c>
      <c r="I15" s="40">
        <v>9.76</v>
      </c>
      <c r="J15" s="40">
        <v>3.31</v>
      </c>
      <c r="K15" s="40">
        <v>242.93</v>
      </c>
      <c r="L15" s="40">
        <v>32.729999999999997</v>
      </c>
      <c r="M15" s="40">
        <v>50.19</v>
      </c>
      <c r="N15" s="40">
        <v>115.5</v>
      </c>
      <c r="O15" s="40">
        <v>0</v>
      </c>
      <c r="P15" s="40">
        <v>0.49</v>
      </c>
      <c r="Q15" s="40">
        <v>28.13</v>
      </c>
      <c r="R15" s="38"/>
      <c r="S15" s="38"/>
      <c r="T15" s="38"/>
      <c r="U15" s="38"/>
    </row>
    <row r="16" spans="1:21" customFormat="1">
      <c r="A16" s="39" t="s">
        <v>403</v>
      </c>
      <c r="B16" s="27" t="s">
        <v>8</v>
      </c>
      <c r="C16" s="27" t="s">
        <v>8</v>
      </c>
      <c r="D16" s="27" t="s">
        <v>8</v>
      </c>
      <c r="E16" s="40">
        <v>6.71</v>
      </c>
      <c r="F16" s="40">
        <v>8.2899999999999991</v>
      </c>
      <c r="G16" s="40">
        <v>58.39</v>
      </c>
      <c r="H16" s="40">
        <v>25.3</v>
      </c>
      <c r="I16" s="40">
        <v>11.4</v>
      </c>
      <c r="J16" s="40">
        <v>3.48</v>
      </c>
      <c r="K16" s="40">
        <v>253.4</v>
      </c>
      <c r="L16" s="40">
        <v>35.049999999999997</v>
      </c>
      <c r="M16" s="40">
        <v>51.36</v>
      </c>
      <c r="N16" s="40">
        <v>303.3</v>
      </c>
      <c r="O16" s="40">
        <v>0</v>
      </c>
      <c r="P16" s="40">
        <v>0.52</v>
      </c>
      <c r="Q16" s="40">
        <v>28.35</v>
      </c>
      <c r="R16" s="38"/>
      <c r="S16" s="38"/>
      <c r="T16" s="38"/>
      <c r="U16" s="38"/>
    </row>
    <row r="17" spans="1:21" customFormat="1">
      <c r="A17" s="39" t="s">
        <v>404</v>
      </c>
      <c r="B17" s="27" t="s">
        <v>8</v>
      </c>
      <c r="C17" s="27" t="s">
        <v>8</v>
      </c>
      <c r="D17" s="27" t="s">
        <v>8</v>
      </c>
      <c r="E17" s="40">
        <v>6.38</v>
      </c>
      <c r="F17" s="40">
        <v>18.09</v>
      </c>
      <c r="G17" s="40">
        <v>63.95</v>
      </c>
      <c r="H17" s="40">
        <v>26</v>
      </c>
      <c r="I17" s="40">
        <v>11.4</v>
      </c>
      <c r="J17" s="40">
        <v>2.14</v>
      </c>
      <c r="K17" s="40">
        <v>339.94</v>
      </c>
      <c r="L17" s="40">
        <v>36.76</v>
      </c>
      <c r="M17" s="40">
        <v>38.35</v>
      </c>
      <c r="N17" s="40">
        <v>396.8</v>
      </c>
      <c r="O17" s="40">
        <v>0</v>
      </c>
      <c r="P17" s="40">
        <v>0.55000000000000004</v>
      </c>
      <c r="Q17" s="40">
        <v>28.43</v>
      </c>
      <c r="R17" s="38"/>
      <c r="S17" s="38"/>
      <c r="T17" s="38"/>
      <c r="U17" s="38"/>
    </row>
    <row r="18" spans="1:21" customFormat="1">
      <c r="A18" s="39" t="s">
        <v>405</v>
      </c>
      <c r="B18" s="27" t="s">
        <v>8</v>
      </c>
      <c r="C18" s="27" t="s">
        <v>8</v>
      </c>
      <c r="D18" s="27" t="s">
        <v>8</v>
      </c>
      <c r="E18" s="40">
        <v>7.41</v>
      </c>
      <c r="F18" s="40">
        <v>18.18</v>
      </c>
      <c r="G18" s="40">
        <v>60.38</v>
      </c>
      <c r="H18" s="40">
        <v>26.95</v>
      </c>
      <c r="I18" s="40">
        <v>10.44</v>
      </c>
      <c r="J18" s="40">
        <v>3.06</v>
      </c>
      <c r="K18" s="40">
        <v>254.43</v>
      </c>
      <c r="L18" s="40">
        <v>38.799999999999997</v>
      </c>
      <c r="M18" s="40">
        <v>34.24</v>
      </c>
      <c r="N18" s="40">
        <v>670.7</v>
      </c>
      <c r="O18" s="40">
        <v>0</v>
      </c>
      <c r="P18" s="40">
        <v>0.54</v>
      </c>
      <c r="Q18" s="40">
        <v>28.55</v>
      </c>
      <c r="R18" s="38"/>
      <c r="S18" s="38"/>
      <c r="T18" s="38"/>
      <c r="U18" s="38"/>
    </row>
    <row r="19" spans="1:21" customFormat="1">
      <c r="A19" s="39" t="s">
        <v>406</v>
      </c>
      <c r="B19" s="27" t="s">
        <v>8</v>
      </c>
      <c r="C19" s="40">
        <v>56.6</v>
      </c>
      <c r="D19" s="40">
        <v>29.43</v>
      </c>
      <c r="E19" s="40">
        <v>7.51</v>
      </c>
      <c r="F19" s="40">
        <v>44.65</v>
      </c>
      <c r="G19" s="40">
        <v>53.38</v>
      </c>
      <c r="H19" s="40">
        <v>20.96</v>
      </c>
      <c r="I19" s="40">
        <v>9.8699999999999992</v>
      </c>
      <c r="J19" s="40">
        <v>1.9</v>
      </c>
      <c r="K19" s="40">
        <v>349.71</v>
      </c>
      <c r="L19" s="40">
        <v>40.880000000000003</v>
      </c>
      <c r="M19" s="40">
        <v>30.49</v>
      </c>
      <c r="N19" s="40">
        <v>790</v>
      </c>
      <c r="O19" s="40">
        <v>0</v>
      </c>
      <c r="P19" s="40">
        <v>0.51</v>
      </c>
      <c r="Q19" s="40">
        <v>28.74</v>
      </c>
      <c r="R19" s="38"/>
      <c r="S19" s="38"/>
      <c r="T19" s="38"/>
      <c r="U19" s="38"/>
    </row>
    <row r="20" spans="1:21" customFormat="1">
      <c r="A20" s="39" t="s">
        <v>407</v>
      </c>
      <c r="B20" s="40">
        <v>1.1599999999999999</v>
      </c>
      <c r="C20" s="40">
        <v>55.36</v>
      </c>
      <c r="D20" s="40">
        <v>29.85</v>
      </c>
      <c r="E20" s="40">
        <v>8</v>
      </c>
      <c r="F20" s="40">
        <v>39.869999999999997</v>
      </c>
      <c r="G20" s="40">
        <v>40.159999999999997</v>
      </c>
      <c r="H20" s="40">
        <v>19.21</v>
      </c>
      <c r="I20" s="40">
        <v>8.85</v>
      </c>
      <c r="J20" s="40">
        <v>4.05</v>
      </c>
      <c r="K20" s="40">
        <v>275.57</v>
      </c>
      <c r="L20" s="40">
        <v>42.03</v>
      </c>
      <c r="M20" s="40">
        <v>26.8</v>
      </c>
      <c r="N20" s="40">
        <v>853.9</v>
      </c>
      <c r="O20" s="40">
        <v>0</v>
      </c>
      <c r="P20" s="40">
        <v>0.45</v>
      </c>
      <c r="Q20" s="40">
        <v>28.83</v>
      </c>
      <c r="R20" s="38"/>
      <c r="S20" s="38"/>
      <c r="T20" s="38"/>
      <c r="U20" s="38"/>
    </row>
    <row r="21" spans="1:21" customFormat="1">
      <c r="A21" s="39" t="s">
        <v>408</v>
      </c>
      <c r="B21" s="40">
        <v>2.12</v>
      </c>
      <c r="C21" s="40">
        <v>29.71</v>
      </c>
      <c r="D21" s="40">
        <v>16.13</v>
      </c>
      <c r="E21" s="40">
        <v>8.18</v>
      </c>
      <c r="F21" s="40">
        <v>31.98</v>
      </c>
      <c r="G21" s="40">
        <v>42.47</v>
      </c>
      <c r="H21" s="40">
        <v>17.09</v>
      </c>
      <c r="I21" s="40">
        <v>7.86</v>
      </c>
      <c r="J21" s="40">
        <v>4.3499999999999996</v>
      </c>
      <c r="K21" s="40">
        <v>250.56</v>
      </c>
      <c r="L21" s="40">
        <v>42.92</v>
      </c>
      <c r="M21" s="40">
        <v>24.74</v>
      </c>
      <c r="N21" s="40">
        <v>859.7</v>
      </c>
      <c r="O21" s="40">
        <v>0</v>
      </c>
      <c r="P21" s="40">
        <v>0.42</v>
      </c>
      <c r="Q21" s="40">
        <v>29</v>
      </c>
      <c r="R21" s="38"/>
      <c r="S21" s="38"/>
      <c r="T21" s="38"/>
      <c r="U21" s="38"/>
    </row>
    <row r="22" spans="1:21" customFormat="1">
      <c r="A22" s="39" t="s">
        <v>409</v>
      </c>
      <c r="B22" s="40">
        <v>2.0299999999999998</v>
      </c>
      <c r="C22" s="40">
        <v>19.75</v>
      </c>
      <c r="D22" s="40">
        <v>10.93</v>
      </c>
      <c r="E22" s="40">
        <v>9.0299999999999994</v>
      </c>
      <c r="F22" s="40">
        <v>24.29</v>
      </c>
      <c r="G22" s="40">
        <v>39.11</v>
      </c>
      <c r="H22" s="40">
        <v>19.09</v>
      </c>
      <c r="I22" s="40">
        <v>6.99</v>
      </c>
      <c r="J22" s="40">
        <v>4.07</v>
      </c>
      <c r="K22" s="40">
        <v>250.73</v>
      </c>
      <c r="L22" s="40">
        <v>43.08</v>
      </c>
      <c r="M22" s="40">
        <v>22.24</v>
      </c>
      <c r="N22" s="40">
        <v>859.1</v>
      </c>
      <c r="O22" s="40">
        <v>0</v>
      </c>
      <c r="P22" s="40">
        <v>0.37</v>
      </c>
      <c r="Q22" s="40">
        <v>29.29</v>
      </c>
      <c r="R22" s="38"/>
      <c r="S22" s="38"/>
      <c r="T22" s="38"/>
      <c r="U22" s="38"/>
    </row>
    <row r="23" spans="1:21" customFormat="1">
      <c r="A23" s="39" t="s">
        <v>410</v>
      </c>
      <c r="B23" s="40">
        <v>2.16</v>
      </c>
      <c r="C23" s="40">
        <v>20.22</v>
      </c>
      <c r="D23" s="40">
        <v>11.23</v>
      </c>
      <c r="E23" s="40">
        <v>8.6</v>
      </c>
      <c r="F23" s="40">
        <v>30.26</v>
      </c>
      <c r="G23" s="40">
        <v>37.229999999999997</v>
      </c>
      <c r="H23" s="40">
        <v>16.36</v>
      </c>
      <c r="I23" s="40">
        <v>6.97</v>
      </c>
      <c r="J23" s="40">
        <v>4.03</v>
      </c>
      <c r="K23" s="40">
        <v>241.32</v>
      </c>
      <c r="L23" s="40">
        <v>43.14</v>
      </c>
      <c r="M23" s="40">
        <v>22.45</v>
      </c>
      <c r="N23" s="40">
        <v>555.4</v>
      </c>
      <c r="O23" s="40">
        <v>0</v>
      </c>
      <c r="P23" s="40">
        <v>0.35</v>
      </c>
      <c r="Q23" s="40">
        <v>29.07</v>
      </c>
      <c r="R23" s="38"/>
      <c r="S23" s="38"/>
      <c r="T23" s="38"/>
      <c r="U23" s="38"/>
    </row>
    <row r="24" spans="1:21" customFormat="1">
      <c r="A24" s="39" t="s">
        <v>411</v>
      </c>
      <c r="B24" s="40">
        <v>2.73</v>
      </c>
      <c r="C24" s="40">
        <v>19.13</v>
      </c>
      <c r="D24" s="40">
        <v>11.12</v>
      </c>
      <c r="E24" s="40">
        <v>8.4499999999999993</v>
      </c>
      <c r="F24" s="40">
        <v>29.45</v>
      </c>
      <c r="G24" s="40">
        <v>33.96</v>
      </c>
      <c r="H24" s="40">
        <v>18.239999999999998</v>
      </c>
      <c r="I24" s="40">
        <v>6.67</v>
      </c>
      <c r="J24" s="40">
        <v>1.67</v>
      </c>
      <c r="K24" s="40">
        <v>310.58999999999997</v>
      </c>
      <c r="L24" s="40">
        <v>43.61</v>
      </c>
      <c r="M24" s="40">
        <v>21.35</v>
      </c>
      <c r="N24" s="40">
        <v>476.8</v>
      </c>
      <c r="O24" s="40">
        <v>0</v>
      </c>
      <c r="P24" s="40">
        <v>0.37</v>
      </c>
      <c r="Q24" s="40">
        <v>29.06</v>
      </c>
      <c r="R24" s="38"/>
      <c r="S24" s="38"/>
      <c r="T24" s="38"/>
      <c r="U24" s="38"/>
    </row>
    <row r="25" spans="1:21" customFormat="1">
      <c r="A25" s="39" t="s">
        <v>412</v>
      </c>
      <c r="B25" s="40">
        <v>3</v>
      </c>
      <c r="C25" s="40">
        <v>17.27</v>
      </c>
      <c r="D25" s="40">
        <v>10.39</v>
      </c>
      <c r="E25" s="40">
        <v>8.89</v>
      </c>
      <c r="F25" s="40">
        <v>31.69</v>
      </c>
      <c r="G25" s="40">
        <v>32.64</v>
      </c>
      <c r="H25" s="40">
        <v>20.21</v>
      </c>
      <c r="I25" s="40">
        <v>6.67</v>
      </c>
      <c r="J25" s="40">
        <v>3.85</v>
      </c>
      <c r="K25" s="40">
        <v>355.68</v>
      </c>
      <c r="L25" s="40">
        <v>42.18</v>
      </c>
      <c r="M25" s="40">
        <v>22.7</v>
      </c>
      <c r="N25" s="40">
        <v>311.10000000000002</v>
      </c>
      <c r="O25" s="40">
        <v>0</v>
      </c>
      <c r="P25" s="40">
        <v>0.38</v>
      </c>
      <c r="Q25" s="40">
        <v>29.01</v>
      </c>
      <c r="R25" s="38"/>
      <c r="S25" s="38"/>
      <c r="T25" s="38"/>
      <c r="U25" s="38"/>
    </row>
    <row r="26" spans="1:21" customFormat="1">
      <c r="A26" s="39" t="s">
        <v>413</v>
      </c>
      <c r="B26" s="40">
        <v>4.26</v>
      </c>
      <c r="C26" s="40">
        <v>23.52</v>
      </c>
      <c r="D26" s="40">
        <v>14.69</v>
      </c>
      <c r="E26" s="40">
        <v>7.51</v>
      </c>
      <c r="F26" s="40">
        <v>34.1</v>
      </c>
      <c r="G26" s="40">
        <v>32.71</v>
      </c>
      <c r="H26" s="40">
        <v>17.899999999999999</v>
      </c>
      <c r="I26" s="40">
        <v>7.02</v>
      </c>
      <c r="J26" s="40">
        <v>4.95</v>
      </c>
      <c r="K26" s="40">
        <v>27.8</v>
      </c>
      <c r="L26" s="40">
        <v>39.869999999999997</v>
      </c>
      <c r="M26" s="40">
        <v>25.06</v>
      </c>
      <c r="N26" s="40">
        <v>146.9</v>
      </c>
      <c r="O26" s="40">
        <v>0</v>
      </c>
      <c r="P26" s="40">
        <v>0.51</v>
      </c>
      <c r="Q26" s="40">
        <v>28.91</v>
      </c>
      <c r="R26" s="38"/>
      <c r="S26" s="38"/>
      <c r="T26" s="38"/>
      <c r="U26" s="38"/>
    </row>
    <row r="27" spans="1:21" customFormat="1">
      <c r="A27" s="39" t="s">
        <v>414</v>
      </c>
      <c r="B27" s="40">
        <v>4.51</v>
      </c>
      <c r="C27" s="40">
        <v>25.54</v>
      </c>
      <c r="D27" s="40">
        <v>15.97</v>
      </c>
      <c r="E27" s="40">
        <v>7.91</v>
      </c>
      <c r="F27" s="40">
        <v>35.08</v>
      </c>
      <c r="G27" s="40">
        <v>30.68</v>
      </c>
      <c r="H27" s="40">
        <v>17.28</v>
      </c>
      <c r="I27" s="40">
        <v>7.91</v>
      </c>
      <c r="J27" s="40">
        <v>2.89</v>
      </c>
      <c r="K27" s="40">
        <v>242.44</v>
      </c>
      <c r="L27" s="40">
        <v>38.39</v>
      </c>
      <c r="M27" s="40">
        <v>29.67</v>
      </c>
      <c r="N27" s="40">
        <v>35</v>
      </c>
      <c r="O27" s="40">
        <v>0</v>
      </c>
      <c r="P27" s="40">
        <v>0.53</v>
      </c>
      <c r="Q27" s="40">
        <v>28.55</v>
      </c>
      <c r="R27" s="38"/>
      <c r="S27" s="38"/>
      <c r="T27" s="38"/>
      <c r="U27" s="38"/>
    </row>
    <row r="28" spans="1:21" customFormat="1">
      <c r="A28" s="39" t="s">
        <v>415</v>
      </c>
      <c r="B28" s="40">
        <v>3.97</v>
      </c>
      <c r="C28" s="40">
        <v>27.04</v>
      </c>
      <c r="D28" s="40">
        <v>15.44</v>
      </c>
      <c r="E28" s="40">
        <v>9.0299999999999994</v>
      </c>
      <c r="F28" s="40">
        <v>26.55</v>
      </c>
      <c r="G28" s="40">
        <v>38.65</v>
      </c>
      <c r="H28" s="40">
        <v>18.760000000000002</v>
      </c>
      <c r="I28" s="40">
        <v>9.08</v>
      </c>
      <c r="J28" s="40">
        <v>3.18</v>
      </c>
      <c r="K28" s="40">
        <v>251.67</v>
      </c>
      <c r="L28" s="40">
        <v>37.17</v>
      </c>
      <c r="M28" s="40">
        <v>31.39</v>
      </c>
      <c r="N28" s="40">
        <v>22.5</v>
      </c>
      <c r="O28" s="40">
        <v>0</v>
      </c>
      <c r="P28" s="40">
        <v>0.57999999999999996</v>
      </c>
      <c r="Q28" s="40">
        <v>28.45</v>
      </c>
      <c r="R28" s="38"/>
      <c r="S28" s="38"/>
      <c r="T28" s="38"/>
      <c r="U28" s="38"/>
    </row>
    <row r="29" spans="1:21" customFormat="1">
      <c r="A29" s="39" t="s">
        <v>416</v>
      </c>
      <c r="B29" s="40">
        <v>4.59</v>
      </c>
      <c r="C29" s="40">
        <v>23.48</v>
      </c>
      <c r="D29" s="40">
        <v>14.23</v>
      </c>
      <c r="E29" s="40">
        <v>8.7899999999999991</v>
      </c>
      <c r="F29" s="40">
        <v>15.56</v>
      </c>
      <c r="G29" s="40">
        <v>43.13</v>
      </c>
      <c r="H29" s="40">
        <v>22.35</v>
      </c>
      <c r="I29" s="40">
        <v>10.33</v>
      </c>
      <c r="J29" s="40">
        <v>3.92</v>
      </c>
      <c r="K29" s="40">
        <v>241.74</v>
      </c>
      <c r="L29" s="40">
        <v>36.33</v>
      </c>
      <c r="M29" s="40">
        <v>29.91</v>
      </c>
      <c r="N29" s="40">
        <v>22.7</v>
      </c>
      <c r="O29" s="40">
        <v>0</v>
      </c>
      <c r="P29" s="40">
        <v>0.56000000000000005</v>
      </c>
      <c r="Q29" s="40">
        <v>28.59</v>
      </c>
      <c r="R29" s="38"/>
      <c r="S29" s="38"/>
      <c r="T29" s="38"/>
      <c r="U29" s="38"/>
    </row>
    <row r="30" spans="1:21" customFormat="1">
      <c r="A30" s="39" t="s">
        <v>417</v>
      </c>
      <c r="B30" s="40">
        <v>3.63</v>
      </c>
      <c r="C30" s="40">
        <v>27.42</v>
      </c>
      <c r="D30" s="40">
        <v>16.14</v>
      </c>
      <c r="E30" s="40">
        <v>7.27</v>
      </c>
      <c r="F30" s="40">
        <v>13.16</v>
      </c>
      <c r="G30" s="40">
        <v>47.49</v>
      </c>
      <c r="H30" s="40">
        <v>19.25</v>
      </c>
      <c r="I30" s="40">
        <v>11.07</v>
      </c>
      <c r="J30" s="40">
        <v>4.7300000000000004</v>
      </c>
      <c r="K30" s="40">
        <v>252.61</v>
      </c>
      <c r="L30" s="40">
        <v>35.53</v>
      </c>
      <c r="M30" s="40">
        <v>31.44</v>
      </c>
      <c r="N30" s="40">
        <v>22.6</v>
      </c>
      <c r="O30" s="40">
        <v>0</v>
      </c>
      <c r="P30" s="40">
        <v>0.53</v>
      </c>
      <c r="Q30" s="40">
        <v>28.43</v>
      </c>
      <c r="R30" s="38"/>
      <c r="S30" s="38"/>
      <c r="T30" s="38"/>
      <c r="U30" s="38"/>
    </row>
    <row r="31" spans="1:21" customFormat="1">
      <c r="A31" s="39" t="s">
        <v>418</v>
      </c>
      <c r="B31" s="40">
        <v>4.3600000000000003</v>
      </c>
      <c r="C31" s="40">
        <v>34.299999999999997</v>
      </c>
      <c r="D31" s="40">
        <v>20.23</v>
      </c>
      <c r="E31" s="40">
        <v>7.44</v>
      </c>
      <c r="F31" s="40">
        <v>14.37</v>
      </c>
      <c r="G31" s="40">
        <v>45.69</v>
      </c>
      <c r="H31" s="40">
        <v>16.97</v>
      </c>
      <c r="I31" s="40">
        <v>12.04</v>
      </c>
      <c r="J31" s="40">
        <v>4.37</v>
      </c>
      <c r="K31" s="40">
        <v>251.59</v>
      </c>
      <c r="L31" s="40">
        <v>35.08</v>
      </c>
      <c r="M31" s="40">
        <v>33.76</v>
      </c>
      <c r="N31" s="40">
        <v>22.6</v>
      </c>
      <c r="O31" s="40">
        <v>0</v>
      </c>
      <c r="P31" s="40">
        <v>0.55000000000000004</v>
      </c>
      <c r="Q31" s="40">
        <v>28.33</v>
      </c>
      <c r="R31" s="38"/>
      <c r="S31" s="38"/>
      <c r="T31" s="38"/>
      <c r="U31" s="38"/>
    </row>
    <row r="32" spans="1:21" customFormat="1">
      <c r="A32" s="39" t="s">
        <v>419</v>
      </c>
      <c r="B32" s="40">
        <v>5.83</v>
      </c>
      <c r="C32" s="40">
        <v>30.14</v>
      </c>
      <c r="D32" s="40">
        <v>18.87</v>
      </c>
      <c r="E32" s="40">
        <v>7.95</v>
      </c>
      <c r="F32" s="40">
        <v>8.83</v>
      </c>
      <c r="G32" s="40">
        <v>49.58</v>
      </c>
      <c r="H32" s="40">
        <v>20.36</v>
      </c>
      <c r="I32" s="40">
        <v>12.61</v>
      </c>
      <c r="J32" s="40">
        <v>4.5999999999999996</v>
      </c>
      <c r="K32" s="40">
        <v>240.34</v>
      </c>
      <c r="L32" s="40">
        <v>34.409999999999997</v>
      </c>
      <c r="M32" s="40">
        <v>36.659999999999997</v>
      </c>
      <c r="N32" s="40">
        <v>22.6</v>
      </c>
      <c r="O32" s="40">
        <v>0</v>
      </c>
      <c r="P32" s="40">
        <v>0.56000000000000005</v>
      </c>
      <c r="Q32" s="40">
        <v>28.26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1.1599999999999999</v>
      </c>
      <c r="C34" s="18">
        <f t="shared" si="0"/>
        <v>17.27</v>
      </c>
      <c r="D34" s="18">
        <f t="shared" si="0"/>
        <v>10.39</v>
      </c>
      <c r="E34" s="18">
        <f t="shared" si="0"/>
        <v>6.34</v>
      </c>
      <c r="F34" s="18">
        <f t="shared" si="0"/>
        <v>3.74</v>
      </c>
      <c r="G34" s="18">
        <f t="shared" si="0"/>
        <v>30.19</v>
      </c>
      <c r="H34" s="18">
        <f t="shared" si="0"/>
        <v>16.100000000000001</v>
      </c>
      <c r="I34" s="18">
        <f t="shared" si="0"/>
        <v>6.67</v>
      </c>
      <c r="J34" s="18">
        <f t="shared" si="0"/>
        <v>1.67</v>
      </c>
      <c r="K34" s="18">
        <f t="shared" si="0"/>
        <v>27.8</v>
      </c>
      <c r="L34" s="18">
        <f t="shared" si="0"/>
        <v>32.08</v>
      </c>
      <c r="M34" s="18">
        <f t="shared" si="0"/>
        <v>21.35</v>
      </c>
      <c r="N34" s="18">
        <f t="shared" si="0"/>
        <v>22.5</v>
      </c>
      <c r="O34" s="18">
        <f t="shared" si="0"/>
        <v>0</v>
      </c>
      <c r="P34" s="18">
        <f t="shared" si="0"/>
        <v>0.35</v>
      </c>
      <c r="Q34" s="18">
        <f t="shared" si="0"/>
        <v>28.13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5.83</v>
      </c>
      <c r="C35" s="3">
        <f t="shared" si="1"/>
        <v>56.6</v>
      </c>
      <c r="D35" s="3">
        <f t="shared" si="1"/>
        <v>29.85</v>
      </c>
      <c r="E35" s="3">
        <f t="shared" si="1"/>
        <v>9.0299999999999994</v>
      </c>
      <c r="F35" s="3">
        <f t="shared" si="1"/>
        <v>44.65</v>
      </c>
      <c r="G35" s="3">
        <f t="shared" si="1"/>
        <v>63.95</v>
      </c>
      <c r="H35" s="3">
        <f t="shared" si="1"/>
        <v>26.95</v>
      </c>
      <c r="I35" s="3">
        <f t="shared" si="1"/>
        <v>12.61</v>
      </c>
      <c r="J35" s="3">
        <f t="shared" si="1"/>
        <v>4.95</v>
      </c>
      <c r="K35" s="3">
        <f t="shared" si="1"/>
        <v>355.68</v>
      </c>
      <c r="L35" s="3">
        <f t="shared" si="1"/>
        <v>43.61</v>
      </c>
      <c r="M35" s="3">
        <f t="shared" si="1"/>
        <v>51.41</v>
      </c>
      <c r="N35" s="3">
        <f t="shared" si="1"/>
        <v>859.7</v>
      </c>
      <c r="O35" s="3">
        <f t="shared" si="1"/>
        <v>0</v>
      </c>
      <c r="P35" s="3">
        <f t="shared" si="1"/>
        <v>0.57999999999999996</v>
      </c>
      <c r="Q35" s="3">
        <f t="shared" si="1"/>
        <v>29.29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3.411538461538461</v>
      </c>
      <c r="C36" s="18">
        <f t="shared" si="2"/>
        <v>29.248571428571434</v>
      </c>
      <c r="D36" s="18">
        <f t="shared" si="2"/>
        <v>16.760714285714286</v>
      </c>
      <c r="E36" s="18">
        <f t="shared" si="2"/>
        <v>7.5549999999999997</v>
      </c>
      <c r="F36" s="18">
        <f t="shared" si="2"/>
        <v>20.74291666666667</v>
      </c>
      <c r="G36" s="18">
        <f t="shared" si="2"/>
        <v>41.392499999999998</v>
      </c>
      <c r="H36" s="18">
        <f t="shared" si="2"/>
        <v>19.423333333333332</v>
      </c>
      <c r="I36" s="18">
        <f t="shared" si="2"/>
        <v>8.82</v>
      </c>
      <c r="J36" s="18">
        <f t="shared" si="2"/>
        <v>3.592916666666667</v>
      </c>
      <c r="K36" s="18">
        <f t="shared" si="2"/>
        <v>250.20708333333334</v>
      </c>
      <c r="L36" s="18">
        <f t="shared" si="2"/>
        <v>37.294583333333328</v>
      </c>
      <c r="M36" s="18">
        <f t="shared" si="2"/>
        <v>35.162500000000001</v>
      </c>
      <c r="N36" s="18">
        <f t="shared" si="2"/>
        <v>276.92083333333341</v>
      </c>
      <c r="O36" s="18">
        <f t="shared" si="2"/>
        <v>0</v>
      </c>
      <c r="P36" s="18">
        <f t="shared" si="2"/>
        <v>0.47875000000000001</v>
      </c>
      <c r="Q36" s="18">
        <f t="shared" si="2"/>
        <v>28.626666666666665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1.3313454732828647</v>
      </c>
      <c r="C37" s="18">
        <f t="shared" ref="C37:Q37" si="3">STDEV(C9:C32)</f>
        <v>12.285417783286396</v>
      </c>
      <c r="D37" s="18">
        <f t="shared" si="3"/>
        <v>6.1965244157644381</v>
      </c>
      <c r="E37" s="18">
        <f t="shared" si="3"/>
        <v>0.91103381314617127</v>
      </c>
      <c r="F37" s="18">
        <f t="shared" si="3"/>
        <v>11.637854456066194</v>
      </c>
      <c r="G37" s="18">
        <f t="shared" si="3"/>
        <v>9.8324167713343744</v>
      </c>
      <c r="H37" s="18">
        <f t="shared" si="3"/>
        <v>3.0943211191480797</v>
      </c>
      <c r="I37" s="18">
        <f t="shared" si="3"/>
        <v>1.9046716024143096</v>
      </c>
      <c r="J37" s="18">
        <f t="shared" si="3"/>
        <v>0.83311087610477108</v>
      </c>
      <c r="K37" s="18">
        <f t="shared" si="3"/>
        <v>62.301023543770604</v>
      </c>
      <c r="L37" s="18">
        <f t="shared" si="3"/>
        <v>4.0226683542650736</v>
      </c>
      <c r="M37" s="18">
        <f t="shared" si="3"/>
        <v>10.296121367650613</v>
      </c>
      <c r="N37" s="18">
        <f t="shared" si="3"/>
        <v>320.67105315215173</v>
      </c>
      <c r="O37" s="18">
        <f t="shared" si="3"/>
        <v>0</v>
      </c>
      <c r="P37" s="18">
        <f t="shared" si="3"/>
        <v>6.7779213178750047E-2</v>
      </c>
      <c r="Q37" s="18">
        <f t="shared" si="3"/>
        <v>0.30920187111569875</v>
      </c>
      <c r="R37" s="18"/>
      <c r="S37" s="18"/>
      <c r="T37" s="18"/>
      <c r="U37" s="18"/>
    </row>
    <row r="38" spans="1:21">
      <c r="A38" s="34" t="s">
        <v>52</v>
      </c>
      <c r="B38" s="34">
        <f>COUNT(B9:B32)+11</f>
        <v>24</v>
      </c>
      <c r="C38" s="34">
        <f>COUNT(C9:C32)+10</f>
        <v>24</v>
      </c>
      <c r="D38" s="34">
        <f>COUNT(D9:D32)+10</f>
        <v>24</v>
      </c>
      <c r="E38" s="34">
        <f t="shared" ref="B38:Q38" si="4">COUNT(E9:E32)</f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420</v>
      </c>
      <c r="B9" s="40">
        <v>6.27</v>
      </c>
      <c r="C9" s="40">
        <v>25.87</v>
      </c>
      <c r="D9" s="40">
        <v>17.55</v>
      </c>
      <c r="E9" s="40">
        <v>7.74</v>
      </c>
      <c r="F9" s="40">
        <v>8.42</v>
      </c>
      <c r="G9" s="40">
        <v>58.34</v>
      </c>
      <c r="H9" s="40">
        <v>22.94</v>
      </c>
      <c r="I9" s="40">
        <v>12.53</v>
      </c>
      <c r="J9" s="40">
        <v>4.47</v>
      </c>
      <c r="K9" s="40">
        <v>235.95</v>
      </c>
      <c r="L9" s="40">
        <v>33.840000000000003</v>
      </c>
      <c r="M9" s="40">
        <v>37.729999999999997</v>
      </c>
      <c r="N9" s="40">
        <v>22.9</v>
      </c>
      <c r="O9" s="40">
        <v>0</v>
      </c>
      <c r="P9" s="40">
        <v>0.54</v>
      </c>
      <c r="Q9" s="40">
        <v>28.17</v>
      </c>
      <c r="R9" s="38"/>
      <c r="S9" s="38"/>
      <c r="T9" s="38"/>
      <c r="U9" s="38"/>
    </row>
    <row r="10" spans="1:21" customFormat="1">
      <c r="A10" s="39" t="s">
        <v>421</v>
      </c>
      <c r="B10" s="40">
        <v>5.66</v>
      </c>
      <c r="C10" s="40">
        <v>36.9</v>
      </c>
      <c r="D10" s="40">
        <v>22.83</v>
      </c>
      <c r="E10" s="40">
        <v>7.21</v>
      </c>
      <c r="F10" s="40">
        <v>9.6999999999999993</v>
      </c>
      <c r="G10" s="40">
        <v>57.85</v>
      </c>
      <c r="H10" s="40">
        <v>22.17</v>
      </c>
      <c r="I10" s="40">
        <v>11.54</v>
      </c>
      <c r="J10" s="40">
        <v>3.91</v>
      </c>
      <c r="K10" s="40">
        <v>239.65</v>
      </c>
      <c r="L10" s="40">
        <v>33.549999999999997</v>
      </c>
      <c r="M10" s="40">
        <v>38.340000000000003</v>
      </c>
      <c r="N10" s="40">
        <v>23.1</v>
      </c>
      <c r="O10" s="40">
        <v>0</v>
      </c>
      <c r="P10" s="40">
        <v>0.54</v>
      </c>
      <c r="Q10" s="40">
        <v>28.05</v>
      </c>
      <c r="R10" s="38"/>
      <c r="S10" s="38"/>
      <c r="T10" s="38"/>
      <c r="U10" s="38"/>
    </row>
    <row r="11" spans="1:21" customFormat="1">
      <c r="A11" s="39" t="s">
        <v>422</v>
      </c>
      <c r="B11" s="40">
        <v>6.43</v>
      </c>
      <c r="C11" s="40">
        <v>40.049999999999997</v>
      </c>
      <c r="D11" s="40">
        <v>24.54</v>
      </c>
      <c r="E11" s="40">
        <v>7.54</v>
      </c>
      <c r="F11" s="40">
        <v>5.69</v>
      </c>
      <c r="G11" s="40">
        <v>50.41</v>
      </c>
      <c r="H11" s="40">
        <v>19.09</v>
      </c>
      <c r="I11" s="40">
        <v>12.46</v>
      </c>
      <c r="J11" s="40">
        <v>3.76</v>
      </c>
      <c r="K11" s="40">
        <v>255.65</v>
      </c>
      <c r="L11" s="40">
        <v>33.18</v>
      </c>
      <c r="M11" s="40">
        <v>40.369999999999997</v>
      </c>
      <c r="N11" s="40">
        <v>23.1</v>
      </c>
      <c r="O11" s="40">
        <v>0</v>
      </c>
      <c r="P11" s="40">
        <v>0.52</v>
      </c>
      <c r="Q11" s="40">
        <v>28.17</v>
      </c>
      <c r="R11" s="38"/>
      <c r="S11" s="38"/>
      <c r="T11" s="38"/>
      <c r="U11" s="38"/>
    </row>
    <row r="12" spans="1:21" customFormat="1">
      <c r="A12" s="39" t="s">
        <v>423</v>
      </c>
      <c r="B12" s="40">
        <v>6.43</v>
      </c>
      <c r="C12" s="40">
        <v>32.450000000000003</v>
      </c>
      <c r="D12" s="40">
        <v>21.11</v>
      </c>
      <c r="E12" s="40">
        <v>9.25</v>
      </c>
      <c r="F12" s="40">
        <v>9.81</v>
      </c>
      <c r="G12" s="40">
        <v>52.65</v>
      </c>
      <c r="H12" s="40">
        <v>22.93</v>
      </c>
      <c r="I12" s="40">
        <v>15.11</v>
      </c>
      <c r="J12" s="40">
        <v>3.56</v>
      </c>
      <c r="K12" s="40">
        <v>241.47</v>
      </c>
      <c r="L12" s="40">
        <v>38.15</v>
      </c>
      <c r="M12" s="40">
        <v>41.41</v>
      </c>
      <c r="N12" s="40">
        <v>23.2</v>
      </c>
      <c r="O12" s="40">
        <v>0</v>
      </c>
      <c r="P12" s="40">
        <v>0.53</v>
      </c>
      <c r="Q12" s="40">
        <v>28.08</v>
      </c>
      <c r="R12" s="38"/>
      <c r="S12" s="38"/>
      <c r="T12" s="38"/>
      <c r="U12" s="38"/>
    </row>
    <row r="13" spans="1:21" customFormat="1">
      <c r="A13" s="39" t="s">
        <v>424</v>
      </c>
      <c r="B13" s="40">
        <v>8.94</v>
      </c>
      <c r="C13" s="40">
        <v>28.24</v>
      </c>
      <c r="D13" s="40">
        <v>20.93</v>
      </c>
      <c r="E13" s="40">
        <v>9.36</v>
      </c>
      <c r="F13" s="40">
        <v>6.63</v>
      </c>
      <c r="G13" s="40">
        <v>58.03</v>
      </c>
      <c r="H13" s="40">
        <v>22.51</v>
      </c>
      <c r="I13" s="40">
        <v>18.39</v>
      </c>
      <c r="J13" s="40">
        <v>3.18</v>
      </c>
      <c r="K13" s="40">
        <v>270.99</v>
      </c>
      <c r="L13" s="40">
        <v>33.39</v>
      </c>
      <c r="M13" s="40">
        <v>44.28</v>
      </c>
      <c r="N13" s="40">
        <v>23.2</v>
      </c>
      <c r="O13" s="40">
        <v>0</v>
      </c>
      <c r="P13" s="40">
        <v>0.57999999999999996</v>
      </c>
      <c r="Q13" s="40">
        <v>28.01</v>
      </c>
      <c r="R13" s="38"/>
      <c r="S13" s="38"/>
      <c r="T13" s="38"/>
      <c r="U13" s="38"/>
    </row>
    <row r="14" spans="1:21" customFormat="1">
      <c r="A14" s="39" t="s">
        <v>425</v>
      </c>
      <c r="B14" s="40">
        <v>10.34</v>
      </c>
      <c r="C14" s="40">
        <v>35.950000000000003</v>
      </c>
      <c r="D14" s="40">
        <v>25.73</v>
      </c>
      <c r="E14" s="40">
        <v>8.85</v>
      </c>
      <c r="F14" s="40">
        <v>4.84</v>
      </c>
      <c r="G14" s="40">
        <v>61.81</v>
      </c>
      <c r="H14" s="40">
        <v>25.26</v>
      </c>
      <c r="I14" s="40">
        <v>18.45</v>
      </c>
      <c r="J14" s="40">
        <v>2.48</v>
      </c>
      <c r="K14" s="40">
        <v>188.52</v>
      </c>
      <c r="L14" s="40">
        <v>33.119999999999997</v>
      </c>
      <c r="M14" s="40">
        <v>46.25</v>
      </c>
      <c r="N14" s="40">
        <v>31.7</v>
      </c>
      <c r="O14" s="40">
        <v>0</v>
      </c>
      <c r="P14" s="40">
        <v>0.62</v>
      </c>
      <c r="Q14" s="40">
        <v>27.86</v>
      </c>
      <c r="R14" s="38"/>
      <c r="S14" s="38"/>
      <c r="T14" s="38"/>
      <c r="U14" s="38"/>
    </row>
    <row r="15" spans="1:21" customFormat="1">
      <c r="A15" s="39" t="s">
        <v>426</v>
      </c>
      <c r="B15" s="40">
        <v>12.62</v>
      </c>
      <c r="C15" s="40">
        <v>29.99</v>
      </c>
      <c r="D15" s="40">
        <v>23.97</v>
      </c>
      <c r="E15" s="40">
        <v>9.52</v>
      </c>
      <c r="F15" s="40">
        <v>8.8000000000000007</v>
      </c>
      <c r="G15" s="40">
        <v>72</v>
      </c>
      <c r="H15" s="40">
        <v>24.6</v>
      </c>
      <c r="I15" s="40">
        <v>19.149999999999999</v>
      </c>
      <c r="J15" s="40">
        <v>3.96</v>
      </c>
      <c r="K15" s="40">
        <v>296.16000000000003</v>
      </c>
      <c r="L15" s="40">
        <v>33.409999999999997</v>
      </c>
      <c r="M15" s="40">
        <v>44.49</v>
      </c>
      <c r="N15" s="40">
        <v>80.7</v>
      </c>
      <c r="O15" s="40">
        <v>0</v>
      </c>
      <c r="P15" s="40">
        <v>0.66</v>
      </c>
      <c r="Q15" s="40">
        <v>27.93</v>
      </c>
      <c r="R15" s="38"/>
      <c r="S15" s="38"/>
      <c r="T15" s="38"/>
      <c r="U15" s="38"/>
    </row>
    <row r="16" spans="1:21" customFormat="1">
      <c r="A16" s="39" t="s">
        <v>427</v>
      </c>
      <c r="B16" s="40">
        <v>14.03</v>
      </c>
      <c r="C16" s="40">
        <v>26.98</v>
      </c>
      <c r="D16" s="40">
        <v>24.06</v>
      </c>
      <c r="E16" s="40">
        <v>8.73</v>
      </c>
      <c r="F16" s="40">
        <v>14.55</v>
      </c>
      <c r="G16" s="40">
        <v>77.09</v>
      </c>
      <c r="H16" s="40">
        <v>27.45</v>
      </c>
      <c r="I16" s="40">
        <v>18.11</v>
      </c>
      <c r="J16" s="40">
        <v>2.57</v>
      </c>
      <c r="K16" s="40">
        <v>343.77</v>
      </c>
      <c r="L16" s="40">
        <v>35.04</v>
      </c>
      <c r="M16" s="40">
        <v>43.26</v>
      </c>
      <c r="N16" s="40">
        <v>165.7</v>
      </c>
      <c r="O16" s="40">
        <v>0</v>
      </c>
      <c r="P16" s="40">
        <v>0.71</v>
      </c>
      <c r="Q16" s="40">
        <v>27.82</v>
      </c>
      <c r="R16" s="38"/>
      <c r="S16" s="38"/>
      <c r="T16" s="38"/>
      <c r="U16" s="38"/>
    </row>
    <row r="17" spans="1:21" customFormat="1">
      <c r="A17" s="39" t="s">
        <v>428</v>
      </c>
      <c r="B17" s="40">
        <v>14.16</v>
      </c>
      <c r="C17" s="40">
        <v>38.67</v>
      </c>
      <c r="D17" s="40">
        <v>29.32</v>
      </c>
      <c r="E17" s="40">
        <v>7.92</v>
      </c>
      <c r="F17" s="40">
        <v>10.32</v>
      </c>
      <c r="G17" s="40">
        <v>77.86</v>
      </c>
      <c r="H17" s="40">
        <v>29.2</v>
      </c>
      <c r="I17" s="40">
        <v>17.54</v>
      </c>
      <c r="J17" s="40">
        <v>4.46</v>
      </c>
      <c r="K17" s="40">
        <v>280.29000000000002</v>
      </c>
      <c r="L17" s="40">
        <v>36.799999999999997</v>
      </c>
      <c r="M17" s="40">
        <v>41.16</v>
      </c>
      <c r="N17" s="40">
        <v>436.8</v>
      </c>
      <c r="O17" s="40">
        <v>0</v>
      </c>
      <c r="P17" s="40">
        <v>0.72</v>
      </c>
      <c r="Q17" s="40">
        <v>27.42</v>
      </c>
      <c r="R17" s="38"/>
      <c r="S17" s="38"/>
      <c r="T17" s="38"/>
      <c r="U17" s="38"/>
    </row>
    <row r="18" spans="1:21" customFormat="1">
      <c r="A18" s="39" t="s">
        <v>429</v>
      </c>
      <c r="B18" s="40">
        <v>10.71</v>
      </c>
      <c r="C18" s="40">
        <v>33.39</v>
      </c>
      <c r="D18" s="40">
        <v>25.04</v>
      </c>
      <c r="E18" s="40">
        <v>8.4499999999999993</v>
      </c>
      <c r="F18" s="40">
        <v>22.41</v>
      </c>
      <c r="G18" s="40">
        <v>76.92</v>
      </c>
      <c r="H18" s="40">
        <v>30.97</v>
      </c>
      <c r="I18" s="40">
        <v>17.14</v>
      </c>
      <c r="J18" s="40">
        <v>2.95</v>
      </c>
      <c r="K18" s="40">
        <v>353.82</v>
      </c>
      <c r="L18" s="40">
        <v>39.57</v>
      </c>
      <c r="M18" s="40">
        <v>30.2</v>
      </c>
      <c r="N18" s="40">
        <v>592.5</v>
      </c>
      <c r="O18" s="40">
        <v>0</v>
      </c>
      <c r="P18" s="40">
        <v>0.72</v>
      </c>
      <c r="Q18" s="40">
        <v>28.25</v>
      </c>
      <c r="R18" s="38"/>
      <c r="S18" s="38"/>
      <c r="T18" s="38"/>
      <c r="U18" s="38"/>
    </row>
    <row r="19" spans="1:21" customFormat="1">
      <c r="A19" s="39" t="s">
        <v>430</v>
      </c>
      <c r="B19" s="40">
        <v>6.79</v>
      </c>
      <c r="C19" s="40">
        <v>22.9</v>
      </c>
      <c r="D19" s="40">
        <v>16.41</v>
      </c>
      <c r="E19" s="40">
        <v>7.49</v>
      </c>
      <c r="F19" s="40">
        <v>33.270000000000003</v>
      </c>
      <c r="G19" s="40">
        <v>65.400000000000006</v>
      </c>
      <c r="H19" s="40">
        <v>23.22</v>
      </c>
      <c r="I19" s="40">
        <v>15</v>
      </c>
      <c r="J19" s="40">
        <v>2.06</v>
      </c>
      <c r="K19" s="40">
        <v>335.26</v>
      </c>
      <c r="L19" s="40">
        <v>40.090000000000003</v>
      </c>
      <c r="M19" s="40">
        <v>26.27</v>
      </c>
      <c r="N19" s="40">
        <v>779.7</v>
      </c>
      <c r="O19" s="40">
        <v>0</v>
      </c>
      <c r="P19" s="40">
        <v>0.7</v>
      </c>
      <c r="Q19" s="40">
        <v>28.47</v>
      </c>
      <c r="R19" s="38"/>
      <c r="S19" s="38"/>
      <c r="T19" s="38"/>
      <c r="U19" s="38"/>
    </row>
    <row r="20" spans="1:21" customFormat="1">
      <c r="A20" s="39" t="s">
        <v>431</v>
      </c>
      <c r="B20" s="40">
        <v>3.84</v>
      </c>
      <c r="C20" s="40">
        <v>29.26</v>
      </c>
      <c r="D20" s="40">
        <v>16.600000000000001</v>
      </c>
      <c r="E20" s="40">
        <v>8.2899999999999991</v>
      </c>
      <c r="F20" s="40">
        <v>35.42</v>
      </c>
      <c r="G20" s="40">
        <v>54.14</v>
      </c>
      <c r="H20" s="40">
        <v>24.96</v>
      </c>
      <c r="I20" s="40">
        <v>14.83</v>
      </c>
      <c r="J20" s="40">
        <v>2.76</v>
      </c>
      <c r="K20" s="40">
        <v>244.35</v>
      </c>
      <c r="L20" s="40">
        <v>41.13</v>
      </c>
      <c r="M20" s="40">
        <v>24.21</v>
      </c>
      <c r="N20" s="40">
        <v>860.3</v>
      </c>
      <c r="O20" s="40">
        <v>0</v>
      </c>
      <c r="P20" s="40">
        <v>0.63</v>
      </c>
      <c r="Q20" s="40">
        <v>28.73</v>
      </c>
      <c r="R20" s="38"/>
      <c r="S20" s="38"/>
      <c r="T20" s="38"/>
      <c r="U20" s="38"/>
    </row>
    <row r="21" spans="1:21" customFormat="1">
      <c r="A21" s="39" t="s">
        <v>432</v>
      </c>
      <c r="B21" s="40">
        <v>2.97</v>
      </c>
      <c r="C21" s="40">
        <v>26.17</v>
      </c>
      <c r="D21" s="40">
        <v>14.79</v>
      </c>
      <c r="E21" s="40">
        <v>8.82</v>
      </c>
      <c r="F21" s="40">
        <v>19.440000000000001</v>
      </c>
      <c r="G21" s="40">
        <v>51.48</v>
      </c>
      <c r="H21" s="40">
        <v>21.29</v>
      </c>
      <c r="I21" s="40">
        <v>14.02</v>
      </c>
      <c r="J21" s="40">
        <v>4.8</v>
      </c>
      <c r="K21" s="40">
        <v>249.23</v>
      </c>
      <c r="L21" s="40">
        <v>41.05</v>
      </c>
      <c r="M21" s="40">
        <v>21.67</v>
      </c>
      <c r="N21" s="40">
        <v>922.4</v>
      </c>
      <c r="O21" s="40">
        <v>0</v>
      </c>
      <c r="P21" s="40">
        <v>0.6</v>
      </c>
      <c r="Q21" s="40">
        <v>28.83</v>
      </c>
      <c r="R21" s="38"/>
      <c r="S21" s="38"/>
      <c r="T21" s="38"/>
      <c r="U21" s="38"/>
    </row>
    <row r="22" spans="1:21" customFormat="1">
      <c r="A22" s="39" t="s">
        <v>433</v>
      </c>
      <c r="B22" s="40">
        <v>2.77</v>
      </c>
      <c r="C22" s="40">
        <v>28.78</v>
      </c>
      <c r="D22" s="40">
        <v>16.260000000000002</v>
      </c>
      <c r="E22" s="40">
        <v>8.34</v>
      </c>
      <c r="F22" s="40">
        <v>27.74</v>
      </c>
      <c r="G22" s="40">
        <v>45.38</v>
      </c>
      <c r="H22" s="40">
        <v>20.85</v>
      </c>
      <c r="I22" s="40">
        <v>13.67</v>
      </c>
      <c r="J22" s="40">
        <v>3.89</v>
      </c>
      <c r="K22" s="40">
        <v>295.75</v>
      </c>
      <c r="L22" s="40">
        <v>46.32</v>
      </c>
      <c r="M22" s="40">
        <v>21.7</v>
      </c>
      <c r="N22" s="40">
        <v>761.9</v>
      </c>
      <c r="O22" s="40">
        <v>0</v>
      </c>
      <c r="P22" s="40">
        <v>0.55000000000000004</v>
      </c>
      <c r="Q22" s="40">
        <v>28.64</v>
      </c>
      <c r="R22" s="38"/>
      <c r="S22" s="38"/>
      <c r="T22" s="38"/>
      <c r="U22" s="38"/>
    </row>
    <row r="23" spans="1:21" customFormat="1">
      <c r="A23" s="39" t="s">
        <v>434</v>
      </c>
      <c r="B23" s="40">
        <v>4.2</v>
      </c>
      <c r="C23" s="40">
        <v>26.7</v>
      </c>
      <c r="D23" s="40">
        <v>15.83</v>
      </c>
      <c r="E23" s="40">
        <v>8.31</v>
      </c>
      <c r="F23" s="40">
        <v>34.06</v>
      </c>
      <c r="G23" s="40">
        <v>42.46</v>
      </c>
      <c r="H23" s="40">
        <v>19.89</v>
      </c>
      <c r="I23" s="40">
        <v>12.38</v>
      </c>
      <c r="J23" s="40">
        <v>2.6</v>
      </c>
      <c r="K23" s="40">
        <v>358.31</v>
      </c>
      <c r="L23" s="40">
        <v>43.54</v>
      </c>
      <c r="M23" s="40">
        <v>21.55</v>
      </c>
      <c r="N23" s="40">
        <v>686.5</v>
      </c>
      <c r="O23" s="40">
        <v>0</v>
      </c>
      <c r="P23" s="40">
        <v>0.55000000000000004</v>
      </c>
      <c r="Q23" s="40">
        <v>28.67</v>
      </c>
      <c r="R23" s="38"/>
      <c r="S23" s="38"/>
      <c r="T23" s="38"/>
      <c r="U23" s="38"/>
    </row>
    <row r="24" spans="1:21" customFormat="1">
      <c r="A24" s="39" t="s">
        <v>435</v>
      </c>
      <c r="B24" s="40">
        <v>3.45</v>
      </c>
      <c r="C24" s="40">
        <v>25.03</v>
      </c>
      <c r="D24" s="40">
        <v>14.65</v>
      </c>
      <c r="E24" s="40">
        <v>9.18</v>
      </c>
      <c r="F24" s="40">
        <v>37.39</v>
      </c>
      <c r="G24" s="40">
        <v>40.450000000000003</v>
      </c>
      <c r="H24" s="40">
        <v>21.59</v>
      </c>
      <c r="I24" s="40">
        <v>11.8</v>
      </c>
      <c r="J24" s="40">
        <v>2.56</v>
      </c>
      <c r="K24" s="40">
        <v>323.16000000000003</v>
      </c>
      <c r="L24" s="40">
        <v>42.01</v>
      </c>
      <c r="M24" s="40">
        <v>22.24</v>
      </c>
      <c r="N24" s="40">
        <v>286.5</v>
      </c>
      <c r="O24" s="40">
        <v>0</v>
      </c>
      <c r="P24" s="40">
        <v>0.53</v>
      </c>
      <c r="Q24" s="40">
        <v>28.86</v>
      </c>
      <c r="R24" s="38"/>
      <c r="S24" s="38"/>
      <c r="T24" s="38"/>
      <c r="U24" s="38"/>
    </row>
    <row r="25" spans="1:21" customFormat="1">
      <c r="A25" s="39" t="s">
        <v>436</v>
      </c>
      <c r="B25" s="40">
        <v>4.4800000000000004</v>
      </c>
      <c r="C25" s="40">
        <v>29.46</v>
      </c>
      <c r="D25" s="40">
        <v>17.989999999999998</v>
      </c>
      <c r="E25" s="40">
        <v>10.54</v>
      </c>
      <c r="F25" s="40">
        <v>30.94</v>
      </c>
      <c r="G25" s="40">
        <v>43.64</v>
      </c>
      <c r="H25" s="40">
        <v>20.95</v>
      </c>
      <c r="I25" s="40">
        <v>11.25</v>
      </c>
      <c r="J25" s="40">
        <v>2.79</v>
      </c>
      <c r="K25" s="40">
        <v>291.35000000000002</v>
      </c>
      <c r="L25" s="40">
        <v>39.659999999999997</v>
      </c>
      <c r="M25" s="40">
        <v>28.29</v>
      </c>
      <c r="N25" s="40">
        <v>141.4</v>
      </c>
      <c r="O25" s="40">
        <v>0</v>
      </c>
      <c r="P25" s="40">
        <v>0.55000000000000004</v>
      </c>
      <c r="Q25" s="40">
        <v>28.8</v>
      </c>
      <c r="R25" s="38"/>
      <c r="S25" s="38"/>
      <c r="T25" s="38"/>
      <c r="U25" s="38"/>
    </row>
    <row r="26" spans="1:21" customFormat="1">
      <c r="A26" s="39" t="s">
        <v>437</v>
      </c>
      <c r="B26" s="40">
        <v>5.1100000000000003</v>
      </c>
      <c r="C26" s="40">
        <v>26.03</v>
      </c>
      <c r="D26" s="40">
        <v>16.7</v>
      </c>
      <c r="E26" s="40">
        <v>6.89</v>
      </c>
      <c r="F26" s="40">
        <v>29.32</v>
      </c>
      <c r="G26" s="40">
        <v>47.06</v>
      </c>
      <c r="H26" s="40">
        <v>21.88</v>
      </c>
      <c r="I26" s="40">
        <v>11.04</v>
      </c>
      <c r="J26" s="40">
        <v>4.24</v>
      </c>
      <c r="K26" s="40">
        <v>23.93</v>
      </c>
      <c r="L26" s="40">
        <v>37.76</v>
      </c>
      <c r="M26" s="40">
        <v>32.479999999999997</v>
      </c>
      <c r="N26" s="40">
        <v>90.1</v>
      </c>
      <c r="O26" s="40">
        <v>0</v>
      </c>
      <c r="P26" s="40">
        <v>0.53</v>
      </c>
      <c r="Q26" s="40">
        <v>28.56</v>
      </c>
      <c r="R26" s="38"/>
      <c r="S26" s="38"/>
      <c r="T26" s="38"/>
      <c r="U26" s="38"/>
    </row>
    <row r="27" spans="1:21" customFormat="1">
      <c r="A27" s="39" t="s">
        <v>438</v>
      </c>
      <c r="B27" s="40">
        <v>4.6100000000000003</v>
      </c>
      <c r="C27" s="40">
        <v>37.07</v>
      </c>
      <c r="D27" s="40">
        <v>21.69</v>
      </c>
      <c r="E27" s="40">
        <v>7.52</v>
      </c>
      <c r="F27" s="40">
        <v>21.94</v>
      </c>
      <c r="G27" s="40">
        <v>47.44</v>
      </c>
      <c r="H27" s="40">
        <v>18.5</v>
      </c>
      <c r="I27" s="40">
        <v>10.02</v>
      </c>
      <c r="J27" s="40">
        <v>3.62</v>
      </c>
      <c r="K27" s="40">
        <v>32.24</v>
      </c>
      <c r="L27" s="40">
        <v>36.06</v>
      </c>
      <c r="M27" s="40">
        <v>33.72</v>
      </c>
      <c r="N27" s="40">
        <v>39.299999999999997</v>
      </c>
      <c r="O27" s="40">
        <v>0</v>
      </c>
      <c r="P27" s="40">
        <v>0.62</v>
      </c>
      <c r="Q27" s="40">
        <v>28.25</v>
      </c>
      <c r="R27" s="38"/>
      <c r="S27" s="38"/>
      <c r="T27" s="38"/>
      <c r="U27" s="38"/>
    </row>
    <row r="28" spans="1:21" customFormat="1">
      <c r="A28" s="39" t="s">
        <v>439</v>
      </c>
      <c r="B28" s="40">
        <v>5.69</v>
      </c>
      <c r="C28" s="40">
        <v>29.78</v>
      </c>
      <c r="D28" s="40">
        <v>19.03</v>
      </c>
      <c r="E28" s="40">
        <v>7.86</v>
      </c>
      <c r="F28" s="40">
        <v>34.6</v>
      </c>
      <c r="G28" s="40">
        <v>48.01</v>
      </c>
      <c r="H28" s="40">
        <v>18.579999999999998</v>
      </c>
      <c r="I28" s="40">
        <v>11.35</v>
      </c>
      <c r="J28" s="40">
        <v>2.87</v>
      </c>
      <c r="K28" s="40">
        <v>256.04000000000002</v>
      </c>
      <c r="L28" s="40">
        <v>35.409999999999997</v>
      </c>
      <c r="M28" s="40">
        <v>33.909999999999997</v>
      </c>
      <c r="N28" s="40">
        <v>22.5</v>
      </c>
      <c r="O28" s="40">
        <v>0</v>
      </c>
      <c r="P28" s="40">
        <v>0.68</v>
      </c>
      <c r="Q28" s="40">
        <v>28.06</v>
      </c>
      <c r="R28" s="38"/>
      <c r="S28" s="38"/>
      <c r="T28" s="38"/>
      <c r="U28" s="38"/>
    </row>
    <row r="29" spans="1:21" customFormat="1">
      <c r="A29" s="39" t="s">
        <v>440</v>
      </c>
      <c r="B29" s="40">
        <v>5.0199999999999996</v>
      </c>
      <c r="C29" s="40">
        <v>34.31</v>
      </c>
      <c r="D29" s="40">
        <v>20.95</v>
      </c>
      <c r="E29" s="40">
        <v>7.51</v>
      </c>
      <c r="F29" s="40">
        <v>22.2</v>
      </c>
      <c r="G29" s="40">
        <v>49.06</v>
      </c>
      <c r="H29" s="40">
        <v>23.19</v>
      </c>
      <c r="I29" s="40">
        <v>11.53</v>
      </c>
      <c r="J29" s="40">
        <v>3.21</v>
      </c>
      <c r="K29" s="40">
        <v>249.44</v>
      </c>
      <c r="L29" s="40">
        <v>34.799999999999997</v>
      </c>
      <c r="M29" s="40">
        <v>33.75</v>
      </c>
      <c r="N29" s="40">
        <v>22.5</v>
      </c>
      <c r="O29" s="40">
        <v>0</v>
      </c>
      <c r="P29" s="40">
        <v>0.64</v>
      </c>
      <c r="Q29" s="40">
        <v>28.15</v>
      </c>
      <c r="R29" s="38"/>
      <c r="S29" s="38"/>
      <c r="T29" s="38"/>
      <c r="U29" s="38"/>
    </row>
    <row r="30" spans="1:21" customFormat="1">
      <c r="A30" s="39" t="s">
        <v>441</v>
      </c>
      <c r="B30" s="40">
        <v>9.2200000000000006</v>
      </c>
      <c r="C30" s="40">
        <v>45.8</v>
      </c>
      <c r="D30" s="40">
        <v>30.32</v>
      </c>
      <c r="E30" s="40">
        <v>8.32</v>
      </c>
      <c r="F30" s="40">
        <v>14.03</v>
      </c>
      <c r="G30" s="40">
        <v>57.8</v>
      </c>
      <c r="H30" s="40">
        <v>26.88</v>
      </c>
      <c r="I30" s="40">
        <v>13.31</v>
      </c>
      <c r="J30" s="40">
        <v>3.06</v>
      </c>
      <c r="K30" s="40">
        <v>145.44</v>
      </c>
      <c r="L30" s="40">
        <v>34.28</v>
      </c>
      <c r="M30" s="40">
        <v>36.61</v>
      </c>
      <c r="N30" s="40">
        <v>22.9</v>
      </c>
      <c r="O30" s="40">
        <v>0</v>
      </c>
      <c r="P30" s="40">
        <v>0.77</v>
      </c>
      <c r="Q30" s="40">
        <v>27.5</v>
      </c>
      <c r="R30" s="38"/>
      <c r="S30" s="38"/>
      <c r="T30" s="38"/>
      <c r="U30" s="38"/>
    </row>
    <row r="31" spans="1:21" customFormat="1">
      <c r="A31" s="39" t="s">
        <v>442</v>
      </c>
      <c r="B31" s="40">
        <v>10.61</v>
      </c>
      <c r="C31" s="40">
        <v>35.71</v>
      </c>
      <c r="D31" s="40">
        <v>26.17</v>
      </c>
      <c r="E31" s="40">
        <v>10.130000000000001</v>
      </c>
      <c r="F31" s="40">
        <v>12.6</v>
      </c>
      <c r="G31" s="40">
        <v>60.9</v>
      </c>
      <c r="H31" s="40">
        <v>29.89</v>
      </c>
      <c r="I31" s="40">
        <v>14.34</v>
      </c>
      <c r="J31" s="40">
        <v>3.36</v>
      </c>
      <c r="K31" s="40">
        <v>240.81</v>
      </c>
      <c r="L31" s="40">
        <v>34.380000000000003</v>
      </c>
      <c r="M31" s="40">
        <v>39.549999999999997</v>
      </c>
      <c r="N31" s="40">
        <v>23.4</v>
      </c>
      <c r="O31" s="40">
        <v>0</v>
      </c>
      <c r="P31" s="40">
        <v>0.78</v>
      </c>
      <c r="Q31" s="40">
        <v>28.08</v>
      </c>
      <c r="R31" s="38"/>
      <c r="S31" s="38"/>
      <c r="T31" s="38"/>
      <c r="U31" s="38"/>
    </row>
    <row r="32" spans="1:21" customFormat="1">
      <c r="A32" s="39" t="s">
        <v>443</v>
      </c>
      <c r="B32" s="40">
        <v>7.83</v>
      </c>
      <c r="C32" s="40">
        <v>29.46</v>
      </c>
      <c r="D32" s="40">
        <v>19.57</v>
      </c>
      <c r="E32" s="40">
        <v>7.11</v>
      </c>
      <c r="F32" s="40">
        <v>14</v>
      </c>
      <c r="G32" s="40">
        <v>60.83</v>
      </c>
      <c r="H32" s="40">
        <v>37.22</v>
      </c>
      <c r="I32" s="40">
        <v>12.41</v>
      </c>
      <c r="J32" s="40">
        <v>4.2300000000000004</v>
      </c>
      <c r="K32" s="40">
        <v>258.8</v>
      </c>
      <c r="L32" s="40">
        <v>33.409999999999997</v>
      </c>
      <c r="M32" s="40">
        <v>38.14</v>
      </c>
      <c r="N32" s="40">
        <v>22.7</v>
      </c>
      <c r="O32" s="40">
        <v>0</v>
      </c>
      <c r="P32" s="40">
        <v>0.64</v>
      </c>
      <c r="Q32" s="40">
        <v>27.97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2.77</v>
      </c>
      <c r="C34" s="18">
        <f t="shared" si="0"/>
        <v>22.9</v>
      </c>
      <c r="D34" s="18">
        <f t="shared" si="0"/>
        <v>14.65</v>
      </c>
      <c r="E34" s="18">
        <f t="shared" si="0"/>
        <v>6.89</v>
      </c>
      <c r="F34" s="18">
        <f t="shared" si="0"/>
        <v>4.84</v>
      </c>
      <c r="G34" s="18">
        <f t="shared" si="0"/>
        <v>40.450000000000003</v>
      </c>
      <c r="H34" s="18">
        <f t="shared" si="0"/>
        <v>18.5</v>
      </c>
      <c r="I34" s="18">
        <f t="shared" si="0"/>
        <v>10.02</v>
      </c>
      <c r="J34" s="18">
        <f t="shared" si="0"/>
        <v>2.06</v>
      </c>
      <c r="K34" s="18">
        <f t="shared" si="0"/>
        <v>23.93</v>
      </c>
      <c r="L34" s="18">
        <f t="shared" si="0"/>
        <v>33.119999999999997</v>
      </c>
      <c r="M34" s="18">
        <f t="shared" si="0"/>
        <v>21.55</v>
      </c>
      <c r="N34" s="18">
        <f t="shared" si="0"/>
        <v>22.5</v>
      </c>
      <c r="O34" s="18">
        <f t="shared" si="0"/>
        <v>0</v>
      </c>
      <c r="P34" s="18">
        <f t="shared" si="0"/>
        <v>0.52</v>
      </c>
      <c r="Q34" s="18">
        <f t="shared" si="0"/>
        <v>27.42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14.16</v>
      </c>
      <c r="C35" s="3">
        <f t="shared" si="1"/>
        <v>45.8</v>
      </c>
      <c r="D35" s="3">
        <f t="shared" si="1"/>
        <v>30.32</v>
      </c>
      <c r="E35" s="3">
        <f t="shared" si="1"/>
        <v>10.54</v>
      </c>
      <c r="F35" s="3">
        <f t="shared" si="1"/>
        <v>37.39</v>
      </c>
      <c r="G35" s="3">
        <f t="shared" si="1"/>
        <v>77.86</v>
      </c>
      <c r="H35" s="3">
        <f t="shared" si="1"/>
        <v>37.22</v>
      </c>
      <c r="I35" s="3">
        <f t="shared" si="1"/>
        <v>19.149999999999999</v>
      </c>
      <c r="J35" s="3">
        <f t="shared" si="1"/>
        <v>4.8</v>
      </c>
      <c r="K35" s="3">
        <f t="shared" si="1"/>
        <v>358.31</v>
      </c>
      <c r="L35" s="3">
        <f t="shared" si="1"/>
        <v>46.32</v>
      </c>
      <c r="M35" s="3">
        <f t="shared" si="1"/>
        <v>46.25</v>
      </c>
      <c r="N35" s="3">
        <f t="shared" si="1"/>
        <v>922.4</v>
      </c>
      <c r="O35" s="3">
        <f t="shared" si="1"/>
        <v>0</v>
      </c>
      <c r="P35" s="3">
        <f t="shared" si="1"/>
        <v>0.78</v>
      </c>
      <c r="Q35" s="3">
        <f t="shared" si="1"/>
        <v>28.86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7.1741666666666681</v>
      </c>
      <c r="C36" s="18">
        <f t="shared" si="2"/>
        <v>31.456250000000001</v>
      </c>
      <c r="D36" s="18">
        <f t="shared" si="2"/>
        <v>20.918333333333333</v>
      </c>
      <c r="E36" s="18">
        <f t="shared" si="2"/>
        <v>8.3699999999999992</v>
      </c>
      <c r="F36" s="18">
        <f t="shared" si="2"/>
        <v>19.504999999999999</v>
      </c>
      <c r="G36" s="18">
        <f t="shared" si="2"/>
        <v>56.542083333333331</v>
      </c>
      <c r="H36" s="18">
        <f t="shared" si="2"/>
        <v>24.000416666666666</v>
      </c>
      <c r="I36" s="18">
        <f t="shared" si="2"/>
        <v>14.057083333333333</v>
      </c>
      <c r="J36" s="18">
        <f t="shared" si="2"/>
        <v>3.3895833333333338</v>
      </c>
      <c r="K36" s="18">
        <f t="shared" si="2"/>
        <v>250.4325</v>
      </c>
      <c r="L36" s="18">
        <f t="shared" si="2"/>
        <v>37.08124999999999</v>
      </c>
      <c r="M36" s="18">
        <f t="shared" si="2"/>
        <v>34.232499999999995</v>
      </c>
      <c r="N36" s="18">
        <f t="shared" si="2"/>
        <v>254.375</v>
      </c>
      <c r="O36" s="18">
        <f t="shared" si="2"/>
        <v>0</v>
      </c>
      <c r="P36" s="18">
        <f t="shared" si="2"/>
        <v>0.62124999999999997</v>
      </c>
      <c r="Q36" s="18">
        <f t="shared" si="2"/>
        <v>28.222083333333334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3.411814405302823</v>
      </c>
      <c r="C37" s="18">
        <f t="shared" ref="C37:Q37" si="3">STDEV(C9:C32)</f>
        <v>5.6142712659637013</v>
      </c>
      <c r="D37" s="18">
        <f t="shared" si="3"/>
        <v>4.5195148514805936</v>
      </c>
      <c r="E37" s="18">
        <f t="shared" si="3"/>
        <v>0.95622445973282255</v>
      </c>
      <c r="F37" s="18">
        <f t="shared" si="3"/>
        <v>10.904825816442759</v>
      </c>
      <c r="G37" s="18">
        <f t="shared" si="3"/>
        <v>11.067392756540999</v>
      </c>
      <c r="H37" s="18">
        <f t="shared" si="3"/>
        <v>4.4465311141692663</v>
      </c>
      <c r="I37" s="18">
        <f t="shared" si="3"/>
        <v>2.7527748516829251</v>
      </c>
      <c r="J37" s="18">
        <f t="shared" si="3"/>
        <v>0.74545276097186519</v>
      </c>
      <c r="K37" s="18">
        <f t="shared" si="3"/>
        <v>84.722406473704737</v>
      </c>
      <c r="L37" s="18">
        <f t="shared" si="3"/>
        <v>3.787296055636987</v>
      </c>
      <c r="M37" s="18">
        <f t="shared" si="3"/>
        <v>8.0385052958435512</v>
      </c>
      <c r="N37" s="18">
        <f t="shared" si="3"/>
        <v>322.45763894354167</v>
      </c>
      <c r="O37" s="18">
        <f t="shared" si="3"/>
        <v>0</v>
      </c>
      <c r="P37" s="18">
        <f t="shared" si="3"/>
        <v>8.141746954939158E-2</v>
      </c>
      <c r="Q37" s="18">
        <f t="shared" si="3"/>
        <v>0.39995629290196688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444</v>
      </c>
      <c r="B9" s="40">
        <v>7.26</v>
      </c>
      <c r="C9" s="40">
        <v>35.78</v>
      </c>
      <c r="D9" s="40">
        <v>23.53</v>
      </c>
      <c r="E9" s="40">
        <v>7.91</v>
      </c>
      <c r="F9" s="40">
        <v>16.309999999999999</v>
      </c>
      <c r="G9" s="40">
        <v>61.45</v>
      </c>
      <c r="H9" s="40">
        <v>28.98</v>
      </c>
      <c r="I9" s="40">
        <v>13.59</v>
      </c>
      <c r="J9" s="40">
        <v>2.88</v>
      </c>
      <c r="K9" s="40">
        <v>259.66000000000003</v>
      </c>
      <c r="L9" s="40">
        <v>33.39</v>
      </c>
      <c r="M9" s="40">
        <v>38.630000000000003</v>
      </c>
      <c r="N9" s="40">
        <v>22.8</v>
      </c>
      <c r="O9" s="40">
        <v>0</v>
      </c>
      <c r="P9" s="40">
        <v>0.73</v>
      </c>
      <c r="Q9" s="40">
        <v>28.18</v>
      </c>
      <c r="R9" s="38"/>
      <c r="S9" s="38"/>
      <c r="T9" s="38"/>
      <c r="U9" s="38"/>
    </row>
    <row r="10" spans="1:21" customFormat="1">
      <c r="A10" s="39" t="s">
        <v>445</v>
      </c>
      <c r="B10" s="40">
        <v>7.69</v>
      </c>
      <c r="C10" s="40">
        <v>38.39</v>
      </c>
      <c r="D10" s="40">
        <v>25.23</v>
      </c>
      <c r="E10" s="40">
        <v>8.74</v>
      </c>
      <c r="F10" s="40">
        <v>12.23</v>
      </c>
      <c r="G10" s="40">
        <v>60.31</v>
      </c>
      <c r="H10" s="40">
        <v>37.619999999999997</v>
      </c>
      <c r="I10" s="40">
        <v>14.81</v>
      </c>
      <c r="J10" s="40">
        <v>3.03</v>
      </c>
      <c r="K10" s="40">
        <v>142.44999999999999</v>
      </c>
      <c r="L10" s="40">
        <v>32.950000000000003</v>
      </c>
      <c r="M10" s="40">
        <v>41.42</v>
      </c>
      <c r="N10" s="40">
        <v>23.1</v>
      </c>
      <c r="O10" s="40">
        <v>0</v>
      </c>
      <c r="P10" s="40">
        <v>0.69</v>
      </c>
      <c r="Q10" s="40">
        <v>27.8</v>
      </c>
      <c r="R10" s="38"/>
      <c r="S10" s="38"/>
      <c r="T10" s="38"/>
      <c r="U10" s="38"/>
    </row>
    <row r="11" spans="1:21" customFormat="1">
      <c r="A11" s="39" t="s">
        <v>446</v>
      </c>
      <c r="B11" s="40">
        <v>6.67</v>
      </c>
      <c r="C11" s="40">
        <v>25.94</v>
      </c>
      <c r="D11" s="40">
        <v>17.91</v>
      </c>
      <c r="E11" s="40">
        <v>8.8800000000000008</v>
      </c>
      <c r="F11" s="40">
        <v>17.260000000000002</v>
      </c>
      <c r="G11" s="40">
        <v>58.21</v>
      </c>
      <c r="H11" s="40">
        <v>30.73</v>
      </c>
      <c r="I11" s="40">
        <v>13.6</v>
      </c>
      <c r="J11" s="40">
        <v>3.2</v>
      </c>
      <c r="K11" s="40">
        <v>214.65</v>
      </c>
      <c r="L11" s="40">
        <v>32.76</v>
      </c>
      <c r="M11" s="40">
        <v>43.08</v>
      </c>
      <c r="N11" s="40">
        <v>22.9</v>
      </c>
      <c r="O11" s="40">
        <v>0</v>
      </c>
      <c r="P11" s="40">
        <v>0.6</v>
      </c>
      <c r="Q11" s="40">
        <v>28.36</v>
      </c>
      <c r="R11" s="38"/>
      <c r="S11" s="38"/>
      <c r="T11" s="38"/>
      <c r="U11" s="38"/>
    </row>
    <row r="12" spans="1:21" customFormat="1">
      <c r="A12" s="39" t="s">
        <v>447</v>
      </c>
      <c r="B12" s="40">
        <v>6.46</v>
      </c>
      <c r="C12" s="40">
        <v>26.49</v>
      </c>
      <c r="D12" s="40">
        <v>17.96</v>
      </c>
      <c r="E12" s="40">
        <v>7.09</v>
      </c>
      <c r="F12" s="40">
        <v>10.54</v>
      </c>
      <c r="G12" s="40">
        <v>57.04</v>
      </c>
      <c r="H12" s="40">
        <v>26.41</v>
      </c>
      <c r="I12" s="40">
        <v>12.63</v>
      </c>
      <c r="J12" s="40">
        <v>3.29</v>
      </c>
      <c r="K12" s="40">
        <v>193.57</v>
      </c>
      <c r="L12" s="40">
        <v>31.8</v>
      </c>
      <c r="M12" s="40">
        <v>44.15</v>
      </c>
      <c r="N12" s="40">
        <v>23</v>
      </c>
      <c r="O12" s="40">
        <v>0</v>
      </c>
      <c r="P12" s="40">
        <v>0.57999999999999996</v>
      </c>
      <c r="Q12" s="40">
        <v>28.25</v>
      </c>
      <c r="R12" s="38"/>
      <c r="S12" s="38"/>
      <c r="T12" s="38"/>
      <c r="U12" s="38"/>
    </row>
    <row r="13" spans="1:21" customFormat="1">
      <c r="A13" s="39" t="s">
        <v>448</v>
      </c>
      <c r="B13" s="40">
        <v>7.19</v>
      </c>
      <c r="C13" s="40">
        <v>41.26</v>
      </c>
      <c r="D13" s="40">
        <v>26.19</v>
      </c>
      <c r="E13" s="40">
        <v>6.96</v>
      </c>
      <c r="F13" s="40">
        <v>6.94</v>
      </c>
      <c r="G13" s="40">
        <v>45.33</v>
      </c>
      <c r="H13" s="40">
        <v>27.4</v>
      </c>
      <c r="I13" s="40">
        <v>11.82</v>
      </c>
      <c r="J13" s="40">
        <v>3.62</v>
      </c>
      <c r="K13" s="40">
        <v>253.37</v>
      </c>
      <c r="L13" s="40">
        <v>31.69</v>
      </c>
      <c r="M13" s="40">
        <v>44.68</v>
      </c>
      <c r="N13" s="40">
        <v>22.8</v>
      </c>
      <c r="O13" s="40">
        <v>0</v>
      </c>
      <c r="P13" s="40">
        <v>0.57999999999999996</v>
      </c>
      <c r="Q13" s="40">
        <v>28.14</v>
      </c>
      <c r="R13" s="38"/>
      <c r="S13" s="38"/>
      <c r="T13" s="38"/>
      <c r="U13" s="38"/>
    </row>
    <row r="14" spans="1:21" customFormat="1">
      <c r="A14" s="39" t="s">
        <v>449</v>
      </c>
      <c r="B14" s="40">
        <v>8.02</v>
      </c>
      <c r="C14" s="40">
        <v>32.01</v>
      </c>
      <c r="D14" s="40">
        <v>21.79</v>
      </c>
      <c r="E14" s="40">
        <v>6.82</v>
      </c>
      <c r="F14" s="40">
        <v>6.37</v>
      </c>
      <c r="G14" s="40">
        <v>45.1</v>
      </c>
      <c r="H14" s="40">
        <v>24.07</v>
      </c>
      <c r="I14" s="40">
        <v>11.51</v>
      </c>
      <c r="J14" s="40">
        <v>3.45</v>
      </c>
      <c r="K14" s="40">
        <v>179.71</v>
      </c>
      <c r="L14" s="40">
        <v>31.29</v>
      </c>
      <c r="M14" s="40">
        <v>48.03</v>
      </c>
      <c r="N14" s="40">
        <v>37.1</v>
      </c>
      <c r="O14" s="40">
        <v>0</v>
      </c>
      <c r="P14" s="40">
        <v>0.57999999999999996</v>
      </c>
      <c r="Q14" s="40">
        <v>28.34</v>
      </c>
      <c r="R14" s="38"/>
      <c r="S14" s="38"/>
      <c r="T14" s="38"/>
      <c r="U14" s="38"/>
    </row>
    <row r="15" spans="1:21" customFormat="1">
      <c r="A15" s="39" t="s">
        <v>450</v>
      </c>
      <c r="B15" s="40">
        <v>8.01</v>
      </c>
      <c r="C15" s="40">
        <v>21.83</v>
      </c>
      <c r="D15" s="40">
        <v>16.829999999999998</v>
      </c>
      <c r="E15" s="40">
        <v>6.32</v>
      </c>
      <c r="F15" s="40">
        <v>6.45</v>
      </c>
      <c r="G15" s="40">
        <v>44.29</v>
      </c>
      <c r="H15" s="40">
        <v>23.4</v>
      </c>
      <c r="I15" s="40">
        <v>11.38</v>
      </c>
      <c r="J15" s="40">
        <v>3.56</v>
      </c>
      <c r="K15" s="40">
        <v>225.78</v>
      </c>
      <c r="L15" s="40">
        <v>31.31</v>
      </c>
      <c r="M15" s="40">
        <v>48.27</v>
      </c>
      <c r="N15" s="40">
        <v>107.3</v>
      </c>
      <c r="O15" s="40">
        <v>0</v>
      </c>
      <c r="P15" s="40">
        <v>0.57999999999999996</v>
      </c>
      <c r="Q15" s="40">
        <v>28.38</v>
      </c>
      <c r="R15" s="38"/>
      <c r="S15" s="38"/>
      <c r="T15" s="38"/>
      <c r="U15" s="38"/>
    </row>
    <row r="16" spans="1:21" customFormat="1">
      <c r="A16" s="39" t="s">
        <v>451</v>
      </c>
      <c r="B16" s="40">
        <v>7.99</v>
      </c>
      <c r="C16" s="40">
        <v>35.03</v>
      </c>
      <c r="D16" s="40">
        <v>23.65</v>
      </c>
      <c r="E16" s="40">
        <v>6.25</v>
      </c>
      <c r="F16" s="40">
        <v>4.62</v>
      </c>
      <c r="G16" s="40">
        <v>51.36</v>
      </c>
      <c r="H16" s="40">
        <v>26.38</v>
      </c>
      <c r="I16" s="40">
        <v>11.79</v>
      </c>
      <c r="J16" s="40">
        <v>4.17</v>
      </c>
      <c r="K16" s="40">
        <v>249.32</v>
      </c>
      <c r="L16" s="40">
        <v>32.43</v>
      </c>
      <c r="M16" s="40">
        <v>49.89</v>
      </c>
      <c r="N16" s="40">
        <v>199.7</v>
      </c>
      <c r="O16" s="40">
        <v>0</v>
      </c>
      <c r="P16" s="40">
        <v>0.62</v>
      </c>
      <c r="Q16" s="40">
        <v>28.28</v>
      </c>
      <c r="R16" s="38"/>
      <c r="S16" s="38"/>
      <c r="T16" s="38"/>
      <c r="U16" s="38"/>
    </row>
    <row r="17" spans="1:21" customFormat="1">
      <c r="A17" s="39" t="s">
        <v>452</v>
      </c>
      <c r="B17" s="40">
        <v>8.23</v>
      </c>
      <c r="C17" s="40">
        <v>33.82</v>
      </c>
      <c r="D17" s="40">
        <v>22.95</v>
      </c>
      <c r="E17" s="40">
        <v>7.26</v>
      </c>
      <c r="F17" s="40">
        <v>24.22</v>
      </c>
      <c r="G17" s="40">
        <v>62.11</v>
      </c>
      <c r="H17" s="40">
        <v>24.81</v>
      </c>
      <c r="I17" s="40">
        <v>14.48</v>
      </c>
      <c r="J17" s="40">
        <v>3.36</v>
      </c>
      <c r="K17" s="40">
        <v>317.57</v>
      </c>
      <c r="L17" s="40">
        <v>36.340000000000003</v>
      </c>
      <c r="M17" s="40">
        <v>45.77</v>
      </c>
      <c r="N17" s="40">
        <v>409.6</v>
      </c>
      <c r="O17" s="40">
        <v>0</v>
      </c>
      <c r="P17" s="40">
        <v>0.68</v>
      </c>
      <c r="Q17" s="40">
        <v>28.21</v>
      </c>
      <c r="R17" s="38"/>
      <c r="S17" s="38"/>
      <c r="T17" s="38"/>
      <c r="U17" s="38"/>
    </row>
    <row r="18" spans="1:21" customFormat="1">
      <c r="A18" s="39" t="s">
        <v>453</v>
      </c>
      <c r="B18" s="40">
        <v>7.78</v>
      </c>
      <c r="C18" s="40">
        <v>27.55</v>
      </c>
      <c r="D18" s="40">
        <v>18.25</v>
      </c>
      <c r="E18" s="40">
        <v>6.97</v>
      </c>
      <c r="F18" s="40">
        <v>26.91</v>
      </c>
      <c r="G18" s="40">
        <v>63.6</v>
      </c>
      <c r="H18" s="40">
        <v>23.97</v>
      </c>
      <c r="I18" s="40">
        <v>14.42</v>
      </c>
      <c r="J18" s="40">
        <v>3.33</v>
      </c>
      <c r="K18" s="40">
        <v>273.32</v>
      </c>
      <c r="L18" s="40">
        <v>38.130000000000003</v>
      </c>
      <c r="M18" s="40">
        <v>31.29</v>
      </c>
      <c r="N18" s="40">
        <v>499.3</v>
      </c>
      <c r="O18" s="40">
        <v>0</v>
      </c>
      <c r="P18" s="40">
        <v>0.71</v>
      </c>
      <c r="Q18" s="40">
        <v>28.24</v>
      </c>
      <c r="R18" s="38"/>
      <c r="S18" s="38"/>
      <c r="T18" s="38"/>
      <c r="U18" s="38"/>
    </row>
    <row r="19" spans="1:21" customFormat="1">
      <c r="A19" s="39" t="s">
        <v>454</v>
      </c>
      <c r="B19" s="40">
        <v>4.0599999999999996</v>
      </c>
      <c r="C19" s="40">
        <v>32.369999999999997</v>
      </c>
      <c r="D19" s="40">
        <v>18.38</v>
      </c>
      <c r="E19" s="40">
        <v>7.01</v>
      </c>
      <c r="F19" s="40">
        <v>28.95</v>
      </c>
      <c r="G19" s="40">
        <v>59.21</v>
      </c>
      <c r="H19" s="40">
        <v>20.51</v>
      </c>
      <c r="I19" s="40">
        <v>13.18</v>
      </c>
      <c r="J19" s="40">
        <v>2.64</v>
      </c>
      <c r="K19" s="40">
        <v>337.84</v>
      </c>
      <c r="L19" s="40">
        <v>40.369999999999997</v>
      </c>
      <c r="M19" s="40">
        <v>27.06</v>
      </c>
      <c r="N19" s="40">
        <v>719.7</v>
      </c>
      <c r="O19" s="40">
        <v>0</v>
      </c>
      <c r="P19" s="40">
        <v>0.72</v>
      </c>
      <c r="Q19" s="40">
        <v>28.27</v>
      </c>
      <c r="R19" s="38"/>
      <c r="S19" s="38"/>
      <c r="T19" s="38"/>
      <c r="U19" s="38"/>
    </row>
    <row r="20" spans="1:21" customFormat="1">
      <c r="A20" s="39" t="s">
        <v>455</v>
      </c>
      <c r="B20" s="40">
        <v>2.74</v>
      </c>
      <c r="C20" s="40">
        <v>30.08</v>
      </c>
      <c r="D20" s="40">
        <v>16.920000000000002</v>
      </c>
      <c r="E20" s="40">
        <v>7.58</v>
      </c>
      <c r="F20" s="40">
        <v>24.77</v>
      </c>
      <c r="G20" s="40">
        <v>52.55</v>
      </c>
      <c r="H20" s="40">
        <v>19.989999999999998</v>
      </c>
      <c r="I20" s="40">
        <v>13.08</v>
      </c>
      <c r="J20" s="40">
        <v>3.01</v>
      </c>
      <c r="K20" s="40">
        <v>263.20999999999998</v>
      </c>
      <c r="L20" s="40">
        <v>41.24</v>
      </c>
      <c r="M20" s="40">
        <v>24.43</v>
      </c>
      <c r="N20" s="40">
        <v>799.3</v>
      </c>
      <c r="O20" s="40">
        <v>0</v>
      </c>
      <c r="P20" s="40">
        <v>0.61</v>
      </c>
      <c r="Q20" s="40">
        <v>28.87</v>
      </c>
      <c r="R20" s="38"/>
      <c r="S20" s="38"/>
      <c r="T20" s="38"/>
      <c r="U20" s="38"/>
    </row>
    <row r="21" spans="1:21" customFormat="1">
      <c r="A21" s="39" t="s">
        <v>456</v>
      </c>
      <c r="B21" s="40">
        <v>3.45</v>
      </c>
      <c r="C21" s="40">
        <v>30.05</v>
      </c>
      <c r="D21" s="40">
        <v>17.47</v>
      </c>
      <c r="E21" s="40">
        <v>7.35</v>
      </c>
      <c r="F21" s="40">
        <v>26.72</v>
      </c>
      <c r="G21" s="40">
        <v>52.6</v>
      </c>
      <c r="H21" s="40">
        <v>20.88</v>
      </c>
      <c r="I21" s="40">
        <v>12.73</v>
      </c>
      <c r="J21" s="40">
        <v>3.38</v>
      </c>
      <c r="K21" s="40">
        <v>279.79000000000002</v>
      </c>
      <c r="L21" s="40">
        <v>45.2</v>
      </c>
      <c r="M21" s="40">
        <v>22.64</v>
      </c>
      <c r="N21" s="40">
        <v>827.2</v>
      </c>
      <c r="O21" s="40">
        <v>0</v>
      </c>
      <c r="P21" s="40">
        <v>0.59</v>
      </c>
      <c r="Q21" s="40">
        <v>28.31</v>
      </c>
      <c r="R21" s="38"/>
      <c r="S21" s="38"/>
      <c r="T21" s="38"/>
      <c r="U21" s="38"/>
    </row>
    <row r="22" spans="1:21" customFormat="1">
      <c r="A22" s="39" t="s">
        <v>457</v>
      </c>
      <c r="B22" s="40">
        <v>3.03</v>
      </c>
      <c r="C22" s="40">
        <v>28.85</v>
      </c>
      <c r="D22" s="40">
        <v>16.32</v>
      </c>
      <c r="E22" s="40">
        <v>7.36</v>
      </c>
      <c r="F22" s="40">
        <v>32.340000000000003</v>
      </c>
      <c r="G22" s="40">
        <v>51.92</v>
      </c>
      <c r="H22" s="40">
        <v>18.440000000000001</v>
      </c>
      <c r="I22" s="40">
        <v>12.35</v>
      </c>
      <c r="J22" s="40">
        <v>3.9</v>
      </c>
      <c r="K22" s="40">
        <v>308.13</v>
      </c>
      <c r="L22" s="40">
        <v>42.18</v>
      </c>
      <c r="M22" s="40">
        <v>23.56</v>
      </c>
      <c r="N22" s="40">
        <v>576.29999999999995</v>
      </c>
      <c r="O22" s="40">
        <v>0</v>
      </c>
      <c r="P22" s="40">
        <v>0.56999999999999995</v>
      </c>
      <c r="Q22" s="40">
        <v>28.49</v>
      </c>
      <c r="R22" s="38"/>
      <c r="S22" s="38"/>
      <c r="T22" s="38"/>
      <c r="U22" s="38"/>
    </row>
    <row r="23" spans="1:21" customFormat="1">
      <c r="A23" s="39" t="s">
        <v>458</v>
      </c>
      <c r="B23" s="40">
        <v>3.36</v>
      </c>
      <c r="C23" s="40">
        <v>24.56</v>
      </c>
      <c r="D23" s="40">
        <v>14.53</v>
      </c>
      <c r="E23" s="40">
        <v>8.16</v>
      </c>
      <c r="F23" s="40">
        <v>23.64</v>
      </c>
      <c r="G23" s="40">
        <v>49.5</v>
      </c>
      <c r="H23" s="40">
        <v>15.35</v>
      </c>
      <c r="I23" s="40">
        <v>12</v>
      </c>
      <c r="J23" s="40">
        <v>4.2300000000000004</v>
      </c>
      <c r="K23" s="40">
        <v>247.68</v>
      </c>
      <c r="L23" s="40">
        <v>41.48</v>
      </c>
      <c r="M23" s="40">
        <v>23.3</v>
      </c>
      <c r="N23" s="40">
        <v>507.4</v>
      </c>
      <c r="O23" s="40">
        <v>0</v>
      </c>
      <c r="P23" s="40">
        <v>0.55000000000000004</v>
      </c>
      <c r="Q23" s="40">
        <v>28.87</v>
      </c>
      <c r="R23" s="38"/>
      <c r="S23" s="38"/>
      <c r="T23" s="38"/>
      <c r="U23" s="38"/>
    </row>
    <row r="24" spans="1:21" customFormat="1">
      <c r="A24" s="39" t="s">
        <v>459</v>
      </c>
      <c r="B24" s="40">
        <v>2.59</v>
      </c>
      <c r="C24" s="40">
        <v>29.34</v>
      </c>
      <c r="D24" s="40">
        <v>16.37</v>
      </c>
      <c r="E24" s="40">
        <v>6.89</v>
      </c>
      <c r="F24" s="40">
        <v>17.690000000000001</v>
      </c>
      <c r="G24" s="40">
        <v>50.05</v>
      </c>
      <c r="H24" s="40">
        <v>15.89</v>
      </c>
      <c r="I24" s="40">
        <v>11.8</v>
      </c>
      <c r="J24" s="40">
        <v>4.8</v>
      </c>
      <c r="K24" s="40">
        <v>250.54</v>
      </c>
      <c r="L24" s="40">
        <v>41.18</v>
      </c>
      <c r="M24" s="40">
        <v>24.39</v>
      </c>
      <c r="N24" s="40">
        <v>493.1</v>
      </c>
      <c r="O24" s="40">
        <v>0</v>
      </c>
      <c r="P24" s="40">
        <v>0.53</v>
      </c>
      <c r="Q24" s="40">
        <v>28.93</v>
      </c>
      <c r="R24" s="38"/>
      <c r="S24" s="38"/>
      <c r="T24" s="38"/>
      <c r="U24" s="38"/>
    </row>
    <row r="25" spans="1:21" customFormat="1">
      <c r="A25" s="39" t="s">
        <v>460</v>
      </c>
      <c r="B25" s="40">
        <v>2.85</v>
      </c>
      <c r="C25" s="40">
        <v>27.79</v>
      </c>
      <c r="D25" s="40">
        <v>15.54</v>
      </c>
      <c r="E25" s="40">
        <v>6.78</v>
      </c>
      <c r="F25" s="40">
        <v>30.92</v>
      </c>
      <c r="G25" s="40">
        <v>52.44</v>
      </c>
      <c r="H25" s="40">
        <v>18.07</v>
      </c>
      <c r="I25" s="40">
        <v>11.33</v>
      </c>
      <c r="J25" s="40">
        <v>4.41</v>
      </c>
      <c r="K25" s="40">
        <v>250.67</v>
      </c>
      <c r="L25" s="40">
        <v>40.1</v>
      </c>
      <c r="M25" s="40">
        <v>24.65</v>
      </c>
      <c r="N25" s="40">
        <v>262</v>
      </c>
      <c r="O25" s="40">
        <v>0</v>
      </c>
      <c r="P25" s="40">
        <v>0.51</v>
      </c>
      <c r="Q25" s="40">
        <v>28.57</v>
      </c>
      <c r="R25" s="38"/>
      <c r="S25" s="38"/>
      <c r="T25" s="38"/>
      <c r="U25" s="38"/>
    </row>
    <row r="26" spans="1:21" customFormat="1">
      <c r="A26" s="39" t="s">
        <v>461</v>
      </c>
      <c r="B26" s="40">
        <v>2.89</v>
      </c>
      <c r="C26" s="40">
        <v>28.59</v>
      </c>
      <c r="D26" s="40">
        <v>16.27</v>
      </c>
      <c r="E26" s="40">
        <v>8.7200000000000006</v>
      </c>
      <c r="F26" s="40">
        <v>35.840000000000003</v>
      </c>
      <c r="G26" s="40">
        <v>48.26</v>
      </c>
      <c r="H26" s="40">
        <v>20.69</v>
      </c>
      <c r="I26" s="40">
        <v>11.01</v>
      </c>
      <c r="J26" s="40">
        <v>4.16</v>
      </c>
      <c r="K26" s="40">
        <v>253.11</v>
      </c>
      <c r="L26" s="40">
        <v>40.76</v>
      </c>
      <c r="M26" s="40">
        <v>24.86</v>
      </c>
      <c r="N26" s="40">
        <v>140.30000000000001</v>
      </c>
      <c r="O26" s="40">
        <v>0</v>
      </c>
      <c r="P26" s="40">
        <v>0.52</v>
      </c>
      <c r="Q26" s="40">
        <v>28.59</v>
      </c>
      <c r="R26" s="38"/>
      <c r="S26" s="38"/>
      <c r="T26" s="38"/>
      <c r="U26" s="38"/>
    </row>
    <row r="27" spans="1:21" customFormat="1">
      <c r="A27" s="39" t="s">
        <v>462</v>
      </c>
      <c r="B27" s="40">
        <v>4.0599999999999996</v>
      </c>
      <c r="C27" s="40">
        <v>31.01</v>
      </c>
      <c r="D27" s="40">
        <v>18.46</v>
      </c>
      <c r="E27" s="40">
        <v>10.11</v>
      </c>
      <c r="F27" s="40">
        <v>40.68</v>
      </c>
      <c r="G27" s="40">
        <v>50.34</v>
      </c>
      <c r="H27" s="40">
        <v>17.68</v>
      </c>
      <c r="I27" s="40">
        <v>11.96</v>
      </c>
      <c r="J27" s="40">
        <v>3.06</v>
      </c>
      <c r="K27" s="40">
        <v>259.19</v>
      </c>
      <c r="L27" s="40">
        <v>40.47</v>
      </c>
      <c r="M27" s="40">
        <v>28.92</v>
      </c>
      <c r="N27" s="40">
        <v>41.6</v>
      </c>
      <c r="O27" s="40">
        <v>0</v>
      </c>
      <c r="P27" s="40">
        <v>0.55000000000000004</v>
      </c>
      <c r="Q27" s="40">
        <v>28.68</v>
      </c>
      <c r="R27" s="38"/>
      <c r="S27" s="38"/>
      <c r="T27" s="38"/>
      <c r="U27" s="38"/>
    </row>
    <row r="28" spans="1:21" customFormat="1">
      <c r="A28" s="39" t="s">
        <v>463</v>
      </c>
      <c r="B28" s="40">
        <v>3.86</v>
      </c>
      <c r="C28" s="40">
        <v>30.22</v>
      </c>
      <c r="D28" s="40">
        <v>17.78</v>
      </c>
      <c r="E28" s="40">
        <v>9.4499999999999993</v>
      </c>
      <c r="F28" s="40">
        <v>33.92</v>
      </c>
      <c r="G28" s="40">
        <v>52.63</v>
      </c>
      <c r="H28" s="40">
        <v>20.04</v>
      </c>
      <c r="I28" s="40">
        <v>13.06</v>
      </c>
      <c r="J28" s="40">
        <v>3.05</v>
      </c>
      <c r="K28" s="40">
        <v>187.79</v>
      </c>
      <c r="L28" s="40">
        <v>38.9</v>
      </c>
      <c r="M28" s="40">
        <v>32.119999999999997</v>
      </c>
      <c r="N28" s="40">
        <v>22.7</v>
      </c>
      <c r="O28" s="40">
        <v>0</v>
      </c>
      <c r="P28" s="40">
        <v>0.76</v>
      </c>
      <c r="Q28" s="40">
        <v>27.93</v>
      </c>
      <c r="R28" s="38"/>
      <c r="S28" s="38"/>
      <c r="T28" s="38"/>
      <c r="U28" s="38"/>
    </row>
    <row r="29" spans="1:21" customFormat="1">
      <c r="A29" s="39" t="s">
        <v>464</v>
      </c>
      <c r="B29" s="40">
        <v>12.58</v>
      </c>
      <c r="C29" s="40">
        <v>47.82</v>
      </c>
      <c r="D29" s="40">
        <v>30.42</v>
      </c>
      <c r="E29" s="40">
        <v>9.76</v>
      </c>
      <c r="F29" s="40">
        <v>14.69</v>
      </c>
      <c r="G29" s="40">
        <v>55.99</v>
      </c>
      <c r="H29" s="40">
        <v>20.59</v>
      </c>
      <c r="I29" s="40">
        <v>16.350000000000001</v>
      </c>
      <c r="J29" s="40">
        <v>2.99</v>
      </c>
      <c r="K29" s="40">
        <v>249.2</v>
      </c>
      <c r="L29" s="40">
        <v>38.6</v>
      </c>
      <c r="M29" s="40">
        <v>34.07</v>
      </c>
      <c r="N29" s="40">
        <v>22.9</v>
      </c>
      <c r="O29" s="40">
        <v>0</v>
      </c>
      <c r="P29" s="40">
        <v>0.88</v>
      </c>
      <c r="Q29" s="40">
        <v>26.66</v>
      </c>
      <c r="R29" s="38"/>
      <c r="S29" s="38"/>
      <c r="T29" s="38"/>
      <c r="U29" s="38"/>
    </row>
    <row r="30" spans="1:21" customFormat="1">
      <c r="A30" s="39" t="s">
        <v>465</v>
      </c>
      <c r="B30" s="40">
        <v>11.59</v>
      </c>
      <c r="C30" s="40">
        <v>45.77</v>
      </c>
      <c r="D30" s="40">
        <v>28.4</v>
      </c>
      <c r="E30" s="40">
        <v>10.29</v>
      </c>
      <c r="F30" s="40">
        <v>10.91</v>
      </c>
      <c r="G30" s="40">
        <v>72.77</v>
      </c>
      <c r="H30" s="40">
        <v>25.53</v>
      </c>
      <c r="I30" s="40">
        <v>17.989999999999998</v>
      </c>
      <c r="J30" s="40">
        <v>2.77</v>
      </c>
      <c r="K30" s="40">
        <v>252.77</v>
      </c>
      <c r="L30" s="40">
        <v>37</v>
      </c>
      <c r="M30" s="40">
        <v>33.83</v>
      </c>
      <c r="N30" s="40">
        <v>22.8</v>
      </c>
      <c r="O30" s="40">
        <v>0</v>
      </c>
      <c r="P30" s="40">
        <v>0.89</v>
      </c>
      <c r="Q30" s="40">
        <v>26.84</v>
      </c>
      <c r="R30" s="38"/>
      <c r="S30" s="38"/>
      <c r="T30" s="38"/>
      <c r="U30" s="38"/>
    </row>
    <row r="31" spans="1:21" customFormat="1">
      <c r="A31" s="39" t="s">
        <v>466</v>
      </c>
      <c r="B31" s="40">
        <v>10.1</v>
      </c>
      <c r="C31" s="40">
        <v>43.49</v>
      </c>
      <c r="D31" s="40">
        <v>28.2</v>
      </c>
      <c r="E31" s="40">
        <v>9.59</v>
      </c>
      <c r="F31" s="40">
        <v>10.18</v>
      </c>
      <c r="G31" s="40">
        <v>86.57</v>
      </c>
      <c r="H31" s="40">
        <v>27.43</v>
      </c>
      <c r="I31" s="40">
        <v>17.670000000000002</v>
      </c>
      <c r="J31" s="40">
        <v>3.46</v>
      </c>
      <c r="K31" s="40">
        <v>236.05</v>
      </c>
      <c r="L31" s="40">
        <v>37.46</v>
      </c>
      <c r="M31" s="40">
        <v>35.119999999999997</v>
      </c>
      <c r="N31" s="40">
        <v>22.7</v>
      </c>
      <c r="O31" s="40">
        <v>0</v>
      </c>
      <c r="P31" s="40">
        <v>0.83</v>
      </c>
      <c r="Q31" s="40">
        <v>26.73</v>
      </c>
      <c r="R31" s="38"/>
      <c r="S31" s="38"/>
      <c r="T31" s="38"/>
      <c r="U31" s="38"/>
    </row>
    <row r="32" spans="1:21" customFormat="1">
      <c r="A32" s="39" t="s">
        <v>467</v>
      </c>
      <c r="B32" s="40">
        <v>10.95</v>
      </c>
      <c r="C32" s="40">
        <v>36.21</v>
      </c>
      <c r="D32" s="40">
        <v>26.71</v>
      </c>
      <c r="E32" s="40">
        <v>7.68</v>
      </c>
      <c r="F32" s="40">
        <v>11.48</v>
      </c>
      <c r="G32" s="40">
        <v>89.65</v>
      </c>
      <c r="H32" s="40">
        <v>29.89</v>
      </c>
      <c r="I32" s="40">
        <v>17.02</v>
      </c>
      <c r="J32" s="40">
        <v>3.37</v>
      </c>
      <c r="K32" s="40">
        <v>244.74</v>
      </c>
      <c r="L32" s="40">
        <v>37.119999999999997</v>
      </c>
      <c r="M32" s="40">
        <v>39.46</v>
      </c>
      <c r="N32" s="40">
        <v>23.2</v>
      </c>
      <c r="O32" s="40">
        <v>0</v>
      </c>
      <c r="P32" s="40">
        <v>0.76</v>
      </c>
      <c r="Q32" s="40">
        <v>27.36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2.59</v>
      </c>
      <c r="C34" s="18">
        <f t="shared" si="0"/>
        <v>21.83</v>
      </c>
      <c r="D34" s="18">
        <f t="shared" si="0"/>
        <v>14.53</v>
      </c>
      <c r="E34" s="18">
        <f t="shared" si="0"/>
        <v>6.25</v>
      </c>
      <c r="F34" s="18">
        <f t="shared" si="0"/>
        <v>4.62</v>
      </c>
      <c r="G34" s="18">
        <f t="shared" si="0"/>
        <v>44.29</v>
      </c>
      <c r="H34" s="18">
        <f t="shared" si="0"/>
        <v>15.35</v>
      </c>
      <c r="I34" s="18">
        <f t="shared" si="0"/>
        <v>11.01</v>
      </c>
      <c r="J34" s="18">
        <f t="shared" si="0"/>
        <v>2.64</v>
      </c>
      <c r="K34" s="18">
        <f t="shared" si="0"/>
        <v>142.44999999999999</v>
      </c>
      <c r="L34" s="18">
        <f t="shared" si="0"/>
        <v>31.29</v>
      </c>
      <c r="M34" s="18">
        <f t="shared" si="0"/>
        <v>22.64</v>
      </c>
      <c r="N34" s="18">
        <f t="shared" si="0"/>
        <v>22.7</v>
      </c>
      <c r="O34" s="18">
        <f t="shared" si="0"/>
        <v>0</v>
      </c>
      <c r="P34" s="18">
        <f t="shared" si="0"/>
        <v>0.51</v>
      </c>
      <c r="Q34" s="18">
        <f t="shared" si="0"/>
        <v>26.66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12.58</v>
      </c>
      <c r="C35" s="3">
        <f t="shared" si="1"/>
        <v>47.82</v>
      </c>
      <c r="D35" s="3">
        <f t="shared" si="1"/>
        <v>30.42</v>
      </c>
      <c r="E35" s="3">
        <f t="shared" si="1"/>
        <v>10.29</v>
      </c>
      <c r="F35" s="3">
        <f t="shared" si="1"/>
        <v>40.68</v>
      </c>
      <c r="G35" s="3">
        <f t="shared" si="1"/>
        <v>89.65</v>
      </c>
      <c r="H35" s="3">
        <f t="shared" si="1"/>
        <v>37.619999999999997</v>
      </c>
      <c r="I35" s="3">
        <f t="shared" si="1"/>
        <v>17.989999999999998</v>
      </c>
      <c r="J35" s="3">
        <f t="shared" si="1"/>
        <v>4.8</v>
      </c>
      <c r="K35" s="3">
        <f t="shared" si="1"/>
        <v>337.84</v>
      </c>
      <c r="L35" s="3">
        <f t="shared" si="1"/>
        <v>45.2</v>
      </c>
      <c r="M35" s="3">
        <f t="shared" si="1"/>
        <v>49.89</v>
      </c>
      <c r="N35" s="3">
        <f t="shared" si="1"/>
        <v>827.2</v>
      </c>
      <c r="O35" s="3">
        <f t="shared" si="1"/>
        <v>0</v>
      </c>
      <c r="P35" s="3">
        <f t="shared" si="1"/>
        <v>0.89</v>
      </c>
      <c r="Q35" s="3">
        <f t="shared" si="1"/>
        <v>28.93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6.392083333333332</v>
      </c>
      <c r="C36" s="18">
        <f t="shared" si="2"/>
        <v>32.677083333333336</v>
      </c>
      <c r="D36" s="18">
        <f t="shared" si="2"/>
        <v>20.669166666666662</v>
      </c>
      <c r="E36" s="18">
        <f t="shared" si="2"/>
        <v>7.9137500000000003</v>
      </c>
      <c r="F36" s="18">
        <f t="shared" si="2"/>
        <v>19.77416666666667</v>
      </c>
      <c r="G36" s="18">
        <f t="shared" si="2"/>
        <v>57.22</v>
      </c>
      <c r="H36" s="18">
        <f t="shared" si="2"/>
        <v>23.531249999999996</v>
      </c>
      <c r="I36" s="18">
        <f t="shared" si="2"/>
        <v>13.398333333333335</v>
      </c>
      <c r="J36" s="18">
        <f t="shared" si="2"/>
        <v>3.4633333333333325</v>
      </c>
      <c r="K36" s="18">
        <f t="shared" si="2"/>
        <v>247.08791666666662</v>
      </c>
      <c r="L36" s="18">
        <f t="shared" si="2"/>
        <v>37.256250000000001</v>
      </c>
      <c r="M36" s="18">
        <f t="shared" si="2"/>
        <v>34.734166666666667</v>
      </c>
      <c r="N36" s="18">
        <f t="shared" si="2"/>
        <v>243.70000000000002</v>
      </c>
      <c r="O36" s="18">
        <f t="shared" si="2"/>
        <v>0</v>
      </c>
      <c r="P36" s="18">
        <f t="shared" si="2"/>
        <v>0.65083333333333337</v>
      </c>
      <c r="Q36" s="18">
        <f t="shared" si="2"/>
        <v>28.136666666666667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3.0585574593072571</v>
      </c>
      <c r="C37" s="18">
        <f t="shared" ref="C37:Q37" si="3">STDEV(C9:C32)</f>
        <v>6.7107366790362084</v>
      </c>
      <c r="D37" s="18">
        <f t="shared" si="3"/>
        <v>4.7635855299815244</v>
      </c>
      <c r="E37" s="18">
        <f t="shared" si="3"/>
        <v>1.2287668349945868</v>
      </c>
      <c r="F37" s="18">
        <f t="shared" si="3"/>
        <v>10.63650601207593</v>
      </c>
      <c r="G37" s="18">
        <f t="shared" si="3"/>
        <v>11.604060383818469</v>
      </c>
      <c r="H37" s="18">
        <f t="shared" si="3"/>
        <v>5.299928065549576</v>
      </c>
      <c r="I37" s="18">
        <f t="shared" si="3"/>
        <v>2.0549106966032471</v>
      </c>
      <c r="J37" s="18">
        <f t="shared" si="3"/>
        <v>0.5545594935478676</v>
      </c>
      <c r="K37" s="18">
        <f t="shared" si="3"/>
        <v>43.186767294902964</v>
      </c>
      <c r="L37" s="18">
        <f t="shared" si="3"/>
        <v>4.1272380621595861</v>
      </c>
      <c r="M37" s="18">
        <f t="shared" si="3"/>
        <v>9.2735434420190455</v>
      </c>
      <c r="N37" s="18">
        <f t="shared" si="3"/>
        <v>280.80790122662916</v>
      </c>
      <c r="O37" s="18">
        <f t="shared" si="3"/>
        <v>0</v>
      </c>
      <c r="P37" s="18">
        <f t="shared" si="3"/>
        <v>0.11228522171012841</v>
      </c>
      <c r="Q37" s="18">
        <f t="shared" si="3"/>
        <v>0.63819491820539309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468</v>
      </c>
      <c r="B9" s="40">
        <v>10.06</v>
      </c>
      <c r="C9" s="40">
        <v>39.36</v>
      </c>
      <c r="D9" s="40">
        <v>27.55</v>
      </c>
      <c r="E9" s="40">
        <v>8</v>
      </c>
      <c r="F9" s="40">
        <v>12.86</v>
      </c>
      <c r="G9" s="40">
        <v>87.24</v>
      </c>
      <c r="H9" s="40">
        <v>30.59</v>
      </c>
      <c r="I9" s="40">
        <v>16.61</v>
      </c>
      <c r="J9" s="40">
        <v>3.24</v>
      </c>
      <c r="K9" s="40">
        <v>202.28</v>
      </c>
      <c r="L9" s="40">
        <v>35.94</v>
      </c>
      <c r="M9" s="40">
        <v>39.39</v>
      </c>
      <c r="N9" s="40">
        <v>22.8</v>
      </c>
      <c r="O9" s="40">
        <v>0</v>
      </c>
      <c r="P9" s="40">
        <v>0.75</v>
      </c>
      <c r="Q9" s="40">
        <v>28.09</v>
      </c>
      <c r="R9" s="38"/>
      <c r="S9" s="38"/>
      <c r="T9" s="38"/>
      <c r="U9" s="38"/>
    </row>
    <row r="10" spans="1:21" customFormat="1">
      <c r="A10" s="39" t="s">
        <v>469</v>
      </c>
      <c r="B10" s="40">
        <v>9.65</v>
      </c>
      <c r="C10" s="40">
        <v>32.58</v>
      </c>
      <c r="D10" s="40">
        <v>23.77</v>
      </c>
      <c r="E10" s="40">
        <v>7.82</v>
      </c>
      <c r="F10" s="40">
        <v>20.3</v>
      </c>
      <c r="G10" s="40">
        <v>78.53</v>
      </c>
      <c r="H10" s="40">
        <v>26.91</v>
      </c>
      <c r="I10" s="40">
        <v>15.2</v>
      </c>
      <c r="J10" s="40">
        <v>3.28</v>
      </c>
      <c r="K10" s="40">
        <v>223.05</v>
      </c>
      <c r="L10" s="40">
        <v>36.950000000000003</v>
      </c>
      <c r="M10" s="40">
        <v>39.369999999999997</v>
      </c>
      <c r="N10" s="40">
        <v>22.7</v>
      </c>
      <c r="O10" s="40">
        <v>0</v>
      </c>
      <c r="P10" s="40">
        <v>0.71</v>
      </c>
      <c r="Q10" s="40">
        <v>28.31</v>
      </c>
      <c r="R10" s="38"/>
      <c r="S10" s="38"/>
      <c r="T10" s="38"/>
      <c r="U10" s="38"/>
    </row>
    <row r="11" spans="1:21" customFormat="1">
      <c r="A11" s="39" t="s">
        <v>470</v>
      </c>
      <c r="B11" s="40">
        <v>6.63</v>
      </c>
      <c r="C11" s="40">
        <v>23.34</v>
      </c>
      <c r="D11" s="40">
        <v>16.52</v>
      </c>
      <c r="E11" s="40">
        <v>6.84</v>
      </c>
      <c r="F11" s="40">
        <v>15.16</v>
      </c>
      <c r="G11" s="40">
        <v>71.94</v>
      </c>
      <c r="H11" s="40">
        <v>21.43</v>
      </c>
      <c r="I11" s="40">
        <v>13.51</v>
      </c>
      <c r="J11" s="40">
        <v>3.62</v>
      </c>
      <c r="K11" s="40">
        <v>247.53</v>
      </c>
      <c r="L11" s="40">
        <v>36.33</v>
      </c>
      <c r="M11" s="40">
        <v>41.33</v>
      </c>
      <c r="N11" s="40">
        <v>23.1</v>
      </c>
      <c r="O11" s="40">
        <v>0</v>
      </c>
      <c r="P11" s="40">
        <v>0.63</v>
      </c>
      <c r="Q11" s="40">
        <v>28.46</v>
      </c>
      <c r="R11" s="38"/>
      <c r="S11" s="38"/>
      <c r="T11" s="38"/>
      <c r="U11" s="38"/>
    </row>
    <row r="12" spans="1:21" customFormat="1">
      <c r="A12" s="39" t="s">
        <v>471</v>
      </c>
      <c r="B12" s="40">
        <v>5.88</v>
      </c>
      <c r="C12" s="40">
        <v>27.95</v>
      </c>
      <c r="D12" s="40">
        <v>18.32</v>
      </c>
      <c r="E12" s="40">
        <v>7.23</v>
      </c>
      <c r="F12" s="40">
        <v>8.27</v>
      </c>
      <c r="G12" s="40">
        <v>59.91</v>
      </c>
      <c r="H12" s="40">
        <v>22.22</v>
      </c>
      <c r="I12" s="40">
        <v>13.09</v>
      </c>
      <c r="J12" s="40">
        <v>3.88</v>
      </c>
      <c r="K12" s="40">
        <v>252.16</v>
      </c>
      <c r="L12" s="40">
        <v>35.21</v>
      </c>
      <c r="M12" s="40">
        <v>44.38</v>
      </c>
      <c r="N12" s="40">
        <v>23</v>
      </c>
      <c r="O12" s="40">
        <v>0</v>
      </c>
      <c r="P12" s="40">
        <v>0.61</v>
      </c>
      <c r="Q12" s="40">
        <v>28.44</v>
      </c>
      <c r="R12" s="38"/>
      <c r="S12" s="38"/>
      <c r="T12" s="38"/>
      <c r="U12" s="38"/>
    </row>
    <row r="13" spans="1:21" customFormat="1">
      <c r="A13" s="39" t="s">
        <v>472</v>
      </c>
      <c r="B13" s="40">
        <v>5.36</v>
      </c>
      <c r="C13" s="40">
        <v>26.04</v>
      </c>
      <c r="D13" s="40">
        <v>16.91</v>
      </c>
      <c r="E13" s="40">
        <v>6.82</v>
      </c>
      <c r="F13" s="40">
        <v>10.7</v>
      </c>
      <c r="G13" s="40">
        <v>55.72</v>
      </c>
      <c r="H13" s="40">
        <v>21.75</v>
      </c>
      <c r="I13" s="40">
        <v>14.59</v>
      </c>
      <c r="J13" s="40">
        <v>3.98</v>
      </c>
      <c r="K13" s="40">
        <v>243.52</v>
      </c>
      <c r="L13" s="40">
        <v>34.409999999999997</v>
      </c>
      <c r="M13" s="40">
        <v>44.89</v>
      </c>
      <c r="N13" s="40">
        <v>22.9</v>
      </c>
      <c r="O13" s="40">
        <v>0</v>
      </c>
      <c r="P13" s="40">
        <v>0.6</v>
      </c>
      <c r="Q13" s="40">
        <v>28.55</v>
      </c>
      <c r="R13" s="38"/>
      <c r="S13" s="38"/>
      <c r="T13" s="38"/>
      <c r="U13" s="38"/>
    </row>
    <row r="14" spans="1:21" customFormat="1">
      <c r="A14" s="39" t="s">
        <v>473</v>
      </c>
      <c r="B14" s="40">
        <v>4.59</v>
      </c>
      <c r="C14" s="40">
        <v>23.58</v>
      </c>
      <c r="D14" s="40">
        <v>14.81</v>
      </c>
      <c r="E14" s="40">
        <v>7.18</v>
      </c>
      <c r="F14" s="40">
        <v>11.14</v>
      </c>
      <c r="G14" s="40">
        <v>55.81</v>
      </c>
      <c r="H14" s="40">
        <v>22.46</v>
      </c>
      <c r="I14" s="40">
        <v>14.76</v>
      </c>
      <c r="J14" s="40">
        <v>3.45</v>
      </c>
      <c r="K14" s="40">
        <v>196.92</v>
      </c>
      <c r="L14" s="40">
        <v>33.89</v>
      </c>
      <c r="M14" s="40">
        <v>45.03</v>
      </c>
      <c r="N14" s="40">
        <v>44.6</v>
      </c>
      <c r="O14" s="40">
        <v>0</v>
      </c>
      <c r="P14" s="40">
        <v>0.56999999999999995</v>
      </c>
      <c r="Q14" s="40">
        <v>28.53</v>
      </c>
      <c r="R14" s="38"/>
      <c r="S14" s="38"/>
      <c r="T14" s="38"/>
      <c r="U14" s="38"/>
    </row>
    <row r="15" spans="1:21" customFormat="1">
      <c r="A15" s="39" t="s">
        <v>474</v>
      </c>
      <c r="B15" s="40">
        <v>4.45</v>
      </c>
      <c r="C15" s="40">
        <v>32.51</v>
      </c>
      <c r="D15" s="40">
        <v>19.41</v>
      </c>
      <c r="E15" s="40">
        <v>7.42</v>
      </c>
      <c r="F15" s="40">
        <v>7.41</v>
      </c>
      <c r="G15" s="40">
        <v>43.78</v>
      </c>
      <c r="H15" s="40">
        <v>19.63</v>
      </c>
      <c r="I15" s="40">
        <v>12.72</v>
      </c>
      <c r="J15" s="40">
        <v>3.64</v>
      </c>
      <c r="K15" s="40">
        <v>221.42</v>
      </c>
      <c r="L15" s="40">
        <v>34.21</v>
      </c>
      <c r="M15" s="40">
        <v>45.45</v>
      </c>
      <c r="N15" s="40">
        <v>106.9</v>
      </c>
      <c r="O15" s="40">
        <v>0</v>
      </c>
      <c r="P15" s="40">
        <v>0.56000000000000005</v>
      </c>
      <c r="Q15" s="40">
        <v>28.5</v>
      </c>
      <c r="R15" s="38"/>
      <c r="S15" s="38"/>
      <c r="T15" s="38"/>
      <c r="U15" s="38"/>
    </row>
    <row r="16" spans="1:21" customFormat="1">
      <c r="A16" s="39" t="s">
        <v>475</v>
      </c>
      <c r="B16" s="40">
        <v>5.39</v>
      </c>
      <c r="C16" s="40">
        <v>28.34</v>
      </c>
      <c r="D16" s="40">
        <v>17.96</v>
      </c>
      <c r="E16" s="40">
        <v>7.41</v>
      </c>
      <c r="F16" s="40">
        <v>9.7799999999999994</v>
      </c>
      <c r="G16" s="40">
        <v>41.02</v>
      </c>
      <c r="H16" s="40">
        <v>19.91</v>
      </c>
      <c r="I16" s="40">
        <v>12.22</v>
      </c>
      <c r="J16" s="40">
        <v>4.07</v>
      </c>
      <c r="K16" s="40">
        <v>236.21</v>
      </c>
      <c r="L16" s="40">
        <v>36.96</v>
      </c>
      <c r="M16" s="40">
        <v>45.19</v>
      </c>
      <c r="N16" s="40">
        <v>273.10000000000002</v>
      </c>
      <c r="O16" s="40">
        <v>0</v>
      </c>
      <c r="P16" s="40">
        <v>0.56000000000000005</v>
      </c>
      <c r="Q16" s="40">
        <v>28.62</v>
      </c>
      <c r="R16" s="38"/>
      <c r="S16" s="38"/>
      <c r="T16" s="38"/>
      <c r="U16" s="38"/>
    </row>
    <row r="17" spans="1:21" customFormat="1">
      <c r="A17" s="39" t="s">
        <v>476</v>
      </c>
      <c r="B17" s="40">
        <v>5.47</v>
      </c>
      <c r="C17" s="40">
        <v>27.29</v>
      </c>
      <c r="D17" s="40">
        <v>17.649999999999999</v>
      </c>
      <c r="E17" s="40">
        <v>7.25</v>
      </c>
      <c r="F17" s="40">
        <v>9.2899999999999991</v>
      </c>
      <c r="G17" s="40">
        <v>46.37</v>
      </c>
      <c r="H17" s="40">
        <v>16.87</v>
      </c>
      <c r="I17" s="40">
        <v>13.84</v>
      </c>
      <c r="J17" s="40">
        <v>4.2699999999999996</v>
      </c>
      <c r="K17" s="40">
        <v>239.75</v>
      </c>
      <c r="L17" s="40">
        <v>38.159999999999997</v>
      </c>
      <c r="M17" s="40">
        <v>40.200000000000003</v>
      </c>
      <c r="N17" s="40">
        <v>388.1</v>
      </c>
      <c r="O17" s="40">
        <v>0</v>
      </c>
      <c r="P17" s="40">
        <v>0.73</v>
      </c>
      <c r="Q17" s="40">
        <v>28.45</v>
      </c>
      <c r="R17" s="38"/>
      <c r="S17" s="38"/>
      <c r="T17" s="38"/>
      <c r="U17" s="38"/>
    </row>
    <row r="18" spans="1:21" customFormat="1">
      <c r="A18" s="39" t="s">
        <v>477</v>
      </c>
      <c r="B18" s="40">
        <v>5.4</v>
      </c>
      <c r="C18" s="40">
        <v>35.229999999999997</v>
      </c>
      <c r="D18" s="40">
        <v>20.6</v>
      </c>
      <c r="E18" s="40">
        <v>7.62</v>
      </c>
      <c r="F18" s="40">
        <v>13.56</v>
      </c>
      <c r="G18" s="40">
        <v>48.98</v>
      </c>
      <c r="H18" s="40">
        <v>17.29</v>
      </c>
      <c r="I18" s="40">
        <v>17.54</v>
      </c>
      <c r="J18" s="40">
        <v>3.48</v>
      </c>
      <c r="K18" s="40">
        <v>259.35000000000002</v>
      </c>
      <c r="L18" s="40">
        <v>39.590000000000003</v>
      </c>
      <c r="M18" s="40">
        <v>35.94</v>
      </c>
      <c r="N18" s="40">
        <v>620.4</v>
      </c>
      <c r="O18" s="40">
        <v>0</v>
      </c>
      <c r="P18" s="40">
        <v>0.78</v>
      </c>
      <c r="Q18" s="40">
        <v>28.13</v>
      </c>
      <c r="R18" s="38"/>
      <c r="S18" s="38"/>
      <c r="T18" s="38"/>
      <c r="U18" s="38"/>
    </row>
    <row r="19" spans="1:21" customFormat="1">
      <c r="A19" s="39" t="s">
        <v>478</v>
      </c>
      <c r="B19" s="40">
        <v>3.5</v>
      </c>
      <c r="C19" s="40">
        <v>33.51</v>
      </c>
      <c r="D19" s="40">
        <v>19.32</v>
      </c>
      <c r="E19" s="40">
        <v>7.88</v>
      </c>
      <c r="F19" s="40">
        <v>34.18</v>
      </c>
      <c r="G19" s="40">
        <v>52.27</v>
      </c>
      <c r="H19" s="40">
        <v>18.149999999999999</v>
      </c>
      <c r="I19" s="40">
        <v>16.46</v>
      </c>
      <c r="J19" s="40">
        <v>3.22</v>
      </c>
      <c r="K19" s="40">
        <v>254.74</v>
      </c>
      <c r="L19" s="40">
        <v>41.99</v>
      </c>
      <c r="M19" s="40">
        <v>31.28</v>
      </c>
      <c r="N19" s="40">
        <v>706.3</v>
      </c>
      <c r="O19" s="40">
        <v>0</v>
      </c>
      <c r="P19" s="40">
        <v>0.73</v>
      </c>
      <c r="Q19" s="40">
        <v>28.85</v>
      </c>
      <c r="R19" s="38"/>
      <c r="S19" s="38"/>
      <c r="T19" s="38"/>
      <c r="U19" s="38"/>
    </row>
    <row r="20" spans="1:21" customFormat="1">
      <c r="A20" s="39" t="s">
        <v>479</v>
      </c>
      <c r="B20" s="40">
        <v>3.13</v>
      </c>
      <c r="C20" s="40">
        <v>22.31</v>
      </c>
      <c r="D20" s="40">
        <v>12.23</v>
      </c>
      <c r="E20" s="40">
        <v>9.6</v>
      </c>
      <c r="F20" s="40">
        <v>64.27</v>
      </c>
      <c r="G20" s="40">
        <v>49</v>
      </c>
      <c r="H20" s="40">
        <v>18.98</v>
      </c>
      <c r="I20" s="40">
        <v>14.62</v>
      </c>
      <c r="J20" s="40">
        <v>3.48</v>
      </c>
      <c r="K20" s="40">
        <v>260.81</v>
      </c>
      <c r="L20" s="40">
        <v>45.46</v>
      </c>
      <c r="M20" s="40">
        <v>26.71</v>
      </c>
      <c r="N20" s="40">
        <v>786.8</v>
      </c>
      <c r="O20" s="40">
        <v>0</v>
      </c>
      <c r="P20" s="40">
        <v>0.6</v>
      </c>
      <c r="Q20" s="40">
        <v>29.02</v>
      </c>
      <c r="R20" s="38"/>
      <c r="S20" s="38"/>
      <c r="T20" s="38"/>
      <c r="U20" s="38"/>
    </row>
    <row r="21" spans="1:21" customFormat="1">
      <c r="A21" s="39" t="s">
        <v>480</v>
      </c>
      <c r="B21" s="40">
        <v>1.9</v>
      </c>
      <c r="C21" s="40">
        <v>18.010000000000002</v>
      </c>
      <c r="D21" s="40">
        <v>9.56</v>
      </c>
      <c r="E21" s="40">
        <v>8.2200000000000006</v>
      </c>
      <c r="F21" s="40">
        <v>72.5</v>
      </c>
      <c r="G21" s="40">
        <v>47.76</v>
      </c>
      <c r="H21" s="40">
        <v>19.760000000000002</v>
      </c>
      <c r="I21" s="40">
        <v>10.89</v>
      </c>
      <c r="J21" s="40">
        <v>3.27</v>
      </c>
      <c r="K21" s="40">
        <v>299.26</v>
      </c>
      <c r="L21" s="40">
        <v>41.64</v>
      </c>
      <c r="M21" s="40">
        <v>24.81</v>
      </c>
      <c r="N21" s="40">
        <v>801.7</v>
      </c>
      <c r="O21" s="40">
        <v>0</v>
      </c>
      <c r="P21" s="40">
        <v>0.5</v>
      </c>
      <c r="Q21" s="40">
        <v>29.15</v>
      </c>
      <c r="R21" s="38"/>
      <c r="S21" s="38"/>
      <c r="T21" s="38"/>
      <c r="U21" s="38"/>
    </row>
    <row r="22" spans="1:21" customFormat="1">
      <c r="A22" s="39" t="s">
        <v>481</v>
      </c>
      <c r="B22" s="40">
        <v>2.7</v>
      </c>
      <c r="C22" s="40">
        <v>17.13</v>
      </c>
      <c r="D22" s="40">
        <v>9.23</v>
      </c>
      <c r="E22" s="40">
        <v>7.46</v>
      </c>
      <c r="F22" s="40">
        <v>53.56</v>
      </c>
      <c r="G22" s="40">
        <v>74.09</v>
      </c>
      <c r="H22" s="40">
        <v>21.5</v>
      </c>
      <c r="I22" s="40">
        <v>10.93</v>
      </c>
      <c r="J22" s="40">
        <v>2.77</v>
      </c>
      <c r="K22" s="40">
        <v>308.86</v>
      </c>
      <c r="L22" s="40">
        <v>39.909999999999997</v>
      </c>
      <c r="M22" s="40">
        <v>34.53</v>
      </c>
      <c r="N22" s="40">
        <v>617.1</v>
      </c>
      <c r="O22" s="40">
        <v>0</v>
      </c>
      <c r="P22" s="40">
        <v>0.51</v>
      </c>
      <c r="Q22" s="40">
        <v>29</v>
      </c>
      <c r="R22" s="38"/>
      <c r="S22" s="38"/>
      <c r="T22" s="38"/>
      <c r="U22" s="38"/>
    </row>
    <row r="23" spans="1:21" customFormat="1">
      <c r="A23" s="39" t="s">
        <v>482</v>
      </c>
      <c r="B23" s="40">
        <v>5.44</v>
      </c>
      <c r="C23" s="40">
        <v>22.26</v>
      </c>
      <c r="D23" s="40">
        <v>15</v>
      </c>
      <c r="E23" s="40">
        <v>13.04</v>
      </c>
      <c r="F23" s="40">
        <v>53.52</v>
      </c>
      <c r="G23" s="40">
        <v>180.44</v>
      </c>
      <c r="H23" s="40">
        <v>22.8</v>
      </c>
      <c r="I23" s="40">
        <v>9.9700000000000006</v>
      </c>
      <c r="J23" s="40">
        <v>4.4000000000000004</v>
      </c>
      <c r="K23" s="40">
        <v>21.59</v>
      </c>
      <c r="L23" s="40">
        <v>34.06</v>
      </c>
      <c r="M23" s="40">
        <v>40.96</v>
      </c>
      <c r="N23" s="40">
        <v>200.7</v>
      </c>
      <c r="O23" s="40">
        <v>0</v>
      </c>
      <c r="P23" s="40">
        <v>0.51</v>
      </c>
      <c r="Q23" s="40">
        <v>28.85</v>
      </c>
      <c r="R23" s="38"/>
      <c r="S23" s="38"/>
      <c r="T23" s="38"/>
      <c r="U23" s="38"/>
    </row>
    <row r="24" spans="1:21" customFormat="1">
      <c r="A24" s="39" t="s">
        <v>483</v>
      </c>
      <c r="B24" s="40">
        <v>2.54</v>
      </c>
      <c r="C24" s="40">
        <v>24.32</v>
      </c>
      <c r="D24" s="40">
        <v>13.75</v>
      </c>
      <c r="E24" s="40">
        <v>13.83</v>
      </c>
      <c r="F24" s="40">
        <v>39.61</v>
      </c>
      <c r="G24" s="40">
        <v>48.88</v>
      </c>
      <c r="H24" s="40">
        <v>21.22</v>
      </c>
      <c r="I24" s="40">
        <v>7.15</v>
      </c>
      <c r="J24" s="40">
        <v>3.82</v>
      </c>
      <c r="K24" s="40">
        <v>219.73</v>
      </c>
      <c r="L24" s="40">
        <v>35.5</v>
      </c>
      <c r="M24" s="40">
        <v>37.450000000000003</v>
      </c>
      <c r="N24" s="40">
        <v>341.3</v>
      </c>
      <c r="O24" s="40">
        <v>0</v>
      </c>
      <c r="P24" s="40">
        <v>0.53</v>
      </c>
      <c r="Q24" s="40">
        <v>28.62</v>
      </c>
      <c r="R24" s="38"/>
      <c r="S24" s="38"/>
      <c r="T24" s="38"/>
      <c r="U24" s="38"/>
    </row>
    <row r="25" spans="1:21" customFormat="1">
      <c r="A25" s="39" t="s">
        <v>484</v>
      </c>
      <c r="B25" s="40">
        <v>1.87</v>
      </c>
      <c r="C25" s="40">
        <v>18.95</v>
      </c>
      <c r="D25" s="40">
        <v>10.26</v>
      </c>
      <c r="E25" s="40">
        <v>13.86</v>
      </c>
      <c r="F25" s="40">
        <v>19.09</v>
      </c>
      <c r="G25" s="40">
        <v>68.849999999999994</v>
      </c>
      <c r="H25" s="40">
        <v>23.34</v>
      </c>
      <c r="I25" s="40">
        <v>7.63</v>
      </c>
      <c r="J25" s="40">
        <v>3.79</v>
      </c>
      <c r="K25" s="40">
        <v>265.38</v>
      </c>
      <c r="L25" s="40">
        <v>35.11</v>
      </c>
      <c r="M25" s="40">
        <v>39.17</v>
      </c>
      <c r="N25" s="40">
        <v>317</v>
      </c>
      <c r="O25" s="40">
        <v>0</v>
      </c>
      <c r="P25" s="40">
        <v>0.52</v>
      </c>
      <c r="Q25" s="40">
        <v>29.04</v>
      </c>
      <c r="R25" s="38"/>
      <c r="S25" s="38"/>
      <c r="T25" s="38"/>
      <c r="U25" s="38"/>
    </row>
    <row r="26" spans="1:21" customFormat="1">
      <c r="A26" s="39" t="s">
        <v>485</v>
      </c>
      <c r="B26" s="40">
        <v>2.16</v>
      </c>
      <c r="C26" s="40">
        <v>15.6</v>
      </c>
      <c r="D26" s="40">
        <v>8.7100000000000009</v>
      </c>
      <c r="E26" s="40">
        <v>7.8</v>
      </c>
      <c r="F26" s="40">
        <v>33.25</v>
      </c>
      <c r="G26" s="40">
        <v>47.6</v>
      </c>
      <c r="H26" s="40">
        <v>23.3</v>
      </c>
      <c r="I26" s="40">
        <v>8.2799999999999994</v>
      </c>
      <c r="J26" s="40">
        <v>4.66</v>
      </c>
      <c r="K26" s="40">
        <v>248.92</v>
      </c>
      <c r="L26" s="40">
        <v>34.24</v>
      </c>
      <c r="M26" s="40">
        <v>42.82</v>
      </c>
      <c r="N26" s="40">
        <v>135.5</v>
      </c>
      <c r="O26" s="40">
        <v>0</v>
      </c>
      <c r="P26" s="40">
        <v>0.46</v>
      </c>
      <c r="Q26" s="40">
        <v>29.08</v>
      </c>
      <c r="R26" s="38"/>
      <c r="S26" s="38"/>
      <c r="T26" s="38"/>
      <c r="U26" s="38"/>
    </row>
    <row r="27" spans="1:21" customFormat="1">
      <c r="A27" s="39" t="s">
        <v>486</v>
      </c>
      <c r="B27" s="40">
        <v>2.06</v>
      </c>
      <c r="C27" s="40">
        <v>15.83</v>
      </c>
      <c r="D27" s="40">
        <v>8.92</v>
      </c>
      <c r="E27" s="40">
        <v>7.61</v>
      </c>
      <c r="F27" s="40">
        <v>23.07</v>
      </c>
      <c r="G27" s="40">
        <v>37.56</v>
      </c>
      <c r="H27" s="40">
        <v>19.37</v>
      </c>
      <c r="I27" s="40">
        <v>7.92</v>
      </c>
      <c r="J27" s="40">
        <v>3.63</v>
      </c>
      <c r="K27" s="40">
        <v>230.18</v>
      </c>
      <c r="L27" s="40">
        <v>34.21</v>
      </c>
      <c r="M27" s="40">
        <v>40.630000000000003</v>
      </c>
      <c r="N27" s="40">
        <v>41</v>
      </c>
      <c r="O27" s="40">
        <v>0</v>
      </c>
      <c r="P27" s="40">
        <v>0.48</v>
      </c>
      <c r="Q27" s="40">
        <v>29.15</v>
      </c>
      <c r="R27" s="38"/>
      <c r="S27" s="38"/>
      <c r="T27" s="38"/>
      <c r="U27" s="38"/>
    </row>
    <row r="28" spans="1:21" customFormat="1">
      <c r="A28" s="39" t="s">
        <v>487</v>
      </c>
      <c r="B28" s="40">
        <v>2.1800000000000002</v>
      </c>
      <c r="C28" s="40">
        <v>17.5</v>
      </c>
      <c r="D28" s="40">
        <v>9.75</v>
      </c>
      <c r="E28" s="40">
        <v>7.46</v>
      </c>
      <c r="F28" s="40">
        <v>21.93</v>
      </c>
      <c r="G28" s="40">
        <v>49.88</v>
      </c>
      <c r="H28" s="40">
        <v>18.649999999999999</v>
      </c>
      <c r="I28" s="40">
        <v>8.0500000000000007</v>
      </c>
      <c r="J28" s="40">
        <v>3.6</v>
      </c>
      <c r="K28" s="40">
        <v>218.19</v>
      </c>
      <c r="L28" s="40">
        <v>32.880000000000003</v>
      </c>
      <c r="M28" s="40">
        <v>41.52</v>
      </c>
      <c r="N28" s="40">
        <v>23.3</v>
      </c>
      <c r="O28" s="40">
        <v>0</v>
      </c>
      <c r="P28" s="40">
        <v>0.49</v>
      </c>
      <c r="Q28" s="40">
        <v>28.96</v>
      </c>
      <c r="R28" s="38"/>
      <c r="S28" s="38"/>
      <c r="T28" s="38"/>
      <c r="U28" s="38"/>
    </row>
    <row r="29" spans="1:21" customFormat="1">
      <c r="A29" s="39" t="s">
        <v>488</v>
      </c>
      <c r="B29" s="40">
        <v>2.71</v>
      </c>
      <c r="C29" s="40">
        <v>14.4</v>
      </c>
      <c r="D29" s="40">
        <v>8.64</v>
      </c>
      <c r="E29" s="40">
        <v>7.81</v>
      </c>
      <c r="F29" s="40">
        <v>15.81</v>
      </c>
      <c r="G29" s="40">
        <v>42.74</v>
      </c>
      <c r="H29" s="40">
        <v>20.41</v>
      </c>
      <c r="I29" s="40">
        <v>8.51</v>
      </c>
      <c r="J29" s="40">
        <v>3.28</v>
      </c>
      <c r="K29" s="40">
        <v>208.39</v>
      </c>
      <c r="L29" s="40">
        <v>32.840000000000003</v>
      </c>
      <c r="M29" s="40">
        <v>53.18</v>
      </c>
      <c r="N29" s="40">
        <v>23.5</v>
      </c>
      <c r="O29" s="40">
        <v>0</v>
      </c>
      <c r="P29" s="40">
        <v>0.47</v>
      </c>
      <c r="Q29" s="40">
        <v>29.12</v>
      </c>
      <c r="R29" s="38"/>
      <c r="S29" s="38"/>
      <c r="T29" s="38"/>
      <c r="U29" s="38"/>
    </row>
    <row r="30" spans="1:21" customFormat="1">
      <c r="A30" s="39" t="s">
        <v>489</v>
      </c>
      <c r="B30" s="40">
        <v>2.73</v>
      </c>
      <c r="C30" s="40">
        <v>14.07</v>
      </c>
      <c r="D30" s="40">
        <v>8.4700000000000006</v>
      </c>
      <c r="E30" s="40">
        <v>6.97</v>
      </c>
      <c r="F30" s="40">
        <v>16.16</v>
      </c>
      <c r="G30" s="40">
        <v>41.88</v>
      </c>
      <c r="H30" s="40">
        <v>22.44</v>
      </c>
      <c r="I30" s="40">
        <v>8.5299999999999994</v>
      </c>
      <c r="J30" s="40">
        <v>3.19</v>
      </c>
      <c r="K30" s="40">
        <v>219.37</v>
      </c>
      <c r="L30" s="40">
        <v>30.47</v>
      </c>
      <c r="M30" s="40">
        <v>53.43</v>
      </c>
      <c r="N30" s="40">
        <v>23.2</v>
      </c>
      <c r="O30" s="40">
        <v>0</v>
      </c>
      <c r="P30" s="40">
        <v>0.47</v>
      </c>
      <c r="Q30" s="40">
        <v>29.04</v>
      </c>
      <c r="R30" s="38"/>
      <c r="S30" s="38"/>
      <c r="T30" s="38"/>
      <c r="U30" s="38"/>
    </row>
    <row r="31" spans="1:21" customFormat="1">
      <c r="A31" s="39" t="s">
        <v>490</v>
      </c>
      <c r="B31" s="40">
        <v>2.72</v>
      </c>
      <c r="C31" s="40">
        <v>16.53</v>
      </c>
      <c r="D31" s="40">
        <v>9.7899999999999991</v>
      </c>
      <c r="E31" s="40">
        <v>6.94</v>
      </c>
      <c r="F31" s="40">
        <v>12.01</v>
      </c>
      <c r="G31" s="40">
        <v>26.13</v>
      </c>
      <c r="H31" s="40">
        <v>20.93</v>
      </c>
      <c r="I31" s="40">
        <v>8.56</v>
      </c>
      <c r="J31" s="40">
        <v>3.41</v>
      </c>
      <c r="K31" s="40">
        <v>211.7</v>
      </c>
      <c r="L31" s="40">
        <v>30.17</v>
      </c>
      <c r="M31" s="40">
        <v>53.87</v>
      </c>
      <c r="N31" s="40">
        <v>23.2</v>
      </c>
      <c r="O31" s="40">
        <v>0</v>
      </c>
      <c r="P31" s="40">
        <v>0.48</v>
      </c>
      <c r="Q31" s="40">
        <v>28.95</v>
      </c>
      <c r="R31" s="38"/>
      <c r="S31" s="38"/>
      <c r="T31" s="38"/>
      <c r="U31" s="38"/>
    </row>
    <row r="32" spans="1:21" customFormat="1">
      <c r="A32" s="39" t="s">
        <v>491</v>
      </c>
      <c r="B32" s="40">
        <v>3.21</v>
      </c>
      <c r="C32" s="40">
        <v>20.67</v>
      </c>
      <c r="D32" s="40">
        <v>12.18</v>
      </c>
      <c r="E32" s="40">
        <v>6.56</v>
      </c>
      <c r="F32" s="40">
        <v>9.76</v>
      </c>
      <c r="G32" s="40">
        <v>32.67</v>
      </c>
      <c r="H32" s="40">
        <v>18.940000000000001</v>
      </c>
      <c r="I32" s="40">
        <v>8.4600000000000009</v>
      </c>
      <c r="J32" s="40">
        <v>3.4</v>
      </c>
      <c r="K32" s="40">
        <v>208.91</v>
      </c>
      <c r="L32" s="40">
        <v>30.04</v>
      </c>
      <c r="M32" s="40">
        <v>53.76</v>
      </c>
      <c r="N32" s="40">
        <v>22.9</v>
      </c>
      <c r="O32" s="40">
        <v>0</v>
      </c>
      <c r="P32" s="40">
        <v>0.52</v>
      </c>
      <c r="Q32" s="40">
        <v>29.11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1.87</v>
      </c>
      <c r="C34" s="18">
        <f t="shared" si="0"/>
        <v>14.07</v>
      </c>
      <c r="D34" s="18">
        <f t="shared" si="0"/>
        <v>8.4700000000000006</v>
      </c>
      <c r="E34" s="18">
        <f t="shared" si="0"/>
        <v>6.56</v>
      </c>
      <c r="F34" s="18">
        <f t="shared" si="0"/>
        <v>7.41</v>
      </c>
      <c r="G34" s="18">
        <f t="shared" si="0"/>
        <v>26.13</v>
      </c>
      <c r="H34" s="18">
        <f t="shared" si="0"/>
        <v>16.87</v>
      </c>
      <c r="I34" s="18">
        <f t="shared" si="0"/>
        <v>7.15</v>
      </c>
      <c r="J34" s="18">
        <f t="shared" si="0"/>
        <v>2.77</v>
      </c>
      <c r="K34" s="18">
        <f t="shared" si="0"/>
        <v>21.59</v>
      </c>
      <c r="L34" s="18">
        <f t="shared" si="0"/>
        <v>30.04</v>
      </c>
      <c r="M34" s="18">
        <f t="shared" si="0"/>
        <v>24.81</v>
      </c>
      <c r="N34" s="18">
        <f t="shared" si="0"/>
        <v>22.7</v>
      </c>
      <c r="O34" s="18">
        <f t="shared" si="0"/>
        <v>0</v>
      </c>
      <c r="P34" s="18">
        <f t="shared" si="0"/>
        <v>0.46</v>
      </c>
      <c r="Q34" s="18">
        <f t="shared" si="0"/>
        <v>28.09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10.06</v>
      </c>
      <c r="C35" s="3">
        <f t="shared" si="1"/>
        <v>39.36</v>
      </c>
      <c r="D35" s="3">
        <f t="shared" si="1"/>
        <v>27.55</v>
      </c>
      <c r="E35" s="3">
        <f t="shared" si="1"/>
        <v>13.86</v>
      </c>
      <c r="F35" s="3">
        <f t="shared" si="1"/>
        <v>72.5</v>
      </c>
      <c r="G35" s="3">
        <f t="shared" si="1"/>
        <v>180.44</v>
      </c>
      <c r="H35" s="3">
        <f t="shared" si="1"/>
        <v>30.59</v>
      </c>
      <c r="I35" s="3">
        <f t="shared" si="1"/>
        <v>17.54</v>
      </c>
      <c r="J35" s="3">
        <f t="shared" si="1"/>
        <v>4.66</v>
      </c>
      <c r="K35" s="3">
        <f t="shared" si="1"/>
        <v>308.86</v>
      </c>
      <c r="L35" s="3">
        <f t="shared" si="1"/>
        <v>45.46</v>
      </c>
      <c r="M35" s="3">
        <f t="shared" si="1"/>
        <v>53.87</v>
      </c>
      <c r="N35" s="3">
        <f t="shared" si="1"/>
        <v>801.7</v>
      </c>
      <c r="O35" s="3">
        <f t="shared" si="1"/>
        <v>0</v>
      </c>
      <c r="P35" s="3">
        <f t="shared" si="1"/>
        <v>0.78</v>
      </c>
      <c r="Q35" s="3">
        <f t="shared" si="1"/>
        <v>29.15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4.2387500000000005</v>
      </c>
      <c r="C36" s="18">
        <f t="shared" si="2"/>
        <v>23.637916666666666</v>
      </c>
      <c r="D36" s="18">
        <f t="shared" si="2"/>
        <v>14.554583333333333</v>
      </c>
      <c r="E36" s="18">
        <f t="shared" si="2"/>
        <v>8.2762500000000028</v>
      </c>
      <c r="F36" s="18">
        <f t="shared" si="2"/>
        <v>24.466249999999992</v>
      </c>
      <c r="G36" s="18">
        <f t="shared" si="2"/>
        <v>57.877083333333353</v>
      </c>
      <c r="H36" s="18">
        <f t="shared" si="2"/>
        <v>21.202083333333334</v>
      </c>
      <c r="I36" s="18">
        <f t="shared" si="2"/>
        <v>11.668333333333331</v>
      </c>
      <c r="J36" s="18">
        <f t="shared" si="2"/>
        <v>3.617916666666666</v>
      </c>
      <c r="K36" s="18">
        <f t="shared" si="2"/>
        <v>229.0925</v>
      </c>
      <c r="L36" s="18">
        <f t="shared" si="2"/>
        <v>35.84041666666667</v>
      </c>
      <c r="M36" s="18">
        <f t="shared" si="2"/>
        <v>41.470416666666665</v>
      </c>
      <c r="N36" s="18">
        <f t="shared" si="2"/>
        <v>233.79583333333332</v>
      </c>
      <c r="O36" s="18">
        <f t="shared" si="2"/>
        <v>0</v>
      </c>
      <c r="P36" s="18">
        <f t="shared" si="2"/>
        <v>0.57375000000000009</v>
      </c>
      <c r="Q36" s="18">
        <f t="shared" si="2"/>
        <v>28.750833333333336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2.2653597708320743</v>
      </c>
      <c r="C37" s="18">
        <f t="shared" ref="C37:Q37" si="3">STDEV(C9:C32)</f>
        <v>7.2146818780490589</v>
      </c>
      <c r="D37" s="18">
        <f t="shared" si="3"/>
        <v>5.3111654163385014</v>
      </c>
      <c r="E37" s="18">
        <f t="shared" si="3"/>
        <v>2.1368196857866062</v>
      </c>
      <c r="F37" s="18">
        <f t="shared" si="3"/>
        <v>18.950261857201923</v>
      </c>
      <c r="G37" s="18">
        <f t="shared" si="3"/>
        <v>29.929738806682359</v>
      </c>
      <c r="H37" s="18">
        <f t="shared" si="3"/>
        <v>3.0004608039819152</v>
      </c>
      <c r="I37" s="18">
        <f t="shared" si="3"/>
        <v>3.3089912644801265</v>
      </c>
      <c r="J37" s="18">
        <f t="shared" si="3"/>
        <v>0.43278651396118412</v>
      </c>
      <c r="K37" s="18">
        <f t="shared" si="3"/>
        <v>52.406149095726128</v>
      </c>
      <c r="L37" s="18">
        <f t="shared" si="3"/>
        <v>3.8054634399444405</v>
      </c>
      <c r="M37" s="18">
        <f t="shared" si="3"/>
        <v>7.6898874753833892</v>
      </c>
      <c r="N37" s="18">
        <f t="shared" si="3"/>
        <v>274.71172159535553</v>
      </c>
      <c r="O37" s="18">
        <f t="shared" si="3"/>
        <v>0</v>
      </c>
      <c r="P37" s="18">
        <f t="shared" si="3"/>
        <v>9.9468697282765542E-2</v>
      </c>
      <c r="Q37" s="18">
        <f t="shared" si="3"/>
        <v>0.33437698936154769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492</v>
      </c>
      <c r="B9" s="40">
        <v>4.5</v>
      </c>
      <c r="C9" s="40">
        <v>16.87</v>
      </c>
      <c r="D9" s="40">
        <v>11.28</v>
      </c>
      <c r="E9" s="40">
        <v>6.44</v>
      </c>
      <c r="F9" s="40">
        <v>12.29</v>
      </c>
      <c r="G9" s="40">
        <v>38.33</v>
      </c>
      <c r="H9" s="40">
        <v>20.56</v>
      </c>
      <c r="I9" s="40">
        <v>8.42</v>
      </c>
      <c r="J9" s="40">
        <v>3.03</v>
      </c>
      <c r="K9" s="40">
        <v>217.11</v>
      </c>
      <c r="L9" s="40">
        <v>29.74</v>
      </c>
      <c r="M9" s="40">
        <v>56.44</v>
      </c>
      <c r="N9" s="40">
        <v>23.2</v>
      </c>
      <c r="O9" s="40">
        <v>0</v>
      </c>
      <c r="P9" s="40">
        <v>0.51</v>
      </c>
      <c r="Q9" s="40">
        <v>29.04</v>
      </c>
      <c r="R9" s="38"/>
      <c r="S9" s="38"/>
      <c r="T9" s="38"/>
      <c r="U9" s="38"/>
    </row>
    <row r="10" spans="1:21" customFormat="1">
      <c r="A10" s="39" t="s">
        <v>493</v>
      </c>
      <c r="B10" s="40">
        <v>3.89</v>
      </c>
      <c r="C10" s="40">
        <v>13.53</v>
      </c>
      <c r="D10" s="40">
        <v>9.1199999999999992</v>
      </c>
      <c r="E10" s="40">
        <v>6.16</v>
      </c>
      <c r="F10" s="40">
        <v>12.06</v>
      </c>
      <c r="G10" s="40">
        <v>32.340000000000003</v>
      </c>
      <c r="H10" s="40">
        <v>18.16</v>
      </c>
      <c r="I10" s="40">
        <v>8.01</v>
      </c>
      <c r="J10" s="40">
        <v>3.18</v>
      </c>
      <c r="K10" s="40">
        <v>205.18</v>
      </c>
      <c r="L10" s="40">
        <v>28.95</v>
      </c>
      <c r="M10" s="40">
        <v>60.2</v>
      </c>
      <c r="N10" s="40">
        <v>23.3</v>
      </c>
      <c r="O10" s="40">
        <v>0</v>
      </c>
      <c r="P10" s="40">
        <v>0.51</v>
      </c>
      <c r="Q10" s="40">
        <v>29.01</v>
      </c>
      <c r="R10" s="38"/>
      <c r="S10" s="38"/>
      <c r="T10" s="38"/>
      <c r="U10" s="38"/>
    </row>
    <row r="11" spans="1:21" customFormat="1">
      <c r="A11" s="39" t="s">
        <v>494</v>
      </c>
      <c r="B11" s="40">
        <v>4.67</v>
      </c>
      <c r="C11" s="40">
        <v>20.59</v>
      </c>
      <c r="D11" s="40">
        <v>13.17</v>
      </c>
      <c r="E11" s="40">
        <v>6.04</v>
      </c>
      <c r="F11" s="40">
        <v>4.62</v>
      </c>
      <c r="G11" s="40">
        <v>18.09</v>
      </c>
      <c r="H11" s="40">
        <v>13.86</v>
      </c>
      <c r="I11" s="40">
        <v>7.82</v>
      </c>
      <c r="J11" s="40">
        <v>3.16</v>
      </c>
      <c r="K11" s="40">
        <v>205.63</v>
      </c>
      <c r="L11" s="40">
        <v>28.43</v>
      </c>
      <c r="M11" s="40">
        <v>62.55</v>
      </c>
      <c r="N11" s="40">
        <v>23.1</v>
      </c>
      <c r="O11" s="40">
        <v>0</v>
      </c>
      <c r="P11" s="40">
        <v>0.51</v>
      </c>
      <c r="Q11" s="40">
        <v>28.87</v>
      </c>
      <c r="R11" s="38"/>
      <c r="S11" s="38"/>
      <c r="T11" s="38"/>
      <c r="U11" s="38"/>
    </row>
    <row r="12" spans="1:21" customFormat="1">
      <c r="A12" s="39" t="s">
        <v>495</v>
      </c>
      <c r="B12" s="40">
        <v>5.22</v>
      </c>
      <c r="C12" s="40">
        <v>14.86</v>
      </c>
      <c r="D12" s="40">
        <v>10.95</v>
      </c>
      <c r="E12" s="40">
        <v>5.98</v>
      </c>
      <c r="F12" s="40">
        <v>8.18</v>
      </c>
      <c r="G12" s="40">
        <v>22.47</v>
      </c>
      <c r="H12" s="40">
        <v>12.88</v>
      </c>
      <c r="I12" s="40">
        <v>7.85</v>
      </c>
      <c r="J12" s="40">
        <v>3.23</v>
      </c>
      <c r="K12" s="40">
        <v>219.37</v>
      </c>
      <c r="L12" s="40">
        <v>28.35</v>
      </c>
      <c r="M12" s="40">
        <v>63.41</v>
      </c>
      <c r="N12" s="40">
        <v>23.3</v>
      </c>
      <c r="O12" s="40">
        <v>0</v>
      </c>
      <c r="P12" s="40">
        <v>0.47</v>
      </c>
      <c r="Q12" s="40">
        <v>29.1</v>
      </c>
      <c r="R12" s="38"/>
      <c r="S12" s="38"/>
      <c r="T12" s="38"/>
      <c r="U12" s="38"/>
    </row>
    <row r="13" spans="1:21" customFormat="1">
      <c r="A13" s="39" t="s">
        <v>496</v>
      </c>
      <c r="B13" s="40">
        <v>5.1100000000000003</v>
      </c>
      <c r="C13" s="40">
        <v>13.38</v>
      </c>
      <c r="D13" s="40">
        <v>9.94</v>
      </c>
      <c r="E13" s="40">
        <v>5.89</v>
      </c>
      <c r="F13" s="40">
        <v>9.2799999999999994</v>
      </c>
      <c r="G13" s="40">
        <v>29.1</v>
      </c>
      <c r="H13" s="40">
        <v>15.52</v>
      </c>
      <c r="I13" s="40">
        <v>7.72</v>
      </c>
      <c r="J13" s="40">
        <v>3.2</v>
      </c>
      <c r="K13" s="40">
        <v>223.57</v>
      </c>
      <c r="L13" s="40">
        <v>27.92</v>
      </c>
      <c r="M13" s="40">
        <v>64.28</v>
      </c>
      <c r="N13" s="40">
        <v>23.3</v>
      </c>
      <c r="O13" s="40">
        <v>0</v>
      </c>
      <c r="P13" s="40">
        <v>0.49</v>
      </c>
      <c r="Q13" s="40">
        <v>29.03</v>
      </c>
      <c r="R13" s="38"/>
      <c r="S13" s="38"/>
      <c r="T13" s="38"/>
      <c r="U13" s="38"/>
    </row>
    <row r="14" spans="1:21" customFormat="1">
      <c r="A14" s="39" t="s">
        <v>497</v>
      </c>
      <c r="B14" s="40">
        <v>6.43</v>
      </c>
      <c r="C14" s="40">
        <v>24.37</v>
      </c>
      <c r="D14" s="40">
        <v>16.89</v>
      </c>
      <c r="E14" s="40">
        <v>6.38</v>
      </c>
      <c r="F14" s="40">
        <v>7.28</v>
      </c>
      <c r="G14" s="40">
        <v>27.5</v>
      </c>
      <c r="H14" s="40">
        <v>17.89</v>
      </c>
      <c r="I14" s="40">
        <v>7.93</v>
      </c>
      <c r="J14" s="40">
        <v>3.15</v>
      </c>
      <c r="K14" s="40">
        <v>212.33</v>
      </c>
      <c r="L14" s="40">
        <v>27.95</v>
      </c>
      <c r="M14" s="40">
        <v>65.510000000000005</v>
      </c>
      <c r="N14" s="40">
        <v>47.4</v>
      </c>
      <c r="O14" s="40">
        <v>0</v>
      </c>
      <c r="P14" s="40">
        <v>0.46</v>
      </c>
      <c r="Q14" s="40">
        <v>28.88</v>
      </c>
      <c r="R14" s="38"/>
      <c r="S14" s="38"/>
      <c r="T14" s="38"/>
      <c r="U14" s="38"/>
    </row>
    <row r="15" spans="1:21" customFormat="1">
      <c r="A15" s="39" t="s">
        <v>498</v>
      </c>
      <c r="B15" s="40">
        <v>7.4</v>
      </c>
      <c r="C15" s="40">
        <v>22.04</v>
      </c>
      <c r="D15" s="40">
        <v>15.92</v>
      </c>
      <c r="E15" s="40">
        <v>6.54</v>
      </c>
      <c r="F15" s="40">
        <v>5.07</v>
      </c>
      <c r="G15" s="40">
        <v>30.27</v>
      </c>
      <c r="H15" s="40">
        <v>15.97</v>
      </c>
      <c r="I15" s="40">
        <v>8.17</v>
      </c>
      <c r="J15" s="40">
        <v>3.64</v>
      </c>
      <c r="K15" s="40">
        <v>217.84</v>
      </c>
      <c r="L15" s="40">
        <v>28.28</v>
      </c>
      <c r="M15" s="40">
        <v>64.849999999999994</v>
      </c>
      <c r="N15" s="40">
        <v>89.5</v>
      </c>
      <c r="O15" s="40">
        <v>0</v>
      </c>
      <c r="P15" s="40">
        <v>0.44</v>
      </c>
      <c r="Q15" s="40">
        <v>28.59</v>
      </c>
      <c r="R15" s="38"/>
      <c r="S15" s="38"/>
      <c r="T15" s="38"/>
      <c r="U15" s="38"/>
    </row>
    <row r="16" spans="1:21" customFormat="1">
      <c r="A16" s="39" t="s">
        <v>499</v>
      </c>
      <c r="B16" s="40">
        <v>7.49</v>
      </c>
      <c r="C16" s="40">
        <v>15.06</v>
      </c>
      <c r="D16" s="40">
        <v>12.79</v>
      </c>
      <c r="E16" s="40">
        <v>6.08</v>
      </c>
      <c r="F16" s="40">
        <v>6.87</v>
      </c>
      <c r="G16" s="40">
        <v>33.4</v>
      </c>
      <c r="H16" s="40">
        <v>16.91</v>
      </c>
      <c r="I16" s="40">
        <v>8.99</v>
      </c>
      <c r="J16" s="40">
        <v>3.92</v>
      </c>
      <c r="K16" s="40">
        <v>250.29</v>
      </c>
      <c r="L16" s="40">
        <v>29.8</v>
      </c>
      <c r="M16" s="40">
        <v>62.44</v>
      </c>
      <c r="N16" s="40">
        <v>249.4</v>
      </c>
      <c r="O16" s="40">
        <v>0</v>
      </c>
      <c r="P16" s="40">
        <v>0.52</v>
      </c>
      <c r="Q16" s="40">
        <v>28.72</v>
      </c>
      <c r="R16" s="38"/>
      <c r="S16" s="38"/>
      <c r="T16" s="38"/>
      <c r="U16" s="38"/>
    </row>
    <row r="17" spans="1:21" customFormat="1">
      <c r="A17" s="39" t="s">
        <v>500</v>
      </c>
      <c r="B17" s="40">
        <v>7.19</v>
      </c>
      <c r="C17" s="40">
        <v>24.87</v>
      </c>
      <c r="D17" s="40">
        <v>16.84</v>
      </c>
      <c r="E17" s="40">
        <v>5.94</v>
      </c>
      <c r="F17" s="40">
        <v>7.87</v>
      </c>
      <c r="G17" s="40">
        <v>56.41</v>
      </c>
      <c r="H17" s="40">
        <v>20.45</v>
      </c>
      <c r="I17" s="40">
        <v>11.39</v>
      </c>
      <c r="J17" s="40">
        <v>4.7</v>
      </c>
      <c r="K17" s="40">
        <v>263.08</v>
      </c>
      <c r="L17" s="40">
        <v>32.43</v>
      </c>
      <c r="M17" s="40">
        <v>53.9</v>
      </c>
      <c r="N17" s="40">
        <v>329.4</v>
      </c>
      <c r="O17" s="40">
        <v>0</v>
      </c>
      <c r="P17" s="40">
        <v>0.68</v>
      </c>
      <c r="Q17" s="40">
        <v>28.64</v>
      </c>
      <c r="R17" s="38"/>
      <c r="S17" s="38"/>
      <c r="T17" s="38"/>
      <c r="U17" s="38"/>
    </row>
    <row r="18" spans="1:21" customFormat="1">
      <c r="A18" s="39" t="s">
        <v>501</v>
      </c>
      <c r="B18" s="40">
        <v>5.66</v>
      </c>
      <c r="C18" s="40">
        <v>25.88</v>
      </c>
      <c r="D18" s="40">
        <v>17.059999999999999</v>
      </c>
      <c r="E18" s="40">
        <v>7.15</v>
      </c>
      <c r="F18" s="40">
        <v>8.2200000000000006</v>
      </c>
      <c r="G18" s="40">
        <v>68.27</v>
      </c>
      <c r="H18" s="40">
        <v>22.79</v>
      </c>
      <c r="I18" s="40">
        <v>12.78</v>
      </c>
      <c r="J18" s="40">
        <v>4.1399999999999997</v>
      </c>
      <c r="K18" s="40">
        <v>266.17</v>
      </c>
      <c r="L18" s="40">
        <v>33.450000000000003</v>
      </c>
      <c r="M18" s="40">
        <v>42.47</v>
      </c>
      <c r="N18" s="40">
        <v>329.6</v>
      </c>
      <c r="O18" s="40">
        <v>0</v>
      </c>
      <c r="P18" s="40">
        <v>0.74</v>
      </c>
      <c r="Q18" s="40">
        <v>28.55</v>
      </c>
      <c r="R18" s="38"/>
      <c r="S18" s="38"/>
      <c r="T18" s="38"/>
      <c r="U18" s="38"/>
    </row>
    <row r="19" spans="1:21" customFormat="1">
      <c r="A19" s="39" t="s">
        <v>502</v>
      </c>
      <c r="B19" s="40">
        <v>3.9</v>
      </c>
      <c r="C19" s="40">
        <v>21.26</v>
      </c>
      <c r="D19" s="40">
        <v>13.24</v>
      </c>
      <c r="E19" s="40">
        <v>8.84</v>
      </c>
      <c r="F19" s="40">
        <v>74.319999999999993</v>
      </c>
      <c r="G19" s="40">
        <v>75.89</v>
      </c>
      <c r="H19" s="40">
        <v>24.16</v>
      </c>
      <c r="I19" s="40">
        <v>14.73</v>
      </c>
      <c r="J19" s="40">
        <v>3.68</v>
      </c>
      <c r="K19" s="40">
        <v>254.52</v>
      </c>
      <c r="L19" s="40">
        <v>35.72</v>
      </c>
      <c r="M19" s="40">
        <v>41.3</v>
      </c>
      <c r="N19" s="40">
        <v>714.8</v>
      </c>
      <c r="O19" s="40">
        <v>0</v>
      </c>
      <c r="P19" s="40">
        <v>0.85</v>
      </c>
      <c r="Q19" s="40">
        <v>28.92</v>
      </c>
      <c r="R19" s="38"/>
      <c r="S19" s="38"/>
      <c r="T19" s="38"/>
      <c r="U19" s="38"/>
    </row>
    <row r="20" spans="1:21" customFormat="1">
      <c r="A20" s="39" t="s">
        <v>503</v>
      </c>
      <c r="B20" s="40">
        <v>2.29</v>
      </c>
      <c r="C20" s="40">
        <v>15.95</v>
      </c>
      <c r="D20" s="40">
        <v>9.17</v>
      </c>
      <c r="E20" s="40">
        <v>8.25</v>
      </c>
      <c r="F20" s="40">
        <v>51.42</v>
      </c>
      <c r="G20" s="40">
        <v>56.82</v>
      </c>
      <c r="H20" s="40">
        <v>25.63</v>
      </c>
      <c r="I20" s="40">
        <v>12.3</v>
      </c>
      <c r="J20" s="40">
        <v>2.72</v>
      </c>
      <c r="K20" s="40">
        <v>282.06</v>
      </c>
      <c r="L20" s="40">
        <v>37.5</v>
      </c>
      <c r="M20" s="40">
        <v>33.049999999999997</v>
      </c>
      <c r="N20" s="40">
        <v>741.7</v>
      </c>
      <c r="O20" s="40">
        <v>0</v>
      </c>
      <c r="P20" s="40">
        <v>0.66</v>
      </c>
      <c r="Q20" s="40">
        <v>28.96</v>
      </c>
      <c r="R20" s="38"/>
      <c r="S20" s="38"/>
      <c r="T20" s="38"/>
      <c r="U20" s="38"/>
    </row>
    <row r="21" spans="1:21" customFormat="1">
      <c r="A21" s="39" t="s">
        <v>504</v>
      </c>
      <c r="B21" s="40">
        <v>2.3199999999999998</v>
      </c>
      <c r="C21" s="40">
        <v>20.52</v>
      </c>
      <c r="D21" s="40">
        <v>11.58</v>
      </c>
      <c r="E21" s="40">
        <v>9.99</v>
      </c>
      <c r="F21" s="40">
        <v>45.76</v>
      </c>
      <c r="G21" s="40">
        <v>62.95</v>
      </c>
      <c r="H21" s="40">
        <v>26.62</v>
      </c>
      <c r="I21" s="40">
        <v>11.69</v>
      </c>
      <c r="J21" s="40">
        <v>3.09</v>
      </c>
      <c r="K21" s="40">
        <v>340.81</v>
      </c>
      <c r="L21" s="40">
        <v>37.89</v>
      </c>
      <c r="M21" s="40">
        <v>29.32</v>
      </c>
      <c r="N21" s="40">
        <v>704.9</v>
      </c>
      <c r="O21" s="40">
        <v>0</v>
      </c>
      <c r="P21" s="40">
        <v>0.62</v>
      </c>
      <c r="Q21" s="40">
        <v>29.17</v>
      </c>
      <c r="R21" s="38"/>
      <c r="S21" s="38"/>
      <c r="T21" s="38"/>
      <c r="U21" s="38"/>
    </row>
    <row r="22" spans="1:21" customFormat="1">
      <c r="A22" s="39" t="s">
        <v>505</v>
      </c>
      <c r="B22" s="40">
        <v>2.37</v>
      </c>
      <c r="C22" s="40">
        <v>14.93</v>
      </c>
      <c r="D22" s="40">
        <v>8.43</v>
      </c>
      <c r="E22" s="40">
        <v>11.82</v>
      </c>
      <c r="F22" s="40">
        <v>37.979999999999997</v>
      </c>
      <c r="G22" s="40">
        <v>62.71</v>
      </c>
      <c r="H22" s="40">
        <v>27.18</v>
      </c>
      <c r="I22" s="40">
        <v>11.39</v>
      </c>
      <c r="J22" s="40">
        <v>4.2699999999999996</v>
      </c>
      <c r="K22" s="40">
        <v>230.3</v>
      </c>
      <c r="L22" s="40">
        <v>38.22</v>
      </c>
      <c r="M22" s="40">
        <v>28.68</v>
      </c>
      <c r="N22" s="40">
        <v>592</v>
      </c>
      <c r="O22" s="40">
        <v>0</v>
      </c>
      <c r="P22" s="40">
        <v>0.56999999999999995</v>
      </c>
      <c r="Q22" s="40">
        <v>29.17</v>
      </c>
      <c r="R22" s="38"/>
      <c r="S22" s="38"/>
      <c r="T22" s="38"/>
      <c r="U22" s="38"/>
    </row>
    <row r="23" spans="1:21" customFormat="1">
      <c r="A23" s="39" t="s">
        <v>506</v>
      </c>
      <c r="B23" s="40">
        <v>3.38</v>
      </c>
      <c r="C23" s="40">
        <v>14.43</v>
      </c>
      <c r="D23" s="40">
        <v>8.49</v>
      </c>
      <c r="E23" s="40">
        <v>7.44</v>
      </c>
      <c r="F23" s="40">
        <v>55.26</v>
      </c>
      <c r="G23" s="40">
        <v>50.37</v>
      </c>
      <c r="H23" s="40">
        <v>24.01</v>
      </c>
      <c r="I23" s="40">
        <v>11.61</v>
      </c>
      <c r="J23" s="40">
        <v>3.57</v>
      </c>
      <c r="K23" s="40">
        <v>212.08</v>
      </c>
      <c r="L23" s="40">
        <v>38.950000000000003</v>
      </c>
      <c r="M23" s="40">
        <v>31.24</v>
      </c>
      <c r="N23" s="40">
        <v>647.79999999999995</v>
      </c>
      <c r="O23" s="40">
        <v>0</v>
      </c>
      <c r="P23" s="40">
        <v>0.57999999999999996</v>
      </c>
      <c r="Q23" s="40">
        <v>29.26</v>
      </c>
      <c r="R23" s="38"/>
      <c r="S23" s="38"/>
      <c r="T23" s="38"/>
      <c r="U23" s="38"/>
    </row>
    <row r="24" spans="1:21" customFormat="1">
      <c r="A24" s="39" t="s">
        <v>507</v>
      </c>
      <c r="B24" s="40">
        <v>2.15</v>
      </c>
      <c r="C24" s="40">
        <v>13.71</v>
      </c>
      <c r="D24" s="40">
        <v>7.89</v>
      </c>
      <c r="E24" s="40">
        <v>6.96</v>
      </c>
      <c r="F24" s="40">
        <v>33.96</v>
      </c>
      <c r="G24" s="40">
        <v>54</v>
      </c>
      <c r="H24" s="40">
        <v>25.85</v>
      </c>
      <c r="I24" s="40">
        <v>10.49</v>
      </c>
      <c r="J24" s="40">
        <v>3.52</v>
      </c>
      <c r="K24" s="40">
        <v>233.36</v>
      </c>
      <c r="L24" s="40">
        <v>38.71</v>
      </c>
      <c r="M24" s="40">
        <v>31.29</v>
      </c>
      <c r="N24" s="40">
        <v>457.2</v>
      </c>
      <c r="O24" s="40">
        <v>0</v>
      </c>
      <c r="P24" s="40">
        <v>0.54</v>
      </c>
      <c r="Q24" s="40">
        <v>29.25</v>
      </c>
      <c r="R24" s="38"/>
      <c r="S24" s="38"/>
      <c r="T24" s="38"/>
      <c r="U24" s="38"/>
    </row>
    <row r="25" spans="1:21" customFormat="1">
      <c r="A25" s="39" t="s">
        <v>508</v>
      </c>
      <c r="B25" s="40">
        <v>3.13</v>
      </c>
      <c r="C25" s="40">
        <v>17.13</v>
      </c>
      <c r="D25" s="40">
        <v>9.94</v>
      </c>
      <c r="E25" s="40">
        <v>10.210000000000001</v>
      </c>
      <c r="F25" s="40">
        <v>46.71</v>
      </c>
      <c r="G25" s="40">
        <v>47.76</v>
      </c>
      <c r="H25" s="40">
        <v>26.91</v>
      </c>
      <c r="I25" s="40">
        <v>9.76</v>
      </c>
      <c r="J25" s="40">
        <v>2.96</v>
      </c>
      <c r="K25" s="40">
        <v>329.01</v>
      </c>
      <c r="L25" s="40">
        <v>38.81</v>
      </c>
      <c r="M25" s="40">
        <v>27.95</v>
      </c>
      <c r="N25" s="40">
        <v>255.4</v>
      </c>
      <c r="O25" s="40">
        <v>0</v>
      </c>
      <c r="P25" s="40">
        <v>0.5</v>
      </c>
      <c r="Q25" s="40">
        <v>29.2</v>
      </c>
      <c r="R25" s="38"/>
      <c r="S25" s="38"/>
      <c r="T25" s="38"/>
      <c r="U25" s="38"/>
    </row>
    <row r="26" spans="1:21" customFormat="1">
      <c r="A26" s="39" t="s">
        <v>509</v>
      </c>
      <c r="B26" s="40">
        <v>4.54</v>
      </c>
      <c r="C26" s="40">
        <v>22.05</v>
      </c>
      <c r="D26" s="40">
        <v>14.17</v>
      </c>
      <c r="E26" s="40">
        <v>7.31</v>
      </c>
      <c r="F26" s="40">
        <v>48.92</v>
      </c>
      <c r="G26" s="40">
        <v>57.57</v>
      </c>
      <c r="H26" s="40">
        <v>30.37</v>
      </c>
      <c r="I26" s="40">
        <v>9.52</v>
      </c>
      <c r="J26" s="40">
        <v>4.2699999999999996</v>
      </c>
      <c r="K26" s="40">
        <v>353.41</v>
      </c>
      <c r="L26" s="40">
        <v>37.25</v>
      </c>
      <c r="M26" s="40">
        <v>31.56</v>
      </c>
      <c r="N26" s="40">
        <v>98.8</v>
      </c>
      <c r="O26" s="40">
        <v>0</v>
      </c>
      <c r="P26" s="40">
        <v>0.7</v>
      </c>
      <c r="Q26" s="40">
        <v>28.76</v>
      </c>
      <c r="R26" s="38"/>
      <c r="S26" s="38"/>
      <c r="T26" s="38"/>
      <c r="U26" s="38"/>
    </row>
    <row r="27" spans="1:21" customFormat="1">
      <c r="A27" s="39" t="s">
        <v>510</v>
      </c>
      <c r="B27" s="40">
        <v>3.85</v>
      </c>
      <c r="C27" s="40">
        <v>29.29</v>
      </c>
      <c r="D27" s="40">
        <v>17.190000000000001</v>
      </c>
      <c r="E27" s="40">
        <v>14.88</v>
      </c>
      <c r="F27" s="40">
        <v>41.48</v>
      </c>
      <c r="G27" s="40">
        <v>61.6</v>
      </c>
      <c r="H27" s="40">
        <v>26.2</v>
      </c>
      <c r="I27" s="40">
        <v>11.46</v>
      </c>
      <c r="J27" s="40">
        <v>3.7</v>
      </c>
      <c r="K27" s="40">
        <v>132.29</v>
      </c>
      <c r="L27" s="40">
        <v>35.56</v>
      </c>
      <c r="M27" s="40">
        <v>34.54</v>
      </c>
      <c r="N27" s="40">
        <v>39.6</v>
      </c>
      <c r="O27" s="40">
        <v>0</v>
      </c>
      <c r="P27" s="40">
        <v>0.83</v>
      </c>
      <c r="Q27" s="40">
        <v>28.04</v>
      </c>
      <c r="R27" s="38"/>
      <c r="S27" s="38"/>
      <c r="T27" s="38"/>
      <c r="U27" s="38"/>
    </row>
    <row r="28" spans="1:21" customFormat="1">
      <c r="A28" s="39" t="s">
        <v>511</v>
      </c>
      <c r="B28" s="40">
        <v>3.22</v>
      </c>
      <c r="C28" s="40">
        <v>26.94</v>
      </c>
      <c r="D28" s="40">
        <v>15.62</v>
      </c>
      <c r="E28" s="40">
        <v>21.47</v>
      </c>
      <c r="F28" s="40">
        <v>27.67</v>
      </c>
      <c r="G28" s="40">
        <v>79.760000000000005</v>
      </c>
      <c r="H28" s="40">
        <v>31.01</v>
      </c>
      <c r="I28" s="40">
        <v>12.65</v>
      </c>
      <c r="J28" s="40">
        <v>2.4300000000000002</v>
      </c>
      <c r="K28" s="40">
        <v>221.95</v>
      </c>
      <c r="L28" s="40">
        <v>34.72</v>
      </c>
      <c r="M28" s="40">
        <v>44.4</v>
      </c>
      <c r="N28" s="40">
        <v>24.8</v>
      </c>
      <c r="O28" s="40">
        <v>0</v>
      </c>
      <c r="P28" s="40">
        <v>0.76</v>
      </c>
      <c r="Q28" s="40">
        <v>29.06</v>
      </c>
      <c r="R28" s="38"/>
      <c r="S28" s="38"/>
      <c r="T28" s="38"/>
      <c r="U28" s="38"/>
    </row>
    <row r="29" spans="1:21" customFormat="1">
      <c r="A29" s="39" t="s">
        <v>512</v>
      </c>
      <c r="B29" s="40">
        <v>3.12</v>
      </c>
      <c r="C29" s="40">
        <v>15.39</v>
      </c>
      <c r="D29" s="40">
        <v>9.3800000000000008</v>
      </c>
      <c r="E29" s="40">
        <v>7.63</v>
      </c>
      <c r="F29" s="40">
        <v>23.88</v>
      </c>
      <c r="G29" s="40">
        <v>78.02</v>
      </c>
      <c r="H29" s="40">
        <v>33.590000000000003</v>
      </c>
      <c r="I29" s="40">
        <v>10.65</v>
      </c>
      <c r="J29" s="40">
        <v>2.52</v>
      </c>
      <c r="K29" s="40">
        <v>224.68</v>
      </c>
      <c r="L29" s="40">
        <v>31.98</v>
      </c>
      <c r="M29" s="40">
        <v>53.63</v>
      </c>
      <c r="N29" s="40">
        <v>25</v>
      </c>
      <c r="O29" s="40">
        <v>0</v>
      </c>
      <c r="P29" s="40">
        <v>0.67</v>
      </c>
      <c r="Q29" s="40">
        <v>29.1</v>
      </c>
      <c r="R29" s="38"/>
      <c r="S29" s="38"/>
      <c r="T29" s="38"/>
      <c r="U29" s="38"/>
    </row>
    <row r="30" spans="1:21" customFormat="1">
      <c r="A30" s="39" t="s">
        <v>513</v>
      </c>
      <c r="B30" s="40">
        <v>2.44</v>
      </c>
      <c r="C30" s="40">
        <v>13.89</v>
      </c>
      <c r="D30" s="40">
        <v>8.16</v>
      </c>
      <c r="E30" s="40">
        <v>6.09</v>
      </c>
      <c r="F30" s="40">
        <v>18.39</v>
      </c>
      <c r="G30" s="40">
        <v>57.81</v>
      </c>
      <c r="H30" s="40">
        <v>27.49</v>
      </c>
      <c r="I30" s="40">
        <v>9.67</v>
      </c>
      <c r="J30" s="40">
        <v>6.96</v>
      </c>
      <c r="K30" s="40">
        <v>252.87</v>
      </c>
      <c r="L30" s="40">
        <v>31.7</v>
      </c>
      <c r="M30" s="40">
        <v>70.680000000000007</v>
      </c>
      <c r="N30" s="40">
        <v>26.4</v>
      </c>
      <c r="O30" s="40">
        <v>0.6</v>
      </c>
      <c r="P30" s="40">
        <v>0.62</v>
      </c>
      <c r="Q30" s="40">
        <v>29.11</v>
      </c>
      <c r="R30" s="38"/>
      <c r="S30" s="38"/>
      <c r="T30" s="38"/>
      <c r="U30" s="38"/>
    </row>
    <row r="31" spans="1:21" customFormat="1">
      <c r="A31" s="39" t="s">
        <v>514</v>
      </c>
      <c r="B31" s="40">
        <v>3.28</v>
      </c>
      <c r="C31" s="40">
        <v>15.72</v>
      </c>
      <c r="D31" s="40">
        <v>9.49</v>
      </c>
      <c r="E31" s="40">
        <v>6.12</v>
      </c>
      <c r="F31" s="40">
        <v>8.86</v>
      </c>
      <c r="G31" s="40">
        <v>53.46</v>
      </c>
      <c r="H31" s="40">
        <v>21.93</v>
      </c>
      <c r="I31" s="40">
        <v>9.3000000000000007</v>
      </c>
      <c r="J31" s="40">
        <v>6.07</v>
      </c>
      <c r="K31" s="40">
        <v>210.76</v>
      </c>
      <c r="L31" s="40">
        <v>28.13</v>
      </c>
      <c r="M31" s="40">
        <v>76.78</v>
      </c>
      <c r="N31" s="40">
        <v>27.3</v>
      </c>
      <c r="O31" s="40">
        <v>0.2</v>
      </c>
      <c r="P31" s="40">
        <v>0.56999999999999995</v>
      </c>
      <c r="Q31" s="40">
        <v>29.33</v>
      </c>
      <c r="R31" s="38"/>
      <c r="S31" s="38"/>
      <c r="T31" s="38"/>
      <c r="U31" s="38"/>
    </row>
    <row r="32" spans="1:21" customFormat="1">
      <c r="A32" s="39" t="s">
        <v>515</v>
      </c>
      <c r="B32" s="40">
        <v>2.95</v>
      </c>
      <c r="C32" s="40">
        <v>11.35</v>
      </c>
      <c r="D32" s="40">
        <v>7.02</v>
      </c>
      <c r="E32" s="40">
        <v>6.75</v>
      </c>
      <c r="F32" s="40">
        <v>7.89</v>
      </c>
      <c r="G32" s="40">
        <v>36.72</v>
      </c>
      <c r="H32" s="40">
        <v>19.93</v>
      </c>
      <c r="I32" s="40">
        <v>7.95</v>
      </c>
      <c r="J32" s="40">
        <v>5.68</v>
      </c>
      <c r="K32" s="40">
        <v>225.67</v>
      </c>
      <c r="L32" s="40">
        <v>27.76</v>
      </c>
      <c r="M32" s="40">
        <v>73.69</v>
      </c>
      <c r="N32" s="40">
        <v>23.9</v>
      </c>
      <c r="O32" s="40">
        <v>0</v>
      </c>
      <c r="P32" s="40">
        <v>0.5</v>
      </c>
      <c r="Q32" s="40">
        <v>29.36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2.15</v>
      </c>
      <c r="C34" s="18">
        <f t="shared" si="0"/>
        <v>11.35</v>
      </c>
      <c r="D34" s="18">
        <f t="shared" si="0"/>
        <v>7.02</v>
      </c>
      <c r="E34" s="18">
        <f t="shared" si="0"/>
        <v>5.89</v>
      </c>
      <c r="F34" s="18">
        <f t="shared" si="0"/>
        <v>4.62</v>
      </c>
      <c r="G34" s="18">
        <f t="shared" si="0"/>
        <v>18.09</v>
      </c>
      <c r="H34" s="18">
        <f t="shared" si="0"/>
        <v>12.88</v>
      </c>
      <c r="I34" s="18">
        <f t="shared" si="0"/>
        <v>7.72</v>
      </c>
      <c r="J34" s="18">
        <f t="shared" si="0"/>
        <v>2.4300000000000002</v>
      </c>
      <c r="K34" s="18">
        <f t="shared" si="0"/>
        <v>132.29</v>
      </c>
      <c r="L34" s="18">
        <f t="shared" si="0"/>
        <v>27.76</v>
      </c>
      <c r="M34" s="18">
        <f t="shared" si="0"/>
        <v>27.95</v>
      </c>
      <c r="N34" s="18">
        <f t="shared" si="0"/>
        <v>23.1</v>
      </c>
      <c r="O34" s="18">
        <f t="shared" si="0"/>
        <v>0</v>
      </c>
      <c r="P34" s="18">
        <f t="shared" si="0"/>
        <v>0.44</v>
      </c>
      <c r="Q34" s="18">
        <f t="shared" si="0"/>
        <v>28.04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7.49</v>
      </c>
      <c r="C35" s="3">
        <f t="shared" si="1"/>
        <v>29.29</v>
      </c>
      <c r="D35" s="3">
        <f t="shared" si="1"/>
        <v>17.190000000000001</v>
      </c>
      <c r="E35" s="3">
        <f t="shared" si="1"/>
        <v>21.47</v>
      </c>
      <c r="F35" s="3">
        <f t="shared" si="1"/>
        <v>74.319999999999993</v>
      </c>
      <c r="G35" s="3">
        <f t="shared" si="1"/>
        <v>79.760000000000005</v>
      </c>
      <c r="H35" s="3">
        <f t="shared" si="1"/>
        <v>33.590000000000003</v>
      </c>
      <c r="I35" s="3">
        <f t="shared" si="1"/>
        <v>14.73</v>
      </c>
      <c r="J35" s="3">
        <f t="shared" si="1"/>
        <v>6.96</v>
      </c>
      <c r="K35" s="3">
        <f t="shared" si="1"/>
        <v>353.41</v>
      </c>
      <c r="L35" s="3">
        <f t="shared" si="1"/>
        <v>38.950000000000003</v>
      </c>
      <c r="M35" s="3">
        <f t="shared" si="1"/>
        <v>76.78</v>
      </c>
      <c r="N35" s="3">
        <f t="shared" si="1"/>
        <v>741.7</v>
      </c>
      <c r="O35" s="3">
        <f t="shared" si="1"/>
        <v>0.6</v>
      </c>
      <c r="P35" s="3">
        <f t="shared" si="1"/>
        <v>0.85</v>
      </c>
      <c r="Q35" s="3">
        <f t="shared" si="1"/>
        <v>29.36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4.1875</v>
      </c>
      <c r="C36" s="18">
        <f t="shared" si="2"/>
        <v>18.500416666666666</v>
      </c>
      <c r="D36" s="18">
        <f t="shared" si="2"/>
        <v>11.822083333333333</v>
      </c>
      <c r="E36" s="18">
        <f t="shared" si="2"/>
        <v>8.1816666666666666</v>
      </c>
      <c r="F36" s="18">
        <f t="shared" si="2"/>
        <v>25.176666666666662</v>
      </c>
      <c r="G36" s="18">
        <f t="shared" si="2"/>
        <v>49.650833333333338</v>
      </c>
      <c r="H36" s="18">
        <f t="shared" si="2"/>
        <v>22.744583333333328</v>
      </c>
      <c r="I36" s="18">
        <f t="shared" si="2"/>
        <v>10.093750000000002</v>
      </c>
      <c r="J36" s="18">
        <f t="shared" si="2"/>
        <v>3.7829166666666665</v>
      </c>
      <c r="K36" s="18">
        <f t="shared" si="2"/>
        <v>241.01416666666668</v>
      </c>
      <c r="L36" s="18">
        <f t="shared" si="2"/>
        <v>32.841666666666661</v>
      </c>
      <c r="M36" s="18">
        <f t="shared" si="2"/>
        <v>50.173333333333325</v>
      </c>
      <c r="N36" s="18">
        <f t="shared" si="2"/>
        <v>230.87916666666663</v>
      </c>
      <c r="O36" s="18">
        <f t="shared" si="2"/>
        <v>3.3333333333333333E-2</v>
      </c>
      <c r="P36" s="18">
        <f t="shared" si="2"/>
        <v>0.59583333333333321</v>
      </c>
      <c r="Q36" s="18">
        <f t="shared" si="2"/>
        <v>28.963333333333335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1.6667209411452693</v>
      </c>
      <c r="C37" s="18">
        <f t="shared" ref="C37:Q37" si="3">STDEV(C9:C32)</f>
        <v>5.053711059312211</v>
      </c>
      <c r="D37" s="18">
        <f t="shared" si="3"/>
        <v>3.343282660690738</v>
      </c>
      <c r="E37" s="18">
        <f t="shared" si="3"/>
        <v>3.578577160374445</v>
      </c>
      <c r="F37" s="18">
        <f t="shared" si="3"/>
        <v>20.360675368201214</v>
      </c>
      <c r="G37" s="18">
        <f t="shared" si="3"/>
        <v>17.916759197603991</v>
      </c>
      <c r="H37" s="18">
        <f t="shared" si="3"/>
        <v>5.6095826235242452</v>
      </c>
      <c r="I37" s="18">
        <f t="shared" si="3"/>
        <v>1.9680332546235844</v>
      </c>
      <c r="J37" s="18">
        <f t="shared" si="3"/>
        <v>1.1154000224784533</v>
      </c>
      <c r="K37" s="18">
        <f t="shared" si="3"/>
        <v>48.185073001344463</v>
      </c>
      <c r="L37" s="18">
        <f t="shared" si="3"/>
        <v>4.2495090935580029</v>
      </c>
      <c r="M37" s="18">
        <f t="shared" si="3"/>
        <v>16.334571411224946</v>
      </c>
      <c r="N37" s="18">
        <f t="shared" si="3"/>
        <v>266.20266385360162</v>
      </c>
      <c r="O37" s="18">
        <f t="shared" si="3"/>
        <v>0.12740441145412124</v>
      </c>
      <c r="P37" s="18">
        <f t="shared" si="3"/>
        <v>0.11732217502937495</v>
      </c>
      <c r="Q37" s="18">
        <f t="shared" si="3"/>
        <v>0.29996618166874678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3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516</v>
      </c>
      <c r="B9" s="40">
        <v>1.93</v>
      </c>
      <c r="C9" s="40">
        <v>11.36</v>
      </c>
      <c r="D9" s="40">
        <v>6.45</v>
      </c>
      <c r="E9" s="40">
        <v>6.34</v>
      </c>
      <c r="F9" s="40">
        <v>7.16</v>
      </c>
      <c r="G9" s="40">
        <v>30.38</v>
      </c>
      <c r="H9" s="40">
        <v>16.71</v>
      </c>
      <c r="I9" s="40">
        <v>7.08</v>
      </c>
      <c r="J9" s="40">
        <v>6.69</v>
      </c>
      <c r="K9" s="40">
        <v>247.34</v>
      </c>
      <c r="L9" s="40">
        <v>28.14</v>
      </c>
      <c r="M9" s="40">
        <v>65.91</v>
      </c>
      <c r="N9" s="40">
        <v>24.1</v>
      </c>
      <c r="O9" s="40">
        <v>0</v>
      </c>
      <c r="P9" s="40">
        <v>0.48</v>
      </c>
      <c r="Q9" s="40">
        <v>29.3</v>
      </c>
      <c r="R9" s="38"/>
      <c r="S9" s="38"/>
      <c r="T9" s="38"/>
      <c r="U9" s="38"/>
    </row>
    <row r="10" spans="1:21" customFormat="1">
      <c r="A10" s="39" t="s">
        <v>517</v>
      </c>
      <c r="B10" s="40">
        <v>2.2000000000000002</v>
      </c>
      <c r="C10" s="40">
        <v>16.36</v>
      </c>
      <c r="D10" s="40">
        <v>9.1</v>
      </c>
      <c r="E10" s="40">
        <v>6.61</v>
      </c>
      <c r="F10" s="40">
        <v>7.01</v>
      </c>
      <c r="G10" s="40">
        <v>32.65</v>
      </c>
      <c r="H10" s="40">
        <v>17.89</v>
      </c>
      <c r="I10" s="40">
        <v>7.87</v>
      </c>
      <c r="J10" s="40">
        <v>6.45</v>
      </c>
      <c r="K10" s="40">
        <v>249.07</v>
      </c>
      <c r="L10" s="40">
        <v>27.24</v>
      </c>
      <c r="M10" s="40">
        <v>69.489999999999995</v>
      </c>
      <c r="N10" s="40">
        <v>24.3</v>
      </c>
      <c r="O10" s="40">
        <v>0</v>
      </c>
      <c r="P10" s="40">
        <v>0.54</v>
      </c>
      <c r="Q10" s="40">
        <v>29.24</v>
      </c>
      <c r="R10" s="38"/>
      <c r="S10" s="38"/>
      <c r="T10" s="38"/>
      <c r="U10" s="38"/>
    </row>
    <row r="11" spans="1:21" customFormat="1">
      <c r="A11" s="39" t="s">
        <v>518</v>
      </c>
      <c r="B11" s="40">
        <v>2.73</v>
      </c>
      <c r="C11" s="40">
        <v>16.98</v>
      </c>
      <c r="D11" s="40">
        <v>10.050000000000001</v>
      </c>
      <c r="E11" s="40">
        <v>6.6</v>
      </c>
      <c r="F11" s="40">
        <v>5.25</v>
      </c>
      <c r="G11" s="40">
        <v>44.38</v>
      </c>
      <c r="H11" s="40">
        <v>14.63</v>
      </c>
      <c r="I11" s="40">
        <v>14.17</v>
      </c>
      <c r="J11" s="40">
        <v>5.47</v>
      </c>
      <c r="K11" s="40">
        <v>249.09</v>
      </c>
      <c r="L11" s="40">
        <v>27.3</v>
      </c>
      <c r="M11" s="40">
        <v>67.400000000000006</v>
      </c>
      <c r="N11" s="40">
        <v>23.5</v>
      </c>
      <c r="O11" s="40">
        <v>0</v>
      </c>
      <c r="P11" s="40">
        <v>0.67</v>
      </c>
      <c r="Q11" s="40">
        <v>29.09</v>
      </c>
      <c r="R11" s="38"/>
      <c r="S11" s="38"/>
      <c r="T11" s="38"/>
      <c r="U11" s="38"/>
    </row>
    <row r="12" spans="1:21" customFormat="1">
      <c r="A12" s="39" t="s">
        <v>519</v>
      </c>
      <c r="B12" s="40">
        <v>2.83</v>
      </c>
      <c r="C12" s="40">
        <v>14.25</v>
      </c>
      <c r="D12" s="40">
        <v>8.65</v>
      </c>
      <c r="E12" s="40">
        <v>5.99</v>
      </c>
      <c r="F12" s="40">
        <v>7.15</v>
      </c>
      <c r="G12" s="40">
        <v>39.6</v>
      </c>
      <c r="H12" s="40">
        <v>15.35</v>
      </c>
      <c r="I12" s="40">
        <v>13.76</v>
      </c>
      <c r="J12" s="40">
        <v>4.97</v>
      </c>
      <c r="K12" s="40">
        <v>249.95</v>
      </c>
      <c r="L12" s="40">
        <v>27.83</v>
      </c>
      <c r="M12" s="40">
        <v>64.81</v>
      </c>
      <c r="N12" s="40">
        <v>23.3</v>
      </c>
      <c r="O12" s="40">
        <v>0</v>
      </c>
      <c r="P12" s="40">
        <v>0.62</v>
      </c>
      <c r="Q12" s="40">
        <v>29.05</v>
      </c>
      <c r="R12" s="38"/>
      <c r="S12" s="38"/>
      <c r="T12" s="38"/>
      <c r="U12" s="38"/>
    </row>
    <row r="13" spans="1:21" customFormat="1">
      <c r="A13" s="39" t="s">
        <v>520</v>
      </c>
      <c r="B13" s="40">
        <v>3.51</v>
      </c>
      <c r="C13" s="40">
        <v>16.420000000000002</v>
      </c>
      <c r="D13" s="40">
        <v>10.26</v>
      </c>
      <c r="E13" s="40">
        <v>5.81</v>
      </c>
      <c r="F13" s="40">
        <v>5.96</v>
      </c>
      <c r="G13" s="40">
        <v>33.97</v>
      </c>
      <c r="H13" s="40">
        <v>16</v>
      </c>
      <c r="I13" s="40">
        <v>12.79</v>
      </c>
      <c r="J13" s="40">
        <v>4.7</v>
      </c>
      <c r="K13" s="40">
        <v>214.6</v>
      </c>
      <c r="L13" s="40">
        <v>27.47</v>
      </c>
      <c r="M13" s="40">
        <v>67.989999999999995</v>
      </c>
      <c r="N13" s="40">
        <v>23.7</v>
      </c>
      <c r="O13" s="40">
        <v>0</v>
      </c>
      <c r="P13" s="40">
        <v>0.63</v>
      </c>
      <c r="Q13" s="40">
        <v>29</v>
      </c>
      <c r="R13" s="38"/>
      <c r="S13" s="38"/>
      <c r="T13" s="38"/>
      <c r="U13" s="38"/>
    </row>
    <row r="14" spans="1:21" customFormat="1">
      <c r="A14" s="39" t="s">
        <v>521</v>
      </c>
      <c r="B14" s="40">
        <v>4.3600000000000003</v>
      </c>
      <c r="C14" s="40">
        <v>14.41</v>
      </c>
      <c r="D14" s="40">
        <v>9.99</v>
      </c>
      <c r="E14" s="40">
        <v>6.65</v>
      </c>
      <c r="F14" s="40">
        <v>7.67</v>
      </c>
      <c r="G14" s="40">
        <v>30.97</v>
      </c>
      <c r="H14" s="40">
        <v>13.47</v>
      </c>
      <c r="I14" s="40">
        <v>12.28</v>
      </c>
      <c r="J14" s="40">
        <v>4.37</v>
      </c>
      <c r="K14" s="40">
        <v>228.18</v>
      </c>
      <c r="L14" s="40">
        <v>27.98</v>
      </c>
      <c r="M14" s="40">
        <v>71.02</v>
      </c>
      <c r="N14" s="40">
        <v>37</v>
      </c>
      <c r="O14" s="40">
        <v>0</v>
      </c>
      <c r="P14" s="40">
        <v>0.53</v>
      </c>
      <c r="Q14" s="40">
        <v>29.21</v>
      </c>
      <c r="R14" s="38"/>
      <c r="S14" s="38"/>
      <c r="T14" s="38"/>
      <c r="U14" s="38"/>
    </row>
    <row r="15" spans="1:21" customFormat="1">
      <c r="A15" s="39" t="s">
        <v>522</v>
      </c>
      <c r="B15" s="40">
        <v>4.51</v>
      </c>
      <c r="C15" s="40">
        <v>12.71</v>
      </c>
      <c r="D15" s="40">
        <v>9.14</v>
      </c>
      <c r="E15" s="40">
        <v>6.44</v>
      </c>
      <c r="F15" s="40">
        <v>5.1100000000000003</v>
      </c>
      <c r="G15" s="40">
        <v>21.8</v>
      </c>
      <c r="H15" s="40">
        <v>9.8800000000000008</v>
      </c>
      <c r="I15" s="40">
        <v>11.61</v>
      </c>
      <c r="J15" s="40">
        <v>4.16</v>
      </c>
      <c r="K15" s="40">
        <v>214.28</v>
      </c>
      <c r="L15" s="40">
        <v>27.66</v>
      </c>
      <c r="M15" s="40">
        <v>71.790000000000006</v>
      </c>
      <c r="N15" s="40">
        <v>87.6</v>
      </c>
      <c r="O15" s="40">
        <v>0</v>
      </c>
      <c r="P15" s="40">
        <v>0.48</v>
      </c>
      <c r="Q15" s="40">
        <v>29.08</v>
      </c>
      <c r="R15" s="38"/>
      <c r="S15" s="38"/>
      <c r="T15" s="38"/>
      <c r="U15" s="38"/>
    </row>
    <row r="16" spans="1:21" customFormat="1">
      <c r="A16" s="39" t="s">
        <v>523</v>
      </c>
      <c r="B16" s="40">
        <v>4.26</v>
      </c>
      <c r="C16" s="40">
        <v>17.399999999999999</v>
      </c>
      <c r="D16" s="40">
        <v>11.45</v>
      </c>
      <c r="E16" s="40">
        <v>6.01</v>
      </c>
      <c r="F16" s="40">
        <v>5.46</v>
      </c>
      <c r="G16" s="40">
        <v>22.51</v>
      </c>
      <c r="H16" s="40">
        <v>9.2200000000000006</v>
      </c>
      <c r="I16" s="40">
        <v>10.37</v>
      </c>
      <c r="J16" s="40">
        <v>4.8899999999999997</v>
      </c>
      <c r="K16" s="40">
        <v>233.13</v>
      </c>
      <c r="L16" s="40">
        <v>28.44</v>
      </c>
      <c r="M16" s="40">
        <v>70.069999999999993</v>
      </c>
      <c r="N16" s="40">
        <v>155.69999999999999</v>
      </c>
      <c r="O16" s="40">
        <v>0</v>
      </c>
      <c r="P16" s="40">
        <v>0.48</v>
      </c>
      <c r="Q16" s="40">
        <v>28.98</v>
      </c>
      <c r="R16" s="38"/>
      <c r="S16" s="38"/>
      <c r="T16" s="38"/>
      <c r="U16" s="38"/>
    </row>
    <row r="17" spans="1:21" customFormat="1">
      <c r="A17" s="39" t="s">
        <v>524</v>
      </c>
      <c r="B17" s="40">
        <v>4.96</v>
      </c>
      <c r="C17" s="40">
        <v>16.79</v>
      </c>
      <c r="D17" s="40">
        <v>11.51</v>
      </c>
      <c r="E17" s="40">
        <v>6.2</v>
      </c>
      <c r="F17" s="40">
        <v>4.92</v>
      </c>
      <c r="G17" s="40">
        <v>25.08</v>
      </c>
      <c r="H17" s="40">
        <v>10.43</v>
      </c>
      <c r="I17" s="40">
        <v>9.93</v>
      </c>
      <c r="J17" s="40">
        <v>5.54</v>
      </c>
      <c r="K17" s="40">
        <v>253.46</v>
      </c>
      <c r="L17" s="40">
        <v>29.33</v>
      </c>
      <c r="M17" s="40">
        <v>66.98</v>
      </c>
      <c r="N17" s="40">
        <v>195.3</v>
      </c>
      <c r="O17" s="40">
        <v>0</v>
      </c>
      <c r="P17" s="40">
        <v>0.52</v>
      </c>
      <c r="Q17" s="40">
        <v>29</v>
      </c>
      <c r="R17" s="38"/>
      <c r="S17" s="38"/>
      <c r="T17" s="38"/>
      <c r="U17" s="38"/>
    </row>
    <row r="18" spans="1:21" customFormat="1">
      <c r="A18" s="39" t="s">
        <v>525</v>
      </c>
      <c r="B18" s="40">
        <v>5.23</v>
      </c>
      <c r="C18" s="40">
        <v>14.17</v>
      </c>
      <c r="D18" s="40">
        <v>10.3</v>
      </c>
      <c r="E18" s="40">
        <v>6.19</v>
      </c>
      <c r="F18" s="40">
        <v>6.65</v>
      </c>
      <c r="G18" s="40">
        <v>27.83</v>
      </c>
      <c r="H18" s="40">
        <v>12.18</v>
      </c>
      <c r="I18" s="40">
        <v>11.5</v>
      </c>
      <c r="J18" s="40">
        <v>4.87</v>
      </c>
      <c r="K18" s="40">
        <v>247.38</v>
      </c>
      <c r="L18" s="40">
        <v>32.130000000000003</v>
      </c>
      <c r="M18" s="40">
        <v>64.7</v>
      </c>
      <c r="N18" s="40">
        <v>623.79999999999995</v>
      </c>
      <c r="O18" s="40">
        <v>0</v>
      </c>
      <c r="P18" s="40">
        <v>0.61</v>
      </c>
      <c r="Q18" s="40">
        <v>28.97</v>
      </c>
      <c r="R18" s="38"/>
      <c r="S18" s="38"/>
      <c r="T18" s="38"/>
      <c r="U18" s="38"/>
    </row>
    <row r="19" spans="1:21" customFormat="1">
      <c r="A19" s="39" t="s">
        <v>526</v>
      </c>
      <c r="B19" s="40">
        <v>4.03</v>
      </c>
      <c r="C19" s="40">
        <v>14.46</v>
      </c>
      <c r="D19" s="40">
        <v>9.8000000000000007</v>
      </c>
      <c r="E19" s="40">
        <v>5.89</v>
      </c>
      <c r="F19" s="40">
        <v>7.66</v>
      </c>
      <c r="G19" s="40">
        <v>30.71</v>
      </c>
      <c r="H19" s="40">
        <v>10.84</v>
      </c>
      <c r="I19" s="40">
        <v>12.21</v>
      </c>
      <c r="J19" s="40">
        <v>6.34</v>
      </c>
      <c r="K19" s="40">
        <v>248.07</v>
      </c>
      <c r="L19" s="40">
        <v>33.46</v>
      </c>
      <c r="M19" s="40">
        <v>54.71</v>
      </c>
      <c r="N19" s="40">
        <v>664.7</v>
      </c>
      <c r="O19" s="40">
        <v>0</v>
      </c>
      <c r="P19" s="40">
        <v>0.66</v>
      </c>
      <c r="Q19" s="40">
        <v>28.94</v>
      </c>
      <c r="R19" s="38"/>
      <c r="S19" s="38"/>
      <c r="T19" s="38"/>
      <c r="U19" s="38"/>
    </row>
    <row r="20" spans="1:21" customFormat="1">
      <c r="A20" s="39" t="s">
        <v>527</v>
      </c>
      <c r="B20" s="40">
        <v>2.0299999999999998</v>
      </c>
      <c r="C20" s="40">
        <v>19.68</v>
      </c>
      <c r="D20" s="40">
        <v>10.9</v>
      </c>
      <c r="E20" s="40">
        <v>6.44</v>
      </c>
      <c r="F20" s="40">
        <v>13.72</v>
      </c>
      <c r="G20" s="40">
        <v>33.01</v>
      </c>
      <c r="H20" s="40">
        <v>13.16</v>
      </c>
      <c r="I20" s="40">
        <v>14.45</v>
      </c>
      <c r="J20" s="40">
        <v>4.34</v>
      </c>
      <c r="K20" s="40">
        <v>239.5</v>
      </c>
      <c r="L20" s="40">
        <v>35.56</v>
      </c>
      <c r="M20" s="40">
        <v>51.52</v>
      </c>
      <c r="N20" s="40">
        <v>407.8</v>
      </c>
      <c r="O20" s="40">
        <v>0</v>
      </c>
      <c r="P20" s="40">
        <v>0.72</v>
      </c>
      <c r="Q20" s="40">
        <v>28.89</v>
      </c>
      <c r="R20" s="38"/>
      <c r="S20" s="38"/>
      <c r="T20" s="38"/>
      <c r="U20" s="38"/>
    </row>
    <row r="21" spans="1:21" customFormat="1">
      <c r="A21" s="39" t="s">
        <v>528</v>
      </c>
      <c r="B21" s="40">
        <v>2.29</v>
      </c>
      <c r="C21" s="40">
        <v>13.88</v>
      </c>
      <c r="D21" s="40">
        <v>8.02</v>
      </c>
      <c r="E21" s="40">
        <v>7.72</v>
      </c>
      <c r="F21" s="40">
        <v>25.35</v>
      </c>
      <c r="G21" s="40">
        <v>39.31</v>
      </c>
      <c r="H21" s="40">
        <v>17.86</v>
      </c>
      <c r="I21" s="40">
        <v>16.61</v>
      </c>
      <c r="J21" s="40">
        <v>3.97</v>
      </c>
      <c r="K21" s="40">
        <v>336.24</v>
      </c>
      <c r="L21" s="40">
        <v>37.72</v>
      </c>
      <c r="M21" s="40">
        <v>46.98</v>
      </c>
      <c r="N21" s="40">
        <v>834.4</v>
      </c>
      <c r="O21" s="40">
        <v>0</v>
      </c>
      <c r="P21" s="40">
        <v>0.75</v>
      </c>
      <c r="Q21" s="40">
        <v>29.05</v>
      </c>
      <c r="R21" s="38"/>
      <c r="S21" s="38"/>
      <c r="T21" s="38"/>
      <c r="U21" s="38"/>
    </row>
    <row r="22" spans="1:21" customFormat="1">
      <c r="A22" s="39" t="s">
        <v>529</v>
      </c>
      <c r="B22" s="40">
        <v>1.81</v>
      </c>
      <c r="C22" s="40">
        <v>14</v>
      </c>
      <c r="D22" s="40">
        <v>7.77</v>
      </c>
      <c r="E22" s="40">
        <v>6.72</v>
      </c>
      <c r="F22" s="40">
        <v>34.49</v>
      </c>
      <c r="G22" s="40">
        <v>42.24</v>
      </c>
      <c r="H22" s="40">
        <v>19</v>
      </c>
      <c r="I22" s="40">
        <v>15.09</v>
      </c>
      <c r="J22" s="40">
        <v>4.33</v>
      </c>
      <c r="K22" s="40">
        <v>349.13</v>
      </c>
      <c r="L22" s="40">
        <v>39.520000000000003</v>
      </c>
      <c r="M22" s="40">
        <v>40.229999999999997</v>
      </c>
      <c r="N22" s="40">
        <v>778</v>
      </c>
      <c r="O22" s="40">
        <v>0</v>
      </c>
      <c r="P22" s="40">
        <v>0.68</v>
      </c>
      <c r="Q22" s="40">
        <v>29.09</v>
      </c>
      <c r="R22" s="38"/>
      <c r="S22" s="38"/>
      <c r="T22" s="38"/>
      <c r="U22" s="38"/>
    </row>
    <row r="23" spans="1:21" customFormat="1">
      <c r="A23" s="39" t="s">
        <v>530</v>
      </c>
      <c r="B23" s="40">
        <v>1.7</v>
      </c>
      <c r="C23" s="40">
        <v>14.12</v>
      </c>
      <c r="D23" s="40">
        <v>7.67</v>
      </c>
      <c r="E23" s="40">
        <v>7.78</v>
      </c>
      <c r="F23" s="40">
        <v>35.43</v>
      </c>
      <c r="G23" s="40">
        <v>39.17</v>
      </c>
      <c r="H23" s="40">
        <v>15.07</v>
      </c>
      <c r="I23" s="40">
        <v>13.63</v>
      </c>
      <c r="J23" s="40">
        <v>3.95</v>
      </c>
      <c r="K23" s="40">
        <v>241.85</v>
      </c>
      <c r="L23" s="40">
        <v>41.5</v>
      </c>
      <c r="M23" s="40">
        <v>36.24</v>
      </c>
      <c r="N23" s="40">
        <v>651</v>
      </c>
      <c r="O23" s="40">
        <v>0</v>
      </c>
      <c r="P23" s="40">
        <v>0.67</v>
      </c>
      <c r="Q23" s="40">
        <v>29.23</v>
      </c>
      <c r="R23" s="38"/>
      <c r="S23" s="38"/>
      <c r="T23" s="38"/>
      <c r="U23" s="38"/>
    </row>
    <row r="24" spans="1:21" customFormat="1">
      <c r="A24" s="39" t="s">
        <v>531</v>
      </c>
      <c r="B24" s="40">
        <v>1.83</v>
      </c>
      <c r="C24" s="40">
        <v>10.69</v>
      </c>
      <c r="D24" s="40">
        <v>5.9</v>
      </c>
      <c r="E24" s="40">
        <v>8.2100000000000009</v>
      </c>
      <c r="F24" s="40">
        <v>45.78</v>
      </c>
      <c r="G24" s="40">
        <v>40.94</v>
      </c>
      <c r="H24" s="40">
        <v>17.7</v>
      </c>
      <c r="I24" s="40">
        <v>13.03</v>
      </c>
      <c r="J24" s="40">
        <v>4.59</v>
      </c>
      <c r="K24" s="40">
        <v>239.94</v>
      </c>
      <c r="L24" s="40">
        <v>41.05</v>
      </c>
      <c r="M24" s="40">
        <v>33.08</v>
      </c>
      <c r="N24" s="40">
        <v>406.1</v>
      </c>
      <c r="O24" s="40">
        <v>0</v>
      </c>
      <c r="P24" s="40">
        <v>0.56999999999999995</v>
      </c>
      <c r="Q24" s="40">
        <v>29.4</v>
      </c>
      <c r="R24" s="38"/>
      <c r="S24" s="38"/>
      <c r="T24" s="38"/>
      <c r="U24" s="38"/>
    </row>
    <row r="25" spans="1:21" customFormat="1">
      <c r="A25" s="39" t="s">
        <v>532</v>
      </c>
      <c r="B25" s="40">
        <v>1.67</v>
      </c>
      <c r="C25" s="40">
        <v>11.29</v>
      </c>
      <c r="D25" s="40">
        <v>6.24</v>
      </c>
      <c r="E25" s="40">
        <v>7.52</v>
      </c>
      <c r="F25" s="40">
        <v>45.6</v>
      </c>
      <c r="G25" s="40">
        <v>39.369999999999997</v>
      </c>
      <c r="H25" s="40">
        <v>19.95</v>
      </c>
      <c r="I25" s="40">
        <v>11.44</v>
      </c>
      <c r="J25" s="40">
        <v>5.09</v>
      </c>
      <c r="K25" s="40">
        <v>218.1</v>
      </c>
      <c r="L25" s="40">
        <v>40.299999999999997</v>
      </c>
      <c r="M25" s="40">
        <v>37.11</v>
      </c>
      <c r="N25" s="40">
        <v>240.7</v>
      </c>
      <c r="O25" s="40">
        <v>0</v>
      </c>
      <c r="P25" s="40">
        <v>0.57999999999999996</v>
      </c>
      <c r="Q25" s="40">
        <v>29.31</v>
      </c>
      <c r="R25" s="38"/>
      <c r="S25" s="38"/>
      <c r="T25" s="38"/>
      <c r="U25" s="38"/>
    </row>
    <row r="26" spans="1:21" customFormat="1">
      <c r="A26" s="39" t="s">
        <v>533</v>
      </c>
      <c r="B26" s="40">
        <v>1.41</v>
      </c>
      <c r="C26" s="40">
        <v>12.48</v>
      </c>
      <c r="D26" s="40">
        <v>6.66</v>
      </c>
      <c r="E26" s="40">
        <v>6.87</v>
      </c>
      <c r="F26" s="40">
        <v>46.64</v>
      </c>
      <c r="G26" s="40">
        <v>44.8</v>
      </c>
      <c r="H26" s="40">
        <v>22.58</v>
      </c>
      <c r="I26" s="40">
        <v>11.87</v>
      </c>
      <c r="J26" s="40">
        <v>5.31</v>
      </c>
      <c r="K26" s="40">
        <v>214.68</v>
      </c>
      <c r="L26" s="40">
        <v>39.92</v>
      </c>
      <c r="M26" s="40">
        <v>39.409999999999997</v>
      </c>
      <c r="N26" s="40">
        <v>133.5</v>
      </c>
      <c r="O26" s="40">
        <v>0</v>
      </c>
      <c r="P26" s="40">
        <v>0.56999999999999995</v>
      </c>
      <c r="Q26" s="40">
        <v>29.26</v>
      </c>
      <c r="R26" s="38"/>
      <c r="S26" s="38"/>
      <c r="T26" s="38"/>
      <c r="U26" s="38"/>
    </row>
    <row r="27" spans="1:21" customFormat="1">
      <c r="A27" s="39" t="s">
        <v>534</v>
      </c>
      <c r="B27" s="40">
        <v>1.58</v>
      </c>
      <c r="C27" s="40">
        <v>10.58</v>
      </c>
      <c r="D27" s="40">
        <v>5.69</v>
      </c>
      <c r="E27" s="40">
        <v>7.76</v>
      </c>
      <c r="F27" s="40">
        <v>46.18</v>
      </c>
      <c r="G27" s="40">
        <v>43.96</v>
      </c>
      <c r="H27" s="40">
        <v>23.18</v>
      </c>
      <c r="I27" s="40">
        <v>11.74</v>
      </c>
      <c r="J27" s="40">
        <v>5.14</v>
      </c>
      <c r="K27" s="40">
        <v>211.2</v>
      </c>
      <c r="L27" s="40">
        <v>38.24</v>
      </c>
      <c r="M27" s="40">
        <v>47.03</v>
      </c>
      <c r="N27" s="40">
        <v>39.1</v>
      </c>
      <c r="O27" s="40">
        <v>0</v>
      </c>
      <c r="P27" s="40">
        <v>0.51</v>
      </c>
      <c r="Q27" s="40">
        <v>29.26</v>
      </c>
      <c r="R27" s="38"/>
      <c r="S27" s="38"/>
      <c r="T27" s="38"/>
      <c r="U27" s="38"/>
    </row>
    <row r="28" spans="1:21" customFormat="1">
      <c r="A28" s="39" t="s">
        <v>535</v>
      </c>
      <c r="B28" s="40">
        <v>1.62</v>
      </c>
      <c r="C28" s="40">
        <v>13.13</v>
      </c>
      <c r="D28" s="40">
        <v>6.98</v>
      </c>
      <c r="E28" s="40">
        <v>7.26</v>
      </c>
      <c r="F28" s="40">
        <v>35.590000000000003</v>
      </c>
      <c r="G28" s="40">
        <v>39.21</v>
      </c>
      <c r="H28" s="40">
        <v>21.34</v>
      </c>
      <c r="I28" s="40">
        <v>9.77</v>
      </c>
      <c r="J28" s="40">
        <v>5</v>
      </c>
      <c r="K28" s="40">
        <v>211.87</v>
      </c>
      <c r="L28" s="40">
        <v>36.72</v>
      </c>
      <c r="M28" s="40">
        <v>49.87</v>
      </c>
      <c r="N28" s="40">
        <v>23</v>
      </c>
      <c r="O28" s="40">
        <v>0</v>
      </c>
      <c r="P28" s="40">
        <v>0.52</v>
      </c>
      <c r="Q28" s="40">
        <v>29.15</v>
      </c>
      <c r="R28" s="38"/>
      <c r="S28" s="38"/>
      <c r="T28" s="38"/>
      <c r="U28" s="38"/>
    </row>
    <row r="29" spans="1:21" customFormat="1">
      <c r="A29" s="39" t="s">
        <v>536</v>
      </c>
      <c r="B29" s="40">
        <v>1.73</v>
      </c>
      <c r="C29" s="40">
        <v>14.36</v>
      </c>
      <c r="D29" s="40">
        <v>7.89</v>
      </c>
      <c r="E29" s="40">
        <v>6.8</v>
      </c>
      <c r="F29" s="40">
        <v>26.97</v>
      </c>
      <c r="G29" s="40">
        <v>36.049999999999997</v>
      </c>
      <c r="H29" s="40">
        <v>20.66</v>
      </c>
      <c r="I29" s="40">
        <v>9.8800000000000008</v>
      </c>
      <c r="J29" s="40">
        <v>5.73</v>
      </c>
      <c r="K29" s="40">
        <v>215.81</v>
      </c>
      <c r="L29" s="40">
        <v>35.950000000000003</v>
      </c>
      <c r="M29" s="40">
        <v>51.44</v>
      </c>
      <c r="N29" s="40">
        <v>22.8</v>
      </c>
      <c r="O29" s="40">
        <v>0</v>
      </c>
      <c r="P29" s="40">
        <v>0.56000000000000005</v>
      </c>
      <c r="Q29" s="40">
        <v>29.03</v>
      </c>
      <c r="R29" s="38"/>
      <c r="S29" s="38"/>
      <c r="T29" s="38"/>
      <c r="U29" s="38"/>
    </row>
    <row r="30" spans="1:21" customFormat="1">
      <c r="A30" s="39" t="s">
        <v>537</v>
      </c>
      <c r="B30" s="40">
        <v>1.79</v>
      </c>
      <c r="C30" s="40">
        <v>15.97</v>
      </c>
      <c r="D30" s="40">
        <v>8.7799999999999994</v>
      </c>
      <c r="E30" s="40">
        <v>6.78</v>
      </c>
      <c r="F30" s="40">
        <v>26.92</v>
      </c>
      <c r="G30" s="40">
        <v>39.01</v>
      </c>
      <c r="H30" s="40">
        <v>19.96</v>
      </c>
      <c r="I30" s="40">
        <v>10.27</v>
      </c>
      <c r="J30" s="40">
        <v>5.83</v>
      </c>
      <c r="K30" s="40">
        <v>188.31</v>
      </c>
      <c r="L30" s="40">
        <v>35.81</v>
      </c>
      <c r="M30" s="40">
        <v>51.78</v>
      </c>
      <c r="N30" s="40">
        <v>22.8</v>
      </c>
      <c r="O30" s="40">
        <v>0</v>
      </c>
      <c r="P30" s="40">
        <v>0.56000000000000005</v>
      </c>
      <c r="Q30" s="40">
        <v>28.99</v>
      </c>
      <c r="R30" s="38"/>
      <c r="S30" s="38"/>
      <c r="T30" s="38"/>
      <c r="U30" s="38"/>
    </row>
    <row r="31" spans="1:21" customFormat="1">
      <c r="A31" s="39" t="s">
        <v>538</v>
      </c>
      <c r="B31" s="40">
        <v>1.92</v>
      </c>
      <c r="C31" s="40">
        <v>15.88</v>
      </c>
      <c r="D31" s="40">
        <v>8.81</v>
      </c>
      <c r="E31" s="40">
        <v>6.94</v>
      </c>
      <c r="F31" s="40">
        <v>31.77</v>
      </c>
      <c r="G31" s="40">
        <v>38.299999999999997</v>
      </c>
      <c r="H31" s="40">
        <v>15.91</v>
      </c>
      <c r="I31" s="40">
        <v>9.7200000000000006</v>
      </c>
      <c r="J31" s="40">
        <v>5.64</v>
      </c>
      <c r="K31" s="40">
        <v>190.05</v>
      </c>
      <c r="L31" s="40">
        <v>35.659999999999997</v>
      </c>
      <c r="M31" s="40">
        <v>49.06</v>
      </c>
      <c r="N31" s="40">
        <v>23.2</v>
      </c>
      <c r="O31" s="40">
        <v>0</v>
      </c>
      <c r="P31" s="40">
        <v>0.53</v>
      </c>
      <c r="Q31" s="40">
        <v>29.01</v>
      </c>
      <c r="R31" s="38"/>
      <c r="S31" s="38"/>
      <c r="T31" s="38"/>
      <c r="U31" s="38"/>
    </row>
    <row r="32" spans="1:21" customFormat="1">
      <c r="A32" s="39" t="s">
        <v>539</v>
      </c>
      <c r="B32" s="40">
        <v>2.23</v>
      </c>
      <c r="C32" s="40">
        <v>16.82</v>
      </c>
      <c r="D32" s="40">
        <v>9.58</v>
      </c>
      <c r="E32" s="40">
        <v>7.26</v>
      </c>
      <c r="F32" s="40">
        <v>33.08</v>
      </c>
      <c r="G32" s="40">
        <v>39.69</v>
      </c>
      <c r="H32" s="40">
        <v>18.190000000000001</v>
      </c>
      <c r="I32" s="40">
        <v>9.11</v>
      </c>
      <c r="J32" s="40">
        <v>4.9000000000000004</v>
      </c>
      <c r="K32" s="40">
        <v>208.63</v>
      </c>
      <c r="L32" s="40">
        <v>34.85</v>
      </c>
      <c r="M32" s="40">
        <v>50.21</v>
      </c>
      <c r="N32" s="40">
        <v>23</v>
      </c>
      <c r="O32" s="40">
        <v>0</v>
      </c>
      <c r="P32" s="40">
        <v>0.52</v>
      </c>
      <c r="Q32" s="40">
        <v>28.93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1.41</v>
      </c>
      <c r="C34" s="18">
        <f t="shared" si="0"/>
        <v>10.58</v>
      </c>
      <c r="D34" s="18">
        <f t="shared" si="0"/>
        <v>5.69</v>
      </c>
      <c r="E34" s="18">
        <f t="shared" si="0"/>
        <v>5.81</v>
      </c>
      <c r="F34" s="18">
        <f t="shared" si="0"/>
        <v>4.92</v>
      </c>
      <c r="G34" s="18">
        <f t="shared" si="0"/>
        <v>21.8</v>
      </c>
      <c r="H34" s="18">
        <f t="shared" si="0"/>
        <v>9.2200000000000006</v>
      </c>
      <c r="I34" s="18">
        <f t="shared" si="0"/>
        <v>7.08</v>
      </c>
      <c r="J34" s="18">
        <f t="shared" si="0"/>
        <v>3.95</v>
      </c>
      <c r="K34" s="18">
        <f t="shared" si="0"/>
        <v>188.31</v>
      </c>
      <c r="L34" s="18">
        <f t="shared" si="0"/>
        <v>27.24</v>
      </c>
      <c r="M34" s="18">
        <f t="shared" si="0"/>
        <v>33.08</v>
      </c>
      <c r="N34" s="18">
        <f t="shared" si="0"/>
        <v>22.8</v>
      </c>
      <c r="O34" s="18">
        <f t="shared" si="0"/>
        <v>0</v>
      </c>
      <c r="P34" s="18">
        <f t="shared" si="0"/>
        <v>0.48</v>
      </c>
      <c r="Q34" s="18">
        <f t="shared" si="0"/>
        <v>28.89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5.23</v>
      </c>
      <c r="C35" s="3">
        <f t="shared" si="1"/>
        <v>19.68</v>
      </c>
      <c r="D35" s="3">
        <f t="shared" si="1"/>
        <v>11.51</v>
      </c>
      <c r="E35" s="3">
        <f t="shared" si="1"/>
        <v>8.2100000000000009</v>
      </c>
      <c r="F35" s="3">
        <f t="shared" si="1"/>
        <v>46.64</v>
      </c>
      <c r="G35" s="3">
        <f t="shared" si="1"/>
        <v>44.8</v>
      </c>
      <c r="H35" s="3">
        <f t="shared" si="1"/>
        <v>23.18</v>
      </c>
      <c r="I35" s="3">
        <f t="shared" si="1"/>
        <v>16.61</v>
      </c>
      <c r="J35" s="3">
        <f t="shared" si="1"/>
        <v>6.69</v>
      </c>
      <c r="K35" s="3">
        <f t="shared" si="1"/>
        <v>349.13</v>
      </c>
      <c r="L35" s="3">
        <f t="shared" si="1"/>
        <v>41.5</v>
      </c>
      <c r="M35" s="3">
        <f t="shared" si="1"/>
        <v>71.790000000000006</v>
      </c>
      <c r="N35" s="3">
        <f t="shared" si="1"/>
        <v>834.4</v>
      </c>
      <c r="O35" s="3">
        <f t="shared" si="1"/>
        <v>0</v>
      </c>
      <c r="P35" s="3">
        <f t="shared" si="1"/>
        <v>0.75</v>
      </c>
      <c r="Q35" s="3">
        <f t="shared" si="1"/>
        <v>29.4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2.6733333333333333</v>
      </c>
      <c r="C36" s="18">
        <f t="shared" si="2"/>
        <v>14.507916666666667</v>
      </c>
      <c r="D36" s="18">
        <f t="shared" si="2"/>
        <v>8.6495833333333341</v>
      </c>
      <c r="E36" s="18">
        <f t="shared" si="2"/>
        <v>6.782916666666666</v>
      </c>
      <c r="F36" s="18">
        <f t="shared" si="2"/>
        <v>21.563333333333333</v>
      </c>
      <c r="G36" s="18">
        <f t="shared" si="2"/>
        <v>35.622499999999995</v>
      </c>
      <c r="H36" s="18">
        <f t="shared" si="2"/>
        <v>16.298333333333332</v>
      </c>
      <c r="I36" s="18">
        <f t="shared" si="2"/>
        <v>11.67416666666667</v>
      </c>
      <c r="J36" s="18">
        <f t="shared" si="2"/>
        <v>5.0945833333333344</v>
      </c>
      <c r="K36" s="18">
        <f t="shared" si="2"/>
        <v>237.49416666666673</v>
      </c>
      <c r="L36" s="18">
        <f t="shared" si="2"/>
        <v>33.740833333333335</v>
      </c>
      <c r="M36" s="18">
        <f t="shared" si="2"/>
        <v>54.951250000000009</v>
      </c>
      <c r="N36" s="18">
        <f t="shared" si="2"/>
        <v>228.68333333333339</v>
      </c>
      <c r="O36" s="18">
        <f t="shared" si="2"/>
        <v>0</v>
      </c>
      <c r="P36" s="18">
        <f t="shared" si="2"/>
        <v>0.58166666666666667</v>
      </c>
      <c r="Q36" s="18">
        <f t="shared" si="2"/>
        <v>29.102499999999996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1.2185617561794688</v>
      </c>
      <c r="C37" s="18">
        <f t="shared" ref="C37:Q37" si="3">STDEV(C9:C32)</f>
        <v>2.3164458892819013</v>
      </c>
      <c r="D37" s="18">
        <f t="shared" si="3"/>
        <v>1.7352520908618925</v>
      </c>
      <c r="E37" s="18">
        <f t="shared" si="3"/>
        <v>0.6617597039689721</v>
      </c>
      <c r="F37" s="18">
        <f t="shared" si="3"/>
        <v>15.986548874836501</v>
      </c>
      <c r="G37" s="18">
        <f t="shared" si="3"/>
        <v>6.702725110956286</v>
      </c>
      <c r="H37" s="18">
        <f t="shared" si="3"/>
        <v>4.020353290409961</v>
      </c>
      <c r="I37" s="18">
        <f t="shared" si="3"/>
        <v>2.2987859114468705</v>
      </c>
      <c r="J37" s="18">
        <f t="shared" si="3"/>
        <v>0.75916418094057869</v>
      </c>
      <c r="K37" s="18">
        <f t="shared" si="3"/>
        <v>37.656416038180708</v>
      </c>
      <c r="L37" s="18">
        <f t="shared" si="3"/>
        <v>5.108969024446516</v>
      </c>
      <c r="M37" s="18">
        <f t="shared" si="3"/>
        <v>12.532092129894867</v>
      </c>
      <c r="N37" s="18">
        <f t="shared" si="3"/>
        <v>278.70447753328511</v>
      </c>
      <c r="O37" s="18">
        <f t="shared" si="3"/>
        <v>0</v>
      </c>
      <c r="P37" s="18">
        <f t="shared" si="3"/>
        <v>7.7832968686108978E-2</v>
      </c>
      <c r="Q37" s="18">
        <f t="shared" si="3"/>
        <v>0.14093631000654455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540</v>
      </c>
      <c r="B9" s="40">
        <v>6.32</v>
      </c>
      <c r="C9" s="40">
        <v>23.16</v>
      </c>
      <c r="D9" s="40">
        <v>16.18</v>
      </c>
      <c r="E9" s="40">
        <v>7.72</v>
      </c>
      <c r="F9" s="40">
        <v>24.48</v>
      </c>
      <c r="G9" s="40">
        <v>39.57</v>
      </c>
      <c r="H9" s="40">
        <v>16.899999999999999</v>
      </c>
      <c r="I9" s="40">
        <v>10.53</v>
      </c>
      <c r="J9" s="40">
        <v>4.71</v>
      </c>
      <c r="K9" s="40">
        <v>167.35</v>
      </c>
      <c r="L9" s="40">
        <v>35.130000000000003</v>
      </c>
      <c r="M9" s="40">
        <v>51.11</v>
      </c>
      <c r="N9" s="40">
        <v>23.1</v>
      </c>
      <c r="O9" s="40">
        <v>0</v>
      </c>
      <c r="P9" s="40">
        <v>0.53</v>
      </c>
      <c r="Q9" s="40">
        <v>28.79</v>
      </c>
      <c r="R9" s="38"/>
      <c r="S9" s="38"/>
      <c r="T9" s="38"/>
      <c r="U9" s="38"/>
    </row>
    <row r="10" spans="1:21" customFormat="1">
      <c r="A10" s="39" t="s">
        <v>541</v>
      </c>
      <c r="B10" s="40">
        <v>3.95</v>
      </c>
      <c r="C10" s="40">
        <v>18.68</v>
      </c>
      <c r="D10" s="40">
        <v>11.66</v>
      </c>
      <c r="E10" s="40">
        <v>7.67</v>
      </c>
      <c r="F10" s="40">
        <v>22.1</v>
      </c>
      <c r="G10" s="40">
        <v>38.57</v>
      </c>
      <c r="H10" s="40">
        <v>19.64</v>
      </c>
      <c r="I10" s="40">
        <v>9.39</v>
      </c>
      <c r="J10" s="40">
        <v>5.07</v>
      </c>
      <c r="K10" s="40">
        <v>152.54</v>
      </c>
      <c r="L10" s="40">
        <v>34.75</v>
      </c>
      <c r="M10" s="40">
        <v>51.09</v>
      </c>
      <c r="N10" s="40">
        <v>23.6</v>
      </c>
      <c r="O10" s="40">
        <v>0</v>
      </c>
      <c r="P10" s="40">
        <v>0.51</v>
      </c>
      <c r="Q10" s="40">
        <v>28.69</v>
      </c>
      <c r="R10" s="38"/>
      <c r="S10" s="38"/>
      <c r="T10" s="38"/>
      <c r="U10" s="38"/>
    </row>
    <row r="11" spans="1:21" customFormat="1">
      <c r="A11" s="39" t="s">
        <v>542</v>
      </c>
      <c r="B11" s="40">
        <v>4.0199999999999996</v>
      </c>
      <c r="C11" s="40">
        <v>23.86</v>
      </c>
      <c r="D11" s="40">
        <v>14.7</v>
      </c>
      <c r="E11" s="40">
        <v>8.08</v>
      </c>
      <c r="F11" s="40">
        <v>13.48</v>
      </c>
      <c r="G11" s="40">
        <v>62.38</v>
      </c>
      <c r="H11" s="40">
        <v>16.7</v>
      </c>
      <c r="I11" s="40">
        <v>9.6300000000000008</v>
      </c>
      <c r="J11" s="40">
        <v>5.37</v>
      </c>
      <c r="K11" s="40">
        <v>67.69</v>
      </c>
      <c r="L11" s="40">
        <v>32.15</v>
      </c>
      <c r="M11" s="40">
        <v>63.76</v>
      </c>
      <c r="N11" s="40">
        <v>25.8</v>
      </c>
      <c r="O11" s="40">
        <v>0</v>
      </c>
      <c r="P11" s="40">
        <v>0.55000000000000004</v>
      </c>
      <c r="Q11" s="40">
        <v>28.68</v>
      </c>
      <c r="R11" s="38"/>
      <c r="S11" s="38"/>
      <c r="T11" s="38"/>
      <c r="U11" s="38"/>
    </row>
    <row r="12" spans="1:21" customFormat="1">
      <c r="A12" s="39" t="s">
        <v>543</v>
      </c>
      <c r="B12" s="40">
        <v>4.9800000000000004</v>
      </c>
      <c r="C12" s="40">
        <v>21.26</v>
      </c>
      <c r="D12" s="40">
        <v>13.93</v>
      </c>
      <c r="E12" s="40">
        <v>8.0500000000000007</v>
      </c>
      <c r="F12" s="40">
        <v>11.23</v>
      </c>
      <c r="G12" s="40">
        <v>143.26</v>
      </c>
      <c r="H12" s="40">
        <v>26.69</v>
      </c>
      <c r="I12" s="40">
        <v>10</v>
      </c>
      <c r="J12" s="40">
        <v>6.69</v>
      </c>
      <c r="K12" s="40">
        <v>57.91</v>
      </c>
      <c r="L12" s="40">
        <v>30.75</v>
      </c>
      <c r="M12" s="40">
        <v>64.98</v>
      </c>
      <c r="N12" s="40">
        <v>23.8</v>
      </c>
      <c r="O12" s="40">
        <v>0</v>
      </c>
      <c r="P12" s="40">
        <v>0.59</v>
      </c>
      <c r="Q12" s="40">
        <v>28.41</v>
      </c>
      <c r="R12" s="38"/>
      <c r="S12" s="38"/>
      <c r="T12" s="38"/>
      <c r="U12" s="38"/>
    </row>
    <row r="13" spans="1:21" customFormat="1">
      <c r="A13" s="39" t="s">
        <v>544</v>
      </c>
      <c r="B13" s="40">
        <v>5.1100000000000003</v>
      </c>
      <c r="C13" s="40">
        <v>18.73</v>
      </c>
      <c r="D13" s="40">
        <v>12.89</v>
      </c>
      <c r="E13" s="40">
        <v>8.06</v>
      </c>
      <c r="F13" s="40">
        <v>16.53</v>
      </c>
      <c r="G13" s="40">
        <v>99.73</v>
      </c>
      <c r="H13" s="40">
        <v>29.87</v>
      </c>
      <c r="I13" s="40">
        <v>9.9700000000000006</v>
      </c>
      <c r="J13" s="40">
        <v>4.8899999999999997</v>
      </c>
      <c r="K13" s="40">
        <v>129.03</v>
      </c>
      <c r="L13" s="40">
        <v>29.9</v>
      </c>
      <c r="M13" s="40">
        <v>79.92</v>
      </c>
      <c r="N13" s="40">
        <v>23.6</v>
      </c>
      <c r="O13" s="40">
        <v>0.2</v>
      </c>
      <c r="P13" s="40">
        <v>0.54</v>
      </c>
      <c r="Q13" s="40">
        <v>28.8</v>
      </c>
      <c r="R13" s="38"/>
      <c r="S13" s="38"/>
      <c r="T13" s="38"/>
      <c r="U13" s="38"/>
    </row>
    <row r="14" spans="1:21" customFormat="1">
      <c r="A14" s="39" t="s">
        <v>545</v>
      </c>
      <c r="B14" s="40">
        <v>5.66</v>
      </c>
      <c r="C14" s="40">
        <v>17.48</v>
      </c>
      <c r="D14" s="40">
        <v>12.35</v>
      </c>
      <c r="E14" s="40">
        <v>6.52</v>
      </c>
      <c r="F14" s="40">
        <v>6</v>
      </c>
      <c r="G14" s="40">
        <v>42.46</v>
      </c>
      <c r="H14" s="40">
        <v>26.84</v>
      </c>
      <c r="I14" s="40">
        <v>9.52</v>
      </c>
      <c r="J14" s="40">
        <v>1.94</v>
      </c>
      <c r="K14" s="40">
        <v>216.42</v>
      </c>
      <c r="L14" s="40">
        <v>28.28</v>
      </c>
      <c r="M14" s="40">
        <v>87.61</v>
      </c>
      <c r="N14" s="40">
        <v>33.4</v>
      </c>
      <c r="O14" s="40">
        <v>0.4</v>
      </c>
      <c r="P14" s="40">
        <v>0.54</v>
      </c>
      <c r="Q14" s="40">
        <v>28.67</v>
      </c>
      <c r="R14" s="38"/>
      <c r="S14" s="38"/>
      <c r="T14" s="38"/>
      <c r="U14" s="38"/>
    </row>
    <row r="15" spans="1:21" customFormat="1">
      <c r="A15" s="39" t="s">
        <v>546</v>
      </c>
      <c r="B15" s="40">
        <v>5.62</v>
      </c>
      <c r="C15" s="40">
        <v>19.149999999999999</v>
      </c>
      <c r="D15" s="40">
        <v>13.25</v>
      </c>
      <c r="E15" s="40">
        <v>6.16</v>
      </c>
      <c r="F15" s="40">
        <v>5.28</v>
      </c>
      <c r="G15" s="40">
        <v>45.05</v>
      </c>
      <c r="H15" s="40">
        <v>21.88</v>
      </c>
      <c r="I15" s="40">
        <v>9.35</v>
      </c>
      <c r="J15" s="40">
        <v>1.36</v>
      </c>
      <c r="K15" s="40">
        <v>225.18</v>
      </c>
      <c r="L15" s="40">
        <v>28.31</v>
      </c>
      <c r="M15" s="40">
        <v>86.21</v>
      </c>
      <c r="N15" s="40">
        <v>76.3</v>
      </c>
      <c r="O15" s="40">
        <v>0.2</v>
      </c>
      <c r="P15" s="40">
        <v>0.53</v>
      </c>
      <c r="Q15" s="40">
        <v>28.74</v>
      </c>
      <c r="R15" s="38"/>
      <c r="S15" s="38"/>
      <c r="T15" s="38"/>
      <c r="U15" s="38"/>
    </row>
    <row r="16" spans="1:21" customFormat="1">
      <c r="A16" s="39" t="s">
        <v>547</v>
      </c>
      <c r="B16" s="40">
        <v>5.56</v>
      </c>
      <c r="C16" s="40">
        <v>22</v>
      </c>
      <c r="D16" s="40">
        <v>14.9</v>
      </c>
      <c r="E16" s="40">
        <v>6.02</v>
      </c>
      <c r="F16" s="40">
        <v>4.3</v>
      </c>
      <c r="G16" s="40">
        <v>22.21</v>
      </c>
      <c r="H16" s="40">
        <v>21.37</v>
      </c>
      <c r="I16" s="40">
        <v>9.0399999999999991</v>
      </c>
      <c r="J16" s="40">
        <v>3.69</v>
      </c>
      <c r="K16" s="40">
        <v>277.75</v>
      </c>
      <c r="L16" s="40">
        <v>29.14</v>
      </c>
      <c r="M16" s="40">
        <v>79.73</v>
      </c>
      <c r="N16" s="40">
        <v>97.1</v>
      </c>
      <c r="O16" s="40">
        <v>0</v>
      </c>
      <c r="P16" s="40">
        <v>0.5</v>
      </c>
      <c r="Q16" s="40">
        <v>29.03</v>
      </c>
      <c r="R16" s="38"/>
      <c r="S16" s="38"/>
      <c r="T16" s="38"/>
      <c r="U16" s="38"/>
    </row>
    <row r="17" spans="1:21" customFormat="1">
      <c r="A17" s="39" t="s">
        <v>548</v>
      </c>
      <c r="B17" s="40">
        <v>4.82</v>
      </c>
      <c r="C17" s="40">
        <v>14.52</v>
      </c>
      <c r="D17" s="40">
        <v>10.39</v>
      </c>
      <c r="E17" s="40">
        <v>5.5</v>
      </c>
      <c r="F17" s="40">
        <v>6.33</v>
      </c>
      <c r="G17" s="40">
        <v>27.58</v>
      </c>
      <c r="H17" s="40">
        <v>18.850000000000001</v>
      </c>
      <c r="I17" s="40">
        <v>8.94</v>
      </c>
      <c r="J17" s="40">
        <v>2.65</v>
      </c>
      <c r="K17" s="40">
        <v>256.14999999999998</v>
      </c>
      <c r="L17" s="40">
        <v>30.06</v>
      </c>
      <c r="M17" s="40">
        <v>78.95</v>
      </c>
      <c r="N17" s="40">
        <v>128</v>
      </c>
      <c r="O17" s="40">
        <v>0</v>
      </c>
      <c r="P17" s="40">
        <v>0.49</v>
      </c>
      <c r="Q17" s="40">
        <v>29.01</v>
      </c>
      <c r="R17" s="38"/>
      <c r="S17" s="38"/>
      <c r="T17" s="38"/>
      <c r="U17" s="38"/>
    </row>
    <row r="18" spans="1:21" customFormat="1">
      <c r="A18" s="39" t="s">
        <v>549</v>
      </c>
      <c r="B18" s="40">
        <v>5.32</v>
      </c>
      <c r="C18" s="40">
        <v>15.64</v>
      </c>
      <c r="D18" s="40">
        <v>11.36</v>
      </c>
      <c r="E18" s="40">
        <v>5.63</v>
      </c>
      <c r="F18" s="40">
        <v>8.5</v>
      </c>
      <c r="G18" s="40">
        <v>46.83</v>
      </c>
      <c r="H18" s="40">
        <v>18.690000000000001</v>
      </c>
      <c r="I18" s="40">
        <v>11.74</v>
      </c>
      <c r="J18" s="40">
        <v>1.85</v>
      </c>
      <c r="K18" s="40">
        <v>358.76</v>
      </c>
      <c r="L18" s="40">
        <v>31.32</v>
      </c>
      <c r="M18" s="40">
        <v>75.59</v>
      </c>
      <c r="N18" s="40">
        <v>241.7</v>
      </c>
      <c r="O18" s="40">
        <v>0</v>
      </c>
      <c r="P18" s="40">
        <v>0.57999999999999996</v>
      </c>
      <c r="Q18" s="40">
        <v>28.89</v>
      </c>
      <c r="R18" s="38"/>
      <c r="S18" s="38"/>
      <c r="T18" s="38"/>
      <c r="U18" s="38"/>
    </row>
    <row r="19" spans="1:21" customFormat="1">
      <c r="A19" s="39" t="s">
        <v>550</v>
      </c>
      <c r="B19" s="40">
        <v>5.36</v>
      </c>
      <c r="C19" s="40">
        <v>20.85</v>
      </c>
      <c r="D19" s="40">
        <v>14.2</v>
      </c>
      <c r="E19" s="40">
        <v>6.1</v>
      </c>
      <c r="F19" s="40">
        <v>12.27</v>
      </c>
      <c r="G19" s="40">
        <v>57.47</v>
      </c>
      <c r="H19" s="40">
        <v>18.809999999999999</v>
      </c>
      <c r="I19" s="40">
        <v>13.25</v>
      </c>
      <c r="J19" s="40">
        <v>2.2599999999999998</v>
      </c>
      <c r="K19" s="40">
        <v>70.02</v>
      </c>
      <c r="L19" s="40">
        <v>32.54</v>
      </c>
      <c r="M19" s="40">
        <v>70.89</v>
      </c>
      <c r="N19" s="40">
        <v>203.9</v>
      </c>
      <c r="O19" s="40">
        <v>0</v>
      </c>
      <c r="P19" s="40">
        <v>0.63</v>
      </c>
      <c r="Q19" s="40">
        <v>28.76</v>
      </c>
      <c r="R19" s="38"/>
      <c r="S19" s="38"/>
      <c r="T19" s="38"/>
      <c r="U19" s="38"/>
    </row>
    <row r="20" spans="1:21" customFormat="1">
      <c r="A20" s="39" t="s">
        <v>551</v>
      </c>
      <c r="B20" s="40">
        <v>5.28</v>
      </c>
      <c r="C20" s="40">
        <v>19.18</v>
      </c>
      <c r="D20" s="40">
        <v>13.17</v>
      </c>
      <c r="E20" s="40">
        <v>7.16</v>
      </c>
      <c r="F20" s="40">
        <v>14.25</v>
      </c>
      <c r="G20" s="40">
        <v>59.01</v>
      </c>
      <c r="H20" s="40">
        <v>21.79</v>
      </c>
      <c r="I20" s="40">
        <v>14.31</v>
      </c>
      <c r="J20" s="40">
        <v>1.41</v>
      </c>
      <c r="K20" s="40">
        <v>345.19</v>
      </c>
      <c r="L20" s="40">
        <v>36.24</v>
      </c>
      <c r="M20" s="40">
        <v>68.239999999999995</v>
      </c>
      <c r="N20" s="40">
        <v>264.7</v>
      </c>
      <c r="O20" s="40">
        <v>0</v>
      </c>
      <c r="P20" s="40">
        <v>0.69</v>
      </c>
      <c r="Q20" s="40">
        <v>28.66</v>
      </c>
      <c r="R20" s="38"/>
      <c r="S20" s="38"/>
      <c r="T20" s="38"/>
      <c r="U20" s="38"/>
    </row>
    <row r="21" spans="1:21" customFormat="1">
      <c r="A21" s="39" t="s">
        <v>552</v>
      </c>
      <c r="B21" s="40">
        <v>4.91</v>
      </c>
      <c r="C21" s="40">
        <v>16.84</v>
      </c>
      <c r="D21" s="40">
        <v>11.36</v>
      </c>
      <c r="E21" s="40">
        <v>6.83</v>
      </c>
      <c r="F21" s="40">
        <v>13.23</v>
      </c>
      <c r="G21" s="40">
        <v>77.09</v>
      </c>
      <c r="H21" s="40">
        <v>25.83</v>
      </c>
      <c r="I21" s="40">
        <v>16.36</v>
      </c>
      <c r="J21" s="40">
        <v>1.49</v>
      </c>
      <c r="K21" s="40">
        <v>268.2</v>
      </c>
      <c r="L21" s="40">
        <v>37.35</v>
      </c>
      <c r="M21" s="40">
        <v>62.35</v>
      </c>
      <c r="N21" s="40">
        <v>351.4</v>
      </c>
      <c r="O21" s="40">
        <v>0</v>
      </c>
      <c r="P21" s="40">
        <v>0.74</v>
      </c>
      <c r="Q21" s="40">
        <v>28.72</v>
      </c>
      <c r="R21" s="38"/>
      <c r="S21" s="38"/>
      <c r="T21" s="38"/>
      <c r="U21" s="38"/>
    </row>
    <row r="22" spans="1:21" customFormat="1">
      <c r="A22" s="39" t="s">
        <v>553</v>
      </c>
      <c r="B22" s="40">
        <v>3.8</v>
      </c>
      <c r="C22" s="40">
        <v>19.190000000000001</v>
      </c>
      <c r="D22" s="40">
        <v>11.79</v>
      </c>
      <c r="E22" s="40">
        <v>8.01</v>
      </c>
      <c r="F22" s="40">
        <v>29.66</v>
      </c>
      <c r="G22" s="40">
        <v>81.45</v>
      </c>
      <c r="H22" s="40">
        <v>29.48</v>
      </c>
      <c r="I22" s="40">
        <v>22.49</v>
      </c>
      <c r="J22" s="40">
        <v>1.57</v>
      </c>
      <c r="K22" s="40">
        <v>302.79000000000002</v>
      </c>
      <c r="L22" s="40">
        <v>39.869999999999997</v>
      </c>
      <c r="M22" s="40">
        <v>58.67</v>
      </c>
      <c r="N22" s="40">
        <v>674.5</v>
      </c>
      <c r="O22" s="40">
        <v>0</v>
      </c>
      <c r="P22" s="40">
        <v>0.83</v>
      </c>
      <c r="Q22" s="40">
        <v>28.88</v>
      </c>
      <c r="R22" s="38"/>
      <c r="S22" s="38"/>
      <c r="T22" s="38"/>
      <c r="U22" s="38"/>
    </row>
    <row r="23" spans="1:21" customFormat="1">
      <c r="A23" s="39" t="s">
        <v>554</v>
      </c>
      <c r="B23" s="40">
        <v>2.69</v>
      </c>
      <c r="C23" s="40">
        <v>14.49</v>
      </c>
      <c r="D23" s="40">
        <v>8.35</v>
      </c>
      <c r="E23" s="40">
        <v>8.02</v>
      </c>
      <c r="F23" s="40">
        <v>37.479999999999997</v>
      </c>
      <c r="G23" s="40">
        <v>69.13</v>
      </c>
      <c r="H23" s="40">
        <v>31.55</v>
      </c>
      <c r="I23" s="40">
        <v>19.78</v>
      </c>
      <c r="J23" s="40">
        <v>1.63</v>
      </c>
      <c r="K23" s="40">
        <v>284.94</v>
      </c>
      <c r="L23" s="40">
        <v>40.729999999999997</v>
      </c>
      <c r="M23" s="40">
        <v>49.95</v>
      </c>
      <c r="N23" s="40">
        <v>513.9</v>
      </c>
      <c r="O23" s="40">
        <v>0</v>
      </c>
      <c r="P23" s="40">
        <v>0.82</v>
      </c>
      <c r="Q23" s="40">
        <v>29.03</v>
      </c>
      <c r="R23" s="38"/>
      <c r="S23" s="38"/>
      <c r="T23" s="38"/>
      <c r="U23" s="38"/>
    </row>
    <row r="24" spans="1:21" customFormat="1">
      <c r="A24" s="39" t="s">
        <v>555</v>
      </c>
      <c r="B24" s="40">
        <v>2.14</v>
      </c>
      <c r="C24" s="40">
        <v>13.58</v>
      </c>
      <c r="D24" s="40">
        <v>7.82</v>
      </c>
      <c r="E24" s="40">
        <v>7.31</v>
      </c>
      <c r="F24" s="40">
        <v>41.56</v>
      </c>
      <c r="G24" s="40">
        <v>72.53</v>
      </c>
      <c r="H24" s="40">
        <v>32.94</v>
      </c>
      <c r="I24" s="40">
        <v>20.79</v>
      </c>
      <c r="J24" s="40">
        <v>1.78</v>
      </c>
      <c r="K24" s="40">
        <v>288.10000000000002</v>
      </c>
      <c r="L24" s="40">
        <v>42.17</v>
      </c>
      <c r="M24" s="40">
        <v>44.31</v>
      </c>
      <c r="N24" s="40">
        <v>538.5</v>
      </c>
      <c r="O24" s="40">
        <v>0</v>
      </c>
      <c r="P24" s="40">
        <v>0.82</v>
      </c>
      <c r="Q24" s="40">
        <v>29.09</v>
      </c>
      <c r="R24" s="38"/>
      <c r="S24" s="38"/>
      <c r="T24" s="38"/>
      <c r="U24" s="38"/>
    </row>
    <row r="25" spans="1:21" customFormat="1">
      <c r="A25" s="39" t="s">
        <v>556</v>
      </c>
      <c r="B25" s="40">
        <v>1.78</v>
      </c>
      <c r="C25" s="40">
        <v>13.22</v>
      </c>
      <c r="D25" s="40">
        <v>7.33</v>
      </c>
      <c r="E25" s="40">
        <v>7.36</v>
      </c>
      <c r="F25" s="40">
        <v>34.799999999999997</v>
      </c>
      <c r="G25" s="40">
        <v>78.33</v>
      </c>
      <c r="H25" s="40">
        <v>32.1</v>
      </c>
      <c r="I25" s="40">
        <v>20.65</v>
      </c>
      <c r="J25" s="40">
        <v>1.54</v>
      </c>
      <c r="K25" s="40">
        <v>228.34</v>
      </c>
      <c r="L25" s="40">
        <v>42.33</v>
      </c>
      <c r="M25" s="40">
        <v>40.79</v>
      </c>
      <c r="N25" s="40">
        <v>347</v>
      </c>
      <c r="O25" s="40">
        <v>0</v>
      </c>
      <c r="P25" s="40">
        <v>0.82</v>
      </c>
      <c r="Q25" s="40">
        <v>29.17</v>
      </c>
      <c r="R25" s="38"/>
      <c r="S25" s="38"/>
      <c r="T25" s="38"/>
      <c r="U25" s="38"/>
    </row>
    <row r="26" spans="1:21" customFormat="1">
      <c r="A26" s="39" t="s">
        <v>557</v>
      </c>
      <c r="B26" s="40">
        <v>1.73</v>
      </c>
      <c r="C26" s="40">
        <v>11.99</v>
      </c>
      <c r="D26" s="40">
        <v>6.65</v>
      </c>
      <c r="E26" s="40">
        <v>7.54</v>
      </c>
      <c r="F26" s="40">
        <v>51.78</v>
      </c>
      <c r="G26" s="40">
        <v>45.13</v>
      </c>
      <c r="H26" s="40">
        <v>28.24</v>
      </c>
      <c r="I26" s="40">
        <v>18.600000000000001</v>
      </c>
      <c r="J26" s="40">
        <v>1.64</v>
      </c>
      <c r="K26" s="40">
        <v>152.61000000000001</v>
      </c>
      <c r="L26" s="40">
        <v>42.01</v>
      </c>
      <c r="M26" s="40">
        <v>44.93</v>
      </c>
      <c r="N26" s="40">
        <v>132.30000000000001</v>
      </c>
      <c r="O26" s="40">
        <v>0</v>
      </c>
      <c r="P26" s="40">
        <v>0.65</v>
      </c>
      <c r="Q26" s="40">
        <v>29.5</v>
      </c>
      <c r="R26" s="38"/>
      <c r="S26" s="38"/>
      <c r="T26" s="38"/>
      <c r="U26" s="38"/>
    </row>
    <row r="27" spans="1:21" customFormat="1">
      <c r="A27" s="39" t="s">
        <v>558</v>
      </c>
      <c r="B27" s="40">
        <v>1.55</v>
      </c>
      <c r="C27" s="40">
        <v>11.53</v>
      </c>
      <c r="D27" s="40">
        <v>6.24</v>
      </c>
      <c r="E27" s="40">
        <v>6.88</v>
      </c>
      <c r="F27" s="40">
        <v>47.64</v>
      </c>
      <c r="G27" s="40">
        <v>37.880000000000003</v>
      </c>
      <c r="H27" s="40">
        <v>28.88</v>
      </c>
      <c r="I27" s="40">
        <v>13.49</v>
      </c>
      <c r="J27" s="40">
        <v>1.66</v>
      </c>
      <c r="K27" s="40">
        <v>135.46</v>
      </c>
      <c r="L27" s="40">
        <v>40.32</v>
      </c>
      <c r="M27" s="40">
        <v>51.35</v>
      </c>
      <c r="N27" s="40">
        <v>41.2</v>
      </c>
      <c r="O27" s="40">
        <v>0</v>
      </c>
      <c r="P27" s="40">
        <v>0.62</v>
      </c>
      <c r="Q27" s="40">
        <v>29.47</v>
      </c>
      <c r="R27" s="38"/>
      <c r="S27" s="38"/>
      <c r="T27" s="38"/>
      <c r="U27" s="38"/>
    </row>
    <row r="28" spans="1:21" customFormat="1">
      <c r="A28" s="39" t="s">
        <v>559</v>
      </c>
      <c r="B28" s="40">
        <v>1.71</v>
      </c>
      <c r="C28" s="40">
        <v>14.63</v>
      </c>
      <c r="D28" s="40">
        <v>8</v>
      </c>
      <c r="E28" s="40">
        <v>6.83</v>
      </c>
      <c r="F28" s="40">
        <v>39.479999999999997</v>
      </c>
      <c r="G28" s="40">
        <v>33.32</v>
      </c>
      <c r="H28" s="40">
        <v>25.08</v>
      </c>
      <c r="I28" s="40">
        <v>15.19</v>
      </c>
      <c r="J28" s="40">
        <v>3.38</v>
      </c>
      <c r="K28" s="40">
        <v>164.12</v>
      </c>
      <c r="L28" s="40">
        <v>39.869999999999997</v>
      </c>
      <c r="M28" s="40">
        <v>55.3</v>
      </c>
      <c r="N28" s="40">
        <v>22.9</v>
      </c>
      <c r="O28" s="40">
        <v>0</v>
      </c>
      <c r="P28" s="40">
        <v>0.74</v>
      </c>
      <c r="Q28" s="40">
        <v>29.07</v>
      </c>
      <c r="R28" s="38"/>
      <c r="S28" s="38"/>
      <c r="T28" s="38"/>
      <c r="U28" s="38"/>
    </row>
    <row r="29" spans="1:21" customFormat="1">
      <c r="A29" s="39" t="s">
        <v>560</v>
      </c>
      <c r="B29" s="40">
        <v>1.78</v>
      </c>
      <c r="C29" s="40">
        <v>16.760000000000002</v>
      </c>
      <c r="D29" s="40">
        <v>9.19</v>
      </c>
      <c r="E29" s="40">
        <v>7.33</v>
      </c>
      <c r="F29" s="40">
        <v>36.200000000000003</v>
      </c>
      <c r="G29" s="40">
        <v>43.12</v>
      </c>
      <c r="H29" s="40">
        <v>24.92</v>
      </c>
      <c r="I29" s="40">
        <v>15.65</v>
      </c>
      <c r="J29" s="40">
        <v>2.6</v>
      </c>
      <c r="K29" s="40">
        <v>189.11</v>
      </c>
      <c r="L29" s="40">
        <v>38.06</v>
      </c>
      <c r="M29" s="40">
        <v>56.5</v>
      </c>
      <c r="N29" s="40">
        <v>23.2</v>
      </c>
      <c r="O29" s="40">
        <v>0</v>
      </c>
      <c r="P29" s="40">
        <v>0.72</v>
      </c>
      <c r="Q29" s="40">
        <v>29.16</v>
      </c>
      <c r="R29" s="38"/>
      <c r="S29" s="38"/>
      <c r="T29" s="38"/>
      <c r="U29" s="38"/>
    </row>
    <row r="30" spans="1:21" customFormat="1">
      <c r="A30" s="39" t="s">
        <v>561</v>
      </c>
      <c r="B30" s="40">
        <v>3.81</v>
      </c>
      <c r="C30" s="40">
        <v>19.62</v>
      </c>
      <c r="D30" s="40">
        <v>12.32</v>
      </c>
      <c r="E30" s="40">
        <v>7.2</v>
      </c>
      <c r="F30" s="40">
        <v>20.39</v>
      </c>
      <c r="G30" s="40">
        <v>46.53</v>
      </c>
      <c r="H30" s="40">
        <v>24.41</v>
      </c>
      <c r="I30" s="40">
        <v>16.690000000000001</v>
      </c>
      <c r="J30" s="40">
        <v>2.5299999999999998</v>
      </c>
      <c r="K30" s="40">
        <v>332.15</v>
      </c>
      <c r="L30" s="40">
        <v>37.28</v>
      </c>
      <c r="M30" s="40">
        <v>59.96</v>
      </c>
      <c r="N30" s="40">
        <v>23.1</v>
      </c>
      <c r="O30" s="40">
        <v>0</v>
      </c>
      <c r="P30" s="40">
        <v>0.99</v>
      </c>
      <c r="Q30" s="40">
        <v>28.55</v>
      </c>
      <c r="R30" s="38"/>
      <c r="S30" s="38"/>
      <c r="T30" s="38"/>
      <c r="U30" s="38"/>
    </row>
    <row r="31" spans="1:21" customFormat="1">
      <c r="A31" s="39" t="s">
        <v>562</v>
      </c>
      <c r="B31" s="40">
        <v>4.6100000000000003</v>
      </c>
      <c r="C31" s="40">
        <v>21.62</v>
      </c>
      <c r="D31" s="40">
        <v>14</v>
      </c>
      <c r="E31" s="40">
        <v>6.77</v>
      </c>
      <c r="F31" s="40">
        <v>19.559999999999999</v>
      </c>
      <c r="G31" s="40">
        <v>68.31</v>
      </c>
      <c r="H31" s="40">
        <v>22.26</v>
      </c>
      <c r="I31" s="40">
        <v>16.48</v>
      </c>
      <c r="J31" s="40">
        <v>3.85</v>
      </c>
      <c r="K31" s="40">
        <v>73.64</v>
      </c>
      <c r="L31" s="40">
        <v>33.380000000000003</v>
      </c>
      <c r="M31" s="40">
        <v>58.92</v>
      </c>
      <c r="N31" s="40">
        <v>23.7</v>
      </c>
      <c r="O31" s="40">
        <v>0</v>
      </c>
      <c r="P31" s="40">
        <v>0.82</v>
      </c>
      <c r="Q31" s="40">
        <v>28.89</v>
      </c>
      <c r="R31" s="38"/>
      <c r="S31" s="38"/>
      <c r="T31" s="38"/>
      <c r="U31" s="38"/>
    </row>
    <row r="32" spans="1:21" customFormat="1">
      <c r="A32" s="39" t="s">
        <v>563</v>
      </c>
      <c r="B32" s="40">
        <v>2.95</v>
      </c>
      <c r="C32" s="40">
        <v>17.649999999999999</v>
      </c>
      <c r="D32" s="40">
        <v>10.52</v>
      </c>
      <c r="E32" s="40">
        <v>8.64</v>
      </c>
      <c r="F32" s="40">
        <v>12.75</v>
      </c>
      <c r="G32" s="40">
        <v>53.92</v>
      </c>
      <c r="H32" s="40">
        <v>19.95</v>
      </c>
      <c r="I32" s="40">
        <v>14.14</v>
      </c>
      <c r="J32" s="40">
        <v>3.33</v>
      </c>
      <c r="K32" s="40">
        <v>160.44</v>
      </c>
      <c r="L32" s="40">
        <v>35.369999999999997</v>
      </c>
      <c r="M32" s="40">
        <v>57.43</v>
      </c>
      <c r="N32" s="40">
        <v>23.3</v>
      </c>
      <c r="O32" s="40">
        <v>0</v>
      </c>
      <c r="P32" s="40">
        <v>0.76</v>
      </c>
      <c r="Q32" s="40">
        <v>28.94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1.55</v>
      </c>
      <c r="C34" s="18">
        <f t="shared" si="0"/>
        <v>11.53</v>
      </c>
      <c r="D34" s="18">
        <f t="shared" si="0"/>
        <v>6.24</v>
      </c>
      <c r="E34" s="18">
        <f t="shared" si="0"/>
        <v>5.5</v>
      </c>
      <c r="F34" s="18">
        <f t="shared" si="0"/>
        <v>4.3</v>
      </c>
      <c r="G34" s="18">
        <f t="shared" si="0"/>
        <v>22.21</v>
      </c>
      <c r="H34" s="18">
        <f t="shared" si="0"/>
        <v>16.7</v>
      </c>
      <c r="I34" s="18">
        <f t="shared" si="0"/>
        <v>8.94</v>
      </c>
      <c r="J34" s="18">
        <f t="shared" si="0"/>
        <v>1.36</v>
      </c>
      <c r="K34" s="18">
        <f t="shared" si="0"/>
        <v>57.91</v>
      </c>
      <c r="L34" s="18">
        <f t="shared" si="0"/>
        <v>28.28</v>
      </c>
      <c r="M34" s="18">
        <f t="shared" si="0"/>
        <v>40.79</v>
      </c>
      <c r="N34" s="18">
        <f t="shared" si="0"/>
        <v>22.9</v>
      </c>
      <c r="O34" s="18">
        <f t="shared" si="0"/>
        <v>0</v>
      </c>
      <c r="P34" s="18">
        <f t="shared" si="0"/>
        <v>0.49</v>
      </c>
      <c r="Q34" s="18">
        <f t="shared" si="0"/>
        <v>28.41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6.32</v>
      </c>
      <c r="C35" s="3">
        <f t="shared" si="1"/>
        <v>23.86</v>
      </c>
      <c r="D35" s="3">
        <f t="shared" si="1"/>
        <v>16.18</v>
      </c>
      <c r="E35" s="3">
        <f t="shared" si="1"/>
        <v>8.64</v>
      </c>
      <c r="F35" s="3">
        <f t="shared" si="1"/>
        <v>51.78</v>
      </c>
      <c r="G35" s="3">
        <f t="shared" si="1"/>
        <v>143.26</v>
      </c>
      <c r="H35" s="3">
        <f t="shared" si="1"/>
        <v>32.94</v>
      </c>
      <c r="I35" s="3">
        <f t="shared" si="1"/>
        <v>22.49</v>
      </c>
      <c r="J35" s="3">
        <f t="shared" si="1"/>
        <v>6.69</v>
      </c>
      <c r="K35" s="3">
        <f t="shared" si="1"/>
        <v>358.76</v>
      </c>
      <c r="L35" s="3">
        <f t="shared" si="1"/>
        <v>42.33</v>
      </c>
      <c r="M35" s="3">
        <f t="shared" si="1"/>
        <v>87.61</v>
      </c>
      <c r="N35" s="3">
        <f t="shared" si="1"/>
        <v>674.5</v>
      </c>
      <c r="O35" s="3">
        <f t="shared" si="1"/>
        <v>0.4</v>
      </c>
      <c r="P35" s="3">
        <f t="shared" si="1"/>
        <v>0.99</v>
      </c>
      <c r="Q35" s="3">
        <f t="shared" si="1"/>
        <v>29.5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3.9774999999999996</v>
      </c>
      <c r="C36" s="18">
        <f t="shared" si="2"/>
        <v>17.734583333333333</v>
      </c>
      <c r="D36" s="18">
        <f t="shared" si="2"/>
        <v>11.356249999999998</v>
      </c>
      <c r="E36" s="18">
        <f t="shared" si="2"/>
        <v>7.1412499999999994</v>
      </c>
      <c r="F36" s="18">
        <f t="shared" si="2"/>
        <v>22.053333333333331</v>
      </c>
      <c r="G36" s="18">
        <f t="shared" si="2"/>
        <v>57.952500000000008</v>
      </c>
      <c r="H36" s="18">
        <f t="shared" si="2"/>
        <v>24.31958333333333</v>
      </c>
      <c r="I36" s="18">
        <f t="shared" si="2"/>
        <v>13.999166666666666</v>
      </c>
      <c r="J36" s="18">
        <f t="shared" si="2"/>
        <v>2.8704166666666668</v>
      </c>
      <c r="K36" s="18">
        <f t="shared" si="2"/>
        <v>204.32874999999999</v>
      </c>
      <c r="L36" s="18">
        <f t="shared" si="2"/>
        <v>35.304583333333341</v>
      </c>
      <c r="M36" s="18">
        <f t="shared" si="2"/>
        <v>62.439166666666665</v>
      </c>
      <c r="N36" s="18">
        <f t="shared" si="2"/>
        <v>161.66666666666666</v>
      </c>
      <c r="O36" s="18">
        <f t="shared" si="2"/>
        <v>3.3333333333333333E-2</v>
      </c>
      <c r="P36" s="18">
        <f t="shared" si="2"/>
        <v>0.66708333333333336</v>
      </c>
      <c r="Q36" s="18">
        <f t="shared" si="2"/>
        <v>28.900000000000002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1.5476890205554317</v>
      </c>
      <c r="C37" s="18">
        <f t="shared" ref="C37:Q37" si="3">STDEV(C9:C32)</f>
        <v>3.4883570060200735</v>
      </c>
      <c r="D37" s="18">
        <f t="shared" si="3"/>
        <v>2.8268984579047696</v>
      </c>
      <c r="E37" s="18">
        <f t="shared" si="3"/>
        <v>0.84135662965288727</v>
      </c>
      <c r="F37" s="18">
        <f t="shared" si="3"/>
        <v>14.330247932157397</v>
      </c>
      <c r="G37" s="18">
        <f t="shared" si="3"/>
        <v>26.215373725453865</v>
      </c>
      <c r="H37" s="18">
        <f t="shared" si="3"/>
        <v>4.9663454144232224</v>
      </c>
      <c r="I37" s="18">
        <f t="shared" si="3"/>
        <v>4.2867063637804002</v>
      </c>
      <c r="J37" s="18">
        <f t="shared" si="3"/>
        <v>1.5215109171525822</v>
      </c>
      <c r="K37" s="18">
        <f t="shared" si="3"/>
        <v>91.530812693227062</v>
      </c>
      <c r="L37" s="18">
        <f t="shared" si="3"/>
        <v>4.688236879278957</v>
      </c>
      <c r="M37" s="18">
        <f t="shared" si="3"/>
        <v>13.426287620759563</v>
      </c>
      <c r="N37" s="18">
        <f t="shared" si="3"/>
        <v>192.60694751717563</v>
      </c>
      <c r="O37" s="18">
        <f t="shared" si="3"/>
        <v>9.6308682468615375E-2</v>
      </c>
      <c r="P37" s="18">
        <f t="shared" si="3"/>
        <v>0.13703313362156175</v>
      </c>
      <c r="Q37" s="18">
        <f t="shared" si="3"/>
        <v>0.26406520933778588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564</v>
      </c>
      <c r="B9" s="40">
        <v>7.99</v>
      </c>
      <c r="C9" s="40">
        <v>21.6</v>
      </c>
      <c r="D9" s="40">
        <v>16.22</v>
      </c>
      <c r="E9" s="40">
        <v>8.9</v>
      </c>
      <c r="F9" s="40">
        <v>7.55</v>
      </c>
      <c r="G9" s="40">
        <v>71.069999999999993</v>
      </c>
      <c r="H9" s="40">
        <v>25.42</v>
      </c>
      <c r="I9" s="40">
        <v>14.56</v>
      </c>
      <c r="J9" s="40">
        <v>2.56</v>
      </c>
      <c r="K9" s="40">
        <v>137.88999999999999</v>
      </c>
      <c r="L9" s="40">
        <v>35.520000000000003</v>
      </c>
      <c r="M9" s="40">
        <v>57.43</v>
      </c>
      <c r="N9" s="40">
        <v>23.3</v>
      </c>
      <c r="O9" s="40">
        <v>0</v>
      </c>
      <c r="P9" s="40">
        <v>0.8</v>
      </c>
      <c r="Q9" s="40">
        <v>28.54</v>
      </c>
      <c r="R9" s="38"/>
      <c r="S9" s="38"/>
      <c r="T9" s="38"/>
      <c r="U9" s="38"/>
    </row>
    <row r="10" spans="1:21" customFormat="1">
      <c r="A10" s="39" t="s">
        <v>565</v>
      </c>
      <c r="B10" s="40">
        <v>6.72</v>
      </c>
      <c r="C10" s="40">
        <v>22.9</v>
      </c>
      <c r="D10" s="40">
        <v>15.51</v>
      </c>
      <c r="E10" s="40">
        <v>7.56</v>
      </c>
      <c r="F10" s="40">
        <v>5.22</v>
      </c>
      <c r="G10" s="40">
        <v>101.17</v>
      </c>
      <c r="H10" s="40">
        <v>36.229999999999997</v>
      </c>
      <c r="I10" s="40">
        <v>14.14</v>
      </c>
      <c r="J10" s="40">
        <v>2.81</v>
      </c>
      <c r="K10" s="40">
        <v>120.27</v>
      </c>
      <c r="L10" s="40">
        <v>32.94</v>
      </c>
      <c r="M10" s="40">
        <v>61.39</v>
      </c>
      <c r="N10" s="40">
        <v>23.2</v>
      </c>
      <c r="O10" s="40">
        <v>0</v>
      </c>
      <c r="P10" s="40">
        <v>0.8</v>
      </c>
      <c r="Q10" s="40">
        <v>28.16</v>
      </c>
      <c r="R10" s="38"/>
      <c r="S10" s="38"/>
      <c r="T10" s="38"/>
      <c r="U10" s="38"/>
    </row>
    <row r="11" spans="1:21" customFormat="1">
      <c r="A11" s="39" t="s">
        <v>566</v>
      </c>
      <c r="B11" s="40">
        <v>8.67</v>
      </c>
      <c r="C11" s="40">
        <v>20.38</v>
      </c>
      <c r="D11" s="40">
        <v>15.64</v>
      </c>
      <c r="E11" s="40">
        <v>6.39</v>
      </c>
      <c r="F11" s="40">
        <v>5.32</v>
      </c>
      <c r="G11" s="40">
        <v>102.8</v>
      </c>
      <c r="H11" s="40">
        <v>34.49</v>
      </c>
      <c r="I11" s="40">
        <v>14.59</v>
      </c>
      <c r="J11" s="40">
        <v>2.8</v>
      </c>
      <c r="K11" s="40">
        <v>142.72999999999999</v>
      </c>
      <c r="L11" s="40">
        <v>32.979999999999997</v>
      </c>
      <c r="M11" s="40">
        <v>64.77</v>
      </c>
      <c r="N11" s="40">
        <v>23.3</v>
      </c>
      <c r="O11" s="40">
        <v>0</v>
      </c>
      <c r="P11" s="40">
        <v>0.8</v>
      </c>
      <c r="Q11" s="40">
        <v>28.33</v>
      </c>
      <c r="R11" s="38"/>
      <c r="S11" s="38"/>
      <c r="T11" s="38"/>
      <c r="U11" s="38"/>
    </row>
    <row r="12" spans="1:21" customFormat="1">
      <c r="A12" s="39" t="s">
        <v>567</v>
      </c>
      <c r="B12" s="40">
        <v>7.74</v>
      </c>
      <c r="C12" s="40">
        <v>14.71</v>
      </c>
      <c r="D12" s="40">
        <v>12.41</v>
      </c>
      <c r="E12" s="40">
        <v>6.63</v>
      </c>
      <c r="F12" s="40">
        <v>9.7799999999999994</v>
      </c>
      <c r="G12" s="40">
        <v>97.92</v>
      </c>
      <c r="H12" s="40">
        <v>34.72</v>
      </c>
      <c r="I12" s="40">
        <v>14.31</v>
      </c>
      <c r="J12" s="40">
        <v>2.61</v>
      </c>
      <c r="K12" s="40">
        <v>150.63</v>
      </c>
      <c r="L12" s="40">
        <v>32.880000000000003</v>
      </c>
      <c r="M12" s="40">
        <v>61.89</v>
      </c>
      <c r="N12" s="40">
        <v>23.2</v>
      </c>
      <c r="O12" s="40">
        <v>0</v>
      </c>
      <c r="P12" s="40">
        <v>0.69</v>
      </c>
      <c r="Q12" s="40">
        <v>28.92</v>
      </c>
      <c r="R12" s="38"/>
      <c r="S12" s="38"/>
      <c r="T12" s="38"/>
      <c r="U12" s="38"/>
    </row>
    <row r="13" spans="1:21" customFormat="1">
      <c r="A13" s="39" t="s">
        <v>568</v>
      </c>
      <c r="B13" s="40">
        <v>7.37</v>
      </c>
      <c r="C13" s="40">
        <v>14.62</v>
      </c>
      <c r="D13" s="40">
        <v>12.56</v>
      </c>
      <c r="E13" s="40">
        <v>6.3</v>
      </c>
      <c r="F13" s="40">
        <v>9.1999999999999993</v>
      </c>
      <c r="G13" s="40">
        <v>65.010000000000005</v>
      </c>
      <c r="H13" s="40">
        <v>28.45</v>
      </c>
      <c r="I13" s="40">
        <v>12.45</v>
      </c>
      <c r="J13" s="40">
        <v>2.83</v>
      </c>
      <c r="K13" s="40">
        <v>139.34</v>
      </c>
      <c r="L13" s="40">
        <v>31.78</v>
      </c>
      <c r="M13" s="40">
        <v>62.46</v>
      </c>
      <c r="N13" s="40">
        <v>23.4</v>
      </c>
      <c r="O13" s="40">
        <v>0</v>
      </c>
      <c r="P13" s="40">
        <v>0.64</v>
      </c>
      <c r="Q13" s="40">
        <v>28.84</v>
      </c>
      <c r="R13" s="38"/>
      <c r="S13" s="38"/>
      <c r="T13" s="38"/>
      <c r="U13" s="38"/>
    </row>
    <row r="14" spans="1:21" customFormat="1">
      <c r="A14" s="39" t="s">
        <v>569</v>
      </c>
      <c r="B14" s="40">
        <v>8.44</v>
      </c>
      <c r="C14" s="40">
        <v>15.91</v>
      </c>
      <c r="D14" s="40">
        <v>14.09</v>
      </c>
      <c r="E14" s="40">
        <v>6.44</v>
      </c>
      <c r="F14" s="40">
        <v>7.63</v>
      </c>
      <c r="G14" s="40">
        <v>61.69</v>
      </c>
      <c r="H14" s="40">
        <v>26.95</v>
      </c>
      <c r="I14" s="40">
        <v>12.21</v>
      </c>
      <c r="J14" s="40">
        <v>2.89</v>
      </c>
      <c r="K14" s="40">
        <v>101.93</v>
      </c>
      <c r="L14" s="40">
        <v>30.78</v>
      </c>
      <c r="M14" s="40">
        <v>65.41</v>
      </c>
      <c r="N14" s="40">
        <v>45.4</v>
      </c>
      <c r="O14" s="40">
        <v>0</v>
      </c>
      <c r="P14" s="40">
        <v>0.62</v>
      </c>
      <c r="Q14" s="40">
        <v>28.65</v>
      </c>
      <c r="R14" s="38"/>
      <c r="S14" s="38"/>
      <c r="T14" s="38"/>
      <c r="U14" s="38"/>
    </row>
    <row r="15" spans="1:21" customFormat="1">
      <c r="A15" s="39" t="s">
        <v>570</v>
      </c>
      <c r="B15" s="40">
        <v>8.83</v>
      </c>
      <c r="C15" s="40">
        <v>18.329999999999998</v>
      </c>
      <c r="D15" s="40">
        <v>15.66</v>
      </c>
      <c r="E15" s="40">
        <v>6.63</v>
      </c>
      <c r="F15" s="40">
        <v>5.85</v>
      </c>
      <c r="G15" s="40">
        <v>48.53</v>
      </c>
      <c r="H15" s="40">
        <v>25.43</v>
      </c>
      <c r="I15" s="40">
        <v>12.33</v>
      </c>
      <c r="J15" s="40">
        <v>3.53</v>
      </c>
      <c r="K15" s="40">
        <v>187.02</v>
      </c>
      <c r="L15" s="40">
        <v>32.29</v>
      </c>
      <c r="M15" s="40">
        <v>64.11</v>
      </c>
      <c r="N15" s="40">
        <v>137.6</v>
      </c>
      <c r="O15" s="40">
        <v>0</v>
      </c>
      <c r="P15" s="40">
        <v>0.6</v>
      </c>
      <c r="Q15" s="40">
        <v>28.72</v>
      </c>
      <c r="R15" s="38"/>
      <c r="S15" s="38"/>
      <c r="T15" s="38"/>
      <c r="U15" s="38"/>
    </row>
    <row r="16" spans="1:21" customFormat="1">
      <c r="A16" s="39" t="s">
        <v>571</v>
      </c>
      <c r="B16" s="24" t="s">
        <v>14</v>
      </c>
      <c r="C16" s="24" t="s">
        <v>14</v>
      </c>
      <c r="D16" s="24" t="s">
        <v>14</v>
      </c>
      <c r="E16" s="40">
        <v>6.68</v>
      </c>
      <c r="F16" s="40">
        <v>12.17</v>
      </c>
      <c r="G16" s="40">
        <v>51.88</v>
      </c>
      <c r="H16" s="40">
        <v>17.11</v>
      </c>
      <c r="I16" s="40">
        <v>12.32</v>
      </c>
      <c r="J16" s="40">
        <v>3.19</v>
      </c>
      <c r="K16" s="40">
        <v>248.39</v>
      </c>
      <c r="L16" s="40">
        <v>33.549999999999997</v>
      </c>
      <c r="M16" s="40">
        <v>57.19</v>
      </c>
      <c r="N16" s="40">
        <v>262.8</v>
      </c>
      <c r="O16" s="40">
        <v>0</v>
      </c>
      <c r="P16" s="40">
        <v>0.55000000000000004</v>
      </c>
      <c r="Q16" s="40">
        <v>28.82</v>
      </c>
      <c r="R16" s="38"/>
      <c r="S16" s="38"/>
      <c r="T16" s="38"/>
      <c r="U16" s="38"/>
    </row>
    <row r="17" spans="1:21" customFormat="1">
      <c r="A17" s="39" t="s">
        <v>572</v>
      </c>
      <c r="B17" s="24" t="s">
        <v>14</v>
      </c>
      <c r="C17" s="24" t="s">
        <v>14</v>
      </c>
      <c r="D17" s="24" t="s">
        <v>14</v>
      </c>
      <c r="E17" s="40">
        <v>5.64</v>
      </c>
      <c r="F17" s="40">
        <v>9.6300000000000008</v>
      </c>
      <c r="G17" s="40">
        <v>46.75</v>
      </c>
      <c r="H17" s="40">
        <v>17.97</v>
      </c>
      <c r="I17" s="40">
        <v>11.93</v>
      </c>
      <c r="J17" s="40">
        <v>4.41</v>
      </c>
      <c r="K17" s="40">
        <v>254.53</v>
      </c>
      <c r="L17" s="40">
        <v>34.56</v>
      </c>
      <c r="M17" s="40">
        <v>54.03</v>
      </c>
      <c r="N17" s="40">
        <v>479</v>
      </c>
      <c r="O17" s="40">
        <v>0</v>
      </c>
      <c r="P17" s="40">
        <v>0.6</v>
      </c>
      <c r="Q17" s="40">
        <v>28.76</v>
      </c>
      <c r="R17" s="38"/>
      <c r="S17" s="38"/>
      <c r="T17" s="38"/>
      <c r="U17" s="38"/>
    </row>
    <row r="18" spans="1:21" customFormat="1">
      <c r="A18" s="39" t="s">
        <v>573</v>
      </c>
      <c r="B18" s="24" t="s">
        <v>14</v>
      </c>
      <c r="C18" s="24" t="s">
        <v>14</v>
      </c>
      <c r="D18" s="24" t="s">
        <v>14</v>
      </c>
      <c r="E18" s="40">
        <v>6.19</v>
      </c>
      <c r="F18" s="40">
        <v>14.63</v>
      </c>
      <c r="G18" s="40">
        <v>45.67</v>
      </c>
      <c r="H18" s="40">
        <v>19.29</v>
      </c>
      <c r="I18" s="40">
        <v>12.12</v>
      </c>
      <c r="J18" s="40">
        <v>3.56</v>
      </c>
      <c r="K18" s="40">
        <v>219.92</v>
      </c>
      <c r="L18" s="40">
        <v>37.26</v>
      </c>
      <c r="M18" s="40">
        <v>49.44</v>
      </c>
      <c r="N18" s="40">
        <v>697.6</v>
      </c>
      <c r="O18" s="40">
        <v>0</v>
      </c>
      <c r="P18" s="40">
        <v>0.62</v>
      </c>
      <c r="Q18" s="40">
        <v>29.15</v>
      </c>
      <c r="R18" s="38"/>
      <c r="S18" s="38"/>
      <c r="T18" s="38"/>
      <c r="U18" s="38"/>
    </row>
    <row r="19" spans="1:21" customFormat="1">
      <c r="A19" s="39" t="s">
        <v>574</v>
      </c>
      <c r="B19" s="24" t="s">
        <v>14</v>
      </c>
      <c r="C19" s="24" t="s">
        <v>14</v>
      </c>
      <c r="D19" s="24" t="s">
        <v>14</v>
      </c>
      <c r="E19" s="40">
        <v>5.99</v>
      </c>
      <c r="F19" s="40">
        <v>20.46</v>
      </c>
      <c r="G19" s="40">
        <v>42.36</v>
      </c>
      <c r="H19" s="40">
        <v>15.62</v>
      </c>
      <c r="I19" s="40">
        <v>11.63</v>
      </c>
      <c r="J19" s="40">
        <v>2.99</v>
      </c>
      <c r="K19" s="40">
        <v>223.58</v>
      </c>
      <c r="L19" s="40">
        <v>38.36</v>
      </c>
      <c r="M19" s="40">
        <v>42.14</v>
      </c>
      <c r="N19" s="40">
        <v>802.3</v>
      </c>
      <c r="O19" s="40">
        <v>0</v>
      </c>
      <c r="P19" s="40">
        <v>0.55000000000000004</v>
      </c>
      <c r="Q19" s="40">
        <v>29.3</v>
      </c>
      <c r="R19" s="38"/>
      <c r="S19" s="38"/>
      <c r="T19" s="38"/>
      <c r="U19" s="38"/>
    </row>
    <row r="20" spans="1:21" customFormat="1">
      <c r="A20" s="39" t="s">
        <v>575</v>
      </c>
      <c r="B20" s="24" t="s">
        <v>14</v>
      </c>
      <c r="C20" s="24" t="s">
        <v>14</v>
      </c>
      <c r="D20" s="24" t="s">
        <v>14</v>
      </c>
      <c r="E20" s="40">
        <v>6.4</v>
      </c>
      <c r="F20" s="40">
        <v>26.69</v>
      </c>
      <c r="G20" s="40">
        <v>36.840000000000003</v>
      </c>
      <c r="H20" s="40">
        <v>17.07</v>
      </c>
      <c r="I20" s="40">
        <v>10.46</v>
      </c>
      <c r="J20" s="40">
        <v>3.54</v>
      </c>
      <c r="K20" s="40">
        <v>243.43</v>
      </c>
      <c r="L20" s="40">
        <v>39.25</v>
      </c>
      <c r="M20" s="40">
        <v>39.049999999999997</v>
      </c>
      <c r="N20" s="40">
        <v>831.7</v>
      </c>
      <c r="O20" s="40">
        <v>0</v>
      </c>
      <c r="P20" s="40">
        <v>0.56000000000000005</v>
      </c>
      <c r="Q20" s="40">
        <v>29.29</v>
      </c>
      <c r="R20" s="38"/>
      <c r="S20" s="38"/>
      <c r="T20" s="38"/>
      <c r="U20" s="38"/>
    </row>
    <row r="21" spans="1:21" customFormat="1">
      <c r="A21" s="39" t="s">
        <v>576</v>
      </c>
      <c r="B21" s="24" t="s">
        <v>14</v>
      </c>
      <c r="C21" s="24" t="s">
        <v>14</v>
      </c>
      <c r="D21" s="24" t="s">
        <v>14</v>
      </c>
      <c r="E21" s="40">
        <v>6.8</v>
      </c>
      <c r="F21" s="40">
        <v>30.09</v>
      </c>
      <c r="G21" s="40">
        <v>32.049999999999997</v>
      </c>
      <c r="H21" s="40">
        <v>18.41</v>
      </c>
      <c r="I21" s="40">
        <v>10.039999999999999</v>
      </c>
      <c r="J21" s="40">
        <v>3.31</v>
      </c>
      <c r="K21" s="40">
        <v>238.81</v>
      </c>
      <c r="L21" s="40">
        <v>40.909999999999997</v>
      </c>
      <c r="M21" s="40">
        <v>37.46</v>
      </c>
      <c r="N21" s="40">
        <v>827.8</v>
      </c>
      <c r="O21" s="40">
        <v>0</v>
      </c>
      <c r="P21" s="40">
        <v>0.54</v>
      </c>
      <c r="Q21" s="40">
        <v>29.29</v>
      </c>
      <c r="R21" s="38"/>
      <c r="S21" s="38"/>
      <c r="T21" s="38"/>
      <c r="U21" s="38"/>
    </row>
    <row r="22" spans="1:21" customFormat="1">
      <c r="A22" s="39" t="s">
        <v>577</v>
      </c>
      <c r="B22" s="24" t="s">
        <v>14</v>
      </c>
      <c r="C22" s="24" t="s">
        <v>14</v>
      </c>
      <c r="D22" s="24" t="s">
        <v>14</v>
      </c>
      <c r="E22" s="40">
        <v>7.1</v>
      </c>
      <c r="F22" s="40">
        <v>24.33</v>
      </c>
      <c r="G22" s="40">
        <v>35.159999999999997</v>
      </c>
      <c r="H22" s="40">
        <v>13.19</v>
      </c>
      <c r="I22" s="40">
        <v>10.210000000000001</v>
      </c>
      <c r="J22" s="40">
        <v>3.39</v>
      </c>
      <c r="K22" s="40">
        <v>245.14</v>
      </c>
      <c r="L22" s="40">
        <v>41.36</v>
      </c>
      <c r="M22" s="40">
        <v>33.68</v>
      </c>
      <c r="N22" s="40">
        <v>816.1</v>
      </c>
      <c r="O22" s="40">
        <v>0</v>
      </c>
      <c r="P22" s="40">
        <v>0.51</v>
      </c>
      <c r="Q22" s="40">
        <v>29.38</v>
      </c>
      <c r="R22" s="38"/>
      <c r="S22" s="38"/>
      <c r="T22" s="38"/>
      <c r="U22" s="38"/>
    </row>
    <row r="23" spans="1:21" customFormat="1">
      <c r="A23" s="39" t="s">
        <v>578</v>
      </c>
      <c r="B23" s="24" t="s">
        <v>14</v>
      </c>
      <c r="C23" s="24" t="s">
        <v>14</v>
      </c>
      <c r="D23" s="24" t="s">
        <v>14</v>
      </c>
      <c r="E23" s="40">
        <v>7.22</v>
      </c>
      <c r="F23" s="40">
        <v>31.72</v>
      </c>
      <c r="G23" s="40">
        <v>31.4</v>
      </c>
      <c r="H23" s="40">
        <v>14.64</v>
      </c>
      <c r="I23" s="40">
        <v>10.130000000000001</v>
      </c>
      <c r="J23" s="40">
        <v>4.25</v>
      </c>
      <c r="K23" s="40">
        <v>230.46</v>
      </c>
      <c r="L23" s="40">
        <v>44.41</v>
      </c>
      <c r="M23" s="40">
        <v>29.75</v>
      </c>
      <c r="N23" s="40">
        <v>716.7</v>
      </c>
      <c r="O23" s="40">
        <v>0</v>
      </c>
      <c r="P23" s="40">
        <v>0.52</v>
      </c>
      <c r="Q23" s="40">
        <v>29.28</v>
      </c>
      <c r="R23" s="38"/>
      <c r="S23" s="38"/>
      <c r="T23" s="38"/>
      <c r="U23" s="38"/>
    </row>
    <row r="24" spans="1:21" customFormat="1">
      <c r="A24" s="39" t="s">
        <v>579</v>
      </c>
      <c r="B24" s="24" t="s">
        <v>14</v>
      </c>
      <c r="C24" s="24" t="s">
        <v>14</v>
      </c>
      <c r="D24" s="24" t="s">
        <v>14</v>
      </c>
      <c r="E24" s="40">
        <v>6.96</v>
      </c>
      <c r="F24" s="40">
        <v>30.32</v>
      </c>
      <c r="G24" s="40">
        <v>34.14</v>
      </c>
      <c r="H24" s="40">
        <v>16.309999999999999</v>
      </c>
      <c r="I24" s="40">
        <v>9.3800000000000008</v>
      </c>
      <c r="J24" s="40">
        <v>2.76</v>
      </c>
      <c r="K24" s="40">
        <v>239.58</v>
      </c>
      <c r="L24" s="40">
        <v>44.17</v>
      </c>
      <c r="M24" s="40">
        <v>27.38</v>
      </c>
      <c r="N24" s="40">
        <v>559.4</v>
      </c>
      <c r="O24" s="40">
        <v>0</v>
      </c>
      <c r="P24" s="40">
        <v>0.5</v>
      </c>
      <c r="Q24" s="40">
        <v>29.32</v>
      </c>
      <c r="R24" s="38"/>
      <c r="S24" s="38"/>
      <c r="T24" s="38"/>
      <c r="U24" s="38"/>
    </row>
    <row r="25" spans="1:21" customFormat="1">
      <c r="A25" s="39" t="s">
        <v>580</v>
      </c>
      <c r="B25" s="24" t="s">
        <v>14</v>
      </c>
      <c r="C25" s="24" t="s">
        <v>14</v>
      </c>
      <c r="D25" s="24" t="s">
        <v>14</v>
      </c>
      <c r="E25" s="40">
        <v>7.36</v>
      </c>
      <c r="F25" s="40">
        <v>34.950000000000003</v>
      </c>
      <c r="G25" s="40">
        <v>35.81</v>
      </c>
      <c r="H25" s="40">
        <v>18.079999999999998</v>
      </c>
      <c r="I25" s="40">
        <v>8.98</v>
      </c>
      <c r="J25" s="40">
        <v>3.2</v>
      </c>
      <c r="K25" s="40">
        <v>229.14</v>
      </c>
      <c r="L25" s="40">
        <v>45.56</v>
      </c>
      <c r="M25" s="40">
        <v>26.63</v>
      </c>
      <c r="N25" s="40">
        <v>364.6</v>
      </c>
      <c r="O25" s="40">
        <v>0</v>
      </c>
      <c r="P25" s="40">
        <v>0.45</v>
      </c>
      <c r="Q25" s="40">
        <v>29.46</v>
      </c>
      <c r="R25" s="38"/>
      <c r="S25" s="38"/>
      <c r="T25" s="38"/>
      <c r="U25" s="38"/>
    </row>
    <row r="26" spans="1:21" customFormat="1">
      <c r="A26" s="39" t="s">
        <v>581</v>
      </c>
      <c r="B26" s="24" t="s">
        <v>14</v>
      </c>
      <c r="C26" s="24" t="s">
        <v>14</v>
      </c>
      <c r="D26" s="24" t="s">
        <v>14</v>
      </c>
      <c r="E26" s="40">
        <v>7.16</v>
      </c>
      <c r="F26" s="40">
        <v>46.41</v>
      </c>
      <c r="G26" s="40">
        <v>33.26</v>
      </c>
      <c r="H26" s="40">
        <v>14.77</v>
      </c>
      <c r="I26" s="40">
        <v>8.73</v>
      </c>
      <c r="J26" s="40">
        <v>3.19</v>
      </c>
      <c r="K26" s="40">
        <v>222.07</v>
      </c>
      <c r="L26" s="40">
        <v>42.93</v>
      </c>
      <c r="M26" s="40">
        <v>27.61</v>
      </c>
      <c r="N26" s="40">
        <v>140.30000000000001</v>
      </c>
      <c r="O26" s="40">
        <v>0</v>
      </c>
      <c r="P26" s="40">
        <v>0.47</v>
      </c>
      <c r="Q26" s="40">
        <v>29.33</v>
      </c>
      <c r="R26" s="38"/>
      <c r="S26" s="38"/>
      <c r="T26" s="38"/>
      <c r="U26" s="38"/>
    </row>
    <row r="27" spans="1:21" customFormat="1">
      <c r="A27" s="39" t="s">
        <v>582</v>
      </c>
      <c r="B27" s="24" t="s">
        <v>14</v>
      </c>
      <c r="C27" s="24" t="s">
        <v>14</v>
      </c>
      <c r="D27" s="24" t="s">
        <v>14</v>
      </c>
      <c r="E27" s="40">
        <v>7.28</v>
      </c>
      <c r="F27" s="40">
        <v>40.61</v>
      </c>
      <c r="G27" s="40">
        <v>31.52</v>
      </c>
      <c r="H27" s="40">
        <v>16.510000000000002</v>
      </c>
      <c r="I27" s="40">
        <v>7.86</v>
      </c>
      <c r="J27" s="40">
        <v>1.66</v>
      </c>
      <c r="K27" s="40">
        <v>203.1</v>
      </c>
      <c r="L27" s="40">
        <v>39.74</v>
      </c>
      <c r="M27" s="40">
        <v>34.93</v>
      </c>
      <c r="N27" s="40">
        <v>38.4</v>
      </c>
      <c r="O27" s="40">
        <v>0</v>
      </c>
      <c r="P27" s="40">
        <v>0.49</v>
      </c>
      <c r="Q27" s="40">
        <v>29.32</v>
      </c>
      <c r="R27" s="38"/>
      <c r="S27" s="38"/>
      <c r="T27" s="38"/>
      <c r="U27" s="38"/>
    </row>
    <row r="28" spans="1:21" customFormat="1">
      <c r="A28" s="39" t="s">
        <v>583</v>
      </c>
      <c r="B28" s="40">
        <v>4.96</v>
      </c>
      <c r="C28" s="40">
        <v>37.229999999999997</v>
      </c>
      <c r="D28" s="40">
        <v>20.38</v>
      </c>
      <c r="E28" s="40">
        <v>4.0599999999999996</v>
      </c>
      <c r="F28" s="40">
        <v>34.03</v>
      </c>
      <c r="G28" s="40">
        <v>31.11</v>
      </c>
      <c r="H28" s="40">
        <v>16.86</v>
      </c>
      <c r="I28" s="40">
        <v>10.18</v>
      </c>
      <c r="J28" s="40">
        <v>1.77</v>
      </c>
      <c r="K28" s="40">
        <v>185.35</v>
      </c>
      <c r="L28" s="40">
        <v>38.24</v>
      </c>
      <c r="M28" s="40">
        <v>34.840000000000003</v>
      </c>
      <c r="N28" s="40">
        <v>22.5</v>
      </c>
      <c r="O28" s="40">
        <v>0</v>
      </c>
      <c r="P28" s="40">
        <v>0.6</v>
      </c>
      <c r="Q28" s="40">
        <v>29.12</v>
      </c>
      <c r="R28" s="38"/>
      <c r="S28" s="38"/>
      <c r="T28" s="38"/>
      <c r="U28" s="38"/>
    </row>
    <row r="29" spans="1:21" customFormat="1">
      <c r="A29" s="39" t="s">
        <v>584</v>
      </c>
      <c r="B29" s="40">
        <v>2.39</v>
      </c>
      <c r="C29" s="40">
        <v>29.44</v>
      </c>
      <c r="D29" s="40">
        <v>16.010000000000002</v>
      </c>
      <c r="E29" s="40">
        <v>7.73</v>
      </c>
      <c r="F29" s="40">
        <v>20.37</v>
      </c>
      <c r="G29" s="40">
        <v>37.21</v>
      </c>
      <c r="H29" s="40">
        <v>16.239999999999998</v>
      </c>
      <c r="I29" s="40">
        <v>10.94</v>
      </c>
      <c r="J29" s="40">
        <v>1.8</v>
      </c>
      <c r="K29" s="40">
        <v>157.06</v>
      </c>
      <c r="L29" s="40">
        <v>37.56</v>
      </c>
      <c r="M29" s="40">
        <v>37.880000000000003</v>
      </c>
      <c r="N29" s="40">
        <v>22.7</v>
      </c>
      <c r="O29" s="40">
        <v>0</v>
      </c>
      <c r="P29" s="40">
        <v>0.6</v>
      </c>
      <c r="Q29" s="40">
        <v>28.29</v>
      </c>
      <c r="R29" s="38"/>
      <c r="S29" s="38"/>
      <c r="T29" s="38"/>
      <c r="U29" s="38"/>
    </row>
    <row r="30" spans="1:21" customFormat="1">
      <c r="A30" s="39" t="s">
        <v>585</v>
      </c>
      <c r="B30" s="40">
        <v>2.73</v>
      </c>
      <c r="C30" s="40">
        <v>22.52</v>
      </c>
      <c r="D30" s="40">
        <v>12.69</v>
      </c>
      <c r="E30" s="40">
        <v>6.91</v>
      </c>
      <c r="F30" s="40">
        <v>26.18</v>
      </c>
      <c r="G30" s="40">
        <v>46.6</v>
      </c>
      <c r="H30" s="40">
        <v>17.46</v>
      </c>
      <c r="I30" s="40">
        <v>12.41</v>
      </c>
      <c r="J30" s="40">
        <v>1.53</v>
      </c>
      <c r="K30" s="40">
        <v>135.44</v>
      </c>
      <c r="L30" s="40">
        <v>36.65</v>
      </c>
      <c r="M30" s="40">
        <v>38.979999999999997</v>
      </c>
      <c r="N30" s="40">
        <v>22.7</v>
      </c>
      <c r="O30" s="40">
        <v>0</v>
      </c>
      <c r="P30" s="40">
        <v>0.57999999999999996</v>
      </c>
      <c r="Q30" s="40">
        <v>28.65</v>
      </c>
      <c r="R30" s="38"/>
      <c r="S30" s="38"/>
      <c r="T30" s="38"/>
      <c r="U30" s="38"/>
    </row>
    <row r="31" spans="1:21" customFormat="1">
      <c r="A31" s="39" t="s">
        <v>586</v>
      </c>
      <c r="B31" s="40">
        <v>5.85</v>
      </c>
      <c r="C31" s="40">
        <v>21.32</v>
      </c>
      <c r="D31" s="40">
        <v>14.83</v>
      </c>
      <c r="E31" s="40">
        <v>9.6</v>
      </c>
      <c r="F31" s="40">
        <v>15.32</v>
      </c>
      <c r="G31" s="40">
        <v>51.97</v>
      </c>
      <c r="H31" s="40">
        <v>18.36</v>
      </c>
      <c r="I31" s="40">
        <v>11.27</v>
      </c>
      <c r="J31" s="40">
        <v>2.23</v>
      </c>
      <c r="K31" s="40">
        <v>75.28</v>
      </c>
      <c r="L31" s="40">
        <v>36.700000000000003</v>
      </c>
      <c r="M31" s="40">
        <v>50.7</v>
      </c>
      <c r="N31" s="40">
        <v>25</v>
      </c>
      <c r="O31" s="40">
        <v>0</v>
      </c>
      <c r="P31" s="40">
        <v>0.59</v>
      </c>
      <c r="Q31" s="40">
        <v>28.65</v>
      </c>
      <c r="R31" s="38"/>
      <c r="S31" s="38"/>
      <c r="T31" s="38"/>
      <c r="U31" s="38"/>
    </row>
    <row r="32" spans="1:21" customFormat="1">
      <c r="A32" s="39" t="s">
        <v>587</v>
      </c>
      <c r="B32" s="40">
        <v>5.49</v>
      </c>
      <c r="C32" s="40">
        <v>20.88</v>
      </c>
      <c r="D32" s="40">
        <v>13.98</v>
      </c>
      <c r="E32" s="40">
        <v>11.98</v>
      </c>
      <c r="F32" s="40">
        <v>14.46</v>
      </c>
      <c r="G32" s="40">
        <v>77.3</v>
      </c>
      <c r="H32" s="40">
        <v>17.489999999999998</v>
      </c>
      <c r="I32" s="40">
        <v>10.65</v>
      </c>
      <c r="J32" s="40">
        <v>1.8</v>
      </c>
      <c r="K32" s="40">
        <v>101.72</v>
      </c>
      <c r="L32" s="40">
        <v>37.75</v>
      </c>
      <c r="M32" s="40">
        <v>51.46</v>
      </c>
      <c r="N32" s="40">
        <v>23.1</v>
      </c>
      <c r="O32" s="40">
        <v>0</v>
      </c>
      <c r="P32" s="40">
        <v>0.7</v>
      </c>
      <c r="Q32" s="40">
        <v>28.66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2.39</v>
      </c>
      <c r="C34" s="18">
        <f t="shared" si="0"/>
        <v>14.62</v>
      </c>
      <c r="D34" s="18">
        <f t="shared" si="0"/>
        <v>12.41</v>
      </c>
      <c r="E34" s="18">
        <f t="shared" si="0"/>
        <v>4.0599999999999996</v>
      </c>
      <c r="F34" s="18">
        <f t="shared" si="0"/>
        <v>5.22</v>
      </c>
      <c r="G34" s="18">
        <f t="shared" si="0"/>
        <v>31.11</v>
      </c>
      <c r="H34" s="18">
        <f t="shared" si="0"/>
        <v>13.19</v>
      </c>
      <c r="I34" s="18">
        <f t="shared" si="0"/>
        <v>7.86</v>
      </c>
      <c r="J34" s="18">
        <f t="shared" si="0"/>
        <v>1.53</v>
      </c>
      <c r="K34" s="18">
        <f t="shared" si="0"/>
        <v>75.28</v>
      </c>
      <c r="L34" s="18">
        <f t="shared" si="0"/>
        <v>30.78</v>
      </c>
      <c r="M34" s="18">
        <f t="shared" si="0"/>
        <v>26.63</v>
      </c>
      <c r="N34" s="18">
        <f t="shared" si="0"/>
        <v>22.5</v>
      </c>
      <c r="O34" s="18">
        <f t="shared" si="0"/>
        <v>0</v>
      </c>
      <c r="P34" s="18">
        <f t="shared" si="0"/>
        <v>0.45</v>
      </c>
      <c r="Q34" s="18">
        <f t="shared" si="0"/>
        <v>28.16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8.83</v>
      </c>
      <c r="C35" s="3">
        <f t="shared" si="1"/>
        <v>37.229999999999997</v>
      </c>
      <c r="D35" s="3">
        <f t="shared" si="1"/>
        <v>20.38</v>
      </c>
      <c r="E35" s="3">
        <f t="shared" si="1"/>
        <v>11.98</v>
      </c>
      <c r="F35" s="3">
        <f t="shared" si="1"/>
        <v>46.41</v>
      </c>
      <c r="G35" s="3">
        <f t="shared" si="1"/>
        <v>102.8</v>
      </c>
      <c r="H35" s="3">
        <f t="shared" si="1"/>
        <v>36.229999999999997</v>
      </c>
      <c r="I35" s="3">
        <f t="shared" si="1"/>
        <v>14.59</v>
      </c>
      <c r="J35" s="3">
        <f t="shared" si="1"/>
        <v>4.41</v>
      </c>
      <c r="K35" s="3">
        <f t="shared" si="1"/>
        <v>254.53</v>
      </c>
      <c r="L35" s="3">
        <f t="shared" si="1"/>
        <v>45.56</v>
      </c>
      <c r="M35" s="3">
        <f t="shared" si="1"/>
        <v>65.41</v>
      </c>
      <c r="N35" s="3">
        <f t="shared" si="1"/>
        <v>831.7</v>
      </c>
      <c r="O35" s="3">
        <f t="shared" si="1"/>
        <v>0</v>
      </c>
      <c r="P35" s="3">
        <f t="shared" si="1"/>
        <v>0.8</v>
      </c>
      <c r="Q35" s="3">
        <f t="shared" si="1"/>
        <v>29.46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6.4316666666666658</v>
      </c>
      <c r="C36" s="18">
        <f t="shared" si="2"/>
        <v>21.653333333333332</v>
      </c>
      <c r="D36" s="18">
        <f t="shared" si="2"/>
        <v>14.998333333333333</v>
      </c>
      <c r="E36" s="18">
        <f t="shared" si="2"/>
        <v>7.0795833333333311</v>
      </c>
      <c r="F36" s="18">
        <f t="shared" si="2"/>
        <v>20.121666666666666</v>
      </c>
      <c r="G36" s="18">
        <f t="shared" si="2"/>
        <v>52.050833333333323</v>
      </c>
      <c r="H36" s="18">
        <f t="shared" si="2"/>
        <v>20.71125</v>
      </c>
      <c r="I36" s="18">
        <f t="shared" si="2"/>
        <v>11.409583333333332</v>
      </c>
      <c r="J36" s="18">
        <f t="shared" si="2"/>
        <v>2.8587500000000001</v>
      </c>
      <c r="K36" s="18">
        <f t="shared" si="2"/>
        <v>184.70041666666665</v>
      </c>
      <c r="L36" s="18">
        <f t="shared" si="2"/>
        <v>37.422083333333333</v>
      </c>
      <c r="M36" s="18">
        <f t="shared" si="2"/>
        <v>46.275416666666665</v>
      </c>
      <c r="N36" s="18">
        <f t="shared" si="2"/>
        <v>289.67083333333335</v>
      </c>
      <c r="O36" s="18">
        <f t="shared" si="2"/>
        <v>0</v>
      </c>
      <c r="P36" s="18">
        <f t="shared" si="2"/>
        <v>0.59916666666666663</v>
      </c>
      <c r="Q36" s="18">
        <f t="shared" si="2"/>
        <v>28.92625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2.2018084853276001</v>
      </c>
      <c r="C37" s="18">
        <f t="shared" ref="C37:Q37" si="3">STDEV(C9:C32)</f>
        <v>6.3932597082372418</v>
      </c>
      <c r="D37" s="18">
        <f t="shared" si="3"/>
        <v>2.183686762974002</v>
      </c>
      <c r="E37" s="18">
        <f t="shared" si="3"/>
        <v>1.4786582612704084</v>
      </c>
      <c r="F37" s="18">
        <f t="shared" si="3"/>
        <v>12.164668964443415</v>
      </c>
      <c r="G37" s="18">
        <f t="shared" si="3"/>
        <v>22.763648732643642</v>
      </c>
      <c r="H37" s="18">
        <f t="shared" si="3"/>
        <v>6.8242880262498735</v>
      </c>
      <c r="I37" s="18">
        <f t="shared" si="3"/>
        <v>1.8546802822253183</v>
      </c>
      <c r="J37" s="18">
        <f t="shared" si="3"/>
        <v>0.77406500401115108</v>
      </c>
      <c r="K37" s="18">
        <f t="shared" si="3"/>
        <v>55.465781498236915</v>
      </c>
      <c r="L37" s="18">
        <f t="shared" si="3"/>
        <v>4.2716293390397011</v>
      </c>
      <c r="M37" s="18">
        <f t="shared" si="3"/>
        <v>13.471294434162022</v>
      </c>
      <c r="N37" s="18">
        <f t="shared" si="3"/>
        <v>327.38034452588028</v>
      </c>
      <c r="O37" s="18">
        <f t="shared" si="3"/>
        <v>0</v>
      </c>
      <c r="P37" s="18">
        <f t="shared" si="3"/>
        <v>9.9385794920019935E-2</v>
      </c>
      <c r="Q37" s="18">
        <f t="shared" si="3"/>
        <v>0.38821567851321837</v>
      </c>
      <c r="R37" s="18"/>
      <c r="S37" s="18"/>
      <c r="T37" s="18"/>
      <c r="U37" s="18"/>
    </row>
    <row r="38" spans="1:21">
      <c r="A38" s="34" t="s">
        <v>52</v>
      </c>
      <c r="B38" s="34">
        <f>COUNT(B9:B32)+12</f>
        <v>24</v>
      </c>
      <c r="C38" s="34">
        <f t="shared" ref="C38:D38" si="4">COUNT(C9:C32)+12</f>
        <v>24</v>
      </c>
      <c r="D38" s="34">
        <f t="shared" si="4"/>
        <v>24</v>
      </c>
      <c r="E38" s="34">
        <f t="shared" ref="B38:Q38" si="5">COUNT(E9:E32)</f>
        <v>24</v>
      </c>
      <c r="F38" s="34">
        <f t="shared" si="5"/>
        <v>24</v>
      </c>
      <c r="G38" s="34">
        <f t="shared" si="5"/>
        <v>24</v>
      </c>
      <c r="H38" s="34">
        <f t="shared" si="5"/>
        <v>24</v>
      </c>
      <c r="I38" s="34">
        <f t="shared" si="5"/>
        <v>24</v>
      </c>
      <c r="J38" s="34">
        <f t="shared" si="5"/>
        <v>24</v>
      </c>
      <c r="K38" s="34">
        <f t="shared" si="5"/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 t="shared" si="5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3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588</v>
      </c>
      <c r="B9" s="40">
        <v>5.27</v>
      </c>
      <c r="C9" s="40">
        <v>16.690000000000001</v>
      </c>
      <c r="D9" s="40">
        <v>11.7</v>
      </c>
      <c r="E9" s="40">
        <v>7.29</v>
      </c>
      <c r="F9" s="40">
        <v>16.32</v>
      </c>
      <c r="G9" s="40">
        <v>69.569999999999993</v>
      </c>
      <c r="H9" s="40">
        <v>17.79</v>
      </c>
      <c r="I9" s="40">
        <v>10.01</v>
      </c>
      <c r="J9" s="40">
        <v>2.1</v>
      </c>
      <c r="K9" s="40">
        <v>86.3</v>
      </c>
      <c r="L9" s="40">
        <v>37.909999999999997</v>
      </c>
      <c r="M9" s="40">
        <v>50.83</v>
      </c>
      <c r="N9" s="40">
        <v>23.4</v>
      </c>
      <c r="O9" s="40">
        <v>0</v>
      </c>
      <c r="P9" s="40">
        <v>0.5</v>
      </c>
      <c r="Q9" s="40">
        <v>28.85</v>
      </c>
      <c r="R9" s="38"/>
      <c r="S9" s="38"/>
      <c r="T9" s="38"/>
      <c r="U9" s="38"/>
    </row>
    <row r="10" spans="1:21" customFormat="1">
      <c r="A10" s="39" t="s">
        <v>589</v>
      </c>
      <c r="B10" s="40">
        <v>4.68</v>
      </c>
      <c r="C10" s="40">
        <v>16.649999999999999</v>
      </c>
      <c r="D10" s="40">
        <v>11.34</v>
      </c>
      <c r="E10" s="40">
        <v>6.34</v>
      </c>
      <c r="F10" s="40">
        <v>16.93</v>
      </c>
      <c r="G10" s="40">
        <v>58.15</v>
      </c>
      <c r="H10" s="40">
        <v>19.54</v>
      </c>
      <c r="I10" s="40">
        <v>8.68</v>
      </c>
      <c r="J10" s="40">
        <v>1.7</v>
      </c>
      <c r="K10" s="40">
        <v>124.12</v>
      </c>
      <c r="L10" s="40">
        <v>36.54</v>
      </c>
      <c r="M10" s="40">
        <v>49.31</v>
      </c>
      <c r="N10" s="40">
        <v>22.9</v>
      </c>
      <c r="O10" s="40">
        <v>0</v>
      </c>
      <c r="P10" s="40">
        <v>0.49</v>
      </c>
      <c r="Q10" s="40">
        <v>28.86</v>
      </c>
      <c r="R10" s="38"/>
      <c r="S10" s="38"/>
      <c r="T10" s="38"/>
      <c r="U10" s="38"/>
    </row>
    <row r="11" spans="1:21" customFormat="1">
      <c r="A11" s="39" t="s">
        <v>590</v>
      </c>
      <c r="B11" s="40">
        <v>4.4400000000000004</v>
      </c>
      <c r="C11" s="40">
        <v>14.47</v>
      </c>
      <c r="D11" s="40">
        <v>10.130000000000001</v>
      </c>
      <c r="E11" s="40">
        <v>6.53</v>
      </c>
      <c r="F11" s="40">
        <v>17.010000000000002</v>
      </c>
      <c r="G11" s="40">
        <v>49.51</v>
      </c>
      <c r="H11" s="40">
        <v>18.059999999999999</v>
      </c>
      <c r="I11" s="40">
        <v>8.14</v>
      </c>
      <c r="J11" s="40">
        <v>1.69</v>
      </c>
      <c r="K11" s="40">
        <v>143.77000000000001</v>
      </c>
      <c r="L11" s="40">
        <v>38.19</v>
      </c>
      <c r="M11" s="40">
        <v>48.33</v>
      </c>
      <c r="N11" s="40">
        <v>22.8</v>
      </c>
      <c r="O11" s="40">
        <v>0</v>
      </c>
      <c r="P11" s="40">
        <v>0.44</v>
      </c>
      <c r="Q11" s="40">
        <v>29.22</v>
      </c>
      <c r="R11" s="38"/>
      <c r="S11" s="38"/>
      <c r="T11" s="38"/>
      <c r="U11" s="38"/>
    </row>
    <row r="12" spans="1:21" customFormat="1">
      <c r="A12" s="39" t="s">
        <v>591</v>
      </c>
      <c r="B12" s="40">
        <v>4.45</v>
      </c>
      <c r="C12" s="40">
        <v>15.17</v>
      </c>
      <c r="D12" s="40">
        <v>10.49</v>
      </c>
      <c r="E12" s="40">
        <v>5.88</v>
      </c>
      <c r="F12" s="40">
        <v>19.8</v>
      </c>
      <c r="G12" s="40">
        <v>36.200000000000003</v>
      </c>
      <c r="H12" s="40">
        <v>13.24</v>
      </c>
      <c r="I12" s="40">
        <v>7.25</v>
      </c>
      <c r="J12" s="40">
        <v>2.1</v>
      </c>
      <c r="K12" s="40">
        <v>348.74</v>
      </c>
      <c r="L12" s="40">
        <v>37.36</v>
      </c>
      <c r="M12" s="40">
        <v>55.12</v>
      </c>
      <c r="N12" s="40">
        <v>23.6</v>
      </c>
      <c r="O12" s="40">
        <v>0</v>
      </c>
      <c r="P12" s="40">
        <v>0.38</v>
      </c>
      <c r="Q12" s="40">
        <v>29.16</v>
      </c>
      <c r="R12" s="38"/>
      <c r="S12" s="38"/>
      <c r="T12" s="38"/>
      <c r="U12" s="38"/>
    </row>
    <row r="13" spans="1:21" customFormat="1">
      <c r="A13" s="39" t="s">
        <v>592</v>
      </c>
      <c r="B13" s="40">
        <v>5.68</v>
      </c>
      <c r="C13" s="40">
        <v>16.61</v>
      </c>
      <c r="D13" s="40">
        <v>12.24</v>
      </c>
      <c r="E13" s="40">
        <v>6.06</v>
      </c>
      <c r="F13" s="40">
        <v>10.5</v>
      </c>
      <c r="G13" s="40">
        <v>27.8</v>
      </c>
      <c r="H13" s="40">
        <v>13.14</v>
      </c>
      <c r="I13" s="40">
        <v>7.43</v>
      </c>
      <c r="J13" s="40">
        <v>2.15</v>
      </c>
      <c r="K13" s="40">
        <v>69.349999999999994</v>
      </c>
      <c r="L13" s="40">
        <v>33.72</v>
      </c>
      <c r="M13" s="40">
        <v>57.55</v>
      </c>
      <c r="N13" s="40">
        <v>23.2</v>
      </c>
      <c r="O13" s="40">
        <v>0</v>
      </c>
      <c r="P13" s="40">
        <v>0.41</v>
      </c>
      <c r="Q13" s="40">
        <v>28.88</v>
      </c>
      <c r="R13" s="38"/>
      <c r="S13" s="38"/>
      <c r="T13" s="38"/>
      <c r="U13" s="38"/>
    </row>
    <row r="14" spans="1:21" customFormat="1">
      <c r="A14" s="39" t="s">
        <v>593</v>
      </c>
      <c r="B14" s="40">
        <v>6.29</v>
      </c>
      <c r="C14" s="40">
        <v>18.100000000000001</v>
      </c>
      <c r="D14" s="40">
        <v>13.31</v>
      </c>
      <c r="E14" s="40">
        <v>6.83</v>
      </c>
      <c r="F14" s="40">
        <v>8.1</v>
      </c>
      <c r="G14" s="40">
        <v>46.75</v>
      </c>
      <c r="H14" s="40">
        <v>14.82</v>
      </c>
      <c r="I14" s="40">
        <v>7.68</v>
      </c>
      <c r="J14" s="40">
        <v>2.0299999999999998</v>
      </c>
      <c r="K14" s="40">
        <v>100.1</v>
      </c>
      <c r="L14" s="40">
        <v>34.03</v>
      </c>
      <c r="M14" s="40">
        <v>56.45</v>
      </c>
      <c r="N14" s="40">
        <v>50.5</v>
      </c>
      <c r="O14" s="40">
        <v>0</v>
      </c>
      <c r="P14" s="40">
        <v>0.48</v>
      </c>
      <c r="Q14" s="40">
        <v>28.96</v>
      </c>
      <c r="R14" s="38"/>
      <c r="S14" s="38"/>
      <c r="T14" s="38"/>
      <c r="U14" s="38"/>
    </row>
    <row r="15" spans="1:21" customFormat="1">
      <c r="A15" s="39" t="s">
        <v>594</v>
      </c>
      <c r="B15" s="40">
        <v>7.61</v>
      </c>
      <c r="C15" s="40">
        <v>20.22</v>
      </c>
      <c r="D15" s="40">
        <v>15.68</v>
      </c>
      <c r="E15" s="40">
        <v>7.63</v>
      </c>
      <c r="F15" s="40">
        <v>6.34</v>
      </c>
      <c r="G15" s="40">
        <v>56.95</v>
      </c>
      <c r="H15" s="40">
        <v>16.38</v>
      </c>
      <c r="I15" s="40">
        <v>9.2100000000000009</v>
      </c>
      <c r="J15" s="40">
        <v>1.52</v>
      </c>
      <c r="K15" s="40">
        <v>150.96</v>
      </c>
      <c r="L15" s="40">
        <v>31.39</v>
      </c>
      <c r="M15" s="40">
        <v>56.46</v>
      </c>
      <c r="N15" s="40">
        <v>144.69999999999999</v>
      </c>
      <c r="O15" s="40">
        <v>0</v>
      </c>
      <c r="P15" s="40">
        <v>0.62</v>
      </c>
      <c r="Q15" s="40">
        <v>28.87</v>
      </c>
      <c r="R15" s="38"/>
      <c r="S15" s="38"/>
      <c r="T15" s="38"/>
      <c r="U15" s="38"/>
    </row>
    <row r="16" spans="1:21" customFormat="1">
      <c r="A16" s="39" t="s">
        <v>595</v>
      </c>
      <c r="B16" s="40">
        <v>7.66</v>
      </c>
      <c r="C16" s="40">
        <v>19.46</v>
      </c>
      <c r="D16" s="40">
        <v>15.32</v>
      </c>
      <c r="E16" s="40">
        <v>7.48</v>
      </c>
      <c r="F16" s="40">
        <v>11.33</v>
      </c>
      <c r="G16" s="40">
        <v>87.43</v>
      </c>
      <c r="H16" s="40">
        <v>25.97</v>
      </c>
      <c r="I16" s="40">
        <v>11.13</v>
      </c>
      <c r="J16" s="40">
        <v>1.59</v>
      </c>
      <c r="K16" s="40">
        <v>216.58</v>
      </c>
      <c r="L16" s="40">
        <v>34.119999999999997</v>
      </c>
      <c r="M16" s="40">
        <v>52.45</v>
      </c>
      <c r="N16" s="40">
        <v>219.1</v>
      </c>
      <c r="O16" s="40">
        <v>0</v>
      </c>
      <c r="P16" s="40">
        <v>0.65</v>
      </c>
      <c r="Q16" s="40">
        <v>28.48</v>
      </c>
      <c r="R16" s="38"/>
      <c r="S16" s="38"/>
      <c r="T16" s="38"/>
      <c r="U16" s="38"/>
    </row>
    <row r="17" spans="1:21" customFormat="1">
      <c r="A17" s="39" t="s">
        <v>596</v>
      </c>
      <c r="B17" s="40">
        <v>7.62</v>
      </c>
      <c r="C17" s="40">
        <v>19.52</v>
      </c>
      <c r="D17" s="40">
        <v>15.31</v>
      </c>
      <c r="E17" s="40">
        <v>7.07</v>
      </c>
      <c r="F17" s="40">
        <v>7</v>
      </c>
      <c r="G17" s="40">
        <v>86.22</v>
      </c>
      <c r="H17" s="40">
        <v>29.67</v>
      </c>
      <c r="I17" s="40">
        <v>10.63</v>
      </c>
      <c r="J17" s="40">
        <v>2.31</v>
      </c>
      <c r="K17" s="40">
        <v>225.63</v>
      </c>
      <c r="L17" s="40">
        <v>35.619999999999997</v>
      </c>
      <c r="M17" s="40">
        <v>50.68</v>
      </c>
      <c r="N17" s="40">
        <v>497</v>
      </c>
      <c r="O17" s="40">
        <v>0</v>
      </c>
      <c r="P17" s="40">
        <v>0.62</v>
      </c>
      <c r="Q17" s="40">
        <v>28.77</v>
      </c>
      <c r="R17" s="38"/>
      <c r="S17" s="38"/>
      <c r="T17" s="38"/>
      <c r="U17" s="38"/>
    </row>
    <row r="18" spans="1:21" customFormat="1">
      <c r="A18" s="39" t="s">
        <v>597</v>
      </c>
      <c r="B18" s="40">
        <v>6.97</v>
      </c>
      <c r="C18" s="40">
        <v>15.72</v>
      </c>
      <c r="D18" s="40">
        <v>12.75</v>
      </c>
      <c r="E18" s="40">
        <v>6.87</v>
      </c>
      <c r="F18" s="40">
        <v>16.2</v>
      </c>
      <c r="G18" s="40">
        <v>69.62</v>
      </c>
      <c r="H18" s="40">
        <v>21.37</v>
      </c>
      <c r="I18" s="40">
        <v>10.43</v>
      </c>
      <c r="J18" s="40">
        <v>3.38</v>
      </c>
      <c r="K18" s="40">
        <v>230.62</v>
      </c>
      <c r="L18" s="40">
        <v>36.51</v>
      </c>
      <c r="M18" s="40">
        <v>46.55</v>
      </c>
      <c r="N18" s="40">
        <v>656</v>
      </c>
      <c r="O18" s="40">
        <v>0</v>
      </c>
      <c r="P18" s="40">
        <v>0.6</v>
      </c>
      <c r="Q18" s="40">
        <v>28.92</v>
      </c>
      <c r="R18" s="38"/>
      <c r="S18" s="38"/>
      <c r="T18" s="38"/>
      <c r="U18" s="38"/>
    </row>
    <row r="19" spans="1:21" customFormat="1">
      <c r="A19" s="39" t="s">
        <v>598</v>
      </c>
      <c r="B19" s="40">
        <v>4.87</v>
      </c>
      <c r="C19" s="40">
        <v>13.78</v>
      </c>
      <c r="D19" s="40">
        <v>10.050000000000001</v>
      </c>
      <c r="E19" s="40">
        <v>5.93</v>
      </c>
      <c r="F19" s="40">
        <v>29.84</v>
      </c>
      <c r="G19" s="40">
        <v>46.85</v>
      </c>
      <c r="H19" s="40">
        <v>15.09</v>
      </c>
      <c r="I19" s="40">
        <v>10.32</v>
      </c>
      <c r="J19" s="40">
        <v>3.21</v>
      </c>
      <c r="K19" s="40">
        <v>234.33</v>
      </c>
      <c r="L19" s="40">
        <v>37.880000000000003</v>
      </c>
      <c r="M19" s="40">
        <v>42.75</v>
      </c>
      <c r="N19" s="40">
        <v>777.5</v>
      </c>
      <c r="O19" s="40">
        <v>0</v>
      </c>
      <c r="P19" s="40">
        <v>0.6</v>
      </c>
      <c r="Q19" s="40">
        <v>29.12</v>
      </c>
      <c r="R19" s="38"/>
      <c r="S19" s="38"/>
      <c r="T19" s="38"/>
      <c r="U19" s="38"/>
    </row>
    <row r="20" spans="1:21" customFormat="1">
      <c r="A20" s="39" t="s">
        <v>599</v>
      </c>
      <c r="B20" s="40">
        <v>2.93</v>
      </c>
      <c r="C20" s="40">
        <v>12.55</v>
      </c>
      <c r="D20" s="40">
        <v>7.91</v>
      </c>
      <c r="E20" s="40">
        <v>10.98</v>
      </c>
      <c r="F20" s="40">
        <v>53.49</v>
      </c>
      <c r="G20" s="40">
        <v>34.630000000000003</v>
      </c>
      <c r="H20" s="40">
        <v>16.04</v>
      </c>
      <c r="I20" s="40">
        <v>10.16</v>
      </c>
      <c r="J20" s="40">
        <v>2.92</v>
      </c>
      <c r="K20" s="40">
        <v>230.56</v>
      </c>
      <c r="L20" s="40">
        <v>39.71</v>
      </c>
      <c r="M20" s="40">
        <v>38.26</v>
      </c>
      <c r="N20" s="40">
        <v>820.1</v>
      </c>
      <c r="O20" s="40">
        <v>0</v>
      </c>
      <c r="P20" s="40">
        <v>0.52</v>
      </c>
      <c r="Q20" s="40">
        <v>29.22</v>
      </c>
      <c r="R20" s="38"/>
      <c r="S20" s="38"/>
      <c r="T20" s="38"/>
      <c r="U20" s="38"/>
    </row>
    <row r="21" spans="1:21" customFormat="1">
      <c r="A21" s="39" t="s">
        <v>600</v>
      </c>
      <c r="B21" s="40">
        <v>3.12</v>
      </c>
      <c r="C21" s="40">
        <v>10.29</v>
      </c>
      <c r="D21" s="40">
        <v>6.27</v>
      </c>
      <c r="E21" s="40">
        <v>6.68</v>
      </c>
      <c r="F21" s="40">
        <v>44.71</v>
      </c>
      <c r="G21" s="40">
        <v>43.22</v>
      </c>
      <c r="H21" s="40">
        <v>13.9</v>
      </c>
      <c r="I21" s="40">
        <v>9.6</v>
      </c>
      <c r="J21" s="40">
        <v>3.45</v>
      </c>
      <c r="K21" s="40">
        <v>267.11</v>
      </c>
      <c r="L21" s="40">
        <v>41.23</v>
      </c>
      <c r="M21" s="40">
        <v>34</v>
      </c>
      <c r="N21" s="40">
        <v>841.2</v>
      </c>
      <c r="O21" s="40">
        <v>0</v>
      </c>
      <c r="P21" s="40">
        <v>0.42</v>
      </c>
      <c r="Q21" s="40">
        <v>29.32</v>
      </c>
      <c r="R21" s="38"/>
      <c r="S21" s="38"/>
      <c r="T21" s="38"/>
      <c r="U21" s="38"/>
    </row>
    <row r="22" spans="1:21" customFormat="1">
      <c r="A22" s="39" t="s">
        <v>601</v>
      </c>
      <c r="B22" s="40">
        <v>3.25</v>
      </c>
      <c r="C22" s="40">
        <v>15.54</v>
      </c>
      <c r="D22" s="40">
        <v>9.4600000000000009</v>
      </c>
      <c r="E22" s="40">
        <v>6.76</v>
      </c>
      <c r="F22" s="40">
        <v>36</v>
      </c>
      <c r="G22" s="40">
        <v>33.840000000000003</v>
      </c>
      <c r="H22" s="40">
        <v>14.27</v>
      </c>
      <c r="I22" s="40">
        <v>8.8699999999999992</v>
      </c>
      <c r="J22" s="40">
        <v>2.33</v>
      </c>
      <c r="K22" s="40">
        <v>276</v>
      </c>
      <c r="L22" s="40">
        <v>42.77</v>
      </c>
      <c r="M22" s="40">
        <v>31.76</v>
      </c>
      <c r="N22" s="40">
        <v>780.1</v>
      </c>
      <c r="O22" s="40">
        <v>0</v>
      </c>
      <c r="P22" s="40">
        <v>0.46</v>
      </c>
      <c r="Q22" s="40">
        <v>29.29</v>
      </c>
      <c r="R22" s="38"/>
      <c r="S22" s="38"/>
      <c r="T22" s="38"/>
      <c r="U22" s="38"/>
    </row>
    <row r="23" spans="1:21" customFormat="1">
      <c r="A23" s="39" t="s">
        <v>602</v>
      </c>
      <c r="B23" s="40">
        <v>2.71</v>
      </c>
      <c r="C23" s="40">
        <v>11</v>
      </c>
      <c r="D23" s="40">
        <v>6.88</v>
      </c>
      <c r="E23" s="40">
        <v>7</v>
      </c>
      <c r="F23" s="40">
        <v>39.28</v>
      </c>
      <c r="G23" s="40">
        <v>33.26</v>
      </c>
      <c r="H23" s="40">
        <v>12.71</v>
      </c>
      <c r="I23" s="40">
        <v>9.07</v>
      </c>
      <c r="J23" s="40">
        <v>2.0699999999999998</v>
      </c>
      <c r="K23" s="40">
        <v>302.33999999999997</v>
      </c>
      <c r="L23" s="40">
        <v>43.1</v>
      </c>
      <c r="M23" s="40">
        <v>26.17</v>
      </c>
      <c r="N23" s="40">
        <v>667.1</v>
      </c>
      <c r="O23" s="40">
        <v>0</v>
      </c>
      <c r="P23" s="40">
        <v>0.45</v>
      </c>
      <c r="Q23" s="40">
        <v>29.26</v>
      </c>
      <c r="R23" s="38"/>
      <c r="S23" s="38"/>
      <c r="T23" s="38"/>
      <c r="U23" s="38"/>
    </row>
    <row r="24" spans="1:21" customFormat="1">
      <c r="A24" s="39" t="s">
        <v>603</v>
      </c>
      <c r="B24" s="40">
        <v>2.71</v>
      </c>
      <c r="C24" s="40">
        <v>13.17</v>
      </c>
      <c r="D24" s="40">
        <v>7.9</v>
      </c>
      <c r="E24" s="40">
        <v>9.8800000000000008</v>
      </c>
      <c r="F24" s="40">
        <v>48.72</v>
      </c>
      <c r="G24" s="40">
        <v>37.19</v>
      </c>
      <c r="H24" s="40">
        <v>15.86</v>
      </c>
      <c r="I24" s="40">
        <v>9.0500000000000007</v>
      </c>
      <c r="J24" s="40">
        <v>2.75</v>
      </c>
      <c r="K24" s="40">
        <v>165.25</v>
      </c>
      <c r="L24" s="40">
        <v>43.29</v>
      </c>
      <c r="M24" s="40">
        <v>25.04</v>
      </c>
      <c r="N24" s="40">
        <v>513.79999999999995</v>
      </c>
      <c r="O24" s="40">
        <v>0</v>
      </c>
      <c r="P24" s="40">
        <v>0.47</v>
      </c>
      <c r="Q24" s="40">
        <v>29.19</v>
      </c>
      <c r="R24" s="38"/>
      <c r="S24" s="38"/>
      <c r="T24" s="38"/>
      <c r="U24" s="38"/>
    </row>
    <row r="25" spans="1:21" customFormat="1">
      <c r="A25" s="39" t="s">
        <v>604</v>
      </c>
      <c r="B25" s="40">
        <v>3.3</v>
      </c>
      <c r="C25" s="40">
        <v>15.67</v>
      </c>
      <c r="D25" s="40">
        <v>9.84</v>
      </c>
      <c r="E25" s="40">
        <v>8.7899999999999991</v>
      </c>
      <c r="F25" s="40">
        <v>40.770000000000003</v>
      </c>
      <c r="G25" s="40">
        <v>42.07</v>
      </c>
      <c r="H25" s="40">
        <v>18.18</v>
      </c>
      <c r="I25" s="40">
        <v>9.1</v>
      </c>
      <c r="J25" s="40">
        <v>2.68</v>
      </c>
      <c r="K25" s="40">
        <v>257.25</v>
      </c>
      <c r="L25" s="40">
        <v>41.69</v>
      </c>
      <c r="M25" s="40">
        <v>57.21</v>
      </c>
      <c r="N25" s="40">
        <v>185</v>
      </c>
      <c r="O25" s="40">
        <v>1.2</v>
      </c>
      <c r="P25" s="40">
        <v>0.47</v>
      </c>
      <c r="Q25" s="40">
        <v>29.1</v>
      </c>
      <c r="R25" s="38"/>
      <c r="S25" s="38"/>
      <c r="T25" s="38"/>
      <c r="U25" s="38"/>
    </row>
    <row r="26" spans="1:21" customFormat="1">
      <c r="A26" s="39" t="s">
        <v>605</v>
      </c>
      <c r="B26" s="40">
        <v>3.06</v>
      </c>
      <c r="C26" s="40">
        <v>14.7</v>
      </c>
      <c r="D26" s="40">
        <v>8.89</v>
      </c>
      <c r="E26" s="40">
        <v>6.83</v>
      </c>
      <c r="F26" s="40">
        <v>24.22</v>
      </c>
      <c r="G26" s="40">
        <v>53.24</v>
      </c>
      <c r="H26" s="40">
        <v>20.51</v>
      </c>
      <c r="I26" s="40">
        <v>9</v>
      </c>
      <c r="J26" s="40">
        <v>4.79</v>
      </c>
      <c r="K26" s="40">
        <v>238.92</v>
      </c>
      <c r="L26" s="40">
        <v>32.28</v>
      </c>
      <c r="M26" s="40">
        <v>64.319999999999993</v>
      </c>
      <c r="N26" s="40">
        <v>37.200000000000003</v>
      </c>
      <c r="O26" s="40">
        <v>0.2</v>
      </c>
      <c r="P26" s="40">
        <v>0.51</v>
      </c>
      <c r="Q26" s="40">
        <v>28.92</v>
      </c>
      <c r="R26" s="38"/>
      <c r="S26" s="38"/>
      <c r="T26" s="38"/>
      <c r="U26" s="38"/>
    </row>
    <row r="27" spans="1:21" customFormat="1">
      <c r="A27" s="39" t="s">
        <v>606</v>
      </c>
      <c r="B27" s="40">
        <v>4.49</v>
      </c>
      <c r="C27" s="40">
        <v>16.329999999999998</v>
      </c>
      <c r="D27" s="40">
        <v>11.14</v>
      </c>
      <c r="E27" s="40">
        <v>6.97</v>
      </c>
      <c r="F27" s="40">
        <v>9.0299999999999994</v>
      </c>
      <c r="G27" s="40">
        <v>46.81</v>
      </c>
      <c r="H27" s="40">
        <v>14.77</v>
      </c>
      <c r="I27" s="40">
        <v>9.5500000000000007</v>
      </c>
      <c r="J27" s="40">
        <v>4.41</v>
      </c>
      <c r="K27" s="40">
        <v>241.27</v>
      </c>
      <c r="L27" s="40">
        <v>32.17</v>
      </c>
      <c r="M27" s="40">
        <v>53.29</v>
      </c>
      <c r="N27" s="40">
        <v>24.3</v>
      </c>
      <c r="O27" s="40">
        <v>0</v>
      </c>
      <c r="P27" s="40">
        <v>0.57999999999999996</v>
      </c>
      <c r="Q27" s="40">
        <v>29.07</v>
      </c>
      <c r="R27" s="38"/>
      <c r="S27" s="38"/>
      <c r="T27" s="38"/>
      <c r="U27" s="38"/>
    </row>
    <row r="28" spans="1:21" customFormat="1">
      <c r="A28" s="39" t="s">
        <v>607</v>
      </c>
      <c r="B28" s="40">
        <v>8.08</v>
      </c>
      <c r="C28" s="40">
        <v>18.75</v>
      </c>
      <c r="D28" s="40">
        <v>15.16</v>
      </c>
      <c r="E28" s="40">
        <v>7.32</v>
      </c>
      <c r="F28" s="40">
        <v>9.77</v>
      </c>
      <c r="G28" s="40">
        <v>49.87</v>
      </c>
      <c r="H28" s="40">
        <v>15</v>
      </c>
      <c r="I28" s="40">
        <v>10.96</v>
      </c>
      <c r="J28" s="40">
        <v>2.66</v>
      </c>
      <c r="K28" s="40">
        <v>254.08</v>
      </c>
      <c r="L28" s="40">
        <v>31.85</v>
      </c>
      <c r="M28" s="40">
        <v>57.35</v>
      </c>
      <c r="N28" s="40">
        <v>23.5</v>
      </c>
      <c r="O28" s="40">
        <v>0</v>
      </c>
      <c r="P28" s="40">
        <v>0.81</v>
      </c>
      <c r="Q28" s="40">
        <v>29.05</v>
      </c>
      <c r="R28" s="38"/>
      <c r="S28" s="38"/>
      <c r="T28" s="38"/>
      <c r="U28" s="38"/>
    </row>
    <row r="29" spans="1:21" customFormat="1">
      <c r="A29" s="39" t="s">
        <v>608</v>
      </c>
      <c r="B29" s="40">
        <v>6.13</v>
      </c>
      <c r="C29" s="40">
        <v>21.25</v>
      </c>
      <c r="D29" s="40">
        <v>15.03</v>
      </c>
      <c r="E29" s="40">
        <v>7.03</v>
      </c>
      <c r="F29" s="40">
        <v>12.54</v>
      </c>
      <c r="G29" s="40">
        <v>50.02</v>
      </c>
      <c r="H29" s="40">
        <v>17.09</v>
      </c>
      <c r="I29" s="40">
        <v>14.04</v>
      </c>
      <c r="J29" s="40">
        <v>2.92</v>
      </c>
      <c r="K29" s="40">
        <v>218.3</v>
      </c>
      <c r="L29" s="40">
        <v>31.39</v>
      </c>
      <c r="M29" s="40">
        <v>58.89</v>
      </c>
      <c r="N29" s="40">
        <v>22.4</v>
      </c>
      <c r="O29" s="40">
        <v>0.2</v>
      </c>
      <c r="P29" s="40">
        <v>0.71</v>
      </c>
      <c r="Q29" s="40">
        <v>28.95</v>
      </c>
      <c r="R29" s="38"/>
      <c r="S29" s="38"/>
      <c r="T29" s="38"/>
      <c r="U29" s="38"/>
    </row>
    <row r="30" spans="1:21" customFormat="1">
      <c r="A30" s="39" t="s">
        <v>609</v>
      </c>
      <c r="B30" s="40">
        <v>4.84</v>
      </c>
      <c r="C30" s="40">
        <v>17.88</v>
      </c>
      <c r="D30" s="40">
        <v>12.22</v>
      </c>
      <c r="E30" s="40">
        <v>7.06</v>
      </c>
      <c r="F30" s="40">
        <v>14.69</v>
      </c>
      <c r="G30" s="40">
        <v>50.65</v>
      </c>
      <c r="H30" s="40">
        <v>19.350000000000001</v>
      </c>
      <c r="I30" s="40">
        <v>12.62</v>
      </c>
      <c r="J30" s="40">
        <v>2.5499999999999998</v>
      </c>
      <c r="K30" s="40">
        <v>159.78</v>
      </c>
      <c r="L30" s="40">
        <v>32.450000000000003</v>
      </c>
      <c r="M30" s="40">
        <v>54.93</v>
      </c>
      <c r="N30" s="40">
        <v>22.9</v>
      </c>
      <c r="O30" s="40">
        <v>0</v>
      </c>
      <c r="P30" s="40">
        <v>0.71</v>
      </c>
      <c r="Q30" s="40">
        <v>28.75</v>
      </c>
      <c r="R30" s="38"/>
      <c r="S30" s="38"/>
      <c r="T30" s="38"/>
      <c r="U30" s="38"/>
    </row>
    <row r="31" spans="1:21" customFormat="1">
      <c r="A31" s="39" t="s">
        <v>610</v>
      </c>
      <c r="B31" s="40">
        <v>4.8600000000000003</v>
      </c>
      <c r="C31" s="40">
        <v>16.55</v>
      </c>
      <c r="D31" s="40">
        <v>11.47</v>
      </c>
      <c r="E31" s="40">
        <v>7.49</v>
      </c>
      <c r="F31" s="40">
        <v>11.67</v>
      </c>
      <c r="G31" s="40">
        <v>53.24</v>
      </c>
      <c r="H31" s="40">
        <v>15.12</v>
      </c>
      <c r="I31" s="40">
        <v>12.06</v>
      </c>
      <c r="J31" s="40">
        <v>3.61</v>
      </c>
      <c r="K31" s="40">
        <v>151.04</v>
      </c>
      <c r="L31" s="40">
        <v>32.42</v>
      </c>
      <c r="M31" s="40">
        <v>51.91</v>
      </c>
      <c r="N31" s="40">
        <v>23.4</v>
      </c>
      <c r="O31" s="40">
        <v>0</v>
      </c>
      <c r="P31" s="40">
        <v>0.68</v>
      </c>
      <c r="Q31" s="40">
        <v>28.85</v>
      </c>
      <c r="R31" s="38"/>
      <c r="S31" s="38"/>
      <c r="T31" s="38"/>
      <c r="U31" s="38"/>
    </row>
    <row r="32" spans="1:21" customFormat="1">
      <c r="A32" s="39" t="s">
        <v>611</v>
      </c>
      <c r="B32" s="40">
        <v>7.26</v>
      </c>
      <c r="C32" s="40">
        <v>22.56</v>
      </c>
      <c r="D32" s="40">
        <v>16.37</v>
      </c>
      <c r="E32" s="40">
        <v>6.54</v>
      </c>
      <c r="F32" s="40">
        <v>6.82</v>
      </c>
      <c r="G32" s="40">
        <v>55.43</v>
      </c>
      <c r="H32" s="40">
        <v>20.21</v>
      </c>
      <c r="I32" s="40">
        <v>12.21</v>
      </c>
      <c r="J32" s="40">
        <v>3.74</v>
      </c>
      <c r="K32" s="40">
        <v>178.04</v>
      </c>
      <c r="L32" s="40">
        <v>31.33</v>
      </c>
      <c r="M32" s="40">
        <v>53.47</v>
      </c>
      <c r="N32" s="40">
        <v>23.3</v>
      </c>
      <c r="O32" s="40">
        <v>0</v>
      </c>
      <c r="P32" s="40">
        <v>0.64</v>
      </c>
      <c r="Q32" s="40">
        <v>28.55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2.71</v>
      </c>
      <c r="C34" s="18">
        <f t="shared" si="0"/>
        <v>10.29</v>
      </c>
      <c r="D34" s="18">
        <f t="shared" si="0"/>
        <v>6.27</v>
      </c>
      <c r="E34" s="18">
        <f t="shared" si="0"/>
        <v>5.88</v>
      </c>
      <c r="F34" s="18">
        <f t="shared" si="0"/>
        <v>6.34</v>
      </c>
      <c r="G34" s="18">
        <f t="shared" si="0"/>
        <v>27.8</v>
      </c>
      <c r="H34" s="18">
        <f t="shared" si="0"/>
        <v>12.71</v>
      </c>
      <c r="I34" s="18">
        <f t="shared" si="0"/>
        <v>7.25</v>
      </c>
      <c r="J34" s="18">
        <f t="shared" si="0"/>
        <v>1.52</v>
      </c>
      <c r="K34" s="18">
        <f t="shared" si="0"/>
        <v>69.349999999999994</v>
      </c>
      <c r="L34" s="18">
        <f t="shared" si="0"/>
        <v>31.33</v>
      </c>
      <c r="M34" s="18">
        <f t="shared" si="0"/>
        <v>25.04</v>
      </c>
      <c r="N34" s="18">
        <f t="shared" si="0"/>
        <v>22.4</v>
      </c>
      <c r="O34" s="18">
        <f t="shared" si="0"/>
        <v>0</v>
      </c>
      <c r="P34" s="18">
        <f t="shared" si="0"/>
        <v>0.38</v>
      </c>
      <c r="Q34" s="18">
        <f t="shared" si="0"/>
        <v>28.48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8.08</v>
      </c>
      <c r="C35" s="3">
        <f t="shared" si="1"/>
        <v>22.56</v>
      </c>
      <c r="D35" s="3">
        <f t="shared" si="1"/>
        <v>16.37</v>
      </c>
      <c r="E35" s="3">
        <f t="shared" si="1"/>
        <v>10.98</v>
      </c>
      <c r="F35" s="3">
        <f t="shared" si="1"/>
        <v>53.49</v>
      </c>
      <c r="G35" s="3">
        <f t="shared" si="1"/>
        <v>87.43</v>
      </c>
      <c r="H35" s="3">
        <f t="shared" si="1"/>
        <v>29.67</v>
      </c>
      <c r="I35" s="3">
        <f t="shared" si="1"/>
        <v>14.04</v>
      </c>
      <c r="J35" s="3">
        <f t="shared" si="1"/>
        <v>4.79</v>
      </c>
      <c r="K35" s="3">
        <f t="shared" si="1"/>
        <v>348.74</v>
      </c>
      <c r="L35" s="3">
        <f t="shared" si="1"/>
        <v>43.29</v>
      </c>
      <c r="M35" s="3">
        <f t="shared" si="1"/>
        <v>64.319999999999993</v>
      </c>
      <c r="N35" s="3">
        <f t="shared" si="1"/>
        <v>841.2</v>
      </c>
      <c r="O35" s="3">
        <f t="shared" si="1"/>
        <v>1.2</v>
      </c>
      <c r="P35" s="3">
        <f t="shared" si="1"/>
        <v>0.81</v>
      </c>
      <c r="Q35" s="3">
        <f t="shared" si="1"/>
        <v>29.32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5.0949999999999998</v>
      </c>
      <c r="C36" s="18">
        <f t="shared" si="2"/>
        <v>16.359583333333333</v>
      </c>
      <c r="D36" s="18">
        <f t="shared" si="2"/>
        <v>11.535833333333334</v>
      </c>
      <c r="E36" s="18">
        <f t="shared" si="2"/>
        <v>7.2183333333333337</v>
      </c>
      <c r="F36" s="18">
        <f t="shared" si="2"/>
        <v>21.295000000000002</v>
      </c>
      <c r="G36" s="18">
        <f t="shared" si="2"/>
        <v>50.771666666666682</v>
      </c>
      <c r="H36" s="18">
        <f t="shared" si="2"/>
        <v>17.419999999999998</v>
      </c>
      <c r="I36" s="18">
        <f t="shared" si="2"/>
        <v>9.8833333333333346</v>
      </c>
      <c r="J36" s="18">
        <f t="shared" si="2"/>
        <v>2.6941666666666659</v>
      </c>
      <c r="K36" s="18">
        <f t="shared" si="2"/>
        <v>202.93500000000003</v>
      </c>
      <c r="L36" s="18">
        <f t="shared" si="2"/>
        <v>36.206249999999997</v>
      </c>
      <c r="M36" s="18">
        <f t="shared" si="2"/>
        <v>48.87833333333333</v>
      </c>
      <c r="N36" s="18">
        <f t="shared" si="2"/>
        <v>268.54166666666669</v>
      </c>
      <c r="O36" s="18">
        <f t="shared" si="2"/>
        <v>6.6666666666666666E-2</v>
      </c>
      <c r="P36" s="18">
        <f t="shared" si="2"/>
        <v>0.5508333333333334</v>
      </c>
      <c r="Q36" s="18">
        <f t="shared" si="2"/>
        <v>28.983750000000004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1.7637780595863721</v>
      </c>
      <c r="C37" s="18">
        <f t="shared" ref="C37:Q37" si="3">STDEV(C9:C32)</f>
        <v>3.0532583866031198</v>
      </c>
      <c r="D37" s="18">
        <f t="shared" si="3"/>
        <v>2.9154638927870358</v>
      </c>
      <c r="E37" s="18">
        <f t="shared" si="3"/>
        <v>1.1729697229743365</v>
      </c>
      <c r="F37" s="18">
        <f t="shared" si="3"/>
        <v>14.6724438555972</v>
      </c>
      <c r="G37" s="18">
        <f t="shared" si="3"/>
        <v>15.318242794747663</v>
      </c>
      <c r="H37" s="18">
        <f t="shared" si="3"/>
        <v>4.0733342821223291</v>
      </c>
      <c r="I37" s="18">
        <f t="shared" si="3"/>
        <v>1.6873974472327242</v>
      </c>
      <c r="J37" s="18">
        <f t="shared" si="3"/>
        <v>0.87007704139979469</v>
      </c>
      <c r="K37" s="18">
        <f t="shared" si="3"/>
        <v>70.221128308149261</v>
      </c>
      <c r="L37" s="18">
        <f t="shared" si="3"/>
        <v>4.0884724611054217</v>
      </c>
      <c r="M37" s="18">
        <f t="shared" si="3"/>
        <v>10.569756554584833</v>
      </c>
      <c r="N37" s="18">
        <f t="shared" si="3"/>
        <v>320.4547637026327</v>
      </c>
      <c r="O37" s="18">
        <f t="shared" si="3"/>
        <v>0.24788964351565565</v>
      </c>
      <c r="P37" s="18">
        <f t="shared" si="3"/>
        <v>0.11255594422201796</v>
      </c>
      <c r="Q37" s="18">
        <f t="shared" si="3"/>
        <v>0.22255067815629331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3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612</v>
      </c>
      <c r="B9" s="40">
        <v>6.54</v>
      </c>
      <c r="C9" s="40">
        <v>21.49</v>
      </c>
      <c r="D9" s="40">
        <v>15.2</v>
      </c>
      <c r="E9" s="40">
        <v>6.64</v>
      </c>
      <c r="F9" s="40">
        <v>6.51</v>
      </c>
      <c r="G9" s="40">
        <v>65.56</v>
      </c>
      <c r="H9" s="40">
        <v>23.39</v>
      </c>
      <c r="I9" s="40">
        <v>13.8</v>
      </c>
      <c r="J9" s="40">
        <v>2.69</v>
      </c>
      <c r="K9" s="40">
        <v>140.61000000000001</v>
      </c>
      <c r="L9" s="40">
        <v>31.53</v>
      </c>
      <c r="M9" s="40">
        <v>53.77</v>
      </c>
      <c r="N9" s="40">
        <v>23.3</v>
      </c>
      <c r="O9" s="40">
        <v>0</v>
      </c>
      <c r="P9" s="40">
        <v>0.65</v>
      </c>
      <c r="Q9" s="40">
        <v>28.42</v>
      </c>
      <c r="R9" s="38"/>
      <c r="S9" s="38"/>
      <c r="T9" s="38"/>
      <c r="U9" s="38"/>
    </row>
    <row r="10" spans="1:21" customFormat="1">
      <c r="A10" s="39" t="s">
        <v>613</v>
      </c>
      <c r="B10" s="40">
        <v>7.15</v>
      </c>
      <c r="C10" s="40">
        <v>17.34</v>
      </c>
      <c r="D10" s="40">
        <v>13.59</v>
      </c>
      <c r="E10" s="40">
        <v>8.19</v>
      </c>
      <c r="F10" s="40">
        <v>7.71</v>
      </c>
      <c r="G10" s="40">
        <v>73</v>
      </c>
      <c r="H10" s="40">
        <v>31.76</v>
      </c>
      <c r="I10" s="40">
        <v>13.13</v>
      </c>
      <c r="J10" s="40">
        <v>3.35</v>
      </c>
      <c r="K10" s="40">
        <v>176.88</v>
      </c>
      <c r="L10" s="40">
        <v>31.69</v>
      </c>
      <c r="M10" s="40">
        <v>54.9</v>
      </c>
      <c r="N10" s="40">
        <v>23.4</v>
      </c>
      <c r="O10" s="40">
        <v>0</v>
      </c>
      <c r="P10" s="40">
        <v>0.6</v>
      </c>
      <c r="Q10" s="40">
        <v>28.6</v>
      </c>
      <c r="R10" s="38"/>
      <c r="S10" s="38"/>
      <c r="T10" s="38"/>
      <c r="U10" s="38"/>
    </row>
    <row r="11" spans="1:21" customFormat="1">
      <c r="A11" s="39" t="s">
        <v>614</v>
      </c>
      <c r="B11" s="40">
        <v>9.89</v>
      </c>
      <c r="C11" s="40">
        <v>17.97</v>
      </c>
      <c r="D11" s="40">
        <v>15.49</v>
      </c>
      <c r="E11" s="40">
        <v>6.37</v>
      </c>
      <c r="F11" s="40">
        <v>5.6</v>
      </c>
      <c r="G11" s="40">
        <v>76.92</v>
      </c>
      <c r="H11" s="40">
        <v>36.93</v>
      </c>
      <c r="I11" s="40">
        <v>13.49</v>
      </c>
      <c r="J11" s="40">
        <v>4.1399999999999997</v>
      </c>
      <c r="K11" s="40">
        <v>254.37</v>
      </c>
      <c r="L11" s="40">
        <v>32.1</v>
      </c>
      <c r="M11" s="40">
        <v>64.03</v>
      </c>
      <c r="N11" s="40">
        <v>23.7</v>
      </c>
      <c r="O11" s="40">
        <v>0</v>
      </c>
      <c r="P11" s="40">
        <v>0.57999999999999996</v>
      </c>
      <c r="Q11" s="40">
        <v>28.5</v>
      </c>
      <c r="R11" s="38"/>
      <c r="S11" s="38"/>
      <c r="T11" s="38"/>
      <c r="U11" s="38"/>
    </row>
    <row r="12" spans="1:21" customFormat="1">
      <c r="A12" s="39" t="s">
        <v>615</v>
      </c>
      <c r="B12" s="40">
        <v>8.61</v>
      </c>
      <c r="C12" s="40">
        <v>13.35</v>
      </c>
      <c r="D12" s="40">
        <v>12.71</v>
      </c>
      <c r="E12" s="40">
        <v>5.59</v>
      </c>
      <c r="F12" s="40">
        <v>6.64</v>
      </c>
      <c r="G12" s="40">
        <v>74.86</v>
      </c>
      <c r="H12" s="40">
        <v>34.71</v>
      </c>
      <c r="I12" s="40">
        <v>13.06</v>
      </c>
      <c r="J12" s="40">
        <v>4.21</v>
      </c>
      <c r="K12" s="40">
        <v>220.73</v>
      </c>
      <c r="L12" s="40">
        <v>31.01</v>
      </c>
      <c r="M12" s="40">
        <v>59.4</v>
      </c>
      <c r="N12" s="40">
        <v>23.3</v>
      </c>
      <c r="O12" s="40">
        <v>0</v>
      </c>
      <c r="P12" s="40">
        <v>0.59</v>
      </c>
      <c r="Q12" s="40">
        <v>28.73</v>
      </c>
      <c r="R12" s="38"/>
      <c r="S12" s="38"/>
      <c r="T12" s="38"/>
      <c r="U12" s="38"/>
    </row>
    <row r="13" spans="1:21" customFormat="1">
      <c r="A13" s="39" t="s">
        <v>616</v>
      </c>
      <c r="B13" s="40">
        <v>8.9600000000000009</v>
      </c>
      <c r="C13" s="40">
        <v>16.43</v>
      </c>
      <c r="D13" s="40">
        <v>14.54</v>
      </c>
      <c r="E13" s="40">
        <v>5.57</v>
      </c>
      <c r="F13" s="40">
        <v>8.99</v>
      </c>
      <c r="G13" s="40">
        <v>64.33</v>
      </c>
      <c r="H13" s="40">
        <v>30.61</v>
      </c>
      <c r="I13" s="40">
        <v>13.04</v>
      </c>
      <c r="J13" s="40">
        <v>4.46</v>
      </c>
      <c r="K13" s="40">
        <v>224.98</v>
      </c>
      <c r="L13" s="40">
        <v>31.23</v>
      </c>
      <c r="M13" s="40">
        <v>53.82</v>
      </c>
      <c r="N13" s="40">
        <v>23.1</v>
      </c>
      <c r="O13" s="40">
        <v>0</v>
      </c>
      <c r="P13" s="40">
        <v>0.57999999999999996</v>
      </c>
      <c r="Q13" s="40">
        <v>28.84</v>
      </c>
      <c r="R13" s="38"/>
      <c r="S13" s="38"/>
      <c r="T13" s="38"/>
      <c r="U13" s="38"/>
    </row>
    <row r="14" spans="1:21" customFormat="1">
      <c r="A14" s="39" t="s">
        <v>617</v>
      </c>
      <c r="B14" s="40">
        <v>7.78</v>
      </c>
      <c r="C14" s="40">
        <v>16.12</v>
      </c>
      <c r="D14" s="40">
        <v>13.66</v>
      </c>
      <c r="E14" s="40">
        <v>6.89</v>
      </c>
      <c r="F14" s="40">
        <v>8.19</v>
      </c>
      <c r="G14" s="40">
        <v>50.79</v>
      </c>
      <c r="H14" s="40">
        <v>24.98</v>
      </c>
      <c r="I14" s="40">
        <v>12.3</v>
      </c>
      <c r="J14" s="40">
        <v>2.76</v>
      </c>
      <c r="K14" s="40">
        <v>353.31</v>
      </c>
      <c r="L14" s="40">
        <v>31.67</v>
      </c>
      <c r="M14" s="40">
        <v>58.87</v>
      </c>
      <c r="N14" s="40">
        <v>59</v>
      </c>
      <c r="O14" s="40">
        <v>0</v>
      </c>
      <c r="P14" s="40">
        <v>0.6</v>
      </c>
      <c r="Q14" s="40">
        <v>28.87</v>
      </c>
      <c r="R14" s="38"/>
      <c r="S14" s="38"/>
      <c r="T14" s="38"/>
      <c r="U14" s="38"/>
    </row>
    <row r="15" spans="1:21" customFormat="1">
      <c r="A15" s="39" t="s">
        <v>618</v>
      </c>
      <c r="B15" s="40">
        <v>7.06</v>
      </c>
      <c r="C15" s="40">
        <v>12.45</v>
      </c>
      <c r="D15" s="40">
        <v>11.11</v>
      </c>
      <c r="E15" s="40">
        <v>6.96</v>
      </c>
      <c r="F15" s="40">
        <v>9.08</v>
      </c>
      <c r="G15" s="40">
        <v>46</v>
      </c>
      <c r="H15" s="40">
        <v>21.38</v>
      </c>
      <c r="I15" s="40">
        <v>11.32</v>
      </c>
      <c r="J15" s="40">
        <v>2.34</v>
      </c>
      <c r="K15" s="40">
        <v>213.54</v>
      </c>
      <c r="L15" s="40">
        <v>32.36</v>
      </c>
      <c r="M15" s="40">
        <v>58.89</v>
      </c>
      <c r="N15" s="40">
        <v>115.1</v>
      </c>
      <c r="O15" s="40">
        <v>0</v>
      </c>
      <c r="P15" s="40">
        <v>0.57999999999999996</v>
      </c>
      <c r="Q15" s="40">
        <v>28.9</v>
      </c>
      <c r="R15" s="38"/>
      <c r="S15" s="38"/>
      <c r="T15" s="38"/>
      <c r="U15" s="38"/>
    </row>
    <row r="16" spans="1:21" customFormat="1">
      <c r="A16" s="39" t="s">
        <v>619</v>
      </c>
      <c r="B16" s="40">
        <v>7.4</v>
      </c>
      <c r="C16" s="40">
        <v>14.54</v>
      </c>
      <c r="D16" s="40">
        <v>12.54</v>
      </c>
      <c r="E16" s="40">
        <v>6.8</v>
      </c>
      <c r="F16" s="40">
        <v>7.68</v>
      </c>
      <c r="G16" s="40">
        <v>47.02</v>
      </c>
      <c r="H16" s="40">
        <v>21.32</v>
      </c>
      <c r="I16" s="40">
        <v>11.59</v>
      </c>
      <c r="J16" s="40">
        <v>3.95</v>
      </c>
      <c r="K16" s="40">
        <v>219.19</v>
      </c>
      <c r="L16" s="40">
        <v>33.700000000000003</v>
      </c>
      <c r="M16" s="40">
        <v>55.22</v>
      </c>
      <c r="N16" s="40">
        <v>206.6</v>
      </c>
      <c r="O16" s="40">
        <v>0</v>
      </c>
      <c r="P16" s="40">
        <v>0.59</v>
      </c>
      <c r="Q16" s="40">
        <v>28.88</v>
      </c>
      <c r="R16" s="38"/>
      <c r="S16" s="38"/>
      <c r="T16" s="38"/>
      <c r="U16" s="38"/>
    </row>
    <row r="17" spans="1:21" customFormat="1">
      <c r="A17" s="39" t="s">
        <v>620</v>
      </c>
      <c r="B17" s="40">
        <v>7.27</v>
      </c>
      <c r="C17" s="40">
        <v>12.84</v>
      </c>
      <c r="D17" s="40">
        <v>11.55</v>
      </c>
      <c r="E17" s="40">
        <v>6.6</v>
      </c>
      <c r="F17" s="40">
        <v>8.09</v>
      </c>
      <c r="G17" s="40">
        <v>46.15</v>
      </c>
      <c r="H17" s="40">
        <v>18.46</v>
      </c>
      <c r="I17" s="40">
        <v>11.66</v>
      </c>
      <c r="J17" s="40">
        <v>4.51</v>
      </c>
      <c r="K17" s="40">
        <v>248.11</v>
      </c>
      <c r="L17" s="40">
        <v>34.340000000000003</v>
      </c>
      <c r="M17" s="40">
        <v>54.6</v>
      </c>
      <c r="N17" s="40">
        <v>549.29999999999995</v>
      </c>
      <c r="O17" s="40">
        <v>0</v>
      </c>
      <c r="P17" s="40">
        <v>0.57999999999999996</v>
      </c>
      <c r="Q17" s="40">
        <v>29.02</v>
      </c>
      <c r="R17" s="38"/>
      <c r="S17" s="38"/>
      <c r="T17" s="38"/>
      <c r="U17" s="38"/>
    </row>
    <row r="18" spans="1:21" customFormat="1">
      <c r="A18" s="39" t="s">
        <v>621</v>
      </c>
      <c r="B18" s="40">
        <v>5.97</v>
      </c>
      <c r="C18" s="40">
        <v>11.77</v>
      </c>
      <c r="D18" s="40">
        <v>9.94</v>
      </c>
      <c r="E18" s="40">
        <v>6.2</v>
      </c>
      <c r="F18" s="40">
        <v>13.66</v>
      </c>
      <c r="G18" s="40">
        <v>44.28</v>
      </c>
      <c r="H18" s="40">
        <v>19.149999999999999</v>
      </c>
      <c r="I18" s="40">
        <v>11.67</v>
      </c>
      <c r="J18" s="40">
        <v>4.83</v>
      </c>
      <c r="K18" s="40">
        <v>249.62</v>
      </c>
      <c r="L18" s="40">
        <v>36.94</v>
      </c>
      <c r="M18" s="40">
        <v>50.44</v>
      </c>
      <c r="N18" s="40">
        <v>702.4</v>
      </c>
      <c r="O18" s="40">
        <v>0</v>
      </c>
      <c r="P18" s="40">
        <v>0.57999999999999996</v>
      </c>
      <c r="Q18" s="40">
        <v>29.09</v>
      </c>
      <c r="R18" s="38"/>
      <c r="S18" s="38"/>
      <c r="T18" s="38"/>
      <c r="U18" s="38"/>
    </row>
    <row r="19" spans="1:21" customFormat="1">
      <c r="A19" s="39" t="s">
        <v>622</v>
      </c>
      <c r="B19" s="40">
        <v>3.92</v>
      </c>
      <c r="C19" s="40">
        <v>15.84</v>
      </c>
      <c r="D19" s="40">
        <v>9.91</v>
      </c>
      <c r="E19" s="40">
        <v>6.79</v>
      </c>
      <c r="F19" s="40">
        <v>33.770000000000003</v>
      </c>
      <c r="G19" s="40">
        <v>40.46</v>
      </c>
      <c r="H19" s="40">
        <v>15.63</v>
      </c>
      <c r="I19" s="40">
        <v>11.78</v>
      </c>
      <c r="J19" s="40">
        <v>4.4800000000000004</v>
      </c>
      <c r="K19" s="40">
        <v>257.11</v>
      </c>
      <c r="L19" s="40">
        <v>37.97</v>
      </c>
      <c r="M19" s="40">
        <v>47.8</v>
      </c>
      <c r="N19" s="40">
        <v>820.1</v>
      </c>
      <c r="O19" s="40">
        <v>0</v>
      </c>
      <c r="P19" s="40">
        <v>0.7</v>
      </c>
      <c r="Q19" s="40">
        <v>29.1</v>
      </c>
      <c r="R19" s="38"/>
      <c r="S19" s="38"/>
      <c r="T19" s="38"/>
      <c r="U19" s="38"/>
    </row>
    <row r="20" spans="1:21" customFormat="1">
      <c r="A20" s="39" t="s">
        <v>623</v>
      </c>
      <c r="B20" s="40">
        <v>3.18</v>
      </c>
      <c r="C20" s="40">
        <v>13.99</v>
      </c>
      <c r="D20" s="40">
        <v>8.86</v>
      </c>
      <c r="E20" s="40">
        <v>8.17</v>
      </c>
      <c r="F20" s="40">
        <v>29.36</v>
      </c>
      <c r="G20" s="40">
        <v>38.65</v>
      </c>
      <c r="H20" s="40">
        <v>16.61</v>
      </c>
      <c r="I20" s="40">
        <v>13.55</v>
      </c>
      <c r="J20" s="40">
        <v>3.02</v>
      </c>
      <c r="K20" s="40">
        <v>310.12</v>
      </c>
      <c r="L20" s="40">
        <v>38.33</v>
      </c>
      <c r="M20" s="40">
        <v>42.81</v>
      </c>
      <c r="N20" s="40">
        <v>844.4</v>
      </c>
      <c r="O20" s="40">
        <v>0</v>
      </c>
      <c r="P20" s="40">
        <v>0.66</v>
      </c>
      <c r="Q20" s="40">
        <v>29.22</v>
      </c>
      <c r="R20" s="38"/>
      <c r="S20" s="38"/>
      <c r="T20" s="38"/>
      <c r="U20" s="38"/>
    </row>
    <row r="21" spans="1:21" customFormat="1">
      <c r="A21" s="39" t="s">
        <v>624</v>
      </c>
      <c r="B21" s="40">
        <v>3.18</v>
      </c>
      <c r="C21" s="40">
        <v>19.600000000000001</v>
      </c>
      <c r="D21" s="40">
        <v>11.23</v>
      </c>
      <c r="E21" s="40">
        <v>7.59</v>
      </c>
      <c r="F21" s="40">
        <v>66.16</v>
      </c>
      <c r="G21" s="40">
        <v>40.79</v>
      </c>
      <c r="H21" s="40">
        <v>18.11</v>
      </c>
      <c r="I21" s="40">
        <v>12.72</v>
      </c>
      <c r="J21" s="40">
        <v>2.83</v>
      </c>
      <c r="K21" s="40">
        <v>260.5</v>
      </c>
      <c r="L21" s="40">
        <v>41.02</v>
      </c>
      <c r="M21" s="40">
        <v>36.479999999999997</v>
      </c>
      <c r="N21" s="40">
        <v>847.4</v>
      </c>
      <c r="O21" s="40">
        <v>0</v>
      </c>
      <c r="P21" s="40">
        <v>0.72</v>
      </c>
      <c r="Q21" s="40">
        <v>29.14</v>
      </c>
      <c r="R21" s="38"/>
      <c r="S21" s="38"/>
      <c r="T21" s="38"/>
      <c r="U21" s="38"/>
    </row>
    <row r="22" spans="1:21" customFormat="1">
      <c r="A22" s="39" t="s">
        <v>625</v>
      </c>
      <c r="B22" s="40">
        <v>2.78</v>
      </c>
      <c r="C22" s="40">
        <v>19.23</v>
      </c>
      <c r="D22" s="40">
        <v>11.28</v>
      </c>
      <c r="E22" s="40">
        <v>9.73</v>
      </c>
      <c r="F22" s="40">
        <v>63.98</v>
      </c>
      <c r="G22" s="40">
        <v>40.79</v>
      </c>
      <c r="H22" s="40">
        <v>18.25</v>
      </c>
      <c r="I22" s="40">
        <v>12.94</v>
      </c>
      <c r="J22" s="40">
        <v>2.27</v>
      </c>
      <c r="K22" s="40">
        <v>99.39</v>
      </c>
      <c r="L22" s="40">
        <v>41.08</v>
      </c>
      <c r="M22" s="40">
        <v>32.28</v>
      </c>
      <c r="N22" s="40">
        <v>821</v>
      </c>
      <c r="O22" s="40">
        <v>0</v>
      </c>
      <c r="P22" s="40">
        <v>0.59</v>
      </c>
      <c r="Q22" s="40">
        <v>28.91</v>
      </c>
      <c r="R22" s="38"/>
      <c r="S22" s="38"/>
      <c r="T22" s="38"/>
      <c r="U22" s="38"/>
    </row>
    <row r="23" spans="1:21" customFormat="1">
      <c r="A23" s="39" t="s">
        <v>626</v>
      </c>
      <c r="B23" s="40">
        <v>2.95</v>
      </c>
      <c r="C23" s="40">
        <v>17.11</v>
      </c>
      <c r="D23" s="40">
        <v>10.31</v>
      </c>
      <c r="E23" s="40">
        <v>11.49</v>
      </c>
      <c r="F23" s="40">
        <v>48.68</v>
      </c>
      <c r="G23" s="40">
        <v>47.95</v>
      </c>
      <c r="H23" s="40">
        <v>22.15</v>
      </c>
      <c r="I23" s="40">
        <v>11.29</v>
      </c>
      <c r="J23" s="40">
        <v>1.69</v>
      </c>
      <c r="K23" s="40">
        <v>149.6</v>
      </c>
      <c r="L23" s="40">
        <v>42.7</v>
      </c>
      <c r="M23" s="40">
        <v>28.27</v>
      </c>
      <c r="N23" s="40">
        <v>724.4</v>
      </c>
      <c r="O23" s="40">
        <v>0</v>
      </c>
      <c r="P23" s="40">
        <v>0.61</v>
      </c>
      <c r="Q23" s="40">
        <v>29.17</v>
      </c>
      <c r="R23" s="38"/>
      <c r="S23" s="38"/>
      <c r="T23" s="38"/>
      <c r="U23" s="38"/>
    </row>
    <row r="24" spans="1:21" customFormat="1">
      <c r="A24" s="39" t="s">
        <v>627</v>
      </c>
      <c r="B24" s="40">
        <v>3.08</v>
      </c>
      <c r="C24" s="40">
        <v>17.14</v>
      </c>
      <c r="D24" s="40">
        <v>10.43</v>
      </c>
      <c r="E24" s="40">
        <v>10.050000000000001</v>
      </c>
      <c r="F24" s="40">
        <v>56.47</v>
      </c>
      <c r="G24" s="40">
        <v>38.86</v>
      </c>
      <c r="H24" s="40">
        <v>18.09</v>
      </c>
      <c r="I24" s="40">
        <v>9.01</v>
      </c>
      <c r="J24" s="40">
        <v>1.98</v>
      </c>
      <c r="K24" s="40">
        <v>191.71</v>
      </c>
      <c r="L24" s="40">
        <v>43.27</v>
      </c>
      <c r="M24" s="40">
        <v>23.75</v>
      </c>
      <c r="N24" s="40">
        <v>559</v>
      </c>
      <c r="O24" s="40">
        <v>0</v>
      </c>
      <c r="P24" s="40">
        <v>0.45</v>
      </c>
      <c r="Q24" s="40">
        <v>29.19</v>
      </c>
      <c r="R24" s="38"/>
      <c r="S24" s="38"/>
      <c r="T24" s="38"/>
      <c r="U24" s="38"/>
    </row>
    <row r="25" spans="1:21" customFormat="1">
      <c r="A25" s="39" t="s">
        <v>628</v>
      </c>
      <c r="B25" s="40">
        <v>2.94</v>
      </c>
      <c r="C25" s="40">
        <v>20.9</v>
      </c>
      <c r="D25" s="40">
        <v>12.29</v>
      </c>
      <c r="E25" s="40">
        <v>11.94</v>
      </c>
      <c r="F25" s="40">
        <v>38.31</v>
      </c>
      <c r="G25" s="40">
        <v>49.72</v>
      </c>
      <c r="H25" s="40">
        <v>18.809999999999999</v>
      </c>
      <c r="I25" s="40">
        <v>8.74</v>
      </c>
      <c r="J25" s="40">
        <v>2.95</v>
      </c>
      <c r="K25" s="40">
        <v>155.15</v>
      </c>
      <c r="L25" s="40">
        <v>40.99</v>
      </c>
      <c r="M25" s="40">
        <v>29.82</v>
      </c>
      <c r="N25" s="40">
        <v>386.4</v>
      </c>
      <c r="O25" s="40">
        <v>0</v>
      </c>
      <c r="P25" s="40">
        <v>0.61</v>
      </c>
      <c r="Q25" s="40">
        <v>28.49</v>
      </c>
      <c r="R25" s="38"/>
      <c r="S25" s="38"/>
      <c r="T25" s="38"/>
      <c r="U25" s="38"/>
    </row>
    <row r="26" spans="1:21" customFormat="1">
      <c r="A26" s="39" t="s">
        <v>629</v>
      </c>
      <c r="B26" s="40">
        <v>3.28</v>
      </c>
      <c r="C26" s="40">
        <v>20.25</v>
      </c>
      <c r="D26" s="40">
        <v>12.21</v>
      </c>
      <c r="E26" s="40">
        <v>11.03</v>
      </c>
      <c r="F26" s="40">
        <v>40</v>
      </c>
      <c r="G26" s="40">
        <v>52.57</v>
      </c>
      <c r="H26" s="40">
        <v>20.97</v>
      </c>
      <c r="I26" s="40">
        <v>10.54</v>
      </c>
      <c r="J26" s="40">
        <v>2.12</v>
      </c>
      <c r="K26" s="40">
        <v>138.71</v>
      </c>
      <c r="L26" s="40">
        <v>38.979999999999997</v>
      </c>
      <c r="M26" s="40">
        <v>29.22</v>
      </c>
      <c r="N26" s="40">
        <v>135.4</v>
      </c>
      <c r="O26" s="40">
        <v>0</v>
      </c>
      <c r="P26" s="40">
        <v>0.64</v>
      </c>
      <c r="Q26" s="40">
        <v>28.97</v>
      </c>
      <c r="R26" s="38"/>
      <c r="S26" s="38"/>
      <c r="T26" s="38"/>
      <c r="U26" s="38"/>
    </row>
    <row r="27" spans="1:21" customFormat="1">
      <c r="A27" s="39" t="s">
        <v>630</v>
      </c>
      <c r="B27" s="40">
        <v>5.97</v>
      </c>
      <c r="C27" s="40">
        <v>23.19</v>
      </c>
      <c r="D27" s="40">
        <v>15.5</v>
      </c>
      <c r="E27" s="40">
        <v>10.48</v>
      </c>
      <c r="F27" s="40">
        <v>44.65</v>
      </c>
      <c r="G27" s="40">
        <v>47.81</v>
      </c>
      <c r="H27" s="40">
        <v>14.9</v>
      </c>
      <c r="I27" s="40">
        <v>11.09</v>
      </c>
      <c r="J27" s="40">
        <v>2.94</v>
      </c>
      <c r="K27" s="40">
        <v>153.22</v>
      </c>
      <c r="L27" s="40">
        <v>37.81</v>
      </c>
      <c r="M27" s="40">
        <v>32.75</v>
      </c>
      <c r="N27" s="40">
        <v>40.4</v>
      </c>
      <c r="O27" s="40">
        <v>0</v>
      </c>
      <c r="P27" s="40">
        <v>0.7</v>
      </c>
      <c r="Q27" s="40">
        <v>29.05</v>
      </c>
      <c r="R27" s="38"/>
      <c r="S27" s="38"/>
      <c r="T27" s="38"/>
      <c r="U27" s="38"/>
    </row>
    <row r="28" spans="1:21" customFormat="1">
      <c r="A28" s="39" t="s">
        <v>631</v>
      </c>
      <c r="B28" s="40">
        <v>6.18</v>
      </c>
      <c r="C28" s="40">
        <v>18.57</v>
      </c>
      <c r="D28" s="40">
        <v>13.25</v>
      </c>
      <c r="E28" s="40">
        <v>7.9</v>
      </c>
      <c r="F28" s="40">
        <v>13.7</v>
      </c>
      <c r="G28" s="40">
        <v>52.14</v>
      </c>
      <c r="H28" s="40">
        <v>14.88</v>
      </c>
      <c r="I28" s="40">
        <v>12.4</v>
      </c>
      <c r="J28" s="40">
        <v>3.63</v>
      </c>
      <c r="K28" s="40">
        <v>256.77</v>
      </c>
      <c r="L28" s="40">
        <v>33.69</v>
      </c>
      <c r="M28" s="40">
        <v>48.54</v>
      </c>
      <c r="N28" s="40">
        <v>28</v>
      </c>
      <c r="O28" s="40">
        <v>0.2</v>
      </c>
      <c r="P28" s="40">
        <v>0.68</v>
      </c>
      <c r="Q28" s="40">
        <v>28.94</v>
      </c>
      <c r="R28" s="38"/>
      <c r="S28" s="38"/>
      <c r="T28" s="38"/>
      <c r="U28" s="38"/>
    </row>
    <row r="29" spans="1:21" customFormat="1">
      <c r="A29" s="39" t="s">
        <v>632</v>
      </c>
      <c r="B29" s="40">
        <v>4.62</v>
      </c>
      <c r="C29" s="40">
        <v>16.37</v>
      </c>
      <c r="D29" s="40">
        <v>11.26</v>
      </c>
      <c r="E29" s="40">
        <v>6.79</v>
      </c>
      <c r="F29" s="40">
        <v>6.25</v>
      </c>
      <c r="G29" s="40">
        <v>63.88</v>
      </c>
      <c r="H29" s="40">
        <v>18.43</v>
      </c>
      <c r="I29" s="40">
        <v>11.66</v>
      </c>
      <c r="J29" s="40">
        <v>4.51</v>
      </c>
      <c r="K29" s="40">
        <v>353.89</v>
      </c>
      <c r="L29" s="40">
        <v>28.21</v>
      </c>
      <c r="M29" s="40">
        <v>64.98</v>
      </c>
      <c r="N29" s="40">
        <v>23.9</v>
      </c>
      <c r="O29" s="40">
        <v>0</v>
      </c>
      <c r="P29" s="40">
        <v>0.61</v>
      </c>
      <c r="Q29" s="40">
        <v>29.07</v>
      </c>
      <c r="R29" s="38"/>
      <c r="S29" s="38"/>
      <c r="T29" s="38"/>
      <c r="U29" s="38"/>
    </row>
    <row r="30" spans="1:21" customFormat="1">
      <c r="A30" s="39" t="s">
        <v>633</v>
      </c>
      <c r="B30" s="40">
        <v>4.25</v>
      </c>
      <c r="C30" s="40">
        <v>14.59</v>
      </c>
      <c r="D30" s="40">
        <v>10.039999999999999</v>
      </c>
      <c r="E30" s="40">
        <v>6.67</v>
      </c>
      <c r="F30" s="40">
        <v>9.26</v>
      </c>
      <c r="G30" s="40">
        <v>51.58</v>
      </c>
      <c r="H30" s="40">
        <v>18.5</v>
      </c>
      <c r="I30" s="40">
        <v>10.24</v>
      </c>
      <c r="J30" s="40">
        <v>4.91</v>
      </c>
      <c r="K30" s="40">
        <v>27.48</v>
      </c>
      <c r="L30" s="40">
        <v>27.04</v>
      </c>
      <c r="M30" s="40">
        <v>83.32</v>
      </c>
      <c r="N30" s="40">
        <v>25.2</v>
      </c>
      <c r="O30" s="40">
        <v>0.8</v>
      </c>
      <c r="P30" s="40">
        <v>0.56999999999999995</v>
      </c>
      <c r="Q30" s="40">
        <v>29.07</v>
      </c>
      <c r="R30" s="38"/>
      <c r="S30" s="38"/>
      <c r="T30" s="38"/>
      <c r="U30" s="38"/>
    </row>
    <row r="31" spans="1:21" customFormat="1">
      <c r="A31" s="39" t="s">
        <v>634</v>
      </c>
      <c r="B31" s="40">
        <v>4.51</v>
      </c>
      <c r="C31" s="40">
        <v>14</v>
      </c>
      <c r="D31" s="40">
        <v>9.9</v>
      </c>
      <c r="E31" s="40">
        <v>6.08</v>
      </c>
      <c r="F31" s="40">
        <v>8.19</v>
      </c>
      <c r="G31" s="40">
        <v>31.88</v>
      </c>
      <c r="H31" s="40">
        <v>15.78</v>
      </c>
      <c r="I31" s="40">
        <v>9.23</v>
      </c>
      <c r="J31" s="40">
        <v>3.95</v>
      </c>
      <c r="K31" s="40">
        <v>237</v>
      </c>
      <c r="L31" s="40">
        <v>24.36</v>
      </c>
      <c r="M31" s="40">
        <v>90.33</v>
      </c>
      <c r="N31" s="40">
        <v>23.8</v>
      </c>
      <c r="O31" s="40">
        <v>4</v>
      </c>
      <c r="P31" s="40">
        <v>0.49</v>
      </c>
      <c r="Q31" s="40">
        <v>28.86</v>
      </c>
      <c r="R31" s="38"/>
      <c r="S31" s="38"/>
      <c r="T31" s="38"/>
      <c r="U31" s="38"/>
    </row>
    <row r="32" spans="1:21" customFormat="1">
      <c r="A32" s="39" t="s">
        <v>635</v>
      </c>
      <c r="B32" s="40">
        <v>4.51</v>
      </c>
      <c r="C32" s="40">
        <v>16.28</v>
      </c>
      <c r="D32" s="40">
        <v>11.13</v>
      </c>
      <c r="E32" s="40">
        <v>5.6</v>
      </c>
      <c r="F32" s="40">
        <v>6.43</v>
      </c>
      <c r="G32" s="40">
        <v>22.87</v>
      </c>
      <c r="H32" s="40">
        <v>11.41</v>
      </c>
      <c r="I32" s="40">
        <v>8.66</v>
      </c>
      <c r="J32" s="40">
        <v>3.09</v>
      </c>
      <c r="K32" s="40">
        <v>307.45</v>
      </c>
      <c r="L32" s="40">
        <v>23.46</v>
      </c>
      <c r="M32" s="40">
        <v>96.98</v>
      </c>
      <c r="N32" s="40">
        <v>24.2</v>
      </c>
      <c r="O32" s="40">
        <v>1.6</v>
      </c>
      <c r="P32" s="40">
        <v>0.47</v>
      </c>
      <c r="Q32" s="40">
        <v>28.89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2.78</v>
      </c>
      <c r="C34" s="18">
        <f t="shared" si="0"/>
        <v>11.77</v>
      </c>
      <c r="D34" s="18">
        <f t="shared" si="0"/>
        <v>8.86</v>
      </c>
      <c r="E34" s="18">
        <f t="shared" si="0"/>
        <v>5.57</v>
      </c>
      <c r="F34" s="18">
        <f t="shared" si="0"/>
        <v>5.6</v>
      </c>
      <c r="G34" s="18">
        <f t="shared" si="0"/>
        <v>22.87</v>
      </c>
      <c r="H34" s="18">
        <f t="shared" si="0"/>
        <v>11.41</v>
      </c>
      <c r="I34" s="18">
        <f t="shared" si="0"/>
        <v>8.66</v>
      </c>
      <c r="J34" s="18">
        <f t="shared" si="0"/>
        <v>1.69</v>
      </c>
      <c r="K34" s="18">
        <f t="shared" si="0"/>
        <v>27.48</v>
      </c>
      <c r="L34" s="18">
        <f t="shared" si="0"/>
        <v>23.46</v>
      </c>
      <c r="M34" s="18">
        <f t="shared" si="0"/>
        <v>23.75</v>
      </c>
      <c r="N34" s="18">
        <f t="shared" si="0"/>
        <v>23.1</v>
      </c>
      <c r="O34" s="18">
        <f t="shared" si="0"/>
        <v>0</v>
      </c>
      <c r="P34" s="18">
        <f t="shared" si="0"/>
        <v>0.45</v>
      </c>
      <c r="Q34" s="18">
        <f t="shared" si="0"/>
        <v>28.42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9.89</v>
      </c>
      <c r="C35" s="3">
        <f t="shared" si="1"/>
        <v>23.19</v>
      </c>
      <c r="D35" s="3">
        <f t="shared" si="1"/>
        <v>15.5</v>
      </c>
      <c r="E35" s="3">
        <f t="shared" si="1"/>
        <v>11.94</v>
      </c>
      <c r="F35" s="3">
        <f t="shared" si="1"/>
        <v>66.16</v>
      </c>
      <c r="G35" s="3">
        <f t="shared" si="1"/>
        <v>76.92</v>
      </c>
      <c r="H35" s="3">
        <f t="shared" si="1"/>
        <v>36.93</v>
      </c>
      <c r="I35" s="3">
        <f t="shared" si="1"/>
        <v>13.8</v>
      </c>
      <c r="J35" s="3">
        <f t="shared" si="1"/>
        <v>4.91</v>
      </c>
      <c r="K35" s="3">
        <f t="shared" si="1"/>
        <v>353.89</v>
      </c>
      <c r="L35" s="3">
        <f t="shared" si="1"/>
        <v>43.27</v>
      </c>
      <c r="M35" s="3">
        <f t="shared" si="1"/>
        <v>96.98</v>
      </c>
      <c r="N35" s="3">
        <f t="shared" si="1"/>
        <v>847.4</v>
      </c>
      <c r="O35" s="3">
        <f t="shared" si="1"/>
        <v>4</v>
      </c>
      <c r="P35" s="3">
        <f t="shared" si="1"/>
        <v>0.72</v>
      </c>
      <c r="Q35" s="3">
        <f t="shared" si="1"/>
        <v>29.22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5.4991666666666674</v>
      </c>
      <c r="C36" s="18">
        <f t="shared" si="2"/>
        <v>16.723333333333329</v>
      </c>
      <c r="D36" s="18">
        <f t="shared" si="2"/>
        <v>11.997083333333334</v>
      </c>
      <c r="E36" s="18">
        <f t="shared" si="2"/>
        <v>7.7549999999999999</v>
      </c>
      <c r="F36" s="18">
        <f t="shared" si="2"/>
        <v>22.806666666666661</v>
      </c>
      <c r="G36" s="18">
        <f t="shared" si="2"/>
        <v>50.369166666666672</v>
      </c>
      <c r="H36" s="18">
        <f t="shared" si="2"/>
        <v>21.050416666666663</v>
      </c>
      <c r="I36" s="18">
        <f t="shared" si="2"/>
        <v>11.621250000000002</v>
      </c>
      <c r="J36" s="18">
        <f t="shared" si="2"/>
        <v>3.4004166666666666</v>
      </c>
      <c r="K36" s="18">
        <f t="shared" si="2"/>
        <v>216.64333333333332</v>
      </c>
      <c r="L36" s="18">
        <f t="shared" si="2"/>
        <v>34.395000000000003</v>
      </c>
      <c r="M36" s="18">
        <f t="shared" si="2"/>
        <v>52.136249999999997</v>
      </c>
      <c r="N36" s="18">
        <f t="shared" si="2"/>
        <v>293.86666666666656</v>
      </c>
      <c r="O36" s="18">
        <f t="shared" si="2"/>
        <v>0.27499999999999997</v>
      </c>
      <c r="P36" s="18">
        <f t="shared" si="2"/>
        <v>0.60124999999999995</v>
      </c>
      <c r="Q36" s="18">
        <f t="shared" si="2"/>
        <v>28.913333333333338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2.1749221208779055</v>
      </c>
      <c r="C37" s="18">
        <f t="shared" ref="C37:Q37" si="3">STDEV(C9:C32)</f>
        <v>3.0192219940367861</v>
      </c>
      <c r="D37" s="18">
        <f t="shared" si="3"/>
        <v>1.9149968308900278</v>
      </c>
      <c r="E37" s="18">
        <f t="shared" si="3"/>
        <v>1.9599201403429043</v>
      </c>
      <c r="F37" s="18">
        <f t="shared" si="3"/>
        <v>20.588089563727326</v>
      </c>
      <c r="G37" s="18">
        <f t="shared" si="3"/>
        <v>13.484787859776933</v>
      </c>
      <c r="H37" s="18">
        <f t="shared" si="3"/>
        <v>6.4834843551949879</v>
      </c>
      <c r="I37" s="18">
        <f t="shared" si="3"/>
        <v>1.5538236498337203</v>
      </c>
      <c r="J37" s="18">
        <f t="shared" si="3"/>
        <v>0.97391848228941913</v>
      </c>
      <c r="K37" s="18">
        <f t="shared" si="3"/>
        <v>77.900223121110827</v>
      </c>
      <c r="L37" s="18">
        <f t="shared" si="3"/>
        <v>5.5743285811328374</v>
      </c>
      <c r="M37" s="18">
        <f t="shared" si="3"/>
        <v>19.174676418674427</v>
      </c>
      <c r="N37" s="18">
        <f t="shared" si="3"/>
        <v>334.4045150863621</v>
      </c>
      <c r="O37" s="18">
        <f t="shared" si="3"/>
        <v>0.8704072010571684</v>
      </c>
      <c r="P37" s="18">
        <f t="shared" si="3"/>
        <v>6.7069885680664687E-2</v>
      </c>
      <c r="Q37" s="18">
        <f t="shared" si="3"/>
        <v>0.22594086695929727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636</v>
      </c>
      <c r="B9" s="40">
        <v>5.31</v>
      </c>
      <c r="C9" s="40">
        <v>15.95</v>
      </c>
      <c r="D9" s="40">
        <v>10.81</v>
      </c>
      <c r="E9" s="40">
        <v>5.92</v>
      </c>
      <c r="F9" s="40">
        <v>3.6</v>
      </c>
      <c r="G9" s="40">
        <v>17.18</v>
      </c>
      <c r="H9" s="40">
        <v>8.43</v>
      </c>
      <c r="I9" s="40">
        <v>8.1199999999999992</v>
      </c>
      <c r="J9" s="40">
        <v>4.62</v>
      </c>
      <c r="K9" s="40">
        <v>221.4</v>
      </c>
      <c r="L9" s="40">
        <v>23.46</v>
      </c>
      <c r="M9" s="40">
        <v>96.98</v>
      </c>
      <c r="N9" s="40">
        <v>25.4</v>
      </c>
      <c r="O9" s="40">
        <v>6.6</v>
      </c>
      <c r="P9" s="40">
        <v>0.45</v>
      </c>
      <c r="Q9" s="40">
        <v>28.86</v>
      </c>
      <c r="R9" s="38"/>
      <c r="S9" s="38"/>
      <c r="T9" s="38"/>
      <c r="U9" s="38"/>
    </row>
    <row r="10" spans="1:21" customFormat="1">
      <c r="A10" s="39" t="s">
        <v>637</v>
      </c>
      <c r="B10" s="40">
        <v>5.34</v>
      </c>
      <c r="C10" s="40">
        <v>13.78</v>
      </c>
      <c r="D10" s="40">
        <v>10.48</v>
      </c>
      <c r="E10" s="40">
        <v>5.33</v>
      </c>
      <c r="F10" s="40">
        <v>3.53</v>
      </c>
      <c r="G10" s="40">
        <v>15.15</v>
      </c>
      <c r="H10" s="40">
        <v>9.0399999999999991</v>
      </c>
      <c r="I10" s="40">
        <v>7.82</v>
      </c>
      <c r="J10" s="40">
        <v>4.45</v>
      </c>
      <c r="K10" s="40">
        <v>209.35</v>
      </c>
      <c r="L10" s="40">
        <v>22.74</v>
      </c>
      <c r="M10" s="40">
        <v>96.95</v>
      </c>
      <c r="N10" s="40">
        <v>23.9</v>
      </c>
      <c r="O10" s="40">
        <v>0.6</v>
      </c>
      <c r="P10" s="40">
        <v>0.41</v>
      </c>
      <c r="Q10" s="40">
        <v>28.93</v>
      </c>
      <c r="R10" s="38"/>
      <c r="S10" s="38"/>
      <c r="T10" s="38"/>
      <c r="U10" s="38"/>
    </row>
    <row r="11" spans="1:21" customFormat="1">
      <c r="A11" s="39" t="s">
        <v>638</v>
      </c>
      <c r="B11" s="40">
        <v>4.37</v>
      </c>
      <c r="C11" s="40">
        <v>13.41</v>
      </c>
      <c r="D11" s="40">
        <v>9.3000000000000007</v>
      </c>
      <c r="E11" s="40">
        <v>5.05</v>
      </c>
      <c r="F11" s="40">
        <v>5.21</v>
      </c>
      <c r="G11" s="40">
        <v>11.78</v>
      </c>
      <c r="H11" s="40">
        <v>6.46</v>
      </c>
      <c r="I11" s="40">
        <v>7.08</v>
      </c>
      <c r="J11" s="40">
        <v>4.7699999999999996</v>
      </c>
      <c r="K11" s="40">
        <v>218.3</v>
      </c>
      <c r="L11" s="40">
        <v>22.68</v>
      </c>
      <c r="M11" s="40">
        <v>96.95</v>
      </c>
      <c r="N11" s="40">
        <v>24.5</v>
      </c>
      <c r="O11" s="40">
        <v>0.2</v>
      </c>
      <c r="P11" s="40">
        <v>0.38</v>
      </c>
      <c r="Q11" s="40">
        <v>28.99</v>
      </c>
      <c r="R11" s="38"/>
      <c r="S11" s="38"/>
      <c r="T11" s="38"/>
      <c r="U11" s="38"/>
    </row>
    <row r="12" spans="1:21" customFormat="1">
      <c r="A12" s="39" t="s">
        <v>639</v>
      </c>
      <c r="B12" s="40">
        <v>3.15</v>
      </c>
      <c r="C12" s="40">
        <v>17.11</v>
      </c>
      <c r="D12" s="40">
        <v>10.47</v>
      </c>
      <c r="E12" s="40">
        <v>4.6900000000000004</v>
      </c>
      <c r="F12" s="40">
        <v>3.74</v>
      </c>
      <c r="G12" s="40">
        <v>10.9</v>
      </c>
      <c r="H12" s="40">
        <v>4.58</v>
      </c>
      <c r="I12" s="40">
        <v>6.44</v>
      </c>
      <c r="J12" s="40">
        <v>5.04</v>
      </c>
      <c r="K12" s="40">
        <v>214.77</v>
      </c>
      <c r="L12" s="40">
        <v>22.6</v>
      </c>
      <c r="M12" s="40">
        <v>94.41</v>
      </c>
      <c r="N12" s="40">
        <v>24.5</v>
      </c>
      <c r="O12" s="40">
        <v>0.4</v>
      </c>
      <c r="P12" s="40">
        <v>0.36</v>
      </c>
      <c r="Q12" s="40">
        <v>29.03</v>
      </c>
      <c r="R12" s="38"/>
      <c r="S12" s="38"/>
      <c r="T12" s="38"/>
      <c r="U12" s="38"/>
    </row>
    <row r="13" spans="1:21" customFormat="1">
      <c r="A13" s="39" t="s">
        <v>640</v>
      </c>
      <c r="B13" s="40">
        <v>3.42</v>
      </c>
      <c r="C13" s="40">
        <v>14.19</v>
      </c>
      <c r="D13" s="40">
        <v>8.73</v>
      </c>
      <c r="E13" s="40">
        <v>4.3600000000000003</v>
      </c>
      <c r="F13" s="40">
        <v>3.49</v>
      </c>
      <c r="G13" s="40">
        <v>7.72</v>
      </c>
      <c r="H13" s="40">
        <v>3.61</v>
      </c>
      <c r="I13" s="40">
        <v>6.15</v>
      </c>
      <c r="J13" s="40">
        <v>4.1100000000000003</v>
      </c>
      <c r="K13" s="40">
        <v>213.74</v>
      </c>
      <c r="L13" s="40">
        <v>22.37</v>
      </c>
      <c r="M13" s="40">
        <v>95.08</v>
      </c>
      <c r="N13" s="40">
        <v>23.9</v>
      </c>
      <c r="O13" s="40">
        <v>0.4</v>
      </c>
      <c r="P13" s="40">
        <v>0.33</v>
      </c>
      <c r="Q13" s="40">
        <v>29.09</v>
      </c>
      <c r="R13" s="38"/>
      <c r="S13" s="38"/>
      <c r="T13" s="38"/>
      <c r="U13" s="38"/>
    </row>
    <row r="14" spans="1:21" customFormat="1">
      <c r="A14" s="39" t="s">
        <v>641</v>
      </c>
      <c r="B14" s="40">
        <v>3.68</v>
      </c>
      <c r="C14" s="40">
        <v>13.58</v>
      </c>
      <c r="D14" s="40">
        <v>9.0500000000000007</v>
      </c>
      <c r="E14" s="40">
        <v>6.01</v>
      </c>
      <c r="F14" s="40">
        <v>3.4</v>
      </c>
      <c r="G14" s="40">
        <v>6.48</v>
      </c>
      <c r="H14" s="40">
        <v>3.99</v>
      </c>
      <c r="I14" s="40">
        <v>6.02</v>
      </c>
      <c r="J14" s="40">
        <v>4.0999999999999996</v>
      </c>
      <c r="K14" s="40">
        <v>219.12</v>
      </c>
      <c r="L14" s="40">
        <v>23.03</v>
      </c>
      <c r="M14" s="40">
        <v>91.72</v>
      </c>
      <c r="N14" s="40">
        <v>36.4</v>
      </c>
      <c r="O14" s="40">
        <v>0</v>
      </c>
      <c r="P14" s="40">
        <v>0.38</v>
      </c>
      <c r="Q14" s="40">
        <v>28.96</v>
      </c>
      <c r="R14" s="38"/>
      <c r="S14" s="38"/>
      <c r="T14" s="38"/>
      <c r="U14" s="38"/>
    </row>
    <row r="15" spans="1:21" customFormat="1">
      <c r="A15" s="39" t="s">
        <v>642</v>
      </c>
      <c r="B15" s="40">
        <v>4.75</v>
      </c>
      <c r="C15" s="40">
        <v>18.96</v>
      </c>
      <c r="D15" s="40">
        <v>12.72</v>
      </c>
      <c r="E15" s="40">
        <v>5.62</v>
      </c>
      <c r="F15" s="40">
        <v>3.14</v>
      </c>
      <c r="G15" s="40">
        <v>8.18</v>
      </c>
      <c r="H15" s="40">
        <v>3.18</v>
      </c>
      <c r="I15" s="40">
        <v>5.91</v>
      </c>
      <c r="J15" s="40">
        <v>5.23</v>
      </c>
      <c r="K15" s="40">
        <v>237.55</v>
      </c>
      <c r="L15" s="40">
        <v>23.4</v>
      </c>
      <c r="M15" s="40">
        <v>87.63</v>
      </c>
      <c r="N15" s="40">
        <v>63.1</v>
      </c>
      <c r="O15" s="40">
        <v>0</v>
      </c>
      <c r="P15" s="40">
        <v>0.39</v>
      </c>
      <c r="Q15" s="40">
        <v>28.91</v>
      </c>
      <c r="R15" s="38"/>
      <c r="S15" s="38"/>
      <c r="T15" s="38"/>
      <c r="U15" s="38"/>
    </row>
    <row r="16" spans="1:21" customFormat="1">
      <c r="A16" s="39" t="s">
        <v>643</v>
      </c>
      <c r="B16" s="40">
        <v>8.43</v>
      </c>
      <c r="C16" s="40">
        <v>19.3</v>
      </c>
      <c r="D16" s="40">
        <v>14.94</v>
      </c>
      <c r="E16" s="40">
        <v>6.48</v>
      </c>
      <c r="F16" s="40">
        <v>2.72</v>
      </c>
      <c r="G16" s="40">
        <v>12.52</v>
      </c>
      <c r="H16" s="40">
        <v>5.54</v>
      </c>
      <c r="I16" s="40">
        <v>6.51</v>
      </c>
      <c r="J16" s="40">
        <v>3.59</v>
      </c>
      <c r="K16" s="40">
        <v>73.540000000000006</v>
      </c>
      <c r="L16" s="40">
        <v>23.97</v>
      </c>
      <c r="M16" s="40">
        <v>85.27</v>
      </c>
      <c r="N16" s="40">
        <v>127.6</v>
      </c>
      <c r="O16" s="40">
        <v>0</v>
      </c>
      <c r="P16" s="40">
        <v>0.45</v>
      </c>
      <c r="Q16" s="40">
        <v>28.53</v>
      </c>
      <c r="R16" s="38"/>
      <c r="S16" s="38"/>
      <c r="T16" s="38"/>
      <c r="U16" s="38"/>
    </row>
    <row r="17" spans="1:21" customFormat="1">
      <c r="A17" s="39" t="s">
        <v>644</v>
      </c>
      <c r="B17" s="40">
        <v>12.34</v>
      </c>
      <c r="C17" s="40">
        <v>19.34</v>
      </c>
      <c r="D17" s="40">
        <v>19.010000000000002</v>
      </c>
      <c r="E17" s="40">
        <v>7.07</v>
      </c>
      <c r="F17" s="40">
        <v>5.5</v>
      </c>
      <c r="G17" s="40">
        <v>35.26</v>
      </c>
      <c r="H17" s="40">
        <v>14.48</v>
      </c>
      <c r="I17" s="40">
        <v>8.77</v>
      </c>
      <c r="J17" s="40">
        <v>4.3899999999999997</v>
      </c>
      <c r="K17" s="40">
        <v>46.5</v>
      </c>
      <c r="L17" s="40">
        <v>24.58</v>
      </c>
      <c r="M17" s="40">
        <v>84.4</v>
      </c>
      <c r="N17" s="40">
        <v>225.6</v>
      </c>
      <c r="O17" s="40">
        <v>0</v>
      </c>
      <c r="P17" s="40">
        <v>0.55000000000000004</v>
      </c>
      <c r="Q17" s="40">
        <v>28.26</v>
      </c>
      <c r="R17" s="38"/>
      <c r="S17" s="38"/>
      <c r="T17" s="38"/>
      <c r="U17" s="38"/>
    </row>
    <row r="18" spans="1:21" customFormat="1">
      <c r="A18" s="39" t="s">
        <v>645</v>
      </c>
      <c r="B18" s="40">
        <v>11.77</v>
      </c>
      <c r="C18" s="40">
        <v>19.84</v>
      </c>
      <c r="D18" s="40">
        <v>18.78</v>
      </c>
      <c r="E18" s="40">
        <v>6.72</v>
      </c>
      <c r="F18" s="40">
        <v>5.99</v>
      </c>
      <c r="G18" s="40">
        <v>46.05</v>
      </c>
      <c r="H18" s="40">
        <v>20.09</v>
      </c>
      <c r="I18" s="40">
        <v>9.5</v>
      </c>
      <c r="J18" s="40">
        <v>4.45</v>
      </c>
      <c r="K18" s="40">
        <v>55.43</v>
      </c>
      <c r="L18" s="40">
        <v>26.02</v>
      </c>
      <c r="M18" s="40">
        <v>80.64</v>
      </c>
      <c r="N18" s="40">
        <v>579.79999999999995</v>
      </c>
      <c r="O18" s="40">
        <v>0</v>
      </c>
      <c r="P18" s="40">
        <v>0.59</v>
      </c>
      <c r="Q18" s="40">
        <v>27.91</v>
      </c>
      <c r="R18" s="38"/>
      <c r="S18" s="38"/>
      <c r="T18" s="38"/>
      <c r="U18" s="38"/>
    </row>
    <row r="19" spans="1:21" customFormat="1">
      <c r="A19" s="39" t="s">
        <v>646</v>
      </c>
      <c r="B19" s="40">
        <v>11.74</v>
      </c>
      <c r="C19" s="40">
        <v>20.92</v>
      </c>
      <c r="D19" s="40">
        <v>19.29</v>
      </c>
      <c r="E19" s="40">
        <v>7.06</v>
      </c>
      <c r="F19" s="40">
        <v>8.5</v>
      </c>
      <c r="G19" s="40">
        <v>51.87</v>
      </c>
      <c r="H19" s="40">
        <v>18.52</v>
      </c>
      <c r="I19" s="40">
        <v>10.65</v>
      </c>
      <c r="J19" s="40">
        <v>4.53</v>
      </c>
      <c r="K19" s="40">
        <v>36.520000000000003</v>
      </c>
      <c r="L19" s="40">
        <v>29.14</v>
      </c>
      <c r="M19" s="40">
        <v>67.09</v>
      </c>
      <c r="N19" s="40">
        <v>660.6</v>
      </c>
      <c r="O19" s="40">
        <v>0.2</v>
      </c>
      <c r="P19" s="40">
        <v>0.64</v>
      </c>
      <c r="Q19" s="40">
        <v>27.91</v>
      </c>
      <c r="R19" s="38"/>
      <c r="S19" s="38"/>
      <c r="T19" s="38"/>
      <c r="U19" s="38"/>
    </row>
    <row r="20" spans="1:21" customFormat="1">
      <c r="A20" s="39" t="s">
        <v>647</v>
      </c>
      <c r="B20" s="40">
        <v>10.88</v>
      </c>
      <c r="C20" s="40">
        <v>20.79</v>
      </c>
      <c r="D20" s="40">
        <v>18.59</v>
      </c>
      <c r="E20" s="40">
        <v>6.84</v>
      </c>
      <c r="F20" s="40">
        <v>14.47</v>
      </c>
      <c r="G20" s="40">
        <v>55.93</v>
      </c>
      <c r="H20" s="40">
        <v>18.649999999999999</v>
      </c>
      <c r="I20" s="40">
        <v>11.34</v>
      </c>
      <c r="J20" s="40">
        <v>4.6100000000000003</v>
      </c>
      <c r="K20" s="40">
        <v>61.46</v>
      </c>
      <c r="L20" s="40">
        <v>29.7</v>
      </c>
      <c r="M20" s="40">
        <v>58.56</v>
      </c>
      <c r="N20" s="40">
        <v>459.4</v>
      </c>
      <c r="O20" s="40">
        <v>0</v>
      </c>
      <c r="P20" s="40">
        <v>0.72</v>
      </c>
      <c r="Q20" s="40">
        <v>28.04</v>
      </c>
      <c r="R20" s="38"/>
      <c r="S20" s="38"/>
      <c r="T20" s="38"/>
      <c r="U20" s="38"/>
    </row>
    <row r="21" spans="1:21" customFormat="1">
      <c r="A21" s="39" t="s">
        <v>648</v>
      </c>
      <c r="B21" s="40">
        <v>8.49</v>
      </c>
      <c r="C21" s="40">
        <v>20.57</v>
      </c>
      <c r="D21" s="40">
        <v>16.13</v>
      </c>
      <c r="E21" s="40">
        <v>7.49</v>
      </c>
      <c r="F21" s="40">
        <v>9.82</v>
      </c>
      <c r="G21" s="40">
        <v>59.44</v>
      </c>
      <c r="H21" s="40">
        <v>20.99</v>
      </c>
      <c r="I21" s="40">
        <v>11.77</v>
      </c>
      <c r="J21" s="40">
        <v>5.24</v>
      </c>
      <c r="K21" s="40">
        <v>141.55000000000001</v>
      </c>
      <c r="L21" s="40">
        <v>30.04</v>
      </c>
      <c r="M21" s="40">
        <v>55.15</v>
      </c>
      <c r="N21" s="40">
        <v>277.39999999999998</v>
      </c>
      <c r="O21" s="40">
        <v>0</v>
      </c>
      <c r="P21" s="40">
        <v>0.75</v>
      </c>
      <c r="Q21" s="40">
        <v>28.27</v>
      </c>
      <c r="R21" s="38"/>
      <c r="S21" s="38"/>
      <c r="T21" s="38"/>
      <c r="U21" s="38"/>
    </row>
    <row r="22" spans="1:21" customFormat="1">
      <c r="A22" s="39" t="s">
        <v>649</v>
      </c>
      <c r="B22" s="40">
        <v>7.14</v>
      </c>
      <c r="C22" s="40">
        <v>20.11</v>
      </c>
      <c r="D22" s="40">
        <v>15.24</v>
      </c>
      <c r="E22" s="40">
        <v>6.86</v>
      </c>
      <c r="F22" s="40">
        <v>7.81</v>
      </c>
      <c r="G22" s="40">
        <v>56.23</v>
      </c>
      <c r="H22" s="40">
        <v>21.05</v>
      </c>
      <c r="I22" s="40">
        <v>11.53</v>
      </c>
      <c r="J22" s="40">
        <v>5.88</v>
      </c>
      <c r="K22" s="40">
        <v>154.93</v>
      </c>
      <c r="L22" s="40">
        <v>31.02</v>
      </c>
      <c r="M22" s="40">
        <v>56.01</v>
      </c>
      <c r="N22" s="40">
        <v>261.3</v>
      </c>
      <c r="O22" s="40">
        <v>0</v>
      </c>
      <c r="P22" s="40">
        <v>0.72</v>
      </c>
      <c r="Q22" s="40">
        <v>28.63</v>
      </c>
      <c r="R22" s="38"/>
      <c r="S22" s="38"/>
      <c r="T22" s="38"/>
      <c r="U22" s="38"/>
    </row>
    <row r="23" spans="1:21" customFormat="1">
      <c r="A23" s="39" t="s">
        <v>650</v>
      </c>
      <c r="B23" s="40">
        <v>5.1100000000000003</v>
      </c>
      <c r="C23" s="40">
        <v>15.96</v>
      </c>
      <c r="D23" s="40">
        <v>11.44</v>
      </c>
      <c r="E23" s="40">
        <v>7.05</v>
      </c>
      <c r="F23" s="40">
        <v>18.86</v>
      </c>
      <c r="G23" s="40">
        <v>50.37</v>
      </c>
      <c r="H23" s="40">
        <v>19.739999999999998</v>
      </c>
      <c r="I23" s="40">
        <v>11.09</v>
      </c>
      <c r="J23" s="40">
        <v>5.15</v>
      </c>
      <c r="K23" s="40">
        <v>217.59</v>
      </c>
      <c r="L23" s="40">
        <v>30.94</v>
      </c>
      <c r="M23" s="40">
        <v>56.78</v>
      </c>
      <c r="N23" s="40">
        <v>204.2</v>
      </c>
      <c r="O23" s="40">
        <v>0</v>
      </c>
      <c r="P23" s="40">
        <v>0.68</v>
      </c>
      <c r="Q23" s="40">
        <v>28.92</v>
      </c>
      <c r="R23" s="38"/>
      <c r="S23" s="38"/>
      <c r="T23" s="38"/>
      <c r="U23" s="38"/>
    </row>
    <row r="24" spans="1:21" customFormat="1">
      <c r="A24" s="39" t="s">
        <v>651</v>
      </c>
      <c r="B24" s="40">
        <v>3.41</v>
      </c>
      <c r="C24" s="40">
        <v>14.77</v>
      </c>
      <c r="D24" s="40">
        <v>9.4499999999999993</v>
      </c>
      <c r="E24" s="40">
        <v>6.66</v>
      </c>
      <c r="F24" s="40">
        <v>15.68</v>
      </c>
      <c r="G24" s="40">
        <v>40.74</v>
      </c>
      <c r="H24" s="40">
        <v>18.66</v>
      </c>
      <c r="I24" s="40">
        <v>10.53</v>
      </c>
      <c r="J24" s="40">
        <v>5.67</v>
      </c>
      <c r="K24" s="40">
        <v>212.53</v>
      </c>
      <c r="L24" s="40">
        <v>29.82</v>
      </c>
      <c r="M24" s="40">
        <v>57.88</v>
      </c>
      <c r="N24" s="40">
        <v>157.80000000000001</v>
      </c>
      <c r="O24" s="40">
        <v>0</v>
      </c>
      <c r="P24" s="40">
        <v>0.63</v>
      </c>
      <c r="Q24" s="40">
        <v>28.94</v>
      </c>
      <c r="R24" s="38"/>
      <c r="S24" s="38"/>
      <c r="T24" s="38"/>
      <c r="U24" s="38"/>
    </row>
    <row r="25" spans="1:21" customFormat="1">
      <c r="A25" s="39" t="s">
        <v>652</v>
      </c>
      <c r="B25" s="40">
        <v>2.94</v>
      </c>
      <c r="C25" s="40">
        <v>17.96</v>
      </c>
      <c r="D25" s="40">
        <v>10.59</v>
      </c>
      <c r="E25" s="40">
        <v>6.76</v>
      </c>
      <c r="F25" s="40">
        <v>7.75</v>
      </c>
      <c r="G25" s="40">
        <v>40.46</v>
      </c>
      <c r="H25" s="40">
        <v>15.61</v>
      </c>
      <c r="I25" s="40">
        <v>9.8800000000000008</v>
      </c>
      <c r="J25" s="40">
        <v>5.5</v>
      </c>
      <c r="K25" s="40">
        <v>218.17</v>
      </c>
      <c r="L25" s="40">
        <v>28.68</v>
      </c>
      <c r="M25" s="40">
        <v>62.29</v>
      </c>
      <c r="N25" s="40">
        <v>91.6</v>
      </c>
      <c r="O25" s="40">
        <v>0</v>
      </c>
      <c r="P25" s="40">
        <v>0.62</v>
      </c>
      <c r="Q25" s="40">
        <v>28.96</v>
      </c>
      <c r="R25" s="38"/>
      <c r="S25" s="38"/>
      <c r="T25" s="38"/>
      <c r="U25" s="38"/>
    </row>
    <row r="26" spans="1:21" customFormat="1">
      <c r="A26" s="39" t="s">
        <v>653</v>
      </c>
      <c r="B26" s="40">
        <v>3.07</v>
      </c>
      <c r="C26" s="40">
        <v>16.059999999999999</v>
      </c>
      <c r="D26" s="40">
        <v>9.81</v>
      </c>
      <c r="E26" s="40">
        <v>7.69</v>
      </c>
      <c r="F26" s="40">
        <v>19.37</v>
      </c>
      <c r="G26" s="40">
        <v>37.380000000000003</v>
      </c>
      <c r="H26" s="40">
        <v>17.55</v>
      </c>
      <c r="I26" s="40">
        <v>9.81</v>
      </c>
      <c r="J26" s="40">
        <v>5.61</v>
      </c>
      <c r="K26" s="40">
        <v>211.7</v>
      </c>
      <c r="L26" s="40">
        <v>28.7</v>
      </c>
      <c r="M26" s="40">
        <v>62.66</v>
      </c>
      <c r="N26" s="40">
        <v>87.9</v>
      </c>
      <c r="O26" s="40">
        <v>0</v>
      </c>
      <c r="P26" s="40">
        <v>0.59</v>
      </c>
      <c r="Q26" s="40">
        <v>29.08</v>
      </c>
      <c r="R26" s="38"/>
      <c r="S26" s="38"/>
      <c r="T26" s="38"/>
      <c r="U26" s="38"/>
    </row>
    <row r="27" spans="1:21" customFormat="1">
      <c r="A27" s="39" t="s">
        <v>654</v>
      </c>
      <c r="B27" s="40">
        <v>3.07</v>
      </c>
      <c r="C27" s="40">
        <v>15.23</v>
      </c>
      <c r="D27" s="40">
        <v>9.42</v>
      </c>
      <c r="E27" s="40">
        <v>7.14</v>
      </c>
      <c r="F27" s="40">
        <v>16.670000000000002</v>
      </c>
      <c r="G27" s="40">
        <v>37.86</v>
      </c>
      <c r="H27" s="40">
        <v>14.59</v>
      </c>
      <c r="I27" s="40">
        <v>9.41</v>
      </c>
      <c r="J27" s="40">
        <v>5.04</v>
      </c>
      <c r="K27" s="40">
        <v>255.47</v>
      </c>
      <c r="L27" s="40">
        <v>28.19</v>
      </c>
      <c r="M27" s="40">
        <v>63.76</v>
      </c>
      <c r="N27" s="40">
        <v>29.1</v>
      </c>
      <c r="O27" s="40">
        <v>0</v>
      </c>
      <c r="P27" s="40">
        <v>0.59</v>
      </c>
      <c r="Q27" s="40">
        <v>29.03</v>
      </c>
      <c r="R27" s="38"/>
      <c r="S27" s="38"/>
      <c r="T27" s="38"/>
      <c r="U27" s="38"/>
    </row>
    <row r="28" spans="1:21" customFormat="1">
      <c r="A28" s="39" t="s">
        <v>655</v>
      </c>
      <c r="B28" s="40">
        <v>3.67</v>
      </c>
      <c r="C28" s="40">
        <v>19.190000000000001</v>
      </c>
      <c r="D28" s="40">
        <v>11.9</v>
      </c>
      <c r="E28" s="40">
        <v>7.33</v>
      </c>
      <c r="F28" s="40">
        <v>10.84</v>
      </c>
      <c r="G28" s="40">
        <v>37.799999999999997</v>
      </c>
      <c r="H28" s="40">
        <v>14.99</v>
      </c>
      <c r="I28" s="40">
        <v>9.93</v>
      </c>
      <c r="J28" s="40">
        <v>6.1</v>
      </c>
      <c r="K28" s="40">
        <v>269.85000000000002</v>
      </c>
      <c r="L28" s="40">
        <v>27.86</v>
      </c>
      <c r="M28" s="40">
        <v>66.97</v>
      </c>
      <c r="N28" s="40">
        <v>23.6</v>
      </c>
      <c r="O28" s="40">
        <v>0</v>
      </c>
      <c r="P28" s="40">
        <v>0.61</v>
      </c>
      <c r="Q28" s="40">
        <v>28.92</v>
      </c>
      <c r="R28" s="38"/>
      <c r="S28" s="38"/>
      <c r="T28" s="38"/>
      <c r="U28" s="38"/>
    </row>
    <row r="29" spans="1:21" customFormat="1">
      <c r="A29" s="39" t="s">
        <v>656</v>
      </c>
      <c r="B29" s="40">
        <v>4.07</v>
      </c>
      <c r="C29" s="40">
        <v>16.760000000000002</v>
      </c>
      <c r="D29" s="40">
        <v>10.87</v>
      </c>
      <c r="E29" s="40">
        <v>7.56</v>
      </c>
      <c r="F29" s="40">
        <v>9.98</v>
      </c>
      <c r="G29" s="40">
        <v>37.58</v>
      </c>
      <c r="H29" s="40">
        <v>16.829999999999998</v>
      </c>
      <c r="I29" s="40">
        <v>10.3</v>
      </c>
      <c r="J29" s="40">
        <v>5.44</v>
      </c>
      <c r="K29" s="40">
        <v>239.24</v>
      </c>
      <c r="L29" s="40">
        <v>27.56</v>
      </c>
      <c r="M29" s="40">
        <v>69.400000000000006</v>
      </c>
      <c r="N29" s="40">
        <v>23.6</v>
      </c>
      <c r="O29" s="40">
        <v>0</v>
      </c>
      <c r="P29" s="40">
        <v>0.6</v>
      </c>
      <c r="Q29" s="40">
        <v>28.9</v>
      </c>
      <c r="R29" s="38"/>
      <c r="S29" s="38"/>
      <c r="T29" s="38"/>
      <c r="U29" s="38"/>
    </row>
    <row r="30" spans="1:21" customFormat="1">
      <c r="A30" s="39" t="s">
        <v>657</v>
      </c>
      <c r="B30" s="40">
        <v>4.67</v>
      </c>
      <c r="C30" s="40">
        <v>15.56</v>
      </c>
      <c r="D30" s="40">
        <v>10.49</v>
      </c>
      <c r="E30" s="40">
        <v>7.49</v>
      </c>
      <c r="F30" s="40">
        <v>8.11</v>
      </c>
      <c r="G30" s="40">
        <v>42.22</v>
      </c>
      <c r="H30" s="40">
        <v>16.940000000000001</v>
      </c>
      <c r="I30" s="40">
        <v>10.59</v>
      </c>
      <c r="J30" s="40">
        <v>6.26</v>
      </c>
      <c r="K30" s="40">
        <v>224.48</v>
      </c>
      <c r="L30" s="40">
        <v>27.33</v>
      </c>
      <c r="M30" s="40">
        <v>72.75</v>
      </c>
      <c r="N30" s="40">
        <v>23.7</v>
      </c>
      <c r="O30" s="40">
        <v>0</v>
      </c>
      <c r="P30" s="40">
        <v>0.61</v>
      </c>
      <c r="Q30" s="40">
        <v>28.84</v>
      </c>
      <c r="R30" s="38"/>
      <c r="S30" s="38"/>
      <c r="T30" s="38"/>
      <c r="U30" s="38"/>
    </row>
    <row r="31" spans="1:21" customFormat="1">
      <c r="A31" s="39" t="s">
        <v>658</v>
      </c>
      <c r="B31" s="40">
        <v>4.1500000000000004</v>
      </c>
      <c r="C31" s="40">
        <v>18.309999999999999</v>
      </c>
      <c r="D31" s="40">
        <v>11.71</v>
      </c>
      <c r="E31" s="40">
        <v>7.22</v>
      </c>
      <c r="F31" s="40">
        <v>8.2799999999999994</v>
      </c>
      <c r="G31" s="40">
        <v>43.44</v>
      </c>
      <c r="H31" s="40">
        <v>13.49</v>
      </c>
      <c r="I31" s="40">
        <v>10.35</v>
      </c>
      <c r="J31" s="40">
        <v>6.09</v>
      </c>
      <c r="K31" s="40">
        <v>213.51</v>
      </c>
      <c r="L31" s="40">
        <v>26.74</v>
      </c>
      <c r="M31" s="40">
        <v>73.709999999999994</v>
      </c>
      <c r="N31" s="40">
        <v>23.6</v>
      </c>
      <c r="O31" s="40">
        <v>0</v>
      </c>
      <c r="P31" s="40">
        <v>0.61</v>
      </c>
      <c r="Q31" s="40">
        <v>28.84</v>
      </c>
      <c r="R31" s="38"/>
      <c r="S31" s="38"/>
      <c r="T31" s="38"/>
      <c r="U31" s="38"/>
    </row>
    <row r="32" spans="1:21" customFormat="1">
      <c r="A32" s="39" t="s">
        <v>659</v>
      </c>
      <c r="B32" s="40">
        <v>3.96</v>
      </c>
      <c r="C32" s="40">
        <v>18.079999999999998</v>
      </c>
      <c r="D32" s="40">
        <v>11.57</v>
      </c>
      <c r="E32" s="40">
        <v>5.67</v>
      </c>
      <c r="F32" s="40">
        <v>4.4400000000000004</v>
      </c>
      <c r="G32" s="40">
        <v>44.18</v>
      </c>
      <c r="H32" s="40">
        <v>17.75</v>
      </c>
      <c r="I32" s="40">
        <v>10.3</v>
      </c>
      <c r="J32" s="40">
        <v>5.39</v>
      </c>
      <c r="K32" s="40">
        <v>212.51</v>
      </c>
      <c r="L32" s="40">
        <v>26.61</v>
      </c>
      <c r="M32" s="40">
        <v>75.28</v>
      </c>
      <c r="N32" s="40">
        <v>23.6</v>
      </c>
      <c r="O32" s="40">
        <v>0</v>
      </c>
      <c r="P32" s="40">
        <v>0.49</v>
      </c>
      <c r="Q32" s="40">
        <v>28.96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2.94</v>
      </c>
      <c r="C34" s="18">
        <f t="shared" si="0"/>
        <v>13.41</v>
      </c>
      <c r="D34" s="18">
        <f t="shared" si="0"/>
        <v>8.73</v>
      </c>
      <c r="E34" s="18">
        <f t="shared" si="0"/>
        <v>4.3600000000000003</v>
      </c>
      <c r="F34" s="18">
        <f t="shared" si="0"/>
        <v>2.72</v>
      </c>
      <c r="G34" s="18">
        <f t="shared" si="0"/>
        <v>6.48</v>
      </c>
      <c r="H34" s="18">
        <f t="shared" si="0"/>
        <v>3.18</v>
      </c>
      <c r="I34" s="18">
        <f t="shared" si="0"/>
        <v>5.91</v>
      </c>
      <c r="J34" s="18">
        <f t="shared" si="0"/>
        <v>3.59</v>
      </c>
      <c r="K34" s="18">
        <f t="shared" si="0"/>
        <v>36.520000000000003</v>
      </c>
      <c r="L34" s="18">
        <f t="shared" si="0"/>
        <v>22.37</v>
      </c>
      <c r="M34" s="18">
        <f t="shared" si="0"/>
        <v>55.15</v>
      </c>
      <c r="N34" s="18">
        <f t="shared" si="0"/>
        <v>23.6</v>
      </c>
      <c r="O34" s="18">
        <f t="shared" si="0"/>
        <v>0</v>
      </c>
      <c r="P34" s="18">
        <f t="shared" si="0"/>
        <v>0.33</v>
      </c>
      <c r="Q34" s="18">
        <f t="shared" si="0"/>
        <v>27.91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12.34</v>
      </c>
      <c r="C35" s="3">
        <f t="shared" si="1"/>
        <v>20.92</v>
      </c>
      <c r="D35" s="3">
        <f t="shared" si="1"/>
        <v>19.29</v>
      </c>
      <c r="E35" s="3">
        <f t="shared" si="1"/>
        <v>7.69</v>
      </c>
      <c r="F35" s="3">
        <f t="shared" si="1"/>
        <v>19.37</v>
      </c>
      <c r="G35" s="3">
        <f t="shared" si="1"/>
        <v>59.44</v>
      </c>
      <c r="H35" s="3">
        <f t="shared" si="1"/>
        <v>21.05</v>
      </c>
      <c r="I35" s="3">
        <f t="shared" si="1"/>
        <v>11.77</v>
      </c>
      <c r="J35" s="3">
        <f t="shared" si="1"/>
        <v>6.26</v>
      </c>
      <c r="K35" s="3">
        <f t="shared" si="1"/>
        <v>269.85000000000002</v>
      </c>
      <c r="L35" s="3">
        <f t="shared" si="1"/>
        <v>31.02</v>
      </c>
      <c r="M35" s="3">
        <f t="shared" si="1"/>
        <v>96.98</v>
      </c>
      <c r="N35" s="3">
        <f t="shared" si="1"/>
        <v>660.6</v>
      </c>
      <c r="O35" s="3">
        <f t="shared" si="1"/>
        <v>6.6</v>
      </c>
      <c r="P35" s="3">
        <f t="shared" si="1"/>
        <v>0.75</v>
      </c>
      <c r="Q35" s="3">
        <f t="shared" si="1"/>
        <v>29.09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5.7887499999999976</v>
      </c>
      <c r="C36" s="18">
        <f t="shared" si="2"/>
        <v>17.322083333333328</v>
      </c>
      <c r="D36" s="18">
        <f t="shared" si="2"/>
        <v>12.532916666666665</v>
      </c>
      <c r="E36" s="18">
        <f t="shared" si="2"/>
        <v>6.5029166666666667</v>
      </c>
      <c r="F36" s="18">
        <f t="shared" si="2"/>
        <v>8.3708333333333336</v>
      </c>
      <c r="G36" s="18">
        <f t="shared" si="2"/>
        <v>33.61333333333333</v>
      </c>
      <c r="H36" s="18">
        <f t="shared" si="2"/>
        <v>13.531666666666666</v>
      </c>
      <c r="I36" s="18">
        <f t="shared" si="2"/>
        <v>9.1583333333333332</v>
      </c>
      <c r="J36" s="18">
        <f t="shared" si="2"/>
        <v>5.0525000000000011</v>
      </c>
      <c r="K36" s="18">
        <f t="shared" si="2"/>
        <v>182.46708333333333</v>
      </c>
      <c r="L36" s="18">
        <f t="shared" si="2"/>
        <v>26.549166666666665</v>
      </c>
      <c r="M36" s="18">
        <f t="shared" si="2"/>
        <v>75.346666666666678</v>
      </c>
      <c r="N36" s="18">
        <f t="shared" si="2"/>
        <v>145.92083333333332</v>
      </c>
      <c r="O36" s="18">
        <f t="shared" si="2"/>
        <v>0.34999999999999992</v>
      </c>
      <c r="P36" s="18">
        <f t="shared" si="2"/>
        <v>0.5479166666666665</v>
      </c>
      <c r="Q36" s="18">
        <f t="shared" si="2"/>
        <v>28.737916666666667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3.0956973120487912</v>
      </c>
      <c r="C37" s="18">
        <f t="shared" ref="C37:Q37" si="3">STDEV(C9:C32)</f>
        <v>2.441458899504791</v>
      </c>
      <c r="D37" s="18">
        <f t="shared" si="3"/>
        <v>3.4792971293772528</v>
      </c>
      <c r="E37" s="18">
        <f t="shared" si="3"/>
        <v>0.95123937081036913</v>
      </c>
      <c r="F37" s="18">
        <f t="shared" si="3"/>
        <v>5.1789716258586758</v>
      </c>
      <c r="G37" s="18">
        <f t="shared" si="3"/>
        <v>17.439941580144144</v>
      </c>
      <c r="H37" s="18">
        <f t="shared" si="3"/>
        <v>6.1603279604019558</v>
      </c>
      <c r="I37" s="18">
        <f t="shared" si="3"/>
        <v>1.9114544124865922</v>
      </c>
      <c r="J37" s="18">
        <f t="shared" si="3"/>
        <v>0.70354536950825886</v>
      </c>
      <c r="K37" s="18">
        <f t="shared" si="3"/>
        <v>71.891884193296221</v>
      </c>
      <c r="L37" s="18">
        <f t="shared" si="3"/>
        <v>2.9432087143511101</v>
      </c>
      <c r="M37" s="18">
        <f t="shared" si="3"/>
        <v>14.95480689528825</v>
      </c>
      <c r="N37" s="18">
        <f t="shared" si="3"/>
        <v>184.11142887597609</v>
      </c>
      <c r="O37" s="18">
        <f t="shared" si="3"/>
        <v>1.3413166795289651</v>
      </c>
      <c r="P37" s="18">
        <f t="shared" si="3"/>
        <v>0.12566273587824622</v>
      </c>
      <c r="Q37" s="18">
        <f t="shared" si="3"/>
        <v>0.37410739177368596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660</v>
      </c>
      <c r="B9" s="40">
        <v>4.58</v>
      </c>
      <c r="C9" s="40">
        <v>13.41</v>
      </c>
      <c r="D9" s="40">
        <v>9.68</v>
      </c>
      <c r="E9" s="40">
        <v>5.55</v>
      </c>
      <c r="F9" s="40">
        <v>8.01</v>
      </c>
      <c r="G9" s="40">
        <v>43.25</v>
      </c>
      <c r="H9" s="40">
        <v>16.86</v>
      </c>
      <c r="I9" s="40">
        <v>10.24</v>
      </c>
      <c r="J9" s="40">
        <v>5.31</v>
      </c>
      <c r="K9" s="40">
        <v>205.49</v>
      </c>
      <c r="L9" s="40">
        <v>26.35</v>
      </c>
      <c r="M9" s="40">
        <v>77.94</v>
      </c>
      <c r="N9" s="40">
        <v>23.6</v>
      </c>
      <c r="O9" s="40">
        <v>0</v>
      </c>
      <c r="P9" s="40">
        <v>0.48</v>
      </c>
      <c r="Q9" s="40">
        <v>29.09</v>
      </c>
      <c r="R9" s="38"/>
      <c r="S9" s="38"/>
      <c r="T9" s="38"/>
      <c r="U9" s="38"/>
    </row>
    <row r="10" spans="1:21" customFormat="1">
      <c r="A10" s="39" t="s">
        <v>661</v>
      </c>
      <c r="B10" s="40">
        <v>4.4800000000000004</v>
      </c>
      <c r="C10" s="40">
        <v>12.53</v>
      </c>
      <c r="D10" s="40">
        <v>9.11</v>
      </c>
      <c r="E10" s="40">
        <v>5.2</v>
      </c>
      <c r="F10" s="40">
        <v>7.82</v>
      </c>
      <c r="G10" s="40">
        <v>39.31</v>
      </c>
      <c r="H10" s="40">
        <v>19.89</v>
      </c>
      <c r="I10" s="40">
        <v>9.89</v>
      </c>
      <c r="J10" s="40">
        <v>5.55</v>
      </c>
      <c r="K10" s="40">
        <v>217.36</v>
      </c>
      <c r="L10" s="40">
        <v>25.99</v>
      </c>
      <c r="M10" s="40">
        <v>78.03</v>
      </c>
      <c r="N10" s="40">
        <v>23.6</v>
      </c>
      <c r="O10" s="40">
        <v>0</v>
      </c>
      <c r="P10" s="40">
        <v>0.47</v>
      </c>
      <c r="Q10" s="40">
        <v>28.99</v>
      </c>
      <c r="R10" s="38"/>
      <c r="S10" s="38"/>
      <c r="T10" s="38"/>
      <c r="U10" s="38"/>
    </row>
    <row r="11" spans="1:21" customFormat="1">
      <c r="A11" s="39" t="s">
        <v>662</v>
      </c>
      <c r="B11" s="40">
        <v>5.07</v>
      </c>
      <c r="C11" s="40">
        <v>17.68</v>
      </c>
      <c r="D11" s="40">
        <v>12</v>
      </c>
      <c r="E11" s="40">
        <v>4.76</v>
      </c>
      <c r="F11" s="40">
        <v>4.17</v>
      </c>
      <c r="G11" s="40">
        <v>34.380000000000003</v>
      </c>
      <c r="H11" s="40">
        <v>17.88</v>
      </c>
      <c r="I11" s="40">
        <v>9.76</v>
      </c>
      <c r="J11" s="40">
        <v>5</v>
      </c>
      <c r="K11" s="40">
        <v>205.83</v>
      </c>
      <c r="L11" s="40">
        <v>25.57</v>
      </c>
      <c r="M11" s="40">
        <v>76.02</v>
      </c>
      <c r="N11" s="40">
        <v>23.5</v>
      </c>
      <c r="O11" s="40">
        <v>0</v>
      </c>
      <c r="P11" s="40">
        <v>0.47</v>
      </c>
      <c r="Q11" s="40">
        <v>28.81</v>
      </c>
      <c r="R11" s="38"/>
      <c r="S11" s="38"/>
      <c r="T11" s="38"/>
      <c r="U11" s="38"/>
    </row>
    <row r="12" spans="1:21" customFormat="1">
      <c r="A12" s="39" t="s">
        <v>663</v>
      </c>
      <c r="B12" s="40">
        <v>5.83</v>
      </c>
      <c r="C12" s="40">
        <v>15.93</v>
      </c>
      <c r="D12" s="40">
        <v>11.74</v>
      </c>
      <c r="E12" s="40">
        <v>4.79</v>
      </c>
      <c r="F12" s="40">
        <v>4.3</v>
      </c>
      <c r="G12" s="40">
        <v>28.7</v>
      </c>
      <c r="H12" s="40">
        <v>13.8</v>
      </c>
      <c r="I12" s="40">
        <v>9.4499999999999993</v>
      </c>
      <c r="J12" s="40">
        <v>5.98</v>
      </c>
      <c r="K12" s="40">
        <v>223.76</v>
      </c>
      <c r="L12" s="40">
        <v>25.46</v>
      </c>
      <c r="M12" s="40">
        <v>84.2</v>
      </c>
      <c r="N12" s="40">
        <v>23.5</v>
      </c>
      <c r="O12" s="40">
        <v>0</v>
      </c>
      <c r="P12" s="40">
        <v>0.43</v>
      </c>
      <c r="Q12" s="40">
        <v>28.93</v>
      </c>
      <c r="R12" s="38"/>
      <c r="S12" s="38"/>
      <c r="T12" s="38"/>
      <c r="U12" s="38"/>
    </row>
    <row r="13" spans="1:21" customFormat="1">
      <c r="A13" s="39" t="s">
        <v>664</v>
      </c>
      <c r="B13" s="40">
        <v>5.79</v>
      </c>
      <c r="C13" s="40">
        <v>12.93</v>
      </c>
      <c r="D13" s="40">
        <v>10.31</v>
      </c>
      <c r="E13" s="40">
        <v>4.45</v>
      </c>
      <c r="F13" s="40">
        <v>5.65</v>
      </c>
      <c r="G13" s="40">
        <v>21.67</v>
      </c>
      <c r="H13" s="40">
        <v>12.61</v>
      </c>
      <c r="I13" s="40">
        <v>8.93</v>
      </c>
      <c r="J13" s="40">
        <v>5.71</v>
      </c>
      <c r="K13" s="40">
        <v>225.48</v>
      </c>
      <c r="L13" s="40">
        <v>24.51</v>
      </c>
      <c r="M13" s="40">
        <v>84.62</v>
      </c>
      <c r="N13" s="40">
        <v>23.5</v>
      </c>
      <c r="O13" s="40">
        <v>0</v>
      </c>
      <c r="P13" s="40">
        <v>0.41</v>
      </c>
      <c r="Q13" s="40">
        <v>28.92</v>
      </c>
      <c r="R13" s="38"/>
      <c r="S13" s="38"/>
      <c r="T13" s="38"/>
      <c r="U13" s="38"/>
    </row>
    <row r="14" spans="1:21" customFormat="1">
      <c r="A14" s="39" t="s">
        <v>665</v>
      </c>
      <c r="B14" s="40">
        <v>6.25</v>
      </c>
      <c r="C14" s="40">
        <v>17.62</v>
      </c>
      <c r="D14" s="40">
        <v>13.09</v>
      </c>
      <c r="E14" s="40">
        <v>6.32</v>
      </c>
      <c r="F14" s="40">
        <v>4.3899999999999997</v>
      </c>
      <c r="G14" s="40">
        <v>21.46</v>
      </c>
      <c r="H14" s="40">
        <v>13.81</v>
      </c>
      <c r="I14" s="40">
        <v>8.36</v>
      </c>
      <c r="J14" s="40">
        <v>5.48</v>
      </c>
      <c r="K14" s="40">
        <v>292.62</v>
      </c>
      <c r="L14" s="40">
        <v>24.55</v>
      </c>
      <c r="M14" s="40">
        <v>83.4</v>
      </c>
      <c r="N14" s="40">
        <v>30.8</v>
      </c>
      <c r="O14" s="40">
        <v>0</v>
      </c>
      <c r="P14" s="40">
        <v>0.44</v>
      </c>
      <c r="Q14" s="40">
        <v>28.8</v>
      </c>
      <c r="R14" s="38"/>
      <c r="S14" s="38"/>
      <c r="T14" s="38"/>
      <c r="U14" s="38"/>
    </row>
    <row r="15" spans="1:21" customFormat="1">
      <c r="A15" s="39" t="s">
        <v>666</v>
      </c>
      <c r="B15" s="40">
        <v>7.18</v>
      </c>
      <c r="C15" s="40">
        <v>16.18</v>
      </c>
      <c r="D15" s="40">
        <v>12.72</v>
      </c>
      <c r="E15" s="40">
        <v>5.87</v>
      </c>
      <c r="F15" s="40">
        <v>3.76</v>
      </c>
      <c r="G15" s="40">
        <v>21.65</v>
      </c>
      <c r="H15" s="40">
        <v>10.29</v>
      </c>
      <c r="I15" s="40">
        <v>8.42</v>
      </c>
      <c r="J15" s="40">
        <v>5.77</v>
      </c>
      <c r="K15" s="40">
        <v>234.21</v>
      </c>
      <c r="L15" s="40">
        <v>24.97</v>
      </c>
      <c r="M15" s="40">
        <v>82.66</v>
      </c>
      <c r="N15" s="40">
        <v>82.7</v>
      </c>
      <c r="O15" s="40">
        <v>0</v>
      </c>
      <c r="P15" s="40">
        <v>0.43</v>
      </c>
      <c r="Q15" s="40">
        <v>28.78</v>
      </c>
      <c r="R15" s="38"/>
      <c r="S15" s="38"/>
      <c r="T15" s="38"/>
      <c r="U15" s="38"/>
    </row>
    <row r="16" spans="1:21" customFormat="1">
      <c r="A16" s="39" t="s">
        <v>667</v>
      </c>
      <c r="B16" s="40">
        <v>7.67</v>
      </c>
      <c r="C16" s="40">
        <v>11.54</v>
      </c>
      <c r="D16" s="40">
        <v>11.17</v>
      </c>
      <c r="E16" s="40">
        <v>5.94</v>
      </c>
      <c r="F16" s="40">
        <v>4.28</v>
      </c>
      <c r="G16" s="40">
        <v>23.09</v>
      </c>
      <c r="H16" s="40">
        <v>11.09</v>
      </c>
      <c r="I16" s="40">
        <v>8.7200000000000006</v>
      </c>
      <c r="J16" s="40">
        <v>8.16</v>
      </c>
      <c r="K16" s="40">
        <v>230.69</v>
      </c>
      <c r="L16" s="40">
        <v>25.56</v>
      </c>
      <c r="M16" s="40">
        <v>83.6</v>
      </c>
      <c r="N16" s="40">
        <v>199.3</v>
      </c>
      <c r="O16" s="40">
        <v>0</v>
      </c>
      <c r="P16" s="40">
        <v>0.47</v>
      </c>
      <c r="Q16" s="40">
        <v>28.88</v>
      </c>
      <c r="R16" s="38"/>
      <c r="S16" s="38"/>
      <c r="T16" s="38"/>
      <c r="U16" s="38"/>
    </row>
    <row r="17" spans="1:21" customFormat="1">
      <c r="A17" s="39" t="s">
        <v>668</v>
      </c>
      <c r="B17" s="40">
        <v>8.17</v>
      </c>
      <c r="C17" s="40">
        <v>14.21</v>
      </c>
      <c r="D17" s="40">
        <v>12.98</v>
      </c>
      <c r="E17" s="40">
        <v>6.01</v>
      </c>
      <c r="F17" s="40">
        <v>4.5999999999999996</v>
      </c>
      <c r="G17" s="40">
        <v>26.94</v>
      </c>
      <c r="H17" s="40">
        <v>12.16</v>
      </c>
      <c r="I17" s="40">
        <v>9.3699999999999992</v>
      </c>
      <c r="J17" s="40">
        <v>5.03</v>
      </c>
      <c r="K17" s="40">
        <v>338.73</v>
      </c>
      <c r="L17" s="40">
        <v>26.96</v>
      </c>
      <c r="M17" s="40">
        <v>75.73</v>
      </c>
      <c r="N17" s="40">
        <v>206.9</v>
      </c>
      <c r="O17" s="40">
        <v>0</v>
      </c>
      <c r="P17" s="40">
        <v>0.51</v>
      </c>
      <c r="Q17" s="40">
        <v>28.79</v>
      </c>
      <c r="R17" s="38"/>
      <c r="S17" s="38"/>
      <c r="T17" s="38"/>
      <c r="U17" s="38"/>
    </row>
    <row r="18" spans="1:21" customFormat="1">
      <c r="A18" s="39" t="s">
        <v>669</v>
      </c>
      <c r="B18" s="40">
        <v>8.19</v>
      </c>
      <c r="C18" s="40">
        <v>14.57</v>
      </c>
      <c r="D18" s="40">
        <v>13.18</v>
      </c>
      <c r="E18" s="40">
        <v>6.38</v>
      </c>
      <c r="F18" s="40">
        <v>3.46</v>
      </c>
      <c r="G18" s="40">
        <v>22.41</v>
      </c>
      <c r="H18" s="40">
        <v>10.36</v>
      </c>
      <c r="I18" s="40">
        <v>9.4499999999999993</v>
      </c>
      <c r="J18" s="40">
        <v>4.3600000000000003</v>
      </c>
      <c r="K18" s="40">
        <v>307.74</v>
      </c>
      <c r="L18" s="40">
        <v>28.59</v>
      </c>
      <c r="M18" s="40">
        <v>67.239999999999995</v>
      </c>
      <c r="N18" s="40">
        <v>538.70000000000005</v>
      </c>
      <c r="O18" s="40">
        <v>0</v>
      </c>
      <c r="P18" s="40">
        <v>0.49</v>
      </c>
      <c r="Q18" s="40">
        <v>28.8</v>
      </c>
      <c r="R18" s="38"/>
      <c r="S18" s="38"/>
      <c r="T18" s="38"/>
      <c r="U18" s="38"/>
    </row>
    <row r="19" spans="1:21" customFormat="1">
      <c r="A19" s="39" t="s">
        <v>670</v>
      </c>
      <c r="B19" s="40">
        <v>7.73</v>
      </c>
      <c r="C19" s="40">
        <v>14.4</v>
      </c>
      <c r="D19" s="40">
        <v>12.35</v>
      </c>
      <c r="E19" s="40">
        <v>6.44</v>
      </c>
      <c r="F19" s="40">
        <v>8.7200000000000006</v>
      </c>
      <c r="G19" s="40">
        <v>21.43</v>
      </c>
      <c r="H19" s="40">
        <v>8.2100000000000009</v>
      </c>
      <c r="I19" s="40">
        <v>9.94</v>
      </c>
      <c r="J19" s="40">
        <v>5.08</v>
      </c>
      <c r="K19" s="40">
        <v>88.53</v>
      </c>
      <c r="L19" s="40">
        <v>29.41</v>
      </c>
      <c r="M19" s="40">
        <v>65.319999999999993</v>
      </c>
      <c r="N19" s="40">
        <v>446.6</v>
      </c>
      <c r="O19" s="40">
        <v>0</v>
      </c>
      <c r="P19" s="40">
        <v>0.6</v>
      </c>
      <c r="Q19" s="40">
        <v>28.91</v>
      </c>
      <c r="R19" s="38"/>
      <c r="S19" s="38"/>
      <c r="T19" s="38"/>
      <c r="U19" s="38"/>
    </row>
    <row r="20" spans="1:21" customFormat="1">
      <c r="A20" s="39" t="s">
        <v>671</v>
      </c>
      <c r="B20" s="40">
        <v>8.9</v>
      </c>
      <c r="C20" s="40">
        <v>24.35</v>
      </c>
      <c r="D20" s="40">
        <v>18.73</v>
      </c>
      <c r="E20" s="40">
        <v>7.29</v>
      </c>
      <c r="F20" s="40">
        <v>17.27</v>
      </c>
      <c r="G20" s="40">
        <v>29.51</v>
      </c>
      <c r="H20" s="40">
        <v>12.21</v>
      </c>
      <c r="I20" s="40">
        <v>11.44</v>
      </c>
      <c r="J20" s="40">
        <v>4.74</v>
      </c>
      <c r="K20" s="40">
        <v>47.88</v>
      </c>
      <c r="L20" s="40">
        <v>30.27</v>
      </c>
      <c r="M20" s="40">
        <v>65.41</v>
      </c>
      <c r="N20" s="40">
        <v>698.4</v>
      </c>
      <c r="O20" s="40">
        <v>0</v>
      </c>
      <c r="P20" s="40">
        <v>0.75</v>
      </c>
      <c r="Q20" s="40">
        <v>28.71</v>
      </c>
      <c r="R20" s="38"/>
      <c r="S20" s="38"/>
      <c r="T20" s="38"/>
      <c r="U20" s="38"/>
    </row>
    <row r="21" spans="1:21" customFormat="1">
      <c r="A21" s="39" t="s">
        <v>672</v>
      </c>
      <c r="B21" s="40">
        <v>4.72</v>
      </c>
      <c r="C21" s="40">
        <v>23.74</v>
      </c>
      <c r="D21" s="40">
        <v>15.19</v>
      </c>
      <c r="E21" s="40">
        <v>9.5299999999999994</v>
      </c>
      <c r="F21" s="40">
        <v>15.59</v>
      </c>
      <c r="G21" s="40">
        <v>52.28</v>
      </c>
      <c r="H21" s="40">
        <v>23.5</v>
      </c>
      <c r="I21" s="40">
        <v>12.49</v>
      </c>
      <c r="J21" s="40">
        <v>4.22</v>
      </c>
      <c r="K21" s="40">
        <v>323.02999999999997</v>
      </c>
      <c r="L21" s="40">
        <v>30.49</v>
      </c>
      <c r="M21" s="40">
        <v>57.55</v>
      </c>
      <c r="N21" s="40">
        <v>522.79999999999995</v>
      </c>
      <c r="O21" s="40">
        <v>0</v>
      </c>
      <c r="P21" s="40">
        <v>0.71</v>
      </c>
      <c r="Q21" s="40">
        <v>28.74</v>
      </c>
      <c r="R21" s="38"/>
      <c r="S21" s="38"/>
      <c r="T21" s="38"/>
      <c r="U21" s="38"/>
    </row>
    <row r="22" spans="1:21" customFormat="1">
      <c r="A22" s="39" t="s">
        <v>673</v>
      </c>
      <c r="B22" s="40">
        <v>2.35</v>
      </c>
      <c r="C22" s="40">
        <v>19.940000000000001</v>
      </c>
      <c r="D22" s="40">
        <v>11.31</v>
      </c>
      <c r="E22" s="40">
        <v>8.98</v>
      </c>
      <c r="F22" s="40">
        <v>18.739999999999998</v>
      </c>
      <c r="G22" s="40">
        <v>62.22</v>
      </c>
      <c r="H22" s="40">
        <v>26.98</v>
      </c>
      <c r="I22" s="40">
        <v>14.69</v>
      </c>
      <c r="J22" s="40">
        <v>5.12</v>
      </c>
      <c r="K22" s="40">
        <v>330.69</v>
      </c>
      <c r="L22" s="40">
        <v>31.92</v>
      </c>
      <c r="M22" s="40">
        <v>55.59</v>
      </c>
      <c r="N22" s="40">
        <v>641.4</v>
      </c>
      <c r="O22" s="40">
        <v>0</v>
      </c>
      <c r="P22" s="40">
        <v>0.83</v>
      </c>
      <c r="Q22" s="40">
        <v>28.81</v>
      </c>
      <c r="R22" s="38"/>
      <c r="S22" s="38"/>
      <c r="T22" s="38"/>
      <c r="U22" s="38"/>
    </row>
    <row r="23" spans="1:21" customFormat="1">
      <c r="A23" s="39" t="s">
        <v>674</v>
      </c>
      <c r="B23" s="40">
        <v>2.7</v>
      </c>
      <c r="C23" s="40">
        <v>19.62</v>
      </c>
      <c r="D23" s="40">
        <v>11.42</v>
      </c>
      <c r="E23" s="40">
        <v>8.8699999999999992</v>
      </c>
      <c r="F23" s="40">
        <v>55.82</v>
      </c>
      <c r="G23" s="40">
        <v>69.2</v>
      </c>
      <c r="H23" s="40">
        <v>26.65</v>
      </c>
      <c r="I23" s="40">
        <v>14.74</v>
      </c>
      <c r="J23" s="40">
        <v>4.29</v>
      </c>
      <c r="K23" s="40">
        <v>244.32</v>
      </c>
      <c r="L23" s="40">
        <v>32.9</v>
      </c>
      <c r="M23" s="40">
        <v>50.91</v>
      </c>
      <c r="N23" s="40">
        <v>564.29999999999995</v>
      </c>
      <c r="O23" s="40">
        <v>0</v>
      </c>
      <c r="P23" s="40">
        <v>0.75</v>
      </c>
      <c r="Q23" s="40">
        <v>28.91</v>
      </c>
      <c r="R23" s="38"/>
      <c r="S23" s="38"/>
      <c r="T23" s="38"/>
      <c r="U23" s="38"/>
    </row>
    <row r="24" spans="1:21" customFormat="1">
      <c r="A24" s="39" t="s">
        <v>675</v>
      </c>
      <c r="B24" s="40">
        <v>1.86</v>
      </c>
      <c r="C24" s="40">
        <v>17.43</v>
      </c>
      <c r="D24" s="40">
        <v>9.4600000000000009</v>
      </c>
      <c r="E24" s="40">
        <v>8.89</v>
      </c>
      <c r="F24" s="40">
        <v>35.299999999999997</v>
      </c>
      <c r="G24" s="40">
        <v>72.180000000000007</v>
      </c>
      <c r="H24" s="40">
        <v>28.2</v>
      </c>
      <c r="I24" s="40">
        <v>11.68</v>
      </c>
      <c r="J24" s="40">
        <v>4.37</v>
      </c>
      <c r="K24" s="40">
        <v>292.42</v>
      </c>
      <c r="L24" s="40">
        <v>32.29</v>
      </c>
      <c r="M24" s="40">
        <v>48.54</v>
      </c>
      <c r="N24" s="40">
        <v>355.5</v>
      </c>
      <c r="O24" s="40">
        <v>0</v>
      </c>
      <c r="P24" s="40">
        <v>0.65</v>
      </c>
      <c r="Q24" s="40">
        <v>29.2</v>
      </c>
      <c r="R24" s="38"/>
      <c r="S24" s="38"/>
      <c r="T24" s="38"/>
      <c r="U24" s="38"/>
    </row>
    <row r="25" spans="1:21" customFormat="1">
      <c r="A25" s="39" t="s">
        <v>676</v>
      </c>
      <c r="B25" s="40">
        <v>2.25</v>
      </c>
      <c r="C25" s="40">
        <v>11.47</v>
      </c>
      <c r="D25" s="40">
        <v>6.8</v>
      </c>
      <c r="E25" s="40">
        <v>8.74</v>
      </c>
      <c r="F25" s="40">
        <v>38.85</v>
      </c>
      <c r="G25" s="40">
        <v>69.260000000000005</v>
      </c>
      <c r="H25" s="40">
        <v>30.16</v>
      </c>
      <c r="I25" s="40">
        <v>10.58</v>
      </c>
      <c r="J25" s="40">
        <v>4.62</v>
      </c>
      <c r="K25" s="40">
        <v>224.61</v>
      </c>
      <c r="L25" s="40">
        <v>32.090000000000003</v>
      </c>
      <c r="M25" s="40">
        <v>49.83</v>
      </c>
      <c r="N25" s="40">
        <v>161.69999999999999</v>
      </c>
      <c r="O25" s="40">
        <v>0</v>
      </c>
      <c r="P25" s="40">
        <v>0.54</v>
      </c>
      <c r="Q25" s="40">
        <v>29.32</v>
      </c>
      <c r="R25" s="38"/>
      <c r="S25" s="38"/>
      <c r="T25" s="38"/>
      <c r="U25" s="38"/>
    </row>
    <row r="26" spans="1:21" customFormat="1">
      <c r="A26" s="39" t="s">
        <v>677</v>
      </c>
      <c r="B26" s="40">
        <v>1.61</v>
      </c>
      <c r="C26" s="40">
        <v>10.53</v>
      </c>
      <c r="D26" s="40">
        <v>5.8</v>
      </c>
      <c r="E26" s="40">
        <v>7.76</v>
      </c>
      <c r="F26" s="40">
        <v>56.45</v>
      </c>
      <c r="G26" s="40">
        <v>67.67</v>
      </c>
      <c r="H26" s="40">
        <v>30.85</v>
      </c>
      <c r="I26" s="40">
        <v>10</v>
      </c>
      <c r="J26" s="40">
        <v>4.2300000000000004</v>
      </c>
      <c r="K26" s="40">
        <v>208.8</v>
      </c>
      <c r="L26" s="40">
        <v>31.5</v>
      </c>
      <c r="M26" s="40">
        <v>55.39</v>
      </c>
      <c r="N26" s="40">
        <v>83.7</v>
      </c>
      <c r="O26" s="40">
        <v>0</v>
      </c>
      <c r="P26" s="40">
        <v>0.4</v>
      </c>
      <c r="Q26" s="40">
        <v>29.25</v>
      </c>
      <c r="R26" s="38"/>
      <c r="S26" s="38"/>
      <c r="T26" s="38"/>
      <c r="U26" s="38"/>
    </row>
    <row r="27" spans="1:21" customFormat="1">
      <c r="A27" s="39" t="s">
        <v>678</v>
      </c>
      <c r="B27" s="40">
        <v>1.51</v>
      </c>
      <c r="C27" s="40">
        <v>12.33</v>
      </c>
      <c r="D27" s="40">
        <v>6.48</v>
      </c>
      <c r="E27" s="40">
        <v>6.77</v>
      </c>
      <c r="F27" s="40">
        <v>17.75</v>
      </c>
      <c r="G27" s="40">
        <v>43.05</v>
      </c>
      <c r="H27" s="40">
        <v>22.02</v>
      </c>
      <c r="I27" s="40">
        <v>6.21</v>
      </c>
      <c r="J27" s="40">
        <v>5.14</v>
      </c>
      <c r="K27" s="40">
        <v>214.55</v>
      </c>
      <c r="L27" s="40">
        <v>29.18</v>
      </c>
      <c r="M27" s="40">
        <v>69.47</v>
      </c>
      <c r="N27" s="40">
        <v>34.5</v>
      </c>
      <c r="O27" s="40">
        <v>0</v>
      </c>
      <c r="P27" s="40">
        <v>0.37</v>
      </c>
      <c r="Q27" s="40">
        <v>29.3</v>
      </c>
      <c r="R27" s="38"/>
      <c r="S27" s="38"/>
      <c r="T27" s="38"/>
      <c r="U27" s="38"/>
    </row>
    <row r="28" spans="1:21" customFormat="1">
      <c r="A28" s="39" t="s">
        <v>679</v>
      </c>
      <c r="B28" s="40">
        <v>2.85</v>
      </c>
      <c r="C28" s="40">
        <v>9.7100000000000009</v>
      </c>
      <c r="D28" s="40">
        <v>5.83</v>
      </c>
      <c r="E28" s="40">
        <v>6.53</v>
      </c>
      <c r="F28" s="40">
        <v>5.99</v>
      </c>
      <c r="G28" s="40">
        <v>34.590000000000003</v>
      </c>
      <c r="H28" s="40">
        <v>15.95</v>
      </c>
      <c r="I28" s="40">
        <v>6.42</v>
      </c>
      <c r="J28" s="40">
        <v>5.09</v>
      </c>
      <c r="K28" s="40">
        <v>211.86</v>
      </c>
      <c r="L28" s="40">
        <v>27.64</v>
      </c>
      <c r="M28" s="40">
        <v>71.959999999999994</v>
      </c>
      <c r="N28" s="40">
        <v>23.7</v>
      </c>
      <c r="O28" s="40">
        <v>0</v>
      </c>
      <c r="P28" s="40">
        <v>0.37</v>
      </c>
      <c r="Q28" s="40">
        <v>29.54</v>
      </c>
      <c r="R28" s="38"/>
      <c r="S28" s="38"/>
      <c r="T28" s="38"/>
      <c r="U28" s="38"/>
    </row>
    <row r="29" spans="1:21" customFormat="1">
      <c r="A29" s="39" t="s">
        <v>680</v>
      </c>
      <c r="B29" s="40">
        <v>3.37</v>
      </c>
      <c r="C29" s="40">
        <v>8.2200000000000006</v>
      </c>
      <c r="D29" s="40">
        <v>6</v>
      </c>
      <c r="E29" s="40">
        <v>6.05</v>
      </c>
      <c r="F29" s="40">
        <v>7.84</v>
      </c>
      <c r="G29" s="40">
        <v>27.95</v>
      </c>
      <c r="H29" s="40">
        <v>15.18</v>
      </c>
      <c r="I29" s="40">
        <v>7.44</v>
      </c>
      <c r="J29" s="40">
        <v>4.74</v>
      </c>
      <c r="K29" s="40">
        <v>214.89</v>
      </c>
      <c r="L29" s="40">
        <v>26.58</v>
      </c>
      <c r="M29" s="40">
        <v>73.819999999999993</v>
      </c>
      <c r="N29" s="40">
        <v>23.6</v>
      </c>
      <c r="O29" s="40">
        <v>0</v>
      </c>
      <c r="P29" s="40">
        <v>0.38</v>
      </c>
      <c r="Q29" s="40">
        <v>29.32</v>
      </c>
      <c r="R29" s="38"/>
      <c r="S29" s="38"/>
      <c r="T29" s="38"/>
      <c r="U29" s="38"/>
    </row>
    <row r="30" spans="1:21" customFormat="1">
      <c r="A30" s="39" t="s">
        <v>681</v>
      </c>
      <c r="B30" s="40">
        <v>3.87</v>
      </c>
      <c r="C30" s="40">
        <v>10.33</v>
      </c>
      <c r="D30" s="40">
        <v>7.51</v>
      </c>
      <c r="E30" s="40">
        <v>5.91</v>
      </c>
      <c r="F30" s="40">
        <v>6.64</v>
      </c>
      <c r="G30" s="40">
        <v>24.84</v>
      </c>
      <c r="H30" s="40">
        <v>13.09</v>
      </c>
      <c r="I30" s="40">
        <v>7.42</v>
      </c>
      <c r="J30" s="40">
        <v>5.13</v>
      </c>
      <c r="K30" s="40">
        <v>223.17</v>
      </c>
      <c r="L30" s="40">
        <v>26.09</v>
      </c>
      <c r="M30" s="40">
        <v>75.72</v>
      </c>
      <c r="N30" s="40">
        <v>23.5</v>
      </c>
      <c r="O30" s="40">
        <v>0</v>
      </c>
      <c r="P30" s="40">
        <v>0.39</v>
      </c>
      <c r="Q30" s="40">
        <v>29.24</v>
      </c>
      <c r="R30" s="38"/>
      <c r="S30" s="38"/>
      <c r="T30" s="38"/>
      <c r="U30" s="38"/>
    </row>
    <row r="31" spans="1:21" customFormat="1">
      <c r="A31" s="39" t="s">
        <v>682</v>
      </c>
      <c r="B31" s="40">
        <v>4.66</v>
      </c>
      <c r="C31" s="40">
        <v>10.119999999999999</v>
      </c>
      <c r="D31" s="40">
        <v>7.63</v>
      </c>
      <c r="E31" s="40">
        <v>5.69</v>
      </c>
      <c r="F31" s="40">
        <v>4.93</v>
      </c>
      <c r="G31" s="40">
        <v>20</v>
      </c>
      <c r="H31" s="40">
        <v>9.3000000000000007</v>
      </c>
      <c r="I31" s="40">
        <v>7.59</v>
      </c>
      <c r="J31" s="40">
        <v>3.98</v>
      </c>
      <c r="K31" s="40">
        <v>216.3</v>
      </c>
      <c r="L31" s="40">
        <v>26.33</v>
      </c>
      <c r="M31" s="40">
        <v>75.7</v>
      </c>
      <c r="N31" s="40">
        <v>23.4</v>
      </c>
      <c r="O31" s="40">
        <v>0</v>
      </c>
      <c r="P31" s="40">
        <v>0.38</v>
      </c>
      <c r="Q31" s="40">
        <v>29.31</v>
      </c>
      <c r="R31" s="38"/>
      <c r="S31" s="38"/>
      <c r="T31" s="38"/>
      <c r="U31" s="38"/>
    </row>
    <row r="32" spans="1:21" customFormat="1">
      <c r="A32" s="39" t="s">
        <v>683</v>
      </c>
      <c r="B32" s="40">
        <v>4.97</v>
      </c>
      <c r="C32" s="40">
        <v>8.31</v>
      </c>
      <c r="D32" s="40">
        <v>7.22</v>
      </c>
      <c r="E32" s="40">
        <v>5.87</v>
      </c>
      <c r="F32" s="40">
        <v>6.54</v>
      </c>
      <c r="G32" s="40">
        <v>19.46</v>
      </c>
      <c r="H32" s="40">
        <v>6.88</v>
      </c>
      <c r="I32" s="40">
        <v>7.48</v>
      </c>
      <c r="J32" s="40">
        <v>4.78</v>
      </c>
      <c r="K32" s="40">
        <v>208.58</v>
      </c>
      <c r="L32" s="40">
        <v>26.13</v>
      </c>
      <c r="M32" s="40">
        <v>74.25</v>
      </c>
      <c r="N32" s="40">
        <v>23.6</v>
      </c>
      <c r="O32" s="40">
        <v>0</v>
      </c>
      <c r="P32" s="40">
        <v>0.38</v>
      </c>
      <c r="Q32" s="40">
        <v>29.25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1.51</v>
      </c>
      <c r="C34" s="18">
        <f t="shared" si="0"/>
        <v>8.2200000000000006</v>
      </c>
      <c r="D34" s="18">
        <f t="shared" si="0"/>
        <v>5.8</v>
      </c>
      <c r="E34" s="18">
        <f t="shared" si="0"/>
        <v>4.45</v>
      </c>
      <c r="F34" s="18">
        <f t="shared" si="0"/>
        <v>3.46</v>
      </c>
      <c r="G34" s="18">
        <f t="shared" si="0"/>
        <v>19.46</v>
      </c>
      <c r="H34" s="18">
        <f t="shared" si="0"/>
        <v>6.88</v>
      </c>
      <c r="I34" s="18">
        <f t="shared" si="0"/>
        <v>6.21</v>
      </c>
      <c r="J34" s="18">
        <f t="shared" si="0"/>
        <v>3.98</v>
      </c>
      <c r="K34" s="18">
        <f t="shared" si="0"/>
        <v>47.88</v>
      </c>
      <c r="L34" s="18">
        <f t="shared" si="0"/>
        <v>24.51</v>
      </c>
      <c r="M34" s="18">
        <f t="shared" si="0"/>
        <v>48.54</v>
      </c>
      <c r="N34" s="18">
        <f t="shared" si="0"/>
        <v>23.4</v>
      </c>
      <c r="O34" s="18">
        <f t="shared" si="0"/>
        <v>0</v>
      </c>
      <c r="P34" s="18">
        <f t="shared" si="0"/>
        <v>0.37</v>
      </c>
      <c r="Q34" s="18">
        <f t="shared" si="0"/>
        <v>28.71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8.9</v>
      </c>
      <c r="C35" s="3">
        <f t="shared" si="1"/>
        <v>24.35</v>
      </c>
      <c r="D35" s="3">
        <f t="shared" si="1"/>
        <v>18.73</v>
      </c>
      <c r="E35" s="3">
        <f t="shared" si="1"/>
        <v>9.5299999999999994</v>
      </c>
      <c r="F35" s="3">
        <f t="shared" si="1"/>
        <v>56.45</v>
      </c>
      <c r="G35" s="3">
        <f t="shared" si="1"/>
        <v>72.180000000000007</v>
      </c>
      <c r="H35" s="3">
        <f t="shared" si="1"/>
        <v>30.85</v>
      </c>
      <c r="I35" s="3">
        <f t="shared" si="1"/>
        <v>14.74</v>
      </c>
      <c r="J35" s="3">
        <f t="shared" si="1"/>
        <v>8.16</v>
      </c>
      <c r="K35" s="3">
        <f t="shared" si="1"/>
        <v>338.73</v>
      </c>
      <c r="L35" s="3">
        <f t="shared" si="1"/>
        <v>32.9</v>
      </c>
      <c r="M35" s="3">
        <f t="shared" si="1"/>
        <v>84.62</v>
      </c>
      <c r="N35" s="3">
        <f t="shared" si="1"/>
        <v>698.4</v>
      </c>
      <c r="O35" s="3">
        <f t="shared" si="1"/>
        <v>0</v>
      </c>
      <c r="P35" s="3">
        <f t="shared" si="1"/>
        <v>0.83</v>
      </c>
      <c r="Q35" s="3">
        <f t="shared" si="1"/>
        <v>29.54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4.8566666666666665</v>
      </c>
      <c r="C36" s="18">
        <f t="shared" si="2"/>
        <v>14.462499999999999</v>
      </c>
      <c r="D36" s="18">
        <f t="shared" si="2"/>
        <v>10.321250000000001</v>
      </c>
      <c r="E36" s="18">
        <f t="shared" si="2"/>
        <v>6.607916666666668</v>
      </c>
      <c r="F36" s="18">
        <f t="shared" si="2"/>
        <v>14.452916666666667</v>
      </c>
      <c r="G36" s="18">
        <f t="shared" si="2"/>
        <v>37.354166666666671</v>
      </c>
      <c r="H36" s="18">
        <f t="shared" si="2"/>
        <v>16.997083333333332</v>
      </c>
      <c r="I36" s="18">
        <f t="shared" si="2"/>
        <v>9.612916666666667</v>
      </c>
      <c r="J36" s="18">
        <f t="shared" si="2"/>
        <v>5.078333333333334</v>
      </c>
      <c r="K36" s="18">
        <f t="shared" si="2"/>
        <v>230.48083333333338</v>
      </c>
      <c r="L36" s="18">
        <f t="shared" si="2"/>
        <v>27.972083333333334</v>
      </c>
      <c r="M36" s="18">
        <f t="shared" si="2"/>
        <v>70.120833333333337</v>
      </c>
      <c r="N36" s="18">
        <f t="shared" si="2"/>
        <v>200.11666666666665</v>
      </c>
      <c r="O36" s="18">
        <f t="shared" si="2"/>
        <v>0</v>
      </c>
      <c r="P36" s="18">
        <f t="shared" si="2"/>
        <v>0.50416666666666676</v>
      </c>
      <c r="Q36" s="18">
        <f t="shared" si="2"/>
        <v>29.025000000000002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2.2818883611503917</v>
      </c>
      <c r="C37" s="18">
        <f t="shared" ref="C37:Q37" si="3">STDEV(C9:C32)</f>
        <v>4.4467401347601792</v>
      </c>
      <c r="D37" s="18">
        <f t="shared" si="3"/>
        <v>3.2886488734803314</v>
      </c>
      <c r="E37" s="18">
        <f t="shared" si="3"/>
        <v>1.4601250070565375</v>
      </c>
      <c r="F37" s="18">
        <f t="shared" si="3"/>
        <v>15.900067125690043</v>
      </c>
      <c r="G37" s="18">
        <f t="shared" si="3"/>
        <v>18.213153850676306</v>
      </c>
      <c r="H37" s="18">
        <f t="shared" si="3"/>
        <v>7.3085372825309527</v>
      </c>
      <c r="I37" s="18">
        <f t="shared" si="3"/>
        <v>2.2258490889246363</v>
      </c>
      <c r="J37" s="18">
        <f t="shared" si="3"/>
        <v>0.8462534653023438</v>
      </c>
      <c r="K37" s="18">
        <f t="shared" si="3"/>
        <v>66.347981058805999</v>
      </c>
      <c r="L37" s="18">
        <f t="shared" si="3"/>
        <v>2.745107868580928</v>
      </c>
      <c r="M37" s="18">
        <f t="shared" si="3"/>
        <v>11.603771094915128</v>
      </c>
      <c r="N37" s="18">
        <f t="shared" si="3"/>
        <v>235.54054145022823</v>
      </c>
      <c r="O37" s="18">
        <f t="shared" si="3"/>
        <v>0</v>
      </c>
      <c r="P37" s="18">
        <f t="shared" si="3"/>
        <v>0.13761688049473228</v>
      </c>
      <c r="Q37" s="18">
        <f t="shared" si="3"/>
        <v>0.24106647107854057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684</v>
      </c>
      <c r="B9" s="40">
        <v>5.33</v>
      </c>
      <c r="C9" s="40">
        <v>9.31</v>
      </c>
      <c r="D9" s="40">
        <v>8.14</v>
      </c>
      <c r="E9" s="40">
        <v>5.54</v>
      </c>
      <c r="F9" s="40">
        <v>5.54</v>
      </c>
      <c r="G9" s="40">
        <v>15.04</v>
      </c>
      <c r="H9" s="40">
        <v>5.21</v>
      </c>
      <c r="I9" s="40">
        <v>7.22</v>
      </c>
      <c r="J9" s="40">
        <v>4.9800000000000004</v>
      </c>
      <c r="K9" s="40">
        <v>218.39</v>
      </c>
      <c r="L9" s="40">
        <v>25.96</v>
      </c>
      <c r="M9" s="40">
        <v>75.41</v>
      </c>
      <c r="N9" s="40">
        <v>23.5</v>
      </c>
      <c r="O9" s="40">
        <v>0</v>
      </c>
      <c r="P9" s="40">
        <v>0.37</v>
      </c>
      <c r="Q9" s="40">
        <v>29.13</v>
      </c>
      <c r="R9" s="38"/>
      <c r="S9" s="38"/>
      <c r="T9" s="38"/>
      <c r="U9" s="38"/>
    </row>
    <row r="10" spans="1:21" customFormat="1">
      <c r="A10" s="39" t="s">
        <v>685</v>
      </c>
      <c r="B10" s="40">
        <v>6.11</v>
      </c>
      <c r="C10" s="40">
        <v>11.97</v>
      </c>
      <c r="D10" s="40">
        <v>9.86</v>
      </c>
      <c r="E10" s="40">
        <v>5.83</v>
      </c>
      <c r="F10" s="40">
        <v>3.31</v>
      </c>
      <c r="G10" s="40">
        <v>12.44</v>
      </c>
      <c r="H10" s="40">
        <v>4.47</v>
      </c>
      <c r="I10" s="40">
        <v>7.06</v>
      </c>
      <c r="J10" s="40">
        <v>4.75</v>
      </c>
      <c r="K10" s="40">
        <v>221.74</v>
      </c>
      <c r="L10" s="40">
        <v>25.58</v>
      </c>
      <c r="M10" s="40">
        <v>77.510000000000005</v>
      </c>
      <c r="N10" s="40">
        <v>23.6</v>
      </c>
      <c r="O10" s="40">
        <v>0</v>
      </c>
      <c r="P10" s="40">
        <v>0.38</v>
      </c>
      <c r="Q10" s="40">
        <v>29.12</v>
      </c>
      <c r="R10" s="38"/>
      <c r="S10" s="38"/>
      <c r="T10" s="38"/>
      <c r="U10" s="38"/>
    </row>
    <row r="11" spans="1:21" customFormat="1">
      <c r="A11" s="39" t="s">
        <v>686</v>
      </c>
      <c r="B11" s="40">
        <v>6.55</v>
      </c>
      <c r="C11" s="40">
        <v>8.35</v>
      </c>
      <c r="D11" s="40">
        <v>8.4600000000000009</v>
      </c>
      <c r="E11" s="40">
        <v>5.47</v>
      </c>
      <c r="F11" s="40">
        <v>4.28</v>
      </c>
      <c r="G11" s="40">
        <v>17.86</v>
      </c>
      <c r="H11" s="40">
        <v>3.33</v>
      </c>
      <c r="I11" s="40">
        <v>7.03</v>
      </c>
      <c r="J11" s="40">
        <v>4.8099999999999996</v>
      </c>
      <c r="K11" s="40">
        <v>222.51</v>
      </c>
      <c r="L11" s="40">
        <v>25.4</v>
      </c>
      <c r="M11" s="40">
        <v>79.98</v>
      </c>
      <c r="N11" s="40">
        <v>23.5</v>
      </c>
      <c r="O11" s="40">
        <v>0</v>
      </c>
      <c r="P11" s="40">
        <v>0.36</v>
      </c>
      <c r="Q11" s="40">
        <v>29.12</v>
      </c>
      <c r="R11" s="38"/>
      <c r="S11" s="38"/>
      <c r="T11" s="38"/>
      <c r="U11" s="38"/>
    </row>
    <row r="12" spans="1:21" customFormat="1">
      <c r="A12" s="39" t="s">
        <v>687</v>
      </c>
      <c r="B12" s="40">
        <v>6.88</v>
      </c>
      <c r="C12" s="40">
        <v>9.4</v>
      </c>
      <c r="D12" s="40">
        <v>9.43</v>
      </c>
      <c r="E12" s="40">
        <v>5.46</v>
      </c>
      <c r="F12" s="40">
        <v>4.54</v>
      </c>
      <c r="G12" s="40">
        <v>12.7</v>
      </c>
      <c r="H12" s="40">
        <v>2.86</v>
      </c>
      <c r="I12" s="40">
        <v>6.76</v>
      </c>
      <c r="J12" s="40">
        <v>4.5599999999999996</v>
      </c>
      <c r="K12" s="40">
        <v>218.48</v>
      </c>
      <c r="L12" s="40">
        <v>25.18</v>
      </c>
      <c r="M12" s="40">
        <v>81.45</v>
      </c>
      <c r="N12" s="40">
        <v>23.4</v>
      </c>
      <c r="O12" s="40">
        <v>0</v>
      </c>
      <c r="P12" s="40">
        <v>0.35</v>
      </c>
      <c r="Q12" s="40">
        <v>29.02</v>
      </c>
      <c r="R12" s="38"/>
      <c r="S12" s="38"/>
      <c r="T12" s="38"/>
      <c r="U12" s="38"/>
    </row>
    <row r="13" spans="1:21" customFormat="1">
      <c r="A13" s="39" t="s">
        <v>688</v>
      </c>
      <c r="B13" s="40">
        <v>7.85</v>
      </c>
      <c r="C13" s="40">
        <v>14.17</v>
      </c>
      <c r="D13" s="40">
        <v>12.6</v>
      </c>
      <c r="E13" s="40">
        <v>5.53</v>
      </c>
      <c r="F13" s="40">
        <v>4.54</v>
      </c>
      <c r="G13" s="40">
        <v>11.58</v>
      </c>
      <c r="H13" s="40">
        <v>3.15</v>
      </c>
      <c r="I13" s="40">
        <v>6.52</v>
      </c>
      <c r="J13" s="40">
        <v>5.21</v>
      </c>
      <c r="K13" s="40">
        <v>205.13</v>
      </c>
      <c r="L13" s="40">
        <v>25.48</v>
      </c>
      <c r="M13" s="40">
        <v>80.52</v>
      </c>
      <c r="N13" s="40">
        <v>23.4</v>
      </c>
      <c r="O13" s="40">
        <v>0</v>
      </c>
      <c r="P13" s="40">
        <v>0.35</v>
      </c>
      <c r="Q13" s="40">
        <v>28.83</v>
      </c>
      <c r="R13" s="38"/>
      <c r="S13" s="38"/>
      <c r="T13" s="38"/>
      <c r="U13" s="38"/>
    </row>
    <row r="14" spans="1:21" customFormat="1">
      <c r="A14" s="39" t="s">
        <v>689</v>
      </c>
      <c r="B14" s="40">
        <v>8.6199999999999992</v>
      </c>
      <c r="C14" s="40">
        <v>12.28</v>
      </c>
      <c r="D14" s="40">
        <v>11.88</v>
      </c>
      <c r="E14" s="40">
        <v>5.65</v>
      </c>
      <c r="F14" s="40">
        <v>4.12</v>
      </c>
      <c r="G14" s="40">
        <v>13.32</v>
      </c>
      <c r="H14" s="40">
        <v>2.66</v>
      </c>
      <c r="I14" s="40">
        <v>6.61</v>
      </c>
      <c r="J14" s="40">
        <v>5.18</v>
      </c>
      <c r="K14" s="40">
        <v>192.37</v>
      </c>
      <c r="L14" s="40">
        <v>25.92</v>
      </c>
      <c r="M14" s="40">
        <v>79.180000000000007</v>
      </c>
      <c r="N14" s="40">
        <v>28.7</v>
      </c>
      <c r="O14" s="40">
        <v>0</v>
      </c>
      <c r="P14" s="40">
        <v>0.34</v>
      </c>
      <c r="Q14" s="40">
        <v>28.79</v>
      </c>
      <c r="R14" s="38"/>
      <c r="S14" s="38"/>
      <c r="T14" s="38"/>
      <c r="U14" s="38"/>
    </row>
    <row r="15" spans="1:21" customFormat="1">
      <c r="A15" s="39" t="s">
        <v>690</v>
      </c>
      <c r="B15" s="40">
        <v>8.9499999999999993</v>
      </c>
      <c r="C15" s="40">
        <v>9.8000000000000007</v>
      </c>
      <c r="D15" s="40">
        <v>11.15</v>
      </c>
      <c r="E15" s="40">
        <v>5.69</v>
      </c>
      <c r="F15" s="40">
        <v>3.81</v>
      </c>
      <c r="G15" s="40">
        <v>16.350000000000001</v>
      </c>
      <c r="H15" s="40">
        <v>3.4</v>
      </c>
      <c r="I15" s="40">
        <v>6.85</v>
      </c>
      <c r="J15" s="40">
        <v>4.1100000000000003</v>
      </c>
      <c r="K15" s="40">
        <v>195.53</v>
      </c>
      <c r="L15" s="40">
        <v>25.71</v>
      </c>
      <c r="M15" s="40">
        <v>91.32</v>
      </c>
      <c r="N15" s="40">
        <v>43.6</v>
      </c>
      <c r="O15" s="40">
        <v>1.4</v>
      </c>
      <c r="P15" s="40">
        <v>0.36</v>
      </c>
      <c r="Q15" s="40">
        <v>28.77</v>
      </c>
      <c r="R15" s="38"/>
      <c r="S15" s="38"/>
      <c r="T15" s="38"/>
      <c r="U15" s="38"/>
    </row>
    <row r="16" spans="1:21" customFormat="1">
      <c r="A16" s="39" t="s">
        <v>691</v>
      </c>
      <c r="B16" s="40">
        <v>9.7100000000000009</v>
      </c>
      <c r="C16" s="40">
        <v>14.67</v>
      </c>
      <c r="D16" s="40">
        <v>14.46</v>
      </c>
      <c r="E16" s="40">
        <v>5.73</v>
      </c>
      <c r="F16" s="40">
        <v>4.95</v>
      </c>
      <c r="G16" s="40">
        <v>20.2</v>
      </c>
      <c r="H16" s="40">
        <v>3.76</v>
      </c>
      <c r="I16" s="40">
        <v>7</v>
      </c>
      <c r="J16" s="40">
        <v>5.45</v>
      </c>
      <c r="K16" s="40">
        <v>251.57</v>
      </c>
      <c r="L16" s="40">
        <v>23.99</v>
      </c>
      <c r="M16" s="40">
        <v>96.95</v>
      </c>
      <c r="N16" s="40">
        <v>58.5</v>
      </c>
      <c r="O16" s="40">
        <v>7.2</v>
      </c>
      <c r="P16" s="40">
        <v>0.35</v>
      </c>
      <c r="Q16" s="40">
        <v>28.65</v>
      </c>
      <c r="R16" s="38"/>
      <c r="S16" s="38"/>
      <c r="T16" s="38"/>
      <c r="U16" s="38"/>
    </row>
    <row r="17" spans="1:21" customFormat="1">
      <c r="A17" s="39" t="s">
        <v>692</v>
      </c>
      <c r="B17" s="40">
        <v>11.09</v>
      </c>
      <c r="C17" s="40">
        <v>14.87</v>
      </c>
      <c r="D17" s="40">
        <v>14.86</v>
      </c>
      <c r="E17" s="40">
        <v>5.6</v>
      </c>
      <c r="F17" s="40">
        <v>3.26</v>
      </c>
      <c r="G17" s="40">
        <v>14.65</v>
      </c>
      <c r="H17" s="40">
        <v>4.5199999999999996</v>
      </c>
      <c r="I17" s="40">
        <v>7.08</v>
      </c>
      <c r="J17" s="40">
        <v>6</v>
      </c>
      <c r="K17" s="40">
        <v>252.57</v>
      </c>
      <c r="L17" s="40">
        <v>24.47</v>
      </c>
      <c r="M17" s="40">
        <v>96.97</v>
      </c>
      <c r="N17" s="40">
        <v>82.5</v>
      </c>
      <c r="O17" s="40">
        <v>1.6</v>
      </c>
      <c r="P17" s="40">
        <v>0.37</v>
      </c>
      <c r="Q17" s="40">
        <v>28.47</v>
      </c>
      <c r="R17" s="38"/>
      <c r="S17" s="38"/>
      <c r="T17" s="38"/>
      <c r="U17" s="38"/>
    </row>
    <row r="18" spans="1:21" customFormat="1">
      <c r="A18" s="39" t="s">
        <v>693</v>
      </c>
      <c r="B18" s="40">
        <v>12.41</v>
      </c>
      <c r="C18" s="40">
        <v>11.91</v>
      </c>
      <c r="D18" s="40">
        <v>14.88</v>
      </c>
      <c r="E18" s="40">
        <v>5.64</v>
      </c>
      <c r="F18" s="40">
        <v>2.88</v>
      </c>
      <c r="G18" s="40">
        <v>14.49</v>
      </c>
      <c r="H18" s="40">
        <v>3.55</v>
      </c>
      <c r="I18" s="40">
        <v>8.25</v>
      </c>
      <c r="J18" s="40">
        <v>6.08</v>
      </c>
      <c r="K18" s="40">
        <v>250.2</v>
      </c>
      <c r="L18" s="40">
        <v>24.41</v>
      </c>
      <c r="M18" s="40">
        <v>96.98</v>
      </c>
      <c r="N18" s="40">
        <v>57</v>
      </c>
      <c r="O18" s="40">
        <v>3.6</v>
      </c>
      <c r="P18" s="40">
        <v>0.52</v>
      </c>
      <c r="Q18" s="40">
        <v>28.44</v>
      </c>
      <c r="R18" s="38"/>
      <c r="S18" s="38"/>
      <c r="T18" s="38"/>
      <c r="U18" s="38"/>
    </row>
    <row r="19" spans="1:21" customFormat="1">
      <c r="A19" s="39" t="s">
        <v>694</v>
      </c>
      <c r="B19" s="40">
        <v>12.28</v>
      </c>
      <c r="C19" s="40">
        <v>13.53</v>
      </c>
      <c r="D19" s="40">
        <v>15.84</v>
      </c>
      <c r="E19" s="40">
        <v>5.5</v>
      </c>
      <c r="F19" s="40">
        <v>3.08</v>
      </c>
      <c r="G19" s="40">
        <v>16.16</v>
      </c>
      <c r="H19" s="40">
        <v>3.01</v>
      </c>
      <c r="I19" s="40">
        <v>15.35</v>
      </c>
      <c r="J19" s="40">
        <v>6.02</v>
      </c>
      <c r="K19" s="40">
        <v>229.63</v>
      </c>
      <c r="L19" s="40">
        <v>23.09</v>
      </c>
      <c r="M19" s="40">
        <v>97</v>
      </c>
      <c r="N19" s="40">
        <v>187.3</v>
      </c>
      <c r="O19" s="40">
        <v>2.2000000000000002</v>
      </c>
      <c r="P19" s="40">
        <v>0.64</v>
      </c>
      <c r="Q19" s="40">
        <v>28.32</v>
      </c>
      <c r="R19" s="38"/>
      <c r="S19" s="38"/>
      <c r="T19" s="38"/>
      <c r="U19" s="38"/>
    </row>
    <row r="20" spans="1:21" customFormat="1">
      <c r="A20" s="39" t="s">
        <v>695</v>
      </c>
      <c r="B20" s="40">
        <v>13.7</v>
      </c>
      <c r="C20" s="40">
        <v>15.54</v>
      </c>
      <c r="D20" s="40">
        <v>17.63</v>
      </c>
      <c r="E20" s="40">
        <v>5.57</v>
      </c>
      <c r="F20" s="40">
        <v>2.74</v>
      </c>
      <c r="G20" s="40">
        <v>14.54</v>
      </c>
      <c r="H20" s="40">
        <v>4.58</v>
      </c>
      <c r="I20" s="40">
        <v>16.48</v>
      </c>
      <c r="J20" s="40">
        <v>5.17</v>
      </c>
      <c r="K20" s="40">
        <v>262.36</v>
      </c>
      <c r="L20" s="40">
        <v>24.76</v>
      </c>
      <c r="M20" s="40">
        <v>97.05</v>
      </c>
      <c r="N20" s="40">
        <v>317.8</v>
      </c>
      <c r="O20" s="40">
        <v>0</v>
      </c>
      <c r="P20" s="40">
        <v>0.73</v>
      </c>
      <c r="Q20" s="40">
        <v>28.18</v>
      </c>
      <c r="R20" s="38"/>
      <c r="S20" s="38"/>
      <c r="T20" s="38"/>
      <c r="U20" s="38"/>
    </row>
    <row r="21" spans="1:21" customFormat="1">
      <c r="A21" s="39" t="s">
        <v>696</v>
      </c>
      <c r="B21" s="40">
        <v>13.88</v>
      </c>
      <c r="C21" s="40">
        <v>14.06</v>
      </c>
      <c r="D21" s="40">
        <v>17.48</v>
      </c>
      <c r="E21" s="40">
        <v>5.8</v>
      </c>
      <c r="F21" s="40">
        <v>4.6399999999999997</v>
      </c>
      <c r="G21" s="40">
        <v>21.12</v>
      </c>
      <c r="H21" s="40">
        <v>6.42</v>
      </c>
      <c r="I21" s="40">
        <v>18.52</v>
      </c>
      <c r="J21" s="40">
        <v>6.27</v>
      </c>
      <c r="K21" s="40">
        <v>284.45999999999998</v>
      </c>
      <c r="L21" s="40">
        <v>26.48</v>
      </c>
      <c r="M21" s="40">
        <v>95.33</v>
      </c>
      <c r="N21" s="40">
        <v>481.1</v>
      </c>
      <c r="O21" s="40">
        <v>0</v>
      </c>
      <c r="P21" s="40">
        <v>0.87</v>
      </c>
      <c r="Q21" s="40">
        <v>28.32</v>
      </c>
      <c r="R21" s="38"/>
      <c r="S21" s="38"/>
      <c r="T21" s="38"/>
      <c r="U21" s="38"/>
    </row>
    <row r="22" spans="1:21" customFormat="1">
      <c r="A22" s="39" t="s">
        <v>697</v>
      </c>
      <c r="B22" s="40">
        <v>13.15</v>
      </c>
      <c r="C22" s="40">
        <v>13.63</v>
      </c>
      <c r="D22" s="40">
        <v>16.559999999999999</v>
      </c>
      <c r="E22" s="40">
        <v>5.63</v>
      </c>
      <c r="F22" s="40">
        <v>6.52</v>
      </c>
      <c r="G22" s="40">
        <v>31.11</v>
      </c>
      <c r="H22" s="40">
        <v>11.08</v>
      </c>
      <c r="I22" s="40">
        <v>19.100000000000001</v>
      </c>
      <c r="J22" s="40">
        <v>6.43</v>
      </c>
      <c r="K22" s="40">
        <v>299.36</v>
      </c>
      <c r="L22" s="40">
        <v>27.6</v>
      </c>
      <c r="M22" s="40">
        <v>77.81</v>
      </c>
      <c r="N22" s="40">
        <v>489.3</v>
      </c>
      <c r="O22" s="40">
        <v>0</v>
      </c>
      <c r="P22" s="40">
        <v>0.88</v>
      </c>
      <c r="Q22" s="40">
        <v>28.47</v>
      </c>
      <c r="R22" s="38"/>
      <c r="S22" s="38"/>
      <c r="T22" s="38"/>
      <c r="U22" s="38"/>
    </row>
    <row r="23" spans="1:21" customFormat="1">
      <c r="A23" s="39" t="s">
        <v>698</v>
      </c>
      <c r="B23" s="40">
        <v>10.09</v>
      </c>
      <c r="C23" s="40">
        <v>16.649999999999999</v>
      </c>
      <c r="D23" s="40">
        <v>15.58</v>
      </c>
      <c r="E23" s="40">
        <v>5.76</v>
      </c>
      <c r="F23" s="40">
        <v>4.0999999999999996</v>
      </c>
      <c r="G23" s="40">
        <v>32.61</v>
      </c>
      <c r="H23" s="40">
        <v>13.53</v>
      </c>
      <c r="I23" s="40">
        <v>18.16</v>
      </c>
      <c r="J23" s="40">
        <v>3.39</v>
      </c>
      <c r="K23" s="40">
        <v>358.12</v>
      </c>
      <c r="L23" s="40">
        <v>30.58</v>
      </c>
      <c r="M23" s="40">
        <v>68.37</v>
      </c>
      <c r="N23" s="40">
        <v>633.5</v>
      </c>
      <c r="O23" s="40">
        <v>0</v>
      </c>
      <c r="P23" s="40">
        <v>0.87</v>
      </c>
      <c r="Q23" s="40">
        <v>28.64</v>
      </c>
      <c r="R23" s="38"/>
      <c r="S23" s="38"/>
      <c r="T23" s="38"/>
      <c r="U23" s="38"/>
    </row>
    <row r="24" spans="1:21" customFormat="1">
      <c r="A24" s="39" t="s">
        <v>699</v>
      </c>
      <c r="B24" s="40">
        <v>8.9499999999999993</v>
      </c>
      <c r="C24" s="40">
        <v>12.95</v>
      </c>
      <c r="D24" s="40">
        <v>12.95</v>
      </c>
      <c r="E24" s="40">
        <v>5.94</v>
      </c>
      <c r="F24" s="40">
        <v>10.23</v>
      </c>
      <c r="G24" s="40">
        <v>30.1</v>
      </c>
      <c r="H24" s="40">
        <v>11.19</v>
      </c>
      <c r="I24" s="40">
        <v>17.14</v>
      </c>
      <c r="J24" s="40">
        <v>2.57</v>
      </c>
      <c r="K24" s="40">
        <v>354.24</v>
      </c>
      <c r="L24" s="40">
        <v>31.43</v>
      </c>
      <c r="M24" s="40">
        <v>57.82</v>
      </c>
      <c r="N24" s="40">
        <v>687.5</v>
      </c>
      <c r="O24" s="40">
        <v>0</v>
      </c>
      <c r="P24" s="40">
        <v>0.8</v>
      </c>
      <c r="Q24" s="40">
        <v>28.87</v>
      </c>
      <c r="R24" s="38"/>
      <c r="S24" s="38"/>
      <c r="T24" s="38"/>
      <c r="U24" s="38"/>
    </row>
    <row r="25" spans="1:21" customFormat="1">
      <c r="A25" s="39" t="s">
        <v>700</v>
      </c>
      <c r="B25" s="40">
        <v>6.08</v>
      </c>
      <c r="C25" s="40">
        <v>11.76</v>
      </c>
      <c r="D25" s="40">
        <v>10.02</v>
      </c>
      <c r="E25" s="40">
        <v>5.85</v>
      </c>
      <c r="F25" s="40">
        <v>13.92</v>
      </c>
      <c r="G25" s="40">
        <v>29.73</v>
      </c>
      <c r="H25" s="40">
        <v>12.21</v>
      </c>
      <c r="I25" s="40">
        <v>15.36</v>
      </c>
      <c r="J25" s="40">
        <v>3.53</v>
      </c>
      <c r="K25" s="40">
        <v>348.5</v>
      </c>
      <c r="L25" s="40">
        <v>30.72</v>
      </c>
      <c r="M25" s="40">
        <v>63.35</v>
      </c>
      <c r="N25" s="40">
        <v>305.8</v>
      </c>
      <c r="O25" s="40">
        <v>0</v>
      </c>
      <c r="P25" s="40">
        <v>0.67</v>
      </c>
      <c r="Q25" s="40">
        <v>29</v>
      </c>
      <c r="R25" s="38"/>
      <c r="S25" s="38"/>
      <c r="T25" s="38"/>
      <c r="U25" s="38"/>
    </row>
    <row r="26" spans="1:21" customFormat="1">
      <c r="A26" s="39" t="s">
        <v>701</v>
      </c>
      <c r="B26" s="40">
        <v>4.12</v>
      </c>
      <c r="C26" s="40">
        <v>12.3</v>
      </c>
      <c r="D26" s="40">
        <v>8.74</v>
      </c>
      <c r="E26" s="40">
        <v>6.24</v>
      </c>
      <c r="F26" s="40">
        <v>11.85</v>
      </c>
      <c r="G26" s="40">
        <v>25.37</v>
      </c>
      <c r="H26" s="40">
        <v>11.29</v>
      </c>
      <c r="I26" s="40">
        <v>13.07</v>
      </c>
      <c r="J26" s="40">
        <v>3.64</v>
      </c>
      <c r="K26" s="40">
        <v>325.52</v>
      </c>
      <c r="L26" s="40">
        <v>29.29</v>
      </c>
      <c r="M26" s="40">
        <v>66.540000000000006</v>
      </c>
      <c r="N26" s="40">
        <v>113.7</v>
      </c>
      <c r="O26" s="40">
        <v>0</v>
      </c>
      <c r="P26" s="40">
        <v>0.56000000000000005</v>
      </c>
      <c r="Q26" s="40">
        <v>29.05</v>
      </c>
      <c r="R26" s="38"/>
      <c r="S26" s="38"/>
      <c r="T26" s="38"/>
      <c r="U26" s="38"/>
    </row>
    <row r="27" spans="1:21" customFormat="1">
      <c r="A27" s="39" t="s">
        <v>702</v>
      </c>
      <c r="B27" s="40">
        <v>4.46</v>
      </c>
      <c r="C27" s="40">
        <v>10.94</v>
      </c>
      <c r="D27" s="40">
        <v>8.0500000000000007</v>
      </c>
      <c r="E27" s="40">
        <v>6.31</v>
      </c>
      <c r="F27" s="40">
        <v>9.51</v>
      </c>
      <c r="G27" s="40">
        <v>21.93</v>
      </c>
      <c r="H27" s="40">
        <v>8.2200000000000006</v>
      </c>
      <c r="I27" s="40">
        <v>12.61</v>
      </c>
      <c r="J27" s="40">
        <v>4.13</v>
      </c>
      <c r="K27" s="40">
        <v>306.83</v>
      </c>
      <c r="L27" s="40">
        <v>28.69</v>
      </c>
      <c r="M27" s="40">
        <v>67.650000000000006</v>
      </c>
      <c r="N27" s="40">
        <v>40.9</v>
      </c>
      <c r="O27" s="40">
        <v>0</v>
      </c>
      <c r="P27" s="40">
        <v>0.53</v>
      </c>
      <c r="Q27" s="40">
        <v>29.28</v>
      </c>
      <c r="R27" s="38"/>
      <c r="S27" s="38"/>
      <c r="T27" s="38"/>
      <c r="U27" s="38"/>
    </row>
    <row r="28" spans="1:21" customFormat="1">
      <c r="A28" s="39" t="s">
        <v>703</v>
      </c>
      <c r="B28" s="40">
        <v>5.28</v>
      </c>
      <c r="C28" s="40">
        <v>13.31</v>
      </c>
      <c r="D28" s="40">
        <v>10.19</v>
      </c>
      <c r="E28" s="40">
        <v>7.38</v>
      </c>
      <c r="F28" s="40">
        <v>11.22</v>
      </c>
      <c r="G28" s="40">
        <v>22.77</v>
      </c>
      <c r="H28" s="40">
        <v>6.28</v>
      </c>
      <c r="I28" s="40">
        <v>12.64</v>
      </c>
      <c r="J28" s="40">
        <v>3.43</v>
      </c>
      <c r="K28" s="40">
        <v>359.42</v>
      </c>
      <c r="L28" s="40">
        <v>27.91</v>
      </c>
      <c r="M28" s="40">
        <v>73.11</v>
      </c>
      <c r="N28" s="40">
        <v>23.5</v>
      </c>
      <c r="O28" s="40">
        <v>0</v>
      </c>
      <c r="P28" s="40">
        <v>0.57999999999999996</v>
      </c>
      <c r="Q28" s="40">
        <v>29.16</v>
      </c>
      <c r="R28" s="38"/>
      <c r="S28" s="38"/>
      <c r="T28" s="38"/>
      <c r="U28" s="38"/>
    </row>
    <row r="29" spans="1:21" customFormat="1">
      <c r="A29" s="39" t="s">
        <v>704</v>
      </c>
      <c r="B29" s="40">
        <v>9.32</v>
      </c>
      <c r="C29" s="40">
        <v>17.170000000000002</v>
      </c>
      <c r="D29" s="40">
        <v>15.36</v>
      </c>
      <c r="E29" s="40">
        <v>6.55</v>
      </c>
      <c r="F29" s="40">
        <v>7.81</v>
      </c>
      <c r="G29" s="40">
        <v>27.86</v>
      </c>
      <c r="H29" s="40">
        <v>7.82</v>
      </c>
      <c r="I29" s="40">
        <v>13.75</v>
      </c>
      <c r="J29" s="40">
        <v>5.46</v>
      </c>
      <c r="K29" s="40">
        <v>155.07</v>
      </c>
      <c r="L29" s="40">
        <v>26.95</v>
      </c>
      <c r="M29" s="40">
        <v>76.900000000000006</v>
      </c>
      <c r="N29" s="40">
        <v>23.3</v>
      </c>
      <c r="O29" s="40">
        <v>0</v>
      </c>
      <c r="P29" s="40">
        <v>0.72</v>
      </c>
      <c r="Q29" s="40">
        <v>28.92</v>
      </c>
      <c r="R29" s="38"/>
      <c r="S29" s="38"/>
      <c r="T29" s="38"/>
      <c r="U29" s="38"/>
    </row>
    <row r="30" spans="1:21" customFormat="1">
      <c r="A30" s="39" t="s">
        <v>705</v>
      </c>
      <c r="B30" s="40">
        <v>14.47</v>
      </c>
      <c r="C30" s="40">
        <v>17.02</v>
      </c>
      <c r="D30" s="40">
        <v>18.14</v>
      </c>
      <c r="E30" s="40">
        <v>7.12</v>
      </c>
      <c r="F30" s="40">
        <v>2.78</v>
      </c>
      <c r="G30" s="40">
        <v>38.229999999999997</v>
      </c>
      <c r="H30" s="40">
        <v>11.71</v>
      </c>
      <c r="I30" s="40">
        <v>15.35</v>
      </c>
      <c r="J30" s="40">
        <v>5.33</v>
      </c>
      <c r="K30" s="40">
        <v>160.69999999999999</v>
      </c>
      <c r="L30" s="40">
        <v>26.96</v>
      </c>
      <c r="M30" s="40">
        <v>77.28</v>
      </c>
      <c r="N30" s="40">
        <v>23.2</v>
      </c>
      <c r="O30" s="40">
        <v>0</v>
      </c>
      <c r="P30" s="40">
        <v>0.76</v>
      </c>
      <c r="Q30" s="40">
        <v>28.48</v>
      </c>
      <c r="R30" s="38"/>
      <c r="S30" s="38"/>
      <c r="T30" s="38"/>
      <c r="U30" s="38"/>
    </row>
    <row r="31" spans="1:21" customFormat="1">
      <c r="A31" s="39" t="s">
        <v>706</v>
      </c>
      <c r="B31" s="40">
        <v>17.48</v>
      </c>
      <c r="C31" s="40">
        <v>17.97</v>
      </c>
      <c r="D31" s="40">
        <v>22.41</v>
      </c>
      <c r="E31" s="40">
        <v>8.6300000000000008</v>
      </c>
      <c r="F31" s="40">
        <v>2.96</v>
      </c>
      <c r="G31" s="40">
        <v>52.54</v>
      </c>
      <c r="H31" s="40">
        <v>14.33</v>
      </c>
      <c r="I31" s="40">
        <v>16.34</v>
      </c>
      <c r="J31" s="40">
        <v>3.95</v>
      </c>
      <c r="K31" s="40">
        <v>147.08000000000001</v>
      </c>
      <c r="L31" s="40">
        <v>26.82</v>
      </c>
      <c r="M31" s="40">
        <v>81.599999999999994</v>
      </c>
      <c r="N31" s="40">
        <v>23.5</v>
      </c>
      <c r="O31" s="40">
        <v>0</v>
      </c>
      <c r="P31" s="40">
        <v>0.91</v>
      </c>
      <c r="Q31" s="40">
        <v>28.4</v>
      </c>
      <c r="R31" s="38"/>
      <c r="S31" s="38"/>
      <c r="T31" s="38"/>
      <c r="U31" s="38"/>
    </row>
    <row r="32" spans="1:21" customFormat="1">
      <c r="A32" s="39" t="s">
        <v>707</v>
      </c>
      <c r="B32" s="40">
        <v>13.79</v>
      </c>
      <c r="C32" s="40">
        <v>16.510000000000002</v>
      </c>
      <c r="D32" s="40">
        <v>18.600000000000001</v>
      </c>
      <c r="E32" s="40">
        <v>7.16</v>
      </c>
      <c r="F32" s="40">
        <v>5.48</v>
      </c>
      <c r="G32" s="40">
        <v>65.91</v>
      </c>
      <c r="H32" s="40">
        <v>18.059999999999999</v>
      </c>
      <c r="I32" s="40">
        <v>17.07</v>
      </c>
      <c r="J32" s="40">
        <v>3.64</v>
      </c>
      <c r="K32" s="40">
        <v>204.74</v>
      </c>
      <c r="L32" s="40">
        <v>26.52</v>
      </c>
      <c r="M32" s="40">
        <v>81.27</v>
      </c>
      <c r="N32" s="40">
        <v>23.4</v>
      </c>
      <c r="O32" s="40">
        <v>0</v>
      </c>
      <c r="P32" s="40">
        <v>0.83</v>
      </c>
      <c r="Q32" s="40">
        <v>28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4.12</v>
      </c>
      <c r="C34" s="18">
        <f t="shared" si="0"/>
        <v>8.35</v>
      </c>
      <c r="D34" s="18">
        <f t="shared" si="0"/>
        <v>8.0500000000000007</v>
      </c>
      <c r="E34" s="18">
        <f t="shared" si="0"/>
        <v>5.46</v>
      </c>
      <c r="F34" s="18">
        <f t="shared" si="0"/>
        <v>2.74</v>
      </c>
      <c r="G34" s="18">
        <f t="shared" si="0"/>
        <v>11.58</v>
      </c>
      <c r="H34" s="18">
        <f t="shared" si="0"/>
        <v>2.66</v>
      </c>
      <c r="I34" s="18">
        <f t="shared" si="0"/>
        <v>6.52</v>
      </c>
      <c r="J34" s="18">
        <f t="shared" si="0"/>
        <v>2.57</v>
      </c>
      <c r="K34" s="18">
        <f t="shared" si="0"/>
        <v>147.08000000000001</v>
      </c>
      <c r="L34" s="18">
        <f t="shared" si="0"/>
        <v>23.09</v>
      </c>
      <c r="M34" s="18">
        <f t="shared" si="0"/>
        <v>57.82</v>
      </c>
      <c r="N34" s="18">
        <f t="shared" si="0"/>
        <v>23.2</v>
      </c>
      <c r="O34" s="18">
        <f t="shared" si="0"/>
        <v>0</v>
      </c>
      <c r="P34" s="18">
        <f t="shared" si="0"/>
        <v>0.34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17.48</v>
      </c>
      <c r="C35" s="3">
        <f t="shared" si="1"/>
        <v>17.97</v>
      </c>
      <c r="D35" s="3">
        <f t="shared" si="1"/>
        <v>22.41</v>
      </c>
      <c r="E35" s="3">
        <f t="shared" si="1"/>
        <v>8.6300000000000008</v>
      </c>
      <c r="F35" s="3">
        <f t="shared" si="1"/>
        <v>13.92</v>
      </c>
      <c r="G35" s="3">
        <f t="shared" si="1"/>
        <v>65.91</v>
      </c>
      <c r="H35" s="3">
        <f t="shared" si="1"/>
        <v>18.059999999999999</v>
      </c>
      <c r="I35" s="3">
        <f t="shared" si="1"/>
        <v>19.100000000000001</v>
      </c>
      <c r="J35" s="3">
        <f t="shared" si="1"/>
        <v>6.43</v>
      </c>
      <c r="K35" s="3">
        <f t="shared" si="1"/>
        <v>359.42</v>
      </c>
      <c r="L35" s="3">
        <f t="shared" si="1"/>
        <v>31.43</v>
      </c>
      <c r="M35" s="3">
        <f t="shared" si="1"/>
        <v>97.05</v>
      </c>
      <c r="N35" s="3">
        <f t="shared" si="1"/>
        <v>687.5</v>
      </c>
      <c r="O35" s="3">
        <f t="shared" si="1"/>
        <v>7.2</v>
      </c>
      <c r="P35" s="3">
        <f t="shared" si="1"/>
        <v>0.91</v>
      </c>
      <c r="Q35" s="3">
        <f t="shared" si="1"/>
        <v>29.28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9.6062499999999993</v>
      </c>
      <c r="C36" s="18">
        <f t="shared" si="2"/>
        <v>13.336249999999998</v>
      </c>
      <c r="D36" s="18">
        <f t="shared" si="2"/>
        <v>13.469583333333334</v>
      </c>
      <c r="E36" s="18">
        <f t="shared" si="2"/>
        <v>6.065833333333333</v>
      </c>
      <c r="F36" s="18">
        <f t="shared" si="2"/>
        <v>5.7529166666666667</v>
      </c>
      <c r="G36" s="18">
        <f t="shared" si="2"/>
        <v>24.108750000000001</v>
      </c>
      <c r="H36" s="18">
        <f t="shared" si="2"/>
        <v>7.3599999999999994</v>
      </c>
      <c r="I36" s="18">
        <f t="shared" si="2"/>
        <v>12.138333333333334</v>
      </c>
      <c r="J36" s="18">
        <f t="shared" si="2"/>
        <v>4.7537500000000001</v>
      </c>
      <c r="K36" s="18">
        <f t="shared" si="2"/>
        <v>251.02166666666665</v>
      </c>
      <c r="L36" s="18">
        <f t="shared" si="2"/>
        <v>26.662500000000005</v>
      </c>
      <c r="M36" s="18">
        <f t="shared" si="2"/>
        <v>80.722916666666649</v>
      </c>
      <c r="N36" s="18">
        <f t="shared" si="2"/>
        <v>156.72916666666666</v>
      </c>
      <c r="O36" s="18">
        <f t="shared" si="2"/>
        <v>0.66666666666666663</v>
      </c>
      <c r="P36" s="18">
        <f t="shared" si="2"/>
        <v>0.58750000000000002</v>
      </c>
      <c r="Q36" s="18">
        <f t="shared" si="2"/>
        <v>28.726249999999993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3.6606673334362121</v>
      </c>
      <c r="C37" s="18">
        <f t="shared" ref="C37:Q37" si="3">STDEV(C9:C32)</f>
        <v>2.6756775858608797</v>
      </c>
      <c r="D37" s="18">
        <f t="shared" si="3"/>
        <v>3.9327791690805132</v>
      </c>
      <c r="E37" s="18">
        <f t="shared" si="3"/>
        <v>0.78252610272711021</v>
      </c>
      <c r="F37" s="18">
        <f t="shared" si="3"/>
        <v>3.2459332136592449</v>
      </c>
      <c r="G37" s="18">
        <f t="shared" si="3"/>
        <v>13.26681125886175</v>
      </c>
      <c r="H37" s="18">
        <f t="shared" si="3"/>
        <v>4.460902618743547</v>
      </c>
      <c r="I37" s="18">
        <f t="shared" si="3"/>
        <v>4.7017357263652881</v>
      </c>
      <c r="J37" s="18">
        <f t="shared" si="3"/>
        <v>1.0591990924237531</v>
      </c>
      <c r="K37" s="18">
        <f t="shared" si="3"/>
        <v>65.546272315767624</v>
      </c>
      <c r="L37" s="18">
        <f t="shared" si="3"/>
        <v>2.1864966021707759</v>
      </c>
      <c r="M37" s="18">
        <f t="shared" si="3"/>
        <v>11.676442832050625</v>
      </c>
      <c r="N37" s="18">
        <f t="shared" si="3"/>
        <v>210.71283050257242</v>
      </c>
      <c r="O37" s="18">
        <f t="shared" si="3"/>
        <v>1.6614992356738922</v>
      </c>
      <c r="P37" s="18">
        <f t="shared" si="3"/>
        <v>0.20962181267183566</v>
      </c>
      <c r="Q37" s="18">
        <f t="shared" si="3"/>
        <v>0.35252890723284347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708</v>
      </c>
      <c r="B9" s="40">
        <v>14.31</v>
      </c>
      <c r="C9" s="40">
        <v>13.38</v>
      </c>
      <c r="D9" s="40">
        <v>17.04</v>
      </c>
      <c r="E9" s="40">
        <v>6.6</v>
      </c>
      <c r="F9" s="40">
        <v>3.82</v>
      </c>
      <c r="G9" s="40">
        <v>58.16</v>
      </c>
      <c r="H9" s="40">
        <v>13.16</v>
      </c>
      <c r="I9" s="40">
        <v>17.100000000000001</v>
      </c>
      <c r="J9" s="40">
        <v>4.68</v>
      </c>
      <c r="K9" s="40">
        <v>217.75</v>
      </c>
      <c r="L9" s="40">
        <v>26.2</v>
      </c>
      <c r="M9" s="40">
        <v>78.709999999999994</v>
      </c>
      <c r="N9" s="40">
        <v>24.6</v>
      </c>
      <c r="O9" s="40">
        <v>0</v>
      </c>
      <c r="P9" s="40">
        <v>0.8</v>
      </c>
      <c r="Q9" s="40">
        <v>28.49</v>
      </c>
      <c r="R9" s="38"/>
      <c r="S9" s="38"/>
      <c r="T9" s="38"/>
      <c r="U9" s="38"/>
    </row>
    <row r="10" spans="1:21" customFormat="1">
      <c r="A10" s="39" t="s">
        <v>709</v>
      </c>
      <c r="B10" s="40">
        <v>12.2</v>
      </c>
      <c r="C10" s="40">
        <v>10.7</v>
      </c>
      <c r="D10" s="40">
        <v>14.06</v>
      </c>
      <c r="E10" s="40">
        <v>6.24</v>
      </c>
      <c r="F10" s="40">
        <v>4.62</v>
      </c>
      <c r="G10" s="40">
        <v>40.93</v>
      </c>
      <c r="H10" s="40">
        <v>13.79</v>
      </c>
      <c r="I10" s="40">
        <v>15.43</v>
      </c>
      <c r="J10" s="40">
        <v>3.78</v>
      </c>
      <c r="K10" s="40">
        <v>263.82</v>
      </c>
      <c r="L10" s="40">
        <v>24.92</v>
      </c>
      <c r="M10" s="40">
        <v>81.92</v>
      </c>
      <c r="N10" s="40">
        <v>23.7</v>
      </c>
      <c r="O10" s="40">
        <v>0</v>
      </c>
      <c r="P10" s="40">
        <v>0.68</v>
      </c>
      <c r="Q10" s="40">
        <v>28.63</v>
      </c>
      <c r="R10" s="38"/>
      <c r="S10" s="38"/>
      <c r="T10" s="38"/>
      <c r="U10" s="38"/>
    </row>
    <row r="11" spans="1:21" customFormat="1">
      <c r="A11" s="39" t="s">
        <v>710</v>
      </c>
      <c r="B11" s="40">
        <v>10.25</v>
      </c>
      <c r="C11" s="40">
        <v>10.84</v>
      </c>
      <c r="D11" s="40">
        <v>12.38</v>
      </c>
      <c r="E11" s="40">
        <v>6.05</v>
      </c>
      <c r="F11" s="40">
        <v>5.31</v>
      </c>
      <c r="G11" s="40">
        <v>22.98</v>
      </c>
      <c r="H11" s="40">
        <v>10.44</v>
      </c>
      <c r="I11" s="40">
        <v>13.73</v>
      </c>
      <c r="J11" s="40">
        <v>4.17</v>
      </c>
      <c r="K11" s="40">
        <v>312.98</v>
      </c>
      <c r="L11" s="40">
        <v>24.37</v>
      </c>
      <c r="M11" s="40">
        <v>86.08</v>
      </c>
      <c r="N11" s="40">
        <v>23.8</v>
      </c>
      <c r="O11" s="40">
        <v>0</v>
      </c>
      <c r="P11" s="40">
        <v>0.54</v>
      </c>
      <c r="Q11" s="40">
        <v>28.64</v>
      </c>
      <c r="R11" s="38"/>
      <c r="S11" s="38"/>
      <c r="T11" s="38"/>
      <c r="U11" s="38"/>
    </row>
    <row r="12" spans="1:21" customFormat="1">
      <c r="A12" s="39" t="s">
        <v>711</v>
      </c>
      <c r="B12" s="40">
        <v>9.01</v>
      </c>
      <c r="C12" s="40">
        <v>14.24</v>
      </c>
      <c r="D12" s="40">
        <v>13.65</v>
      </c>
      <c r="E12" s="40">
        <v>6.21</v>
      </c>
      <c r="F12" s="40">
        <v>4.8</v>
      </c>
      <c r="G12" s="40">
        <v>13.44</v>
      </c>
      <c r="H12" s="40">
        <v>7.94</v>
      </c>
      <c r="I12" s="40">
        <v>11.87</v>
      </c>
      <c r="J12" s="40">
        <v>3.4</v>
      </c>
      <c r="K12" s="40">
        <v>231.66</v>
      </c>
      <c r="L12" s="40">
        <v>24.39</v>
      </c>
      <c r="M12" s="40">
        <v>86.38</v>
      </c>
      <c r="N12" s="40">
        <v>23.7</v>
      </c>
      <c r="O12" s="40">
        <v>0.2</v>
      </c>
      <c r="P12" s="40">
        <v>0.49</v>
      </c>
      <c r="Q12" s="40">
        <v>28.63</v>
      </c>
      <c r="R12" s="38"/>
      <c r="S12" s="38"/>
      <c r="T12" s="38"/>
      <c r="U12" s="38"/>
    </row>
    <row r="13" spans="1:21" customFormat="1">
      <c r="A13" s="39" t="s">
        <v>712</v>
      </c>
      <c r="B13" s="40">
        <v>9.69</v>
      </c>
      <c r="C13" s="40">
        <v>10.41</v>
      </c>
      <c r="D13" s="40">
        <v>11.99</v>
      </c>
      <c r="E13" s="40">
        <v>5.99</v>
      </c>
      <c r="F13" s="40">
        <v>4</v>
      </c>
      <c r="G13" s="40">
        <v>10.23</v>
      </c>
      <c r="H13" s="40">
        <v>5.92</v>
      </c>
      <c r="I13" s="40">
        <v>11.05</v>
      </c>
      <c r="J13" s="40">
        <v>4.32</v>
      </c>
      <c r="K13" s="40">
        <v>357.15</v>
      </c>
      <c r="L13" s="40">
        <v>24.35</v>
      </c>
      <c r="M13" s="40">
        <v>87.7</v>
      </c>
      <c r="N13" s="40">
        <v>24</v>
      </c>
      <c r="O13" s="40">
        <v>0</v>
      </c>
      <c r="P13" s="40">
        <v>0.43</v>
      </c>
      <c r="Q13" s="40">
        <v>28.86</v>
      </c>
      <c r="R13" s="38"/>
      <c r="S13" s="38"/>
      <c r="T13" s="38"/>
      <c r="U13" s="38"/>
    </row>
    <row r="14" spans="1:21" customFormat="1">
      <c r="A14" s="39" t="s">
        <v>713</v>
      </c>
      <c r="B14" s="40">
        <v>9.6300000000000008</v>
      </c>
      <c r="C14" s="40">
        <v>11.12</v>
      </c>
      <c r="D14" s="40">
        <v>12.28</v>
      </c>
      <c r="E14" s="40">
        <v>6.35</v>
      </c>
      <c r="F14" s="40">
        <v>3.91</v>
      </c>
      <c r="G14" s="40">
        <v>9.86</v>
      </c>
      <c r="H14" s="40">
        <v>5.16</v>
      </c>
      <c r="I14" s="40">
        <v>10.11</v>
      </c>
      <c r="J14" s="40">
        <v>4.08</v>
      </c>
      <c r="K14" s="40">
        <v>168.19</v>
      </c>
      <c r="L14" s="40">
        <v>24.26</v>
      </c>
      <c r="M14" s="40">
        <v>90.21</v>
      </c>
      <c r="N14" s="40">
        <v>48.8</v>
      </c>
      <c r="O14" s="40">
        <v>0</v>
      </c>
      <c r="P14" s="40">
        <v>0.47</v>
      </c>
      <c r="Q14" s="40">
        <v>28.8</v>
      </c>
      <c r="R14" s="38"/>
      <c r="S14" s="38"/>
      <c r="T14" s="38"/>
      <c r="U14" s="38"/>
    </row>
    <row r="15" spans="1:21" customFormat="1">
      <c r="A15" s="39" t="s">
        <v>714</v>
      </c>
      <c r="B15" s="40">
        <v>10.65</v>
      </c>
      <c r="C15" s="40">
        <v>14.76</v>
      </c>
      <c r="D15" s="40">
        <v>15.26</v>
      </c>
      <c r="E15" s="40">
        <v>6.41</v>
      </c>
      <c r="F15" s="40">
        <v>4.0599999999999996</v>
      </c>
      <c r="G15" s="40">
        <v>14.94</v>
      </c>
      <c r="H15" s="40">
        <v>4.71</v>
      </c>
      <c r="I15" s="40">
        <v>9.7799999999999994</v>
      </c>
      <c r="J15" s="40">
        <v>4.3099999999999996</v>
      </c>
      <c r="K15" s="40">
        <v>126.16</v>
      </c>
      <c r="L15" s="40">
        <v>25.11</v>
      </c>
      <c r="M15" s="40">
        <v>87.99</v>
      </c>
      <c r="N15" s="40">
        <v>130.9</v>
      </c>
      <c r="O15" s="40">
        <v>0</v>
      </c>
      <c r="P15" s="40">
        <v>0.48</v>
      </c>
      <c r="Q15" s="40">
        <v>28.64</v>
      </c>
      <c r="R15" s="38"/>
      <c r="S15" s="38"/>
      <c r="T15" s="38"/>
      <c r="U15" s="38"/>
    </row>
    <row r="16" spans="1:21" customFormat="1">
      <c r="A16" s="39" t="s">
        <v>715</v>
      </c>
      <c r="B16" s="40">
        <v>12.98</v>
      </c>
      <c r="C16" s="40">
        <v>14.15</v>
      </c>
      <c r="D16" s="40">
        <v>15.43</v>
      </c>
      <c r="E16" s="40">
        <v>6.75</v>
      </c>
      <c r="F16" s="40">
        <v>2.58</v>
      </c>
      <c r="G16" s="40">
        <v>30.44</v>
      </c>
      <c r="H16" s="40">
        <v>10.93</v>
      </c>
      <c r="I16" s="40">
        <v>10.17</v>
      </c>
      <c r="J16" s="40">
        <v>3.87</v>
      </c>
      <c r="K16" s="40">
        <v>116.44</v>
      </c>
      <c r="L16" s="40">
        <v>26.18</v>
      </c>
      <c r="M16" s="40">
        <v>80.88</v>
      </c>
      <c r="N16" s="40">
        <v>119.8</v>
      </c>
      <c r="O16" s="40">
        <v>0</v>
      </c>
      <c r="P16" s="40">
        <v>0.56000000000000005</v>
      </c>
      <c r="Q16" s="40">
        <v>28.5</v>
      </c>
      <c r="R16" s="38"/>
      <c r="S16" s="38"/>
      <c r="T16" s="38"/>
      <c r="U16" s="38"/>
    </row>
    <row r="17" spans="1:21" customFormat="1">
      <c r="A17" s="39" t="s">
        <v>716</v>
      </c>
      <c r="B17" s="40">
        <v>13.5</v>
      </c>
      <c r="C17" s="40">
        <v>12.2</v>
      </c>
      <c r="D17" s="40">
        <v>16.21</v>
      </c>
      <c r="E17" s="40">
        <v>6.93</v>
      </c>
      <c r="F17" s="40">
        <v>6.76</v>
      </c>
      <c r="G17" s="40">
        <v>59.23</v>
      </c>
      <c r="H17" s="40">
        <v>22.12</v>
      </c>
      <c r="I17" s="40">
        <v>11.44</v>
      </c>
      <c r="J17" s="40">
        <v>2.7</v>
      </c>
      <c r="K17" s="40">
        <v>340.09</v>
      </c>
      <c r="L17" s="40">
        <v>27.91</v>
      </c>
      <c r="M17" s="40">
        <v>78.819999999999993</v>
      </c>
      <c r="N17" s="40">
        <v>429.2</v>
      </c>
      <c r="O17" s="40">
        <v>0</v>
      </c>
      <c r="P17" s="40">
        <v>0.6</v>
      </c>
      <c r="Q17" s="40">
        <v>28.45</v>
      </c>
      <c r="R17" s="38"/>
      <c r="S17" s="38"/>
      <c r="T17" s="38"/>
      <c r="U17" s="38"/>
    </row>
    <row r="18" spans="1:21" customFormat="1">
      <c r="A18" s="39" t="s">
        <v>717</v>
      </c>
      <c r="B18" s="40">
        <v>11.58</v>
      </c>
      <c r="C18" s="40">
        <v>12</v>
      </c>
      <c r="D18" s="40">
        <v>14.56</v>
      </c>
      <c r="E18" s="40">
        <v>7.65</v>
      </c>
      <c r="F18" s="40">
        <v>7.52</v>
      </c>
      <c r="G18" s="40">
        <v>65.319999999999993</v>
      </c>
      <c r="H18" s="40">
        <v>22.18</v>
      </c>
      <c r="I18" s="40">
        <v>11.12</v>
      </c>
      <c r="J18" s="40">
        <v>2.54</v>
      </c>
      <c r="K18" s="40">
        <v>221.43</v>
      </c>
      <c r="L18" s="40">
        <v>29.17</v>
      </c>
      <c r="M18" s="40">
        <v>68.67</v>
      </c>
      <c r="N18" s="40">
        <v>405.2</v>
      </c>
      <c r="O18" s="40">
        <v>0</v>
      </c>
      <c r="P18" s="40">
        <v>0.57999999999999996</v>
      </c>
      <c r="Q18" s="40">
        <v>28.55</v>
      </c>
      <c r="R18" s="38"/>
      <c r="S18" s="38"/>
      <c r="T18" s="38"/>
      <c r="U18" s="38"/>
    </row>
    <row r="19" spans="1:21" customFormat="1">
      <c r="A19" s="39" t="s">
        <v>718</v>
      </c>
      <c r="B19" s="40">
        <v>9.35</v>
      </c>
      <c r="C19" s="40">
        <v>13.77</v>
      </c>
      <c r="D19" s="40">
        <v>13.7</v>
      </c>
      <c r="E19" s="40">
        <v>7.18</v>
      </c>
      <c r="F19" s="40">
        <v>6.74</v>
      </c>
      <c r="G19" s="40">
        <v>56.74</v>
      </c>
      <c r="H19" s="40">
        <v>16.62</v>
      </c>
      <c r="I19" s="40">
        <v>11.07</v>
      </c>
      <c r="J19" s="40">
        <v>2.56</v>
      </c>
      <c r="K19" s="40">
        <v>223.38</v>
      </c>
      <c r="L19" s="40">
        <v>30.26</v>
      </c>
      <c r="M19" s="40">
        <v>64.84</v>
      </c>
      <c r="N19" s="40">
        <v>606.70000000000005</v>
      </c>
      <c r="O19" s="40">
        <v>0</v>
      </c>
      <c r="P19" s="40">
        <v>0.57999999999999996</v>
      </c>
      <c r="Q19" s="40">
        <v>28.92</v>
      </c>
      <c r="R19" s="38"/>
      <c r="S19" s="38"/>
      <c r="T19" s="38"/>
      <c r="U19" s="38"/>
    </row>
    <row r="20" spans="1:21" customFormat="1">
      <c r="A20" s="39" t="s">
        <v>719</v>
      </c>
      <c r="B20" s="40">
        <v>7.3</v>
      </c>
      <c r="C20" s="40">
        <v>9.91</v>
      </c>
      <c r="D20" s="40">
        <v>10.029999999999999</v>
      </c>
      <c r="E20" s="40">
        <v>5.82</v>
      </c>
      <c r="F20" s="40">
        <v>10.19</v>
      </c>
      <c r="G20" s="40">
        <v>44.48</v>
      </c>
      <c r="H20" s="40">
        <v>13.22</v>
      </c>
      <c r="I20" s="40">
        <v>10.53</v>
      </c>
      <c r="J20" s="40">
        <v>5.44</v>
      </c>
      <c r="K20" s="40">
        <v>213.71</v>
      </c>
      <c r="L20" s="40">
        <v>30.02</v>
      </c>
      <c r="M20" s="40">
        <v>73.75</v>
      </c>
      <c r="N20" s="40">
        <v>257.39999999999998</v>
      </c>
      <c r="O20" s="40">
        <v>0</v>
      </c>
      <c r="P20" s="40">
        <v>0.47</v>
      </c>
      <c r="Q20" s="40">
        <v>29.11</v>
      </c>
      <c r="R20" s="38"/>
      <c r="S20" s="38"/>
      <c r="T20" s="38"/>
      <c r="U20" s="38"/>
    </row>
    <row r="21" spans="1:21" customFormat="1">
      <c r="A21" s="39" t="s">
        <v>720</v>
      </c>
      <c r="B21" s="40">
        <v>5.15</v>
      </c>
      <c r="C21" s="40">
        <v>9.32</v>
      </c>
      <c r="D21" s="40">
        <v>8</v>
      </c>
      <c r="E21" s="40">
        <v>5.44</v>
      </c>
      <c r="F21" s="40">
        <v>13.67</v>
      </c>
      <c r="G21" s="40">
        <v>30.71</v>
      </c>
      <c r="H21" s="40">
        <v>10.85</v>
      </c>
      <c r="I21" s="40">
        <v>9.52</v>
      </c>
      <c r="J21" s="40">
        <v>5.49</v>
      </c>
      <c r="K21" s="40">
        <v>221.09</v>
      </c>
      <c r="L21" s="40">
        <v>30.42</v>
      </c>
      <c r="M21" s="40">
        <v>71.73</v>
      </c>
      <c r="N21" s="40">
        <v>385.8</v>
      </c>
      <c r="O21" s="40">
        <v>0</v>
      </c>
      <c r="P21" s="40">
        <v>0.44</v>
      </c>
      <c r="Q21" s="40">
        <v>29.16</v>
      </c>
      <c r="R21" s="38"/>
      <c r="S21" s="38"/>
      <c r="T21" s="38"/>
      <c r="U21" s="38"/>
    </row>
    <row r="22" spans="1:21" customFormat="1">
      <c r="A22" s="39" t="s">
        <v>721</v>
      </c>
      <c r="B22" s="40">
        <v>3.52</v>
      </c>
      <c r="C22" s="40">
        <v>10.75</v>
      </c>
      <c r="D22" s="40">
        <v>7.4</v>
      </c>
      <c r="E22" s="40">
        <v>5.82</v>
      </c>
      <c r="F22" s="40">
        <v>10.76</v>
      </c>
      <c r="G22" s="40">
        <v>23.09</v>
      </c>
      <c r="H22" s="40">
        <v>12.6</v>
      </c>
      <c r="I22" s="40">
        <v>8.7799999999999994</v>
      </c>
      <c r="J22" s="40">
        <v>3.02</v>
      </c>
      <c r="K22" s="40">
        <v>355.72</v>
      </c>
      <c r="L22" s="40">
        <v>32.44</v>
      </c>
      <c r="M22" s="40">
        <v>59.35</v>
      </c>
      <c r="N22" s="40">
        <v>895.2</v>
      </c>
      <c r="O22" s="40">
        <v>0</v>
      </c>
      <c r="P22" s="40">
        <v>0.43</v>
      </c>
      <c r="Q22" s="40">
        <v>29.37</v>
      </c>
      <c r="R22" s="38"/>
      <c r="S22" s="38"/>
      <c r="T22" s="38"/>
      <c r="U22" s="38"/>
    </row>
    <row r="23" spans="1:21" customFormat="1">
      <c r="A23" s="39" t="s">
        <v>722</v>
      </c>
      <c r="B23" s="40">
        <v>3.24</v>
      </c>
      <c r="C23" s="40">
        <v>9.3699999999999992</v>
      </c>
      <c r="D23" s="40">
        <v>6.14</v>
      </c>
      <c r="E23" s="40">
        <v>6.52</v>
      </c>
      <c r="F23" s="40">
        <v>21.42</v>
      </c>
      <c r="G23" s="40">
        <v>28.18</v>
      </c>
      <c r="H23" s="40">
        <v>13.38</v>
      </c>
      <c r="I23" s="40">
        <v>8.86</v>
      </c>
      <c r="J23" s="40">
        <v>4.25</v>
      </c>
      <c r="K23" s="40">
        <v>359.79</v>
      </c>
      <c r="L23" s="40">
        <v>32.79</v>
      </c>
      <c r="M23" s="40">
        <v>57.47</v>
      </c>
      <c r="N23" s="40">
        <v>704.8</v>
      </c>
      <c r="O23" s="40">
        <v>0</v>
      </c>
      <c r="P23" s="40">
        <v>0.43</v>
      </c>
      <c r="Q23" s="40">
        <v>29.37</v>
      </c>
      <c r="R23" s="38"/>
      <c r="S23" s="38"/>
      <c r="T23" s="38"/>
      <c r="U23" s="38"/>
    </row>
    <row r="24" spans="1:21" customFormat="1">
      <c r="A24" s="39" t="s">
        <v>723</v>
      </c>
      <c r="B24" s="40">
        <v>2.91</v>
      </c>
      <c r="C24" s="40">
        <v>10.51</v>
      </c>
      <c r="D24" s="40">
        <v>6.75</v>
      </c>
      <c r="E24" s="40">
        <v>6.41</v>
      </c>
      <c r="F24" s="40">
        <v>13.05</v>
      </c>
      <c r="G24" s="40">
        <v>33.4</v>
      </c>
      <c r="H24" s="40">
        <v>15.25</v>
      </c>
      <c r="I24" s="40">
        <v>8.7100000000000009</v>
      </c>
      <c r="J24" s="40">
        <v>3.87</v>
      </c>
      <c r="K24" s="40">
        <v>198.12</v>
      </c>
      <c r="L24" s="40">
        <v>30.8</v>
      </c>
      <c r="M24" s="40">
        <v>61.19</v>
      </c>
      <c r="N24" s="40">
        <v>450</v>
      </c>
      <c r="O24" s="40">
        <v>0</v>
      </c>
      <c r="P24" s="40">
        <v>0.44</v>
      </c>
      <c r="Q24" s="40">
        <v>29.24</v>
      </c>
      <c r="R24" s="38"/>
      <c r="S24" s="38"/>
      <c r="T24" s="38"/>
      <c r="U24" s="38"/>
    </row>
    <row r="25" spans="1:21" customFormat="1">
      <c r="A25" s="39" t="s">
        <v>724</v>
      </c>
      <c r="B25" s="40">
        <v>2.75</v>
      </c>
      <c r="C25" s="40">
        <v>11.08</v>
      </c>
      <c r="D25" s="40">
        <v>6.83</v>
      </c>
      <c r="E25" s="40">
        <v>6.02</v>
      </c>
      <c r="F25" s="40">
        <v>14.67</v>
      </c>
      <c r="G25" s="40">
        <v>33.92</v>
      </c>
      <c r="H25" s="40">
        <v>19.13</v>
      </c>
      <c r="I25" s="40">
        <v>8.4700000000000006</v>
      </c>
      <c r="J25" s="40">
        <v>3.93</v>
      </c>
      <c r="K25" s="40">
        <v>206.07</v>
      </c>
      <c r="L25" s="40">
        <v>30.01</v>
      </c>
      <c r="M25" s="40">
        <v>66.73</v>
      </c>
      <c r="N25" s="40">
        <v>118.3</v>
      </c>
      <c r="O25" s="40">
        <v>0</v>
      </c>
      <c r="P25" s="40">
        <v>0.42</v>
      </c>
      <c r="Q25" s="40">
        <v>29.22</v>
      </c>
      <c r="R25" s="38"/>
      <c r="S25" s="38"/>
      <c r="T25" s="38"/>
      <c r="U25" s="38"/>
    </row>
    <row r="26" spans="1:21" customFormat="1">
      <c r="A26" s="39" t="s">
        <v>725</v>
      </c>
      <c r="B26" s="40">
        <v>2.76</v>
      </c>
      <c r="C26" s="40">
        <v>9.07</v>
      </c>
      <c r="D26" s="40">
        <v>5.86</v>
      </c>
      <c r="E26" s="40">
        <v>7</v>
      </c>
      <c r="F26" s="40">
        <v>10.46</v>
      </c>
      <c r="G26" s="40">
        <v>30.45</v>
      </c>
      <c r="H26" s="40">
        <v>15.53</v>
      </c>
      <c r="I26" s="40">
        <v>8.66</v>
      </c>
      <c r="J26" s="40">
        <v>3.63</v>
      </c>
      <c r="K26" s="40">
        <v>218.75</v>
      </c>
      <c r="L26" s="40">
        <v>28.25</v>
      </c>
      <c r="M26" s="40">
        <v>71.599999999999994</v>
      </c>
      <c r="N26" s="40">
        <v>67</v>
      </c>
      <c r="O26" s="40">
        <v>0</v>
      </c>
      <c r="P26" s="40">
        <v>0.44</v>
      </c>
      <c r="Q26" s="40">
        <v>29.46</v>
      </c>
      <c r="R26" s="38"/>
      <c r="S26" s="38"/>
      <c r="T26" s="38"/>
      <c r="U26" s="38"/>
    </row>
    <row r="27" spans="1:21" customFormat="1">
      <c r="A27" s="39" t="s">
        <v>726</v>
      </c>
      <c r="B27" s="40">
        <v>3.08</v>
      </c>
      <c r="C27" s="40">
        <v>9.84</v>
      </c>
      <c r="D27" s="40">
        <v>6.61</v>
      </c>
      <c r="E27" s="40">
        <v>6.64</v>
      </c>
      <c r="F27" s="40">
        <v>12.16</v>
      </c>
      <c r="G27" s="40">
        <v>26.9</v>
      </c>
      <c r="H27" s="40">
        <v>11.32</v>
      </c>
      <c r="I27" s="40">
        <v>8.27</v>
      </c>
      <c r="J27" s="40">
        <v>4.05</v>
      </c>
      <c r="K27" s="40">
        <v>168.03</v>
      </c>
      <c r="L27" s="40">
        <v>27.67</v>
      </c>
      <c r="M27" s="40">
        <v>67.95</v>
      </c>
      <c r="N27" s="40">
        <v>40.299999999999997</v>
      </c>
      <c r="O27" s="40">
        <v>0</v>
      </c>
      <c r="P27" s="40">
        <v>0.44</v>
      </c>
      <c r="Q27" s="40">
        <v>29.39</v>
      </c>
      <c r="R27" s="38"/>
      <c r="S27" s="38"/>
      <c r="T27" s="38"/>
      <c r="U27" s="38"/>
    </row>
    <row r="28" spans="1:21" customFormat="1">
      <c r="A28" s="39" t="s">
        <v>727</v>
      </c>
      <c r="B28" s="40">
        <v>4.09</v>
      </c>
      <c r="C28" s="40">
        <v>11.58</v>
      </c>
      <c r="D28" s="40">
        <v>8.24</v>
      </c>
      <c r="E28" s="40">
        <v>7.68</v>
      </c>
      <c r="F28" s="40">
        <v>9.39</v>
      </c>
      <c r="G28" s="40">
        <v>22</v>
      </c>
      <c r="H28" s="40">
        <v>7.93</v>
      </c>
      <c r="I28" s="40">
        <v>9.4</v>
      </c>
      <c r="J28" s="40">
        <v>4.03</v>
      </c>
      <c r="K28" s="40">
        <v>130.55000000000001</v>
      </c>
      <c r="L28" s="40">
        <v>27.09</v>
      </c>
      <c r="M28" s="40">
        <v>74.12</v>
      </c>
      <c r="N28" s="40">
        <v>23.3</v>
      </c>
      <c r="O28" s="40">
        <v>0</v>
      </c>
      <c r="P28" s="40">
        <v>0.54</v>
      </c>
      <c r="Q28" s="40">
        <v>29.19</v>
      </c>
      <c r="R28" s="38"/>
      <c r="S28" s="38"/>
      <c r="T28" s="38"/>
      <c r="U28" s="38"/>
    </row>
    <row r="29" spans="1:21" customFormat="1">
      <c r="A29" s="39" t="s">
        <v>728</v>
      </c>
      <c r="B29" s="40">
        <v>4.13</v>
      </c>
      <c r="C29" s="40">
        <v>12.48</v>
      </c>
      <c r="D29" s="40">
        <v>8.61</v>
      </c>
      <c r="E29" s="40">
        <v>7.58</v>
      </c>
      <c r="F29" s="40">
        <v>7.93</v>
      </c>
      <c r="G29" s="40">
        <v>24.4</v>
      </c>
      <c r="H29" s="40">
        <v>8.76</v>
      </c>
      <c r="I29" s="40">
        <v>10.1</v>
      </c>
      <c r="J29" s="40">
        <v>3.91</v>
      </c>
      <c r="K29" s="40">
        <v>156.16</v>
      </c>
      <c r="L29" s="40">
        <v>27.76</v>
      </c>
      <c r="M29" s="40">
        <v>73.510000000000005</v>
      </c>
      <c r="N29" s="40">
        <v>23.2</v>
      </c>
      <c r="O29" s="40">
        <v>0</v>
      </c>
      <c r="P29" s="40">
        <v>0.54</v>
      </c>
      <c r="Q29" s="40">
        <v>29.32</v>
      </c>
      <c r="R29" s="38"/>
      <c r="S29" s="38"/>
      <c r="T29" s="38"/>
      <c r="U29" s="38"/>
    </row>
    <row r="30" spans="1:21" customFormat="1">
      <c r="A30" s="39" t="s">
        <v>729</v>
      </c>
      <c r="B30" s="40">
        <v>4.59</v>
      </c>
      <c r="C30" s="40">
        <v>11.38</v>
      </c>
      <c r="D30" s="40">
        <v>8.6300000000000008</v>
      </c>
      <c r="E30" s="40">
        <v>7.51</v>
      </c>
      <c r="F30" s="40">
        <v>8.58</v>
      </c>
      <c r="G30" s="40">
        <v>28.7</v>
      </c>
      <c r="H30" s="40">
        <v>13.05</v>
      </c>
      <c r="I30" s="40">
        <v>11.08</v>
      </c>
      <c r="J30" s="40">
        <v>3.57</v>
      </c>
      <c r="K30" s="40">
        <v>185.6</v>
      </c>
      <c r="L30" s="40">
        <v>27.52</v>
      </c>
      <c r="M30" s="40">
        <v>73.13</v>
      </c>
      <c r="N30" s="40">
        <v>23.3</v>
      </c>
      <c r="O30" s="40">
        <v>0</v>
      </c>
      <c r="P30" s="40">
        <v>0.59</v>
      </c>
      <c r="Q30" s="40">
        <v>29.21</v>
      </c>
      <c r="R30" s="38"/>
      <c r="S30" s="38"/>
      <c r="T30" s="38"/>
      <c r="U30" s="38"/>
    </row>
    <row r="31" spans="1:21" customFormat="1">
      <c r="A31" s="39" t="s">
        <v>730</v>
      </c>
      <c r="B31" s="40">
        <v>5.73</v>
      </c>
      <c r="C31" s="40">
        <v>11.39</v>
      </c>
      <c r="D31" s="40">
        <v>9.18</v>
      </c>
      <c r="E31" s="40">
        <v>7.14</v>
      </c>
      <c r="F31" s="40">
        <v>6.56</v>
      </c>
      <c r="G31" s="40">
        <v>30.73</v>
      </c>
      <c r="H31" s="40">
        <v>12.12</v>
      </c>
      <c r="I31" s="40">
        <v>11.4</v>
      </c>
      <c r="J31" s="40">
        <v>4.8499999999999996</v>
      </c>
      <c r="K31" s="40">
        <v>269.07</v>
      </c>
      <c r="L31" s="40">
        <v>27.03</v>
      </c>
      <c r="M31" s="40">
        <v>80.540000000000006</v>
      </c>
      <c r="N31" s="40">
        <v>23.6</v>
      </c>
      <c r="O31" s="40">
        <v>0</v>
      </c>
      <c r="P31" s="40">
        <v>0.57999999999999996</v>
      </c>
      <c r="Q31" s="40">
        <v>29.09</v>
      </c>
      <c r="R31" s="38"/>
      <c r="S31" s="38"/>
      <c r="T31" s="38"/>
      <c r="U31" s="38"/>
    </row>
    <row r="32" spans="1:21" customFormat="1">
      <c r="A32" s="39" t="s">
        <v>731</v>
      </c>
      <c r="B32" s="40">
        <v>6.23</v>
      </c>
      <c r="C32" s="40">
        <v>11.73</v>
      </c>
      <c r="D32" s="40">
        <v>10.029999999999999</v>
      </c>
      <c r="E32" s="40">
        <v>6.89</v>
      </c>
      <c r="F32" s="40">
        <v>4.1399999999999997</v>
      </c>
      <c r="G32" s="40">
        <v>28</v>
      </c>
      <c r="H32" s="40">
        <v>15.43</v>
      </c>
      <c r="I32" s="40">
        <v>10.7</v>
      </c>
      <c r="J32" s="40">
        <v>4.2</v>
      </c>
      <c r="K32" s="40">
        <v>235.06</v>
      </c>
      <c r="L32" s="40">
        <v>26.45</v>
      </c>
      <c r="M32" s="40">
        <v>79.569999999999993</v>
      </c>
      <c r="N32" s="40">
        <v>23.2</v>
      </c>
      <c r="O32" s="40">
        <v>0</v>
      </c>
      <c r="P32" s="40">
        <v>0.52</v>
      </c>
      <c r="Q32" s="40">
        <v>29.12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2.75</v>
      </c>
      <c r="C34" s="18">
        <f t="shared" si="0"/>
        <v>9.07</v>
      </c>
      <c r="D34" s="18">
        <f t="shared" si="0"/>
        <v>5.86</v>
      </c>
      <c r="E34" s="18">
        <f t="shared" si="0"/>
        <v>5.44</v>
      </c>
      <c r="F34" s="18">
        <f t="shared" si="0"/>
        <v>2.58</v>
      </c>
      <c r="G34" s="18">
        <f t="shared" si="0"/>
        <v>9.86</v>
      </c>
      <c r="H34" s="18">
        <f t="shared" si="0"/>
        <v>4.71</v>
      </c>
      <c r="I34" s="18">
        <f t="shared" si="0"/>
        <v>8.27</v>
      </c>
      <c r="J34" s="18">
        <f t="shared" si="0"/>
        <v>2.54</v>
      </c>
      <c r="K34" s="18">
        <f t="shared" si="0"/>
        <v>116.44</v>
      </c>
      <c r="L34" s="18">
        <f t="shared" si="0"/>
        <v>24.26</v>
      </c>
      <c r="M34" s="18">
        <f t="shared" si="0"/>
        <v>57.47</v>
      </c>
      <c r="N34" s="18">
        <f t="shared" si="0"/>
        <v>23.2</v>
      </c>
      <c r="O34" s="18">
        <f t="shared" si="0"/>
        <v>0</v>
      </c>
      <c r="P34" s="18">
        <f t="shared" si="0"/>
        <v>0.42</v>
      </c>
      <c r="Q34" s="18">
        <f t="shared" si="0"/>
        <v>28.45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14.31</v>
      </c>
      <c r="C35" s="3">
        <f t="shared" si="1"/>
        <v>14.76</v>
      </c>
      <c r="D35" s="3">
        <f t="shared" si="1"/>
        <v>17.04</v>
      </c>
      <c r="E35" s="3">
        <f t="shared" si="1"/>
        <v>7.68</v>
      </c>
      <c r="F35" s="3">
        <f t="shared" si="1"/>
        <v>21.42</v>
      </c>
      <c r="G35" s="3">
        <f t="shared" si="1"/>
        <v>65.319999999999993</v>
      </c>
      <c r="H35" s="3">
        <f t="shared" si="1"/>
        <v>22.18</v>
      </c>
      <c r="I35" s="3">
        <f t="shared" si="1"/>
        <v>17.100000000000001</v>
      </c>
      <c r="J35" s="3">
        <f t="shared" si="1"/>
        <v>5.49</v>
      </c>
      <c r="K35" s="3">
        <f t="shared" si="1"/>
        <v>359.79</v>
      </c>
      <c r="L35" s="3">
        <f t="shared" si="1"/>
        <v>32.79</v>
      </c>
      <c r="M35" s="3">
        <f t="shared" si="1"/>
        <v>90.21</v>
      </c>
      <c r="N35" s="3">
        <f t="shared" si="1"/>
        <v>895.2</v>
      </c>
      <c r="O35" s="3">
        <f t="shared" si="1"/>
        <v>0.2</v>
      </c>
      <c r="P35" s="3">
        <f t="shared" si="1"/>
        <v>0.8</v>
      </c>
      <c r="Q35" s="3">
        <f t="shared" si="1"/>
        <v>29.46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7.4429166666666662</v>
      </c>
      <c r="C36" s="18">
        <f t="shared" si="2"/>
        <v>11.499166666666667</v>
      </c>
      <c r="D36" s="18">
        <f t="shared" si="2"/>
        <v>10.786250000000001</v>
      </c>
      <c r="E36" s="18">
        <f t="shared" si="2"/>
        <v>6.6179166666666651</v>
      </c>
      <c r="F36" s="18">
        <f t="shared" si="2"/>
        <v>8.2125000000000004</v>
      </c>
      <c r="G36" s="18">
        <f t="shared" si="2"/>
        <v>31.967916666666667</v>
      </c>
      <c r="H36" s="18">
        <f t="shared" si="2"/>
        <v>12.564166666666667</v>
      </c>
      <c r="I36" s="18">
        <f t="shared" si="2"/>
        <v>10.722916666666668</v>
      </c>
      <c r="J36" s="18">
        <f t="shared" si="2"/>
        <v>3.9437499999999996</v>
      </c>
      <c r="K36" s="18">
        <f t="shared" si="2"/>
        <v>229.03208333333336</v>
      </c>
      <c r="L36" s="18">
        <f t="shared" si="2"/>
        <v>27.723749999999999</v>
      </c>
      <c r="M36" s="18">
        <f t="shared" si="2"/>
        <v>75.118333333333311</v>
      </c>
      <c r="N36" s="18">
        <f t="shared" si="2"/>
        <v>203.9916666666667</v>
      </c>
      <c r="O36" s="18">
        <f t="shared" si="2"/>
        <v>8.3333333333333332E-3</v>
      </c>
      <c r="P36" s="18">
        <f t="shared" si="2"/>
        <v>0.52041666666666653</v>
      </c>
      <c r="Q36" s="18">
        <f t="shared" si="2"/>
        <v>28.973333333333343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3.872810999291326</v>
      </c>
      <c r="C37" s="18">
        <f t="shared" ref="C37:Q37" si="3">STDEV(C9:C32)</f>
        <v>1.6183215047553461</v>
      </c>
      <c r="D37" s="18">
        <f t="shared" si="3"/>
        <v>3.5633262581104068</v>
      </c>
      <c r="E37" s="18">
        <f t="shared" si="3"/>
        <v>0.62731296652549307</v>
      </c>
      <c r="F37" s="18">
        <f t="shared" si="3"/>
        <v>4.4892482666923241</v>
      </c>
      <c r="G37" s="18">
        <f t="shared" si="3"/>
        <v>15.298435833420196</v>
      </c>
      <c r="H37" s="18">
        <f t="shared" si="3"/>
        <v>4.6653327544929644</v>
      </c>
      <c r="I37" s="18">
        <f t="shared" si="3"/>
        <v>2.1519060896889903</v>
      </c>
      <c r="J37" s="18">
        <f t="shared" si="3"/>
        <v>0.76257465778483213</v>
      </c>
      <c r="K37" s="18">
        <f t="shared" si="3"/>
        <v>72.675788503472319</v>
      </c>
      <c r="L37" s="18">
        <f t="shared" si="3"/>
        <v>2.5679340579709122</v>
      </c>
      <c r="M37" s="18">
        <f t="shared" si="3"/>
        <v>9.3491197756641533</v>
      </c>
      <c r="N37" s="18">
        <f t="shared" si="3"/>
        <v>254.78645093432687</v>
      </c>
      <c r="O37" s="18">
        <f t="shared" si="3"/>
        <v>4.0824829046386311E-2</v>
      </c>
      <c r="P37" s="18">
        <f t="shared" si="3"/>
        <v>9.2382906694233796E-2</v>
      </c>
      <c r="Q37" s="18">
        <f t="shared" si="3"/>
        <v>0.33514003129991848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732</v>
      </c>
      <c r="B9" s="40">
        <v>6.95</v>
      </c>
      <c r="C9" s="40">
        <v>8.99</v>
      </c>
      <c r="D9" s="40">
        <v>9.27</v>
      </c>
      <c r="E9" s="40">
        <v>6.34</v>
      </c>
      <c r="F9" s="40">
        <v>5.92</v>
      </c>
      <c r="G9" s="40">
        <v>28.16</v>
      </c>
      <c r="H9" s="40">
        <v>11.41</v>
      </c>
      <c r="I9" s="40">
        <v>10.53</v>
      </c>
      <c r="J9" s="40">
        <v>4.32</v>
      </c>
      <c r="K9" s="40">
        <v>230.57</v>
      </c>
      <c r="L9" s="40">
        <v>26.37</v>
      </c>
      <c r="M9" s="40">
        <v>80.61</v>
      </c>
      <c r="N9" s="40">
        <v>23.6</v>
      </c>
      <c r="O9" s="40">
        <v>0</v>
      </c>
      <c r="P9" s="40">
        <v>0.49</v>
      </c>
      <c r="Q9" s="40">
        <v>29.2</v>
      </c>
      <c r="R9" s="38"/>
      <c r="S9" s="38"/>
      <c r="T9" s="38"/>
      <c r="U9" s="38"/>
    </row>
    <row r="10" spans="1:21" customFormat="1">
      <c r="A10" s="39" t="s">
        <v>733</v>
      </c>
      <c r="B10" s="40">
        <v>6.88</v>
      </c>
      <c r="C10" s="40">
        <v>9.82</v>
      </c>
      <c r="D10" s="40">
        <v>9.6199999999999992</v>
      </c>
      <c r="E10" s="40">
        <v>6.16</v>
      </c>
      <c r="F10" s="40">
        <v>5.82</v>
      </c>
      <c r="G10" s="40">
        <v>21.81</v>
      </c>
      <c r="H10" s="40">
        <v>11.59</v>
      </c>
      <c r="I10" s="40">
        <v>10.18</v>
      </c>
      <c r="J10" s="40">
        <v>3.79</v>
      </c>
      <c r="K10" s="40">
        <v>198.25</v>
      </c>
      <c r="L10" s="40">
        <v>25.73</v>
      </c>
      <c r="M10" s="40">
        <v>83.6</v>
      </c>
      <c r="N10" s="40">
        <v>23.6</v>
      </c>
      <c r="O10" s="40">
        <v>0</v>
      </c>
      <c r="P10" s="40">
        <v>0.47</v>
      </c>
      <c r="Q10" s="40">
        <v>29.04</v>
      </c>
      <c r="R10" s="38"/>
      <c r="S10" s="38"/>
      <c r="T10" s="38"/>
      <c r="U10" s="38"/>
    </row>
    <row r="11" spans="1:21" customFormat="1">
      <c r="A11" s="39" t="s">
        <v>734</v>
      </c>
      <c r="B11" s="40">
        <v>9.6999999999999993</v>
      </c>
      <c r="C11" s="40">
        <v>10.44</v>
      </c>
      <c r="D11" s="40">
        <v>11.71</v>
      </c>
      <c r="E11" s="40">
        <v>6.34</v>
      </c>
      <c r="F11" s="40">
        <v>6.07</v>
      </c>
      <c r="G11" s="40">
        <v>18.79</v>
      </c>
      <c r="H11" s="40">
        <v>12.11</v>
      </c>
      <c r="I11" s="40">
        <v>9.44</v>
      </c>
      <c r="J11" s="40">
        <v>2.42</v>
      </c>
      <c r="K11" s="40">
        <v>244.17</v>
      </c>
      <c r="L11" s="40">
        <v>25.48</v>
      </c>
      <c r="M11" s="40">
        <v>84.37</v>
      </c>
      <c r="N11" s="40">
        <v>23.3</v>
      </c>
      <c r="O11" s="40">
        <v>0</v>
      </c>
      <c r="P11" s="40">
        <v>0.45</v>
      </c>
      <c r="Q11" s="40">
        <v>29.04</v>
      </c>
      <c r="R11" s="38"/>
      <c r="S11" s="38"/>
      <c r="T11" s="38"/>
      <c r="U11" s="38"/>
    </row>
    <row r="12" spans="1:21" customFormat="1">
      <c r="A12" s="39" t="s">
        <v>735</v>
      </c>
      <c r="B12" s="40">
        <v>7.96</v>
      </c>
      <c r="C12" s="40">
        <v>9.16</v>
      </c>
      <c r="D12" s="40">
        <v>10.17</v>
      </c>
      <c r="E12" s="40">
        <v>6.33</v>
      </c>
      <c r="F12" s="40">
        <v>4.16</v>
      </c>
      <c r="G12" s="40">
        <v>17.12</v>
      </c>
      <c r="H12" s="40">
        <v>8.58</v>
      </c>
      <c r="I12" s="40">
        <v>9.33</v>
      </c>
      <c r="J12" s="40">
        <v>3.98</v>
      </c>
      <c r="K12" s="40">
        <v>141.83000000000001</v>
      </c>
      <c r="L12" s="40">
        <v>25.54</v>
      </c>
      <c r="M12" s="40">
        <v>82.83</v>
      </c>
      <c r="N12" s="40">
        <v>23.2</v>
      </c>
      <c r="O12" s="40">
        <v>0</v>
      </c>
      <c r="P12" s="40">
        <v>0.42</v>
      </c>
      <c r="Q12" s="40">
        <v>29.07</v>
      </c>
      <c r="R12" s="38"/>
      <c r="S12" s="38"/>
      <c r="T12" s="38"/>
      <c r="U12" s="38"/>
    </row>
    <row r="13" spans="1:21" customFormat="1">
      <c r="A13" s="39" t="s">
        <v>736</v>
      </c>
      <c r="B13" s="40">
        <v>8.0399999999999991</v>
      </c>
      <c r="C13" s="40">
        <v>11.12</v>
      </c>
      <c r="D13" s="40">
        <v>11.26</v>
      </c>
      <c r="E13" s="40">
        <v>6.29</v>
      </c>
      <c r="F13" s="40">
        <v>4.26</v>
      </c>
      <c r="G13" s="40">
        <v>16.63</v>
      </c>
      <c r="H13" s="40">
        <v>8.61</v>
      </c>
      <c r="I13" s="40">
        <v>8.77</v>
      </c>
      <c r="J13" s="40">
        <v>3.76</v>
      </c>
      <c r="K13" s="40">
        <v>151.72</v>
      </c>
      <c r="L13" s="40">
        <v>25.46</v>
      </c>
      <c r="M13" s="40">
        <v>82.62</v>
      </c>
      <c r="N13" s="40">
        <v>23.6</v>
      </c>
      <c r="O13" s="40">
        <v>0</v>
      </c>
      <c r="P13" s="40">
        <v>0.39</v>
      </c>
      <c r="Q13" s="40">
        <v>28.91</v>
      </c>
      <c r="R13" s="38"/>
      <c r="S13" s="38"/>
      <c r="T13" s="38"/>
      <c r="U13" s="38"/>
    </row>
    <row r="14" spans="1:21" customFormat="1">
      <c r="A14" s="39" t="s">
        <v>737</v>
      </c>
      <c r="B14" s="40">
        <v>10.02</v>
      </c>
      <c r="C14" s="40">
        <v>11.82</v>
      </c>
      <c r="D14" s="40">
        <v>13.07</v>
      </c>
      <c r="E14" s="40">
        <v>5.72</v>
      </c>
      <c r="F14" s="40">
        <v>3.9</v>
      </c>
      <c r="G14" s="40">
        <v>26.32</v>
      </c>
      <c r="H14" s="40">
        <v>8.32</v>
      </c>
      <c r="I14" s="40">
        <v>9.98</v>
      </c>
      <c r="J14" s="40">
        <v>3.75</v>
      </c>
      <c r="K14" s="40">
        <v>127.21</v>
      </c>
      <c r="L14" s="40">
        <v>25.42</v>
      </c>
      <c r="M14" s="40">
        <v>92.5</v>
      </c>
      <c r="N14" s="40">
        <v>36.5</v>
      </c>
      <c r="O14" s="40">
        <v>0.6</v>
      </c>
      <c r="P14" s="40">
        <v>0.43</v>
      </c>
      <c r="Q14" s="40">
        <v>28.71</v>
      </c>
      <c r="R14" s="38"/>
      <c r="S14" s="38"/>
      <c r="T14" s="38"/>
      <c r="U14" s="38"/>
    </row>
    <row r="15" spans="1:21" customFormat="1">
      <c r="A15" s="39" t="s">
        <v>738</v>
      </c>
      <c r="B15" s="40">
        <v>12.6</v>
      </c>
      <c r="C15" s="40">
        <v>11.08</v>
      </c>
      <c r="D15" s="40">
        <v>13.7</v>
      </c>
      <c r="E15" s="40">
        <v>6.96</v>
      </c>
      <c r="F15" s="40">
        <v>2.83</v>
      </c>
      <c r="G15" s="40">
        <v>46.23</v>
      </c>
      <c r="H15" s="40">
        <v>12.1</v>
      </c>
      <c r="I15" s="40">
        <v>11.1</v>
      </c>
      <c r="J15" s="40">
        <v>3.69</v>
      </c>
      <c r="K15" s="40">
        <v>130.88</v>
      </c>
      <c r="L15" s="40">
        <v>25.67</v>
      </c>
      <c r="M15" s="40">
        <v>93.61</v>
      </c>
      <c r="N15" s="40">
        <v>110.9</v>
      </c>
      <c r="O15" s="40">
        <v>0</v>
      </c>
      <c r="P15" s="40">
        <v>0.51</v>
      </c>
      <c r="Q15" s="40">
        <v>28.69</v>
      </c>
      <c r="R15" s="38"/>
      <c r="S15" s="38"/>
      <c r="T15" s="38"/>
      <c r="U15" s="38"/>
    </row>
    <row r="16" spans="1:21" customFormat="1">
      <c r="A16" s="39" t="s">
        <v>739</v>
      </c>
      <c r="B16" s="40">
        <v>15.32</v>
      </c>
      <c r="C16" s="40">
        <v>12.46</v>
      </c>
      <c r="D16" s="40">
        <v>17.8</v>
      </c>
      <c r="E16" s="40">
        <v>6.88</v>
      </c>
      <c r="F16" s="40">
        <v>4.0599999999999996</v>
      </c>
      <c r="G16" s="40">
        <v>65.3</v>
      </c>
      <c r="H16" s="40">
        <v>21.06</v>
      </c>
      <c r="I16" s="40">
        <v>13.58</v>
      </c>
      <c r="J16" s="40">
        <v>3.09</v>
      </c>
      <c r="K16" s="40">
        <v>148.26</v>
      </c>
      <c r="L16" s="40">
        <v>27.18</v>
      </c>
      <c r="M16" s="40">
        <v>85.23</v>
      </c>
      <c r="N16" s="40">
        <v>166.6</v>
      </c>
      <c r="O16" s="40">
        <v>0</v>
      </c>
      <c r="P16" s="40">
        <v>0.71</v>
      </c>
      <c r="Q16" s="40">
        <v>28.61</v>
      </c>
      <c r="R16" s="38"/>
      <c r="S16" s="38"/>
      <c r="T16" s="38"/>
      <c r="U16" s="38"/>
    </row>
    <row r="17" spans="1:21" customFormat="1">
      <c r="A17" s="39" t="s">
        <v>740</v>
      </c>
      <c r="B17" s="40">
        <v>13.13</v>
      </c>
      <c r="C17" s="40">
        <v>11.64</v>
      </c>
      <c r="D17" s="40">
        <v>15.62</v>
      </c>
      <c r="E17" s="40">
        <v>6.5</v>
      </c>
      <c r="F17" s="40">
        <v>8.1300000000000008</v>
      </c>
      <c r="G17" s="40">
        <v>86.47</v>
      </c>
      <c r="H17" s="40">
        <v>29.41</v>
      </c>
      <c r="I17" s="40">
        <v>14.65</v>
      </c>
      <c r="J17" s="40">
        <v>4.6399999999999997</v>
      </c>
      <c r="K17" s="40">
        <v>219.73</v>
      </c>
      <c r="L17" s="40">
        <v>28.82</v>
      </c>
      <c r="M17" s="40">
        <v>76.44</v>
      </c>
      <c r="N17" s="40">
        <v>408.6</v>
      </c>
      <c r="O17" s="40">
        <v>0</v>
      </c>
      <c r="P17" s="40">
        <v>0.68</v>
      </c>
      <c r="Q17" s="40">
        <v>28.39</v>
      </c>
      <c r="R17" s="38"/>
      <c r="S17" s="38"/>
      <c r="T17" s="38"/>
      <c r="U17" s="38"/>
    </row>
    <row r="18" spans="1:21" customFormat="1">
      <c r="A18" s="39" t="s">
        <v>741</v>
      </c>
      <c r="B18" s="40">
        <v>11.5</v>
      </c>
      <c r="C18" s="40">
        <v>12.59</v>
      </c>
      <c r="D18" s="40">
        <v>14.81</v>
      </c>
      <c r="E18" s="40">
        <v>6.8</v>
      </c>
      <c r="F18" s="40">
        <v>11.2</v>
      </c>
      <c r="G18" s="40">
        <v>72.06</v>
      </c>
      <c r="H18" s="40">
        <v>28.48</v>
      </c>
      <c r="I18" s="40">
        <v>13.18</v>
      </c>
      <c r="J18" s="40">
        <v>2.39</v>
      </c>
      <c r="K18" s="40">
        <v>157.19</v>
      </c>
      <c r="L18" s="40">
        <v>29.3</v>
      </c>
      <c r="M18" s="40">
        <v>69.69</v>
      </c>
      <c r="N18" s="40">
        <v>233.8</v>
      </c>
      <c r="O18" s="40">
        <v>0</v>
      </c>
      <c r="P18" s="40">
        <v>0.72</v>
      </c>
      <c r="Q18" s="40">
        <v>28.61</v>
      </c>
      <c r="R18" s="38"/>
      <c r="S18" s="38"/>
      <c r="T18" s="38"/>
      <c r="U18" s="38"/>
    </row>
    <row r="19" spans="1:21" customFormat="1">
      <c r="A19" s="39" t="s">
        <v>742</v>
      </c>
      <c r="B19" s="40">
        <v>9.3699999999999992</v>
      </c>
      <c r="C19" s="40">
        <v>10.27</v>
      </c>
      <c r="D19" s="40">
        <v>11.89</v>
      </c>
      <c r="E19" s="40">
        <v>6.4</v>
      </c>
      <c r="F19" s="40">
        <v>12.46</v>
      </c>
      <c r="G19" s="40">
        <v>64.540000000000006</v>
      </c>
      <c r="H19" s="40">
        <v>23.45</v>
      </c>
      <c r="I19" s="40">
        <v>13.78</v>
      </c>
      <c r="J19" s="40">
        <v>3.82</v>
      </c>
      <c r="K19" s="40">
        <v>241.63</v>
      </c>
      <c r="L19" s="40">
        <v>30.25</v>
      </c>
      <c r="M19" s="40">
        <v>67.3</v>
      </c>
      <c r="N19" s="40">
        <v>571</v>
      </c>
      <c r="O19" s="40">
        <v>0</v>
      </c>
      <c r="P19" s="40">
        <v>0.67</v>
      </c>
      <c r="Q19" s="40">
        <v>28.86</v>
      </c>
      <c r="R19" s="38"/>
      <c r="S19" s="38"/>
      <c r="T19" s="38"/>
      <c r="U19" s="38"/>
    </row>
    <row r="20" spans="1:21" customFormat="1">
      <c r="A20" s="39" t="s">
        <v>743</v>
      </c>
      <c r="B20" s="40">
        <v>6.65</v>
      </c>
      <c r="C20" s="40">
        <v>10.71</v>
      </c>
      <c r="D20" s="40">
        <v>9.94</v>
      </c>
      <c r="E20" s="40">
        <v>6.18</v>
      </c>
      <c r="F20" s="40">
        <v>14.27</v>
      </c>
      <c r="G20" s="40">
        <v>58.67</v>
      </c>
      <c r="H20" s="40">
        <v>22.07</v>
      </c>
      <c r="I20" s="40">
        <v>12.89</v>
      </c>
      <c r="J20" s="40">
        <v>4.58</v>
      </c>
      <c r="K20" s="40">
        <v>231.71</v>
      </c>
      <c r="L20" s="40">
        <v>31.16</v>
      </c>
      <c r="M20" s="40">
        <v>67.53</v>
      </c>
      <c r="N20" s="40">
        <v>691.4</v>
      </c>
      <c r="O20" s="40">
        <v>0</v>
      </c>
      <c r="P20" s="40">
        <v>0.62</v>
      </c>
      <c r="Q20" s="40">
        <v>29.03</v>
      </c>
      <c r="R20" s="38"/>
      <c r="S20" s="38"/>
      <c r="T20" s="38"/>
      <c r="U20" s="38"/>
    </row>
    <row r="21" spans="1:21" customFormat="1">
      <c r="A21" s="39" t="s">
        <v>744</v>
      </c>
      <c r="B21" s="40">
        <v>4</v>
      </c>
      <c r="C21" s="40">
        <v>10.95</v>
      </c>
      <c r="D21" s="40">
        <v>7.69</v>
      </c>
      <c r="E21" s="40">
        <v>6.34</v>
      </c>
      <c r="F21" s="40">
        <v>16.72</v>
      </c>
      <c r="G21" s="40">
        <v>40.86</v>
      </c>
      <c r="H21" s="40">
        <v>22.76</v>
      </c>
      <c r="I21" s="40">
        <v>12.01</v>
      </c>
      <c r="J21" s="40">
        <v>4.4800000000000004</v>
      </c>
      <c r="K21" s="40">
        <v>221.09</v>
      </c>
      <c r="L21" s="40">
        <v>31.28</v>
      </c>
      <c r="M21" s="40">
        <v>64.22</v>
      </c>
      <c r="N21" s="40">
        <v>545.20000000000005</v>
      </c>
      <c r="O21" s="40">
        <v>0</v>
      </c>
      <c r="P21" s="40">
        <v>0.6</v>
      </c>
      <c r="Q21" s="40">
        <v>29.32</v>
      </c>
      <c r="R21" s="38"/>
      <c r="S21" s="38"/>
      <c r="T21" s="38"/>
      <c r="U21" s="38"/>
    </row>
    <row r="22" spans="1:21" customFormat="1">
      <c r="A22" s="39" t="s">
        <v>745</v>
      </c>
      <c r="B22" s="40">
        <v>3.21</v>
      </c>
      <c r="C22" s="40">
        <v>8.58</v>
      </c>
      <c r="D22" s="40">
        <v>6</v>
      </c>
      <c r="E22" s="40">
        <v>6.42</v>
      </c>
      <c r="F22" s="40">
        <v>14.93</v>
      </c>
      <c r="G22" s="40">
        <v>36.21</v>
      </c>
      <c r="H22" s="40">
        <v>19.34</v>
      </c>
      <c r="I22" s="40">
        <v>11.49</v>
      </c>
      <c r="J22" s="40">
        <v>4.4800000000000004</v>
      </c>
      <c r="K22" s="40">
        <v>144.44999999999999</v>
      </c>
      <c r="L22" s="40">
        <v>29.66</v>
      </c>
      <c r="M22" s="40">
        <v>68.510000000000005</v>
      </c>
      <c r="N22" s="40">
        <v>163.1</v>
      </c>
      <c r="O22" s="40">
        <v>0</v>
      </c>
      <c r="P22" s="40">
        <v>0.56999999999999995</v>
      </c>
      <c r="Q22" s="40">
        <v>29.44</v>
      </c>
      <c r="R22" s="38"/>
      <c r="S22" s="38"/>
      <c r="T22" s="38"/>
      <c r="U22" s="38"/>
    </row>
    <row r="23" spans="1:21" customFormat="1">
      <c r="A23" s="39" t="s">
        <v>746</v>
      </c>
      <c r="B23" s="40">
        <v>3.48</v>
      </c>
      <c r="C23" s="40">
        <v>9.76</v>
      </c>
      <c r="D23" s="40">
        <v>6.9</v>
      </c>
      <c r="E23" s="40">
        <v>6.57</v>
      </c>
      <c r="F23" s="40">
        <v>16.399999999999999</v>
      </c>
      <c r="G23" s="40">
        <v>25.59</v>
      </c>
      <c r="H23" s="40">
        <v>14</v>
      </c>
      <c r="I23" s="40">
        <v>10.89</v>
      </c>
      <c r="J23" s="40">
        <v>4.42</v>
      </c>
      <c r="K23" s="40">
        <v>204.17</v>
      </c>
      <c r="L23" s="40">
        <v>31.19</v>
      </c>
      <c r="M23" s="40">
        <v>64.489999999999995</v>
      </c>
      <c r="N23" s="40">
        <v>319.3</v>
      </c>
      <c r="O23" s="40">
        <v>0</v>
      </c>
      <c r="P23" s="40">
        <v>0.54</v>
      </c>
      <c r="Q23" s="40">
        <v>29.35</v>
      </c>
      <c r="R23" s="38"/>
      <c r="S23" s="38"/>
      <c r="T23" s="38"/>
      <c r="U23" s="38"/>
    </row>
    <row r="24" spans="1:21" customFormat="1">
      <c r="A24" s="39" t="s">
        <v>747</v>
      </c>
      <c r="B24" s="40">
        <v>3.69</v>
      </c>
      <c r="C24" s="40">
        <v>11.07</v>
      </c>
      <c r="D24" s="40">
        <v>7.75</v>
      </c>
      <c r="E24" s="40">
        <v>6.18</v>
      </c>
      <c r="F24" s="40">
        <v>11.95</v>
      </c>
      <c r="G24" s="40">
        <v>28.99</v>
      </c>
      <c r="H24" s="40">
        <v>13.16</v>
      </c>
      <c r="I24" s="40">
        <v>10.49</v>
      </c>
      <c r="J24" s="40">
        <v>4.5</v>
      </c>
      <c r="K24" s="40">
        <v>225.08</v>
      </c>
      <c r="L24" s="40">
        <v>31.8</v>
      </c>
      <c r="M24" s="40">
        <v>53.46</v>
      </c>
      <c r="N24" s="40">
        <v>311.3</v>
      </c>
      <c r="O24" s="40">
        <v>0</v>
      </c>
      <c r="P24" s="40">
        <v>0.52</v>
      </c>
      <c r="Q24" s="40">
        <v>29.23</v>
      </c>
      <c r="R24" s="38"/>
      <c r="S24" s="38"/>
      <c r="T24" s="38"/>
      <c r="U24" s="38"/>
    </row>
    <row r="25" spans="1:21" customFormat="1">
      <c r="A25" s="39" t="s">
        <v>748</v>
      </c>
      <c r="B25" s="40">
        <v>3.59</v>
      </c>
      <c r="C25" s="40">
        <v>9.58</v>
      </c>
      <c r="D25" s="40">
        <v>6.79</v>
      </c>
      <c r="E25" s="40">
        <v>7.05</v>
      </c>
      <c r="F25" s="40">
        <v>24.05</v>
      </c>
      <c r="G25" s="40">
        <v>27.72</v>
      </c>
      <c r="H25" s="40">
        <v>14.09</v>
      </c>
      <c r="I25" s="40">
        <v>10.45</v>
      </c>
      <c r="J25" s="40">
        <v>5.37</v>
      </c>
      <c r="K25" s="40">
        <v>245.9</v>
      </c>
      <c r="L25" s="40">
        <v>32.96</v>
      </c>
      <c r="M25" s="40">
        <v>53.04</v>
      </c>
      <c r="N25" s="40">
        <v>284.8</v>
      </c>
      <c r="O25" s="40">
        <v>0</v>
      </c>
      <c r="P25" s="40">
        <v>0.55000000000000004</v>
      </c>
      <c r="Q25" s="40">
        <v>29.43</v>
      </c>
      <c r="R25" s="38"/>
      <c r="S25" s="38"/>
      <c r="T25" s="38"/>
      <c r="U25" s="38"/>
    </row>
    <row r="26" spans="1:21" customFormat="1">
      <c r="A26" s="39" t="s">
        <v>749</v>
      </c>
      <c r="B26" s="40">
        <v>3.59</v>
      </c>
      <c r="C26" s="40">
        <v>16.55</v>
      </c>
      <c r="D26" s="40">
        <v>10.53</v>
      </c>
      <c r="E26" s="40">
        <v>6.99</v>
      </c>
      <c r="F26" s="40">
        <v>28.67</v>
      </c>
      <c r="G26" s="40">
        <v>33.479999999999997</v>
      </c>
      <c r="H26" s="40">
        <v>14.83</v>
      </c>
      <c r="I26" s="40">
        <v>17.13</v>
      </c>
      <c r="J26" s="40">
        <v>3.86</v>
      </c>
      <c r="K26" s="40">
        <v>248.49</v>
      </c>
      <c r="L26" s="40">
        <v>32.35</v>
      </c>
      <c r="M26" s="40">
        <v>59.08</v>
      </c>
      <c r="N26" s="40">
        <v>162.69999999999999</v>
      </c>
      <c r="O26" s="40">
        <v>0</v>
      </c>
      <c r="P26" s="40">
        <v>0.71</v>
      </c>
      <c r="Q26" s="40">
        <v>29.3</v>
      </c>
      <c r="R26" s="38"/>
      <c r="S26" s="38"/>
      <c r="T26" s="38"/>
      <c r="U26" s="38"/>
    </row>
    <row r="27" spans="1:21" customFormat="1">
      <c r="A27" s="39" t="s">
        <v>750</v>
      </c>
      <c r="B27" s="40">
        <v>4.3600000000000003</v>
      </c>
      <c r="C27" s="40">
        <v>19.62</v>
      </c>
      <c r="D27" s="40">
        <v>12.75</v>
      </c>
      <c r="E27" s="40">
        <v>6.98</v>
      </c>
      <c r="F27" s="40">
        <v>14.74</v>
      </c>
      <c r="G27" s="40">
        <v>36.11</v>
      </c>
      <c r="H27" s="40">
        <v>16.68</v>
      </c>
      <c r="I27" s="40">
        <v>13.71</v>
      </c>
      <c r="J27" s="40">
        <v>4.33</v>
      </c>
      <c r="K27" s="40">
        <v>151.4</v>
      </c>
      <c r="L27" s="40">
        <v>29.76</v>
      </c>
      <c r="M27" s="40">
        <v>79.510000000000005</v>
      </c>
      <c r="N27" s="40">
        <v>34.4</v>
      </c>
      <c r="O27" s="40">
        <v>0.2</v>
      </c>
      <c r="P27" s="40">
        <v>0.69</v>
      </c>
      <c r="Q27" s="40">
        <v>29.11</v>
      </c>
      <c r="R27" s="38"/>
      <c r="S27" s="38"/>
      <c r="T27" s="38"/>
      <c r="U27" s="38"/>
    </row>
    <row r="28" spans="1:21" customFormat="1">
      <c r="A28" s="39" t="s">
        <v>751</v>
      </c>
      <c r="B28" s="40">
        <v>4.8099999999999996</v>
      </c>
      <c r="C28" s="40">
        <v>14.89</v>
      </c>
      <c r="D28" s="40">
        <v>10.49</v>
      </c>
      <c r="E28" s="40">
        <v>6.81</v>
      </c>
      <c r="F28" s="40">
        <v>8.86</v>
      </c>
      <c r="G28" s="40">
        <v>38.549999999999997</v>
      </c>
      <c r="H28" s="40">
        <v>19.86</v>
      </c>
      <c r="I28" s="40">
        <v>14.33</v>
      </c>
      <c r="J28" s="40">
        <v>4.4800000000000004</v>
      </c>
      <c r="K28" s="40">
        <v>149.52000000000001</v>
      </c>
      <c r="L28" s="40">
        <v>28.05</v>
      </c>
      <c r="M28" s="40">
        <v>77.680000000000007</v>
      </c>
      <c r="N28" s="40">
        <v>23.8</v>
      </c>
      <c r="O28" s="40">
        <v>0</v>
      </c>
      <c r="P28" s="40">
        <v>0.75</v>
      </c>
      <c r="Q28" s="40">
        <v>29.18</v>
      </c>
      <c r="R28" s="38"/>
      <c r="S28" s="38"/>
      <c r="T28" s="38"/>
      <c r="U28" s="38"/>
    </row>
    <row r="29" spans="1:21" customFormat="1">
      <c r="A29" s="39" t="s">
        <v>752</v>
      </c>
      <c r="B29" s="40">
        <v>6.05</v>
      </c>
      <c r="C29" s="40">
        <v>14.65</v>
      </c>
      <c r="D29" s="40">
        <v>11.51</v>
      </c>
      <c r="E29" s="40">
        <v>6.52</v>
      </c>
      <c r="F29" s="40">
        <v>7.59</v>
      </c>
      <c r="G29" s="40">
        <v>41.27</v>
      </c>
      <c r="H29" s="40">
        <v>20.94</v>
      </c>
      <c r="I29" s="40">
        <v>15.8</v>
      </c>
      <c r="J29" s="40">
        <v>4.8</v>
      </c>
      <c r="K29" s="40">
        <v>147.58000000000001</v>
      </c>
      <c r="L29" s="40">
        <v>27.88</v>
      </c>
      <c r="M29" s="40">
        <v>75.78</v>
      </c>
      <c r="N29" s="40">
        <v>23.6</v>
      </c>
      <c r="O29" s="40">
        <v>0</v>
      </c>
      <c r="P29" s="40">
        <v>0.77</v>
      </c>
      <c r="Q29" s="40">
        <v>29.06</v>
      </c>
      <c r="R29" s="38"/>
      <c r="S29" s="38"/>
      <c r="T29" s="38"/>
      <c r="U29" s="38"/>
    </row>
    <row r="30" spans="1:21" customFormat="1">
      <c r="A30" s="39" t="s">
        <v>753</v>
      </c>
      <c r="B30" s="40">
        <v>5.16</v>
      </c>
      <c r="C30" s="40">
        <v>13.81</v>
      </c>
      <c r="D30" s="40">
        <v>10.17</v>
      </c>
      <c r="E30" s="40">
        <v>5.46</v>
      </c>
      <c r="F30" s="40">
        <v>7.76</v>
      </c>
      <c r="G30" s="40">
        <v>43.58</v>
      </c>
      <c r="H30" s="40">
        <v>20.97</v>
      </c>
      <c r="I30" s="40">
        <v>15.16</v>
      </c>
      <c r="J30" s="40">
        <v>3.86</v>
      </c>
      <c r="K30" s="40">
        <v>192.84</v>
      </c>
      <c r="L30" s="40">
        <v>26.92</v>
      </c>
      <c r="M30" s="40">
        <v>79.88</v>
      </c>
      <c r="N30" s="40">
        <v>23.3</v>
      </c>
      <c r="O30" s="40">
        <v>0</v>
      </c>
      <c r="P30" s="40">
        <v>0.73</v>
      </c>
      <c r="Q30" s="40">
        <v>28.86</v>
      </c>
      <c r="R30" s="38"/>
      <c r="S30" s="38"/>
      <c r="T30" s="38"/>
      <c r="U30" s="38"/>
    </row>
    <row r="31" spans="1:21" customFormat="1">
      <c r="A31" s="39" t="s">
        <v>754</v>
      </c>
      <c r="B31" s="40">
        <v>6.01</v>
      </c>
      <c r="C31" s="40">
        <v>13.19</v>
      </c>
      <c r="D31" s="40">
        <v>10.46</v>
      </c>
      <c r="E31" s="40">
        <v>5.65</v>
      </c>
      <c r="F31" s="40">
        <v>5.22</v>
      </c>
      <c r="G31" s="40">
        <v>36.590000000000003</v>
      </c>
      <c r="H31" s="40">
        <v>17.68</v>
      </c>
      <c r="I31" s="40">
        <v>14.86</v>
      </c>
      <c r="J31" s="40">
        <v>5.81</v>
      </c>
      <c r="K31" s="40">
        <v>221.63</v>
      </c>
      <c r="L31" s="40">
        <v>26.93</v>
      </c>
      <c r="M31" s="40">
        <v>78.28</v>
      </c>
      <c r="N31" s="40">
        <v>23.5</v>
      </c>
      <c r="O31" s="40">
        <v>0</v>
      </c>
      <c r="P31" s="40">
        <v>0.73</v>
      </c>
      <c r="Q31" s="40">
        <v>29.04</v>
      </c>
      <c r="R31" s="38"/>
      <c r="S31" s="38"/>
      <c r="T31" s="38"/>
      <c r="U31" s="38"/>
    </row>
    <row r="32" spans="1:21" customFormat="1">
      <c r="A32" s="39" t="s">
        <v>755</v>
      </c>
      <c r="B32" s="40">
        <v>6.22</v>
      </c>
      <c r="C32" s="40">
        <v>9.58</v>
      </c>
      <c r="D32" s="40">
        <v>8.9600000000000009</v>
      </c>
      <c r="E32" s="40">
        <v>6.4</v>
      </c>
      <c r="F32" s="40">
        <v>7.82</v>
      </c>
      <c r="G32" s="40">
        <v>33.08</v>
      </c>
      <c r="H32" s="40">
        <v>16.54</v>
      </c>
      <c r="I32" s="40">
        <v>14.38</v>
      </c>
      <c r="J32" s="40">
        <v>4.2300000000000004</v>
      </c>
      <c r="K32" s="40">
        <v>223.64</v>
      </c>
      <c r="L32" s="40">
        <v>27.01</v>
      </c>
      <c r="M32" s="40">
        <v>76.849999999999994</v>
      </c>
      <c r="N32" s="40">
        <v>23.5</v>
      </c>
      <c r="O32" s="40">
        <v>0</v>
      </c>
      <c r="P32" s="40">
        <v>0.6</v>
      </c>
      <c r="Q32" s="40">
        <v>29.11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3.21</v>
      </c>
      <c r="C34" s="18">
        <f t="shared" si="0"/>
        <v>8.58</v>
      </c>
      <c r="D34" s="18">
        <f t="shared" si="0"/>
        <v>6</v>
      </c>
      <c r="E34" s="18">
        <f t="shared" si="0"/>
        <v>5.46</v>
      </c>
      <c r="F34" s="18">
        <f t="shared" si="0"/>
        <v>2.83</v>
      </c>
      <c r="G34" s="18">
        <f t="shared" si="0"/>
        <v>16.63</v>
      </c>
      <c r="H34" s="18">
        <f t="shared" si="0"/>
        <v>8.32</v>
      </c>
      <c r="I34" s="18">
        <f t="shared" si="0"/>
        <v>8.77</v>
      </c>
      <c r="J34" s="18">
        <f t="shared" si="0"/>
        <v>2.39</v>
      </c>
      <c r="K34" s="18">
        <f t="shared" si="0"/>
        <v>127.21</v>
      </c>
      <c r="L34" s="18">
        <f t="shared" si="0"/>
        <v>25.42</v>
      </c>
      <c r="M34" s="18">
        <f t="shared" si="0"/>
        <v>53.04</v>
      </c>
      <c r="N34" s="18">
        <f t="shared" si="0"/>
        <v>23.2</v>
      </c>
      <c r="O34" s="18">
        <f t="shared" si="0"/>
        <v>0</v>
      </c>
      <c r="P34" s="18">
        <f t="shared" si="0"/>
        <v>0.39</v>
      </c>
      <c r="Q34" s="18">
        <f t="shared" si="0"/>
        <v>28.39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15.32</v>
      </c>
      <c r="C35" s="3">
        <f t="shared" si="1"/>
        <v>19.62</v>
      </c>
      <c r="D35" s="3">
        <f t="shared" si="1"/>
        <v>17.8</v>
      </c>
      <c r="E35" s="3">
        <f t="shared" si="1"/>
        <v>7.05</v>
      </c>
      <c r="F35" s="3">
        <f t="shared" si="1"/>
        <v>28.67</v>
      </c>
      <c r="G35" s="3">
        <f t="shared" si="1"/>
        <v>86.47</v>
      </c>
      <c r="H35" s="3">
        <f t="shared" si="1"/>
        <v>29.41</v>
      </c>
      <c r="I35" s="3">
        <f t="shared" si="1"/>
        <v>17.13</v>
      </c>
      <c r="J35" s="3">
        <f t="shared" si="1"/>
        <v>5.81</v>
      </c>
      <c r="K35" s="3">
        <f t="shared" si="1"/>
        <v>248.49</v>
      </c>
      <c r="L35" s="3">
        <f t="shared" si="1"/>
        <v>32.96</v>
      </c>
      <c r="M35" s="3">
        <f t="shared" si="1"/>
        <v>93.61</v>
      </c>
      <c r="N35" s="3">
        <f t="shared" si="1"/>
        <v>691.4</v>
      </c>
      <c r="O35" s="3">
        <f t="shared" si="1"/>
        <v>0.6</v>
      </c>
      <c r="P35" s="3">
        <f t="shared" si="1"/>
        <v>0.77</v>
      </c>
      <c r="Q35" s="3">
        <f t="shared" si="1"/>
        <v>29.44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7.1787500000000009</v>
      </c>
      <c r="C36" s="18">
        <f t="shared" si="2"/>
        <v>11.76375</v>
      </c>
      <c r="D36" s="18">
        <f t="shared" si="2"/>
        <v>10.785833333333334</v>
      </c>
      <c r="E36" s="18">
        <f t="shared" si="2"/>
        <v>6.4279166666666683</v>
      </c>
      <c r="F36" s="18">
        <f t="shared" si="2"/>
        <v>10.324583333333335</v>
      </c>
      <c r="G36" s="18">
        <f t="shared" si="2"/>
        <v>39.338750000000005</v>
      </c>
      <c r="H36" s="18">
        <f t="shared" si="2"/>
        <v>17.001666666666665</v>
      </c>
      <c r="I36" s="18">
        <f t="shared" si="2"/>
        <v>12.421250000000002</v>
      </c>
      <c r="J36" s="18">
        <f t="shared" si="2"/>
        <v>4.1187500000000004</v>
      </c>
      <c r="K36" s="18">
        <f t="shared" si="2"/>
        <v>191.62250000000003</v>
      </c>
      <c r="L36" s="18">
        <f t="shared" si="2"/>
        <v>28.423749999999998</v>
      </c>
      <c r="M36" s="18">
        <f t="shared" si="2"/>
        <v>74.879583333333329</v>
      </c>
      <c r="N36" s="18">
        <f t="shared" si="2"/>
        <v>178.10833333333338</v>
      </c>
      <c r="O36" s="18">
        <f t="shared" si="2"/>
        <v>3.3333333333333333E-2</v>
      </c>
      <c r="P36" s="18">
        <f t="shared" si="2"/>
        <v>0.59666666666666668</v>
      </c>
      <c r="Q36" s="18">
        <f t="shared" si="2"/>
        <v>29.024583333333329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3.4225687181464712</v>
      </c>
      <c r="C37" s="18">
        <f t="shared" ref="C37:Q37" si="3">STDEV(C9:C32)</f>
        <v>2.6309162108846551</v>
      </c>
      <c r="D37" s="18">
        <f t="shared" si="3"/>
        <v>2.8790592012075686</v>
      </c>
      <c r="E37" s="18">
        <f t="shared" si="3"/>
        <v>0.42245636941342357</v>
      </c>
      <c r="F37" s="18">
        <f t="shared" si="3"/>
        <v>6.5594379260571625</v>
      </c>
      <c r="G37" s="18">
        <f t="shared" si="3"/>
        <v>18.193014022946549</v>
      </c>
      <c r="H37" s="18">
        <f t="shared" si="3"/>
        <v>5.9361637932009765</v>
      </c>
      <c r="I37" s="18">
        <f t="shared" si="3"/>
        <v>2.3238504638338462</v>
      </c>
      <c r="J37" s="18">
        <f t="shared" si="3"/>
        <v>0.77547355798275708</v>
      </c>
      <c r="K37" s="18">
        <f t="shared" si="3"/>
        <v>42.734536715177526</v>
      </c>
      <c r="L37" s="18">
        <f t="shared" si="3"/>
        <v>2.4723001304013654</v>
      </c>
      <c r="M37" s="18">
        <f t="shared" si="3"/>
        <v>10.933443500350764</v>
      </c>
      <c r="N37" s="18">
        <f t="shared" si="3"/>
        <v>202.45551506370512</v>
      </c>
      <c r="O37" s="18">
        <f t="shared" si="3"/>
        <v>0.12740441145412124</v>
      </c>
      <c r="P37" s="18">
        <f t="shared" si="3"/>
        <v>0.11827259106446182</v>
      </c>
      <c r="Q37" s="18">
        <f t="shared" si="3"/>
        <v>0.27555444765633608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756</v>
      </c>
      <c r="B9" s="40">
        <v>6.02</v>
      </c>
      <c r="C9" s="40">
        <v>11.5</v>
      </c>
      <c r="D9" s="40">
        <v>9.68</v>
      </c>
      <c r="E9" s="40">
        <v>6.46</v>
      </c>
      <c r="F9" s="40">
        <v>6.99</v>
      </c>
      <c r="G9" s="40">
        <v>32.659999999999997</v>
      </c>
      <c r="H9" s="40">
        <v>11.9</v>
      </c>
      <c r="I9" s="40">
        <v>12.88</v>
      </c>
      <c r="J9" s="40">
        <v>4.3</v>
      </c>
      <c r="K9" s="40">
        <v>234.03</v>
      </c>
      <c r="L9" s="40">
        <v>26.86</v>
      </c>
      <c r="M9" s="40">
        <v>78.91</v>
      </c>
      <c r="N9" s="40">
        <v>23.6</v>
      </c>
      <c r="O9" s="40">
        <v>0</v>
      </c>
      <c r="P9" s="40">
        <v>0.54</v>
      </c>
      <c r="Q9" s="40">
        <v>28.98</v>
      </c>
      <c r="R9" s="38"/>
      <c r="S9" s="38"/>
      <c r="T9" s="38"/>
      <c r="U9" s="38"/>
    </row>
    <row r="10" spans="1:21" customFormat="1">
      <c r="A10" s="39" t="s">
        <v>757</v>
      </c>
      <c r="B10" s="40">
        <v>6.47</v>
      </c>
      <c r="C10" s="40">
        <v>10.199999999999999</v>
      </c>
      <c r="D10" s="40">
        <v>9.2100000000000009</v>
      </c>
      <c r="E10" s="40">
        <v>5.95</v>
      </c>
      <c r="F10" s="40">
        <v>6</v>
      </c>
      <c r="G10" s="40">
        <v>25.91</v>
      </c>
      <c r="H10" s="40">
        <v>12.93</v>
      </c>
      <c r="I10" s="40">
        <v>12.35</v>
      </c>
      <c r="J10" s="40">
        <v>3.85</v>
      </c>
      <c r="K10" s="40">
        <v>201.42</v>
      </c>
      <c r="L10" s="40">
        <v>26.51</v>
      </c>
      <c r="M10" s="40">
        <v>79.37</v>
      </c>
      <c r="N10" s="40">
        <v>23.5</v>
      </c>
      <c r="O10" s="40">
        <v>0</v>
      </c>
      <c r="P10" s="40">
        <v>0.5</v>
      </c>
      <c r="Q10" s="40">
        <v>28.96</v>
      </c>
      <c r="R10" s="38"/>
      <c r="S10" s="38"/>
      <c r="T10" s="38"/>
      <c r="U10" s="38"/>
    </row>
    <row r="11" spans="1:21" customFormat="1">
      <c r="A11" s="39" t="s">
        <v>758</v>
      </c>
      <c r="B11" s="40">
        <v>6.92</v>
      </c>
      <c r="C11" s="40">
        <v>8.09</v>
      </c>
      <c r="D11" s="40">
        <v>8.58</v>
      </c>
      <c r="E11" s="40">
        <v>6</v>
      </c>
      <c r="F11" s="40">
        <v>5.33</v>
      </c>
      <c r="G11" s="40">
        <v>18.62</v>
      </c>
      <c r="H11" s="40">
        <v>9.4499999999999993</v>
      </c>
      <c r="I11" s="40">
        <v>11.56</v>
      </c>
      <c r="J11" s="40">
        <v>3.84</v>
      </c>
      <c r="K11" s="40">
        <v>191.81</v>
      </c>
      <c r="L11" s="40">
        <v>26.28</v>
      </c>
      <c r="M11" s="40">
        <v>76.87</v>
      </c>
      <c r="N11" s="40">
        <v>23.5</v>
      </c>
      <c r="O11" s="40">
        <v>0</v>
      </c>
      <c r="P11" s="40">
        <v>0.47</v>
      </c>
      <c r="Q11" s="40">
        <v>29.16</v>
      </c>
      <c r="R11" s="38"/>
      <c r="S11" s="38"/>
      <c r="T11" s="38"/>
      <c r="U11" s="38"/>
    </row>
    <row r="12" spans="1:21" customFormat="1">
      <c r="A12" s="39" t="s">
        <v>759</v>
      </c>
      <c r="B12" s="40">
        <v>7.17</v>
      </c>
      <c r="C12" s="40">
        <v>8.5</v>
      </c>
      <c r="D12" s="40">
        <v>9.01</v>
      </c>
      <c r="E12" s="40">
        <v>5.82</v>
      </c>
      <c r="F12" s="40">
        <v>5.0599999999999996</v>
      </c>
      <c r="G12" s="40">
        <v>15.4</v>
      </c>
      <c r="H12" s="40">
        <v>6.8</v>
      </c>
      <c r="I12" s="40">
        <v>10.49</v>
      </c>
      <c r="J12" s="40">
        <v>3.72</v>
      </c>
      <c r="K12" s="40">
        <v>195.54</v>
      </c>
      <c r="L12" s="40">
        <v>25.89</v>
      </c>
      <c r="M12" s="40">
        <v>78.67</v>
      </c>
      <c r="N12" s="40">
        <v>23.4</v>
      </c>
      <c r="O12" s="40">
        <v>0</v>
      </c>
      <c r="P12" s="40">
        <v>0.39</v>
      </c>
      <c r="Q12" s="40">
        <v>29.05</v>
      </c>
      <c r="R12" s="38"/>
      <c r="S12" s="38"/>
      <c r="T12" s="38"/>
      <c r="U12" s="38"/>
    </row>
    <row r="13" spans="1:21" customFormat="1">
      <c r="A13" s="39" t="s">
        <v>760</v>
      </c>
      <c r="B13" s="40">
        <v>8.5299999999999994</v>
      </c>
      <c r="C13" s="40">
        <v>11.47</v>
      </c>
      <c r="D13" s="40">
        <v>11.84</v>
      </c>
      <c r="E13" s="40">
        <v>5.65</v>
      </c>
      <c r="F13" s="40">
        <v>4.1500000000000004</v>
      </c>
      <c r="G13" s="40">
        <v>13.63</v>
      </c>
      <c r="H13" s="40">
        <v>4.82</v>
      </c>
      <c r="I13" s="40">
        <v>9.31</v>
      </c>
      <c r="J13" s="40">
        <v>4.22</v>
      </c>
      <c r="K13" s="40">
        <v>193.45</v>
      </c>
      <c r="L13" s="40">
        <v>25.65</v>
      </c>
      <c r="M13" s="40">
        <v>79.09</v>
      </c>
      <c r="N13" s="40">
        <v>23.5</v>
      </c>
      <c r="O13" s="40">
        <v>0</v>
      </c>
      <c r="P13" s="40">
        <v>0.35</v>
      </c>
      <c r="Q13" s="40">
        <v>28.96</v>
      </c>
      <c r="R13" s="38"/>
      <c r="S13" s="38"/>
      <c r="T13" s="38"/>
      <c r="U13" s="38"/>
    </row>
    <row r="14" spans="1:21" customFormat="1">
      <c r="A14" s="39" t="s">
        <v>761</v>
      </c>
      <c r="B14" s="40">
        <v>9.2200000000000006</v>
      </c>
      <c r="C14" s="40">
        <v>11.45</v>
      </c>
      <c r="D14" s="40">
        <v>12.06</v>
      </c>
      <c r="E14" s="40">
        <v>5.52</v>
      </c>
      <c r="F14" s="40">
        <v>3.51</v>
      </c>
      <c r="G14" s="40">
        <v>14.72</v>
      </c>
      <c r="H14" s="40">
        <v>3.75</v>
      </c>
      <c r="I14" s="40">
        <v>9.0299999999999994</v>
      </c>
      <c r="J14" s="40">
        <v>5.0999999999999996</v>
      </c>
      <c r="K14" s="40">
        <v>192.1</v>
      </c>
      <c r="L14" s="40">
        <v>26.3</v>
      </c>
      <c r="M14" s="40">
        <v>77.61</v>
      </c>
      <c r="N14" s="40">
        <v>43.4</v>
      </c>
      <c r="O14" s="40">
        <v>0</v>
      </c>
      <c r="P14" s="40">
        <v>0.39</v>
      </c>
      <c r="Q14" s="40">
        <v>29</v>
      </c>
      <c r="R14" s="38"/>
      <c r="S14" s="38"/>
      <c r="T14" s="38"/>
      <c r="U14" s="38"/>
    </row>
    <row r="15" spans="1:21" customFormat="1">
      <c r="A15" s="39" t="s">
        <v>762</v>
      </c>
      <c r="B15" s="40">
        <v>10.039999999999999</v>
      </c>
      <c r="C15" s="40">
        <v>9.69</v>
      </c>
      <c r="D15" s="40">
        <v>12.12</v>
      </c>
      <c r="E15" s="40">
        <v>6.36</v>
      </c>
      <c r="F15" s="40">
        <v>4.6399999999999997</v>
      </c>
      <c r="G15" s="40">
        <v>16.46</v>
      </c>
      <c r="H15" s="40">
        <v>2.71</v>
      </c>
      <c r="I15" s="40">
        <v>8.64</v>
      </c>
      <c r="J15" s="40">
        <v>3.58</v>
      </c>
      <c r="K15" s="40">
        <v>236.54</v>
      </c>
      <c r="L15" s="40">
        <v>26.71</v>
      </c>
      <c r="M15" s="40">
        <v>75.92</v>
      </c>
      <c r="N15" s="40">
        <v>71</v>
      </c>
      <c r="O15" s="40">
        <v>0</v>
      </c>
      <c r="P15" s="40">
        <v>0.4</v>
      </c>
      <c r="Q15" s="40">
        <v>28.88</v>
      </c>
      <c r="R15" s="38"/>
      <c r="S15" s="38"/>
      <c r="T15" s="38"/>
      <c r="U15" s="38"/>
    </row>
    <row r="16" spans="1:21" customFormat="1">
      <c r="A16" s="39" t="s">
        <v>763</v>
      </c>
      <c r="B16" s="40">
        <v>12.75</v>
      </c>
      <c r="C16" s="40">
        <v>10.69</v>
      </c>
      <c r="D16" s="40">
        <v>14.66</v>
      </c>
      <c r="E16" s="40">
        <v>6.41</v>
      </c>
      <c r="F16" s="40">
        <v>3.55</v>
      </c>
      <c r="G16" s="40">
        <v>20.68</v>
      </c>
      <c r="H16" s="40">
        <v>2.54</v>
      </c>
      <c r="I16" s="40">
        <v>9.5299999999999994</v>
      </c>
      <c r="J16" s="40">
        <v>4.24</v>
      </c>
      <c r="K16" s="40">
        <v>258.27</v>
      </c>
      <c r="L16" s="40">
        <v>26.72</v>
      </c>
      <c r="M16" s="40">
        <v>78.739999999999995</v>
      </c>
      <c r="N16" s="40">
        <v>134.80000000000001</v>
      </c>
      <c r="O16" s="40">
        <v>0</v>
      </c>
      <c r="P16" s="40">
        <v>0.46</v>
      </c>
      <c r="Q16" s="40">
        <v>28.7</v>
      </c>
      <c r="R16" s="38"/>
      <c r="S16" s="38"/>
      <c r="T16" s="38"/>
      <c r="U16" s="38"/>
    </row>
    <row r="17" spans="1:21" customFormat="1">
      <c r="A17" s="39" t="s">
        <v>764</v>
      </c>
      <c r="B17" s="40">
        <v>13.08</v>
      </c>
      <c r="C17" s="40">
        <v>12.12</v>
      </c>
      <c r="D17" s="40">
        <v>15.7</v>
      </c>
      <c r="E17" s="40">
        <v>6.16</v>
      </c>
      <c r="F17" s="40">
        <v>4.1900000000000004</v>
      </c>
      <c r="G17" s="40">
        <v>25.62</v>
      </c>
      <c r="H17" s="40">
        <v>4.6399999999999997</v>
      </c>
      <c r="I17" s="40">
        <v>9.98</v>
      </c>
      <c r="J17" s="40">
        <v>4.41</v>
      </c>
      <c r="K17" s="40">
        <v>279.16000000000003</v>
      </c>
      <c r="L17" s="40">
        <v>28.61</v>
      </c>
      <c r="M17" s="40">
        <v>75.64</v>
      </c>
      <c r="N17" s="40">
        <v>370.6</v>
      </c>
      <c r="O17" s="40">
        <v>0</v>
      </c>
      <c r="P17" s="40">
        <v>0.47</v>
      </c>
      <c r="Q17" s="40">
        <v>28.67</v>
      </c>
      <c r="R17" s="38"/>
      <c r="S17" s="38"/>
      <c r="T17" s="38"/>
      <c r="U17" s="38"/>
    </row>
    <row r="18" spans="1:21" customFormat="1">
      <c r="A18" s="39" t="s">
        <v>765</v>
      </c>
      <c r="B18" s="40">
        <v>13.25</v>
      </c>
      <c r="C18" s="40">
        <v>10.28</v>
      </c>
      <c r="D18" s="40">
        <v>14.32</v>
      </c>
      <c r="E18" s="40">
        <v>6.31</v>
      </c>
      <c r="F18" s="40">
        <v>5.12</v>
      </c>
      <c r="G18" s="40">
        <v>30.4</v>
      </c>
      <c r="H18" s="40">
        <v>6.47</v>
      </c>
      <c r="I18" s="40">
        <v>10.68</v>
      </c>
      <c r="J18" s="40">
        <v>5.17</v>
      </c>
      <c r="K18" s="40">
        <v>255.39</v>
      </c>
      <c r="L18" s="40">
        <v>28.48</v>
      </c>
      <c r="M18" s="40">
        <v>70.56</v>
      </c>
      <c r="N18" s="40">
        <v>280.10000000000002</v>
      </c>
      <c r="O18" s="40">
        <v>0</v>
      </c>
      <c r="P18" s="40">
        <v>0.48</v>
      </c>
      <c r="Q18" s="40">
        <v>28.66</v>
      </c>
      <c r="R18" s="38"/>
      <c r="S18" s="38"/>
      <c r="T18" s="38"/>
      <c r="U18" s="38"/>
    </row>
    <row r="19" spans="1:21" customFormat="1">
      <c r="A19" s="39" t="s">
        <v>766</v>
      </c>
      <c r="B19" s="40">
        <v>11.58</v>
      </c>
      <c r="C19" s="40">
        <v>10.39</v>
      </c>
      <c r="D19" s="40">
        <v>13.72</v>
      </c>
      <c r="E19" s="40">
        <v>6.46</v>
      </c>
      <c r="F19" s="40">
        <v>10.29</v>
      </c>
      <c r="G19" s="40">
        <v>28.76</v>
      </c>
      <c r="H19" s="40">
        <v>6.21</v>
      </c>
      <c r="I19" s="40">
        <v>10.64</v>
      </c>
      <c r="J19" s="40">
        <v>3.46</v>
      </c>
      <c r="K19" s="40">
        <v>256.18</v>
      </c>
      <c r="L19" s="40">
        <v>30.43</v>
      </c>
      <c r="M19" s="40">
        <v>68.14</v>
      </c>
      <c r="N19" s="40">
        <v>647.6</v>
      </c>
      <c r="O19" s="40">
        <v>0</v>
      </c>
      <c r="P19" s="40">
        <v>0.47</v>
      </c>
      <c r="Q19" s="40">
        <v>28.67</v>
      </c>
      <c r="R19" s="38"/>
      <c r="S19" s="38"/>
      <c r="T19" s="38"/>
      <c r="U19" s="38"/>
    </row>
    <row r="20" spans="1:21" customFormat="1">
      <c r="A20" s="39" t="s">
        <v>767</v>
      </c>
      <c r="B20" s="40">
        <v>7.6</v>
      </c>
      <c r="C20" s="40">
        <v>12.78</v>
      </c>
      <c r="D20" s="40">
        <v>10.94</v>
      </c>
      <c r="E20" s="40">
        <v>6.72</v>
      </c>
      <c r="F20" s="40">
        <v>11.98</v>
      </c>
      <c r="G20" s="40">
        <v>30.39</v>
      </c>
      <c r="H20" s="40">
        <v>9.41</v>
      </c>
      <c r="I20" s="40">
        <v>10.47</v>
      </c>
      <c r="J20" s="40">
        <v>1.54</v>
      </c>
      <c r="K20" s="40">
        <v>313.29000000000002</v>
      </c>
      <c r="L20" s="40">
        <v>32.380000000000003</v>
      </c>
      <c r="M20" s="40">
        <v>63.25</v>
      </c>
      <c r="N20" s="40">
        <v>594.6</v>
      </c>
      <c r="O20" s="40">
        <v>0</v>
      </c>
      <c r="P20" s="40">
        <v>0.51</v>
      </c>
      <c r="Q20" s="40">
        <v>29.01</v>
      </c>
      <c r="R20" s="38"/>
      <c r="S20" s="38"/>
      <c r="T20" s="38"/>
      <c r="U20" s="38"/>
    </row>
    <row r="21" spans="1:21" customFormat="1">
      <c r="A21" s="39" t="s">
        <v>768</v>
      </c>
      <c r="B21" s="40">
        <v>5.53</v>
      </c>
      <c r="C21" s="40">
        <v>9.4499999999999993</v>
      </c>
      <c r="D21" s="40">
        <v>8.3699999999999992</v>
      </c>
      <c r="E21" s="40">
        <v>6.47</v>
      </c>
      <c r="F21" s="40">
        <v>18.88</v>
      </c>
      <c r="G21" s="40">
        <v>33.520000000000003</v>
      </c>
      <c r="H21" s="40">
        <v>17.260000000000002</v>
      </c>
      <c r="I21" s="40">
        <v>10.59</v>
      </c>
      <c r="J21" s="40">
        <v>4.3600000000000003</v>
      </c>
      <c r="K21" s="40">
        <v>254.63</v>
      </c>
      <c r="L21" s="40">
        <v>31.91</v>
      </c>
      <c r="M21" s="40">
        <v>58.07</v>
      </c>
      <c r="N21" s="40">
        <v>478.1</v>
      </c>
      <c r="O21" s="40">
        <v>0</v>
      </c>
      <c r="P21" s="40">
        <v>0.49</v>
      </c>
      <c r="Q21" s="40">
        <v>29.19</v>
      </c>
      <c r="R21" s="38"/>
      <c r="S21" s="38"/>
      <c r="T21" s="38"/>
      <c r="U21" s="38"/>
    </row>
    <row r="22" spans="1:21" customFormat="1">
      <c r="A22" s="39" t="s">
        <v>769</v>
      </c>
      <c r="B22" s="40">
        <v>3.41</v>
      </c>
      <c r="C22" s="40">
        <v>9.3000000000000007</v>
      </c>
      <c r="D22" s="40">
        <v>6.54</v>
      </c>
      <c r="E22" s="40">
        <v>6.48</v>
      </c>
      <c r="F22" s="40">
        <v>19.36</v>
      </c>
      <c r="G22" s="40">
        <v>31.85</v>
      </c>
      <c r="H22" s="40">
        <v>15.26</v>
      </c>
      <c r="I22" s="40">
        <v>10.68</v>
      </c>
      <c r="J22" s="40">
        <v>3.97</v>
      </c>
      <c r="K22" s="40">
        <v>295.08999999999997</v>
      </c>
      <c r="L22" s="40">
        <v>33.340000000000003</v>
      </c>
      <c r="M22" s="40">
        <v>55.32</v>
      </c>
      <c r="N22" s="40">
        <v>757.4</v>
      </c>
      <c r="O22" s="40">
        <v>0</v>
      </c>
      <c r="P22" s="40">
        <v>0.5</v>
      </c>
      <c r="Q22" s="40">
        <v>29.3</v>
      </c>
      <c r="R22" s="38"/>
      <c r="S22" s="38"/>
      <c r="T22" s="38"/>
      <c r="U22" s="38"/>
    </row>
    <row r="23" spans="1:21" customFormat="1">
      <c r="A23" s="39" t="s">
        <v>770</v>
      </c>
      <c r="B23" s="40">
        <v>2.54</v>
      </c>
      <c r="C23" s="40">
        <v>9.4499999999999993</v>
      </c>
      <c r="D23" s="40">
        <v>5.98</v>
      </c>
      <c r="E23" s="40">
        <v>7.22</v>
      </c>
      <c r="F23" s="40">
        <v>24.39</v>
      </c>
      <c r="G23" s="40">
        <v>29.47</v>
      </c>
      <c r="H23" s="40">
        <v>15.54</v>
      </c>
      <c r="I23" s="40">
        <v>11.09</v>
      </c>
      <c r="J23" s="40">
        <v>2.97</v>
      </c>
      <c r="K23" s="40">
        <v>278.49</v>
      </c>
      <c r="L23" s="40">
        <v>34.380000000000003</v>
      </c>
      <c r="M23" s="40">
        <v>51.59</v>
      </c>
      <c r="N23" s="40">
        <v>650.70000000000005</v>
      </c>
      <c r="O23" s="40">
        <v>0</v>
      </c>
      <c r="P23" s="40">
        <v>0.51</v>
      </c>
      <c r="Q23" s="40">
        <v>29.3</v>
      </c>
      <c r="R23" s="38"/>
      <c r="S23" s="38"/>
      <c r="T23" s="38"/>
      <c r="U23" s="38"/>
    </row>
    <row r="24" spans="1:21" customFormat="1">
      <c r="A24" s="39" t="s">
        <v>771</v>
      </c>
      <c r="B24" s="40">
        <v>2.02</v>
      </c>
      <c r="C24" s="40">
        <v>8.84</v>
      </c>
      <c r="D24" s="40">
        <v>5.24</v>
      </c>
      <c r="E24" s="40">
        <v>7.32</v>
      </c>
      <c r="F24" s="40">
        <v>24.37</v>
      </c>
      <c r="G24" s="40">
        <v>31.5</v>
      </c>
      <c r="H24" s="40">
        <v>18.7</v>
      </c>
      <c r="I24" s="40">
        <v>10.69</v>
      </c>
      <c r="J24" s="40">
        <v>3.87</v>
      </c>
      <c r="K24" s="40">
        <v>176.37</v>
      </c>
      <c r="L24" s="40">
        <v>33.44</v>
      </c>
      <c r="M24" s="40">
        <v>81.63</v>
      </c>
      <c r="N24" s="40">
        <v>119.8</v>
      </c>
      <c r="O24" s="40">
        <v>0.6</v>
      </c>
      <c r="P24" s="40">
        <v>0.5</v>
      </c>
      <c r="Q24" s="40">
        <v>29.48</v>
      </c>
      <c r="R24" s="38"/>
      <c r="S24" s="38"/>
      <c r="T24" s="38"/>
      <c r="U24" s="38"/>
    </row>
    <row r="25" spans="1:21" customFormat="1">
      <c r="A25" s="39" t="s">
        <v>772</v>
      </c>
      <c r="B25" s="40">
        <v>2.15</v>
      </c>
      <c r="C25" s="40">
        <v>11.42</v>
      </c>
      <c r="D25" s="40">
        <v>6.59</v>
      </c>
      <c r="E25" s="40">
        <v>6.78</v>
      </c>
      <c r="F25" s="40">
        <v>12.19</v>
      </c>
      <c r="G25" s="40">
        <v>35.86</v>
      </c>
      <c r="H25" s="40">
        <v>18.760000000000002</v>
      </c>
      <c r="I25" s="40">
        <v>10.59</v>
      </c>
      <c r="J25" s="40">
        <v>2.73</v>
      </c>
      <c r="K25" s="40">
        <v>175.68</v>
      </c>
      <c r="L25" s="40">
        <v>25.37</v>
      </c>
      <c r="M25" s="40">
        <v>88.1</v>
      </c>
      <c r="N25" s="40">
        <v>37.9</v>
      </c>
      <c r="O25" s="40">
        <v>0.4</v>
      </c>
      <c r="P25" s="40">
        <v>0.49</v>
      </c>
      <c r="Q25" s="40">
        <v>29.35</v>
      </c>
      <c r="R25" s="38"/>
      <c r="S25" s="38"/>
      <c r="T25" s="38"/>
      <c r="U25" s="38"/>
    </row>
    <row r="26" spans="1:21" customFormat="1">
      <c r="A26" s="39" t="s">
        <v>773</v>
      </c>
      <c r="B26" s="40">
        <v>2.2400000000000002</v>
      </c>
      <c r="C26" s="40">
        <v>12.22</v>
      </c>
      <c r="D26" s="40">
        <v>7.14</v>
      </c>
      <c r="E26" s="40">
        <v>6.4</v>
      </c>
      <c r="F26" s="40">
        <v>11.15</v>
      </c>
      <c r="G26" s="40">
        <v>28.95</v>
      </c>
      <c r="H26" s="40">
        <v>18.989999999999998</v>
      </c>
      <c r="I26" s="40">
        <v>10.1</v>
      </c>
      <c r="J26" s="40">
        <v>3.48</v>
      </c>
      <c r="K26" s="40">
        <v>253.11</v>
      </c>
      <c r="L26" s="40">
        <v>24.79</v>
      </c>
      <c r="M26" s="40">
        <v>86.1</v>
      </c>
      <c r="N26" s="40">
        <v>30.9</v>
      </c>
      <c r="O26" s="40">
        <v>0</v>
      </c>
      <c r="P26" s="40">
        <v>0.5</v>
      </c>
      <c r="Q26" s="40">
        <v>29.13</v>
      </c>
      <c r="R26" s="38"/>
      <c r="S26" s="38"/>
      <c r="T26" s="38"/>
      <c r="U26" s="38"/>
    </row>
    <row r="27" spans="1:21" customFormat="1">
      <c r="A27" s="39" t="s">
        <v>774</v>
      </c>
      <c r="B27" s="40">
        <v>2.62</v>
      </c>
      <c r="C27" s="40">
        <v>11.96</v>
      </c>
      <c r="D27" s="40">
        <v>7.1</v>
      </c>
      <c r="E27" s="40">
        <v>6.47</v>
      </c>
      <c r="F27" s="40">
        <v>6.35</v>
      </c>
      <c r="G27" s="40">
        <v>29.51</v>
      </c>
      <c r="H27" s="40">
        <v>14.13</v>
      </c>
      <c r="I27" s="40">
        <v>10.199999999999999</v>
      </c>
      <c r="J27" s="40">
        <v>3.86</v>
      </c>
      <c r="K27" s="40">
        <v>217.79</v>
      </c>
      <c r="L27" s="40">
        <v>25.06</v>
      </c>
      <c r="M27" s="40">
        <v>86.26</v>
      </c>
      <c r="N27" s="40">
        <v>25.1</v>
      </c>
      <c r="O27" s="40">
        <v>0</v>
      </c>
      <c r="P27" s="40">
        <v>0.49</v>
      </c>
      <c r="Q27" s="40">
        <v>29.34</v>
      </c>
      <c r="R27" s="38"/>
      <c r="S27" s="38"/>
      <c r="T27" s="38"/>
      <c r="U27" s="38"/>
    </row>
    <row r="28" spans="1:21" customFormat="1">
      <c r="A28" s="39" t="s">
        <v>775</v>
      </c>
      <c r="B28" s="40">
        <v>2.92</v>
      </c>
      <c r="C28" s="40">
        <v>9.58</v>
      </c>
      <c r="D28" s="40">
        <v>6.26</v>
      </c>
      <c r="E28" s="40">
        <v>6.52</v>
      </c>
      <c r="F28" s="40">
        <v>7.41</v>
      </c>
      <c r="G28" s="40">
        <v>30.36</v>
      </c>
      <c r="H28" s="40">
        <v>15.08</v>
      </c>
      <c r="I28" s="40">
        <v>10.039999999999999</v>
      </c>
      <c r="J28" s="40">
        <v>3.9</v>
      </c>
      <c r="K28" s="40">
        <v>230.29</v>
      </c>
      <c r="L28" s="40">
        <v>24.9</v>
      </c>
      <c r="M28" s="40">
        <v>86.24</v>
      </c>
      <c r="N28" s="40">
        <v>24.5</v>
      </c>
      <c r="O28" s="40">
        <v>0</v>
      </c>
      <c r="P28" s="40">
        <v>0.49</v>
      </c>
      <c r="Q28" s="40">
        <v>29.28</v>
      </c>
      <c r="R28" s="38"/>
      <c r="S28" s="38"/>
      <c r="T28" s="38"/>
      <c r="U28" s="38"/>
    </row>
    <row r="29" spans="1:21" customFormat="1">
      <c r="A29" s="39" t="s">
        <v>776</v>
      </c>
      <c r="B29" s="40">
        <v>2.75</v>
      </c>
      <c r="C29" s="40">
        <v>10.42</v>
      </c>
      <c r="D29" s="40">
        <v>6.61</v>
      </c>
      <c r="E29" s="40">
        <v>6.32</v>
      </c>
      <c r="F29" s="40">
        <v>8.27</v>
      </c>
      <c r="G29" s="40">
        <v>20.94</v>
      </c>
      <c r="H29" s="40">
        <v>14.07</v>
      </c>
      <c r="I29" s="40">
        <v>9.85</v>
      </c>
      <c r="J29" s="40">
        <v>3.89</v>
      </c>
      <c r="K29" s="40">
        <v>254.81</v>
      </c>
      <c r="L29" s="40">
        <v>24.79</v>
      </c>
      <c r="M29" s="40">
        <v>86.41</v>
      </c>
      <c r="N29" s="40">
        <v>24</v>
      </c>
      <c r="O29" s="40">
        <v>0</v>
      </c>
      <c r="P29" s="40">
        <v>0.47</v>
      </c>
      <c r="Q29" s="40">
        <v>29.18</v>
      </c>
      <c r="R29" s="38"/>
      <c r="S29" s="38"/>
      <c r="T29" s="38"/>
      <c r="U29" s="38"/>
    </row>
    <row r="30" spans="1:21" customFormat="1">
      <c r="A30" s="39" t="s">
        <v>777</v>
      </c>
      <c r="B30" s="40">
        <v>3.05</v>
      </c>
      <c r="C30" s="40">
        <v>10.88</v>
      </c>
      <c r="D30" s="40">
        <v>6.92</v>
      </c>
      <c r="E30" s="40">
        <v>6.02</v>
      </c>
      <c r="F30" s="40">
        <v>5.17</v>
      </c>
      <c r="G30" s="40">
        <v>20.54</v>
      </c>
      <c r="H30" s="40">
        <v>13.82</v>
      </c>
      <c r="I30" s="40">
        <v>9.61</v>
      </c>
      <c r="J30" s="40">
        <v>4.9400000000000004</v>
      </c>
      <c r="K30" s="40">
        <v>251.72</v>
      </c>
      <c r="L30" s="40">
        <v>25.13</v>
      </c>
      <c r="M30" s="40">
        <v>83.83</v>
      </c>
      <c r="N30" s="40">
        <v>23.8</v>
      </c>
      <c r="O30" s="40">
        <v>0</v>
      </c>
      <c r="P30" s="40">
        <v>0.48</v>
      </c>
      <c r="Q30" s="40">
        <v>29.25</v>
      </c>
      <c r="R30" s="38"/>
      <c r="S30" s="38"/>
      <c r="T30" s="38"/>
      <c r="U30" s="38"/>
    </row>
    <row r="31" spans="1:21" customFormat="1">
      <c r="A31" s="39" t="s">
        <v>778</v>
      </c>
      <c r="B31" s="40">
        <v>3.86</v>
      </c>
      <c r="C31" s="40">
        <v>9.4499999999999993</v>
      </c>
      <c r="D31" s="40">
        <v>6.96</v>
      </c>
      <c r="E31" s="40">
        <v>6.1</v>
      </c>
      <c r="F31" s="40">
        <v>4.21</v>
      </c>
      <c r="G31" s="40">
        <v>22.4</v>
      </c>
      <c r="H31" s="40">
        <v>11.37</v>
      </c>
      <c r="I31" s="40">
        <v>10.11</v>
      </c>
      <c r="J31" s="40">
        <v>4.4800000000000004</v>
      </c>
      <c r="K31" s="40">
        <v>308.14</v>
      </c>
      <c r="L31" s="40">
        <v>25.16</v>
      </c>
      <c r="M31" s="40">
        <v>84.18</v>
      </c>
      <c r="N31" s="40">
        <v>23.4</v>
      </c>
      <c r="O31" s="40">
        <v>0</v>
      </c>
      <c r="P31" s="40">
        <v>0.49</v>
      </c>
      <c r="Q31" s="40">
        <v>29.32</v>
      </c>
      <c r="R31" s="38"/>
      <c r="S31" s="38"/>
      <c r="T31" s="38"/>
      <c r="U31" s="38"/>
    </row>
    <row r="32" spans="1:21" customFormat="1">
      <c r="A32" s="39" t="s">
        <v>779</v>
      </c>
      <c r="B32" s="40">
        <v>4</v>
      </c>
      <c r="C32" s="40">
        <v>10.81</v>
      </c>
      <c r="D32" s="40">
        <v>7.81</v>
      </c>
      <c r="E32" s="40">
        <v>5.66</v>
      </c>
      <c r="F32" s="40">
        <v>6.31</v>
      </c>
      <c r="G32" s="40">
        <v>28.83</v>
      </c>
      <c r="H32" s="40">
        <v>16.079999999999998</v>
      </c>
      <c r="I32" s="40">
        <v>12.94</v>
      </c>
      <c r="J32" s="40">
        <v>4.3899999999999997</v>
      </c>
      <c r="K32" s="40">
        <v>248.01</v>
      </c>
      <c r="L32" s="40">
        <v>25.22</v>
      </c>
      <c r="M32" s="40">
        <v>82.96</v>
      </c>
      <c r="N32" s="40">
        <v>23.5</v>
      </c>
      <c r="O32" s="40">
        <v>0</v>
      </c>
      <c r="P32" s="40">
        <v>0.52</v>
      </c>
      <c r="Q32" s="40">
        <v>29.16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2.02</v>
      </c>
      <c r="C34" s="18">
        <f t="shared" si="0"/>
        <v>8.09</v>
      </c>
      <c r="D34" s="18">
        <f t="shared" si="0"/>
        <v>5.24</v>
      </c>
      <c r="E34" s="18">
        <f t="shared" si="0"/>
        <v>5.52</v>
      </c>
      <c r="F34" s="18">
        <f t="shared" si="0"/>
        <v>3.51</v>
      </c>
      <c r="G34" s="18">
        <f t="shared" si="0"/>
        <v>13.63</v>
      </c>
      <c r="H34" s="18">
        <f t="shared" si="0"/>
        <v>2.54</v>
      </c>
      <c r="I34" s="18">
        <f t="shared" si="0"/>
        <v>8.64</v>
      </c>
      <c r="J34" s="18">
        <f t="shared" si="0"/>
        <v>1.54</v>
      </c>
      <c r="K34" s="18">
        <f t="shared" si="0"/>
        <v>175.68</v>
      </c>
      <c r="L34" s="18">
        <f t="shared" si="0"/>
        <v>24.79</v>
      </c>
      <c r="M34" s="18">
        <f t="shared" si="0"/>
        <v>51.59</v>
      </c>
      <c r="N34" s="18">
        <f t="shared" si="0"/>
        <v>23.4</v>
      </c>
      <c r="O34" s="18">
        <f t="shared" si="0"/>
        <v>0</v>
      </c>
      <c r="P34" s="18">
        <f t="shared" si="0"/>
        <v>0.35</v>
      </c>
      <c r="Q34" s="18">
        <f t="shared" si="0"/>
        <v>28.66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13.25</v>
      </c>
      <c r="C35" s="3">
        <f t="shared" si="1"/>
        <v>12.78</v>
      </c>
      <c r="D35" s="3">
        <f t="shared" si="1"/>
        <v>15.7</v>
      </c>
      <c r="E35" s="3">
        <f t="shared" si="1"/>
        <v>7.32</v>
      </c>
      <c r="F35" s="3">
        <f t="shared" si="1"/>
        <v>24.39</v>
      </c>
      <c r="G35" s="3">
        <f t="shared" si="1"/>
        <v>35.86</v>
      </c>
      <c r="H35" s="3">
        <f t="shared" si="1"/>
        <v>18.989999999999998</v>
      </c>
      <c r="I35" s="3">
        <f t="shared" si="1"/>
        <v>12.94</v>
      </c>
      <c r="J35" s="3">
        <f t="shared" si="1"/>
        <v>5.17</v>
      </c>
      <c r="K35" s="3">
        <f t="shared" si="1"/>
        <v>313.29000000000002</v>
      </c>
      <c r="L35" s="3">
        <f t="shared" si="1"/>
        <v>34.380000000000003</v>
      </c>
      <c r="M35" s="3">
        <f t="shared" si="1"/>
        <v>88.1</v>
      </c>
      <c r="N35" s="3">
        <f t="shared" si="1"/>
        <v>757.4</v>
      </c>
      <c r="O35" s="3">
        <f t="shared" si="1"/>
        <v>0.6</v>
      </c>
      <c r="P35" s="3">
        <f t="shared" si="1"/>
        <v>0.54</v>
      </c>
      <c r="Q35" s="3">
        <f t="shared" si="1"/>
        <v>29.48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6.2383333333333342</v>
      </c>
      <c r="C36" s="18">
        <f t="shared" si="2"/>
        <v>10.455833333333333</v>
      </c>
      <c r="D36" s="18">
        <f t="shared" si="2"/>
        <v>9.3066666666666666</v>
      </c>
      <c r="E36" s="18">
        <f t="shared" si="2"/>
        <v>6.3158333333333339</v>
      </c>
      <c r="F36" s="18">
        <f t="shared" si="2"/>
        <v>9.1195833333333329</v>
      </c>
      <c r="G36" s="18">
        <f t="shared" si="2"/>
        <v>25.7075</v>
      </c>
      <c r="H36" s="18">
        <f t="shared" si="2"/>
        <v>11.27875</v>
      </c>
      <c r="I36" s="18">
        <f t="shared" si="2"/>
        <v>10.502083333333333</v>
      </c>
      <c r="J36" s="18">
        <f t="shared" si="2"/>
        <v>3.9279166666666669</v>
      </c>
      <c r="K36" s="18">
        <f t="shared" si="2"/>
        <v>239.63791666666671</v>
      </c>
      <c r="L36" s="18">
        <f t="shared" si="2"/>
        <v>27.67958333333333</v>
      </c>
      <c r="M36" s="18">
        <f t="shared" si="2"/>
        <v>76.394166666666663</v>
      </c>
      <c r="N36" s="18">
        <f t="shared" si="2"/>
        <v>186.61249999999998</v>
      </c>
      <c r="O36" s="18">
        <f t="shared" si="2"/>
        <v>4.1666666666666664E-2</v>
      </c>
      <c r="P36" s="18">
        <f t="shared" si="2"/>
        <v>0.47333333333333333</v>
      </c>
      <c r="Q36" s="18">
        <f t="shared" si="2"/>
        <v>29.0825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3.7796280777077884</v>
      </c>
      <c r="C37" s="18">
        <f t="shared" ref="C37:Q37" si="3">STDEV(C9:C32)</f>
        <v>1.2476583864485378</v>
      </c>
      <c r="D37" s="18">
        <f t="shared" si="3"/>
        <v>3.1107634553855648</v>
      </c>
      <c r="E37" s="18">
        <f t="shared" si="3"/>
        <v>0.44355203279559152</v>
      </c>
      <c r="F37" s="18">
        <f t="shared" si="3"/>
        <v>6.3948460763789887</v>
      </c>
      <c r="G37" s="18">
        <f t="shared" si="3"/>
        <v>6.5997294081552713</v>
      </c>
      <c r="H37" s="18">
        <f t="shared" si="3"/>
        <v>5.402351591426763</v>
      </c>
      <c r="I37" s="18">
        <f t="shared" si="3"/>
        <v>1.0779609542282038</v>
      </c>
      <c r="J37" s="18">
        <f t="shared" si="3"/>
        <v>0.7763850409970926</v>
      </c>
      <c r="K37" s="18">
        <f t="shared" si="3"/>
        <v>39.983773119382739</v>
      </c>
      <c r="L37" s="18">
        <f t="shared" si="3"/>
        <v>3.1607944504461347</v>
      </c>
      <c r="M37" s="18">
        <f t="shared" si="3"/>
        <v>10.253249714609773</v>
      </c>
      <c r="N37" s="18">
        <f t="shared" si="3"/>
        <v>249.05660141124895</v>
      </c>
      <c r="O37" s="18">
        <f t="shared" si="3"/>
        <v>0.14421200175184923</v>
      </c>
      <c r="P37" s="18">
        <f t="shared" si="3"/>
        <v>4.5841567112854247E-2</v>
      </c>
      <c r="Q37" s="18">
        <f t="shared" si="3"/>
        <v>0.23856910401664402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780</v>
      </c>
      <c r="B9" s="40">
        <v>4.87</v>
      </c>
      <c r="C9" s="40">
        <v>13.04</v>
      </c>
      <c r="D9" s="40">
        <v>9.7200000000000006</v>
      </c>
      <c r="E9" s="40">
        <v>5.68</v>
      </c>
      <c r="F9" s="40">
        <v>5.5</v>
      </c>
      <c r="G9" s="40">
        <v>38.94</v>
      </c>
      <c r="H9" s="40">
        <v>18</v>
      </c>
      <c r="I9" s="40">
        <v>14.13</v>
      </c>
      <c r="J9" s="40">
        <v>3.44</v>
      </c>
      <c r="K9" s="40">
        <v>261.95999999999998</v>
      </c>
      <c r="L9" s="40">
        <v>25.27</v>
      </c>
      <c r="M9" s="40">
        <v>81.52</v>
      </c>
      <c r="N9" s="40">
        <v>23.3</v>
      </c>
      <c r="O9" s="40">
        <v>0</v>
      </c>
      <c r="P9" s="40">
        <v>0.54</v>
      </c>
      <c r="Q9" s="40">
        <v>28.97</v>
      </c>
      <c r="R9" s="38"/>
      <c r="S9" s="38"/>
      <c r="T9" s="38"/>
      <c r="U9" s="38"/>
    </row>
    <row r="10" spans="1:21" customFormat="1">
      <c r="A10" s="39" t="s">
        <v>781</v>
      </c>
      <c r="B10" s="40">
        <v>5.24</v>
      </c>
      <c r="C10" s="40">
        <v>11.18</v>
      </c>
      <c r="D10" s="40">
        <v>8.9</v>
      </c>
      <c r="E10" s="40">
        <v>5.58</v>
      </c>
      <c r="F10" s="40">
        <v>5.49</v>
      </c>
      <c r="G10" s="40">
        <v>45.62</v>
      </c>
      <c r="H10" s="40">
        <v>20.079999999999998</v>
      </c>
      <c r="I10" s="40">
        <v>14.52</v>
      </c>
      <c r="J10" s="40">
        <v>4.53</v>
      </c>
      <c r="K10" s="40">
        <v>261.22000000000003</v>
      </c>
      <c r="L10" s="40">
        <v>25.2</v>
      </c>
      <c r="M10" s="40">
        <v>80.45</v>
      </c>
      <c r="N10" s="40">
        <v>23.3</v>
      </c>
      <c r="O10" s="40">
        <v>0</v>
      </c>
      <c r="P10" s="40">
        <v>0.55000000000000004</v>
      </c>
      <c r="Q10" s="40">
        <v>29.03</v>
      </c>
      <c r="R10" s="38"/>
      <c r="S10" s="38"/>
      <c r="T10" s="38"/>
      <c r="U10" s="38"/>
    </row>
    <row r="11" spans="1:21" customFormat="1">
      <c r="A11" s="39" t="s">
        <v>782</v>
      </c>
      <c r="B11" s="40">
        <v>5.28</v>
      </c>
      <c r="C11" s="40">
        <v>10.210000000000001</v>
      </c>
      <c r="D11" s="40">
        <v>8.57</v>
      </c>
      <c r="E11" s="40">
        <v>5.86</v>
      </c>
      <c r="F11" s="40">
        <v>6.49</v>
      </c>
      <c r="G11" s="40">
        <v>47.82</v>
      </c>
      <c r="H11" s="40">
        <v>19.489999999999998</v>
      </c>
      <c r="I11" s="40">
        <v>14.26</v>
      </c>
      <c r="J11" s="40">
        <v>3.46</v>
      </c>
      <c r="K11" s="40">
        <v>192.93</v>
      </c>
      <c r="L11" s="40">
        <v>25.11</v>
      </c>
      <c r="M11" s="40">
        <v>83.81</v>
      </c>
      <c r="N11" s="40">
        <v>23.5</v>
      </c>
      <c r="O11" s="40">
        <v>0</v>
      </c>
      <c r="P11" s="40">
        <v>0.54</v>
      </c>
      <c r="Q11" s="40">
        <v>29.01</v>
      </c>
      <c r="R11" s="38"/>
      <c r="S11" s="38"/>
      <c r="T11" s="38"/>
      <c r="U11" s="38"/>
    </row>
    <row r="12" spans="1:21" customFormat="1">
      <c r="A12" s="39" t="s">
        <v>783</v>
      </c>
      <c r="B12" s="40">
        <v>5.83</v>
      </c>
      <c r="C12" s="40">
        <v>12.8</v>
      </c>
      <c r="D12" s="40">
        <v>10.37</v>
      </c>
      <c r="E12" s="40">
        <v>5.53</v>
      </c>
      <c r="F12" s="40">
        <v>6.37</v>
      </c>
      <c r="G12" s="40">
        <v>49.72</v>
      </c>
      <c r="H12" s="40">
        <v>22.33</v>
      </c>
      <c r="I12" s="40">
        <v>13.88</v>
      </c>
      <c r="J12" s="40">
        <v>3.21</v>
      </c>
      <c r="K12" s="40">
        <v>256.57</v>
      </c>
      <c r="L12" s="40">
        <v>24.95</v>
      </c>
      <c r="M12" s="40">
        <v>82.06</v>
      </c>
      <c r="N12" s="40">
        <v>23.3</v>
      </c>
      <c r="O12" s="40">
        <v>0</v>
      </c>
      <c r="P12" s="40">
        <v>0.54</v>
      </c>
      <c r="Q12" s="40">
        <v>28.89</v>
      </c>
      <c r="R12" s="38"/>
      <c r="S12" s="38"/>
      <c r="T12" s="38"/>
      <c r="U12" s="38"/>
    </row>
    <row r="13" spans="1:21" customFormat="1">
      <c r="A13" s="39" t="s">
        <v>784</v>
      </c>
      <c r="B13" s="40">
        <v>6.82</v>
      </c>
      <c r="C13" s="40">
        <v>13.84</v>
      </c>
      <c r="D13" s="40">
        <v>11.1</v>
      </c>
      <c r="E13" s="40">
        <v>5.35</v>
      </c>
      <c r="F13" s="40">
        <v>3.35</v>
      </c>
      <c r="G13" s="40">
        <v>43.6</v>
      </c>
      <c r="H13" s="40">
        <v>23.12</v>
      </c>
      <c r="I13" s="40">
        <v>13.46</v>
      </c>
      <c r="J13" s="40">
        <v>3.73</v>
      </c>
      <c r="K13" s="40">
        <v>301.39</v>
      </c>
      <c r="L13" s="40">
        <v>25.13</v>
      </c>
      <c r="M13" s="40">
        <v>82.5</v>
      </c>
      <c r="N13" s="40">
        <v>23.5</v>
      </c>
      <c r="O13" s="40">
        <v>0</v>
      </c>
      <c r="P13" s="40">
        <v>0.52</v>
      </c>
      <c r="Q13" s="40">
        <v>28.87</v>
      </c>
      <c r="R13" s="38"/>
      <c r="S13" s="38"/>
      <c r="T13" s="38"/>
      <c r="U13" s="38"/>
    </row>
    <row r="14" spans="1:21" customFormat="1">
      <c r="A14" s="39" t="s">
        <v>785</v>
      </c>
      <c r="B14" s="40">
        <v>7.58</v>
      </c>
      <c r="C14" s="40">
        <v>12.38</v>
      </c>
      <c r="D14" s="40">
        <v>11.12</v>
      </c>
      <c r="E14" s="40">
        <v>5.68</v>
      </c>
      <c r="F14" s="40">
        <v>3.73</v>
      </c>
      <c r="G14" s="40">
        <v>46.34</v>
      </c>
      <c r="H14" s="40">
        <v>24.47</v>
      </c>
      <c r="I14" s="40">
        <v>13.49</v>
      </c>
      <c r="J14" s="40">
        <v>4.1100000000000003</v>
      </c>
      <c r="K14" s="40">
        <v>199.23</v>
      </c>
      <c r="L14" s="40">
        <v>24.99</v>
      </c>
      <c r="M14" s="40">
        <v>88.15</v>
      </c>
      <c r="N14" s="40">
        <v>40.700000000000003</v>
      </c>
      <c r="O14" s="40">
        <v>0</v>
      </c>
      <c r="P14" s="40">
        <v>0.54</v>
      </c>
      <c r="Q14" s="40">
        <v>28.87</v>
      </c>
      <c r="R14" s="38"/>
      <c r="S14" s="38"/>
      <c r="T14" s="38"/>
      <c r="U14" s="38"/>
    </row>
    <row r="15" spans="1:21" customFormat="1">
      <c r="A15" s="39" t="s">
        <v>786</v>
      </c>
      <c r="B15" s="40">
        <v>7.95</v>
      </c>
      <c r="C15" s="40">
        <v>10.59</v>
      </c>
      <c r="D15" s="40">
        <v>10.9</v>
      </c>
      <c r="E15" s="40">
        <v>5.85</v>
      </c>
      <c r="F15" s="40">
        <v>3.97</v>
      </c>
      <c r="G15" s="40">
        <v>48.39</v>
      </c>
      <c r="H15" s="40">
        <v>24.71</v>
      </c>
      <c r="I15" s="40">
        <v>13.72</v>
      </c>
      <c r="J15" s="40">
        <v>4.4000000000000004</v>
      </c>
      <c r="K15" s="40">
        <v>218.41</v>
      </c>
      <c r="L15" s="40">
        <v>25.2</v>
      </c>
      <c r="M15" s="40">
        <v>88.34</v>
      </c>
      <c r="N15" s="40">
        <v>108.2</v>
      </c>
      <c r="O15" s="40">
        <v>0</v>
      </c>
      <c r="P15" s="40">
        <v>0.55000000000000004</v>
      </c>
      <c r="Q15" s="40">
        <v>28.77</v>
      </c>
      <c r="R15" s="38"/>
      <c r="S15" s="38"/>
      <c r="T15" s="38"/>
      <c r="U15" s="38"/>
    </row>
    <row r="16" spans="1:21" customFormat="1">
      <c r="A16" s="39" t="s">
        <v>787</v>
      </c>
      <c r="B16" s="40">
        <v>8.44</v>
      </c>
      <c r="C16" s="40">
        <v>12.38</v>
      </c>
      <c r="D16" s="40">
        <v>12</v>
      </c>
      <c r="E16" s="40">
        <v>5.66</v>
      </c>
      <c r="F16" s="40">
        <v>3.37</v>
      </c>
      <c r="G16" s="40">
        <v>48.92</v>
      </c>
      <c r="H16" s="40">
        <v>26.41</v>
      </c>
      <c r="I16" s="40">
        <v>13.51</v>
      </c>
      <c r="J16" s="40">
        <v>4.99</v>
      </c>
      <c r="K16" s="40">
        <v>252.42</v>
      </c>
      <c r="L16" s="40">
        <v>26.61</v>
      </c>
      <c r="M16" s="40">
        <v>84.93</v>
      </c>
      <c r="N16" s="40">
        <v>250.4</v>
      </c>
      <c r="O16" s="40">
        <v>0</v>
      </c>
      <c r="P16" s="40">
        <v>0.56000000000000005</v>
      </c>
      <c r="Q16" s="40">
        <v>28.83</v>
      </c>
      <c r="R16" s="38"/>
      <c r="S16" s="38"/>
      <c r="T16" s="38"/>
      <c r="U16" s="38"/>
    </row>
    <row r="17" spans="1:21" customFormat="1">
      <c r="A17" s="39" t="s">
        <v>788</v>
      </c>
      <c r="B17" s="40">
        <v>8.68</v>
      </c>
      <c r="C17" s="40">
        <v>11.99</v>
      </c>
      <c r="D17" s="40">
        <v>12.23</v>
      </c>
      <c r="E17" s="40">
        <v>6.08</v>
      </c>
      <c r="F17" s="40">
        <v>9.18</v>
      </c>
      <c r="G17" s="40">
        <v>49.36</v>
      </c>
      <c r="H17" s="40">
        <v>24.5</v>
      </c>
      <c r="I17" s="40">
        <v>13.46</v>
      </c>
      <c r="J17" s="40">
        <v>4.67</v>
      </c>
      <c r="K17" s="40">
        <v>346.5</v>
      </c>
      <c r="L17" s="40">
        <v>28.59</v>
      </c>
      <c r="M17" s="40">
        <v>74.47</v>
      </c>
      <c r="N17" s="40">
        <v>433.5</v>
      </c>
      <c r="O17" s="40">
        <v>0</v>
      </c>
      <c r="P17" s="40">
        <v>0.57999999999999996</v>
      </c>
      <c r="Q17" s="40">
        <v>28.83</v>
      </c>
      <c r="R17" s="38"/>
      <c r="S17" s="38"/>
      <c r="T17" s="38"/>
      <c r="U17" s="38"/>
    </row>
    <row r="18" spans="1:21" customFormat="1">
      <c r="A18" s="39" t="s">
        <v>789</v>
      </c>
      <c r="B18" s="40">
        <v>7.45</v>
      </c>
      <c r="C18" s="40">
        <v>16.579999999999998</v>
      </c>
      <c r="D18" s="40">
        <v>13.44</v>
      </c>
      <c r="E18" s="40">
        <v>7.51</v>
      </c>
      <c r="F18" s="40">
        <v>10.47</v>
      </c>
      <c r="G18" s="40">
        <v>56.11</v>
      </c>
      <c r="H18" s="40">
        <v>28.55</v>
      </c>
      <c r="I18" s="40">
        <v>13.69</v>
      </c>
      <c r="J18" s="40">
        <v>3.53</v>
      </c>
      <c r="K18" s="40">
        <v>353.41</v>
      </c>
      <c r="L18" s="40">
        <v>30.68</v>
      </c>
      <c r="M18" s="40">
        <v>63.93</v>
      </c>
      <c r="N18" s="40">
        <v>432.5</v>
      </c>
      <c r="O18" s="40">
        <v>0</v>
      </c>
      <c r="P18" s="40">
        <v>0.79</v>
      </c>
      <c r="Q18" s="40">
        <v>28.76</v>
      </c>
      <c r="R18" s="38"/>
      <c r="S18" s="38"/>
      <c r="T18" s="38"/>
      <c r="U18" s="38"/>
    </row>
    <row r="19" spans="1:21" customFormat="1">
      <c r="A19" s="39" t="s">
        <v>790</v>
      </c>
      <c r="B19" s="40">
        <v>7.03</v>
      </c>
      <c r="C19" s="40">
        <v>17.649999999999999</v>
      </c>
      <c r="D19" s="40">
        <v>13.57</v>
      </c>
      <c r="E19" s="40">
        <v>7.67</v>
      </c>
      <c r="F19" s="40">
        <v>10.48</v>
      </c>
      <c r="G19" s="40">
        <v>78.2</v>
      </c>
      <c r="H19" s="40">
        <v>37.06</v>
      </c>
      <c r="I19" s="40">
        <v>15.49</v>
      </c>
      <c r="J19" s="40">
        <v>3.42</v>
      </c>
      <c r="K19" s="40">
        <v>130.78</v>
      </c>
      <c r="L19" s="40">
        <v>31.43</v>
      </c>
      <c r="M19" s="40">
        <v>65.8</v>
      </c>
      <c r="N19" s="40">
        <v>536.79999999999995</v>
      </c>
      <c r="O19" s="40">
        <v>0</v>
      </c>
      <c r="P19" s="40">
        <v>0.8</v>
      </c>
      <c r="Q19" s="40">
        <v>28.61</v>
      </c>
      <c r="R19" s="38"/>
      <c r="S19" s="38"/>
      <c r="T19" s="38"/>
      <c r="U19" s="38"/>
    </row>
    <row r="20" spans="1:21" customFormat="1">
      <c r="A20" s="39" t="s">
        <v>791</v>
      </c>
      <c r="B20" s="40">
        <v>5.43</v>
      </c>
      <c r="C20" s="40">
        <v>15.61</v>
      </c>
      <c r="D20" s="40">
        <v>11.52</v>
      </c>
      <c r="E20" s="40">
        <v>9.35</v>
      </c>
      <c r="F20" s="40">
        <v>19.89</v>
      </c>
      <c r="G20" s="40">
        <v>92.2</v>
      </c>
      <c r="H20" s="40">
        <v>40.729999999999997</v>
      </c>
      <c r="I20" s="40">
        <v>15.1</v>
      </c>
      <c r="J20" s="40">
        <v>3.84</v>
      </c>
      <c r="K20" s="40">
        <v>135.25</v>
      </c>
      <c r="L20" s="40">
        <v>33.119999999999997</v>
      </c>
      <c r="M20" s="40">
        <v>55.15</v>
      </c>
      <c r="N20" s="40">
        <v>765.3</v>
      </c>
      <c r="O20" s="40">
        <v>0</v>
      </c>
      <c r="P20" s="40">
        <v>0.76</v>
      </c>
      <c r="Q20" s="40">
        <v>28.92</v>
      </c>
      <c r="R20" s="38"/>
      <c r="S20" s="38"/>
      <c r="T20" s="38"/>
      <c r="U20" s="38"/>
    </row>
    <row r="21" spans="1:21" customFormat="1">
      <c r="A21" s="39" t="s">
        <v>792</v>
      </c>
      <c r="B21" s="40">
        <v>4.3899999999999997</v>
      </c>
      <c r="C21" s="40">
        <v>13.39</v>
      </c>
      <c r="D21" s="40">
        <v>9.42</v>
      </c>
      <c r="E21" s="40">
        <v>8.86</v>
      </c>
      <c r="F21" s="40">
        <v>23.79</v>
      </c>
      <c r="G21" s="40">
        <v>84.14</v>
      </c>
      <c r="H21" s="40">
        <v>37.229999999999997</v>
      </c>
      <c r="I21" s="40">
        <v>14.25</v>
      </c>
      <c r="J21" s="40">
        <v>4.12</v>
      </c>
      <c r="K21" s="40">
        <v>53.87</v>
      </c>
      <c r="L21" s="40">
        <v>33.659999999999997</v>
      </c>
      <c r="M21" s="40">
        <v>49.08</v>
      </c>
      <c r="N21" s="40">
        <v>724.4</v>
      </c>
      <c r="O21" s="40">
        <v>0</v>
      </c>
      <c r="P21" s="40">
        <v>0.75</v>
      </c>
      <c r="Q21" s="40">
        <v>29.03</v>
      </c>
      <c r="R21" s="38"/>
      <c r="S21" s="38"/>
      <c r="T21" s="38"/>
      <c r="U21" s="38"/>
    </row>
    <row r="22" spans="1:21" customFormat="1">
      <c r="A22" s="39" t="s">
        <v>793</v>
      </c>
      <c r="B22" s="40">
        <v>4</v>
      </c>
      <c r="C22" s="40">
        <v>14.4</v>
      </c>
      <c r="D22" s="40">
        <v>8.5299999999999994</v>
      </c>
      <c r="E22" s="40">
        <v>8.73</v>
      </c>
      <c r="F22" s="40">
        <v>23.25</v>
      </c>
      <c r="G22" s="40">
        <v>86.15</v>
      </c>
      <c r="H22" s="40">
        <v>39.58</v>
      </c>
      <c r="I22" s="40">
        <v>13.76</v>
      </c>
      <c r="J22" s="40">
        <v>4.71</v>
      </c>
      <c r="K22" s="40">
        <v>50.38</v>
      </c>
      <c r="L22" s="40">
        <v>34.97</v>
      </c>
      <c r="M22" s="40">
        <v>44.85</v>
      </c>
      <c r="N22" s="40">
        <v>732.8</v>
      </c>
      <c r="O22" s="40">
        <v>0</v>
      </c>
      <c r="P22" s="40">
        <v>0.72</v>
      </c>
      <c r="Q22" s="40">
        <v>29.02</v>
      </c>
      <c r="R22" s="38"/>
      <c r="S22" s="38"/>
      <c r="T22" s="38"/>
      <c r="U22" s="38"/>
    </row>
    <row r="23" spans="1:21" customFormat="1">
      <c r="A23" s="39" t="s">
        <v>794</v>
      </c>
      <c r="B23" s="40">
        <v>2.41</v>
      </c>
      <c r="C23" s="40">
        <v>14.08</v>
      </c>
      <c r="D23" s="40">
        <v>8.3000000000000007</v>
      </c>
      <c r="E23" s="40">
        <v>10.039999999999999</v>
      </c>
      <c r="F23" s="40">
        <v>31.39</v>
      </c>
      <c r="G23" s="40">
        <v>85.88</v>
      </c>
      <c r="H23" s="40">
        <v>35.68</v>
      </c>
      <c r="I23" s="40">
        <v>12.87</v>
      </c>
      <c r="J23" s="40">
        <v>4.05</v>
      </c>
      <c r="K23" s="40">
        <v>315.88</v>
      </c>
      <c r="L23" s="40">
        <v>34.78</v>
      </c>
      <c r="M23" s="40">
        <v>44.76</v>
      </c>
      <c r="N23" s="40">
        <v>377.6</v>
      </c>
      <c r="O23" s="40">
        <v>0</v>
      </c>
      <c r="P23" s="40">
        <v>0.68</v>
      </c>
      <c r="Q23" s="40">
        <v>29.31</v>
      </c>
      <c r="R23" s="38"/>
      <c r="S23" s="38"/>
      <c r="T23" s="38"/>
      <c r="U23" s="38"/>
    </row>
    <row r="24" spans="1:21" customFormat="1">
      <c r="A24" s="39" t="s">
        <v>795</v>
      </c>
      <c r="B24" s="40">
        <v>4.6100000000000003</v>
      </c>
      <c r="C24" s="40">
        <v>15.43</v>
      </c>
      <c r="D24" s="40">
        <v>10.77</v>
      </c>
      <c r="E24" s="40">
        <v>10.050000000000001</v>
      </c>
      <c r="F24" s="40">
        <v>40.130000000000003</v>
      </c>
      <c r="G24" s="40">
        <v>73.72</v>
      </c>
      <c r="H24" s="40">
        <v>37.229999999999997</v>
      </c>
      <c r="I24" s="40">
        <v>12.02</v>
      </c>
      <c r="J24" s="40">
        <v>2.4900000000000002</v>
      </c>
      <c r="K24" s="40">
        <v>334.25</v>
      </c>
      <c r="L24" s="40">
        <v>35.200000000000003</v>
      </c>
      <c r="M24" s="40">
        <v>46.61</v>
      </c>
      <c r="N24" s="40">
        <v>382.4</v>
      </c>
      <c r="O24" s="40">
        <v>0</v>
      </c>
      <c r="P24" s="40">
        <v>0.64</v>
      </c>
      <c r="Q24" s="40">
        <v>29.28</v>
      </c>
      <c r="R24" s="38"/>
      <c r="S24" s="38"/>
      <c r="T24" s="38"/>
      <c r="U24" s="38"/>
    </row>
    <row r="25" spans="1:21" customFormat="1">
      <c r="A25" s="39" t="s">
        <v>796</v>
      </c>
      <c r="B25" s="40">
        <v>1.63</v>
      </c>
      <c r="C25" s="40">
        <v>11.76</v>
      </c>
      <c r="D25" s="40">
        <v>6.45</v>
      </c>
      <c r="E25" s="40">
        <v>9.14</v>
      </c>
      <c r="F25" s="40">
        <v>34.33</v>
      </c>
      <c r="G25" s="40">
        <v>71.22</v>
      </c>
      <c r="H25" s="40">
        <v>38.19</v>
      </c>
      <c r="I25" s="40">
        <v>11.29</v>
      </c>
      <c r="J25" s="40">
        <v>3.54</v>
      </c>
      <c r="K25" s="40">
        <v>156.15</v>
      </c>
      <c r="L25" s="40">
        <v>34.03</v>
      </c>
      <c r="M25" s="40">
        <v>48.94</v>
      </c>
      <c r="N25" s="40">
        <v>254</v>
      </c>
      <c r="O25" s="40">
        <v>0</v>
      </c>
      <c r="P25" s="40">
        <v>0.62</v>
      </c>
      <c r="Q25" s="40">
        <v>29.27</v>
      </c>
      <c r="R25" s="38"/>
      <c r="S25" s="38"/>
      <c r="T25" s="38"/>
      <c r="U25" s="38"/>
    </row>
    <row r="26" spans="1:21" customFormat="1">
      <c r="A26" s="39" t="s">
        <v>797</v>
      </c>
      <c r="B26" s="40">
        <v>1.59</v>
      </c>
      <c r="C26" s="40">
        <v>12.37</v>
      </c>
      <c r="D26" s="40">
        <v>6.68</v>
      </c>
      <c r="E26" s="40">
        <v>8.43</v>
      </c>
      <c r="F26" s="40">
        <v>29.16</v>
      </c>
      <c r="G26" s="40">
        <v>63.84</v>
      </c>
      <c r="H26" s="40">
        <v>37.47</v>
      </c>
      <c r="I26" s="40">
        <v>11.79</v>
      </c>
      <c r="J26" s="40">
        <v>4.3</v>
      </c>
      <c r="K26" s="40">
        <v>245.82</v>
      </c>
      <c r="L26" s="40">
        <v>32.92</v>
      </c>
      <c r="M26" s="40">
        <v>61.43</v>
      </c>
      <c r="N26" s="40">
        <v>59.6</v>
      </c>
      <c r="O26" s="40">
        <v>0</v>
      </c>
      <c r="P26" s="40">
        <v>0.59</v>
      </c>
      <c r="Q26" s="40">
        <v>29.37</v>
      </c>
      <c r="R26" s="38"/>
      <c r="S26" s="38"/>
      <c r="T26" s="38"/>
      <c r="U26" s="38"/>
    </row>
    <row r="27" spans="1:21" customFormat="1">
      <c r="A27" s="39" t="s">
        <v>798</v>
      </c>
      <c r="B27" s="40">
        <v>2</v>
      </c>
      <c r="C27" s="40">
        <v>12.39</v>
      </c>
      <c r="D27" s="40">
        <v>6.9</v>
      </c>
      <c r="E27" s="40">
        <v>8.02</v>
      </c>
      <c r="F27" s="40">
        <v>23.92</v>
      </c>
      <c r="G27" s="40">
        <v>58.73</v>
      </c>
      <c r="H27" s="40">
        <v>32.380000000000003</v>
      </c>
      <c r="I27" s="40">
        <v>11.48</v>
      </c>
      <c r="J27" s="40">
        <v>5.01</v>
      </c>
      <c r="K27" s="40">
        <v>244.11</v>
      </c>
      <c r="L27" s="40">
        <v>29.2</v>
      </c>
      <c r="M27" s="40">
        <v>63.31</v>
      </c>
      <c r="N27" s="40">
        <v>37.6</v>
      </c>
      <c r="O27" s="40">
        <v>0</v>
      </c>
      <c r="P27" s="40">
        <v>0.6</v>
      </c>
      <c r="Q27" s="40">
        <v>29.3</v>
      </c>
      <c r="R27" s="38"/>
      <c r="S27" s="38"/>
      <c r="T27" s="38"/>
      <c r="U27" s="38"/>
    </row>
    <row r="28" spans="1:21" customFormat="1">
      <c r="A28" s="39" t="s">
        <v>799</v>
      </c>
      <c r="B28" s="40">
        <v>2.1800000000000002</v>
      </c>
      <c r="C28" s="40">
        <v>11.11</v>
      </c>
      <c r="D28" s="40">
        <v>6.48</v>
      </c>
      <c r="E28" s="40">
        <v>7.01</v>
      </c>
      <c r="F28" s="40">
        <v>12.9</v>
      </c>
      <c r="G28" s="40">
        <v>56.45</v>
      </c>
      <c r="H28" s="40">
        <v>34.96</v>
      </c>
      <c r="I28" s="40">
        <v>11.34</v>
      </c>
      <c r="J28" s="40">
        <v>5.86</v>
      </c>
      <c r="K28" s="40">
        <v>257.10000000000002</v>
      </c>
      <c r="L28" s="40">
        <v>27.84</v>
      </c>
      <c r="M28" s="40">
        <v>67.63</v>
      </c>
      <c r="N28" s="40">
        <v>24.4</v>
      </c>
      <c r="O28" s="40">
        <v>0</v>
      </c>
      <c r="P28" s="40">
        <v>0.57999999999999996</v>
      </c>
      <c r="Q28" s="40">
        <v>29.22</v>
      </c>
      <c r="R28" s="38"/>
      <c r="S28" s="38"/>
      <c r="T28" s="38"/>
      <c r="U28" s="38"/>
    </row>
    <row r="29" spans="1:21" customFormat="1">
      <c r="A29" s="39" t="s">
        <v>800</v>
      </c>
      <c r="B29" s="40">
        <v>2.48</v>
      </c>
      <c r="C29" s="40">
        <v>13.27</v>
      </c>
      <c r="D29" s="40">
        <v>7.77</v>
      </c>
      <c r="E29" s="40">
        <v>6.98</v>
      </c>
      <c r="F29" s="40">
        <v>5.56</v>
      </c>
      <c r="G29" s="40">
        <v>52.21</v>
      </c>
      <c r="H29" s="40">
        <v>29.98</v>
      </c>
      <c r="I29" s="40">
        <v>11.47</v>
      </c>
      <c r="J29" s="40">
        <v>5.29</v>
      </c>
      <c r="K29" s="40">
        <v>245.21</v>
      </c>
      <c r="L29" s="40">
        <v>27.88</v>
      </c>
      <c r="M29" s="40">
        <v>68.489999999999995</v>
      </c>
      <c r="N29" s="40">
        <v>23.5</v>
      </c>
      <c r="O29" s="40">
        <v>0</v>
      </c>
      <c r="P29" s="40">
        <v>0.6</v>
      </c>
      <c r="Q29" s="40">
        <v>29.15</v>
      </c>
      <c r="R29" s="38"/>
      <c r="S29" s="38"/>
      <c r="T29" s="38"/>
      <c r="U29" s="38"/>
    </row>
    <row r="30" spans="1:21" customFormat="1">
      <c r="A30" s="39" t="s">
        <v>801</v>
      </c>
      <c r="B30" s="40">
        <v>2.98</v>
      </c>
      <c r="C30" s="40">
        <v>11.17</v>
      </c>
      <c r="D30" s="40">
        <v>7.13</v>
      </c>
      <c r="E30" s="40">
        <v>6.74</v>
      </c>
      <c r="F30" s="40">
        <v>5.86</v>
      </c>
      <c r="G30" s="40">
        <v>52.37</v>
      </c>
      <c r="H30" s="40">
        <v>27.8</v>
      </c>
      <c r="I30" s="40">
        <v>13.71</v>
      </c>
      <c r="J30" s="40">
        <v>5.69</v>
      </c>
      <c r="K30" s="40">
        <v>239.97</v>
      </c>
      <c r="L30" s="40">
        <v>27.45</v>
      </c>
      <c r="M30" s="40">
        <v>71.22</v>
      </c>
      <c r="N30" s="40">
        <v>23.9</v>
      </c>
      <c r="O30" s="40">
        <v>0</v>
      </c>
      <c r="P30" s="40">
        <v>0.63</v>
      </c>
      <c r="Q30" s="40">
        <v>29.34</v>
      </c>
      <c r="R30" s="38"/>
      <c r="S30" s="38"/>
      <c r="T30" s="38"/>
      <c r="U30" s="38"/>
    </row>
    <row r="31" spans="1:21" customFormat="1">
      <c r="A31" s="39" t="s">
        <v>802</v>
      </c>
      <c r="B31" s="40">
        <v>3.06</v>
      </c>
      <c r="C31" s="40">
        <v>10.199999999999999</v>
      </c>
      <c r="D31" s="40">
        <v>6.79</v>
      </c>
      <c r="E31" s="40">
        <v>6.5</v>
      </c>
      <c r="F31" s="40">
        <v>5.35</v>
      </c>
      <c r="G31" s="40">
        <v>48.81</v>
      </c>
      <c r="H31" s="40">
        <v>26.22</v>
      </c>
      <c r="I31" s="40">
        <v>13.87</v>
      </c>
      <c r="J31" s="40">
        <v>5.6</v>
      </c>
      <c r="K31" s="40">
        <v>241.78</v>
      </c>
      <c r="L31" s="40">
        <v>26.22</v>
      </c>
      <c r="M31" s="40">
        <v>75.11</v>
      </c>
      <c r="N31" s="40">
        <v>23.7</v>
      </c>
      <c r="O31" s="40">
        <v>0</v>
      </c>
      <c r="P31" s="40">
        <v>0.62</v>
      </c>
      <c r="Q31" s="40">
        <v>29.24</v>
      </c>
      <c r="R31" s="38"/>
      <c r="S31" s="38"/>
      <c r="T31" s="38"/>
      <c r="U31" s="38"/>
    </row>
    <row r="32" spans="1:21" customFormat="1">
      <c r="A32" s="39" t="s">
        <v>803</v>
      </c>
      <c r="B32" s="40">
        <v>2.8</v>
      </c>
      <c r="C32" s="40">
        <v>11.47</v>
      </c>
      <c r="D32" s="40">
        <v>7.13</v>
      </c>
      <c r="E32" s="40">
        <v>6.19</v>
      </c>
      <c r="F32" s="40">
        <v>4.3099999999999996</v>
      </c>
      <c r="G32" s="40">
        <v>44.41</v>
      </c>
      <c r="H32" s="40">
        <v>21.75</v>
      </c>
      <c r="I32" s="40">
        <v>13.01</v>
      </c>
      <c r="J32" s="40">
        <v>6.61</v>
      </c>
      <c r="K32" s="40">
        <v>240.81</v>
      </c>
      <c r="L32" s="40">
        <v>26</v>
      </c>
      <c r="M32" s="40">
        <v>73.06</v>
      </c>
      <c r="N32" s="40">
        <v>23.5</v>
      </c>
      <c r="O32" s="40">
        <v>0</v>
      </c>
      <c r="P32" s="40">
        <v>0.56000000000000005</v>
      </c>
      <c r="Q32" s="40">
        <v>29.26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1.59</v>
      </c>
      <c r="C34" s="18">
        <f t="shared" si="0"/>
        <v>10.199999999999999</v>
      </c>
      <c r="D34" s="18">
        <f t="shared" si="0"/>
        <v>6.45</v>
      </c>
      <c r="E34" s="18">
        <f t="shared" si="0"/>
        <v>5.35</v>
      </c>
      <c r="F34" s="18">
        <f t="shared" si="0"/>
        <v>3.35</v>
      </c>
      <c r="G34" s="18">
        <f t="shared" si="0"/>
        <v>38.94</v>
      </c>
      <c r="H34" s="18">
        <f t="shared" si="0"/>
        <v>18</v>
      </c>
      <c r="I34" s="18">
        <f t="shared" si="0"/>
        <v>11.29</v>
      </c>
      <c r="J34" s="18">
        <f t="shared" si="0"/>
        <v>2.4900000000000002</v>
      </c>
      <c r="K34" s="18">
        <f t="shared" si="0"/>
        <v>50.38</v>
      </c>
      <c r="L34" s="18">
        <f t="shared" si="0"/>
        <v>24.95</v>
      </c>
      <c r="M34" s="18">
        <f t="shared" si="0"/>
        <v>44.76</v>
      </c>
      <c r="N34" s="18">
        <f t="shared" si="0"/>
        <v>23.3</v>
      </c>
      <c r="O34" s="18">
        <f t="shared" si="0"/>
        <v>0</v>
      </c>
      <c r="P34" s="18">
        <f t="shared" si="0"/>
        <v>0.52</v>
      </c>
      <c r="Q34" s="18">
        <f t="shared" si="0"/>
        <v>28.61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8.68</v>
      </c>
      <c r="C35" s="3">
        <f t="shared" si="1"/>
        <v>17.649999999999999</v>
      </c>
      <c r="D35" s="3">
        <f t="shared" si="1"/>
        <v>13.57</v>
      </c>
      <c r="E35" s="3">
        <f t="shared" si="1"/>
        <v>10.050000000000001</v>
      </c>
      <c r="F35" s="3">
        <f t="shared" si="1"/>
        <v>40.130000000000003</v>
      </c>
      <c r="G35" s="3">
        <f t="shared" si="1"/>
        <v>92.2</v>
      </c>
      <c r="H35" s="3">
        <f t="shared" si="1"/>
        <v>40.729999999999997</v>
      </c>
      <c r="I35" s="3">
        <f t="shared" si="1"/>
        <v>15.49</v>
      </c>
      <c r="J35" s="3">
        <f t="shared" si="1"/>
        <v>6.61</v>
      </c>
      <c r="K35" s="3">
        <f t="shared" si="1"/>
        <v>353.41</v>
      </c>
      <c r="L35" s="3">
        <f t="shared" si="1"/>
        <v>35.200000000000003</v>
      </c>
      <c r="M35" s="3">
        <f t="shared" si="1"/>
        <v>88.34</v>
      </c>
      <c r="N35" s="3">
        <f t="shared" si="1"/>
        <v>765.3</v>
      </c>
      <c r="O35" s="3">
        <f t="shared" si="1"/>
        <v>0</v>
      </c>
      <c r="P35" s="3">
        <f t="shared" si="1"/>
        <v>0.8</v>
      </c>
      <c r="Q35" s="3">
        <f t="shared" si="1"/>
        <v>29.37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4.7804166666666665</v>
      </c>
      <c r="C36" s="18">
        <f t="shared" si="2"/>
        <v>12.887083333333335</v>
      </c>
      <c r="D36" s="18">
        <f t="shared" si="2"/>
        <v>9.4079166666666669</v>
      </c>
      <c r="E36" s="18">
        <f t="shared" si="2"/>
        <v>7.1870833333333328</v>
      </c>
      <c r="F36" s="18">
        <f t="shared" si="2"/>
        <v>13.676666666666669</v>
      </c>
      <c r="G36" s="18">
        <f t="shared" si="2"/>
        <v>59.297916666666659</v>
      </c>
      <c r="H36" s="18">
        <f t="shared" si="2"/>
        <v>29.49666666666667</v>
      </c>
      <c r="I36" s="18">
        <f t="shared" si="2"/>
        <v>13.315416666666666</v>
      </c>
      <c r="J36" s="18">
        <f t="shared" si="2"/>
        <v>4.3583333333333334</v>
      </c>
      <c r="K36" s="18">
        <f t="shared" si="2"/>
        <v>230.64166666666674</v>
      </c>
      <c r="L36" s="18">
        <f t="shared" si="2"/>
        <v>29.017916666666668</v>
      </c>
      <c r="M36" s="18">
        <f t="shared" si="2"/>
        <v>68.566666666666649</v>
      </c>
      <c r="N36" s="18">
        <f t="shared" si="2"/>
        <v>223.82083333333333</v>
      </c>
      <c r="O36" s="18">
        <f t="shared" si="2"/>
        <v>0</v>
      </c>
      <c r="P36" s="18">
        <f t="shared" si="2"/>
        <v>0.61916666666666664</v>
      </c>
      <c r="Q36" s="18">
        <f t="shared" si="2"/>
        <v>29.047916666666666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2.2959728054113371</v>
      </c>
      <c r="C37" s="18">
        <f t="shared" ref="C37:Q37" si="3">STDEV(C9:C32)</f>
        <v>1.967679010511056</v>
      </c>
      <c r="D37" s="18">
        <f t="shared" si="3"/>
        <v>2.2607155065264695</v>
      </c>
      <c r="E37" s="18">
        <f t="shared" si="3"/>
        <v>1.5418212809268319</v>
      </c>
      <c r="F37" s="18">
        <f t="shared" si="3"/>
        <v>11.397187550355172</v>
      </c>
      <c r="G37" s="18">
        <f t="shared" si="3"/>
        <v>15.973665822811022</v>
      </c>
      <c r="H37" s="18">
        <f t="shared" si="3"/>
        <v>7.1949575740759801</v>
      </c>
      <c r="I37" s="18">
        <f t="shared" si="3"/>
        <v>1.1843764793880096</v>
      </c>
      <c r="J37" s="18">
        <f t="shared" si="3"/>
        <v>0.98157223777520097</v>
      </c>
      <c r="K37" s="18">
        <f t="shared" si="3"/>
        <v>79.979258543083631</v>
      </c>
      <c r="L37" s="18">
        <f t="shared" si="3"/>
        <v>3.7798193874111119</v>
      </c>
      <c r="M37" s="18">
        <f t="shared" si="3"/>
        <v>14.339958664262431</v>
      </c>
      <c r="N37" s="18">
        <f t="shared" si="3"/>
        <v>259.44698039109636</v>
      </c>
      <c r="O37" s="18">
        <f t="shared" si="3"/>
        <v>0</v>
      </c>
      <c r="P37" s="18">
        <f t="shared" si="3"/>
        <v>8.581662282811614E-2</v>
      </c>
      <c r="Q37" s="18">
        <f t="shared" si="3"/>
        <v>0.21936626443237459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29" zoomScale="89" zoomScaleNormal="89" workbookViewId="0">
      <selection activeCell="B43" sqref="B43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29/05/2025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39" t="s">
        <v>60</v>
      </c>
      <c r="B9" s="40">
        <v>3.39</v>
      </c>
      <c r="C9" s="40">
        <v>9.2799999999999994</v>
      </c>
      <c r="D9" s="40">
        <v>6.35</v>
      </c>
      <c r="E9" s="40">
        <v>6.12</v>
      </c>
      <c r="F9" s="40">
        <v>3.85</v>
      </c>
      <c r="G9" s="40">
        <v>39.42</v>
      </c>
      <c r="H9" s="40">
        <v>18.899999999999999</v>
      </c>
      <c r="I9" s="40">
        <v>12.98</v>
      </c>
      <c r="J9" s="40">
        <v>6.01</v>
      </c>
      <c r="K9" s="40">
        <v>245.48</v>
      </c>
      <c r="L9" s="40">
        <v>25.58</v>
      </c>
      <c r="M9" s="40">
        <v>74.489999999999995</v>
      </c>
      <c r="N9" s="40">
        <v>23.4</v>
      </c>
      <c r="O9" s="40">
        <v>0</v>
      </c>
      <c r="P9" s="40">
        <v>0.53</v>
      </c>
      <c r="Q9" s="40">
        <v>29.43</v>
      </c>
      <c r="R9" s="38"/>
      <c r="S9" s="38"/>
      <c r="T9" s="38"/>
      <c r="U9" s="38"/>
    </row>
    <row r="10" spans="1:21">
      <c r="A10" s="39" t="s">
        <v>61</v>
      </c>
      <c r="B10" s="40">
        <v>3.74</v>
      </c>
      <c r="C10" s="40">
        <v>10.37</v>
      </c>
      <c r="D10" s="40">
        <v>7.42</v>
      </c>
      <c r="E10" s="40">
        <v>5.94</v>
      </c>
      <c r="F10" s="40">
        <v>5.34</v>
      </c>
      <c r="G10" s="40">
        <v>33.9</v>
      </c>
      <c r="H10" s="40">
        <v>16.7</v>
      </c>
      <c r="I10" s="40">
        <v>12.42</v>
      </c>
      <c r="J10" s="40">
        <v>5.54</v>
      </c>
      <c r="K10" s="40">
        <v>242.04</v>
      </c>
      <c r="L10" s="40">
        <v>25.58</v>
      </c>
      <c r="M10" s="40">
        <v>75.33</v>
      </c>
      <c r="N10" s="40">
        <v>23.4</v>
      </c>
      <c r="O10" s="40">
        <v>0</v>
      </c>
      <c r="P10" s="40">
        <v>0.5</v>
      </c>
      <c r="Q10" s="40">
        <v>29.31</v>
      </c>
      <c r="R10" s="38"/>
      <c r="S10" s="38"/>
      <c r="T10" s="38"/>
      <c r="U10" s="38"/>
    </row>
    <row r="11" spans="1:21">
      <c r="A11" s="39" t="s">
        <v>62</v>
      </c>
      <c r="B11" s="40">
        <v>3.96</v>
      </c>
      <c r="C11" s="40">
        <v>12.01</v>
      </c>
      <c r="D11" s="40">
        <v>8.4499999999999993</v>
      </c>
      <c r="E11" s="40">
        <v>5.85</v>
      </c>
      <c r="F11" s="40">
        <v>4.55</v>
      </c>
      <c r="G11" s="40">
        <v>27.53</v>
      </c>
      <c r="H11" s="40">
        <v>14.77</v>
      </c>
      <c r="I11" s="40">
        <v>11.71</v>
      </c>
      <c r="J11" s="40">
        <v>5.19</v>
      </c>
      <c r="K11" s="40">
        <v>237.52</v>
      </c>
      <c r="L11" s="40">
        <v>25.41</v>
      </c>
      <c r="M11" s="40">
        <v>78.849999999999994</v>
      </c>
      <c r="N11" s="40">
        <v>23.5</v>
      </c>
      <c r="O11" s="40">
        <v>0</v>
      </c>
      <c r="P11" s="40">
        <v>0.46</v>
      </c>
      <c r="Q11" s="40">
        <v>29.15</v>
      </c>
      <c r="R11" s="38"/>
      <c r="S11" s="38"/>
      <c r="T11" s="38"/>
      <c r="U11" s="38"/>
    </row>
    <row r="12" spans="1:21">
      <c r="A12" s="39" t="s">
        <v>63</v>
      </c>
      <c r="B12" s="40">
        <v>4.63</v>
      </c>
      <c r="C12" s="40">
        <v>14.26</v>
      </c>
      <c r="D12" s="40">
        <v>9.75</v>
      </c>
      <c r="E12" s="40">
        <v>5.76</v>
      </c>
      <c r="F12" s="40">
        <v>3.64</v>
      </c>
      <c r="G12" s="40">
        <v>26.47</v>
      </c>
      <c r="H12" s="40">
        <v>14.88</v>
      </c>
      <c r="I12" s="40">
        <v>11.07</v>
      </c>
      <c r="J12" s="40">
        <v>4.7300000000000004</v>
      </c>
      <c r="K12" s="40">
        <v>238.21</v>
      </c>
      <c r="L12" s="40">
        <v>25.22</v>
      </c>
      <c r="M12" s="40">
        <v>79.47</v>
      </c>
      <c r="N12" s="40">
        <v>23.2</v>
      </c>
      <c r="O12" s="40">
        <v>0</v>
      </c>
      <c r="P12" s="40">
        <v>0.45</v>
      </c>
      <c r="Q12" s="40">
        <v>29.34</v>
      </c>
      <c r="R12" s="38"/>
      <c r="S12" s="38"/>
      <c r="T12" s="38"/>
      <c r="U12" s="38"/>
    </row>
    <row r="13" spans="1:21">
      <c r="A13" s="39" t="s">
        <v>64</v>
      </c>
      <c r="B13" s="40">
        <v>5.18</v>
      </c>
      <c r="C13" s="40">
        <v>9.15</v>
      </c>
      <c r="D13" s="40">
        <v>7.77</v>
      </c>
      <c r="E13" s="40">
        <v>5.32</v>
      </c>
      <c r="F13" s="40">
        <v>4.3600000000000003</v>
      </c>
      <c r="G13" s="40">
        <v>26.66</v>
      </c>
      <c r="H13" s="40">
        <v>12.72</v>
      </c>
      <c r="I13" s="40">
        <v>10.68</v>
      </c>
      <c r="J13" s="40">
        <v>4.17</v>
      </c>
      <c r="K13" s="40">
        <v>218.1</v>
      </c>
      <c r="L13" s="40">
        <v>25.04</v>
      </c>
      <c r="M13" s="40">
        <v>80.5</v>
      </c>
      <c r="N13" s="40">
        <v>23.5</v>
      </c>
      <c r="O13" s="40">
        <v>0</v>
      </c>
      <c r="P13" s="40">
        <v>0.43</v>
      </c>
      <c r="Q13" s="40">
        <v>29.26</v>
      </c>
      <c r="R13" s="38"/>
      <c r="S13" s="38"/>
      <c r="T13" s="38"/>
      <c r="U13" s="38"/>
    </row>
    <row r="14" spans="1:21">
      <c r="A14" s="39" t="s">
        <v>65</v>
      </c>
      <c r="B14" s="40">
        <v>5.44</v>
      </c>
      <c r="C14" s="40">
        <v>9.7100000000000009</v>
      </c>
      <c r="D14" s="40">
        <v>8.42</v>
      </c>
      <c r="E14" s="40">
        <v>5.56</v>
      </c>
      <c r="F14" s="40">
        <v>4.1900000000000004</v>
      </c>
      <c r="G14" s="40">
        <v>25.99</v>
      </c>
      <c r="H14" s="40">
        <v>14.65</v>
      </c>
      <c r="I14" s="40">
        <v>10.039999999999999</v>
      </c>
      <c r="J14" s="40">
        <v>4.4800000000000004</v>
      </c>
      <c r="K14" s="40">
        <v>227.51</v>
      </c>
      <c r="L14" s="40">
        <v>24.75</v>
      </c>
      <c r="M14" s="40">
        <v>81.739999999999995</v>
      </c>
      <c r="N14" s="40">
        <v>46.3</v>
      </c>
      <c r="O14" s="40">
        <v>0</v>
      </c>
      <c r="P14" s="40">
        <v>0.4</v>
      </c>
      <c r="Q14" s="40">
        <v>29.12</v>
      </c>
      <c r="R14" s="38"/>
      <c r="S14" s="38"/>
      <c r="T14" s="38"/>
      <c r="U14" s="38"/>
    </row>
    <row r="15" spans="1:21">
      <c r="A15" s="39" t="s">
        <v>66</v>
      </c>
      <c r="B15" s="40">
        <v>5.9</v>
      </c>
      <c r="C15" s="40">
        <v>14.1</v>
      </c>
      <c r="D15" s="40">
        <v>10.88</v>
      </c>
      <c r="E15" s="40">
        <v>5.57</v>
      </c>
      <c r="F15" s="40">
        <v>3.35</v>
      </c>
      <c r="G15" s="40">
        <v>23.46</v>
      </c>
      <c r="H15" s="40">
        <v>10.53</v>
      </c>
      <c r="I15" s="40">
        <v>9.5</v>
      </c>
      <c r="J15" s="40">
        <v>4.47</v>
      </c>
      <c r="K15" s="40">
        <v>232.13</v>
      </c>
      <c r="L15" s="40">
        <v>25.07</v>
      </c>
      <c r="M15" s="40">
        <v>81.89</v>
      </c>
      <c r="N15" s="40">
        <v>110.6</v>
      </c>
      <c r="O15" s="40">
        <v>0</v>
      </c>
      <c r="P15" s="40">
        <v>0.39</v>
      </c>
      <c r="Q15" s="40">
        <v>29.01</v>
      </c>
      <c r="R15" s="38"/>
      <c r="S15" s="38"/>
      <c r="T15" s="38"/>
      <c r="U15" s="38"/>
    </row>
    <row r="16" spans="1:21">
      <c r="A16" s="39" t="s">
        <v>67</v>
      </c>
      <c r="B16" s="40">
        <v>6.42</v>
      </c>
      <c r="C16" s="40">
        <v>12.2</v>
      </c>
      <c r="D16" s="40">
        <v>10.26</v>
      </c>
      <c r="E16" s="40">
        <v>5.85</v>
      </c>
      <c r="F16" s="40">
        <v>3.43</v>
      </c>
      <c r="G16" s="40">
        <v>22.86</v>
      </c>
      <c r="H16" s="40">
        <v>10.75</v>
      </c>
      <c r="I16" s="40">
        <v>9.8800000000000008</v>
      </c>
      <c r="J16" s="40">
        <v>5.23</v>
      </c>
      <c r="K16" s="40">
        <v>244.29</v>
      </c>
      <c r="L16" s="40">
        <v>26.14</v>
      </c>
      <c r="M16" s="40">
        <v>80.28</v>
      </c>
      <c r="N16" s="40">
        <v>214.2</v>
      </c>
      <c r="O16" s="40">
        <v>0</v>
      </c>
      <c r="P16" s="40">
        <v>0.47</v>
      </c>
      <c r="Q16" s="40">
        <v>29.16</v>
      </c>
      <c r="R16" s="38"/>
      <c r="S16" s="38"/>
      <c r="T16" s="38"/>
      <c r="U16" s="38"/>
    </row>
    <row r="17" spans="1:21">
      <c r="A17" s="39" t="s">
        <v>68</v>
      </c>
      <c r="B17" s="40">
        <v>8.16</v>
      </c>
      <c r="C17" s="40">
        <v>10.8</v>
      </c>
      <c r="D17" s="40">
        <v>10.95</v>
      </c>
      <c r="E17" s="40">
        <v>6.41</v>
      </c>
      <c r="F17" s="40">
        <v>7.12</v>
      </c>
      <c r="G17" s="40">
        <v>30.35</v>
      </c>
      <c r="H17" s="40">
        <v>10.95</v>
      </c>
      <c r="I17" s="40">
        <v>12.61</v>
      </c>
      <c r="J17" s="40">
        <v>5.61</v>
      </c>
      <c r="K17" s="40">
        <v>249.57</v>
      </c>
      <c r="L17" s="40">
        <v>28.42</v>
      </c>
      <c r="M17" s="40">
        <v>74.7</v>
      </c>
      <c r="N17" s="40">
        <v>472.2</v>
      </c>
      <c r="O17" s="40">
        <v>0</v>
      </c>
      <c r="P17" s="40">
        <v>0.54</v>
      </c>
      <c r="Q17" s="40">
        <v>29.06</v>
      </c>
      <c r="R17" s="38"/>
      <c r="S17" s="38"/>
      <c r="T17" s="38"/>
      <c r="U17" s="38"/>
    </row>
    <row r="18" spans="1:21">
      <c r="A18" s="39" t="s">
        <v>69</v>
      </c>
      <c r="B18" s="40">
        <v>5.94</v>
      </c>
      <c r="C18" s="40">
        <v>15.19</v>
      </c>
      <c r="D18" s="40">
        <v>11.1</v>
      </c>
      <c r="E18" s="40">
        <v>6.5</v>
      </c>
      <c r="F18" s="40">
        <v>7.23</v>
      </c>
      <c r="G18" s="40">
        <v>36.94</v>
      </c>
      <c r="H18" s="40">
        <v>12.73</v>
      </c>
      <c r="I18" s="40">
        <v>12.8</v>
      </c>
      <c r="J18" s="40">
        <v>3.91</v>
      </c>
      <c r="K18" s="40">
        <v>262.06</v>
      </c>
      <c r="L18" s="40">
        <v>30.44</v>
      </c>
      <c r="M18" s="40">
        <v>62.32</v>
      </c>
      <c r="N18" s="40">
        <v>629.20000000000005</v>
      </c>
      <c r="O18" s="40">
        <v>0</v>
      </c>
      <c r="P18" s="40">
        <v>0.54</v>
      </c>
      <c r="Q18" s="40">
        <v>28.92</v>
      </c>
      <c r="R18" s="38"/>
      <c r="S18" s="38"/>
      <c r="T18" s="38"/>
      <c r="U18" s="38"/>
    </row>
    <row r="19" spans="1:21">
      <c r="A19" s="39" t="s">
        <v>70</v>
      </c>
      <c r="B19" s="40">
        <v>4.37</v>
      </c>
      <c r="C19" s="40">
        <v>13.26</v>
      </c>
      <c r="D19" s="40">
        <v>9.44</v>
      </c>
      <c r="E19" s="40">
        <v>6.87</v>
      </c>
      <c r="F19" s="40">
        <v>17.52</v>
      </c>
      <c r="G19" s="40">
        <v>39.04</v>
      </c>
      <c r="H19" s="40">
        <v>12.47</v>
      </c>
      <c r="I19" s="40">
        <v>12.64</v>
      </c>
      <c r="J19" s="40">
        <v>4</v>
      </c>
      <c r="K19" s="40">
        <v>245.72</v>
      </c>
      <c r="L19" s="40">
        <v>31.77</v>
      </c>
      <c r="M19" s="40">
        <v>54.26</v>
      </c>
      <c r="N19" s="40">
        <v>748.8</v>
      </c>
      <c r="O19" s="40">
        <v>0</v>
      </c>
      <c r="P19" s="40">
        <v>0.52</v>
      </c>
      <c r="Q19" s="40">
        <v>29.2</v>
      </c>
      <c r="R19" s="38"/>
      <c r="S19" s="38"/>
      <c r="T19" s="38"/>
      <c r="U19" s="38"/>
    </row>
    <row r="20" spans="1:21">
      <c r="A20" s="39" t="s">
        <v>71</v>
      </c>
      <c r="B20" s="40">
        <v>3.21</v>
      </c>
      <c r="C20" s="40">
        <v>10.37</v>
      </c>
      <c r="D20" s="40">
        <v>6.81</v>
      </c>
      <c r="E20" s="40">
        <v>7.24</v>
      </c>
      <c r="F20" s="40">
        <v>21.46</v>
      </c>
      <c r="G20" s="40">
        <v>39.92</v>
      </c>
      <c r="H20" s="40">
        <v>16.79</v>
      </c>
      <c r="I20" s="40">
        <v>12.15</v>
      </c>
      <c r="J20" s="40">
        <v>3.99</v>
      </c>
      <c r="K20" s="40">
        <v>272.64</v>
      </c>
      <c r="L20" s="40">
        <v>32.9</v>
      </c>
      <c r="M20" s="40">
        <v>50.17</v>
      </c>
      <c r="N20" s="40">
        <v>789.9</v>
      </c>
      <c r="O20" s="40">
        <v>0</v>
      </c>
      <c r="P20" s="40">
        <v>0.55000000000000004</v>
      </c>
      <c r="Q20" s="40">
        <v>29.24</v>
      </c>
      <c r="R20" s="38"/>
      <c r="S20" s="38"/>
      <c r="T20" s="38"/>
      <c r="U20" s="38"/>
    </row>
    <row r="21" spans="1:21">
      <c r="A21" s="39" t="s">
        <v>72</v>
      </c>
      <c r="B21" s="40">
        <v>2.74</v>
      </c>
      <c r="C21" s="40">
        <v>12.62</v>
      </c>
      <c r="D21" s="40">
        <v>7.55</v>
      </c>
      <c r="E21" s="40">
        <v>7.41</v>
      </c>
      <c r="F21" s="40">
        <v>25.74</v>
      </c>
      <c r="G21" s="40">
        <v>38.85</v>
      </c>
      <c r="H21" s="40">
        <v>18.57</v>
      </c>
      <c r="I21" s="40">
        <v>11.66</v>
      </c>
      <c r="J21" s="40">
        <v>4.4000000000000004</v>
      </c>
      <c r="K21" s="40">
        <v>241.99</v>
      </c>
      <c r="L21" s="40">
        <v>33.729999999999997</v>
      </c>
      <c r="M21" s="40">
        <v>47.04</v>
      </c>
      <c r="N21" s="40">
        <v>771.9</v>
      </c>
      <c r="O21" s="40">
        <v>0</v>
      </c>
      <c r="P21" s="40">
        <v>0.55000000000000004</v>
      </c>
      <c r="Q21" s="40">
        <v>29.3</v>
      </c>
      <c r="R21" s="38"/>
      <c r="S21" s="38"/>
      <c r="T21" s="38"/>
      <c r="U21" s="38"/>
    </row>
    <row r="22" spans="1:21">
      <c r="A22" s="39" t="s">
        <v>73</v>
      </c>
      <c r="B22" s="40">
        <v>2.4700000000000002</v>
      </c>
      <c r="C22" s="40">
        <v>11.58</v>
      </c>
      <c r="D22" s="40">
        <v>6.97</v>
      </c>
      <c r="E22" s="40">
        <v>8.4700000000000006</v>
      </c>
      <c r="F22" s="40">
        <v>19.47</v>
      </c>
      <c r="G22" s="40">
        <v>42.46</v>
      </c>
      <c r="H22" s="40">
        <v>19.63</v>
      </c>
      <c r="I22" s="40">
        <v>12.13</v>
      </c>
      <c r="J22" s="40">
        <v>3.95</v>
      </c>
      <c r="K22" s="40">
        <v>258.07</v>
      </c>
      <c r="L22" s="40">
        <v>35.049999999999997</v>
      </c>
      <c r="M22" s="40">
        <v>43.17</v>
      </c>
      <c r="N22" s="40">
        <v>761.7</v>
      </c>
      <c r="O22" s="40">
        <v>0</v>
      </c>
      <c r="P22" s="40">
        <v>0.6</v>
      </c>
      <c r="Q22" s="40">
        <v>29.45</v>
      </c>
      <c r="R22" s="38"/>
      <c r="S22" s="38"/>
      <c r="T22" s="38"/>
      <c r="U22" s="38"/>
    </row>
    <row r="23" spans="1:21">
      <c r="A23" s="39" t="s">
        <v>74</v>
      </c>
      <c r="B23" s="40">
        <v>2.4</v>
      </c>
      <c r="C23" s="40">
        <v>9.9499999999999993</v>
      </c>
      <c r="D23" s="40">
        <v>6.11</v>
      </c>
      <c r="E23" s="40">
        <v>8.15</v>
      </c>
      <c r="F23" s="40">
        <v>20.76</v>
      </c>
      <c r="G23" s="40">
        <v>45.36</v>
      </c>
      <c r="H23" s="40">
        <v>20.43</v>
      </c>
      <c r="I23" s="40">
        <v>14.12</v>
      </c>
      <c r="J23" s="40">
        <v>5.44</v>
      </c>
      <c r="K23" s="40">
        <v>246.34</v>
      </c>
      <c r="L23" s="40">
        <v>35.58</v>
      </c>
      <c r="M23" s="40">
        <v>41.4</v>
      </c>
      <c r="N23" s="40">
        <v>688.4</v>
      </c>
      <c r="O23" s="40">
        <v>0</v>
      </c>
      <c r="P23" s="40">
        <v>0.74</v>
      </c>
      <c r="Q23" s="40">
        <v>29.37</v>
      </c>
      <c r="R23" s="38"/>
      <c r="S23" s="38"/>
      <c r="T23" s="38"/>
      <c r="U23" s="38"/>
    </row>
    <row r="24" spans="1:21">
      <c r="A24" s="39" t="s">
        <v>75</v>
      </c>
      <c r="B24" s="40">
        <v>2.42</v>
      </c>
      <c r="C24" s="40">
        <v>9.8699999999999992</v>
      </c>
      <c r="D24" s="40">
        <v>6.05</v>
      </c>
      <c r="E24" s="40">
        <v>7.68</v>
      </c>
      <c r="F24" s="40">
        <v>11.77</v>
      </c>
      <c r="G24" s="40">
        <v>50.78</v>
      </c>
      <c r="H24" s="40">
        <v>23.89</v>
      </c>
      <c r="I24" s="40">
        <v>14.93</v>
      </c>
      <c r="J24" s="40">
        <v>5.51</v>
      </c>
      <c r="K24" s="40">
        <v>245.9</v>
      </c>
      <c r="L24" s="40">
        <v>35.44</v>
      </c>
      <c r="M24" s="40">
        <v>41.62</v>
      </c>
      <c r="N24" s="40">
        <v>509.9</v>
      </c>
      <c r="O24" s="40">
        <v>0</v>
      </c>
      <c r="P24" s="40">
        <v>0.73</v>
      </c>
      <c r="Q24" s="40">
        <v>29.35</v>
      </c>
      <c r="R24" s="38"/>
      <c r="S24" s="38"/>
      <c r="T24" s="38"/>
      <c r="U24" s="38"/>
    </row>
    <row r="25" spans="1:21">
      <c r="A25" s="39" t="s">
        <v>76</v>
      </c>
      <c r="B25" s="40">
        <v>3.11</v>
      </c>
      <c r="C25" s="40">
        <v>11.27</v>
      </c>
      <c r="D25" s="40">
        <v>7.21</v>
      </c>
      <c r="E25" s="40">
        <v>9.51</v>
      </c>
      <c r="F25" s="40">
        <v>23.34</v>
      </c>
      <c r="G25" s="40">
        <v>49.04</v>
      </c>
      <c r="H25" s="40">
        <v>21.79</v>
      </c>
      <c r="I25" s="40">
        <v>13.97</v>
      </c>
      <c r="J25" s="40">
        <v>4.87</v>
      </c>
      <c r="K25" s="40">
        <v>240.97</v>
      </c>
      <c r="L25" s="40">
        <v>34.840000000000003</v>
      </c>
      <c r="M25" s="40">
        <v>78.81</v>
      </c>
      <c r="N25" s="40">
        <v>286.10000000000002</v>
      </c>
      <c r="O25" s="40">
        <v>0.2</v>
      </c>
      <c r="P25" s="40">
        <v>0.66</v>
      </c>
      <c r="Q25" s="40">
        <v>29.41</v>
      </c>
      <c r="R25" s="38"/>
      <c r="S25" s="38"/>
      <c r="T25" s="38"/>
      <c r="U25" s="38"/>
    </row>
    <row r="26" spans="1:21">
      <c r="A26" s="39" t="s">
        <v>77</v>
      </c>
      <c r="B26" s="40">
        <v>3.14</v>
      </c>
      <c r="C26" s="40">
        <v>12.32</v>
      </c>
      <c r="D26" s="40">
        <v>7.67</v>
      </c>
      <c r="E26" s="40">
        <v>6.65</v>
      </c>
      <c r="F26" s="40">
        <v>10.31</v>
      </c>
      <c r="G26" s="40">
        <v>59.76</v>
      </c>
      <c r="H26" s="40">
        <v>25.93</v>
      </c>
      <c r="I26" s="40">
        <v>13.07</v>
      </c>
      <c r="J26" s="40">
        <v>5.99</v>
      </c>
      <c r="K26" s="40">
        <v>239.41</v>
      </c>
      <c r="L26" s="40">
        <v>26.27</v>
      </c>
      <c r="M26" s="40">
        <v>93.5</v>
      </c>
      <c r="N26" s="40">
        <v>29.2</v>
      </c>
      <c r="O26" s="40">
        <v>2.6</v>
      </c>
      <c r="P26" s="40">
        <v>0.61</v>
      </c>
      <c r="Q26" s="40">
        <v>29.17</v>
      </c>
      <c r="R26" s="38"/>
      <c r="S26" s="38"/>
      <c r="T26" s="38"/>
      <c r="U26" s="38"/>
    </row>
    <row r="27" spans="1:21">
      <c r="A27" s="39" t="s">
        <v>78</v>
      </c>
      <c r="B27" s="40">
        <v>3.06</v>
      </c>
      <c r="C27" s="40">
        <v>12.32</v>
      </c>
      <c r="D27" s="40">
        <v>7.9</v>
      </c>
      <c r="E27" s="40">
        <v>5.82</v>
      </c>
      <c r="F27" s="40">
        <v>8.67</v>
      </c>
      <c r="G27" s="40">
        <v>36.35</v>
      </c>
      <c r="H27" s="40">
        <v>19.84</v>
      </c>
      <c r="I27" s="40">
        <v>12.47</v>
      </c>
      <c r="J27" s="40">
        <v>4.46</v>
      </c>
      <c r="K27" s="40">
        <v>235.31</v>
      </c>
      <c r="L27" s="40">
        <v>24.43</v>
      </c>
      <c r="M27" s="40">
        <v>85.87</v>
      </c>
      <c r="N27" s="40">
        <v>25.8</v>
      </c>
      <c r="O27" s="40">
        <v>0</v>
      </c>
      <c r="P27" s="40">
        <v>0.55000000000000004</v>
      </c>
      <c r="Q27" s="40">
        <v>29.23</v>
      </c>
      <c r="R27" s="38"/>
      <c r="S27" s="38"/>
      <c r="T27" s="38"/>
      <c r="U27" s="38"/>
    </row>
    <row r="28" spans="1:21">
      <c r="A28" s="39" t="s">
        <v>79</v>
      </c>
      <c r="B28" s="40">
        <v>3.49</v>
      </c>
      <c r="C28" s="40">
        <v>13.56</v>
      </c>
      <c r="D28" s="40">
        <v>8.77</v>
      </c>
      <c r="E28" s="40">
        <v>5.34</v>
      </c>
      <c r="F28" s="40">
        <v>6.36</v>
      </c>
      <c r="G28" s="40">
        <v>21.38</v>
      </c>
      <c r="H28" s="40">
        <v>13.89</v>
      </c>
      <c r="I28" s="40">
        <v>11.15</v>
      </c>
      <c r="J28" s="40">
        <v>4.74</v>
      </c>
      <c r="K28" s="40">
        <v>246.11</v>
      </c>
      <c r="L28" s="40">
        <v>24.84</v>
      </c>
      <c r="M28" s="40">
        <v>79.510000000000005</v>
      </c>
      <c r="N28" s="40">
        <v>25.3</v>
      </c>
      <c r="O28" s="40">
        <v>0</v>
      </c>
      <c r="P28" s="40">
        <v>0.55000000000000004</v>
      </c>
      <c r="Q28" s="40">
        <v>29.17</v>
      </c>
      <c r="R28" s="38"/>
      <c r="S28" s="38"/>
      <c r="T28" s="38"/>
      <c r="U28" s="38"/>
    </row>
    <row r="29" spans="1:21">
      <c r="A29" s="39" t="s">
        <v>80</v>
      </c>
      <c r="B29" s="40">
        <v>4.05</v>
      </c>
      <c r="C29" s="40">
        <v>10.17</v>
      </c>
      <c r="D29" s="40">
        <v>7.3</v>
      </c>
      <c r="E29" s="40">
        <v>5.69</v>
      </c>
      <c r="F29" s="40">
        <v>5.01</v>
      </c>
      <c r="G29" s="40">
        <v>22.63</v>
      </c>
      <c r="H29" s="40">
        <v>12.2</v>
      </c>
      <c r="I29" s="40">
        <v>10.93</v>
      </c>
      <c r="J29" s="40">
        <v>4.1399999999999997</v>
      </c>
      <c r="K29" s="40">
        <v>220</v>
      </c>
      <c r="L29" s="40">
        <v>25</v>
      </c>
      <c r="M29" s="40">
        <v>83.11</v>
      </c>
      <c r="N29" s="40">
        <v>23.7</v>
      </c>
      <c r="O29" s="40">
        <v>0</v>
      </c>
      <c r="P29" s="40">
        <v>0.51</v>
      </c>
      <c r="Q29" s="40">
        <v>29.38</v>
      </c>
      <c r="R29" s="38"/>
      <c r="S29" s="38"/>
      <c r="T29" s="38"/>
      <c r="U29" s="38"/>
    </row>
    <row r="30" spans="1:21">
      <c r="A30" s="39" t="s">
        <v>81</v>
      </c>
      <c r="B30" s="40">
        <v>3.87</v>
      </c>
      <c r="C30" s="40">
        <v>9.7100000000000009</v>
      </c>
      <c r="D30" s="40">
        <v>7.03</v>
      </c>
      <c r="E30" s="40">
        <v>5.37</v>
      </c>
      <c r="F30" s="40">
        <v>9.2100000000000009</v>
      </c>
      <c r="G30" s="40">
        <v>25.93</v>
      </c>
      <c r="H30" s="40">
        <v>13.22</v>
      </c>
      <c r="I30" s="40">
        <v>10.71</v>
      </c>
      <c r="J30" s="40">
        <v>3.95</v>
      </c>
      <c r="K30" s="40">
        <v>214.16</v>
      </c>
      <c r="L30" s="40">
        <v>25.59</v>
      </c>
      <c r="M30" s="40">
        <v>81.39</v>
      </c>
      <c r="N30" s="40">
        <v>23.5</v>
      </c>
      <c r="O30" s="40">
        <v>0</v>
      </c>
      <c r="P30" s="40">
        <v>0.49</v>
      </c>
      <c r="Q30" s="40">
        <v>29.27</v>
      </c>
      <c r="R30" s="38"/>
      <c r="S30" s="38"/>
      <c r="T30" s="38"/>
      <c r="U30" s="38"/>
    </row>
    <row r="31" spans="1:21">
      <c r="A31" s="39" t="s">
        <v>82</v>
      </c>
      <c r="B31" s="40">
        <v>3.96</v>
      </c>
      <c r="C31" s="40">
        <v>12.97</v>
      </c>
      <c r="D31" s="40">
        <v>8.9600000000000009</v>
      </c>
      <c r="E31" s="40">
        <v>5.34</v>
      </c>
      <c r="F31" s="40">
        <v>8.32</v>
      </c>
      <c r="G31" s="40">
        <v>23.92</v>
      </c>
      <c r="H31" s="40">
        <v>13.85</v>
      </c>
      <c r="I31" s="40">
        <v>9.8800000000000008</v>
      </c>
      <c r="J31" s="40">
        <v>3.99</v>
      </c>
      <c r="K31" s="40">
        <v>358.52</v>
      </c>
      <c r="L31" s="40">
        <v>26.14</v>
      </c>
      <c r="M31" s="40">
        <v>79.459999999999994</v>
      </c>
      <c r="N31" s="40">
        <v>23.6</v>
      </c>
      <c r="O31" s="40">
        <v>0</v>
      </c>
      <c r="P31" s="40">
        <v>0.49</v>
      </c>
      <c r="Q31" s="40">
        <v>29.17</v>
      </c>
      <c r="R31" s="38"/>
      <c r="S31" s="38"/>
      <c r="T31" s="38"/>
      <c r="U31" s="38"/>
    </row>
    <row r="32" spans="1:21">
      <c r="A32" s="39" t="s">
        <v>83</v>
      </c>
      <c r="B32" s="40">
        <v>5.01</v>
      </c>
      <c r="C32" s="40">
        <v>11.08</v>
      </c>
      <c r="D32" s="40">
        <v>8.44</v>
      </c>
      <c r="E32" s="40">
        <v>6.39</v>
      </c>
      <c r="F32" s="40">
        <v>6.58</v>
      </c>
      <c r="G32" s="40">
        <v>26.25</v>
      </c>
      <c r="H32" s="40">
        <v>14.98</v>
      </c>
      <c r="I32" s="40">
        <v>9.8000000000000007</v>
      </c>
      <c r="J32" s="40">
        <v>3.75</v>
      </c>
      <c r="K32" s="40">
        <v>171.66</v>
      </c>
      <c r="L32" s="40">
        <v>25.79</v>
      </c>
      <c r="M32" s="40">
        <v>80.14</v>
      </c>
      <c r="N32" s="40">
        <v>23.6</v>
      </c>
      <c r="O32" s="40">
        <v>0</v>
      </c>
      <c r="P32" s="40">
        <v>0.49</v>
      </c>
      <c r="Q32" s="40">
        <v>29.14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2.4</v>
      </c>
      <c r="C34" s="18">
        <f t="shared" si="0"/>
        <v>9.15</v>
      </c>
      <c r="D34" s="18">
        <f t="shared" si="0"/>
        <v>6.05</v>
      </c>
      <c r="E34" s="18">
        <f t="shared" si="0"/>
        <v>5.32</v>
      </c>
      <c r="F34" s="18">
        <f t="shared" si="0"/>
        <v>3.35</v>
      </c>
      <c r="G34" s="18">
        <f t="shared" si="0"/>
        <v>21.38</v>
      </c>
      <c r="H34" s="18">
        <f t="shared" si="0"/>
        <v>10.53</v>
      </c>
      <c r="I34" s="18">
        <f t="shared" si="0"/>
        <v>9.5</v>
      </c>
      <c r="J34" s="18">
        <f t="shared" si="0"/>
        <v>3.75</v>
      </c>
      <c r="K34" s="18">
        <f t="shared" si="0"/>
        <v>171.66</v>
      </c>
      <c r="L34" s="18">
        <f t="shared" si="0"/>
        <v>24.43</v>
      </c>
      <c r="M34" s="18">
        <f t="shared" si="0"/>
        <v>41.4</v>
      </c>
      <c r="N34" s="18">
        <f t="shared" si="0"/>
        <v>23.2</v>
      </c>
      <c r="O34" s="18">
        <f t="shared" si="0"/>
        <v>0</v>
      </c>
      <c r="P34" s="18">
        <f t="shared" si="0"/>
        <v>0.39</v>
      </c>
      <c r="Q34" s="18">
        <f t="shared" si="0"/>
        <v>28.92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8.16</v>
      </c>
      <c r="C35" s="3">
        <f t="shared" si="1"/>
        <v>15.19</v>
      </c>
      <c r="D35" s="3">
        <f t="shared" si="1"/>
        <v>11.1</v>
      </c>
      <c r="E35" s="3">
        <f t="shared" si="1"/>
        <v>9.51</v>
      </c>
      <c r="F35" s="3">
        <f t="shared" si="1"/>
        <v>25.74</v>
      </c>
      <c r="G35" s="3">
        <f t="shared" si="1"/>
        <v>59.76</v>
      </c>
      <c r="H35" s="3">
        <f t="shared" si="1"/>
        <v>25.93</v>
      </c>
      <c r="I35" s="3">
        <f t="shared" si="1"/>
        <v>14.93</v>
      </c>
      <c r="J35" s="3">
        <f t="shared" si="1"/>
        <v>6.01</v>
      </c>
      <c r="K35" s="3">
        <f t="shared" si="1"/>
        <v>358.52</v>
      </c>
      <c r="L35" s="3">
        <f t="shared" si="1"/>
        <v>35.58</v>
      </c>
      <c r="M35" s="3">
        <f t="shared" si="1"/>
        <v>93.5</v>
      </c>
      <c r="N35" s="3">
        <f t="shared" si="1"/>
        <v>789.9</v>
      </c>
      <c r="O35" s="3">
        <f t="shared" si="1"/>
        <v>2.6</v>
      </c>
      <c r="P35" s="3">
        <f t="shared" si="1"/>
        <v>0.74</v>
      </c>
      <c r="Q35" s="3">
        <f t="shared" si="1"/>
        <v>29.45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4.1691666666666674</v>
      </c>
      <c r="C36" s="18">
        <f t="shared" si="2"/>
        <v>11.588333333333333</v>
      </c>
      <c r="D36" s="18">
        <f t="shared" si="2"/>
        <v>8.2316666666666674</v>
      </c>
      <c r="E36" s="18">
        <f t="shared" si="2"/>
        <v>6.4504166666666682</v>
      </c>
      <c r="F36" s="18">
        <f t="shared" si="2"/>
        <v>10.065833333333334</v>
      </c>
      <c r="G36" s="18">
        <f t="shared" si="2"/>
        <v>33.96875</v>
      </c>
      <c r="H36" s="18">
        <f t="shared" si="2"/>
        <v>16.044166666666666</v>
      </c>
      <c r="I36" s="18">
        <f t="shared" si="2"/>
        <v>11.804166666666667</v>
      </c>
      <c r="J36" s="18">
        <f t="shared" si="2"/>
        <v>4.6883333333333335</v>
      </c>
      <c r="K36" s="18">
        <f t="shared" si="2"/>
        <v>243.07124999999996</v>
      </c>
      <c r="L36" s="18">
        <f t="shared" si="2"/>
        <v>28.292499999999993</v>
      </c>
      <c r="M36" s="18">
        <f t="shared" si="2"/>
        <v>71.209166666666661</v>
      </c>
      <c r="N36" s="18">
        <f t="shared" si="2"/>
        <v>263.37083333333334</v>
      </c>
      <c r="O36" s="18">
        <f t="shared" si="2"/>
        <v>0.11666666666666668</v>
      </c>
      <c r="P36" s="18">
        <f t="shared" si="2"/>
        <v>0.53125000000000011</v>
      </c>
      <c r="Q36" s="18">
        <f t="shared" si="2"/>
        <v>29.233749999999997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1.4388307954624164</v>
      </c>
      <c r="C37" s="18">
        <f t="shared" ref="C37:Q37" si="3">STDEV(C9:C32)</f>
        <v>1.7147028305515328</v>
      </c>
      <c r="D37" s="18">
        <f t="shared" si="3"/>
        <v>1.517855084641152</v>
      </c>
      <c r="E37" s="18">
        <f t="shared" si="3"/>
        <v>1.1157040248266843</v>
      </c>
      <c r="F37" s="18">
        <f t="shared" si="3"/>
        <v>7.1500707911768657</v>
      </c>
      <c r="G37" s="18">
        <f t="shared" si="3"/>
        <v>10.383755420387899</v>
      </c>
      <c r="H37" s="18">
        <f t="shared" si="3"/>
        <v>4.2312603905637456</v>
      </c>
      <c r="I37" s="18">
        <f t="shared" si="3"/>
        <v>1.4782831306934232</v>
      </c>
      <c r="J37" s="18">
        <f t="shared" si="3"/>
        <v>0.71200675782496037</v>
      </c>
      <c r="K37" s="18">
        <f t="shared" si="3"/>
        <v>31.249759416465579</v>
      </c>
      <c r="L37" s="18">
        <f t="shared" si="3"/>
        <v>4.1221757129816652</v>
      </c>
      <c r="M37" s="18">
        <f t="shared" si="3"/>
        <v>15.790934084954012</v>
      </c>
      <c r="N37" s="18">
        <f t="shared" si="3"/>
        <v>309.1300760115837</v>
      </c>
      <c r="O37" s="18">
        <f t="shared" si="3"/>
        <v>0.53051793123542845</v>
      </c>
      <c r="P37" s="18">
        <f t="shared" si="3"/>
        <v>8.8872771787636209E-2</v>
      </c>
      <c r="Q37" s="18">
        <f t="shared" si="3"/>
        <v>0.13506238494150347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59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28" zoomScale="85" zoomScaleNormal="85" workbookViewId="0">
      <selection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84</v>
      </c>
      <c r="B9" s="40">
        <v>5.7</v>
      </c>
      <c r="C9" s="40">
        <v>9.11</v>
      </c>
      <c r="D9" s="40">
        <v>6.1</v>
      </c>
      <c r="E9" s="40">
        <v>8.18</v>
      </c>
      <c r="F9" s="40">
        <v>5.31</v>
      </c>
      <c r="G9" s="40">
        <v>27.57</v>
      </c>
      <c r="H9" s="40">
        <v>16.149999999999999</v>
      </c>
      <c r="I9" s="40">
        <v>6.05</v>
      </c>
      <c r="J9" s="40">
        <v>0.25</v>
      </c>
      <c r="K9" s="40">
        <v>348.56</v>
      </c>
      <c r="L9" s="40">
        <v>27.03</v>
      </c>
      <c r="M9" s="40">
        <v>88.2</v>
      </c>
      <c r="N9" s="40">
        <v>2.1</v>
      </c>
      <c r="O9" s="40">
        <v>0</v>
      </c>
      <c r="P9" s="40">
        <v>0.32</v>
      </c>
      <c r="Q9" s="40">
        <v>28</v>
      </c>
      <c r="R9" s="38"/>
      <c r="S9" s="38"/>
      <c r="T9" s="38"/>
      <c r="U9" s="38"/>
    </row>
    <row r="10" spans="1:21" customFormat="1">
      <c r="A10" s="39" t="s">
        <v>85</v>
      </c>
      <c r="B10" s="40">
        <v>5.84</v>
      </c>
      <c r="C10" s="40">
        <v>9.1999999999999993</v>
      </c>
      <c r="D10" s="40">
        <v>6.09</v>
      </c>
      <c r="E10" s="40">
        <v>8.81</v>
      </c>
      <c r="F10" s="40">
        <v>2.46</v>
      </c>
      <c r="G10" s="40">
        <v>39.24</v>
      </c>
      <c r="H10" s="40">
        <v>18.420000000000002</v>
      </c>
      <c r="I10" s="40">
        <v>6.6</v>
      </c>
      <c r="J10" s="40">
        <v>0.25</v>
      </c>
      <c r="K10" s="40">
        <v>194.49</v>
      </c>
      <c r="L10" s="40">
        <v>27.23</v>
      </c>
      <c r="M10" s="40">
        <v>90.17</v>
      </c>
      <c r="N10" s="40">
        <v>2.1</v>
      </c>
      <c r="O10" s="40">
        <v>0</v>
      </c>
      <c r="P10" s="40">
        <v>0.39</v>
      </c>
      <c r="Q10" s="40">
        <v>28</v>
      </c>
      <c r="R10" s="38"/>
      <c r="S10" s="38"/>
      <c r="T10" s="38"/>
      <c r="U10" s="38"/>
    </row>
    <row r="11" spans="1:21" customFormat="1">
      <c r="A11" s="39" t="s">
        <v>86</v>
      </c>
      <c r="B11" s="40">
        <v>5.84</v>
      </c>
      <c r="C11" s="40">
        <v>8.89</v>
      </c>
      <c r="D11" s="40">
        <v>5.46</v>
      </c>
      <c r="E11" s="40">
        <v>8.07</v>
      </c>
      <c r="F11" s="40">
        <v>3.05</v>
      </c>
      <c r="G11" s="40">
        <v>47.83</v>
      </c>
      <c r="H11" s="40">
        <v>27.81</v>
      </c>
      <c r="I11" s="40">
        <v>7.47</v>
      </c>
      <c r="J11" s="40">
        <v>0.21</v>
      </c>
      <c r="K11" s="40">
        <v>224.93</v>
      </c>
      <c r="L11" s="40">
        <v>27.05</v>
      </c>
      <c r="M11" s="40">
        <v>89.9</v>
      </c>
      <c r="N11" s="40">
        <v>2.1</v>
      </c>
      <c r="O11" s="40">
        <v>0</v>
      </c>
      <c r="P11" s="40">
        <v>0.44</v>
      </c>
      <c r="Q11" s="40">
        <v>28</v>
      </c>
      <c r="R11" s="38"/>
      <c r="S11" s="38"/>
      <c r="T11" s="38"/>
      <c r="U11" s="38"/>
    </row>
    <row r="12" spans="1:21" customFormat="1">
      <c r="A12" s="39" t="s">
        <v>87</v>
      </c>
      <c r="B12" s="40">
        <v>5.85</v>
      </c>
      <c r="C12" s="40">
        <v>8.58</v>
      </c>
      <c r="D12" s="40">
        <v>4.95</v>
      </c>
      <c r="E12" s="40">
        <v>8.09</v>
      </c>
      <c r="F12" s="40">
        <v>3.11</v>
      </c>
      <c r="G12" s="40">
        <v>48.72</v>
      </c>
      <c r="H12" s="40">
        <v>27.81</v>
      </c>
      <c r="I12" s="40">
        <v>7.95</v>
      </c>
      <c r="J12" s="40">
        <v>0.18</v>
      </c>
      <c r="K12" s="40">
        <v>182.74</v>
      </c>
      <c r="L12" s="40">
        <v>26.75</v>
      </c>
      <c r="M12" s="40">
        <v>92.29</v>
      </c>
      <c r="N12" s="40">
        <v>2.1</v>
      </c>
      <c r="O12" s="40">
        <v>0</v>
      </c>
      <c r="P12" s="40">
        <v>0.45</v>
      </c>
      <c r="Q12" s="40">
        <v>28</v>
      </c>
      <c r="R12" s="38"/>
      <c r="S12" s="38"/>
      <c r="T12" s="38"/>
      <c r="U12" s="38"/>
    </row>
    <row r="13" spans="1:21" customFormat="1">
      <c r="A13" s="39" t="s">
        <v>88</v>
      </c>
      <c r="B13" s="40">
        <v>5.89</v>
      </c>
      <c r="C13" s="40">
        <v>8.44</v>
      </c>
      <c r="D13" s="40">
        <v>4.58</v>
      </c>
      <c r="E13" s="40">
        <v>8.1</v>
      </c>
      <c r="F13" s="40">
        <v>3.4</v>
      </c>
      <c r="G13" s="40">
        <v>47.78</v>
      </c>
      <c r="H13" s="40">
        <v>24.14</v>
      </c>
      <c r="I13" s="40">
        <v>9.07</v>
      </c>
      <c r="J13" s="40">
        <v>0.14000000000000001</v>
      </c>
      <c r="K13" s="40">
        <v>206.93</v>
      </c>
      <c r="L13" s="40">
        <v>26.62</v>
      </c>
      <c r="M13" s="40">
        <v>92.55</v>
      </c>
      <c r="N13" s="40">
        <v>2</v>
      </c>
      <c r="O13" s="40">
        <v>0</v>
      </c>
      <c r="P13" s="40">
        <v>0.52</v>
      </c>
      <c r="Q13" s="40">
        <v>28</v>
      </c>
      <c r="R13" s="38"/>
      <c r="S13" s="38"/>
      <c r="T13" s="38"/>
      <c r="U13" s="38"/>
    </row>
    <row r="14" spans="1:21" customFormat="1">
      <c r="A14" s="39" t="s">
        <v>89</v>
      </c>
      <c r="B14" s="40">
        <v>5.91</v>
      </c>
      <c r="C14" s="40">
        <v>8.41</v>
      </c>
      <c r="D14" s="40">
        <v>4.43</v>
      </c>
      <c r="E14" s="40">
        <v>8.1999999999999993</v>
      </c>
      <c r="F14" s="40">
        <v>4.92</v>
      </c>
      <c r="G14" s="40">
        <v>46.14</v>
      </c>
      <c r="H14" s="40">
        <v>24.14</v>
      </c>
      <c r="I14" s="40">
        <v>10.06</v>
      </c>
      <c r="J14" s="40">
        <v>0.21</v>
      </c>
      <c r="K14" s="40">
        <v>232.04</v>
      </c>
      <c r="L14" s="40">
        <v>26.74</v>
      </c>
      <c r="M14" s="40">
        <v>93.37</v>
      </c>
      <c r="N14" s="40">
        <v>22.7</v>
      </c>
      <c r="O14" s="40">
        <v>0</v>
      </c>
      <c r="P14" s="40">
        <v>0.54</v>
      </c>
      <c r="Q14" s="40">
        <v>28</v>
      </c>
      <c r="R14" s="38"/>
      <c r="S14" s="38"/>
      <c r="T14" s="38"/>
      <c r="U14" s="38"/>
    </row>
    <row r="15" spans="1:21" customFormat="1">
      <c r="A15" s="39" t="s">
        <v>90</v>
      </c>
      <c r="B15" s="40">
        <v>6.17</v>
      </c>
      <c r="C15" s="40">
        <v>8.17</v>
      </c>
      <c r="D15" s="40">
        <v>3.98</v>
      </c>
      <c r="E15" s="40">
        <v>7.33</v>
      </c>
      <c r="F15" s="40">
        <v>4.68</v>
      </c>
      <c r="G15" s="40">
        <v>39.68</v>
      </c>
      <c r="H15" s="40">
        <v>19.7</v>
      </c>
      <c r="I15" s="40">
        <v>10</v>
      </c>
      <c r="J15" s="40">
        <v>0.71</v>
      </c>
      <c r="K15" s="40">
        <v>247.12</v>
      </c>
      <c r="L15" s="40">
        <v>28.39</v>
      </c>
      <c r="M15" s="40">
        <v>91.91</v>
      </c>
      <c r="N15" s="40">
        <v>97.3</v>
      </c>
      <c r="O15" s="40">
        <v>0</v>
      </c>
      <c r="P15" s="40">
        <v>0.53</v>
      </c>
      <c r="Q15" s="40">
        <v>28</v>
      </c>
      <c r="R15" s="38"/>
      <c r="S15" s="38"/>
      <c r="T15" s="38"/>
      <c r="U15" s="38"/>
    </row>
    <row r="16" spans="1:21" customFormat="1">
      <c r="A16" s="39" t="s">
        <v>91</v>
      </c>
      <c r="B16" s="40">
        <v>5.89</v>
      </c>
      <c r="C16" s="40">
        <v>7.84</v>
      </c>
      <c r="D16" s="40">
        <v>3.69</v>
      </c>
      <c r="E16" s="40">
        <v>7.61</v>
      </c>
      <c r="F16" s="40">
        <v>4.3499999999999996</v>
      </c>
      <c r="G16" s="40">
        <v>36.08</v>
      </c>
      <c r="H16" s="40">
        <v>18.64</v>
      </c>
      <c r="I16" s="40">
        <v>9.66</v>
      </c>
      <c r="J16" s="40">
        <v>1.1599999999999999</v>
      </c>
      <c r="K16" s="40">
        <v>255.21</v>
      </c>
      <c r="L16" s="40">
        <v>29.55</v>
      </c>
      <c r="M16" s="40">
        <v>74.959999999999994</v>
      </c>
      <c r="N16" s="40">
        <v>155.30000000000001</v>
      </c>
      <c r="O16" s="40">
        <v>0</v>
      </c>
      <c r="P16" s="40">
        <v>0.49</v>
      </c>
      <c r="Q16" s="40">
        <v>28</v>
      </c>
      <c r="R16" s="38"/>
      <c r="S16" s="38"/>
      <c r="T16" s="38"/>
      <c r="U16" s="38"/>
    </row>
    <row r="17" spans="1:21" customFormat="1">
      <c r="A17" s="39" t="s">
        <v>92</v>
      </c>
      <c r="B17" s="40">
        <v>4.9800000000000004</v>
      </c>
      <c r="C17" s="40">
        <v>7.35</v>
      </c>
      <c r="D17" s="40">
        <v>3.84</v>
      </c>
      <c r="E17" s="40">
        <v>7.03</v>
      </c>
      <c r="F17" s="40">
        <v>5.23</v>
      </c>
      <c r="G17" s="40">
        <v>31.76</v>
      </c>
      <c r="H17" s="40">
        <v>19.22</v>
      </c>
      <c r="I17" s="40">
        <v>8.9700000000000006</v>
      </c>
      <c r="J17" s="40">
        <v>1.24</v>
      </c>
      <c r="K17" s="40">
        <v>267.48</v>
      </c>
      <c r="L17" s="40">
        <v>30.8</v>
      </c>
      <c r="M17" s="40">
        <v>71.31</v>
      </c>
      <c r="N17" s="40">
        <v>236.1</v>
      </c>
      <c r="O17" s="40">
        <v>0</v>
      </c>
      <c r="P17" s="40">
        <v>0.43</v>
      </c>
      <c r="Q17" s="40">
        <v>28</v>
      </c>
      <c r="R17" s="38"/>
      <c r="S17" s="38"/>
      <c r="T17" s="38"/>
      <c r="U17" s="38"/>
    </row>
    <row r="18" spans="1:21" customFormat="1">
      <c r="A18" s="39" t="s">
        <v>93</v>
      </c>
      <c r="B18" s="40">
        <v>4.7</v>
      </c>
      <c r="C18" s="40">
        <v>7.54</v>
      </c>
      <c r="D18" s="40">
        <v>4.6399999999999997</v>
      </c>
      <c r="E18" s="40">
        <v>7.09</v>
      </c>
      <c r="F18" s="40">
        <v>5.63</v>
      </c>
      <c r="G18" s="40">
        <v>36.69</v>
      </c>
      <c r="H18" s="40">
        <v>22.55</v>
      </c>
      <c r="I18" s="40">
        <v>9.07</v>
      </c>
      <c r="J18" s="40">
        <v>1.1100000000000001</v>
      </c>
      <c r="K18" s="40">
        <v>264.58999999999997</v>
      </c>
      <c r="L18" s="40">
        <v>32.1</v>
      </c>
      <c r="M18" s="40">
        <v>68.760000000000005</v>
      </c>
      <c r="N18" s="40">
        <v>288.89999999999998</v>
      </c>
      <c r="O18" s="40">
        <v>0</v>
      </c>
      <c r="P18" s="40">
        <v>0.5</v>
      </c>
      <c r="Q18" s="40">
        <v>28</v>
      </c>
      <c r="R18" s="38"/>
      <c r="S18" s="38"/>
      <c r="T18" s="38"/>
      <c r="U18" s="38"/>
    </row>
    <row r="19" spans="1:21" customFormat="1">
      <c r="A19" s="39" t="s">
        <v>94</v>
      </c>
      <c r="B19" s="40">
        <v>4.4800000000000004</v>
      </c>
      <c r="C19" s="40">
        <v>8.6199999999999992</v>
      </c>
      <c r="D19" s="40">
        <v>7.87</v>
      </c>
      <c r="E19" s="40">
        <v>9.42</v>
      </c>
      <c r="F19" s="40">
        <v>5.13</v>
      </c>
      <c r="G19" s="40">
        <v>45.31</v>
      </c>
      <c r="H19" s="40">
        <v>26.35</v>
      </c>
      <c r="I19" s="40">
        <v>9.94</v>
      </c>
      <c r="J19" s="40">
        <v>1.19</v>
      </c>
      <c r="K19" s="40">
        <v>269.10000000000002</v>
      </c>
      <c r="L19" s="40">
        <v>33.29</v>
      </c>
      <c r="M19" s="40">
        <v>65.11</v>
      </c>
      <c r="N19" s="40">
        <v>313.3</v>
      </c>
      <c r="O19" s="40">
        <v>0</v>
      </c>
      <c r="P19" s="40">
        <v>0.53</v>
      </c>
      <c r="Q19" s="40">
        <v>28</v>
      </c>
      <c r="R19" s="38"/>
      <c r="S19" s="38"/>
      <c r="T19" s="38"/>
      <c r="U19" s="38"/>
    </row>
    <row r="20" spans="1:21" customFormat="1">
      <c r="A20" s="39" t="s">
        <v>95</v>
      </c>
      <c r="B20" s="40">
        <v>3.83</v>
      </c>
      <c r="C20" s="40">
        <v>8.1999999999999993</v>
      </c>
      <c r="D20" s="40">
        <v>7.23</v>
      </c>
      <c r="E20" s="40">
        <v>9.76</v>
      </c>
      <c r="F20" s="40">
        <v>47.48</v>
      </c>
      <c r="G20" s="40">
        <v>46.31</v>
      </c>
      <c r="H20" s="40">
        <v>27.21</v>
      </c>
      <c r="I20" s="40">
        <v>10.18</v>
      </c>
      <c r="J20" s="40">
        <v>0.75</v>
      </c>
      <c r="K20" s="40">
        <v>278.72000000000003</v>
      </c>
      <c r="L20" s="40">
        <v>34.46</v>
      </c>
      <c r="M20" s="40">
        <v>63.51</v>
      </c>
      <c r="N20" s="40">
        <v>529.5</v>
      </c>
      <c r="O20" s="40">
        <v>0</v>
      </c>
      <c r="P20" s="40">
        <v>0.55000000000000004</v>
      </c>
      <c r="Q20" s="40">
        <v>28</v>
      </c>
      <c r="R20" s="38"/>
      <c r="S20" s="38"/>
      <c r="T20" s="38"/>
      <c r="U20" s="38"/>
    </row>
    <row r="21" spans="1:21" customFormat="1">
      <c r="A21" s="39" t="s">
        <v>96</v>
      </c>
      <c r="B21" s="40">
        <v>3.83</v>
      </c>
      <c r="C21" s="40">
        <v>9.2799999999999994</v>
      </c>
      <c r="D21" s="40">
        <v>9.2799999999999994</v>
      </c>
      <c r="E21" s="40">
        <v>9.91</v>
      </c>
      <c r="F21" s="40">
        <v>69.459999999999994</v>
      </c>
      <c r="G21" s="40">
        <v>44.39</v>
      </c>
      <c r="H21" s="40">
        <v>29.45</v>
      </c>
      <c r="I21" s="40">
        <v>9.9499999999999993</v>
      </c>
      <c r="J21" s="40">
        <v>0.68</v>
      </c>
      <c r="K21" s="40">
        <v>305.26</v>
      </c>
      <c r="L21" s="40">
        <v>36.020000000000003</v>
      </c>
      <c r="M21" s="40">
        <v>55.56</v>
      </c>
      <c r="N21" s="40">
        <v>732.6</v>
      </c>
      <c r="O21" s="40">
        <v>0</v>
      </c>
      <c r="P21" s="40">
        <v>0.64</v>
      </c>
      <c r="Q21" s="40">
        <v>28</v>
      </c>
      <c r="R21" s="38"/>
      <c r="S21" s="38"/>
      <c r="T21" s="38"/>
      <c r="U21" s="38"/>
    </row>
    <row r="22" spans="1:21" customFormat="1">
      <c r="A22" s="39" t="s">
        <v>97</v>
      </c>
      <c r="B22" s="40">
        <v>3.56</v>
      </c>
      <c r="C22" s="40">
        <v>7.94</v>
      </c>
      <c r="D22" s="40">
        <v>7.2</v>
      </c>
      <c r="E22" s="40">
        <v>10.08</v>
      </c>
      <c r="F22" s="40">
        <v>73.290000000000006</v>
      </c>
      <c r="G22" s="40">
        <v>48.55</v>
      </c>
      <c r="H22" s="40">
        <v>29.45</v>
      </c>
      <c r="I22" s="40">
        <v>15.41</v>
      </c>
      <c r="J22" s="40">
        <v>0.77</v>
      </c>
      <c r="K22" s="40">
        <v>265.19</v>
      </c>
      <c r="L22" s="40">
        <v>36.72</v>
      </c>
      <c r="M22" s="40">
        <v>52.93</v>
      </c>
      <c r="N22" s="40">
        <v>648.5</v>
      </c>
      <c r="O22" s="40">
        <v>0</v>
      </c>
      <c r="P22" s="40">
        <v>0.55000000000000004</v>
      </c>
      <c r="Q22" s="40">
        <v>28</v>
      </c>
      <c r="R22" s="38"/>
      <c r="S22" s="38"/>
      <c r="T22" s="38"/>
      <c r="U22" s="38"/>
    </row>
    <row r="23" spans="1:21" customFormat="1">
      <c r="A23" s="39" t="s">
        <v>98</v>
      </c>
      <c r="B23" s="40">
        <v>3.98</v>
      </c>
      <c r="C23" s="40">
        <v>8.25</v>
      </c>
      <c r="D23" s="40">
        <v>7.1</v>
      </c>
      <c r="E23" s="40">
        <v>10.1</v>
      </c>
      <c r="F23" s="40">
        <v>78.13</v>
      </c>
      <c r="G23" s="40">
        <v>49.04</v>
      </c>
      <c r="H23" s="40">
        <v>32.11</v>
      </c>
      <c r="I23" s="40">
        <v>7.33</v>
      </c>
      <c r="J23" s="40">
        <v>0.97</v>
      </c>
      <c r="K23" s="40">
        <v>265.06</v>
      </c>
      <c r="L23" s="40">
        <v>37.409999999999997</v>
      </c>
      <c r="M23" s="40">
        <v>48.28</v>
      </c>
      <c r="N23" s="40">
        <v>509.2</v>
      </c>
      <c r="O23" s="40">
        <v>0</v>
      </c>
      <c r="P23" s="40">
        <v>0.59</v>
      </c>
      <c r="Q23" s="40">
        <v>28</v>
      </c>
      <c r="R23" s="38"/>
      <c r="S23" s="38"/>
      <c r="T23" s="38"/>
      <c r="U23" s="38"/>
    </row>
    <row r="24" spans="1:21" customFormat="1">
      <c r="A24" s="39" t="s">
        <v>99</v>
      </c>
      <c r="B24" s="40">
        <v>3.66</v>
      </c>
      <c r="C24" s="40">
        <v>7.76</v>
      </c>
      <c r="D24" s="40">
        <v>6.64</v>
      </c>
      <c r="E24" s="40">
        <v>14.05</v>
      </c>
      <c r="F24" s="40">
        <v>76.62</v>
      </c>
      <c r="G24" s="40">
        <v>46.55</v>
      </c>
      <c r="H24" s="40">
        <v>32.159999999999997</v>
      </c>
      <c r="I24" s="40">
        <v>7.32</v>
      </c>
      <c r="J24" s="40">
        <v>1.03</v>
      </c>
      <c r="K24" s="40">
        <v>264.01</v>
      </c>
      <c r="L24" s="40">
        <v>37.380000000000003</v>
      </c>
      <c r="M24" s="40">
        <v>46.07</v>
      </c>
      <c r="N24" s="40">
        <v>534.1</v>
      </c>
      <c r="O24" s="40">
        <v>0</v>
      </c>
      <c r="P24" s="40">
        <v>0.71</v>
      </c>
      <c r="Q24" s="40">
        <v>28</v>
      </c>
      <c r="R24" s="38"/>
      <c r="S24" s="38"/>
      <c r="T24" s="38"/>
      <c r="U24" s="38"/>
    </row>
    <row r="25" spans="1:21" customFormat="1">
      <c r="A25" s="39" t="s">
        <v>100</v>
      </c>
      <c r="B25" s="40">
        <v>5.55</v>
      </c>
      <c r="C25" s="40">
        <v>9.75</v>
      </c>
      <c r="D25" s="40">
        <v>7.56</v>
      </c>
      <c r="E25" s="40">
        <v>11.44</v>
      </c>
      <c r="F25" s="40">
        <v>20.07</v>
      </c>
      <c r="G25" s="40">
        <v>46.96</v>
      </c>
      <c r="H25" s="40">
        <v>32.159999999999997</v>
      </c>
      <c r="I25" s="40">
        <v>7.63</v>
      </c>
      <c r="J25" s="40">
        <v>1.82</v>
      </c>
      <c r="K25" s="40">
        <v>321.60000000000002</v>
      </c>
      <c r="L25" s="40">
        <v>34.61</v>
      </c>
      <c r="M25" s="40">
        <v>58.9</v>
      </c>
      <c r="N25" s="40">
        <v>118.3</v>
      </c>
      <c r="O25" s="40">
        <v>0</v>
      </c>
      <c r="P25" s="40">
        <v>0.66</v>
      </c>
      <c r="Q25" s="40">
        <v>28</v>
      </c>
      <c r="R25" s="38"/>
      <c r="S25" s="38"/>
      <c r="T25" s="38"/>
      <c r="U25" s="38"/>
    </row>
    <row r="26" spans="1:21" customFormat="1">
      <c r="A26" s="39" t="s">
        <v>101</v>
      </c>
      <c r="B26" s="40">
        <v>4.76</v>
      </c>
      <c r="C26" s="40">
        <v>9.64</v>
      </c>
      <c r="D26" s="40">
        <v>8.56</v>
      </c>
      <c r="E26" s="40">
        <v>10.49</v>
      </c>
      <c r="F26" s="40">
        <v>24.71</v>
      </c>
      <c r="G26" s="40">
        <v>46.61</v>
      </c>
      <c r="H26" s="40">
        <v>28.29</v>
      </c>
      <c r="I26" s="40">
        <v>7.37</v>
      </c>
      <c r="J26" s="40">
        <v>0.27</v>
      </c>
      <c r="K26" s="40">
        <v>350.7</v>
      </c>
      <c r="L26" s="40">
        <v>31.36</v>
      </c>
      <c r="M26" s="40">
        <v>60.95</v>
      </c>
      <c r="N26" s="40">
        <v>24.9</v>
      </c>
      <c r="O26" s="40">
        <v>0</v>
      </c>
      <c r="P26" s="40">
        <v>0.6</v>
      </c>
      <c r="Q26" s="40">
        <v>28</v>
      </c>
      <c r="R26" s="38"/>
      <c r="S26" s="38"/>
      <c r="T26" s="38"/>
      <c r="U26" s="38"/>
    </row>
    <row r="27" spans="1:21" customFormat="1">
      <c r="A27" s="39" t="s">
        <v>102</v>
      </c>
      <c r="B27" s="40">
        <v>3.81</v>
      </c>
      <c r="C27" s="40">
        <v>7.68</v>
      </c>
      <c r="D27" s="40">
        <v>6.29</v>
      </c>
      <c r="E27" s="40">
        <v>7.81</v>
      </c>
      <c r="F27" s="40">
        <v>24.61</v>
      </c>
      <c r="G27" s="40">
        <v>46.66</v>
      </c>
      <c r="H27" s="40">
        <v>28.29</v>
      </c>
      <c r="I27" s="40">
        <v>6.71</v>
      </c>
      <c r="J27" s="40">
        <v>0.22</v>
      </c>
      <c r="K27" s="40">
        <v>227.09</v>
      </c>
      <c r="L27" s="40">
        <v>30.87</v>
      </c>
      <c r="M27" s="40">
        <v>67.3</v>
      </c>
      <c r="N27" s="40">
        <v>9.5</v>
      </c>
      <c r="O27" s="40">
        <v>0</v>
      </c>
      <c r="P27" s="40">
        <v>0.56000000000000005</v>
      </c>
      <c r="Q27" s="40">
        <v>28</v>
      </c>
      <c r="R27" s="38"/>
      <c r="S27" s="38"/>
      <c r="T27" s="38"/>
      <c r="U27" s="38"/>
    </row>
    <row r="28" spans="1:21" customFormat="1">
      <c r="A28" s="39" t="s">
        <v>103</v>
      </c>
      <c r="B28" s="40">
        <v>4.0599999999999996</v>
      </c>
      <c r="C28" s="40">
        <v>7.94</v>
      </c>
      <c r="D28" s="40">
        <v>6.6</v>
      </c>
      <c r="E28" s="40">
        <v>7.8</v>
      </c>
      <c r="F28" s="40">
        <v>16.84</v>
      </c>
      <c r="G28" s="40">
        <v>47.37</v>
      </c>
      <c r="H28" s="40">
        <v>26.52</v>
      </c>
      <c r="I28" s="40">
        <v>6.44</v>
      </c>
      <c r="J28" s="40">
        <v>0.81</v>
      </c>
      <c r="K28" s="40">
        <v>242.67</v>
      </c>
      <c r="L28" s="40">
        <v>30.43</v>
      </c>
      <c r="M28" s="40">
        <v>67.75</v>
      </c>
      <c r="N28" s="40">
        <v>2.1</v>
      </c>
      <c r="O28" s="40">
        <v>0</v>
      </c>
      <c r="P28" s="40">
        <v>0.6</v>
      </c>
      <c r="Q28" s="40">
        <v>28</v>
      </c>
      <c r="R28" s="38"/>
      <c r="S28" s="38"/>
      <c r="T28" s="38"/>
      <c r="U28" s="38"/>
    </row>
    <row r="29" spans="1:21" customFormat="1">
      <c r="A29" s="39" t="s">
        <v>104</v>
      </c>
      <c r="B29" s="40">
        <v>4.07</v>
      </c>
      <c r="C29" s="40">
        <v>7.38</v>
      </c>
      <c r="D29" s="40">
        <v>5.45</v>
      </c>
      <c r="E29" s="40">
        <v>8.14</v>
      </c>
      <c r="F29" s="40">
        <v>7.63</v>
      </c>
      <c r="G29" s="40">
        <v>47.67</v>
      </c>
      <c r="H29" s="40">
        <v>26.52</v>
      </c>
      <c r="I29" s="40">
        <v>6.82</v>
      </c>
      <c r="J29" s="40">
        <v>0.71</v>
      </c>
      <c r="K29" s="40">
        <v>248.87</v>
      </c>
      <c r="L29" s="40">
        <v>29.94</v>
      </c>
      <c r="M29" s="40">
        <v>65.510000000000005</v>
      </c>
      <c r="N29" s="40">
        <v>2.2999999999999998</v>
      </c>
      <c r="O29" s="40">
        <v>0</v>
      </c>
      <c r="P29" s="40">
        <v>0.56000000000000005</v>
      </c>
      <c r="Q29" s="40">
        <v>28</v>
      </c>
      <c r="R29" s="38"/>
      <c r="S29" s="38"/>
      <c r="T29" s="38"/>
      <c r="U29" s="38"/>
    </row>
    <row r="30" spans="1:21" customFormat="1">
      <c r="A30" s="39" t="s">
        <v>105</v>
      </c>
      <c r="B30" s="40">
        <v>3.74</v>
      </c>
      <c r="C30" s="40">
        <v>6.83</v>
      </c>
      <c r="D30" s="40">
        <v>4.75</v>
      </c>
      <c r="E30" s="40">
        <v>8.68</v>
      </c>
      <c r="F30" s="40">
        <v>4.08</v>
      </c>
      <c r="G30" s="40">
        <v>37.450000000000003</v>
      </c>
      <c r="H30" s="40">
        <v>20.260000000000002</v>
      </c>
      <c r="I30" s="40">
        <v>6.58</v>
      </c>
      <c r="J30" s="40">
        <v>0.51</v>
      </c>
      <c r="K30" s="40">
        <v>247.52</v>
      </c>
      <c r="L30" s="40">
        <v>29.53</v>
      </c>
      <c r="M30" s="40">
        <v>56.79</v>
      </c>
      <c r="N30" s="40">
        <v>2</v>
      </c>
      <c r="O30" s="40">
        <v>0</v>
      </c>
      <c r="P30" s="40">
        <v>0.49</v>
      </c>
      <c r="Q30" s="40">
        <v>28</v>
      </c>
      <c r="R30" s="38"/>
      <c r="S30" s="38"/>
      <c r="T30" s="38"/>
      <c r="U30" s="38"/>
    </row>
    <row r="31" spans="1:21" customFormat="1">
      <c r="A31" s="39" t="s">
        <v>106</v>
      </c>
      <c r="B31" s="40">
        <v>3.75</v>
      </c>
      <c r="C31" s="40">
        <v>6.76</v>
      </c>
      <c r="D31" s="40">
        <v>4.6100000000000003</v>
      </c>
      <c r="E31" s="40">
        <v>8.84</v>
      </c>
      <c r="F31" s="40">
        <v>4.28</v>
      </c>
      <c r="G31" s="40">
        <v>37.479999999999997</v>
      </c>
      <c r="H31" s="40">
        <v>20.52</v>
      </c>
      <c r="I31" s="40">
        <v>5.77</v>
      </c>
      <c r="J31" s="40">
        <v>0.63</v>
      </c>
      <c r="K31" s="40">
        <v>249.29</v>
      </c>
      <c r="L31" s="40">
        <v>29.35</v>
      </c>
      <c r="M31" s="40">
        <v>65.16</v>
      </c>
      <c r="N31" s="40">
        <v>1.9</v>
      </c>
      <c r="O31" s="40">
        <v>0</v>
      </c>
      <c r="P31" s="40">
        <v>0.44</v>
      </c>
      <c r="Q31" s="40">
        <v>28</v>
      </c>
      <c r="R31" s="38"/>
      <c r="S31" s="38"/>
      <c r="T31" s="38"/>
      <c r="U31" s="38"/>
    </row>
    <row r="32" spans="1:21" customFormat="1">
      <c r="A32" s="39" t="s">
        <v>107</v>
      </c>
      <c r="B32" s="40">
        <v>3.81</v>
      </c>
      <c r="C32" s="40">
        <v>6.71</v>
      </c>
      <c r="D32" s="40">
        <v>4.49</v>
      </c>
      <c r="E32" s="40">
        <v>9.09</v>
      </c>
      <c r="F32" s="40">
        <v>4.26</v>
      </c>
      <c r="G32" s="40">
        <v>37.83</v>
      </c>
      <c r="H32" s="40">
        <v>20.52</v>
      </c>
      <c r="I32" s="40">
        <v>5.19</v>
      </c>
      <c r="J32" s="40">
        <v>0.61</v>
      </c>
      <c r="K32" s="40">
        <v>248.11</v>
      </c>
      <c r="L32" s="40">
        <v>29.32</v>
      </c>
      <c r="M32" s="40">
        <v>71.150000000000006</v>
      </c>
      <c r="N32" s="40">
        <v>2.1</v>
      </c>
      <c r="O32" s="40">
        <v>0</v>
      </c>
      <c r="P32" s="40">
        <v>0.42</v>
      </c>
      <c r="Q32" s="40">
        <v>28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3.56</v>
      </c>
      <c r="C34" s="18">
        <f t="shared" si="0"/>
        <v>6.71</v>
      </c>
      <c r="D34" s="18">
        <f t="shared" si="0"/>
        <v>3.69</v>
      </c>
      <c r="E34" s="18">
        <f t="shared" si="0"/>
        <v>7.03</v>
      </c>
      <c r="F34" s="18">
        <f t="shared" si="0"/>
        <v>2.46</v>
      </c>
      <c r="G34" s="18">
        <f t="shared" si="0"/>
        <v>27.57</v>
      </c>
      <c r="H34" s="18">
        <f t="shared" si="0"/>
        <v>16.149999999999999</v>
      </c>
      <c r="I34" s="18">
        <f t="shared" si="0"/>
        <v>5.19</v>
      </c>
      <c r="J34" s="18">
        <f t="shared" si="0"/>
        <v>0.14000000000000001</v>
      </c>
      <c r="K34" s="18">
        <f t="shared" si="0"/>
        <v>182.74</v>
      </c>
      <c r="L34" s="18">
        <f t="shared" si="0"/>
        <v>26.62</v>
      </c>
      <c r="M34" s="18">
        <f t="shared" si="0"/>
        <v>46.07</v>
      </c>
      <c r="N34" s="18">
        <f t="shared" si="0"/>
        <v>1.9</v>
      </c>
      <c r="O34" s="18">
        <f t="shared" si="0"/>
        <v>0</v>
      </c>
      <c r="P34" s="18">
        <f t="shared" si="0"/>
        <v>0.32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6.17</v>
      </c>
      <c r="C35" s="3">
        <f t="shared" si="1"/>
        <v>9.75</v>
      </c>
      <c r="D35" s="3">
        <f t="shared" si="1"/>
        <v>9.2799999999999994</v>
      </c>
      <c r="E35" s="3">
        <f t="shared" si="1"/>
        <v>14.05</v>
      </c>
      <c r="F35" s="3">
        <f t="shared" si="1"/>
        <v>78.13</v>
      </c>
      <c r="G35" s="3">
        <f t="shared" si="1"/>
        <v>49.04</v>
      </c>
      <c r="H35" s="3">
        <f t="shared" si="1"/>
        <v>32.159999999999997</v>
      </c>
      <c r="I35" s="3">
        <f t="shared" si="1"/>
        <v>15.41</v>
      </c>
      <c r="J35" s="3">
        <f t="shared" si="1"/>
        <v>1.82</v>
      </c>
      <c r="K35" s="3">
        <f t="shared" si="1"/>
        <v>350.7</v>
      </c>
      <c r="L35" s="3">
        <f t="shared" si="1"/>
        <v>37.409999999999997</v>
      </c>
      <c r="M35" s="3">
        <f t="shared" si="1"/>
        <v>93.37</v>
      </c>
      <c r="N35" s="3">
        <f t="shared" si="1"/>
        <v>732.6</v>
      </c>
      <c r="O35" s="3">
        <f t="shared" si="1"/>
        <v>0</v>
      </c>
      <c r="P35" s="3">
        <f t="shared" si="1"/>
        <v>0.71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4.7358333333333338</v>
      </c>
      <c r="C36" s="18">
        <f t="shared" si="2"/>
        <v>8.1779166666666683</v>
      </c>
      <c r="D36" s="18">
        <f t="shared" si="2"/>
        <v>5.8912500000000003</v>
      </c>
      <c r="E36" s="18">
        <f t="shared" si="2"/>
        <v>8.9216666666666686</v>
      </c>
      <c r="F36" s="18">
        <f t="shared" si="2"/>
        <v>20.780416666666664</v>
      </c>
      <c r="G36" s="18">
        <f t="shared" si="2"/>
        <v>42.902916666666663</v>
      </c>
      <c r="H36" s="18">
        <f t="shared" si="2"/>
        <v>24.93291666666666</v>
      </c>
      <c r="I36" s="18">
        <f t="shared" si="2"/>
        <v>8.2308333333333348</v>
      </c>
      <c r="J36" s="18">
        <f t="shared" si="2"/>
        <v>0.68458333333333332</v>
      </c>
      <c r="K36" s="18">
        <f t="shared" si="2"/>
        <v>258.63666666666671</v>
      </c>
      <c r="L36" s="18">
        <f t="shared" si="2"/>
        <v>30.956250000000001</v>
      </c>
      <c r="M36" s="18">
        <f t="shared" si="2"/>
        <v>70.766250000000014</v>
      </c>
      <c r="N36" s="18">
        <f t="shared" si="2"/>
        <v>176.70833333333334</v>
      </c>
      <c r="O36" s="18">
        <f t="shared" si="2"/>
        <v>0</v>
      </c>
      <c r="P36" s="18">
        <f t="shared" si="2"/>
        <v>0.52124999999999999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0.9516389371324947</v>
      </c>
      <c r="C37" s="18">
        <f t="shared" ref="C37:Q37" si="3">STDEV(C9:C32)</f>
        <v>0.8620197675866319</v>
      </c>
      <c r="D37" s="18">
        <f t="shared" si="3"/>
        <v>1.5586736627519304</v>
      </c>
      <c r="E37" s="18">
        <f t="shared" si="3"/>
        <v>1.5786721626421985</v>
      </c>
      <c r="F37" s="18">
        <f t="shared" si="3"/>
        <v>26.613748078302734</v>
      </c>
      <c r="G37" s="18">
        <f t="shared" si="3"/>
        <v>6.0250992985984606</v>
      </c>
      <c r="H37" s="18">
        <f t="shared" si="3"/>
        <v>4.8229753392681447</v>
      </c>
      <c r="I37" s="18">
        <f t="shared" si="3"/>
        <v>2.1673885642417146</v>
      </c>
      <c r="J37" s="18">
        <f t="shared" si="3"/>
        <v>0.43216320555073168</v>
      </c>
      <c r="K37" s="18">
        <f t="shared" si="3"/>
        <v>41.51655915484757</v>
      </c>
      <c r="L37" s="18">
        <f t="shared" si="3"/>
        <v>3.5530107410598974</v>
      </c>
      <c r="M37" s="18">
        <f t="shared" si="3"/>
        <v>15.074605427816204</v>
      </c>
      <c r="N37" s="18">
        <f t="shared" si="3"/>
        <v>239.47089850728011</v>
      </c>
      <c r="O37" s="18">
        <f t="shared" si="3"/>
        <v>0</v>
      </c>
      <c r="P37" s="18">
        <f t="shared" si="3"/>
        <v>9.0472791970606162E-2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96"/>
  <sheetViews>
    <sheetView topLeftCell="A19" zoomScale="85" zoomScaleNormal="85" workbookViewId="0">
      <selection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6" width="9.140625" style="1" customWidth="1"/>
    <col min="17" max="17" width="16.425781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31/05/2025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108</v>
      </c>
      <c r="B9" s="40">
        <v>3.77</v>
      </c>
      <c r="C9" s="40">
        <v>6.46</v>
      </c>
      <c r="D9" s="40">
        <v>4.1100000000000003</v>
      </c>
      <c r="E9" s="40">
        <v>9.3800000000000008</v>
      </c>
      <c r="F9" s="40">
        <v>4.03</v>
      </c>
      <c r="G9" s="40">
        <v>33.68</v>
      </c>
      <c r="H9" s="40">
        <v>19.57</v>
      </c>
      <c r="I9" s="40">
        <v>4.8899999999999997</v>
      </c>
      <c r="J9" s="40">
        <v>0.46</v>
      </c>
      <c r="K9" s="40">
        <v>247.26</v>
      </c>
      <c r="L9" s="40">
        <v>29.11</v>
      </c>
      <c r="M9" s="40">
        <v>74.010000000000005</v>
      </c>
      <c r="N9" s="40">
        <v>2.1</v>
      </c>
      <c r="O9" s="40">
        <v>0</v>
      </c>
      <c r="P9" s="40">
        <v>0.41</v>
      </c>
      <c r="Q9" s="40">
        <v>28</v>
      </c>
      <c r="R9" s="38"/>
      <c r="S9" s="38"/>
      <c r="T9" s="38"/>
      <c r="U9" s="38"/>
    </row>
    <row r="10" spans="1:21" customFormat="1">
      <c r="A10" s="39" t="s">
        <v>109</v>
      </c>
      <c r="B10" s="40">
        <v>4.03</v>
      </c>
      <c r="C10" s="40">
        <v>6.43</v>
      </c>
      <c r="D10" s="40">
        <v>3.78</v>
      </c>
      <c r="E10" s="40">
        <v>9.4600000000000009</v>
      </c>
      <c r="F10" s="40">
        <v>7.36</v>
      </c>
      <c r="G10" s="40">
        <v>30.17</v>
      </c>
      <c r="H10" s="40">
        <v>19.47</v>
      </c>
      <c r="I10" s="40">
        <v>4.67</v>
      </c>
      <c r="J10" s="40">
        <v>0.76</v>
      </c>
      <c r="K10" s="40">
        <v>248.54</v>
      </c>
      <c r="L10" s="40">
        <v>28.8</v>
      </c>
      <c r="M10" s="40">
        <v>75.47</v>
      </c>
      <c r="N10" s="40">
        <v>2.2999999999999998</v>
      </c>
      <c r="O10" s="40">
        <v>0</v>
      </c>
      <c r="P10" s="40">
        <v>0.43</v>
      </c>
      <c r="Q10" s="40">
        <v>28</v>
      </c>
      <c r="R10" s="38"/>
      <c r="S10" s="38"/>
      <c r="T10" s="38"/>
      <c r="U10" s="38"/>
    </row>
    <row r="11" spans="1:21" customFormat="1">
      <c r="A11" s="39" t="s">
        <v>110</v>
      </c>
      <c r="B11" s="40">
        <v>4.12</v>
      </c>
      <c r="C11" s="40">
        <v>6.2</v>
      </c>
      <c r="D11" s="40">
        <v>3</v>
      </c>
      <c r="E11" s="40">
        <v>8.86</v>
      </c>
      <c r="F11" s="40">
        <v>6.25</v>
      </c>
      <c r="G11" s="40">
        <v>30.36</v>
      </c>
      <c r="H11" s="40">
        <v>17.88</v>
      </c>
      <c r="I11" s="40">
        <v>4.6900000000000004</v>
      </c>
      <c r="J11" s="40">
        <v>0.84</v>
      </c>
      <c r="K11" s="40">
        <v>253.56</v>
      </c>
      <c r="L11" s="40">
        <v>28.41</v>
      </c>
      <c r="M11" s="40">
        <v>75.680000000000007</v>
      </c>
      <c r="N11" s="40">
        <v>2.1</v>
      </c>
      <c r="O11" s="40">
        <v>0</v>
      </c>
      <c r="P11" s="40">
        <v>0.42</v>
      </c>
      <c r="Q11" s="40">
        <v>28</v>
      </c>
      <c r="R11" s="38"/>
      <c r="S11" s="38"/>
      <c r="T11" s="38"/>
      <c r="U11" s="38"/>
    </row>
    <row r="12" spans="1:21" customFormat="1">
      <c r="A12" s="39" t="s">
        <v>111</v>
      </c>
      <c r="B12" s="40">
        <v>4.16</v>
      </c>
      <c r="C12" s="40">
        <v>6.33</v>
      </c>
      <c r="D12" s="40">
        <v>3.14</v>
      </c>
      <c r="E12" s="40">
        <v>8.7200000000000006</v>
      </c>
      <c r="F12" s="40">
        <v>9.49</v>
      </c>
      <c r="G12" s="40">
        <v>29.52</v>
      </c>
      <c r="H12" s="40">
        <v>18.850000000000001</v>
      </c>
      <c r="I12" s="40">
        <v>4.62</v>
      </c>
      <c r="J12" s="40">
        <v>0.46</v>
      </c>
      <c r="K12" s="40">
        <v>259.23</v>
      </c>
      <c r="L12" s="40">
        <v>28.18</v>
      </c>
      <c r="M12" s="40">
        <v>95.58</v>
      </c>
      <c r="N12" s="40">
        <v>4.0999999999999996</v>
      </c>
      <c r="O12" s="40">
        <v>1.2</v>
      </c>
      <c r="P12" s="40">
        <v>0.41</v>
      </c>
      <c r="Q12" s="40">
        <v>28</v>
      </c>
      <c r="R12" s="38"/>
      <c r="S12" s="38"/>
      <c r="T12" s="38"/>
      <c r="U12" s="38"/>
    </row>
    <row r="13" spans="1:21" customFormat="1">
      <c r="A13" s="39" t="s">
        <v>112</v>
      </c>
      <c r="B13" s="40">
        <v>4.8099999999999996</v>
      </c>
      <c r="C13" s="40">
        <v>6.65</v>
      </c>
      <c r="D13" s="40">
        <v>2.9</v>
      </c>
      <c r="E13" s="40">
        <v>8.7799999999999994</v>
      </c>
      <c r="F13" s="40">
        <v>5.38</v>
      </c>
      <c r="G13" s="40">
        <v>29.99</v>
      </c>
      <c r="H13" s="40">
        <v>18.850000000000001</v>
      </c>
      <c r="I13" s="40">
        <v>4.82</v>
      </c>
      <c r="J13" s="40">
        <v>0.15</v>
      </c>
      <c r="K13" s="40">
        <v>220.77</v>
      </c>
      <c r="L13" s="40">
        <v>26.16</v>
      </c>
      <c r="M13" s="40">
        <v>102.23</v>
      </c>
      <c r="N13" s="40">
        <v>2.6</v>
      </c>
      <c r="O13" s="40">
        <v>2.8</v>
      </c>
      <c r="P13" s="40">
        <v>0.42</v>
      </c>
      <c r="Q13" s="40">
        <v>28</v>
      </c>
      <c r="R13" s="38"/>
      <c r="S13" s="38"/>
      <c r="T13" s="38"/>
      <c r="U13" s="38"/>
    </row>
    <row r="14" spans="1:21" customFormat="1">
      <c r="A14" s="39" t="s">
        <v>113</v>
      </c>
      <c r="B14" s="40">
        <v>5.86</v>
      </c>
      <c r="C14" s="40">
        <v>8.26</v>
      </c>
      <c r="D14" s="40">
        <v>4.24</v>
      </c>
      <c r="E14" s="40">
        <v>8.64</v>
      </c>
      <c r="F14" s="40">
        <v>3.44</v>
      </c>
      <c r="G14" s="40">
        <v>30.04</v>
      </c>
      <c r="H14" s="40">
        <v>16.79</v>
      </c>
      <c r="I14" s="40">
        <v>4.9800000000000004</v>
      </c>
      <c r="J14" s="40">
        <v>0.21</v>
      </c>
      <c r="K14" s="40">
        <v>214.76</v>
      </c>
      <c r="L14" s="40">
        <v>25.84</v>
      </c>
      <c r="M14" s="40">
        <v>103.31</v>
      </c>
      <c r="N14" s="40">
        <v>3.1</v>
      </c>
      <c r="O14" s="40">
        <v>0.4</v>
      </c>
      <c r="P14" s="40">
        <v>0.44</v>
      </c>
      <c r="Q14" s="40">
        <v>28</v>
      </c>
      <c r="R14" s="38"/>
      <c r="S14" s="38"/>
      <c r="T14" s="38"/>
      <c r="U14" s="38"/>
    </row>
    <row r="15" spans="1:21" customFormat="1">
      <c r="A15" s="39" t="s">
        <v>114</v>
      </c>
      <c r="B15" s="40">
        <v>5.48</v>
      </c>
      <c r="C15" s="40">
        <v>7.91</v>
      </c>
      <c r="D15" s="40">
        <v>4.67</v>
      </c>
      <c r="E15" s="40">
        <v>9.19</v>
      </c>
      <c r="F15" s="40">
        <v>2.48</v>
      </c>
      <c r="G15" s="40">
        <v>27.77</v>
      </c>
      <c r="H15" s="40">
        <v>16.440000000000001</v>
      </c>
      <c r="I15" s="40">
        <v>5.03</v>
      </c>
      <c r="J15" s="40">
        <v>0.24</v>
      </c>
      <c r="K15" s="40">
        <v>255.83</v>
      </c>
      <c r="L15" s="40">
        <v>26.04</v>
      </c>
      <c r="M15" s="40">
        <v>103.9</v>
      </c>
      <c r="N15" s="40">
        <v>27.9</v>
      </c>
      <c r="O15" s="40">
        <v>0</v>
      </c>
      <c r="P15" s="40">
        <v>0.4</v>
      </c>
      <c r="Q15" s="40">
        <v>28</v>
      </c>
      <c r="R15" s="38"/>
      <c r="S15" s="38"/>
      <c r="T15" s="38"/>
      <c r="U15" s="38"/>
    </row>
    <row r="16" spans="1:21" customFormat="1">
      <c r="A16" s="39" t="s">
        <v>115</v>
      </c>
      <c r="B16" s="40">
        <v>4.8499999999999996</v>
      </c>
      <c r="C16" s="40">
        <v>7.65</v>
      </c>
      <c r="D16" s="40">
        <v>4.6399999999999997</v>
      </c>
      <c r="E16" s="40">
        <v>9.5500000000000007</v>
      </c>
      <c r="F16" s="40">
        <v>3.41</v>
      </c>
      <c r="G16" s="40">
        <v>24.93</v>
      </c>
      <c r="H16" s="40">
        <v>14.08</v>
      </c>
      <c r="I16" s="40">
        <v>4.93</v>
      </c>
      <c r="J16" s="40">
        <v>0.2</v>
      </c>
      <c r="K16" s="40">
        <v>256.35000000000002</v>
      </c>
      <c r="L16" s="40">
        <v>25.94</v>
      </c>
      <c r="M16" s="40">
        <v>103.44</v>
      </c>
      <c r="N16" s="40">
        <v>20.5</v>
      </c>
      <c r="O16" s="40">
        <v>0.6</v>
      </c>
      <c r="P16" s="40">
        <v>0.39</v>
      </c>
      <c r="Q16" s="40">
        <v>28</v>
      </c>
      <c r="R16" s="38"/>
      <c r="S16" s="38"/>
      <c r="T16" s="38"/>
      <c r="U16" s="38"/>
    </row>
    <row r="17" spans="1:21" customFormat="1">
      <c r="A17" s="39" t="s">
        <v>116</v>
      </c>
      <c r="B17" s="40">
        <v>4.3499999999999996</v>
      </c>
      <c r="C17" s="40">
        <v>7.18</v>
      </c>
      <c r="D17" s="40">
        <v>4.47</v>
      </c>
      <c r="E17" s="40">
        <v>9.66</v>
      </c>
      <c r="F17" s="40">
        <v>3.48</v>
      </c>
      <c r="G17" s="40">
        <v>25.01</v>
      </c>
      <c r="H17" s="40">
        <v>14.08</v>
      </c>
      <c r="I17" s="40">
        <v>4.62</v>
      </c>
      <c r="J17" s="40">
        <v>0.72</v>
      </c>
      <c r="K17" s="40">
        <v>253.22</v>
      </c>
      <c r="L17" s="40">
        <v>25.32</v>
      </c>
      <c r="M17" s="40">
        <v>102.92</v>
      </c>
      <c r="N17" s="40">
        <v>18</v>
      </c>
      <c r="O17" s="40">
        <v>1.8</v>
      </c>
      <c r="P17" s="40">
        <v>0.38</v>
      </c>
      <c r="Q17" s="40">
        <v>28</v>
      </c>
      <c r="R17" s="38"/>
      <c r="S17" s="38"/>
      <c r="T17" s="38"/>
      <c r="U17" s="38"/>
    </row>
    <row r="18" spans="1:21" customFormat="1">
      <c r="A18" s="39" t="s">
        <v>117</v>
      </c>
      <c r="B18" s="40">
        <v>3.99</v>
      </c>
      <c r="C18" s="40">
        <v>6.76</v>
      </c>
      <c r="D18" s="40">
        <v>4.22</v>
      </c>
      <c r="E18" s="40">
        <v>9.91</v>
      </c>
      <c r="F18" s="40">
        <v>3.69</v>
      </c>
      <c r="G18" s="40">
        <v>20.95</v>
      </c>
      <c r="H18" s="40">
        <v>13.52</v>
      </c>
      <c r="I18" s="40">
        <v>4.45</v>
      </c>
      <c r="J18" s="40">
        <v>0.63</v>
      </c>
      <c r="K18" s="40">
        <v>257.74</v>
      </c>
      <c r="L18" s="40">
        <v>24.84</v>
      </c>
      <c r="M18" s="40">
        <v>103.24</v>
      </c>
      <c r="N18" s="40">
        <v>69.8</v>
      </c>
      <c r="O18" s="40">
        <v>1.4</v>
      </c>
      <c r="P18" s="40">
        <v>0.38</v>
      </c>
      <c r="Q18" s="40">
        <v>28</v>
      </c>
      <c r="R18" s="38"/>
      <c r="S18" s="38"/>
      <c r="T18" s="38"/>
      <c r="U18" s="38"/>
    </row>
    <row r="19" spans="1:21" customFormat="1">
      <c r="A19" s="39" t="s">
        <v>118</v>
      </c>
      <c r="B19" s="40">
        <v>3.9</v>
      </c>
      <c r="C19" s="40">
        <v>6.51</v>
      </c>
      <c r="D19" s="40">
        <v>3.92</v>
      </c>
      <c r="E19" s="40">
        <v>7.31</v>
      </c>
      <c r="F19" s="40">
        <v>3.91</v>
      </c>
      <c r="G19" s="40">
        <v>17.72</v>
      </c>
      <c r="H19" s="40">
        <v>13.52</v>
      </c>
      <c r="I19" s="40">
        <v>4.34</v>
      </c>
      <c r="J19" s="40">
        <v>0.66</v>
      </c>
      <c r="K19" s="40">
        <v>259.82</v>
      </c>
      <c r="L19" s="40">
        <v>26.14</v>
      </c>
      <c r="M19" s="40">
        <v>103.07</v>
      </c>
      <c r="N19" s="40">
        <v>152.4</v>
      </c>
      <c r="O19" s="40">
        <v>0</v>
      </c>
      <c r="P19" s="40">
        <v>0.38</v>
      </c>
      <c r="Q19" s="40">
        <v>28</v>
      </c>
      <c r="R19" s="38"/>
      <c r="S19" s="38"/>
      <c r="T19" s="38"/>
      <c r="U19" s="38"/>
    </row>
    <row r="20" spans="1:21" customFormat="1">
      <c r="A20" s="39" t="s">
        <v>119</v>
      </c>
      <c r="B20" s="40">
        <v>4.2699999999999996</v>
      </c>
      <c r="C20" s="40">
        <v>6.67</v>
      </c>
      <c r="D20" s="40">
        <v>4.16</v>
      </c>
      <c r="E20" s="40">
        <v>7.36</v>
      </c>
      <c r="F20" s="40">
        <v>3.73</v>
      </c>
      <c r="G20" s="40">
        <v>18.02</v>
      </c>
      <c r="H20" s="40">
        <v>11.7</v>
      </c>
      <c r="I20" s="40">
        <v>4.47</v>
      </c>
      <c r="J20" s="40">
        <v>0.5</v>
      </c>
      <c r="K20" s="40">
        <v>251.67</v>
      </c>
      <c r="L20" s="40">
        <v>28.34</v>
      </c>
      <c r="M20" s="40">
        <v>96.71</v>
      </c>
      <c r="N20" s="40">
        <v>279.39999999999998</v>
      </c>
      <c r="O20" s="40">
        <v>0</v>
      </c>
      <c r="P20" s="40">
        <v>0.41</v>
      </c>
      <c r="Q20" s="40">
        <v>28</v>
      </c>
      <c r="R20" s="38"/>
      <c r="S20" s="38"/>
      <c r="T20" s="38"/>
      <c r="U20" s="38"/>
    </row>
    <row r="21" spans="1:21" customFormat="1">
      <c r="A21" s="39" t="s">
        <v>120</v>
      </c>
      <c r="B21" s="40">
        <v>4.32</v>
      </c>
      <c r="C21" s="40">
        <v>6.51</v>
      </c>
      <c r="D21" s="40">
        <v>3.25</v>
      </c>
      <c r="E21" s="40">
        <v>6.28</v>
      </c>
      <c r="F21" s="40">
        <v>5.93</v>
      </c>
      <c r="G21" s="40">
        <v>19.87</v>
      </c>
      <c r="H21" s="40">
        <v>13.41</v>
      </c>
      <c r="I21" s="40">
        <v>4.57</v>
      </c>
      <c r="J21" s="40">
        <v>0.66</v>
      </c>
      <c r="K21" s="40">
        <v>252.65</v>
      </c>
      <c r="L21" s="40">
        <v>30.16</v>
      </c>
      <c r="M21" s="40">
        <v>85.45</v>
      </c>
      <c r="N21" s="40">
        <v>422.3</v>
      </c>
      <c r="O21" s="40">
        <v>0</v>
      </c>
      <c r="P21" s="40">
        <v>0.41</v>
      </c>
      <c r="Q21" s="40">
        <v>28</v>
      </c>
      <c r="R21" s="38"/>
      <c r="S21" s="38"/>
      <c r="T21" s="38"/>
      <c r="U21" s="38"/>
    </row>
    <row r="22" spans="1:21" customFormat="1">
      <c r="A22" s="39" t="s">
        <v>121</v>
      </c>
      <c r="B22" s="40">
        <v>4.21</v>
      </c>
      <c r="C22" s="40">
        <v>6.22</v>
      </c>
      <c r="D22" s="40">
        <v>3.14</v>
      </c>
      <c r="E22" s="40">
        <v>5.95</v>
      </c>
      <c r="F22" s="40">
        <v>6.61</v>
      </c>
      <c r="G22" s="40">
        <v>20.36</v>
      </c>
      <c r="H22" s="40">
        <v>14.68</v>
      </c>
      <c r="I22" s="40">
        <v>4.75</v>
      </c>
      <c r="J22" s="40">
        <v>0.8</v>
      </c>
      <c r="K22" s="40">
        <v>252.66</v>
      </c>
      <c r="L22" s="40">
        <v>30.84</v>
      </c>
      <c r="M22" s="40">
        <v>80.39</v>
      </c>
      <c r="N22" s="40">
        <v>498.3</v>
      </c>
      <c r="O22" s="40">
        <v>0</v>
      </c>
      <c r="P22" s="40">
        <v>0.4</v>
      </c>
      <c r="Q22" s="40">
        <v>28</v>
      </c>
      <c r="R22" s="38"/>
      <c r="S22" s="38"/>
      <c r="T22" s="38"/>
      <c r="U22" s="38"/>
    </row>
    <row r="23" spans="1:21" customFormat="1">
      <c r="A23" s="39" t="s">
        <v>122</v>
      </c>
      <c r="B23" s="40">
        <v>4.01</v>
      </c>
      <c r="C23" s="40">
        <v>6.18</v>
      </c>
      <c r="D23" s="40">
        <v>3.08</v>
      </c>
      <c r="E23" s="40">
        <v>5.83</v>
      </c>
      <c r="F23" s="40">
        <v>7.11</v>
      </c>
      <c r="G23" s="40">
        <v>22.06</v>
      </c>
      <c r="H23" s="40">
        <v>16.71</v>
      </c>
      <c r="I23" s="40">
        <v>4.72</v>
      </c>
      <c r="J23" s="40">
        <v>0.89</v>
      </c>
      <c r="K23" s="40">
        <v>250.25</v>
      </c>
      <c r="L23" s="40">
        <v>31.14</v>
      </c>
      <c r="M23" s="40">
        <v>81.59</v>
      </c>
      <c r="N23" s="40">
        <v>325.10000000000002</v>
      </c>
      <c r="O23" s="40">
        <v>0</v>
      </c>
      <c r="P23" s="40">
        <v>0.39</v>
      </c>
      <c r="Q23" s="40">
        <v>28</v>
      </c>
      <c r="R23" s="38"/>
      <c r="S23" s="38"/>
      <c r="T23" s="38"/>
      <c r="U23" s="38"/>
    </row>
    <row r="24" spans="1:21" customFormat="1">
      <c r="A24" s="39" t="s">
        <v>123</v>
      </c>
      <c r="B24" s="40">
        <v>3.83</v>
      </c>
      <c r="C24" s="40">
        <v>6.51</v>
      </c>
      <c r="D24" s="40">
        <v>3.99</v>
      </c>
      <c r="E24" s="40">
        <v>5.53</v>
      </c>
      <c r="F24" s="40">
        <v>9.0399999999999991</v>
      </c>
      <c r="G24" s="40">
        <v>25.41</v>
      </c>
      <c r="H24" s="40">
        <v>20.239999999999998</v>
      </c>
      <c r="I24" s="40">
        <v>4.66</v>
      </c>
      <c r="J24" s="40">
        <v>0.85</v>
      </c>
      <c r="K24" s="40">
        <v>249.86</v>
      </c>
      <c r="L24" s="40">
        <v>29.5</v>
      </c>
      <c r="M24" s="40">
        <v>81.06</v>
      </c>
      <c r="N24" s="40">
        <v>134.9</v>
      </c>
      <c r="O24" s="40">
        <v>0</v>
      </c>
      <c r="P24" s="40">
        <v>0.4</v>
      </c>
      <c r="Q24" s="40">
        <v>28</v>
      </c>
      <c r="R24" s="38"/>
      <c r="S24" s="38"/>
      <c r="T24" s="38"/>
      <c r="U24" s="38"/>
    </row>
    <row r="25" spans="1:21" customFormat="1">
      <c r="A25" s="39" t="s">
        <v>124</v>
      </c>
      <c r="B25" s="40">
        <v>3.7</v>
      </c>
      <c r="C25" s="40">
        <v>6.84</v>
      </c>
      <c r="D25" s="40">
        <v>4.8600000000000003</v>
      </c>
      <c r="E25" s="40">
        <v>5.86</v>
      </c>
      <c r="F25" s="40">
        <v>4.16</v>
      </c>
      <c r="G25" s="40">
        <v>26.7</v>
      </c>
      <c r="H25" s="40">
        <v>20.239999999999998</v>
      </c>
      <c r="I25" s="40">
        <v>4.78</v>
      </c>
      <c r="J25" s="40">
        <v>0.74</v>
      </c>
      <c r="K25" s="40">
        <v>247.7</v>
      </c>
      <c r="L25" s="40">
        <v>29.92</v>
      </c>
      <c r="M25" s="40">
        <v>80.650000000000006</v>
      </c>
      <c r="N25" s="40">
        <v>155.30000000000001</v>
      </c>
      <c r="O25" s="40">
        <v>0</v>
      </c>
      <c r="P25" s="40">
        <v>0.36</v>
      </c>
      <c r="Q25" s="40">
        <v>28</v>
      </c>
      <c r="R25" s="38"/>
      <c r="S25" s="38"/>
      <c r="T25" s="38"/>
      <c r="U25" s="38"/>
    </row>
    <row r="26" spans="1:21" customFormat="1">
      <c r="A26" s="39" t="s">
        <v>125</v>
      </c>
      <c r="B26" s="40">
        <v>3.6</v>
      </c>
      <c r="C26" s="40">
        <v>6.53</v>
      </c>
      <c r="D26" s="40">
        <v>4.43</v>
      </c>
      <c r="E26" s="40">
        <v>6.22</v>
      </c>
      <c r="F26" s="40">
        <v>3.54</v>
      </c>
      <c r="G26" s="40">
        <v>27.98</v>
      </c>
      <c r="H26" s="40">
        <v>17.8</v>
      </c>
      <c r="I26" s="40">
        <v>4.6100000000000003</v>
      </c>
      <c r="J26" s="40">
        <v>0.6</v>
      </c>
      <c r="K26" s="40">
        <v>253.04</v>
      </c>
      <c r="L26" s="40">
        <v>29.75</v>
      </c>
      <c r="M26" s="40">
        <v>83.66</v>
      </c>
      <c r="N26" s="40">
        <v>83.5</v>
      </c>
      <c r="O26" s="40">
        <v>0</v>
      </c>
      <c r="P26" s="40">
        <v>0.37</v>
      </c>
      <c r="Q26" s="40">
        <v>28</v>
      </c>
      <c r="R26" s="38"/>
      <c r="S26" s="38"/>
      <c r="T26" s="38"/>
      <c r="U26" s="38"/>
    </row>
    <row r="27" spans="1:21" customFormat="1">
      <c r="A27" s="39" t="s">
        <v>126</v>
      </c>
      <c r="B27" s="40">
        <v>3.62</v>
      </c>
      <c r="C27" s="40">
        <v>6.37</v>
      </c>
      <c r="D27" s="40">
        <v>4.03</v>
      </c>
      <c r="E27" s="40">
        <v>7.61</v>
      </c>
      <c r="F27" s="40">
        <v>3.93</v>
      </c>
      <c r="G27" s="40">
        <v>33.08</v>
      </c>
      <c r="H27" s="40">
        <v>18.34</v>
      </c>
      <c r="I27" s="40">
        <v>4.68</v>
      </c>
      <c r="J27" s="40">
        <v>0.64</v>
      </c>
      <c r="K27" s="40">
        <v>254.79</v>
      </c>
      <c r="L27" s="40">
        <v>29.52</v>
      </c>
      <c r="M27" s="40">
        <v>84.11</v>
      </c>
      <c r="N27" s="40">
        <v>19.100000000000001</v>
      </c>
      <c r="O27" s="40">
        <v>0</v>
      </c>
      <c r="P27" s="40">
        <v>0.39</v>
      </c>
      <c r="Q27" s="40">
        <v>28</v>
      </c>
      <c r="R27" s="38"/>
      <c r="S27" s="38"/>
      <c r="T27" s="38"/>
      <c r="U27" s="38"/>
    </row>
    <row r="28" spans="1:21" customFormat="1">
      <c r="A28" s="39" t="s">
        <v>127</v>
      </c>
      <c r="B28" s="40">
        <v>3.7</v>
      </c>
      <c r="C28" s="40">
        <v>6.19</v>
      </c>
      <c r="D28" s="40">
        <v>3.67</v>
      </c>
      <c r="E28" s="40">
        <v>7.83</v>
      </c>
      <c r="F28" s="40">
        <v>3.86</v>
      </c>
      <c r="G28" s="40">
        <v>35.56</v>
      </c>
      <c r="H28" s="40">
        <v>19.190000000000001</v>
      </c>
      <c r="I28" s="40">
        <v>4.74</v>
      </c>
      <c r="J28" s="40">
        <v>0.47</v>
      </c>
      <c r="K28" s="40">
        <v>252.52</v>
      </c>
      <c r="L28" s="40">
        <v>28.96</v>
      </c>
      <c r="M28" s="40">
        <v>84.51</v>
      </c>
      <c r="N28" s="40">
        <v>2.2999999999999998</v>
      </c>
      <c r="O28" s="40">
        <v>0</v>
      </c>
      <c r="P28" s="40">
        <v>0.39</v>
      </c>
      <c r="Q28" s="40">
        <v>28</v>
      </c>
      <c r="R28" s="38"/>
      <c r="S28" s="38"/>
      <c r="T28" s="38"/>
      <c r="U28" s="38"/>
    </row>
    <row r="29" spans="1:21" customFormat="1">
      <c r="A29" s="39" t="s">
        <v>128</v>
      </c>
      <c r="B29" s="40">
        <v>3.76</v>
      </c>
      <c r="C29" s="40">
        <v>6.15</v>
      </c>
      <c r="D29" s="40">
        <v>3.45</v>
      </c>
      <c r="E29" s="40">
        <v>7.96</v>
      </c>
      <c r="F29" s="40">
        <v>4.47</v>
      </c>
      <c r="G29" s="40">
        <v>37.72</v>
      </c>
      <c r="H29" s="40">
        <v>20.34</v>
      </c>
      <c r="I29" s="40">
        <v>4.76</v>
      </c>
      <c r="J29" s="40">
        <v>0.37</v>
      </c>
      <c r="K29" s="40">
        <v>249.75</v>
      </c>
      <c r="L29" s="40">
        <v>28.61</v>
      </c>
      <c r="M29" s="40">
        <v>85.44</v>
      </c>
      <c r="N29" s="40">
        <v>2.2999999999999998</v>
      </c>
      <c r="O29" s="40">
        <v>0</v>
      </c>
      <c r="P29" s="40">
        <v>0.43</v>
      </c>
      <c r="Q29" s="40">
        <v>28</v>
      </c>
      <c r="R29" s="38"/>
      <c r="S29" s="38"/>
      <c r="T29" s="38"/>
      <c r="U29" s="38"/>
    </row>
    <row r="30" spans="1:21" customFormat="1">
      <c r="A30" s="39" t="s">
        <v>129</v>
      </c>
      <c r="B30" s="40">
        <v>5.32</v>
      </c>
      <c r="C30" s="40">
        <v>9.07</v>
      </c>
      <c r="D30" s="40">
        <v>7.07</v>
      </c>
      <c r="E30" s="40">
        <v>7.72</v>
      </c>
      <c r="F30" s="40">
        <v>7.79</v>
      </c>
      <c r="G30" s="40">
        <v>48.1</v>
      </c>
      <c r="H30" s="40">
        <v>23.04</v>
      </c>
      <c r="I30" s="40">
        <v>5.48</v>
      </c>
      <c r="J30" s="40">
        <v>0.77</v>
      </c>
      <c r="K30" s="40">
        <v>287.89999999999998</v>
      </c>
      <c r="L30" s="40">
        <v>28.5</v>
      </c>
      <c r="M30" s="40">
        <v>86.35</v>
      </c>
      <c r="N30" s="40">
        <v>2.1</v>
      </c>
      <c r="O30" s="40">
        <v>0</v>
      </c>
      <c r="P30" s="40">
        <v>0.53</v>
      </c>
      <c r="Q30" s="40">
        <v>28</v>
      </c>
      <c r="R30" s="38"/>
      <c r="S30" s="38"/>
      <c r="T30" s="38"/>
      <c r="U30" s="38"/>
    </row>
    <row r="31" spans="1:21" customFormat="1">
      <c r="A31" s="39" t="s">
        <v>130</v>
      </c>
      <c r="B31" s="40">
        <v>4.8</v>
      </c>
      <c r="C31" s="40">
        <v>8.7899999999999991</v>
      </c>
      <c r="D31" s="40">
        <v>7.15</v>
      </c>
      <c r="E31" s="40">
        <v>7.21</v>
      </c>
      <c r="F31" s="40">
        <v>6.5</v>
      </c>
      <c r="G31" s="40">
        <v>52.52</v>
      </c>
      <c r="H31" s="40">
        <v>25.01</v>
      </c>
      <c r="I31" s="40">
        <v>6.68</v>
      </c>
      <c r="J31" s="40">
        <v>0.28000000000000003</v>
      </c>
      <c r="K31" s="40">
        <v>234.04</v>
      </c>
      <c r="L31" s="40">
        <v>28.15</v>
      </c>
      <c r="M31" s="40">
        <v>90.31</v>
      </c>
      <c r="N31" s="40">
        <v>2.2000000000000002</v>
      </c>
      <c r="O31" s="40">
        <v>0</v>
      </c>
      <c r="P31" s="40">
        <v>0.65</v>
      </c>
      <c r="Q31" s="40">
        <v>28</v>
      </c>
      <c r="R31" s="38"/>
      <c r="S31" s="38"/>
      <c r="T31" s="38"/>
      <c r="U31" s="38"/>
    </row>
    <row r="32" spans="1:21" customFormat="1">
      <c r="A32" s="39" t="s">
        <v>131</v>
      </c>
      <c r="B32" s="40">
        <v>5.1100000000000003</v>
      </c>
      <c r="C32" s="40">
        <v>8.58</v>
      </c>
      <c r="D32" s="40">
        <v>6.41</v>
      </c>
      <c r="E32" s="40">
        <v>7.29</v>
      </c>
      <c r="F32" s="40">
        <v>7.37</v>
      </c>
      <c r="G32" s="40">
        <v>54.53</v>
      </c>
      <c r="H32" s="40">
        <v>25.01</v>
      </c>
      <c r="I32" s="40">
        <v>7.6</v>
      </c>
      <c r="J32" s="40">
        <v>0.2</v>
      </c>
      <c r="K32" s="40">
        <v>238.45</v>
      </c>
      <c r="L32" s="40">
        <v>27.7</v>
      </c>
      <c r="M32" s="40">
        <v>91.36</v>
      </c>
      <c r="N32" s="40">
        <v>2</v>
      </c>
      <c r="O32" s="40">
        <v>0</v>
      </c>
      <c r="P32" s="40">
        <v>0.64</v>
      </c>
      <c r="Q32" s="40">
        <v>28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</v>
      </c>
      <c r="C34" s="18">
        <f t="shared" si="0"/>
        <v>6.15</v>
      </c>
      <c r="D34" s="18">
        <f t="shared" si="0"/>
        <v>2.9</v>
      </c>
      <c r="E34" s="18">
        <f t="shared" si="0"/>
        <v>5.53</v>
      </c>
      <c r="F34" s="18">
        <f t="shared" si="0"/>
        <v>2.48</v>
      </c>
      <c r="G34" s="18">
        <f t="shared" si="0"/>
        <v>17.72</v>
      </c>
      <c r="H34" s="18">
        <f t="shared" si="0"/>
        <v>11.7</v>
      </c>
      <c r="I34" s="18">
        <f t="shared" si="0"/>
        <v>4.34</v>
      </c>
      <c r="J34" s="18">
        <f t="shared" si="0"/>
        <v>0.15</v>
      </c>
      <c r="K34" s="18">
        <f t="shared" si="0"/>
        <v>214.76</v>
      </c>
      <c r="L34" s="18">
        <f t="shared" si="0"/>
        <v>24.84</v>
      </c>
      <c r="M34" s="18">
        <f t="shared" si="0"/>
        <v>74.010000000000005</v>
      </c>
      <c r="N34" s="18">
        <f t="shared" si="0"/>
        <v>2</v>
      </c>
      <c r="O34" s="18">
        <f t="shared" si="0"/>
        <v>0</v>
      </c>
      <c r="P34" s="18">
        <f t="shared" si="0"/>
        <v>0.36</v>
      </c>
      <c r="Q34" s="18">
        <f t="shared" si="0"/>
        <v>28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5.86</v>
      </c>
      <c r="C35" s="3">
        <f t="shared" si="1"/>
        <v>9.07</v>
      </c>
      <c r="D35" s="3">
        <f t="shared" si="1"/>
        <v>7.15</v>
      </c>
      <c r="E35" s="3">
        <f t="shared" si="1"/>
        <v>9.91</v>
      </c>
      <c r="F35" s="3">
        <f t="shared" si="1"/>
        <v>9.49</v>
      </c>
      <c r="G35" s="3">
        <f t="shared" si="1"/>
        <v>54.53</v>
      </c>
      <c r="H35" s="3">
        <f t="shared" si="1"/>
        <v>25.01</v>
      </c>
      <c r="I35" s="3">
        <f t="shared" si="1"/>
        <v>7.6</v>
      </c>
      <c r="J35" s="3">
        <f t="shared" si="1"/>
        <v>0.89</v>
      </c>
      <c r="K35" s="3">
        <f t="shared" si="1"/>
        <v>287.89999999999998</v>
      </c>
      <c r="L35" s="3">
        <f t="shared" si="1"/>
        <v>31.14</v>
      </c>
      <c r="M35" s="3">
        <f t="shared" si="1"/>
        <v>103.9</v>
      </c>
      <c r="N35" s="3">
        <f t="shared" si="1"/>
        <v>498.3</v>
      </c>
      <c r="O35" s="3">
        <f t="shared" si="1"/>
        <v>2.8</v>
      </c>
      <c r="P35" s="3">
        <f t="shared" si="1"/>
        <v>0.65</v>
      </c>
      <c r="Q35" s="3">
        <f t="shared" si="1"/>
        <v>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4.3154166666666676</v>
      </c>
      <c r="C36" s="18">
        <f t="shared" si="2"/>
        <v>6.9562500000000007</v>
      </c>
      <c r="D36" s="18">
        <f t="shared" si="2"/>
        <v>4.2408333333333337</v>
      </c>
      <c r="E36" s="18">
        <f t="shared" si="2"/>
        <v>7.8379166666666684</v>
      </c>
      <c r="F36" s="18">
        <f t="shared" si="2"/>
        <v>5.2900000000000009</v>
      </c>
      <c r="G36" s="18">
        <f t="shared" si="2"/>
        <v>30.085416666666671</v>
      </c>
      <c r="H36" s="18">
        <f t="shared" si="2"/>
        <v>17.864999999999998</v>
      </c>
      <c r="I36" s="18">
        <f t="shared" si="2"/>
        <v>4.939166666666666</v>
      </c>
      <c r="J36" s="18">
        <f t="shared" si="2"/>
        <v>0.54583333333333328</v>
      </c>
      <c r="K36" s="18">
        <f t="shared" si="2"/>
        <v>250.09833333333333</v>
      </c>
      <c r="L36" s="18">
        <f t="shared" si="2"/>
        <v>28.161249999999999</v>
      </c>
      <c r="M36" s="18">
        <f t="shared" si="2"/>
        <v>89.768333333333331</v>
      </c>
      <c r="N36" s="18">
        <f t="shared" si="2"/>
        <v>93.07083333333334</v>
      </c>
      <c r="O36" s="18">
        <f t="shared" si="2"/>
        <v>0.34166666666666662</v>
      </c>
      <c r="P36" s="18">
        <f t="shared" si="2"/>
        <v>0.42625000000000002</v>
      </c>
      <c r="Q36" s="18">
        <f t="shared" si="2"/>
        <v>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0.63493223990860259</v>
      </c>
      <c r="C37" s="18">
        <f t="shared" ref="C37:Q37" si="3">STDEV(C9:C32)</f>
        <v>0.904759456382208</v>
      </c>
      <c r="D37" s="18">
        <f t="shared" si="3"/>
        <v>1.1698454623569308</v>
      </c>
      <c r="E37" s="18">
        <f t="shared" si="3"/>
        <v>1.3815145411960754</v>
      </c>
      <c r="F37" s="18">
        <f t="shared" si="3"/>
        <v>1.9775149095244007</v>
      </c>
      <c r="G37" s="18">
        <f t="shared" si="3"/>
        <v>9.9491432793358392</v>
      </c>
      <c r="H37" s="18">
        <f t="shared" si="3"/>
        <v>3.5790938858149848</v>
      </c>
      <c r="I37" s="18">
        <f t="shared" si="3"/>
        <v>0.72702441001222695</v>
      </c>
      <c r="J37" s="18">
        <f t="shared" si="3"/>
        <v>0.2375219288121978</v>
      </c>
      <c r="K37" s="18">
        <f t="shared" si="3"/>
        <v>13.720717013418755</v>
      </c>
      <c r="L37" s="18">
        <f t="shared" si="3"/>
        <v>1.7923079910502573</v>
      </c>
      <c r="M37" s="18">
        <f t="shared" si="3"/>
        <v>10.326360807963004</v>
      </c>
      <c r="N37" s="18">
        <f t="shared" si="3"/>
        <v>144.7406931127305</v>
      </c>
      <c r="O37" s="18">
        <f t="shared" si="3"/>
        <v>0.7282597880156364</v>
      </c>
      <c r="P37" s="18">
        <f t="shared" si="3"/>
        <v>7.4938380484002989E-2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39" activePane="bottomRight" state="frozen"/>
      <selection activeCell="G19" sqref="G19"/>
      <selection pane="topRight" activeCell="G19" sqref="G19"/>
      <selection pane="bottomLeft" activeCell="G19" sqref="G19"/>
      <selection pane="bottomRight" activeCell="B49" sqref="B4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57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01/05/2025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58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01/05/2025 01:00</v>
      </c>
      <c r="B9" s="15">
        <f>'01'!B36</f>
        <v>6.560833333333334</v>
      </c>
      <c r="C9" s="15">
        <f>'01'!C36</f>
        <v>35.656666666666673</v>
      </c>
      <c r="D9" s="15">
        <f>'01'!D36</f>
        <v>24.4175</v>
      </c>
      <c r="E9" s="15">
        <f>'01'!E36</f>
        <v>1.9025000000000001</v>
      </c>
      <c r="F9" s="15">
        <f>'01'!F36</f>
        <v>11.581249999999999</v>
      </c>
      <c r="G9" s="15">
        <f>'01'!G36</f>
        <v>38.472499999999997</v>
      </c>
      <c r="H9" s="15">
        <f>'01'!H36</f>
        <v>20.395416666666666</v>
      </c>
      <c r="I9" s="15">
        <f>'01'!I36</f>
        <v>10.818749999999996</v>
      </c>
      <c r="J9" s="15">
        <f>'01'!J36</f>
        <v>1.2375</v>
      </c>
      <c r="K9" s="15">
        <f>'01'!K36</f>
        <v>224.76333333333335</v>
      </c>
      <c r="L9" s="15">
        <f>'01'!L36</f>
        <v>29.572083333333335</v>
      </c>
      <c r="M9" s="15">
        <f>'01'!M36</f>
        <v>56.577500000000008</v>
      </c>
      <c r="N9" s="15">
        <f>'01'!N36</f>
        <v>255.39999999999995</v>
      </c>
      <c r="O9" s="15">
        <f>'01'!O36</f>
        <v>0.11666666666666668</v>
      </c>
      <c r="P9" s="15">
        <f>'01'!P36</f>
        <v>0.52833333333333321</v>
      </c>
      <c r="Q9" s="15">
        <f>'01'!Q36</f>
        <v>28.058750000000014</v>
      </c>
      <c r="R9" s="29"/>
      <c r="S9" s="29"/>
      <c r="T9" s="29"/>
      <c r="U9" s="29"/>
    </row>
    <row r="10" spans="1:21" s="2" customFormat="1">
      <c r="A10" s="14" t="str">
        <f>'02'!$B$2</f>
        <v>02/05/2025 01:00</v>
      </c>
      <c r="B10" s="15">
        <f>'02'!B36</f>
        <v>9.4858333333333356</v>
      </c>
      <c r="C10" s="15">
        <f>'02'!C36</f>
        <v>34.977083333333333</v>
      </c>
      <c r="D10" s="15">
        <f>'02'!D36</f>
        <v>26.300833333333333</v>
      </c>
      <c r="E10" s="15">
        <f>'02'!E36</f>
        <v>3.1366666666666663</v>
      </c>
      <c r="F10" s="15">
        <f>'02'!F36</f>
        <v>17.008749999999996</v>
      </c>
      <c r="G10" s="15">
        <f>'02'!G36</f>
        <v>56.919166666666683</v>
      </c>
      <c r="H10" s="15">
        <f>'02'!H36</f>
        <v>23.162916666666661</v>
      </c>
      <c r="I10" s="15">
        <f>'02'!I36</f>
        <v>12.411428571428571</v>
      </c>
      <c r="J10" s="15">
        <f>'02'!J36</f>
        <v>0.85916666666666675</v>
      </c>
      <c r="K10" s="15">
        <f>'02'!K36</f>
        <v>211.24625</v>
      </c>
      <c r="L10" s="15">
        <f>'02'!L36</f>
        <v>30.037916666666661</v>
      </c>
      <c r="M10" s="15">
        <f>'02'!M36</f>
        <v>54.344583333333311</v>
      </c>
      <c r="N10" s="15">
        <f>'02'!N36</f>
        <v>274.40416666666658</v>
      </c>
      <c r="O10" s="15">
        <f>'02'!O36</f>
        <v>0</v>
      </c>
      <c r="P10" s="15">
        <f>'02'!P36</f>
        <v>0.58333333333333337</v>
      </c>
      <c r="Q10" s="15">
        <f>'02'!Q36</f>
        <v>27.74291666666667</v>
      </c>
      <c r="R10" s="30"/>
      <c r="S10" s="30"/>
      <c r="T10" s="30"/>
      <c r="U10" s="30"/>
    </row>
    <row r="11" spans="1:21" s="2" customFormat="1">
      <c r="A11" s="14" t="str">
        <f>'03'!$B$2</f>
        <v>03/05/2025 01:00</v>
      </c>
      <c r="B11" s="15">
        <f>'03'!B36</f>
        <v>8.7912499999999998</v>
      </c>
      <c r="C11" s="15">
        <f>'03'!C36</f>
        <v>30.653750000000002</v>
      </c>
      <c r="D11" s="15">
        <f>'03'!D36</f>
        <v>23.487500000000001</v>
      </c>
      <c r="E11" s="15">
        <f>'03'!E36</f>
        <v>1.6045833333333335</v>
      </c>
      <c r="F11" s="15">
        <f>'03'!F36</f>
        <v>9.2191666666666663</v>
      </c>
      <c r="G11" s="15">
        <f>'03'!G36</f>
        <v>40.540833333333339</v>
      </c>
      <c r="H11" s="15">
        <f>'03'!H36</f>
        <v>19.922500000000003</v>
      </c>
      <c r="I11" s="15">
        <f>'03'!I36</f>
        <v>11.97125</v>
      </c>
      <c r="J11" s="15">
        <f>'03'!J36</f>
        <v>1.7</v>
      </c>
      <c r="K11" s="15">
        <f>'03'!K36</f>
        <v>213.78916666666666</v>
      </c>
      <c r="L11" s="15">
        <f>'03'!L36</f>
        <v>29.587083333333336</v>
      </c>
      <c r="M11" s="15">
        <f>'03'!M36</f>
        <v>65.11666666666666</v>
      </c>
      <c r="N11" s="15">
        <f>'03'!N36</f>
        <v>211.04166666666671</v>
      </c>
      <c r="O11" s="15">
        <f>'03'!O36</f>
        <v>0.91666666666666663</v>
      </c>
      <c r="P11" s="15">
        <f>'03'!P36</f>
        <v>0.57958333333333334</v>
      </c>
      <c r="Q11" s="15">
        <f>'03'!Q36</f>
        <v>28.168333333333333</v>
      </c>
      <c r="R11" s="30"/>
      <c r="S11" s="30"/>
      <c r="T11" s="30"/>
      <c r="U11" s="30"/>
    </row>
    <row r="12" spans="1:21" s="2" customFormat="1">
      <c r="A12" s="14" t="str">
        <f>'04'!$B$2</f>
        <v>04/05/2025 01:00</v>
      </c>
      <c r="B12" s="15">
        <f>'04'!B36</f>
        <v>11.295000000000002</v>
      </c>
      <c r="C12" s="15">
        <f>'04'!C36</f>
        <v>34.780000000000008</v>
      </c>
      <c r="D12" s="15">
        <f>'04'!D36</f>
        <v>27.614583333333332</v>
      </c>
      <c r="E12" s="15">
        <f>'04'!E36</f>
        <v>1.6845833333333333</v>
      </c>
      <c r="F12" s="15">
        <f>'04'!F36</f>
        <v>2.5724999999999998</v>
      </c>
      <c r="G12" s="15">
        <f>'04'!G36</f>
        <v>41.72208333333333</v>
      </c>
      <c r="H12" s="15">
        <f>'04'!H36</f>
        <v>20.807083333333335</v>
      </c>
      <c r="I12" s="15">
        <f>'04'!I36</f>
        <v>11.628333333333332</v>
      </c>
      <c r="J12" s="15">
        <f>'04'!J36</f>
        <v>1.4166666666666663</v>
      </c>
      <c r="K12" s="15">
        <f>'04'!K36</f>
        <v>221.80916666666667</v>
      </c>
      <c r="L12" s="15">
        <f>'04'!L36</f>
        <v>30.719999999999995</v>
      </c>
      <c r="M12" s="15">
        <f>'04'!M36</f>
        <v>57.527083333333337</v>
      </c>
      <c r="N12" s="15">
        <f>'04'!N36</f>
        <v>302.73750000000001</v>
      </c>
      <c r="O12" s="15">
        <f>'04'!O36</f>
        <v>0</v>
      </c>
      <c r="P12" s="15">
        <f>'04'!P36</f>
        <v>0.59208333333333329</v>
      </c>
      <c r="Q12" s="15">
        <f>'04'!Q36</f>
        <v>27.734999999999999</v>
      </c>
      <c r="R12" s="30"/>
      <c r="S12" s="30"/>
      <c r="T12" s="30"/>
      <c r="U12" s="30"/>
    </row>
    <row r="13" spans="1:21" s="2" customFormat="1">
      <c r="A13" s="14" t="str">
        <f>'05'!$B$2</f>
        <v>05/05/2025 01:00</v>
      </c>
      <c r="B13" s="15">
        <f>'05'!B36</f>
        <v>7.1350000000000016</v>
      </c>
      <c r="C13" s="15">
        <f>'05'!C36</f>
        <v>34.707916666666669</v>
      </c>
      <c r="D13" s="15">
        <f>'05'!D36</f>
        <v>23.794166666666666</v>
      </c>
      <c r="E13" s="15">
        <f>'05'!E36</f>
        <v>3.4962499999999999</v>
      </c>
      <c r="F13" s="15">
        <f>'05'!F36</f>
        <v>22.758571428571429</v>
      </c>
      <c r="G13" s="15">
        <f>'05'!G36</f>
        <v>48.450476190476188</v>
      </c>
      <c r="H13" s="15">
        <f>'05'!H36</f>
        <v>16.401904761904756</v>
      </c>
      <c r="I13" s="15">
        <f>'05'!I36</f>
        <v>13.113749999999998</v>
      </c>
      <c r="J13" s="15">
        <f>'05'!J36</f>
        <v>2.4812500000000002</v>
      </c>
      <c r="K13" s="15">
        <f>'05'!K36</f>
        <v>213.4</v>
      </c>
      <c r="L13" s="15">
        <f>'05'!L36</f>
        <v>33.149583333333332</v>
      </c>
      <c r="M13" s="15">
        <f>'05'!M36</f>
        <v>38.82083333333334</v>
      </c>
      <c r="N13" s="15">
        <f>'05'!N36</f>
        <v>302.64166666666671</v>
      </c>
      <c r="O13" s="15">
        <f>'05'!O36</f>
        <v>0</v>
      </c>
      <c r="P13" s="15">
        <f>'05'!P36</f>
        <v>0.62124999999999997</v>
      </c>
      <c r="Q13" s="15">
        <f>'05'!Q36</f>
        <v>27.94875</v>
      </c>
      <c r="R13" s="30"/>
      <c r="S13" s="30"/>
      <c r="T13" s="30"/>
      <c r="U13" s="30"/>
    </row>
    <row r="14" spans="1:21" s="2" customFormat="1">
      <c r="A14" s="14" t="str">
        <f>'06'!$B$2</f>
        <v>06/05/2025 01:00</v>
      </c>
      <c r="B14" s="16">
        <f>'06'!B36</f>
        <v>6.0458333333333316</v>
      </c>
      <c r="C14" s="16">
        <f>'06'!C36</f>
        <v>35.886250000000004</v>
      </c>
      <c r="D14" s="16">
        <f>'06'!D36</f>
        <v>23.396249999999998</v>
      </c>
      <c r="E14" s="16">
        <f>'06'!E36</f>
        <v>3.9687500000000004</v>
      </c>
      <c r="F14" s="16">
        <f>'06'!F36</f>
        <v>16.539999999999996</v>
      </c>
      <c r="G14" s="16">
        <f>'06'!G36</f>
        <v>47.681250000000006</v>
      </c>
      <c r="H14" s="16">
        <f>'06'!H36</f>
        <v>20.053333333333338</v>
      </c>
      <c r="I14" s="16">
        <f>'06'!I36</f>
        <v>12.007083333333334</v>
      </c>
      <c r="J14" s="16">
        <f>'06'!J36</f>
        <v>3.8233333333333328</v>
      </c>
      <c r="K14" s="16">
        <f>'06'!K36</f>
        <v>218.41458333333333</v>
      </c>
      <c r="L14" s="16">
        <f>'06'!L36</f>
        <v>33.160833333333336</v>
      </c>
      <c r="M14" s="16">
        <f>'06'!M36</f>
        <v>37.613333333333337</v>
      </c>
      <c r="N14" s="16">
        <f>'06'!N36</f>
        <v>298.3416666666667</v>
      </c>
      <c r="O14" s="16">
        <f>'06'!O36</f>
        <v>0</v>
      </c>
      <c r="P14" s="16">
        <f>'06'!P36</f>
        <v>0.58374999999999999</v>
      </c>
      <c r="Q14" s="16">
        <f>'06'!Q36</f>
        <v>27.847916666666666</v>
      </c>
      <c r="R14" s="30"/>
      <c r="S14" s="30"/>
      <c r="T14" s="30"/>
      <c r="U14" s="30"/>
    </row>
    <row r="15" spans="1:21" s="2" customFormat="1">
      <c r="A15" s="14" t="str">
        <f>'07'!$B$2</f>
        <v>07/05/2025 01:00</v>
      </c>
      <c r="B15" s="16">
        <f>'07'!B36</f>
        <v>5.0887500000000001</v>
      </c>
      <c r="C15" s="16">
        <f>'07'!C36</f>
        <v>28.917083333333334</v>
      </c>
      <c r="D15" s="16">
        <f>'07'!D36</f>
        <v>18.872916666666665</v>
      </c>
      <c r="E15" s="16">
        <f>'07'!E36</f>
        <v>4.0370833333333334</v>
      </c>
      <c r="F15" s="16">
        <f>'07'!F36</f>
        <v>18.394166666666667</v>
      </c>
      <c r="G15" s="16">
        <f>'07'!G36</f>
        <v>40.113181818181808</v>
      </c>
      <c r="H15" s="16">
        <f>'07'!H36</f>
        <v>14.735454545454552</v>
      </c>
      <c r="I15" s="16">
        <f>'07'!I36</f>
        <v>9.7204166666666669</v>
      </c>
      <c r="J15" s="16">
        <f>'07'!J36</f>
        <v>3.9012499999999992</v>
      </c>
      <c r="K15" s="16">
        <f>'07'!K36</f>
        <v>228.78291666666667</v>
      </c>
      <c r="L15" s="16">
        <f>'07'!L36</f>
        <v>34.553333333333327</v>
      </c>
      <c r="M15" s="16">
        <f>'07'!M36</f>
        <v>37.053333333333327</v>
      </c>
      <c r="N15" s="16">
        <f>'07'!N36</f>
        <v>296.93333333333334</v>
      </c>
      <c r="O15" s="16">
        <f>'07'!O36</f>
        <v>0</v>
      </c>
      <c r="P15" s="16">
        <f>'07'!P36</f>
        <v>0.47083333333333327</v>
      </c>
      <c r="Q15" s="16">
        <f>'07'!Q36</f>
        <v>28.205416666666668</v>
      </c>
      <c r="R15" s="30"/>
      <c r="S15" s="30"/>
      <c r="T15" s="30"/>
      <c r="U15" s="30"/>
    </row>
    <row r="16" spans="1:21" s="2" customFormat="1">
      <c r="A16" s="14" t="str">
        <f>'08'!$B$2</f>
        <v>08/05/2025 01:00</v>
      </c>
      <c r="B16" s="16">
        <f>'08'!B36</f>
        <v>4.385416666666667</v>
      </c>
      <c r="C16" s="16">
        <f>'08'!C36</f>
        <v>27.005000000000006</v>
      </c>
      <c r="D16" s="16">
        <f>'08'!D36</f>
        <v>17.367916666666662</v>
      </c>
      <c r="E16" s="16">
        <f>'08'!E36</f>
        <v>4.2849999999999993</v>
      </c>
      <c r="F16" s="16">
        <f>'08'!F36</f>
        <v>12.621666666666664</v>
      </c>
      <c r="G16" s="16">
        <f>'08'!G36</f>
        <v>41.463333333333331</v>
      </c>
      <c r="H16" s="16">
        <f>'08'!H36</f>
        <v>19.013333333333332</v>
      </c>
      <c r="I16" s="16">
        <f>'08'!I36</f>
        <v>8.9616666666666678</v>
      </c>
      <c r="J16" s="16">
        <f>'08'!J36</f>
        <v>4.1383333333333328</v>
      </c>
      <c r="K16" s="16">
        <f>'08'!K36</f>
        <v>229.49208333333331</v>
      </c>
      <c r="L16" s="16">
        <f>'08'!L36</f>
        <v>34.009166666666665</v>
      </c>
      <c r="M16" s="16">
        <f>'08'!M36</f>
        <v>41.032499999999999</v>
      </c>
      <c r="N16" s="16">
        <f>'08'!N36</f>
        <v>281.20416666666665</v>
      </c>
      <c r="O16" s="16">
        <f>'08'!O36</f>
        <v>0</v>
      </c>
      <c r="P16" s="16">
        <f>'08'!P36</f>
        <v>0.44541666666666663</v>
      </c>
      <c r="Q16" s="16">
        <f>'08'!Q36</f>
        <v>28.492499999999996</v>
      </c>
      <c r="R16" s="30"/>
      <c r="S16" s="30"/>
      <c r="T16" s="30"/>
      <c r="U16" s="30"/>
    </row>
    <row r="17" spans="1:24" s="2" customFormat="1">
      <c r="A17" s="14" t="str">
        <f>'09'!$B$2</f>
        <v>09/05/2025 01:00</v>
      </c>
      <c r="B17" s="16">
        <f>'09'!B36</f>
        <v>5.2687500000000007</v>
      </c>
      <c r="C17" s="16">
        <f>'09'!C36</f>
        <v>28.110000000000003</v>
      </c>
      <c r="D17" s="16">
        <f>'09'!D36</f>
        <v>18.708333333333332</v>
      </c>
      <c r="E17" s="16">
        <f>'09'!E36</f>
        <v>5.900833333333332</v>
      </c>
      <c r="F17" s="16">
        <f>'09'!F36</f>
        <v>16.703749999999999</v>
      </c>
      <c r="G17" s="16">
        <f>'09'!G36</f>
        <v>42.526250000000005</v>
      </c>
      <c r="H17" s="16">
        <f>'09'!H36</f>
        <v>20.30833333333333</v>
      </c>
      <c r="I17" s="16">
        <f>'09'!I36</f>
        <v>10.242083333333333</v>
      </c>
      <c r="J17" s="16">
        <f>'09'!J36</f>
        <v>3.3583333333333325</v>
      </c>
      <c r="K17" s="16">
        <f>'09'!K36</f>
        <v>220.78083333333333</v>
      </c>
      <c r="L17" s="16">
        <f>'09'!L36</f>
        <v>35.528333333333329</v>
      </c>
      <c r="M17" s="16">
        <f>'09'!M36</f>
        <v>40.057083333333338</v>
      </c>
      <c r="N17" s="16">
        <f>'09'!N36</f>
        <v>300.96666666666664</v>
      </c>
      <c r="O17" s="16">
        <f>'09'!O36</f>
        <v>0</v>
      </c>
      <c r="P17" s="16">
        <f>'09'!P36</f>
        <v>0.53041666666666654</v>
      </c>
      <c r="Q17" s="16">
        <f>'09'!Q36</f>
        <v>28.307083333333335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10/05/2025 01:00</v>
      </c>
      <c r="B18" s="16">
        <f>'10'!B36</f>
        <v>5.6262499999999989</v>
      </c>
      <c r="C18" s="16">
        <f>'10'!C36</f>
        <v>28.995833333333348</v>
      </c>
      <c r="D18" s="16">
        <f>'10'!D36</f>
        <v>19.525833333333331</v>
      </c>
      <c r="E18" s="16">
        <f>'10'!E36</f>
        <v>7.7412500000000017</v>
      </c>
      <c r="F18" s="16">
        <f>'10'!F36</f>
        <v>19.861250000000002</v>
      </c>
      <c r="G18" s="16">
        <f>'10'!G36</f>
        <v>43.306666666666672</v>
      </c>
      <c r="H18" s="16">
        <f>'10'!H36</f>
        <v>19.236250000000002</v>
      </c>
      <c r="I18" s="16">
        <f>'10'!I36</f>
        <v>10.858333333333334</v>
      </c>
      <c r="J18" s="16">
        <f>'10'!J36</f>
        <v>3.4837499999999992</v>
      </c>
      <c r="K18" s="16">
        <f>'10'!K36</f>
        <v>219.59166666666667</v>
      </c>
      <c r="L18" s="16">
        <f>'10'!L36</f>
        <v>37.46875</v>
      </c>
      <c r="M18" s="16">
        <f>'10'!M36</f>
        <v>35.701666666666661</v>
      </c>
      <c r="N18" s="16">
        <f>'10'!N36</f>
        <v>296.82916666666671</v>
      </c>
      <c r="O18" s="16">
        <f>'10'!O36</f>
        <v>0</v>
      </c>
      <c r="P18" s="16">
        <f>'10'!P36</f>
        <v>0.53041666666666665</v>
      </c>
      <c r="Q18" s="16">
        <f>'10'!Q36</f>
        <v>28.17166666666667</v>
      </c>
      <c r="R18" s="30"/>
      <c r="S18" s="30"/>
      <c r="T18" s="30"/>
      <c r="U18" s="30"/>
    </row>
    <row r="19" spans="1:24" s="2" customFormat="1">
      <c r="A19" s="14" t="str">
        <f>'11'!$B$2</f>
        <v>11/05/2025 01:00</v>
      </c>
      <c r="B19" s="27" t="s">
        <v>8</v>
      </c>
      <c r="C19" s="27" t="s">
        <v>8</v>
      </c>
      <c r="D19" s="27" t="s">
        <v>8</v>
      </c>
      <c r="E19" s="16">
        <f>'11'!E36</f>
        <v>7.9025000000000007</v>
      </c>
      <c r="F19" s="16">
        <f>'11'!F36</f>
        <v>20.544583333333332</v>
      </c>
      <c r="G19" s="16">
        <f>'11'!G36</f>
        <v>53.28875</v>
      </c>
      <c r="H19" s="16">
        <f>'11'!H36</f>
        <v>26.749166666666667</v>
      </c>
      <c r="I19" s="16">
        <f>'11'!I36</f>
        <v>10.467916666666667</v>
      </c>
      <c r="J19" s="16">
        <f>'11'!J36</f>
        <v>3.7316666666666669</v>
      </c>
      <c r="K19" s="16">
        <f>'11'!K36</f>
        <v>236.42624999999995</v>
      </c>
      <c r="L19" s="16">
        <f>'11'!L36</f>
        <v>37.735833333333325</v>
      </c>
      <c r="M19" s="16">
        <f>'11'!M36</f>
        <v>37.01583333333334</v>
      </c>
      <c r="N19" s="16">
        <f>'11'!N36</f>
        <v>272.37916666666666</v>
      </c>
      <c r="O19" s="16">
        <f>'11'!O36</f>
        <v>0</v>
      </c>
      <c r="P19" s="16">
        <f>'11'!P36</f>
        <v>0.53541666666666676</v>
      </c>
      <c r="Q19" s="16">
        <f>'11'!Q36</f>
        <v>28.322500000000002</v>
      </c>
      <c r="R19" s="30"/>
      <c r="S19" s="30"/>
      <c r="T19" s="30"/>
      <c r="U19" s="30"/>
    </row>
    <row r="20" spans="1:24" s="2" customFormat="1">
      <c r="A20" s="14" t="str">
        <f>'12'!$B$2</f>
        <v>12/05/2025 01:00</v>
      </c>
      <c r="B20" s="16">
        <f>'12'!B36</f>
        <v>3.411538461538461</v>
      </c>
      <c r="C20" s="16">
        <f>'12'!C36</f>
        <v>29.248571428571434</v>
      </c>
      <c r="D20" s="16">
        <f>'12'!D36</f>
        <v>16.760714285714286</v>
      </c>
      <c r="E20" s="16">
        <f>'12'!E36</f>
        <v>7.5549999999999997</v>
      </c>
      <c r="F20" s="16">
        <f>'12'!F36</f>
        <v>20.74291666666667</v>
      </c>
      <c r="G20" s="16">
        <f>'12'!G36</f>
        <v>41.392499999999998</v>
      </c>
      <c r="H20" s="16">
        <f>'12'!H36</f>
        <v>19.423333333333332</v>
      </c>
      <c r="I20" s="16">
        <f>'12'!I36</f>
        <v>8.82</v>
      </c>
      <c r="J20" s="16">
        <f>'12'!J36</f>
        <v>3.592916666666667</v>
      </c>
      <c r="K20" s="16">
        <f>'12'!K36</f>
        <v>250.20708333333334</v>
      </c>
      <c r="L20" s="16">
        <f>'12'!L36</f>
        <v>37.294583333333328</v>
      </c>
      <c r="M20" s="16">
        <f>'12'!M36</f>
        <v>35.162500000000001</v>
      </c>
      <c r="N20" s="16">
        <f>'12'!N36</f>
        <v>276.92083333333341</v>
      </c>
      <c r="O20" s="16">
        <f>'12'!O36</f>
        <v>0</v>
      </c>
      <c r="P20" s="16">
        <f>'12'!P36</f>
        <v>0.47875000000000001</v>
      </c>
      <c r="Q20" s="16">
        <f>'12'!Q36</f>
        <v>28.626666666666665</v>
      </c>
      <c r="R20" s="30"/>
      <c r="S20" s="30"/>
      <c r="T20" s="30"/>
      <c r="U20" s="30"/>
    </row>
    <row r="21" spans="1:24" s="2" customFormat="1">
      <c r="A21" s="14" t="str">
        <f>'13'!$B$2</f>
        <v>13/05/2025 01:00</v>
      </c>
      <c r="B21" s="16">
        <f>'13'!B36</f>
        <v>7.1741666666666681</v>
      </c>
      <c r="C21" s="16">
        <f>'13'!C36</f>
        <v>31.456250000000001</v>
      </c>
      <c r="D21" s="16">
        <f>'13'!D36</f>
        <v>20.918333333333333</v>
      </c>
      <c r="E21" s="16">
        <f>'13'!E36</f>
        <v>8.3699999999999992</v>
      </c>
      <c r="F21" s="16">
        <f>'13'!F36</f>
        <v>19.504999999999999</v>
      </c>
      <c r="G21" s="16">
        <f>'13'!G36</f>
        <v>56.542083333333331</v>
      </c>
      <c r="H21" s="16">
        <f>'13'!H36</f>
        <v>24.000416666666666</v>
      </c>
      <c r="I21" s="16">
        <f>'13'!I36</f>
        <v>14.057083333333333</v>
      </c>
      <c r="J21" s="16">
        <f>'13'!J36</f>
        <v>3.3895833333333338</v>
      </c>
      <c r="K21" s="16">
        <f>'13'!K36</f>
        <v>250.4325</v>
      </c>
      <c r="L21" s="16">
        <f>'13'!L36</f>
        <v>37.08124999999999</v>
      </c>
      <c r="M21" s="16">
        <f>'13'!M36</f>
        <v>34.232499999999995</v>
      </c>
      <c r="N21" s="16">
        <f>'13'!N36</f>
        <v>254.375</v>
      </c>
      <c r="O21" s="16">
        <f>'13'!O36</f>
        <v>0</v>
      </c>
      <c r="P21" s="16">
        <f>'13'!P36</f>
        <v>0.62124999999999997</v>
      </c>
      <c r="Q21" s="16">
        <f>'13'!Q36</f>
        <v>28.222083333333334</v>
      </c>
      <c r="R21" s="30"/>
      <c r="S21" s="30"/>
      <c r="T21" s="30"/>
      <c r="U21" s="30"/>
    </row>
    <row r="22" spans="1:24" s="2" customFormat="1">
      <c r="A22" s="14" t="str">
        <f>'14'!$B$2</f>
        <v>14/05/2025 01:00</v>
      </c>
      <c r="B22" s="16">
        <f>'14'!B36</f>
        <v>6.392083333333332</v>
      </c>
      <c r="C22" s="16">
        <f>'14'!C36</f>
        <v>32.677083333333336</v>
      </c>
      <c r="D22" s="16">
        <f>'14'!D36</f>
        <v>20.669166666666662</v>
      </c>
      <c r="E22" s="16">
        <f>'14'!E36</f>
        <v>7.9137500000000003</v>
      </c>
      <c r="F22" s="16">
        <f>'14'!F36</f>
        <v>19.77416666666667</v>
      </c>
      <c r="G22" s="16">
        <f>'14'!G36</f>
        <v>57.22</v>
      </c>
      <c r="H22" s="16">
        <f>'14'!H36</f>
        <v>23.531249999999996</v>
      </c>
      <c r="I22" s="16">
        <f>'14'!I36</f>
        <v>13.398333333333335</v>
      </c>
      <c r="J22" s="16">
        <f>'14'!J36</f>
        <v>3.4633333333333325</v>
      </c>
      <c r="K22" s="16">
        <f>'14'!K36</f>
        <v>247.08791666666662</v>
      </c>
      <c r="L22" s="16">
        <f>'14'!L36</f>
        <v>37.256250000000001</v>
      </c>
      <c r="M22" s="16">
        <f>'14'!M36</f>
        <v>34.734166666666667</v>
      </c>
      <c r="N22" s="16">
        <f>'14'!N36</f>
        <v>243.70000000000002</v>
      </c>
      <c r="O22" s="16">
        <f>'14'!O36</f>
        <v>0</v>
      </c>
      <c r="P22" s="16">
        <f>'14'!P36</f>
        <v>0.65083333333333337</v>
      </c>
      <c r="Q22" s="16">
        <f>'14'!Q36</f>
        <v>28.136666666666667</v>
      </c>
      <c r="R22" s="32"/>
      <c r="S22" s="32"/>
      <c r="T22" s="32"/>
      <c r="U22" s="32"/>
    </row>
    <row r="23" spans="1:24" s="2" customFormat="1">
      <c r="A23" s="14" t="str">
        <f>'15'!$B$2</f>
        <v>15/05/2025 01:00</v>
      </c>
      <c r="B23" s="17">
        <f>'15'!B36</f>
        <v>4.2387500000000005</v>
      </c>
      <c r="C23" s="17">
        <f>'15'!C36</f>
        <v>23.637916666666666</v>
      </c>
      <c r="D23" s="17">
        <f>'15'!D36</f>
        <v>14.554583333333333</v>
      </c>
      <c r="E23" s="17">
        <f>'15'!E36</f>
        <v>8.2762500000000028</v>
      </c>
      <c r="F23" s="17">
        <f>'15'!F36</f>
        <v>24.466249999999992</v>
      </c>
      <c r="G23" s="17">
        <f>'15'!G36</f>
        <v>57.877083333333353</v>
      </c>
      <c r="H23" s="17">
        <f>'15'!H36</f>
        <v>21.202083333333334</v>
      </c>
      <c r="I23" s="17">
        <f>'15'!I36</f>
        <v>11.668333333333331</v>
      </c>
      <c r="J23" s="17">
        <f>'15'!J36</f>
        <v>3.617916666666666</v>
      </c>
      <c r="K23" s="17">
        <f>'15'!K36</f>
        <v>229.0925</v>
      </c>
      <c r="L23" s="17">
        <f>'15'!L36</f>
        <v>35.84041666666667</v>
      </c>
      <c r="M23" s="17">
        <f>'15'!M36</f>
        <v>41.470416666666665</v>
      </c>
      <c r="N23" s="17">
        <f>'15'!N36</f>
        <v>233.79583333333332</v>
      </c>
      <c r="O23" s="17">
        <f>'15'!O36</f>
        <v>0</v>
      </c>
      <c r="P23" s="17">
        <f>'15'!P36</f>
        <v>0.57375000000000009</v>
      </c>
      <c r="Q23" s="17">
        <f>'15'!Q36</f>
        <v>28.750833333333336</v>
      </c>
      <c r="R23" s="32"/>
      <c r="S23" s="32"/>
      <c r="T23" s="32"/>
      <c r="U23" s="30"/>
    </row>
    <row r="24" spans="1:24" s="2" customFormat="1">
      <c r="A24" s="14" t="str">
        <f>'16'!$B$2</f>
        <v>16/05/2025 01:00</v>
      </c>
      <c r="B24" s="16">
        <f>'16'!B36</f>
        <v>4.1875</v>
      </c>
      <c r="C24" s="16">
        <f>'16'!C36</f>
        <v>18.500416666666666</v>
      </c>
      <c r="D24" s="16">
        <f>'16'!D36</f>
        <v>11.822083333333333</v>
      </c>
      <c r="E24" s="16">
        <f>'16'!E36</f>
        <v>8.1816666666666666</v>
      </c>
      <c r="F24" s="16">
        <f>'16'!F36</f>
        <v>25.176666666666662</v>
      </c>
      <c r="G24" s="16">
        <f>'16'!G36</f>
        <v>49.650833333333338</v>
      </c>
      <c r="H24" s="16">
        <f>'16'!H36</f>
        <v>22.744583333333328</v>
      </c>
      <c r="I24" s="16">
        <f>'16'!I36</f>
        <v>10.093750000000002</v>
      </c>
      <c r="J24" s="16">
        <f>'16'!J36</f>
        <v>3.7829166666666665</v>
      </c>
      <c r="K24" s="16">
        <f>'16'!K36</f>
        <v>241.01416666666668</v>
      </c>
      <c r="L24" s="16">
        <f>'16'!L36</f>
        <v>32.841666666666661</v>
      </c>
      <c r="M24" s="16">
        <f>'16'!M36</f>
        <v>50.173333333333325</v>
      </c>
      <c r="N24" s="16">
        <f>'16'!N36</f>
        <v>230.87916666666663</v>
      </c>
      <c r="O24" s="16">
        <f>'16'!O36</f>
        <v>3.3333333333333333E-2</v>
      </c>
      <c r="P24" s="16">
        <f>'16'!P36</f>
        <v>0.59583333333333321</v>
      </c>
      <c r="Q24" s="16">
        <f>'16'!Q36</f>
        <v>28.963333333333335</v>
      </c>
      <c r="R24" s="32"/>
      <c r="S24" s="32"/>
      <c r="T24" s="32"/>
      <c r="U24" s="30"/>
    </row>
    <row r="25" spans="1:24" s="2" customFormat="1">
      <c r="A25" s="14" t="str">
        <f>'17'!$B$2</f>
        <v>17/05/2025 01:00</v>
      </c>
      <c r="B25" s="16">
        <f>'17'!B36</f>
        <v>2.6733333333333333</v>
      </c>
      <c r="C25" s="16">
        <f>'17'!C36</f>
        <v>14.507916666666667</v>
      </c>
      <c r="D25" s="16">
        <f>'17'!D36</f>
        <v>8.6495833333333341</v>
      </c>
      <c r="E25" s="16">
        <f>'17'!E36</f>
        <v>6.782916666666666</v>
      </c>
      <c r="F25" s="16">
        <f>'17'!F36</f>
        <v>21.563333333333333</v>
      </c>
      <c r="G25" s="16">
        <f>'17'!G36</f>
        <v>35.622499999999995</v>
      </c>
      <c r="H25" s="16">
        <f>'17'!H36</f>
        <v>16.298333333333332</v>
      </c>
      <c r="I25" s="16">
        <f>'17'!I36</f>
        <v>11.67416666666667</v>
      </c>
      <c r="J25" s="16">
        <f>'17'!J36</f>
        <v>5.0945833333333344</v>
      </c>
      <c r="K25" s="16">
        <f>'17'!K36</f>
        <v>237.49416666666673</v>
      </c>
      <c r="L25" s="16">
        <f>'17'!L36</f>
        <v>33.740833333333335</v>
      </c>
      <c r="M25" s="16">
        <f>'17'!M36</f>
        <v>54.951250000000009</v>
      </c>
      <c r="N25" s="16">
        <f>'17'!N36</f>
        <v>228.68333333333339</v>
      </c>
      <c r="O25" s="16">
        <f>'17'!O36</f>
        <v>0</v>
      </c>
      <c r="P25" s="16">
        <f>'17'!P36</f>
        <v>0.58166666666666667</v>
      </c>
      <c r="Q25" s="16">
        <f>'17'!Q36</f>
        <v>29.102499999999996</v>
      </c>
      <c r="R25" s="32"/>
      <c r="S25" s="32"/>
      <c r="T25" s="32"/>
      <c r="U25" s="30"/>
    </row>
    <row r="26" spans="1:24" s="2" customFormat="1">
      <c r="A26" s="14" t="str">
        <f>'18'!$B$2</f>
        <v>18/05/2025 01:00</v>
      </c>
      <c r="B26" s="16">
        <f>'18'!B36</f>
        <v>3.9774999999999996</v>
      </c>
      <c r="C26" s="16">
        <f>'18'!C36</f>
        <v>17.734583333333333</v>
      </c>
      <c r="D26" s="16">
        <f>'18'!D36</f>
        <v>11.356249999999998</v>
      </c>
      <c r="E26" s="16">
        <f>'18'!E36</f>
        <v>7.1412499999999994</v>
      </c>
      <c r="F26" s="16">
        <f>'18'!F36</f>
        <v>22.053333333333331</v>
      </c>
      <c r="G26" s="16">
        <f>'18'!G36</f>
        <v>57.952500000000008</v>
      </c>
      <c r="H26" s="16">
        <f>'18'!H36</f>
        <v>24.31958333333333</v>
      </c>
      <c r="I26" s="16">
        <f>'18'!I36</f>
        <v>13.999166666666666</v>
      </c>
      <c r="J26" s="16">
        <f>'18'!J36</f>
        <v>2.8704166666666668</v>
      </c>
      <c r="K26" s="16">
        <f>'18'!K36</f>
        <v>204.32874999999999</v>
      </c>
      <c r="L26" s="16">
        <f>'18'!L36</f>
        <v>35.304583333333341</v>
      </c>
      <c r="M26" s="16">
        <f>'18'!M36</f>
        <v>62.439166666666665</v>
      </c>
      <c r="N26" s="16">
        <f>'18'!N36</f>
        <v>161.66666666666666</v>
      </c>
      <c r="O26" s="16">
        <f>'18'!O36</f>
        <v>3.3333333333333333E-2</v>
      </c>
      <c r="P26" s="16">
        <f>'18'!P36</f>
        <v>0.66708333333333336</v>
      </c>
      <c r="Q26" s="16">
        <f>'18'!Q36</f>
        <v>28.900000000000002</v>
      </c>
      <c r="R26" s="32"/>
      <c r="S26" s="32"/>
      <c r="T26" s="32"/>
      <c r="U26" s="30"/>
    </row>
    <row r="27" spans="1:24" s="2" customFormat="1">
      <c r="A27" s="14" t="str">
        <f>'19'!$B$2</f>
        <v>19/05/2025 01:00</v>
      </c>
      <c r="B27" s="16">
        <f>'19'!B36</f>
        <v>6.4316666666666658</v>
      </c>
      <c r="C27" s="16">
        <f>'19'!C36</f>
        <v>21.653333333333332</v>
      </c>
      <c r="D27" s="16">
        <f>'19'!D36</f>
        <v>14.998333333333333</v>
      </c>
      <c r="E27" s="16">
        <f>'19'!E36</f>
        <v>7.0795833333333311</v>
      </c>
      <c r="F27" s="16">
        <f>'19'!F36</f>
        <v>20.121666666666666</v>
      </c>
      <c r="G27" s="16">
        <f>'19'!G36</f>
        <v>52.050833333333323</v>
      </c>
      <c r="H27" s="16">
        <f>'19'!H36</f>
        <v>20.71125</v>
      </c>
      <c r="I27" s="16">
        <f>'19'!I36</f>
        <v>11.409583333333332</v>
      </c>
      <c r="J27" s="16">
        <f>'19'!J36</f>
        <v>2.8587500000000001</v>
      </c>
      <c r="K27" s="16">
        <f>'19'!K36</f>
        <v>184.70041666666665</v>
      </c>
      <c r="L27" s="16">
        <f>'19'!L36</f>
        <v>37.422083333333333</v>
      </c>
      <c r="M27" s="16">
        <f>'19'!M36</f>
        <v>46.275416666666665</v>
      </c>
      <c r="N27" s="16">
        <f>'19'!N36</f>
        <v>289.67083333333335</v>
      </c>
      <c r="O27" s="16">
        <f>'19'!O36</f>
        <v>0</v>
      </c>
      <c r="P27" s="16">
        <f>'19'!P36</f>
        <v>0.59916666666666663</v>
      </c>
      <c r="Q27" s="16">
        <f>'19'!Q36</f>
        <v>28.92625</v>
      </c>
      <c r="R27" s="32"/>
      <c r="S27" s="32"/>
      <c r="T27" s="32"/>
      <c r="U27" s="30"/>
    </row>
    <row r="28" spans="1:24" s="2" customFormat="1">
      <c r="A28" s="14" t="str">
        <f>'20'!$B$2</f>
        <v>20/05/2025 01:00</v>
      </c>
      <c r="B28" s="16">
        <f>'20'!B36</f>
        <v>5.0949999999999998</v>
      </c>
      <c r="C28" s="16">
        <f>'20'!C36</f>
        <v>16.359583333333333</v>
      </c>
      <c r="D28" s="16">
        <f>'20'!D36</f>
        <v>11.535833333333334</v>
      </c>
      <c r="E28" s="16">
        <f>'20'!E36</f>
        <v>7.2183333333333337</v>
      </c>
      <c r="F28" s="16">
        <f>'20'!F36</f>
        <v>21.295000000000002</v>
      </c>
      <c r="G28" s="16">
        <f>'20'!G36</f>
        <v>50.771666666666682</v>
      </c>
      <c r="H28" s="16">
        <f>'20'!H36</f>
        <v>17.419999999999998</v>
      </c>
      <c r="I28" s="16">
        <f>'20'!I36</f>
        <v>9.8833333333333346</v>
      </c>
      <c r="J28" s="16">
        <f>'20'!J36</f>
        <v>2.6941666666666659</v>
      </c>
      <c r="K28" s="16">
        <f>'20'!K36</f>
        <v>202.93500000000003</v>
      </c>
      <c r="L28" s="16">
        <f>'20'!L36</f>
        <v>36.206249999999997</v>
      </c>
      <c r="M28" s="16">
        <f>'20'!M36</f>
        <v>48.87833333333333</v>
      </c>
      <c r="N28" s="16">
        <f>'20'!N36</f>
        <v>268.54166666666669</v>
      </c>
      <c r="O28" s="16">
        <f>'20'!O36</f>
        <v>6.6666666666666666E-2</v>
      </c>
      <c r="P28" s="16">
        <f>'20'!P36</f>
        <v>0.5508333333333334</v>
      </c>
      <c r="Q28" s="16">
        <f>'20'!Q36</f>
        <v>28.983750000000004</v>
      </c>
      <c r="R28" s="32"/>
      <c r="S28" s="32"/>
      <c r="T28" s="32"/>
      <c r="U28" s="30"/>
    </row>
    <row r="29" spans="1:24" s="2" customFormat="1">
      <c r="A29" s="14" t="str">
        <f>'21'!$B$2</f>
        <v>21/05/2025 01:00</v>
      </c>
      <c r="B29" s="16">
        <f>'21'!B36</f>
        <v>5.4991666666666674</v>
      </c>
      <c r="C29" s="16">
        <f>'21'!C36</f>
        <v>16.723333333333329</v>
      </c>
      <c r="D29" s="16">
        <f>'21'!D36</f>
        <v>11.997083333333334</v>
      </c>
      <c r="E29" s="16">
        <f>'21'!E36</f>
        <v>7.7549999999999999</v>
      </c>
      <c r="F29" s="16">
        <f>'21'!F36</f>
        <v>22.806666666666661</v>
      </c>
      <c r="G29" s="16">
        <f>'21'!G36</f>
        <v>50.369166666666672</v>
      </c>
      <c r="H29" s="16">
        <f>'21'!H36</f>
        <v>21.050416666666663</v>
      </c>
      <c r="I29" s="16">
        <f>'21'!I36</f>
        <v>11.621250000000002</v>
      </c>
      <c r="J29" s="16">
        <f>'21'!J36</f>
        <v>3.4004166666666666</v>
      </c>
      <c r="K29" s="16">
        <f>'21'!K36</f>
        <v>216.64333333333332</v>
      </c>
      <c r="L29" s="16">
        <f>'21'!L36</f>
        <v>34.395000000000003</v>
      </c>
      <c r="M29" s="16">
        <f>'21'!M36</f>
        <v>52.136249999999997</v>
      </c>
      <c r="N29" s="16">
        <f>'21'!N36</f>
        <v>293.86666666666656</v>
      </c>
      <c r="O29" s="16">
        <f>'21'!O36</f>
        <v>0.27499999999999997</v>
      </c>
      <c r="P29" s="16">
        <f>'21'!P36</f>
        <v>0.60124999999999995</v>
      </c>
      <c r="Q29" s="16">
        <f>'21'!Q36</f>
        <v>28.913333333333338</v>
      </c>
      <c r="R29" s="32"/>
      <c r="S29" s="32"/>
      <c r="T29" s="32"/>
      <c r="U29" s="30"/>
    </row>
    <row r="30" spans="1:24" s="2" customFormat="1">
      <c r="A30" s="14" t="str">
        <f>'22'!$B$2</f>
        <v>22/05/2025 01:00</v>
      </c>
      <c r="B30" s="16">
        <f>'22'!B36</f>
        <v>5.7887499999999976</v>
      </c>
      <c r="C30" s="16">
        <f>'22'!C36</f>
        <v>17.322083333333328</v>
      </c>
      <c r="D30" s="16">
        <f>'22'!D36</f>
        <v>12.532916666666665</v>
      </c>
      <c r="E30" s="16">
        <f>'22'!E36</f>
        <v>6.5029166666666667</v>
      </c>
      <c r="F30" s="16">
        <f>'22'!F36</f>
        <v>8.3708333333333336</v>
      </c>
      <c r="G30" s="16">
        <f>'22'!G36</f>
        <v>33.61333333333333</v>
      </c>
      <c r="H30" s="16">
        <f>'22'!H36</f>
        <v>13.531666666666666</v>
      </c>
      <c r="I30" s="16">
        <f>'22'!I36</f>
        <v>9.1583333333333332</v>
      </c>
      <c r="J30" s="16">
        <f>'22'!J36</f>
        <v>5.0525000000000011</v>
      </c>
      <c r="K30" s="16">
        <f>'22'!K36</f>
        <v>182.46708333333333</v>
      </c>
      <c r="L30" s="16">
        <f>'22'!L36</f>
        <v>26.549166666666665</v>
      </c>
      <c r="M30" s="16">
        <f>'22'!M36</f>
        <v>75.346666666666678</v>
      </c>
      <c r="N30" s="16">
        <f>'22'!N36</f>
        <v>145.92083333333332</v>
      </c>
      <c r="O30" s="16">
        <f>'22'!O36</f>
        <v>0.34999999999999992</v>
      </c>
      <c r="P30" s="16">
        <f>'22'!P36</f>
        <v>0.5479166666666665</v>
      </c>
      <c r="Q30" s="16">
        <f>'22'!Q36</f>
        <v>28.737916666666667</v>
      </c>
      <c r="R30" s="32"/>
      <c r="S30" s="30"/>
      <c r="T30" s="30"/>
      <c r="U30" s="30"/>
    </row>
    <row r="31" spans="1:24" s="2" customFormat="1">
      <c r="A31" s="14" t="str">
        <f>'23'!$B$2</f>
        <v>23/05/2025 01:00</v>
      </c>
      <c r="B31" s="16">
        <f>'23'!B36</f>
        <v>4.8566666666666665</v>
      </c>
      <c r="C31" s="16">
        <f>'23'!C36</f>
        <v>14.462499999999999</v>
      </c>
      <c r="D31" s="16">
        <f>'23'!D36</f>
        <v>10.321250000000001</v>
      </c>
      <c r="E31" s="16">
        <f>'23'!E36</f>
        <v>6.607916666666668</v>
      </c>
      <c r="F31" s="16">
        <f>'23'!F36</f>
        <v>14.452916666666667</v>
      </c>
      <c r="G31" s="16">
        <f>'23'!G36</f>
        <v>37.354166666666671</v>
      </c>
      <c r="H31" s="16">
        <f>'23'!H36</f>
        <v>16.997083333333332</v>
      </c>
      <c r="I31" s="16">
        <f>'23'!I36</f>
        <v>9.612916666666667</v>
      </c>
      <c r="J31" s="16">
        <f>'23'!J36</f>
        <v>5.078333333333334</v>
      </c>
      <c r="K31" s="16">
        <f>'23'!K36</f>
        <v>230.48083333333338</v>
      </c>
      <c r="L31" s="16">
        <f>'23'!L36</f>
        <v>27.972083333333334</v>
      </c>
      <c r="M31" s="16">
        <f>'23'!M36</f>
        <v>70.120833333333337</v>
      </c>
      <c r="N31" s="16">
        <f>'23'!N36</f>
        <v>200.11666666666665</v>
      </c>
      <c r="O31" s="16">
        <f>'23'!O36</f>
        <v>0</v>
      </c>
      <c r="P31" s="16">
        <f>'23'!P36</f>
        <v>0.50416666666666676</v>
      </c>
      <c r="Q31" s="16">
        <f>'23'!Q36</f>
        <v>29.025000000000002</v>
      </c>
      <c r="R31" s="30"/>
      <c r="S31" s="30"/>
      <c r="T31" s="30"/>
      <c r="U31" s="30"/>
    </row>
    <row r="32" spans="1:24" s="2" customFormat="1">
      <c r="A32" s="14" t="str">
        <f>'24'!$B$2</f>
        <v>24/05/2025 01:00</v>
      </c>
      <c r="B32" s="16">
        <f>'24'!B36</f>
        <v>9.6062499999999993</v>
      </c>
      <c r="C32" s="16">
        <f>'24'!C36</f>
        <v>13.336249999999998</v>
      </c>
      <c r="D32" s="16">
        <f>'24'!D36</f>
        <v>13.469583333333334</v>
      </c>
      <c r="E32" s="16">
        <f>'24'!E36</f>
        <v>6.065833333333333</v>
      </c>
      <c r="F32" s="16">
        <f>'24'!F36</f>
        <v>5.7529166666666667</v>
      </c>
      <c r="G32" s="16">
        <f>'24'!G36</f>
        <v>24.108750000000001</v>
      </c>
      <c r="H32" s="16">
        <f>'24'!H36</f>
        <v>7.3599999999999994</v>
      </c>
      <c r="I32" s="16">
        <f>'24'!I36</f>
        <v>12.138333333333334</v>
      </c>
      <c r="J32" s="16">
        <f>'24'!J36</f>
        <v>4.7537500000000001</v>
      </c>
      <c r="K32" s="16">
        <f>'24'!K36</f>
        <v>251.02166666666665</v>
      </c>
      <c r="L32" s="16">
        <f>'24'!L36</f>
        <v>26.662500000000005</v>
      </c>
      <c r="M32" s="16">
        <f>'24'!M36</f>
        <v>80.722916666666649</v>
      </c>
      <c r="N32" s="16">
        <f>'24'!N36</f>
        <v>156.72916666666666</v>
      </c>
      <c r="O32" s="16">
        <f>'24'!O36</f>
        <v>0.66666666666666663</v>
      </c>
      <c r="P32" s="16">
        <f>'24'!P36</f>
        <v>0.58750000000000002</v>
      </c>
      <c r="Q32" s="16">
        <f>'24'!Q36</f>
        <v>28.726249999999993</v>
      </c>
      <c r="R32" s="30"/>
      <c r="S32" s="30"/>
      <c r="T32" s="30"/>
      <c r="U32" s="30"/>
    </row>
    <row r="33" spans="1:21" s="2" customFormat="1">
      <c r="A33" s="14" t="str">
        <f>'25'!$B$2</f>
        <v>25/05/2025 01:00</v>
      </c>
      <c r="B33" s="16">
        <f>'25'!B36</f>
        <v>7.4429166666666662</v>
      </c>
      <c r="C33" s="16">
        <f>'25'!C36</f>
        <v>11.499166666666667</v>
      </c>
      <c r="D33" s="16">
        <f>'25'!D36</f>
        <v>10.786250000000001</v>
      </c>
      <c r="E33" s="16">
        <f>'25'!E36</f>
        <v>6.6179166666666651</v>
      </c>
      <c r="F33" s="16">
        <f>'25'!F36</f>
        <v>8.2125000000000004</v>
      </c>
      <c r="G33" s="16">
        <f>'25'!G36</f>
        <v>31.967916666666667</v>
      </c>
      <c r="H33" s="16">
        <f>'25'!H36</f>
        <v>12.564166666666667</v>
      </c>
      <c r="I33" s="16">
        <f>'25'!I36</f>
        <v>10.722916666666668</v>
      </c>
      <c r="J33" s="16">
        <f>'25'!J36</f>
        <v>3.9437499999999996</v>
      </c>
      <c r="K33" s="16">
        <f>'25'!K36</f>
        <v>229.03208333333336</v>
      </c>
      <c r="L33" s="16">
        <f>'25'!L36</f>
        <v>27.723749999999999</v>
      </c>
      <c r="M33" s="16">
        <f>'25'!M36</f>
        <v>75.118333333333311</v>
      </c>
      <c r="N33" s="16">
        <f>'25'!N36</f>
        <v>203.9916666666667</v>
      </c>
      <c r="O33" s="16">
        <f>'25'!O36</f>
        <v>8.3333333333333332E-3</v>
      </c>
      <c r="P33" s="16">
        <f>'25'!P36</f>
        <v>0.52041666666666653</v>
      </c>
      <c r="Q33" s="16">
        <f>'25'!Q36</f>
        <v>28.973333333333343</v>
      </c>
      <c r="R33" s="30"/>
      <c r="S33" s="30"/>
      <c r="T33" s="30"/>
      <c r="U33" s="30"/>
    </row>
    <row r="34" spans="1:21" s="2" customFormat="1">
      <c r="A34" s="14" t="str">
        <f>'26'!$B$2</f>
        <v>26/05/2025 01:00</v>
      </c>
      <c r="B34" s="16">
        <f>'26'!B36</f>
        <v>7.1787500000000009</v>
      </c>
      <c r="C34" s="16">
        <f>'26'!C36</f>
        <v>11.76375</v>
      </c>
      <c r="D34" s="16">
        <f>'26'!D36</f>
        <v>10.785833333333334</v>
      </c>
      <c r="E34" s="16">
        <f>'26'!E36</f>
        <v>6.4279166666666683</v>
      </c>
      <c r="F34" s="16">
        <f>'26'!F36</f>
        <v>10.324583333333335</v>
      </c>
      <c r="G34" s="16">
        <f>'26'!G36</f>
        <v>39.338750000000005</v>
      </c>
      <c r="H34" s="16">
        <f>'26'!H36</f>
        <v>17.001666666666665</v>
      </c>
      <c r="I34" s="16">
        <f>'26'!I36</f>
        <v>12.421250000000002</v>
      </c>
      <c r="J34" s="16">
        <f>'26'!J36</f>
        <v>4.1187500000000004</v>
      </c>
      <c r="K34" s="16">
        <f>'26'!K36</f>
        <v>191.62250000000003</v>
      </c>
      <c r="L34" s="16">
        <f>'26'!L36</f>
        <v>28.423749999999998</v>
      </c>
      <c r="M34" s="16">
        <f>'26'!M36</f>
        <v>74.879583333333329</v>
      </c>
      <c r="N34" s="16">
        <f>'26'!N36</f>
        <v>178.10833333333338</v>
      </c>
      <c r="O34" s="16">
        <f>'26'!O36</f>
        <v>3.3333333333333333E-2</v>
      </c>
      <c r="P34" s="16">
        <f>'26'!P36</f>
        <v>0.59666666666666668</v>
      </c>
      <c r="Q34" s="16">
        <f>'26'!Q36</f>
        <v>29.024583333333329</v>
      </c>
      <c r="R34" s="30"/>
      <c r="S34" s="30"/>
      <c r="T34" s="30"/>
      <c r="U34" s="30"/>
    </row>
    <row r="35" spans="1:21" s="2" customFormat="1">
      <c r="A35" s="14" t="str">
        <f>'27'!$B$2</f>
        <v>27/05/2025 01:00</v>
      </c>
      <c r="B35" s="16">
        <f>'27'!B36</f>
        <v>6.2383333333333342</v>
      </c>
      <c r="C35" s="16">
        <f>'27'!C36</f>
        <v>10.455833333333333</v>
      </c>
      <c r="D35" s="16">
        <f>'27'!D36</f>
        <v>9.3066666666666666</v>
      </c>
      <c r="E35" s="16">
        <f>'27'!E36</f>
        <v>6.3158333333333339</v>
      </c>
      <c r="F35" s="16">
        <f>'27'!F36</f>
        <v>9.1195833333333329</v>
      </c>
      <c r="G35" s="16">
        <f>'27'!G36</f>
        <v>25.7075</v>
      </c>
      <c r="H35" s="16">
        <f>'27'!H36</f>
        <v>11.27875</v>
      </c>
      <c r="I35" s="16">
        <f>'27'!I36</f>
        <v>10.502083333333333</v>
      </c>
      <c r="J35" s="16">
        <f>'27'!J36</f>
        <v>3.9279166666666669</v>
      </c>
      <c r="K35" s="16">
        <f>'27'!K36</f>
        <v>239.63791666666671</v>
      </c>
      <c r="L35" s="16">
        <f>'27'!L36</f>
        <v>27.67958333333333</v>
      </c>
      <c r="M35" s="16">
        <f>'27'!M36</f>
        <v>76.394166666666663</v>
      </c>
      <c r="N35" s="16">
        <f>'27'!N36</f>
        <v>186.61249999999998</v>
      </c>
      <c r="O35" s="16">
        <f>'27'!O36</f>
        <v>4.1666666666666664E-2</v>
      </c>
      <c r="P35" s="16">
        <f>'27'!P36</f>
        <v>0.47333333333333333</v>
      </c>
      <c r="Q35" s="16">
        <f>'27'!Q36</f>
        <v>29.0825</v>
      </c>
      <c r="R35" s="30"/>
      <c r="S35" s="30"/>
      <c r="T35" s="30"/>
      <c r="U35" s="30"/>
    </row>
    <row r="36" spans="1:21" s="2" customFormat="1">
      <c r="A36" s="14" t="str">
        <f>'28'!$B$2</f>
        <v>28/05/2025 01:00</v>
      </c>
      <c r="B36" s="16">
        <f>'28'!B36</f>
        <v>4.7804166666666665</v>
      </c>
      <c r="C36" s="16">
        <f>'28'!C36</f>
        <v>12.887083333333335</v>
      </c>
      <c r="D36" s="16">
        <f>'28'!D36</f>
        <v>9.4079166666666669</v>
      </c>
      <c r="E36" s="16">
        <f>'28'!E36</f>
        <v>7.1870833333333328</v>
      </c>
      <c r="F36" s="16">
        <f>'28'!F36</f>
        <v>13.676666666666669</v>
      </c>
      <c r="G36" s="16">
        <f>'28'!G36</f>
        <v>59.297916666666659</v>
      </c>
      <c r="H36" s="16">
        <f>'28'!H36</f>
        <v>29.49666666666667</v>
      </c>
      <c r="I36" s="16">
        <f>'28'!I36</f>
        <v>13.315416666666666</v>
      </c>
      <c r="J36" s="16">
        <f>'28'!J36</f>
        <v>4.3583333333333334</v>
      </c>
      <c r="K36" s="16">
        <f>'28'!K36</f>
        <v>230.64166666666674</v>
      </c>
      <c r="L36" s="16">
        <f>'28'!L36</f>
        <v>29.017916666666668</v>
      </c>
      <c r="M36" s="16">
        <f>'28'!M36</f>
        <v>68.566666666666649</v>
      </c>
      <c r="N36" s="16">
        <f>'28'!N36</f>
        <v>223.82083333333333</v>
      </c>
      <c r="O36" s="16">
        <f>'28'!O36</f>
        <v>0</v>
      </c>
      <c r="P36" s="16">
        <f>'28'!P36</f>
        <v>0.61916666666666664</v>
      </c>
      <c r="Q36" s="16">
        <f>'28'!Q36</f>
        <v>29.047916666666666</v>
      </c>
      <c r="R36" s="30"/>
      <c r="S36" s="30"/>
      <c r="T36" s="30"/>
      <c r="U36" s="30"/>
    </row>
    <row r="37" spans="1:21" s="2" customFormat="1">
      <c r="A37" s="14" t="str">
        <f>'29'!$B$2</f>
        <v>29/05/2025 01:00</v>
      </c>
      <c r="B37" s="16">
        <f>'29'!B36</f>
        <v>4.1691666666666674</v>
      </c>
      <c r="C37" s="16">
        <f>'29'!C36</f>
        <v>11.588333333333333</v>
      </c>
      <c r="D37" s="16">
        <f>'29'!D36</f>
        <v>8.2316666666666674</v>
      </c>
      <c r="E37" s="16">
        <f>'29'!E36</f>
        <v>6.4504166666666682</v>
      </c>
      <c r="F37" s="16">
        <f>'29'!F36</f>
        <v>10.065833333333334</v>
      </c>
      <c r="G37" s="16">
        <f>'29'!G36</f>
        <v>33.96875</v>
      </c>
      <c r="H37" s="16">
        <f>'29'!H36</f>
        <v>16.044166666666666</v>
      </c>
      <c r="I37" s="16">
        <f>'29'!I36</f>
        <v>11.804166666666667</v>
      </c>
      <c r="J37" s="16">
        <f>'29'!J36</f>
        <v>4.6883333333333335</v>
      </c>
      <c r="K37" s="16">
        <f>'29'!K36</f>
        <v>243.07124999999996</v>
      </c>
      <c r="L37" s="16">
        <f>'29'!L36</f>
        <v>28.292499999999993</v>
      </c>
      <c r="M37" s="16">
        <f>'29'!M36</f>
        <v>71.209166666666661</v>
      </c>
      <c r="N37" s="16">
        <f>'29'!N36</f>
        <v>263.37083333333334</v>
      </c>
      <c r="O37" s="16">
        <f>'29'!O36</f>
        <v>0.11666666666666668</v>
      </c>
      <c r="P37" s="16">
        <f>'29'!P36</f>
        <v>0.53125000000000011</v>
      </c>
      <c r="Q37" s="16">
        <f>'29'!Q36</f>
        <v>29.233749999999997</v>
      </c>
      <c r="R37" s="30"/>
      <c r="S37" s="30"/>
      <c r="T37" s="30"/>
      <c r="U37" s="30"/>
    </row>
    <row r="38" spans="1:21" s="2" customFormat="1">
      <c r="A38" s="14" t="str">
        <f>'30'!$B$2</f>
        <v>30/05/2025 01:00</v>
      </c>
      <c r="B38" s="16">
        <f>'30'!B36</f>
        <v>4.7358333333333338</v>
      </c>
      <c r="C38" s="16">
        <f>'30'!C36</f>
        <v>8.1779166666666683</v>
      </c>
      <c r="D38" s="16">
        <f>'30'!D36</f>
        <v>5.8912500000000003</v>
      </c>
      <c r="E38" s="16">
        <f>'30'!E36</f>
        <v>8.9216666666666686</v>
      </c>
      <c r="F38" s="16">
        <f>'30'!F36</f>
        <v>20.780416666666664</v>
      </c>
      <c r="G38" s="16">
        <f>'30'!G36</f>
        <v>42.902916666666663</v>
      </c>
      <c r="H38" s="16">
        <f>'30'!H36</f>
        <v>24.93291666666666</v>
      </c>
      <c r="I38" s="16">
        <f>'30'!I36</f>
        <v>8.2308333333333348</v>
      </c>
      <c r="J38" s="16">
        <f>'30'!J36</f>
        <v>0.68458333333333332</v>
      </c>
      <c r="K38" s="16">
        <f>'30'!K36</f>
        <v>258.63666666666671</v>
      </c>
      <c r="L38" s="16">
        <f>'30'!L36</f>
        <v>30.956250000000001</v>
      </c>
      <c r="M38" s="16">
        <f>'30'!M36</f>
        <v>70.766250000000014</v>
      </c>
      <c r="N38" s="16">
        <f>'30'!N36</f>
        <v>176.70833333333334</v>
      </c>
      <c r="O38" s="16">
        <f>'30'!O36</f>
        <v>0</v>
      </c>
      <c r="P38" s="16">
        <f>'30'!P36</f>
        <v>0.52124999999999999</v>
      </c>
      <c r="Q38" s="16">
        <f>'30'!Q36</f>
        <v>28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2.6733333333333333</v>
      </c>
      <c r="C40" s="18">
        <f t="shared" si="0"/>
        <v>8.1779166666666683</v>
      </c>
      <c r="D40" s="18">
        <f t="shared" si="0"/>
        <v>5.8912500000000003</v>
      </c>
      <c r="E40" s="18">
        <f t="shared" si="0"/>
        <v>1.6045833333333335</v>
      </c>
      <c r="F40" s="18">
        <f t="shared" si="0"/>
        <v>2.5724999999999998</v>
      </c>
      <c r="G40" s="18">
        <f t="shared" si="0"/>
        <v>24.108750000000001</v>
      </c>
      <c r="H40" s="18">
        <f t="shared" si="0"/>
        <v>7.3599999999999994</v>
      </c>
      <c r="I40" s="18">
        <f t="shared" si="0"/>
        <v>8.2308333333333348</v>
      </c>
      <c r="J40" s="18">
        <f t="shared" si="0"/>
        <v>0.68458333333333332</v>
      </c>
      <c r="K40" s="18">
        <f t="shared" si="0"/>
        <v>182.46708333333333</v>
      </c>
      <c r="L40" s="18">
        <f t="shared" si="0"/>
        <v>26.549166666666665</v>
      </c>
      <c r="M40" s="18">
        <f t="shared" si="0"/>
        <v>34.232499999999995</v>
      </c>
      <c r="N40" s="18">
        <f t="shared" si="0"/>
        <v>145.92083333333332</v>
      </c>
      <c r="O40" s="18">
        <f t="shared" si="0"/>
        <v>0</v>
      </c>
      <c r="P40" s="18">
        <f t="shared" si="0"/>
        <v>0.44541666666666663</v>
      </c>
      <c r="Q40" s="18">
        <f t="shared" si="0"/>
        <v>27.734999999999999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11.295000000000002</v>
      </c>
      <c r="C41" s="18">
        <f t="shared" si="1"/>
        <v>35.886250000000004</v>
      </c>
      <c r="D41" s="18">
        <f t="shared" si="1"/>
        <v>27.614583333333332</v>
      </c>
      <c r="E41" s="18">
        <f t="shared" si="1"/>
        <v>8.9216666666666686</v>
      </c>
      <c r="F41" s="18">
        <f t="shared" si="1"/>
        <v>25.176666666666662</v>
      </c>
      <c r="G41" s="18">
        <f t="shared" si="1"/>
        <v>59.297916666666659</v>
      </c>
      <c r="H41" s="18">
        <f t="shared" si="1"/>
        <v>29.49666666666667</v>
      </c>
      <c r="I41" s="18">
        <f t="shared" si="1"/>
        <v>14.057083333333333</v>
      </c>
      <c r="J41" s="18">
        <f t="shared" si="1"/>
        <v>5.0945833333333344</v>
      </c>
      <c r="K41" s="18">
        <f t="shared" si="1"/>
        <v>258.63666666666671</v>
      </c>
      <c r="L41" s="18">
        <f t="shared" si="1"/>
        <v>37.735833333333325</v>
      </c>
      <c r="M41" s="18">
        <f t="shared" si="1"/>
        <v>80.722916666666649</v>
      </c>
      <c r="N41" s="18">
        <f t="shared" si="1"/>
        <v>302.73750000000001</v>
      </c>
      <c r="O41" s="18">
        <f t="shared" si="1"/>
        <v>0.91666666666666663</v>
      </c>
      <c r="P41" s="18">
        <f t="shared" si="1"/>
        <v>0.66708333333333336</v>
      </c>
      <c r="Q41" s="18">
        <f t="shared" si="1"/>
        <v>29.233749999999997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5.9848519009725898</v>
      </c>
      <c r="C42" s="18">
        <f t="shared" si="2"/>
        <v>22.540740968801313</v>
      </c>
      <c r="D42" s="18">
        <f t="shared" si="2"/>
        <v>15.775211412151071</v>
      </c>
      <c r="E42" s="18">
        <f t="shared" si="2"/>
        <v>6.1010416666666663</v>
      </c>
      <c r="F42" s="18">
        <f t="shared" si="2"/>
        <v>16.20223015873016</v>
      </c>
      <c r="G42" s="18">
        <f t="shared" si="2"/>
        <v>44.40645526695527</v>
      </c>
      <c r="H42" s="18">
        <f t="shared" si="2"/>
        <v>19.356467532467533</v>
      </c>
      <c r="I42" s="18">
        <f t="shared" si="2"/>
        <v>11.224408730158732</v>
      </c>
      <c r="J42" s="18">
        <f t="shared" si="2"/>
        <v>3.3834166666666663</v>
      </c>
      <c r="K42" s="18">
        <f t="shared" si="2"/>
        <v>225.3014583333333</v>
      </c>
      <c r="L42" s="18">
        <f t="shared" si="2"/>
        <v>32.539444444444442</v>
      </c>
      <c r="M42" s="18">
        <f t="shared" si="2"/>
        <v>54.147944444444434</v>
      </c>
      <c r="N42" s="18">
        <f t="shared" si="2"/>
        <v>243.67861111111117</v>
      </c>
      <c r="O42" s="18">
        <f t="shared" si="2"/>
        <v>8.8611111111111099E-2</v>
      </c>
      <c r="P42" s="18">
        <f t="shared" si="2"/>
        <v>0.56076388888888884</v>
      </c>
      <c r="Q42" s="18">
        <f t="shared" si="2"/>
        <v>28.545916666666663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1.9734370276054169</v>
      </c>
      <c r="C43" s="18">
        <f t="shared" si="3"/>
        <v>9.2344484099275697</v>
      </c>
      <c r="D43" s="18">
        <f t="shared" si="3"/>
        <v>6.1129181149073002</v>
      </c>
      <c r="E43" s="18">
        <f t="shared" si="3"/>
        <v>2.0943109537623257</v>
      </c>
      <c r="F43" s="18">
        <f t="shared" si="3"/>
        <v>6.0966059082644817</v>
      </c>
      <c r="G43" s="18">
        <f t="shared" si="3"/>
        <v>9.6804836017650366</v>
      </c>
      <c r="H43" s="18">
        <f t="shared" si="3"/>
        <v>4.7190327969572659</v>
      </c>
      <c r="I43" s="18">
        <f t="shared" si="3"/>
        <v>1.5425553144374513</v>
      </c>
      <c r="J43" s="18">
        <f t="shared" si="3"/>
        <v>1.2104085993954383</v>
      </c>
      <c r="K43" s="18">
        <f t="shared" si="3"/>
        <v>19.36087149330433</v>
      </c>
      <c r="L43" s="18">
        <f t="shared" si="3"/>
        <v>3.7534640072604453</v>
      </c>
      <c r="M43" s="18">
        <f t="shared" si="3"/>
        <v>15.499247581668666</v>
      </c>
      <c r="N43" s="18">
        <f t="shared" si="3"/>
        <v>49.260325800349349</v>
      </c>
      <c r="O43" s="18">
        <f t="shared" si="3"/>
        <v>0.2104260790353383</v>
      </c>
      <c r="P43" s="18">
        <f t="shared" si="3"/>
        <v>5.4550374287714636E-2</v>
      </c>
      <c r="Q43" s="18">
        <f t="shared" si="3"/>
        <v>0.46665743525352088</v>
      </c>
      <c r="R43" s="18"/>
      <c r="S43" s="18"/>
      <c r="T43" s="18"/>
      <c r="U43" s="18"/>
    </row>
    <row r="44" spans="1:21" s="1" customFormat="1">
      <c r="A44" s="3" t="s">
        <v>52</v>
      </c>
      <c r="B44" s="18">
        <f>COUNT(B9:B38)+1</f>
        <v>30</v>
      </c>
      <c r="C44" s="18">
        <f t="shared" ref="C44:D44" si="4">COUNT(C9:C38)+1</f>
        <v>30</v>
      </c>
      <c r="D44" s="18">
        <f t="shared" si="4"/>
        <v>30</v>
      </c>
      <c r="E44" s="3">
        <f t="shared" ref="B44:Q44" si="5">COUNT(E9:E38)</f>
        <v>30</v>
      </c>
      <c r="F44" s="3">
        <f t="shared" si="5"/>
        <v>30</v>
      </c>
      <c r="G44" s="3">
        <f t="shared" si="5"/>
        <v>30</v>
      </c>
      <c r="H44" s="3">
        <f t="shared" si="5"/>
        <v>30</v>
      </c>
      <c r="I44" s="3">
        <f t="shared" si="5"/>
        <v>30</v>
      </c>
      <c r="J44" s="3">
        <f t="shared" si="5"/>
        <v>30</v>
      </c>
      <c r="K44" s="3">
        <f t="shared" si="5"/>
        <v>30</v>
      </c>
      <c r="L44" s="3">
        <f t="shared" si="5"/>
        <v>30</v>
      </c>
      <c r="M44" s="3">
        <f t="shared" si="5"/>
        <v>30</v>
      </c>
      <c r="N44" s="3">
        <f t="shared" si="5"/>
        <v>30</v>
      </c>
      <c r="O44" s="3">
        <f t="shared" si="5"/>
        <v>30</v>
      </c>
      <c r="P44" s="3">
        <f t="shared" si="5"/>
        <v>30</v>
      </c>
      <c r="Q44" s="3">
        <f t="shared" si="5"/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6">IF(C44&gt;=28,"&gt;90%",IF(C44&lt;=28,"&lt;90%"))</f>
        <v>&gt;90%</v>
      </c>
      <c r="D45" s="3" t="str">
        <f t="shared" si="6"/>
        <v>&gt;90%</v>
      </c>
      <c r="E45" s="3" t="str">
        <f t="shared" si="6"/>
        <v>&gt;90%</v>
      </c>
      <c r="F45" s="3" t="str">
        <f t="shared" si="6"/>
        <v>&gt;90%</v>
      </c>
      <c r="G45" s="3" t="str">
        <f t="shared" si="6"/>
        <v>&gt;90%</v>
      </c>
      <c r="H45" s="3" t="str">
        <f t="shared" si="6"/>
        <v>&gt;90%</v>
      </c>
      <c r="I45" s="3" t="str">
        <f t="shared" si="6"/>
        <v>&gt;90%</v>
      </c>
      <c r="J45" s="3" t="str">
        <f t="shared" si="6"/>
        <v>&gt;90%</v>
      </c>
      <c r="K45" s="3" t="str">
        <f t="shared" si="6"/>
        <v>&gt;90%</v>
      </c>
      <c r="L45" s="3" t="str">
        <f t="shared" si="6"/>
        <v>&gt;90%</v>
      </c>
      <c r="M45" s="3" t="str">
        <f t="shared" si="6"/>
        <v>&gt;90%</v>
      </c>
      <c r="N45" s="3" t="str">
        <f t="shared" si="6"/>
        <v>&gt;90%</v>
      </c>
      <c r="O45" s="3" t="str">
        <f t="shared" si="6"/>
        <v>&gt;90%</v>
      </c>
      <c r="P45" s="3" t="str">
        <f t="shared" si="6"/>
        <v>&gt;90%</v>
      </c>
      <c r="Q45" s="3" t="str">
        <f t="shared" si="6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7">IF(C44&gt;=28,"OK",IF(C44&lt;=28,"LESS"))</f>
        <v>OK</v>
      </c>
      <c r="D46" s="3" t="str">
        <f t="shared" si="7"/>
        <v>OK</v>
      </c>
      <c r="E46" s="3" t="str">
        <f t="shared" si="7"/>
        <v>OK</v>
      </c>
      <c r="F46" s="3" t="str">
        <f t="shared" si="7"/>
        <v>OK</v>
      </c>
      <c r="G46" s="3" t="str">
        <f t="shared" si="7"/>
        <v>OK</v>
      </c>
      <c r="H46" s="3" t="str">
        <f t="shared" si="7"/>
        <v>OK</v>
      </c>
      <c r="I46" s="3" t="str">
        <f t="shared" si="7"/>
        <v>OK</v>
      </c>
      <c r="J46" s="3" t="str">
        <f t="shared" si="7"/>
        <v>OK</v>
      </c>
      <c r="K46" s="3" t="str">
        <f t="shared" si="7"/>
        <v>OK</v>
      </c>
      <c r="L46" s="3" t="str">
        <f t="shared" si="7"/>
        <v>OK</v>
      </c>
      <c r="M46" s="3" t="str">
        <f t="shared" si="7"/>
        <v>OK</v>
      </c>
      <c r="N46" s="3" t="str">
        <f t="shared" si="7"/>
        <v>OK</v>
      </c>
      <c r="O46" s="3" t="str">
        <f t="shared" si="7"/>
        <v>OK</v>
      </c>
      <c r="P46" s="3" t="str">
        <f t="shared" si="7"/>
        <v>OK</v>
      </c>
      <c r="Q46" s="3" t="str">
        <f t="shared" si="7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56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2025-08-26T13:04:07Z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