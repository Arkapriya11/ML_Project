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may 2025\"/>
    </mc:Choice>
  </mc:AlternateContent>
  <xr:revisionPtr revIDLastSave="0" documentId="13_ncr:1_{9F4687C0-AAEE-4F2D-85AC-6D0273DD2405}" xr6:coauthVersionLast="47" xr6:coauthVersionMax="47" xr10:uidLastSave="{00000000-0000-0000-0000-000000000000}"/>
  <bookViews>
    <workbookView xWindow="-120" yWindow="-120" windowWidth="20730" windowHeight="11040" tabRatio="814" firstSheet="10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C110" i="24" l="1"/>
  <c r="D110" i="24"/>
  <c r="B110" i="24"/>
  <c r="H110" i="10"/>
  <c r="G110" i="10"/>
  <c r="I110" i="3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J19" i="39"/>
  <c r="H19" i="39"/>
  <c r="L14" i="39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0" i="40"/>
  <c r="Q112" i="40" s="1"/>
  <c r="P110" i="40"/>
  <c r="P112" i="40" s="1"/>
  <c r="O110" i="40"/>
  <c r="O112" i="40" s="1"/>
  <c r="N110" i="40"/>
  <c r="N112" i="40" s="1"/>
  <c r="M110" i="40"/>
  <c r="M111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1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1" i="33" s="1"/>
  <c r="H110" i="33"/>
  <c r="H112" i="33" s="1"/>
  <c r="G110" i="33"/>
  <c r="G111" i="33" s="1"/>
  <c r="F110" i="33"/>
  <c r="F111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N112" i="32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2" i="32" s="1"/>
  <c r="K110" i="32"/>
  <c r="K112" i="32" s="1"/>
  <c r="J110" i="32"/>
  <c r="J111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1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I112" i="30"/>
  <c r="B112" i="30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1" i="30" s="1"/>
  <c r="K110" i="30"/>
  <c r="K112" i="30" s="1"/>
  <c r="J110" i="30"/>
  <c r="J111" i="30" s="1"/>
  <c r="I110" i="30"/>
  <c r="I111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1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1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P112" i="27"/>
  <c r="O112" i="27"/>
  <c r="E111" i="27"/>
  <c r="Q110" i="27"/>
  <c r="Q112" i="27" s="1"/>
  <c r="P110" i="27"/>
  <c r="P111" i="27" s="1"/>
  <c r="O110" i="27"/>
  <c r="O111" i="27" s="1"/>
  <c r="N110" i="27"/>
  <c r="N112" i="27" s="1"/>
  <c r="M110" i="27"/>
  <c r="M111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1" i="27" s="1"/>
  <c r="B110" i="27"/>
  <c r="B111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D111" i="26"/>
  <c r="Q110" i="26"/>
  <c r="Q112" i="26" s="1"/>
  <c r="P110" i="26"/>
  <c r="P111" i="26" s="1"/>
  <c r="O110" i="26"/>
  <c r="O112" i="26" s="1"/>
  <c r="N110" i="26"/>
  <c r="N111" i="26" s="1"/>
  <c r="M110" i="26"/>
  <c r="M111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1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2" i="25"/>
  <c r="N112" i="25"/>
  <c r="Q110" i="25"/>
  <c r="Q111" i="25" s="1"/>
  <c r="P110" i="25"/>
  <c r="P112" i="25" s="1"/>
  <c r="O110" i="25"/>
  <c r="O111" i="25" s="1"/>
  <c r="N110" i="25"/>
  <c r="N111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1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O112" i="24"/>
  <c r="Q110" i="24"/>
  <c r="Q112" i="24" s="1"/>
  <c r="P110" i="24"/>
  <c r="P111" i="24" s="1"/>
  <c r="O110" i="24"/>
  <c r="O111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1" i="24" s="1"/>
  <c r="E110" i="24"/>
  <c r="E112" i="24" s="1"/>
  <c r="D112" i="24"/>
  <c r="C111" i="24"/>
  <c r="B111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D112" i="23"/>
  <c r="C112" i="23"/>
  <c r="C111" i="23"/>
  <c r="Q110" i="23"/>
  <c r="Q112" i="23" s="1"/>
  <c r="P110" i="23"/>
  <c r="P111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1" i="23" s="1"/>
  <c r="H110" i="23"/>
  <c r="H112" i="23" s="1"/>
  <c r="G110" i="23"/>
  <c r="G111" i="23" s="1"/>
  <c r="F110" i="23"/>
  <c r="F111" i="23" s="1"/>
  <c r="E110" i="23"/>
  <c r="E112" i="23" s="1"/>
  <c r="D110" i="23"/>
  <c r="D111" i="23" s="1"/>
  <c r="C110" i="23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B112" i="22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1" i="22" s="1"/>
  <c r="I110" i="22"/>
  <c r="I112" i="22" s="1"/>
  <c r="H110" i="22"/>
  <c r="H111" i="22" s="1"/>
  <c r="G110" i="22"/>
  <c r="G112" i="22" s="1"/>
  <c r="F110" i="22"/>
  <c r="F112" i="22" s="1"/>
  <c r="E110" i="22"/>
  <c r="E112" i="22" s="1"/>
  <c r="D110" i="22"/>
  <c r="D111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B112" i="2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1" i="21" s="1"/>
  <c r="J110" i="21"/>
  <c r="J112" i="21" s="1"/>
  <c r="I110" i="21"/>
  <c r="I111" i="21" s="1"/>
  <c r="H110" i="21"/>
  <c r="H112" i="21" s="1"/>
  <c r="G110" i="21"/>
  <c r="G112" i="21" s="1"/>
  <c r="F110" i="21"/>
  <c r="F111" i="21" s="1"/>
  <c r="E110" i="21"/>
  <c r="E111" i="21" s="1"/>
  <c r="D110" i="21"/>
  <c r="D112" i="21" s="1"/>
  <c r="C110" i="21"/>
  <c r="C111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1" i="20" s="1"/>
  <c r="O110" i="20"/>
  <c r="O112" i="20" s="1"/>
  <c r="N110" i="20"/>
  <c r="N112" i="20" s="1"/>
  <c r="M110" i="20"/>
  <c r="M112" i="20" s="1"/>
  <c r="L110" i="20"/>
  <c r="L111" i="20" s="1"/>
  <c r="K110" i="20"/>
  <c r="K112" i="20" s="1"/>
  <c r="J110" i="20"/>
  <c r="J111" i="20" s="1"/>
  <c r="I110" i="20"/>
  <c r="I112" i="20" s="1"/>
  <c r="H110" i="20"/>
  <c r="H112" i="20" s="1"/>
  <c r="G110" i="20"/>
  <c r="G111" i="20" s="1"/>
  <c r="F110" i="20"/>
  <c r="F111" i="20" s="1"/>
  <c r="E110" i="20"/>
  <c r="E112" i="20" s="1"/>
  <c r="D110" i="20"/>
  <c r="D112" i="20" s="1"/>
  <c r="C110" i="20"/>
  <c r="C111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G112" i="19"/>
  <c r="Q110" i="19"/>
  <c r="Q111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1" i="19" s="1"/>
  <c r="J110" i="19"/>
  <c r="J112" i="19" s="1"/>
  <c r="I110" i="19"/>
  <c r="I112" i="19" s="1"/>
  <c r="H110" i="19"/>
  <c r="H111" i="19" s="1"/>
  <c r="G110" i="19"/>
  <c r="G111" i="19" s="1"/>
  <c r="F110" i="19"/>
  <c r="F112" i="19" s="1"/>
  <c r="E110" i="19"/>
  <c r="E111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1" i="18" s="1"/>
  <c r="K110" i="18"/>
  <c r="K111" i="18" s="1"/>
  <c r="J110" i="18"/>
  <c r="J112" i="18" s="1"/>
  <c r="I110" i="18"/>
  <c r="I111" i="18" s="1"/>
  <c r="H110" i="18"/>
  <c r="H111" i="18" s="1"/>
  <c r="G110" i="18"/>
  <c r="G112" i="18" s="1"/>
  <c r="F110" i="18"/>
  <c r="F111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F112" i="17"/>
  <c r="C111" i="17"/>
  <c r="Q110" i="17"/>
  <c r="Q112" i="17" s="1"/>
  <c r="P110" i="17"/>
  <c r="P112" i="17" s="1"/>
  <c r="O110" i="17"/>
  <c r="O112" i="17" s="1"/>
  <c r="N110" i="17"/>
  <c r="N112" i="17" s="1"/>
  <c r="M110" i="17"/>
  <c r="M111" i="17" s="1"/>
  <c r="L110" i="17"/>
  <c r="L111" i="17" s="1"/>
  <c r="K110" i="17"/>
  <c r="K112" i="17" s="1"/>
  <c r="J110" i="17"/>
  <c r="J111" i="17" s="1"/>
  <c r="I110" i="17"/>
  <c r="I112" i="17" s="1"/>
  <c r="H110" i="17"/>
  <c r="H112" i="17" s="1"/>
  <c r="G110" i="17"/>
  <c r="G112" i="17" s="1"/>
  <c r="F110" i="17"/>
  <c r="F111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1" i="16" s="1"/>
  <c r="L110" i="16"/>
  <c r="L112" i="16" s="1"/>
  <c r="K110" i="16"/>
  <c r="K112" i="16" s="1"/>
  <c r="J110" i="16"/>
  <c r="J112" i="16" s="1"/>
  <c r="I110" i="16"/>
  <c r="I112" i="16" s="1"/>
  <c r="H110" i="16"/>
  <c r="H111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I108" i="16"/>
  <c r="I19" i="39" s="1"/>
  <c r="H108" i="16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2" i="15"/>
  <c r="L112" i="15"/>
  <c r="H112" i="15"/>
  <c r="Q110" i="15"/>
  <c r="Q111" i="15" s="1"/>
  <c r="P110" i="15"/>
  <c r="P111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J110" i="15"/>
  <c r="J112" i="15" s="1"/>
  <c r="I110" i="15"/>
  <c r="I111" i="15" s="1"/>
  <c r="H110" i="15"/>
  <c r="H111" i="15" s="1"/>
  <c r="G110" i="15"/>
  <c r="G112" i="15" s="1"/>
  <c r="F110" i="15"/>
  <c r="F111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1" i="14" s="1"/>
  <c r="P110" i="14"/>
  <c r="P111" i="14" s="1"/>
  <c r="O110" i="14"/>
  <c r="O111" i="14" s="1"/>
  <c r="N110" i="14"/>
  <c r="N112" i="14" s="1"/>
  <c r="M110" i="14"/>
  <c r="M111" i="14" s="1"/>
  <c r="L110" i="14"/>
  <c r="L112" i="14" s="1"/>
  <c r="K110" i="14"/>
  <c r="K112" i="14" s="1"/>
  <c r="J110" i="14"/>
  <c r="J112" i="14" s="1"/>
  <c r="I110" i="14"/>
  <c r="I111" i="14" s="1"/>
  <c r="H110" i="14"/>
  <c r="H112" i="14" s="1"/>
  <c r="G110" i="14"/>
  <c r="G111" i="14" s="1"/>
  <c r="F110" i="14"/>
  <c r="F111" i="14" s="1"/>
  <c r="E110" i="14"/>
  <c r="E111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1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1" i="11" s="1"/>
  <c r="M110" i="11"/>
  <c r="M111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1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2" i="10"/>
  <c r="G112" i="10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1" i="9" s="1"/>
  <c r="O110" i="9"/>
  <c r="O111" i="9" s="1"/>
  <c r="N110" i="9"/>
  <c r="N112" i="9" s="1"/>
  <c r="M110" i="9"/>
  <c r="M112" i="9" s="1"/>
  <c r="L110" i="9"/>
  <c r="L112" i="9" s="1"/>
  <c r="K110" i="9"/>
  <c r="K111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1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1" i="3" s="1"/>
  <c r="P110" i="3"/>
  <c r="P112" i="3" s="1"/>
  <c r="O110" i="3"/>
  <c r="O112" i="3" s="1"/>
  <c r="N110" i="3"/>
  <c r="N111" i="3" s="1"/>
  <c r="M110" i="3"/>
  <c r="M111" i="3" s="1"/>
  <c r="L110" i="3"/>
  <c r="L112" i="3" s="1"/>
  <c r="K110" i="3"/>
  <c r="K112" i="3" s="1"/>
  <c r="J110" i="3"/>
  <c r="J112" i="3" s="1"/>
  <c r="I112" i="3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1" i="3" s="1"/>
  <c r="B110" i="3"/>
  <c r="B111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1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1" i="2" s="1"/>
  <c r="B110" i="2"/>
  <c r="B111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C41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D111" i="41" l="1"/>
  <c r="M112" i="40"/>
  <c r="E111" i="40"/>
  <c r="G111" i="40"/>
  <c r="F111" i="44"/>
  <c r="N111" i="44"/>
  <c r="O111" i="33"/>
  <c r="J112" i="32"/>
  <c r="H111" i="32"/>
  <c r="H111" i="31"/>
  <c r="Q111" i="31"/>
  <c r="I112" i="31"/>
  <c r="L112" i="30"/>
  <c r="P111" i="30"/>
  <c r="C111" i="29"/>
  <c r="M111" i="29"/>
  <c r="L111" i="28"/>
  <c r="Q111" i="28"/>
  <c r="K112" i="28"/>
  <c r="B112" i="27"/>
  <c r="C112" i="27"/>
  <c r="Q111" i="26"/>
  <c r="C112" i="26"/>
  <c r="N112" i="26"/>
  <c r="G112" i="25"/>
  <c r="E111" i="25"/>
  <c r="B112" i="24"/>
  <c r="E111" i="24"/>
  <c r="H111" i="24"/>
  <c r="C112" i="24"/>
  <c r="Q111" i="23"/>
  <c r="G112" i="23"/>
  <c r="E111" i="22"/>
  <c r="G111" i="22"/>
  <c r="Q111" i="22"/>
  <c r="J112" i="22"/>
  <c r="O111" i="21"/>
  <c r="K112" i="21"/>
  <c r="F112" i="21"/>
  <c r="H111" i="21"/>
  <c r="D111" i="20"/>
  <c r="I111" i="20"/>
  <c r="C112" i="20"/>
  <c r="L112" i="20"/>
  <c r="J111" i="19"/>
  <c r="M111" i="19"/>
  <c r="E112" i="19"/>
  <c r="H112" i="18"/>
  <c r="N111" i="18"/>
  <c r="F112" i="18"/>
  <c r="D111" i="17"/>
  <c r="I111" i="17"/>
  <c r="O111" i="17"/>
  <c r="J112" i="17"/>
  <c r="L112" i="17"/>
  <c r="M112" i="16"/>
  <c r="D111" i="16"/>
  <c r="E111" i="16"/>
  <c r="I111" i="16"/>
  <c r="J111" i="16"/>
  <c r="K111" i="16"/>
  <c r="N111" i="16"/>
  <c r="H112" i="16"/>
  <c r="F112" i="15"/>
  <c r="E111" i="15"/>
  <c r="J111" i="15"/>
  <c r="K111" i="15"/>
  <c r="O111" i="15"/>
  <c r="E112" i="14"/>
  <c r="I112" i="14"/>
  <c r="M112" i="14"/>
  <c r="O112" i="14"/>
  <c r="D45" i="39"/>
  <c r="D44" i="39"/>
  <c r="D43" i="39"/>
  <c r="D42" i="39"/>
  <c r="D41" i="39"/>
  <c r="F45" i="39"/>
  <c r="B45" i="39"/>
  <c r="B44" i="39"/>
  <c r="B43" i="39"/>
  <c r="B42" i="39"/>
  <c r="B41" i="39"/>
  <c r="M112" i="26"/>
  <c r="M112" i="27"/>
  <c r="F41" i="39"/>
  <c r="B112" i="2"/>
  <c r="O112" i="10"/>
  <c r="F112" i="33"/>
  <c r="C42" i="39"/>
  <c r="C112" i="3"/>
  <c r="B111" i="8"/>
  <c r="Q111" i="9"/>
  <c r="P111" i="10"/>
  <c r="O111" i="11"/>
  <c r="N111" i="12"/>
  <c r="M111" i="13"/>
  <c r="L111" i="14"/>
  <c r="P112" i="14"/>
  <c r="I112" i="18"/>
  <c r="H112" i="19"/>
  <c r="F112" i="20"/>
  <c r="C112" i="21"/>
  <c r="D112" i="22"/>
  <c r="F112" i="23"/>
  <c r="F112" i="24"/>
  <c r="P112" i="26"/>
  <c r="J111" i="29"/>
  <c r="G111" i="32"/>
  <c r="G112" i="33"/>
  <c r="F42" i="39"/>
  <c r="P111" i="8"/>
  <c r="Q111" i="8"/>
  <c r="D111" i="2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Q112" i="14"/>
  <c r="I112" i="15"/>
  <c r="M112" i="17"/>
  <c r="K112" i="18"/>
  <c r="G112" i="20"/>
  <c r="E112" i="21"/>
  <c r="O112" i="25"/>
  <c r="K111" i="29"/>
  <c r="J112" i="30"/>
  <c r="I112" i="33"/>
  <c r="D112" i="40"/>
  <c r="C43" i="39"/>
  <c r="C112" i="2"/>
  <c r="P112" i="9"/>
  <c r="F111" i="2"/>
  <c r="E111" i="3"/>
  <c r="D111" i="8"/>
  <c r="C111" i="9"/>
  <c r="B111" i="10"/>
  <c r="Q111" i="11"/>
  <c r="P111" i="12"/>
  <c r="O111" i="13"/>
  <c r="N111" i="14"/>
  <c r="G111" i="17"/>
  <c r="L112" i="18"/>
  <c r="K112" i="19"/>
  <c r="I112" i="23"/>
  <c r="B111" i="28"/>
  <c r="F43" i="39"/>
  <c r="B112" i="3"/>
  <c r="G45" i="39"/>
  <c r="G44" i="39"/>
  <c r="G43" i="39"/>
  <c r="G42" i="39"/>
  <c r="G41" i="39"/>
  <c r="G111" i="2"/>
  <c r="F111" i="3"/>
  <c r="E111" i="8"/>
  <c r="D111" i="9"/>
  <c r="C111" i="10"/>
  <c r="B111" i="11"/>
  <c r="Q111" i="12"/>
  <c r="P111" i="13"/>
  <c r="P111" i="16"/>
  <c r="H111" i="17"/>
  <c r="J112" i="20"/>
  <c r="H112" i="22"/>
  <c r="P112" i="23"/>
  <c r="P112" i="24"/>
  <c r="D111" i="28"/>
  <c r="Q111" i="29"/>
  <c r="C44" i="39"/>
  <c r="K112" i="13"/>
  <c r="H45" i="39"/>
  <c r="H44" i="39"/>
  <c r="H43" i="39"/>
  <c r="H42" i="39"/>
  <c r="H41" i="39"/>
  <c r="H111" i="2"/>
  <c r="G111" i="3"/>
  <c r="F111" i="8"/>
  <c r="E111" i="9"/>
  <c r="D111" i="10"/>
  <c r="C111" i="11"/>
  <c r="B111" i="12"/>
  <c r="Q111" i="13"/>
  <c r="B111" i="18"/>
  <c r="Q112" i="19"/>
  <c r="I112" i="21"/>
  <c r="P111" i="32"/>
  <c r="E111" i="44"/>
  <c r="F44" i="39"/>
  <c r="N111" i="10"/>
  <c r="I111" i="2"/>
  <c r="H111" i="3"/>
  <c r="G111" i="8"/>
  <c r="F111" i="9"/>
  <c r="E111" i="10"/>
  <c r="D111" i="11"/>
  <c r="C111" i="12"/>
  <c r="B111" i="13"/>
  <c r="N112" i="15"/>
  <c r="E111" i="18"/>
  <c r="D111" i="19"/>
  <c r="P112" i="20"/>
  <c r="B111" i="25"/>
  <c r="C45" i="39"/>
  <c r="I45" i="39"/>
  <c r="I44" i="39"/>
  <c r="I43" i="39"/>
  <c r="I42" i="39"/>
  <c r="I41" i="39"/>
  <c r="J45" i="39"/>
  <c r="J44" i="39"/>
  <c r="J43" i="39"/>
  <c r="J42" i="39"/>
  <c r="J41" i="39"/>
  <c r="J111" i="2"/>
  <c r="I111" i="3"/>
  <c r="H111" i="8"/>
  <c r="G111" i="9"/>
  <c r="F111" i="10"/>
  <c r="E111" i="11"/>
  <c r="D111" i="12"/>
  <c r="C111" i="13"/>
  <c r="B111" i="14"/>
  <c r="G112" i="16"/>
  <c r="D111" i="25"/>
  <c r="F111" i="26"/>
  <c r="L111" i="27"/>
  <c r="N111" i="28"/>
  <c r="H111" i="44"/>
  <c r="C111" i="41"/>
  <c r="N112" i="11"/>
  <c r="K45" i="39"/>
  <c r="K44" i="39"/>
  <c r="K43" i="39"/>
  <c r="K42" i="39"/>
  <c r="K41" i="39"/>
  <c r="J111" i="3"/>
  <c r="H111" i="9"/>
  <c r="G111" i="10"/>
  <c r="F111" i="11"/>
  <c r="E111" i="12"/>
  <c r="D111" i="13"/>
  <c r="C111" i="14"/>
  <c r="K111" i="31"/>
  <c r="Q112" i="3"/>
  <c r="L111" i="12"/>
  <c r="K111" i="2"/>
  <c r="I112" i="8"/>
  <c r="L111" i="2"/>
  <c r="K111" i="3"/>
  <c r="J111" i="8"/>
  <c r="I111" i="9"/>
  <c r="H111" i="10"/>
  <c r="G111" i="11"/>
  <c r="F111" i="12"/>
  <c r="E111" i="13"/>
  <c r="D111" i="14"/>
  <c r="F112" i="14"/>
  <c r="Q112" i="15"/>
  <c r="O111" i="31"/>
  <c r="F111" i="41"/>
  <c r="O112" i="9"/>
  <c r="M111" i="12"/>
  <c r="L111" i="13"/>
  <c r="Q45" i="39"/>
  <c r="Q44" i="39"/>
  <c r="Q43" i="39"/>
  <c r="Q42" i="39"/>
  <c r="Q41" i="39"/>
  <c r="L45" i="39"/>
  <c r="L44" i="39"/>
  <c r="L43" i="39"/>
  <c r="L42" i="39"/>
  <c r="L41" i="39"/>
  <c r="M45" i="39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G112" i="14"/>
  <c r="N112" i="2"/>
  <c r="M112" i="3"/>
  <c r="K112" i="9"/>
  <c r="J111" i="10"/>
  <c r="I111" i="11"/>
  <c r="H111" i="12"/>
  <c r="G111" i="13"/>
  <c r="M112" i="11"/>
  <c r="J111" i="14"/>
  <c r="K111" i="14"/>
  <c r="N45" i="39"/>
  <c r="N44" i="39"/>
  <c r="N43" i="39"/>
  <c r="N42" i="39"/>
  <c r="N41" i="39"/>
  <c r="L111" i="8"/>
  <c r="O45" i="39"/>
  <c r="O44" i="39"/>
  <c r="O43" i="39"/>
  <c r="O42" i="39"/>
  <c r="O41" i="39"/>
  <c r="L111" i="9"/>
  <c r="K111" i="10"/>
  <c r="J111" i="11"/>
  <c r="I111" i="12"/>
  <c r="H111" i="13"/>
  <c r="D44" i="5"/>
  <c r="N112" i="3"/>
  <c r="M111" i="8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O111" i="2"/>
  <c r="Q111" i="2"/>
  <c r="P111" i="3"/>
  <c r="O111" i="8"/>
  <c r="N111" i="9"/>
  <c r="M111" i="10"/>
  <c r="L111" i="11"/>
  <c r="K111" i="12"/>
  <c r="J111" i="13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P111" i="29"/>
  <c r="O111" i="30"/>
  <c r="N111" i="31"/>
  <c r="M111" i="32"/>
  <c r="L111" i="33"/>
  <c r="K111" i="44"/>
  <c r="J111" i="40"/>
  <c r="I111" i="41"/>
  <c r="M111" i="33"/>
  <c r="L111" i="44"/>
  <c r="K111" i="40"/>
  <c r="J111" i="41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L111" i="41"/>
  <c r="B111" i="15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Q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O111" i="28"/>
  <c r="N111" i="29"/>
  <c r="M111" i="30"/>
  <c r="L111" i="31"/>
  <c r="K111" i="32"/>
  <c r="J111" i="33"/>
  <c r="I111" i="44"/>
  <c r="H111" i="40"/>
  <c r="G111" i="41"/>
  <c r="P47" i="39" l="1"/>
  <c r="P46" i="39"/>
  <c r="C47" i="39"/>
  <c r="C46" i="39"/>
  <c r="N47" i="39"/>
  <c r="N46" i="39"/>
  <c r="H47" i="39"/>
  <c r="H46" i="39"/>
  <c r="Q47" i="39"/>
  <c r="Q46" i="39"/>
  <c r="K47" i="39"/>
  <c r="K46" i="39"/>
  <c r="E47" i="39"/>
  <c r="E46" i="39"/>
  <c r="B47" i="39"/>
  <c r="B46" i="39"/>
  <c r="G47" i="39"/>
  <c r="G46" i="39"/>
  <c r="F47" i="39"/>
  <c r="F46" i="39"/>
  <c r="M47" i="39"/>
  <c r="M46" i="39"/>
  <c r="J47" i="39"/>
  <c r="J46" i="39"/>
  <c r="I47" i="39"/>
  <c r="I46" i="39"/>
  <c r="O47" i="39"/>
  <c r="O46" i="39"/>
  <c r="L47" i="39"/>
  <c r="L46" i="39"/>
  <c r="D47" i="39"/>
  <c r="D46" i="39"/>
</calcChain>
</file>

<file path=xl/sharedStrings.xml><?xml version="1.0" encoding="utf-8"?>
<sst xmlns="http://schemas.openxmlformats.org/spreadsheetml/2006/main" count="5914" uniqueCount="3216">
  <si>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</si>
  <si>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</si>
  <si>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</si>
  <si>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</si>
  <si>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</si>
  <si>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</si>
  <si>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</si>
  <si>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</si>
  <si>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</si>
  <si>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</si>
  <si>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</si>
  <si>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</si>
  <si>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</si>
  <si>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</si>
  <si>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</si>
  <si>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</si>
  <si>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</si>
  <si>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</si>
  <si>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</si>
  <si>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</si>
  <si>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</si>
  <si>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</si>
  <si>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</si>
  <si>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</si>
  <si>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</si>
  <si>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</si>
  <si>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</si>
  <si>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</si>
  <si>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</si>
  <si>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</si>
  <si>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</si>
  <si>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</si>
  <si>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</si>
  <si>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</si>
  <si>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</si>
  <si>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</si>
  <si>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</si>
  <si>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</si>
  <si>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</si>
  <si>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</si>
  <si>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</si>
  <si>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</si>
  <si>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</si>
  <si>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</si>
  <si>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</si>
  <si>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</si>
  <si>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</si>
  <si>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</si>
  <si>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</si>
  <si>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</si>
  <si>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</si>
  <si>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</si>
  <si>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</si>
  <si>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</si>
  <si>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</si>
  <si>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</si>
  <si>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</si>
  <si>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</si>
  <si>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</si>
  <si>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</si>
  <si>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</si>
  <si>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</si>
  <si>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</si>
  <si>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</si>
  <si>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</si>
  <si>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</si>
  <si>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</si>
  <si>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</si>
  <si>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</si>
  <si>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</si>
  <si>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</si>
  <si>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</si>
  <si>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</si>
  <si>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</si>
  <si>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</si>
  <si>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</si>
  <si>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</si>
  <si>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</si>
  <si>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</si>
  <si>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</si>
  <si>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</si>
  <si>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</si>
  <si>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</si>
  <si>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</si>
  <si>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</si>
  <si>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</si>
  <si>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</si>
  <si>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</si>
  <si>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</si>
  <si>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</si>
  <si>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</si>
  <si>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</si>
  <si>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</si>
  <si>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</si>
  <si>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</si>
  <si>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</si>
  <si>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</si>
  <si>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</si>
  <si>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</si>
  <si>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</si>
  <si>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</si>
  <si>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</si>
  <si>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</si>
  <si>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</si>
  <si>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</si>
  <si>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</si>
  <si>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</si>
  <si>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</si>
  <si>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</si>
  <si>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</si>
  <si>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</si>
  <si>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</si>
  <si>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</si>
  <si>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</si>
  <si>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</si>
  <si>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</si>
  <si>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</si>
  <si>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</si>
  <si>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</si>
  <si>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</si>
  <si>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</si>
  <si>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</si>
  <si>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</si>
  <si>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</si>
  <si>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</si>
  <si>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</si>
  <si>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</si>
  <si>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</si>
  <si>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</si>
  <si>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</si>
  <si>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</si>
  <si>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</si>
  <si>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</si>
  <si>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</si>
  <si>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</si>
  <si>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</si>
  <si>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</si>
  <si>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</si>
  <si>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</si>
  <si>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</si>
  <si>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</si>
  <si>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</si>
  <si>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</si>
  <si>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</si>
  <si>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</si>
  <si>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</si>
  <si>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</si>
  <si>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</si>
  <si>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</si>
  <si>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</si>
  <si>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</si>
  <si>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</si>
  <si>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</si>
  <si>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</si>
  <si>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</si>
  <si>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</si>
  <si>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</si>
  <si>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</si>
  <si>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</si>
  <si>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</si>
  <si>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</si>
  <si>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</si>
  <si>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</si>
  <si>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</si>
  <si>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</si>
  <si>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</si>
  <si>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</si>
  <si>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</si>
  <si>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</si>
  <si>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</si>
  <si>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</si>
  <si>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</si>
  <si>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</si>
  <si>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</si>
  <si>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</si>
  <si>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</si>
  <si>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</si>
  <si>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</si>
  <si>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</si>
  <si>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</si>
  <si>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</si>
  <si>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</si>
  <si>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</si>
  <si>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</si>
  <si>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</si>
  <si>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</si>
  <si>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</si>
  <si>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</si>
  <si>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</si>
  <si>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</si>
  <si>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</si>
  <si>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</si>
  <si>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</si>
  <si>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</si>
  <si>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</si>
  <si>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</si>
  <si>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</si>
  <si>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</si>
  <si>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</si>
  <si>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</si>
  <si>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</si>
  <si>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</si>
  <si>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</si>
  <si>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</si>
  <si>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</si>
  <si>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</si>
  <si>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</si>
  <si>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</si>
  <si>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</si>
  <si>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</si>
  <si>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</si>
  <si>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</si>
  <si>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</si>
  <si>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</si>
  <si>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</si>
  <si>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</si>
  <si>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</si>
  <si>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</si>
  <si>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</si>
  <si>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</si>
  <si>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</si>
  <si>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</si>
  <si>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</si>
  <si>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</si>
  <si>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</si>
  <si>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</si>
  <si>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</si>
  <si>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</si>
  <si>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</si>
  <si>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</si>
  <si>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</si>
  <si>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</si>
  <si>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</si>
  <si>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</si>
  <si>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</si>
  <si>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</si>
  <si>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</si>
  <si>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</si>
  <si>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</si>
  <si>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ANIMESH</t>
  </si>
  <si>
    <t>01/05/2025 00:15</t>
  </si>
  <si>
    <t>01/05/2025 00:30</t>
  </si>
  <si>
    <t>01/05/2025 00:45</t>
  </si>
  <si>
    <t>01/05/2025 01:00</t>
  </si>
  <si>
    <t>01/05/2025 01:15</t>
  </si>
  <si>
    <t>01/05/2025 01:30</t>
  </si>
  <si>
    <t>01/05/2025 01:45</t>
  </si>
  <si>
    <t>01/05/2025 02:00</t>
  </si>
  <si>
    <t>01/05/2025 02:15</t>
  </si>
  <si>
    <t>01/05/2025 02:30</t>
  </si>
  <si>
    <t>01/05/2025 02:45</t>
  </si>
  <si>
    <t>01/05/2025 03:00</t>
  </si>
  <si>
    <t>01/05/2025 03:15</t>
  </si>
  <si>
    <t>01/05/2025 03:30</t>
  </si>
  <si>
    <t>01/05/2025 03:45</t>
  </si>
  <si>
    <t>01/05/2025 04:00</t>
  </si>
  <si>
    <t>01/05/2025 04:15</t>
  </si>
  <si>
    <t>01/05/2025 04:30</t>
  </si>
  <si>
    <t>01/05/2025 04:45</t>
  </si>
  <si>
    <t>01/05/2025 05:00</t>
  </si>
  <si>
    <t>01/05/2025 05:15</t>
  </si>
  <si>
    <t>01/05/2025 05:30</t>
  </si>
  <si>
    <t>01/05/2025 05:45</t>
  </si>
  <si>
    <t>01/05/2025 06:00</t>
  </si>
  <si>
    <t>01/05/2025 06:15</t>
  </si>
  <si>
    <t>01/05/2025 06:30</t>
  </si>
  <si>
    <t>01/05/2025 06:45</t>
  </si>
  <si>
    <t>01/05/2025 07:00</t>
  </si>
  <si>
    <t>01/05/2025 07:15</t>
  </si>
  <si>
    <t>01/05/2025 07:30</t>
  </si>
  <si>
    <t>01/05/2025 07:45</t>
  </si>
  <si>
    <t>01/05/2025 08:00</t>
  </si>
  <si>
    <t>01/05/2025 08:15</t>
  </si>
  <si>
    <t>01/05/2025 08:30</t>
  </si>
  <si>
    <t>01/05/2025 08:45</t>
  </si>
  <si>
    <t>01/05/2025 09:00</t>
  </si>
  <si>
    <t>01/05/2025 09:15</t>
  </si>
  <si>
    <t>01/05/2025 09:30</t>
  </si>
  <si>
    <t>01/05/2025 09:45</t>
  </si>
  <si>
    <t>01/05/2025 10:00</t>
  </si>
  <si>
    <t>01/05/2025 10:15</t>
  </si>
  <si>
    <t>01/05/2025 10:30</t>
  </si>
  <si>
    <t>01/05/2025 10:45</t>
  </si>
  <si>
    <t>01/05/2025 11:00</t>
  </si>
  <si>
    <t>01/05/2025 11:15</t>
  </si>
  <si>
    <t>01/05/2025 11:30</t>
  </si>
  <si>
    <t>01/05/2025 11:45</t>
  </si>
  <si>
    <t>01/05/2025 12:00</t>
  </si>
  <si>
    <t>01/05/2025 12:15</t>
  </si>
  <si>
    <t>01/05/2025 12:30</t>
  </si>
  <si>
    <t>01/05/2025 12:45</t>
  </si>
  <si>
    <t>01/05/2025 13:00</t>
  </si>
  <si>
    <t>01/05/2025 13:15</t>
  </si>
  <si>
    <t>01/05/2025 13:30</t>
  </si>
  <si>
    <t>01/05/2025 13:45</t>
  </si>
  <si>
    <t>01/05/2025 14:00</t>
  </si>
  <si>
    <t>01/05/2025 14:15</t>
  </si>
  <si>
    <t>01/05/2025 14:30</t>
  </si>
  <si>
    <t>01/05/2025 14:45</t>
  </si>
  <si>
    <t>01/05/2025 15:00</t>
  </si>
  <si>
    <t>01/05/2025 15:15</t>
  </si>
  <si>
    <t>01/05/2025 15:30</t>
  </si>
  <si>
    <t>01/05/2025 15:45</t>
  </si>
  <si>
    <t>01/05/2025 16:00</t>
  </si>
  <si>
    <t>01/05/2025 16:15</t>
  </si>
  <si>
    <t>01/05/2025 16:30</t>
  </si>
  <si>
    <t>01/05/2025 16:45</t>
  </si>
  <si>
    <t>01/05/2025 17:00</t>
  </si>
  <si>
    <t>01/05/2025 17:15</t>
  </si>
  <si>
    <t>01/05/2025 17:30</t>
  </si>
  <si>
    <t>01/05/2025 17:45</t>
  </si>
  <si>
    <t>01/05/2025 18:00</t>
  </si>
  <si>
    <t>01/05/2025 18:15</t>
  </si>
  <si>
    <t>01/05/2025 18:30</t>
  </si>
  <si>
    <t>01/05/2025 18:45</t>
  </si>
  <si>
    <t>01/05/2025 19:00</t>
  </si>
  <si>
    <t>01/05/2025 19:15</t>
  </si>
  <si>
    <t>01/05/2025 19:30</t>
  </si>
  <si>
    <t>01/05/2025 19:45</t>
  </si>
  <si>
    <t>01/05/2025 20:00</t>
  </si>
  <si>
    <t>01/05/2025 20:15</t>
  </si>
  <si>
    <t>01/05/2025 20:30</t>
  </si>
  <si>
    <t>01/05/2025 20:45</t>
  </si>
  <si>
    <t>01/05/2025 21:00</t>
  </si>
  <si>
    <t>01/05/2025 21:15</t>
  </si>
  <si>
    <t>01/05/2025 21:30</t>
  </si>
  <si>
    <t>01/05/2025 21:45</t>
  </si>
  <si>
    <t>01/05/2025 22:00</t>
  </si>
  <si>
    <t>01/05/2025 22:15</t>
  </si>
  <si>
    <t>01/05/2025 22:30</t>
  </si>
  <si>
    <t>01/05/2025 22:45</t>
  </si>
  <si>
    <t>01/05/2025 23:00</t>
  </si>
  <si>
    <t>01/05/2025 23:15</t>
  </si>
  <si>
    <t>01/05/2025 23:30</t>
  </si>
  <si>
    <t>01/05/2025 23:45</t>
  </si>
  <si>
    <t>01/05/2025 24:00</t>
  </si>
  <si>
    <t>02/05/2025 00:15</t>
  </si>
  <si>
    <t>02/05/2025 00:30</t>
  </si>
  <si>
    <t>02/05/2025 00:45</t>
  </si>
  <si>
    <t>02/05/2025 01:00</t>
  </si>
  <si>
    <t>02/05/2025 01:15</t>
  </si>
  <si>
    <t>02/05/2025 01:30</t>
  </si>
  <si>
    <t>02/05/2025 01:45</t>
  </si>
  <si>
    <t>02/05/2025 02:00</t>
  </si>
  <si>
    <t>02/05/2025 02:15</t>
  </si>
  <si>
    <t>02/05/2025 02:30</t>
  </si>
  <si>
    <t>02/05/2025 02:45</t>
  </si>
  <si>
    <t>02/05/2025 03:00</t>
  </si>
  <si>
    <t>02/05/2025 03:15</t>
  </si>
  <si>
    <t>02/05/2025 03:30</t>
  </si>
  <si>
    <t>02/05/2025 03:45</t>
  </si>
  <si>
    <t>02/05/2025 04:00</t>
  </si>
  <si>
    <t>02/05/2025 04:15</t>
  </si>
  <si>
    <t>02/05/2025 04:30</t>
  </si>
  <si>
    <t>02/05/2025 04:45</t>
  </si>
  <si>
    <t>02/05/2025 05:00</t>
  </si>
  <si>
    <t>02/05/2025 05:15</t>
  </si>
  <si>
    <t>02/05/2025 05:30</t>
  </si>
  <si>
    <t>02/05/2025 05:45</t>
  </si>
  <si>
    <t>02/05/2025 06:00</t>
  </si>
  <si>
    <t>02/05/2025 06:15</t>
  </si>
  <si>
    <t>02/05/2025 06:30</t>
  </si>
  <si>
    <t>02/05/2025 06:45</t>
  </si>
  <si>
    <t>02/05/2025 07:00</t>
  </si>
  <si>
    <t>02/05/2025 07:15</t>
  </si>
  <si>
    <t>02/05/2025 07:30</t>
  </si>
  <si>
    <t>02/05/2025 07:45</t>
  </si>
  <si>
    <t>02/05/2025 08:00</t>
  </si>
  <si>
    <t>02/05/2025 08:15</t>
  </si>
  <si>
    <t>02/05/2025 08:30</t>
  </si>
  <si>
    <t>02/05/2025 08:45</t>
  </si>
  <si>
    <t>02/05/2025 09:00</t>
  </si>
  <si>
    <t>02/05/2025 09:15</t>
  </si>
  <si>
    <t>02/05/2025 09:30</t>
  </si>
  <si>
    <t>02/05/2025 09:45</t>
  </si>
  <si>
    <t>02/05/2025 10:00</t>
  </si>
  <si>
    <t>02/05/2025 10:15</t>
  </si>
  <si>
    <t>02/05/2025 10:30</t>
  </si>
  <si>
    <t>02/05/2025 10:45</t>
  </si>
  <si>
    <t>02/05/2025 11:00</t>
  </si>
  <si>
    <t>02/05/2025 11:15</t>
  </si>
  <si>
    <t>02/05/2025 11:30</t>
  </si>
  <si>
    <t>02/05/2025 11:45</t>
  </si>
  <si>
    <t>02/05/2025 12:00</t>
  </si>
  <si>
    <t>02/05/2025 12:15</t>
  </si>
  <si>
    <t>02/05/2025 12:30</t>
  </si>
  <si>
    <t>02/05/2025 12:45</t>
  </si>
  <si>
    <t>02/05/2025 13:00</t>
  </si>
  <si>
    <t>02/05/2025 13:15</t>
  </si>
  <si>
    <t>02/05/2025 13:30</t>
  </si>
  <si>
    <t>02/05/2025 13:45</t>
  </si>
  <si>
    <t>02/05/2025 14:00</t>
  </si>
  <si>
    <t>02/05/2025 14:15</t>
  </si>
  <si>
    <t>02/05/2025 14:30</t>
  </si>
  <si>
    <t>02/05/2025 14:45</t>
  </si>
  <si>
    <t>02/05/2025 15:00</t>
  </si>
  <si>
    <t>02/05/2025 15:15</t>
  </si>
  <si>
    <t>02/05/2025 15:30</t>
  </si>
  <si>
    <t>02/05/2025 15:45</t>
  </si>
  <si>
    <t>02/05/2025 16:00</t>
  </si>
  <si>
    <t>02/05/2025 16:15</t>
  </si>
  <si>
    <t>02/05/2025 16:30</t>
  </si>
  <si>
    <t>02/05/2025 16:45</t>
  </si>
  <si>
    <t>02/05/2025 17:00</t>
  </si>
  <si>
    <t>02/05/2025 17:15</t>
  </si>
  <si>
    <t>02/05/2025 17:30</t>
  </si>
  <si>
    <t>02/05/2025 17:45</t>
  </si>
  <si>
    <t>02/05/2025 18:00</t>
  </si>
  <si>
    <t>02/05/2025 18:15</t>
  </si>
  <si>
    <t>02/05/2025 18:30</t>
  </si>
  <si>
    <t>02/05/2025 18:45</t>
  </si>
  <si>
    <t>02/05/2025 19:00</t>
  </si>
  <si>
    <t>02/05/2025 19:15</t>
  </si>
  <si>
    <t>02/05/2025 19:30</t>
  </si>
  <si>
    <t>02/05/2025 19:45</t>
  </si>
  <si>
    <t>02/05/2025 20:00</t>
  </si>
  <si>
    <t>02/05/2025 20:15</t>
  </si>
  <si>
    <t>02/05/2025 20:30</t>
  </si>
  <si>
    <t>02/05/2025 20:45</t>
  </si>
  <si>
    <t>02/05/2025 21:00</t>
  </si>
  <si>
    <t>02/05/2025 21:15</t>
  </si>
  <si>
    <t>02/05/2025 21:30</t>
  </si>
  <si>
    <t>02/05/2025 21:45</t>
  </si>
  <si>
    <t>02/05/2025 22:00</t>
  </si>
  <si>
    <t>02/05/2025 22:15</t>
  </si>
  <si>
    <t>02/05/2025 22:30</t>
  </si>
  <si>
    <t>02/05/2025 22:45</t>
  </si>
  <si>
    <t>02/05/2025 23:00</t>
  </si>
  <si>
    <t>02/05/2025 23:15</t>
  </si>
  <si>
    <t>02/05/2025 23:30</t>
  </si>
  <si>
    <t>02/05/2025 23:45</t>
  </si>
  <si>
    <t>02/05/2025 24:00</t>
  </si>
  <si>
    <t>03/05/2025 00:15</t>
  </si>
  <si>
    <t>03/05/2025 00:30</t>
  </si>
  <si>
    <t>03/05/2025 00:45</t>
  </si>
  <si>
    <t>03/05/2025 01:00</t>
  </si>
  <si>
    <t>03/05/2025 01:15</t>
  </si>
  <si>
    <t>03/05/2025 01:30</t>
  </si>
  <si>
    <t>03/05/2025 01:45</t>
  </si>
  <si>
    <t>03/05/2025 02:00</t>
  </si>
  <si>
    <t>03/05/2025 02:15</t>
  </si>
  <si>
    <t>03/05/2025 02:30</t>
  </si>
  <si>
    <t>03/05/2025 02:45</t>
  </si>
  <si>
    <t>03/05/2025 03:00</t>
  </si>
  <si>
    <t>03/05/2025 03:15</t>
  </si>
  <si>
    <t>03/05/2025 03:30</t>
  </si>
  <si>
    <t>03/05/2025 03:45</t>
  </si>
  <si>
    <t>03/05/2025 04:00</t>
  </si>
  <si>
    <t>03/05/2025 04:15</t>
  </si>
  <si>
    <t>03/05/2025 04:30</t>
  </si>
  <si>
    <t>03/05/2025 04:45</t>
  </si>
  <si>
    <t>03/05/2025 05:00</t>
  </si>
  <si>
    <t>03/05/2025 05:15</t>
  </si>
  <si>
    <t>03/05/2025 05:30</t>
  </si>
  <si>
    <t>03/05/2025 05:45</t>
  </si>
  <si>
    <t>03/05/2025 06:00</t>
  </si>
  <si>
    <t>03/05/2025 06:15</t>
  </si>
  <si>
    <t>03/05/2025 06:30</t>
  </si>
  <si>
    <t>03/05/2025 06:45</t>
  </si>
  <si>
    <t>03/05/2025 07:00</t>
  </si>
  <si>
    <t>03/05/2025 07:15</t>
  </si>
  <si>
    <t>03/05/2025 07:30</t>
  </si>
  <si>
    <t>03/05/2025 07:45</t>
  </si>
  <si>
    <t>03/05/2025 08:00</t>
  </si>
  <si>
    <t>03/05/2025 08:15</t>
  </si>
  <si>
    <t>03/05/2025 08:30</t>
  </si>
  <si>
    <t>03/05/2025 08:45</t>
  </si>
  <si>
    <t>03/05/2025 09:00</t>
  </si>
  <si>
    <t>03/05/2025 09:15</t>
  </si>
  <si>
    <t>03/05/2025 09:30</t>
  </si>
  <si>
    <t>03/05/2025 09:45</t>
  </si>
  <si>
    <t>03/05/2025 10:00</t>
  </si>
  <si>
    <t>03/05/2025 10:15</t>
  </si>
  <si>
    <t>03/05/2025 10:30</t>
  </si>
  <si>
    <t>03/05/2025 10:45</t>
  </si>
  <si>
    <t>03/05/2025 11:00</t>
  </si>
  <si>
    <t>03/05/2025 11:15</t>
  </si>
  <si>
    <t>03/05/2025 11:30</t>
  </si>
  <si>
    <t>03/05/2025 11:45</t>
  </si>
  <si>
    <t>03/05/2025 12:00</t>
  </si>
  <si>
    <t>03/05/2025 12:15</t>
  </si>
  <si>
    <t>03/05/2025 12:30</t>
  </si>
  <si>
    <t>03/05/2025 12:45</t>
  </si>
  <si>
    <t>03/05/2025 13:00</t>
  </si>
  <si>
    <t>03/05/2025 13:15</t>
  </si>
  <si>
    <t>03/05/2025 13:30</t>
  </si>
  <si>
    <t>03/05/2025 13:45</t>
  </si>
  <si>
    <t>03/05/2025 14:00</t>
  </si>
  <si>
    <t>03/05/2025 14:15</t>
  </si>
  <si>
    <t>03/05/2025 14:30</t>
  </si>
  <si>
    <t>03/05/2025 14:45</t>
  </si>
  <si>
    <t>03/05/2025 15:00</t>
  </si>
  <si>
    <t>03/05/2025 15:15</t>
  </si>
  <si>
    <t>03/05/2025 15:30</t>
  </si>
  <si>
    <t>03/05/2025 15:45</t>
  </si>
  <si>
    <t>03/05/2025 16:00</t>
  </si>
  <si>
    <t>03/05/2025 16:15</t>
  </si>
  <si>
    <t>03/05/2025 16:30</t>
  </si>
  <si>
    <t>03/05/2025 16:45</t>
  </si>
  <si>
    <t>03/05/2025 17:00</t>
  </si>
  <si>
    <t>03/05/2025 17:15</t>
  </si>
  <si>
    <t>03/05/2025 17:30</t>
  </si>
  <si>
    <t>03/05/2025 17:45</t>
  </si>
  <si>
    <t>03/05/2025 18:00</t>
  </si>
  <si>
    <t>03/05/2025 18:15</t>
  </si>
  <si>
    <t>03/05/2025 18:30</t>
  </si>
  <si>
    <t>03/05/2025 18:45</t>
  </si>
  <si>
    <t>03/05/2025 19:00</t>
  </si>
  <si>
    <t>03/05/2025 19:15</t>
  </si>
  <si>
    <t>03/05/2025 19:30</t>
  </si>
  <si>
    <t>03/05/2025 19:45</t>
  </si>
  <si>
    <t>03/05/2025 20:00</t>
  </si>
  <si>
    <t>03/05/2025 20:15</t>
  </si>
  <si>
    <t>03/05/2025 20:30</t>
  </si>
  <si>
    <t>03/05/2025 20:45</t>
  </si>
  <si>
    <t>03/05/2025 21:00</t>
  </si>
  <si>
    <t>03/05/2025 21:15</t>
  </si>
  <si>
    <t>03/05/2025 21:30</t>
  </si>
  <si>
    <t>03/05/2025 21:45</t>
  </si>
  <si>
    <t>03/05/2025 22:00</t>
  </si>
  <si>
    <t>03/05/2025 22:15</t>
  </si>
  <si>
    <t>03/05/2025 22:30</t>
  </si>
  <si>
    <t>03/05/2025 22:45</t>
  </si>
  <si>
    <t>03/05/2025 23:00</t>
  </si>
  <si>
    <t>03/05/2025 23:15</t>
  </si>
  <si>
    <t>03/05/2025 23:30</t>
  </si>
  <si>
    <t>03/05/2025 23:45</t>
  </si>
  <si>
    <t>03/05/2025 24:00</t>
  </si>
  <si>
    <t>04/05/2025 00:15</t>
  </si>
  <si>
    <t>04/05/2025 00:30</t>
  </si>
  <si>
    <t>04/05/2025 00:45</t>
  </si>
  <si>
    <t>04/05/2025 01:00</t>
  </si>
  <si>
    <t>04/05/2025 01:15</t>
  </si>
  <si>
    <t>04/05/2025 01:30</t>
  </si>
  <si>
    <t>04/05/2025 01:45</t>
  </si>
  <si>
    <t>04/05/2025 02:00</t>
  </si>
  <si>
    <t>04/05/2025 02:15</t>
  </si>
  <si>
    <t>04/05/2025 02:30</t>
  </si>
  <si>
    <t>04/05/2025 02:45</t>
  </si>
  <si>
    <t>04/05/2025 03:00</t>
  </si>
  <si>
    <t>04/05/2025 03:15</t>
  </si>
  <si>
    <t>04/05/2025 03:30</t>
  </si>
  <si>
    <t>04/05/2025 03:45</t>
  </si>
  <si>
    <t>04/05/2025 04:00</t>
  </si>
  <si>
    <t>04/05/2025 04:15</t>
  </si>
  <si>
    <t>04/05/2025 04:30</t>
  </si>
  <si>
    <t>04/05/2025 04:45</t>
  </si>
  <si>
    <t>04/05/2025 05:00</t>
  </si>
  <si>
    <t>04/05/2025 05:15</t>
  </si>
  <si>
    <t>04/05/2025 05:30</t>
  </si>
  <si>
    <t>04/05/2025 05:45</t>
  </si>
  <si>
    <t>04/05/2025 06:00</t>
  </si>
  <si>
    <t>04/05/2025 06:15</t>
  </si>
  <si>
    <t>04/05/2025 06:30</t>
  </si>
  <si>
    <t>04/05/2025 06:45</t>
  </si>
  <si>
    <t>04/05/2025 07:00</t>
  </si>
  <si>
    <t>04/05/2025 07:15</t>
  </si>
  <si>
    <t>04/05/2025 07:30</t>
  </si>
  <si>
    <t>04/05/2025 07:45</t>
  </si>
  <si>
    <t>04/05/2025 08:00</t>
  </si>
  <si>
    <t>04/05/2025 08:15</t>
  </si>
  <si>
    <t>04/05/2025 08:30</t>
  </si>
  <si>
    <t>04/05/2025 08:45</t>
  </si>
  <si>
    <t>04/05/2025 09:00</t>
  </si>
  <si>
    <t>04/05/2025 09:15</t>
  </si>
  <si>
    <t>04/05/2025 09:30</t>
  </si>
  <si>
    <t>04/05/2025 09:45</t>
  </si>
  <si>
    <t>04/05/2025 10:00</t>
  </si>
  <si>
    <t>04/05/2025 10:15</t>
  </si>
  <si>
    <t>04/05/2025 10:30</t>
  </si>
  <si>
    <t>04/05/2025 10:45</t>
  </si>
  <si>
    <t>04/05/2025 11:00</t>
  </si>
  <si>
    <t>04/05/2025 11:15</t>
  </si>
  <si>
    <t>04/05/2025 11:30</t>
  </si>
  <si>
    <t>04/05/2025 11:45</t>
  </si>
  <si>
    <t>04/05/2025 12:00</t>
  </si>
  <si>
    <t>04/05/2025 12:15</t>
  </si>
  <si>
    <t>04/05/2025 12:30</t>
  </si>
  <si>
    <t>04/05/2025 12:45</t>
  </si>
  <si>
    <t>04/05/2025 13:00</t>
  </si>
  <si>
    <t>04/05/2025 13:15</t>
  </si>
  <si>
    <t>04/05/2025 13:30</t>
  </si>
  <si>
    <t>04/05/2025 13:45</t>
  </si>
  <si>
    <t>04/05/2025 14:00</t>
  </si>
  <si>
    <t>04/05/2025 14:15</t>
  </si>
  <si>
    <t>04/05/2025 14:30</t>
  </si>
  <si>
    <t>04/05/2025 14:45</t>
  </si>
  <si>
    <t>04/05/2025 15:00</t>
  </si>
  <si>
    <t>04/05/2025 15:15</t>
  </si>
  <si>
    <t>04/05/2025 15:30</t>
  </si>
  <si>
    <t>04/05/2025 15:45</t>
  </si>
  <si>
    <t>04/05/2025 16:00</t>
  </si>
  <si>
    <t>04/05/2025 16:15</t>
  </si>
  <si>
    <t>04/05/2025 16:30</t>
  </si>
  <si>
    <t>04/05/2025 16:45</t>
  </si>
  <si>
    <t>04/05/2025 17:00</t>
  </si>
  <si>
    <t>04/05/2025 17:15</t>
  </si>
  <si>
    <t>04/05/2025 17:30</t>
  </si>
  <si>
    <t>04/05/2025 17:45</t>
  </si>
  <si>
    <t>04/05/2025 18:00</t>
  </si>
  <si>
    <t>04/05/2025 18:15</t>
  </si>
  <si>
    <t>04/05/2025 18:30</t>
  </si>
  <si>
    <t>04/05/2025 18:45</t>
  </si>
  <si>
    <t>04/05/2025 19:00</t>
  </si>
  <si>
    <t>04/05/2025 19:15</t>
  </si>
  <si>
    <t>04/05/2025 19:30</t>
  </si>
  <si>
    <t>04/05/2025 19:45</t>
  </si>
  <si>
    <t>04/05/2025 20:00</t>
  </si>
  <si>
    <t>04/05/2025 20:15</t>
  </si>
  <si>
    <t>04/05/2025 20:30</t>
  </si>
  <si>
    <t>04/05/2025 20:45</t>
  </si>
  <si>
    <t>04/05/2025 21:00</t>
  </si>
  <si>
    <t>04/05/2025 21:15</t>
  </si>
  <si>
    <t>04/05/2025 21:30</t>
  </si>
  <si>
    <t>04/05/2025 21:45</t>
  </si>
  <si>
    <t>04/05/2025 22:00</t>
  </si>
  <si>
    <t>04/05/2025 22:15</t>
  </si>
  <si>
    <t>04/05/2025 22:30</t>
  </si>
  <si>
    <t>04/05/2025 22:45</t>
  </si>
  <si>
    <t>04/05/2025 23:00</t>
  </si>
  <si>
    <t>04/05/2025 23:15</t>
  </si>
  <si>
    <t>04/05/2025 23:30</t>
  </si>
  <si>
    <t>04/05/2025 23:45</t>
  </si>
  <si>
    <t>04/05/2025 24:00</t>
  </si>
  <si>
    <t>05/05/2025 00:15</t>
  </si>
  <si>
    <t>05/05/2025 00:30</t>
  </si>
  <si>
    <t>05/05/2025 00:45</t>
  </si>
  <si>
    <t>05/05/2025 01:00</t>
  </si>
  <si>
    <t>05/05/2025 01:15</t>
  </si>
  <si>
    <t>05/05/2025 01:30</t>
  </si>
  <si>
    <t>05/05/2025 01:45</t>
  </si>
  <si>
    <t>05/05/2025 02:00</t>
  </si>
  <si>
    <t>05/05/2025 02:15</t>
  </si>
  <si>
    <t>05/05/2025 02:30</t>
  </si>
  <si>
    <t>05/05/2025 02:45</t>
  </si>
  <si>
    <t>05/05/2025 03:00</t>
  </si>
  <si>
    <t>05/05/2025 03:15</t>
  </si>
  <si>
    <t>05/05/2025 03:30</t>
  </si>
  <si>
    <t>05/05/2025 03:45</t>
  </si>
  <si>
    <t>05/05/2025 04:00</t>
  </si>
  <si>
    <t>05/05/2025 04:15</t>
  </si>
  <si>
    <t>05/05/2025 04:30</t>
  </si>
  <si>
    <t>05/05/2025 04:45</t>
  </si>
  <si>
    <t>05/05/2025 05:00</t>
  </si>
  <si>
    <t>05/05/2025 05:15</t>
  </si>
  <si>
    <t>05/05/2025 05:30</t>
  </si>
  <si>
    <t>05/05/2025 05:45</t>
  </si>
  <si>
    <t>05/05/2025 06:00</t>
  </si>
  <si>
    <t>05/05/2025 06:15</t>
  </si>
  <si>
    <t>05/05/2025 06:30</t>
  </si>
  <si>
    <t>05/05/2025 06:45</t>
  </si>
  <si>
    <t>05/05/2025 07:00</t>
  </si>
  <si>
    <t>05/05/2025 07:15</t>
  </si>
  <si>
    <t>05/05/2025 07:30</t>
  </si>
  <si>
    <t>05/05/2025 07:45</t>
  </si>
  <si>
    <t>05/05/2025 08:00</t>
  </si>
  <si>
    <t>05/05/2025 08:15</t>
  </si>
  <si>
    <t>05/05/2025 08:30</t>
  </si>
  <si>
    <t>05/05/2025 08:45</t>
  </si>
  <si>
    <t>05/05/2025 09:00</t>
  </si>
  <si>
    <t>05/05/2025 09:15</t>
  </si>
  <si>
    <t>05/05/2025 09:30</t>
  </si>
  <si>
    <t>05/05/2025 09:45</t>
  </si>
  <si>
    <t>05/05/2025 10:00</t>
  </si>
  <si>
    <t>05/05/2025 10:15</t>
  </si>
  <si>
    <t>05/05/2025 10:30</t>
  </si>
  <si>
    <t>05/05/2025 10:45</t>
  </si>
  <si>
    <t>05/05/2025 11:00</t>
  </si>
  <si>
    <t>05/05/2025 11:15</t>
  </si>
  <si>
    <t>05/05/2025 11:30</t>
  </si>
  <si>
    <t>05/05/2025 11:45</t>
  </si>
  <si>
    <t>05/05/2025 12:00</t>
  </si>
  <si>
    <t>05/05/2025 12:15</t>
  </si>
  <si>
    <t>05/05/2025 12:30</t>
  </si>
  <si>
    <t>05/05/2025 12:45</t>
  </si>
  <si>
    <t>05/05/2025 13:00</t>
  </si>
  <si>
    <t>05/05/2025 13:15</t>
  </si>
  <si>
    <t>05/05/2025 13:30</t>
  </si>
  <si>
    <t>05/05/2025 13:45</t>
  </si>
  <si>
    <t>05/05/2025 14:00</t>
  </si>
  <si>
    <t>05/05/2025 14:15</t>
  </si>
  <si>
    <t>05/05/2025 14:30</t>
  </si>
  <si>
    <t>05/05/2025 14:45</t>
  </si>
  <si>
    <t>05/05/2025 15:00</t>
  </si>
  <si>
    <t>05/05/2025 15:15</t>
  </si>
  <si>
    <t>05/05/2025 15:30</t>
  </si>
  <si>
    <t>05/05/2025 15:45</t>
  </si>
  <si>
    <t>05/05/2025 16:00</t>
  </si>
  <si>
    <t>05/05/2025 16:15</t>
  </si>
  <si>
    <t>05/05/2025 16:30</t>
  </si>
  <si>
    <t>05/05/2025 16:45</t>
  </si>
  <si>
    <t>05/05/2025 17:00</t>
  </si>
  <si>
    <t>05/05/2025 17:15</t>
  </si>
  <si>
    <t>05/05/2025 17:30</t>
  </si>
  <si>
    <t>05/05/2025 17:45</t>
  </si>
  <si>
    <t>05/05/2025 18:00</t>
  </si>
  <si>
    <t>05/05/2025 18:15</t>
  </si>
  <si>
    <t>05/05/2025 18:30</t>
  </si>
  <si>
    <t>05/05/2025 18:45</t>
  </si>
  <si>
    <t>05/05/2025 19:00</t>
  </si>
  <si>
    <t>05/05/2025 19:15</t>
  </si>
  <si>
    <t>05/05/2025 19:30</t>
  </si>
  <si>
    <t>05/05/2025 19:45</t>
  </si>
  <si>
    <t>05/05/2025 20:00</t>
  </si>
  <si>
    <t>05/05/2025 20:15</t>
  </si>
  <si>
    <t>05/05/2025 20:30</t>
  </si>
  <si>
    <t>05/05/2025 20:45</t>
  </si>
  <si>
    <t>05/05/2025 21:00</t>
  </si>
  <si>
    <t>05/05/2025 21:15</t>
  </si>
  <si>
    <t>05/05/2025 21:30</t>
  </si>
  <si>
    <t>05/05/2025 21:45</t>
  </si>
  <si>
    <t>05/05/2025 22:00</t>
  </si>
  <si>
    <t>05/05/2025 22:15</t>
  </si>
  <si>
    <t>05/05/2025 22:30</t>
  </si>
  <si>
    <t>05/05/2025 22:45</t>
  </si>
  <si>
    <t>05/05/2025 23:00</t>
  </si>
  <si>
    <t>05/05/2025 23:15</t>
  </si>
  <si>
    <t>05/05/2025 23:30</t>
  </si>
  <si>
    <t>05/05/2025 23:45</t>
  </si>
  <si>
    <t>05/05/2025 24:00</t>
  </si>
  <si>
    <t>06/05/2025 00:15</t>
  </si>
  <si>
    <t>06/05/2025 00:30</t>
  </si>
  <si>
    <t>06/05/2025 00:45</t>
  </si>
  <si>
    <t>06/05/2025 01:00</t>
  </si>
  <si>
    <t>06/05/2025 01:15</t>
  </si>
  <si>
    <t>06/05/2025 01:30</t>
  </si>
  <si>
    <t>06/05/2025 01:45</t>
  </si>
  <si>
    <t>06/05/2025 02:00</t>
  </si>
  <si>
    <t>06/05/2025 02:15</t>
  </si>
  <si>
    <t>06/05/2025 02:30</t>
  </si>
  <si>
    <t>06/05/2025 02:45</t>
  </si>
  <si>
    <t>06/05/2025 03:00</t>
  </si>
  <si>
    <t>06/05/2025 03:15</t>
  </si>
  <si>
    <t>06/05/2025 03:30</t>
  </si>
  <si>
    <t>06/05/2025 03:45</t>
  </si>
  <si>
    <t>06/05/2025 04:00</t>
  </si>
  <si>
    <t>06/05/2025 04:15</t>
  </si>
  <si>
    <t>06/05/2025 04:30</t>
  </si>
  <si>
    <t>06/05/2025 04:45</t>
  </si>
  <si>
    <t>06/05/2025 05:00</t>
  </si>
  <si>
    <t>06/05/2025 05:15</t>
  </si>
  <si>
    <t>06/05/2025 05:30</t>
  </si>
  <si>
    <t>06/05/2025 05:45</t>
  </si>
  <si>
    <t>06/05/2025 06:00</t>
  </si>
  <si>
    <t>06/05/2025 06:15</t>
  </si>
  <si>
    <t>06/05/2025 06:30</t>
  </si>
  <si>
    <t>06/05/2025 06:45</t>
  </si>
  <si>
    <t>06/05/2025 07:00</t>
  </si>
  <si>
    <t>06/05/2025 07:15</t>
  </si>
  <si>
    <t>06/05/2025 07:30</t>
  </si>
  <si>
    <t>06/05/2025 07:45</t>
  </si>
  <si>
    <t>06/05/2025 08:00</t>
  </si>
  <si>
    <t>06/05/2025 08:15</t>
  </si>
  <si>
    <t>06/05/2025 08:30</t>
  </si>
  <si>
    <t>06/05/2025 08:45</t>
  </si>
  <si>
    <t>06/05/2025 09:00</t>
  </si>
  <si>
    <t>06/05/2025 09:15</t>
  </si>
  <si>
    <t>06/05/2025 09:30</t>
  </si>
  <si>
    <t>06/05/2025 09:45</t>
  </si>
  <si>
    <t>06/05/2025 10:00</t>
  </si>
  <si>
    <t>06/05/2025 10:15</t>
  </si>
  <si>
    <t>06/05/2025 10:30</t>
  </si>
  <si>
    <t>06/05/2025 10:45</t>
  </si>
  <si>
    <t>06/05/2025 11:00</t>
  </si>
  <si>
    <t>06/05/2025 11:15</t>
  </si>
  <si>
    <t>06/05/2025 11:30</t>
  </si>
  <si>
    <t>06/05/2025 11:45</t>
  </si>
  <si>
    <t>06/05/2025 12:00</t>
  </si>
  <si>
    <t>06/05/2025 12:15</t>
  </si>
  <si>
    <t>06/05/2025 12:30</t>
  </si>
  <si>
    <t>06/05/2025 12:45</t>
  </si>
  <si>
    <t>06/05/2025 13:00</t>
  </si>
  <si>
    <t>06/05/2025 13:15</t>
  </si>
  <si>
    <t>06/05/2025 13:30</t>
  </si>
  <si>
    <t>06/05/2025 13:45</t>
  </si>
  <si>
    <t>06/05/2025 14:00</t>
  </si>
  <si>
    <t>06/05/2025 14:15</t>
  </si>
  <si>
    <t>06/05/2025 14:30</t>
  </si>
  <si>
    <t>06/05/2025 14:45</t>
  </si>
  <si>
    <t>06/05/2025 15:00</t>
  </si>
  <si>
    <t>06/05/2025 15:15</t>
  </si>
  <si>
    <t>06/05/2025 15:30</t>
  </si>
  <si>
    <t>06/05/2025 15:45</t>
  </si>
  <si>
    <t>06/05/2025 16:00</t>
  </si>
  <si>
    <t>06/05/2025 16:15</t>
  </si>
  <si>
    <t>06/05/2025 16:30</t>
  </si>
  <si>
    <t>06/05/2025 16:45</t>
  </si>
  <si>
    <t>06/05/2025 17:00</t>
  </si>
  <si>
    <t>06/05/2025 17:15</t>
  </si>
  <si>
    <t>06/05/2025 17:30</t>
  </si>
  <si>
    <t>06/05/2025 17:45</t>
  </si>
  <si>
    <t>06/05/2025 18:00</t>
  </si>
  <si>
    <t>06/05/2025 18:15</t>
  </si>
  <si>
    <t>06/05/2025 18:30</t>
  </si>
  <si>
    <t>06/05/2025 18:45</t>
  </si>
  <si>
    <t>06/05/2025 19:00</t>
  </si>
  <si>
    <t>06/05/2025 19:15</t>
  </si>
  <si>
    <t>06/05/2025 19:30</t>
  </si>
  <si>
    <t>06/05/2025 19:45</t>
  </si>
  <si>
    <t>06/05/2025 20:00</t>
  </si>
  <si>
    <t>06/05/2025 20:15</t>
  </si>
  <si>
    <t>06/05/2025 20:30</t>
  </si>
  <si>
    <t>06/05/2025 20:45</t>
  </si>
  <si>
    <t>06/05/2025 21:00</t>
  </si>
  <si>
    <t>06/05/2025 21:15</t>
  </si>
  <si>
    <t>06/05/2025 21:30</t>
  </si>
  <si>
    <t>06/05/2025 21:45</t>
  </si>
  <si>
    <t>06/05/2025 22:00</t>
  </si>
  <si>
    <t>06/05/2025 22:15</t>
  </si>
  <si>
    <t>06/05/2025 22:30</t>
  </si>
  <si>
    <t>06/05/2025 22:45</t>
  </si>
  <si>
    <t>06/05/2025 23:00</t>
  </si>
  <si>
    <t>06/05/2025 23:15</t>
  </si>
  <si>
    <t>06/05/2025 23:30</t>
  </si>
  <si>
    <t>06/05/2025 23:45</t>
  </si>
  <si>
    <t>06/05/2025 24:00</t>
  </si>
  <si>
    <t>07/05/2025 00:15</t>
  </si>
  <si>
    <t>07/05/2025 00:30</t>
  </si>
  <si>
    <t>07/05/2025 00:45</t>
  </si>
  <si>
    <t>07/05/2025 01:00</t>
  </si>
  <si>
    <t>07/05/2025 01:15</t>
  </si>
  <si>
    <t>07/05/2025 01:30</t>
  </si>
  <si>
    <t>07/05/2025 01:45</t>
  </si>
  <si>
    <t>07/05/2025 02:00</t>
  </si>
  <si>
    <t>07/05/2025 02:15</t>
  </si>
  <si>
    <t>07/05/2025 02:30</t>
  </si>
  <si>
    <t>07/05/2025 02:45</t>
  </si>
  <si>
    <t>07/05/2025 03:00</t>
  </si>
  <si>
    <t>07/05/2025 03:15</t>
  </si>
  <si>
    <t>07/05/2025 03:30</t>
  </si>
  <si>
    <t>07/05/2025 03:45</t>
  </si>
  <si>
    <t>07/05/2025 04:00</t>
  </si>
  <si>
    <t>07/05/2025 04:15</t>
  </si>
  <si>
    <t>07/05/2025 04:30</t>
  </si>
  <si>
    <t>07/05/2025 04:45</t>
  </si>
  <si>
    <t>07/05/2025 05:00</t>
  </si>
  <si>
    <t>07/05/2025 05:15</t>
  </si>
  <si>
    <t>07/05/2025 05:30</t>
  </si>
  <si>
    <t>07/05/2025 05:45</t>
  </si>
  <si>
    <t>07/05/2025 06:00</t>
  </si>
  <si>
    <t>07/05/2025 06:15</t>
  </si>
  <si>
    <t>07/05/2025 06:30</t>
  </si>
  <si>
    <t>07/05/2025 06:45</t>
  </si>
  <si>
    <t>07/05/2025 07:00</t>
  </si>
  <si>
    <t>07/05/2025 07:15</t>
  </si>
  <si>
    <t>07/05/2025 07:30</t>
  </si>
  <si>
    <t>07/05/2025 07:45</t>
  </si>
  <si>
    <t>07/05/2025 08:00</t>
  </si>
  <si>
    <t>07/05/2025 08:15</t>
  </si>
  <si>
    <t>07/05/2025 08:30</t>
  </si>
  <si>
    <t>07/05/2025 08:45</t>
  </si>
  <si>
    <t>07/05/2025 09:00</t>
  </si>
  <si>
    <t>07/05/2025 09:15</t>
  </si>
  <si>
    <t>07/05/2025 09:30</t>
  </si>
  <si>
    <t>07/05/2025 09:45</t>
  </si>
  <si>
    <t>07/05/2025 10:00</t>
  </si>
  <si>
    <t>07/05/2025 10:15</t>
  </si>
  <si>
    <t>07/05/2025 10:30</t>
  </si>
  <si>
    <t>07/05/2025 10:45</t>
  </si>
  <si>
    <t>07/05/2025 11:00</t>
  </si>
  <si>
    <t>07/05/2025 11:15</t>
  </si>
  <si>
    <t>07/05/2025 11:30</t>
  </si>
  <si>
    <t>07/05/2025 11:45</t>
  </si>
  <si>
    <t>07/05/2025 12:00</t>
  </si>
  <si>
    <t>07/05/2025 12:15</t>
  </si>
  <si>
    <t>07/05/2025 12:30</t>
  </si>
  <si>
    <t>07/05/2025 12:45</t>
  </si>
  <si>
    <t>07/05/2025 13:00</t>
  </si>
  <si>
    <t>07/05/2025 13:15</t>
  </si>
  <si>
    <t>07/05/2025 13:30</t>
  </si>
  <si>
    <t>07/05/2025 13:45</t>
  </si>
  <si>
    <t>07/05/2025 14:00</t>
  </si>
  <si>
    <t>07/05/2025 14:15</t>
  </si>
  <si>
    <t>07/05/2025 14:30</t>
  </si>
  <si>
    <t>07/05/2025 14:45</t>
  </si>
  <si>
    <t>07/05/2025 15:00</t>
  </si>
  <si>
    <t>07/05/2025 15:15</t>
  </si>
  <si>
    <t>07/05/2025 15:30</t>
  </si>
  <si>
    <t>07/05/2025 15:45</t>
  </si>
  <si>
    <t>07/05/2025 16:00</t>
  </si>
  <si>
    <t>07/05/2025 16:15</t>
  </si>
  <si>
    <t>07/05/2025 16:30</t>
  </si>
  <si>
    <t>07/05/2025 16:45</t>
  </si>
  <si>
    <t>07/05/2025 17:00</t>
  </si>
  <si>
    <t>07/05/2025 17:15</t>
  </si>
  <si>
    <t>07/05/2025 17:30</t>
  </si>
  <si>
    <t>07/05/2025 17:45</t>
  </si>
  <si>
    <t>07/05/2025 18:00</t>
  </si>
  <si>
    <t>07/05/2025 18:15</t>
  </si>
  <si>
    <t>07/05/2025 18:30</t>
  </si>
  <si>
    <t>07/05/2025 18:45</t>
  </si>
  <si>
    <t>07/05/2025 19:00</t>
  </si>
  <si>
    <t>07/05/2025 19:15</t>
  </si>
  <si>
    <t>07/05/2025 19:30</t>
  </si>
  <si>
    <t>07/05/2025 19:45</t>
  </si>
  <si>
    <t>07/05/2025 20:00</t>
  </si>
  <si>
    <t>07/05/2025 20:15</t>
  </si>
  <si>
    <t>07/05/2025 20:30</t>
  </si>
  <si>
    <t>07/05/2025 20:45</t>
  </si>
  <si>
    <t>07/05/2025 21:00</t>
  </si>
  <si>
    <t>07/05/2025 21:15</t>
  </si>
  <si>
    <t>07/05/2025 21:30</t>
  </si>
  <si>
    <t>07/05/2025 21:45</t>
  </si>
  <si>
    <t>07/05/2025 22:00</t>
  </si>
  <si>
    <t>07/05/2025 22:15</t>
  </si>
  <si>
    <t>07/05/2025 22:30</t>
  </si>
  <si>
    <t>07/05/2025 22:45</t>
  </si>
  <si>
    <t>07/05/2025 23:00</t>
  </si>
  <si>
    <t>07/05/2025 23:15</t>
  </si>
  <si>
    <t>07/05/2025 23:30</t>
  </si>
  <si>
    <t>07/05/2025 23:45</t>
  </si>
  <si>
    <t>07/05/2025 24:00</t>
  </si>
  <si>
    <t>08/05/2025 00:15</t>
  </si>
  <si>
    <t>08/05/2025 00:30</t>
  </si>
  <si>
    <t>08/05/2025 00:45</t>
  </si>
  <si>
    <t>08/05/2025 01:00</t>
  </si>
  <si>
    <t>08/05/2025 01:15</t>
  </si>
  <si>
    <t>08/05/2025 01:30</t>
  </si>
  <si>
    <t>08/05/2025 01:45</t>
  </si>
  <si>
    <t>08/05/2025 02:00</t>
  </si>
  <si>
    <t>08/05/2025 02:15</t>
  </si>
  <si>
    <t>08/05/2025 02:30</t>
  </si>
  <si>
    <t>08/05/2025 02:45</t>
  </si>
  <si>
    <t>08/05/2025 03:00</t>
  </si>
  <si>
    <t>08/05/2025 03:15</t>
  </si>
  <si>
    <t>08/05/2025 03:30</t>
  </si>
  <si>
    <t>08/05/2025 03:45</t>
  </si>
  <si>
    <t>08/05/2025 04:00</t>
  </si>
  <si>
    <t>08/05/2025 04:15</t>
  </si>
  <si>
    <t>08/05/2025 04:30</t>
  </si>
  <si>
    <t>08/05/2025 04:45</t>
  </si>
  <si>
    <t>08/05/2025 05:00</t>
  </si>
  <si>
    <t>08/05/2025 05:15</t>
  </si>
  <si>
    <t>08/05/2025 05:30</t>
  </si>
  <si>
    <t>08/05/2025 05:45</t>
  </si>
  <si>
    <t>08/05/2025 06:00</t>
  </si>
  <si>
    <t>08/05/2025 06:15</t>
  </si>
  <si>
    <t>08/05/2025 06:30</t>
  </si>
  <si>
    <t>08/05/2025 06:45</t>
  </si>
  <si>
    <t>08/05/2025 07:00</t>
  </si>
  <si>
    <t>08/05/2025 07:15</t>
  </si>
  <si>
    <t>08/05/2025 07:30</t>
  </si>
  <si>
    <t>08/05/2025 07:45</t>
  </si>
  <si>
    <t>08/05/2025 08:00</t>
  </si>
  <si>
    <t>08/05/2025 08:15</t>
  </si>
  <si>
    <t>08/05/2025 08:30</t>
  </si>
  <si>
    <t>08/05/2025 08:45</t>
  </si>
  <si>
    <t>08/05/2025 09:00</t>
  </si>
  <si>
    <t>08/05/2025 09:15</t>
  </si>
  <si>
    <t>08/05/2025 09:30</t>
  </si>
  <si>
    <t>08/05/2025 09:45</t>
  </si>
  <si>
    <t>08/05/2025 10:00</t>
  </si>
  <si>
    <t>08/05/2025 10:15</t>
  </si>
  <si>
    <t>08/05/2025 10:30</t>
  </si>
  <si>
    <t>08/05/2025 10:45</t>
  </si>
  <si>
    <t>08/05/2025 11:00</t>
  </si>
  <si>
    <t>08/05/2025 11:15</t>
  </si>
  <si>
    <t>08/05/2025 11:30</t>
  </si>
  <si>
    <t>08/05/2025 11:45</t>
  </si>
  <si>
    <t>08/05/2025 12:00</t>
  </si>
  <si>
    <t>08/05/2025 12:15</t>
  </si>
  <si>
    <t>08/05/2025 12:30</t>
  </si>
  <si>
    <t>08/05/2025 12:45</t>
  </si>
  <si>
    <t>08/05/2025 13:00</t>
  </si>
  <si>
    <t>08/05/2025 13:15</t>
  </si>
  <si>
    <t>08/05/2025 13:30</t>
  </si>
  <si>
    <t>08/05/2025 13:45</t>
  </si>
  <si>
    <t>08/05/2025 14:00</t>
  </si>
  <si>
    <t>08/05/2025 14:15</t>
  </si>
  <si>
    <t>08/05/2025 14:30</t>
  </si>
  <si>
    <t>08/05/2025 14:45</t>
  </si>
  <si>
    <t>08/05/2025 15:00</t>
  </si>
  <si>
    <t>08/05/2025 15:15</t>
  </si>
  <si>
    <t>08/05/2025 15:30</t>
  </si>
  <si>
    <t>08/05/2025 15:45</t>
  </si>
  <si>
    <t>08/05/2025 16:00</t>
  </si>
  <si>
    <t>08/05/2025 16:15</t>
  </si>
  <si>
    <t>08/05/2025 16:30</t>
  </si>
  <si>
    <t>08/05/2025 16:45</t>
  </si>
  <si>
    <t>08/05/2025 17:00</t>
  </si>
  <si>
    <t>08/05/2025 17:15</t>
  </si>
  <si>
    <t>08/05/2025 17:30</t>
  </si>
  <si>
    <t>08/05/2025 17:45</t>
  </si>
  <si>
    <t>08/05/2025 18:00</t>
  </si>
  <si>
    <t>08/05/2025 18:15</t>
  </si>
  <si>
    <t>08/05/2025 18:30</t>
  </si>
  <si>
    <t>08/05/2025 18:45</t>
  </si>
  <si>
    <t>08/05/2025 19:00</t>
  </si>
  <si>
    <t>08/05/2025 19:15</t>
  </si>
  <si>
    <t>08/05/2025 19:30</t>
  </si>
  <si>
    <t>08/05/2025 19:45</t>
  </si>
  <si>
    <t>08/05/2025 20:00</t>
  </si>
  <si>
    <t>08/05/2025 20:15</t>
  </si>
  <si>
    <t>08/05/2025 20:30</t>
  </si>
  <si>
    <t>08/05/2025 20:45</t>
  </si>
  <si>
    <t>08/05/2025 21:00</t>
  </si>
  <si>
    <t>08/05/2025 21:15</t>
  </si>
  <si>
    <t>08/05/2025 21:30</t>
  </si>
  <si>
    <t>08/05/2025 21:45</t>
  </si>
  <si>
    <t>08/05/2025 22:00</t>
  </si>
  <si>
    <t>08/05/2025 22:15</t>
  </si>
  <si>
    <t>08/05/2025 22:30</t>
  </si>
  <si>
    <t>08/05/2025 22:45</t>
  </si>
  <si>
    <t>08/05/2025 23:00</t>
  </si>
  <si>
    <t>08/05/2025 23:15</t>
  </si>
  <si>
    <t>08/05/2025 23:30</t>
  </si>
  <si>
    <t>08/05/2025 23:45</t>
  </si>
  <si>
    <t>08/05/2025 24:00</t>
  </si>
  <si>
    <t>09/05/2025 00:15</t>
  </si>
  <si>
    <t>09/05/2025 00:30</t>
  </si>
  <si>
    <t>09/05/2025 00:45</t>
  </si>
  <si>
    <t>09/05/2025 01:00</t>
  </si>
  <si>
    <t>09/05/2025 01:15</t>
  </si>
  <si>
    <t>09/05/2025 01:30</t>
  </si>
  <si>
    <t>09/05/2025 01:45</t>
  </si>
  <si>
    <t>09/05/2025 02:00</t>
  </si>
  <si>
    <t>09/05/2025 02:15</t>
  </si>
  <si>
    <t>09/05/2025 02:30</t>
  </si>
  <si>
    <t>09/05/2025 02:45</t>
  </si>
  <si>
    <t>09/05/2025 03:00</t>
  </si>
  <si>
    <t>09/05/2025 03:15</t>
  </si>
  <si>
    <t>09/05/2025 03:30</t>
  </si>
  <si>
    <t>09/05/2025 03:45</t>
  </si>
  <si>
    <t>09/05/2025 04:00</t>
  </si>
  <si>
    <t>09/05/2025 04:15</t>
  </si>
  <si>
    <t>09/05/2025 04:30</t>
  </si>
  <si>
    <t>09/05/2025 04:45</t>
  </si>
  <si>
    <t>09/05/2025 05:00</t>
  </si>
  <si>
    <t>09/05/2025 05:15</t>
  </si>
  <si>
    <t>09/05/2025 05:30</t>
  </si>
  <si>
    <t>09/05/2025 05:45</t>
  </si>
  <si>
    <t>09/05/2025 06:00</t>
  </si>
  <si>
    <t>09/05/2025 06:15</t>
  </si>
  <si>
    <t>09/05/2025 06:30</t>
  </si>
  <si>
    <t>09/05/2025 06:45</t>
  </si>
  <si>
    <t>09/05/2025 07:00</t>
  </si>
  <si>
    <t>09/05/2025 07:15</t>
  </si>
  <si>
    <t>09/05/2025 07:30</t>
  </si>
  <si>
    <t>09/05/2025 07:45</t>
  </si>
  <si>
    <t>09/05/2025 08:00</t>
  </si>
  <si>
    <t>09/05/2025 08:15</t>
  </si>
  <si>
    <t>09/05/2025 08:30</t>
  </si>
  <si>
    <t>09/05/2025 08:45</t>
  </si>
  <si>
    <t>09/05/2025 09:00</t>
  </si>
  <si>
    <t>09/05/2025 09:15</t>
  </si>
  <si>
    <t>09/05/2025 09:30</t>
  </si>
  <si>
    <t>09/05/2025 09:45</t>
  </si>
  <si>
    <t>09/05/2025 10:00</t>
  </si>
  <si>
    <t>09/05/2025 10:15</t>
  </si>
  <si>
    <t>09/05/2025 10:30</t>
  </si>
  <si>
    <t>09/05/2025 10:45</t>
  </si>
  <si>
    <t>09/05/2025 11:00</t>
  </si>
  <si>
    <t>09/05/2025 11:15</t>
  </si>
  <si>
    <t>09/05/2025 11:30</t>
  </si>
  <si>
    <t>09/05/2025 11:45</t>
  </si>
  <si>
    <t>09/05/2025 12:00</t>
  </si>
  <si>
    <t>09/05/2025 12:15</t>
  </si>
  <si>
    <t>09/05/2025 12:30</t>
  </si>
  <si>
    <t>09/05/2025 12:45</t>
  </si>
  <si>
    <t>09/05/2025 13:00</t>
  </si>
  <si>
    <t>09/05/2025 13:15</t>
  </si>
  <si>
    <t>09/05/2025 13:30</t>
  </si>
  <si>
    <t>09/05/2025 13:45</t>
  </si>
  <si>
    <t>09/05/2025 14:00</t>
  </si>
  <si>
    <t>09/05/2025 14:15</t>
  </si>
  <si>
    <t>09/05/2025 14:30</t>
  </si>
  <si>
    <t>09/05/2025 14:45</t>
  </si>
  <si>
    <t>09/05/2025 15:00</t>
  </si>
  <si>
    <t>09/05/2025 15:15</t>
  </si>
  <si>
    <t>09/05/2025 15:30</t>
  </si>
  <si>
    <t>09/05/2025 15:45</t>
  </si>
  <si>
    <t>09/05/2025 16:00</t>
  </si>
  <si>
    <t>09/05/2025 16:15</t>
  </si>
  <si>
    <t>09/05/2025 16:30</t>
  </si>
  <si>
    <t>09/05/2025 16:45</t>
  </si>
  <si>
    <t>09/05/2025 17:00</t>
  </si>
  <si>
    <t>09/05/2025 17:15</t>
  </si>
  <si>
    <t>09/05/2025 17:30</t>
  </si>
  <si>
    <t>09/05/2025 17:45</t>
  </si>
  <si>
    <t>09/05/2025 18:00</t>
  </si>
  <si>
    <t>09/05/2025 18:15</t>
  </si>
  <si>
    <t>09/05/2025 18:30</t>
  </si>
  <si>
    <t>09/05/2025 18:45</t>
  </si>
  <si>
    <t>09/05/2025 19:00</t>
  </si>
  <si>
    <t>09/05/2025 19:15</t>
  </si>
  <si>
    <t>09/05/2025 19:30</t>
  </si>
  <si>
    <t>09/05/2025 19:45</t>
  </si>
  <si>
    <t>09/05/2025 20:00</t>
  </si>
  <si>
    <t>09/05/2025 20:15</t>
  </si>
  <si>
    <t>09/05/2025 20:30</t>
  </si>
  <si>
    <t>09/05/2025 20:45</t>
  </si>
  <si>
    <t>09/05/2025 21:00</t>
  </si>
  <si>
    <t>09/05/2025 21:15</t>
  </si>
  <si>
    <t>09/05/2025 21:30</t>
  </si>
  <si>
    <t>09/05/2025 21:45</t>
  </si>
  <si>
    <t>09/05/2025 22:00</t>
  </si>
  <si>
    <t>09/05/2025 22:15</t>
  </si>
  <si>
    <t>09/05/2025 22:30</t>
  </si>
  <si>
    <t>09/05/2025 22:45</t>
  </si>
  <si>
    <t>09/05/2025 23:00</t>
  </si>
  <si>
    <t>09/05/2025 23:15</t>
  </si>
  <si>
    <t>09/05/2025 23:30</t>
  </si>
  <si>
    <t>09/05/2025 23:45</t>
  </si>
  <si>
    <t>09/05/2025 24:00</t>
  </si>
  <si>
    <t>10/05/2025 00:15</t>
  </si>
  <si>
    <t>10/05/2025 00:30</t>
  </si>
  <si>
    <t>10/05/2025 00:45</t>
  </si>
  <si>
    <t>10/05/2025 01:00</t>
  </si>
  <si>
    <t>10/05/2025 01:15</t>
  </si>
  <si>
    <t>10/05/2025 01:30</t>
  </si>
  <si>
    <t>10/05/2025 01:45</t>
  </si>
  <si>
    <t>10/05/2025 02:00</t>
  </si>
  <si>
    <t>10/05/2025 02:15</t>
  </si>
  <si>
    <t>10/05/2025 02:30</t>
  </si>
  <si>
    <t>10/05/2025 02:45</t>
  </si>
  <si>
    <t>10/05/2025 03:00</t>
  </si>
  <si>
    <t>10/05/2025 03:15</t>
  </si>
  <si>
    <t>10/05/2025 03:30</t>
  </si>
  <si>
    <t>10/05/2025 03:45</t>
  </si>
  <si>
    <t>10/05/2025 04:00</t>
  </si>
  <si>
    <t>10/05/2025 04:15</t>
  </si>
  <si>
    <t>10/05/2025 04:30</t>
  </si>
  <si>
    <t>10/05/2025 04:45</t>
  </si>
  <si>
    <t>10/05/2025 05:00</t>
  </si>
  <si>
    <t>10/05/2025 05:15</t>
  </si>
  <si>
    <t>10/05/2025 05:30</t>
  </si>
  <si>
    <t>10/05/2025 05:45</t>
  </si>
  <si>
    <t>10/05/2025 06:00</t>
  </si>
  <si>
    <t>10/05/2025 06:15</t>
  </si>
  <si>
    <t>10/05/2025 06:30</t>
  </si>
  <si>
    <t>10/05/2025 06:45</t>
  </si>
  <si>
    <t>10/05/2025 07:00</t>
  </si>
  <si>
    <t>10/05/2025 07:15</t>
  </si>
  <si>
    <t>10/05/2025 07:30</t>
  </si>
  <si>
    <t>10/05/2025 07:45</t>
  </si>
  <si>
    <t>10/05/2025 08:00</t>
  </si>
  <si>
    <t>10/05/2025 08:15</t>
  </si>
  <si>
    <t>10/05/2025 08:30</t>
  </si>
  <si>
    <t>10/05/2025 08:45</t>
  </si>
  <si>
    <t>10/05/2025 09:00</t>
  </si>
  <si>
    <t>10/05/2025 09:15</t>
  </si>
  <si>
    <t>10/05/2025 09:30</t>
  </si>
  <si>
    <t>10/05/2025 09:45</t>
  </si>
  <si>
    <t>10/05/2025 10:00</t>
  </si>
  <si>
    <t>10/05/2025 10:15</t>
  </si>
  <si>
    <t>10/05/2025 10:30</t>
  </si>
  <si>
    <t>10/05/2025 10:45</t>
  </si>
  <si>
    <t>10/05/2025 11:00</t>
  </si>
  <si>
    <t>10/05/2025 11:15</t>
  </si>
  <si>
    <t>10/05/2025 11:30</t>
  </si>
  <si>
    <t>10/05/2025 11:45</t>
  </si>
  <si>
    <t>10/05/2025 12:00</t>
  </si>
  <si>
    <t>10/05/2025 12:15</t>
  </si>
  <si>
    <t>10/05/2025 12:30</t>
  </si>
  <si>
    <t>10/05/2025 12:45</t>
  </si>
  <si>
    <t>10/05/2025 13:00</t>
  </si>
  <si>
    <t>10/05/2025 13:15</t>
  </si>
  <si>
    <t>10/05/2025 13:30</t>
  </si>
  <si>
    <t>10/05/2025 13:45</t>
  </si>
  <si>
    <t>10/05/2025 14:00</t>
  </si>
  <si>
    <t>10/05/2025 14:15</t>
  </si>
  <si>
    <t>10/05/2025 14:30</t>
  </si>
  <si>
    <t>10/05/2025 14:45</t>
  </si>
  <si>
    <t>10/05/2025 15:00</t>
  </si>
  <si>
    <t>10/05/2025 15:15</t>
  </si>
  <si>
    <t>10/05/2025 15:30</t>
  </si>
  <si>
    <t>10/05/2025 15:45</t>
  </si>
  <si>
    <t>10/05/2025 16:00</t>
  </si>
  <si>
    <t>10/05/2025 16:15</t>
  </si>
  <si>
    <t>10/05/2025 16:30</t>
  </si>
  <si>
    <t>10/05/2025 16:45</t>
  </si>
  <si>
    <t>10/05/2025 17:00</t>
  </si>
  <si>
    <t>10/05/2025 17:15</t>
  </si>
  <si>
    <t>10/05/2025 17:30</t>
  </si>
  <si>
    <t>10/05/2025 17:45</t>
  </si>
  <si>
    <t>10/05/2025 18:00</t>
  </si>
  <si>
    <t>10/05/2025 18:15</t>
  </si>
  <si>
    <t>10/05/2025 18:30</t>
  </si>
  <si>
    <t>10/05/2025 18:45</t>
  </si>
  <si>
    <t>10/05/2025 19:00</t>
  </si>
  <si>
    <t>10/05/2025 19:15</t>
  </si>
  <si>
    <t>10/05/2025 19:30</t>
  </si>
  <si>
    <t>10/05/2025 19:45</t>
  </si>
  <si>
    <t>10/05/2025 20:00</t>
  </si>
  <si>
    <t>10/05/2025 20:15</t>
  </si>
  <si>
    <t>10/05/2025 20:30</t>
  </si>
  <si>
    <t>10/05/2025 20:45</t>
  </si>
  <si>
    <t>10/05/2025 21:00</t>
  </si>
  <si>
    <t>10/05/2025 21:15</t>
  </si>
  <si>
    <t>10/05/2025 21:30</t>
  </si>
  <si>
    <t>10/05/2025 21:45</t>
  </si>
  <si>
    <t>10/05/2025 22:00</t>
  </si>
  <si>
    <t>10/05/2025 22:15</t>
  </si>
  <si>
    <t>10/05/2025 22:30</t>
  </si>
  <si>
    <t>10/05/2025 22:45</t>
  </si>
  <si>
    <t>10/05/2025 23:00</t>
  </si>
  <si>
    <t>10/05/2025 23:15</t>
  </si>
  <si>
    <t>10/05/2025 23:30</t>
  </si>
  <si>
    <t>10/05/2025 23:45</t>
  </si>
  <si>
    <t>10/05/2025 24:00</t>
  </si>
  <si>
    <t>11/05/2025 00:15</t>
  </si>
  <si>
    <t>11/05/2025 00:30</t>
  </si>
  <si>
    <t>11/05/2025 00:45</t>
  </si>
  <si>
    <t>11/05/2025 01:00</t>
  </si>
  <si>
    <t>11/05/2025 01:15</t>
  </si>
  <si>
    <t>11/05/2025 01:30</t>
  </si>
  <si>
    <t>11/05/2025 01:45</t>
  </si>
  <si>
    <t>11/05/2025 02:00</t>
  </si>
  <si>
    <t>11/05/2025 02:15</t>
  </si>
  <si>
    <t>11/05/2025 02:30</t>
  </si>
  <si>
    <t>11/05/2025 02:45</t>
  </si>
  <si>
    <t>11/05/2025 03:00</t>
  </si>
  <si>
    <t>11/05/2025 03:15</t>
  </si>
  <si>
    <t>11/05/2025 03:30</t>
  </si>
  <si>
    <t>11/05/2025 03:45</t>
  </si>
  <si>
    <t>11/05/2025 04:00</t>
  </si>
  <si>
    <t>11/05/2025 04:15</t>
  </si>
  <si>
    <t>11/05/2025 04:30</t>
  </si>
  <si>
    <t>11/05/2025 04:45</t>
  </si>
  <si>
    <t>11/05/2025 05:00</t>
  </si>
  <si>
    <t>11/05/2025 05:15</t>
  </si>
  <si>
    <t>11/05/2025 05:30</t>
  </si>
  <si>
    <t>11/05/2025 05:45</t>
  </si>
  <si>
    <t>11/05/2025 06:00</t>
  </si>
  <si>
    <t>11/05/2025 06:15</t>
  </si>
  <si>
    <t>11/05/2025 06:30</t>
  </si>
  <si>
    <t>11/05/2025 06:45</t>
  </si>
  <si>
    <t>11/05/2025 07:00</t>
  </si>
  <si>
    <t>11/05/2025 07:15</t>
  </si>
  <si>
    <t>11/05/2025 07:30</t>
  </si>
  <si>
    <t>11/05/2025 07:45</t>
  </si>
  <si>
    <t>11/05/2025 08:00</t>
  </si>
  <si>
    <t>11/05/2025 08:15</t>
  </si>
  <si>
    <t>11/05/2025 08:30</t>
  </si>
  <si>
    <t>11/05/2025 08:45</t>
  </si>
  <si>
    <t>11/05/2025 09:00</t>
  </si>
  <si>
    <t>11/05/2025 09:15</t>
  </si>
  <si>
    <t>11/05/2025 09:30</t>
  </si>
  <si>
    <t>11/05/2025 09:45</t>
  </si>
  <si>
    <t>11/05/2025 10:00</t>
  </si>
  <si>
    <t>11/05/2025 10:15</t>
  </si>
  <si>
    <t>11/05/2025 10:30</t>
  </si>
  <si>
    <t>11/05/2025 10:45</t>
  </si>
  <si>
    <t>11/05/2025 11:00</t>
  </si>
  <si>
    <t>11/05/2025 11:15</t>
  </si>
  <si>
    <t>11/05/2025 11:30</t>
  </si>
  <si>
    <t>11/05/2025 11:45</t>
  </si>
  <si>
    <t>11/05/2025 12:00</t>
  </si>
  <si>
    <t>11/05/2025 12:15</t>
  </si>
  <si>
    <t>11/05/2025 12:30</t>
  </si>
  <si>
    <t>11/05/2025 12:45</t>
  </si>
  <si>
    <t>11/05/2025 13:00</t>
  </si>
  <si>
    <t>11/05/2025 13:15</t>
  </si>
  <si>
    <t>11/05/2025 13:30</t>
  </si>
  <si>
    <t>11/05/2025 13:45</t>
  </si>
  <si>
    <t>11/05/2025 14:00</t>
  </si>
  <si>
    <t>11/05/2025 14:15</t>
  </si>
  <si>
    <t>11/05/2025 14:30</t>
  </si>
  <si>
    <t>11/05/2025 14:45</t>
  </si>
  <si>
    <t>11/05/2025 15:00</t>
  </si>
  <si>
    <t>11/05/2025 15:15</t>
  </si>
  <si>
    <t>11/05/2025 15:30</t>
  </si>
  <si>
    <t>11/05/2025 15:45</t>
  </si>
  <si>
    <t>11/05/2025 16:00</t>
  </si>
  <si>
    <t>11/05/2025 16:15</t>
  </si>
  <si>
    <t>11/05/2025 16:30</t>
  </si>
  <si>
    <t>11/05/2025 16:45</t>
  </si>
  <si>
    <t>11/05/2025 17:00</t>
  </si>
  <si>
    <t>11/05/2025 17:15</t>
  </si>
  <si>
    <t>11/05/2025 17:30</t>
  </si>
  <si>
    <t>11/05/2025 17:45</t>
  </si>
  <si>
    <t>11/05/2025 18:00</t>
  </si>
  <si>
    <t>11/05/2025 18:15</t>
  </si>
  <si>
    <t>11/05/2025 18:30</t>
  </si>
  <si>
    <t>11/05/2025 18:45</t>
  </si>
  <si>
    <t>11/05/2025 19:00</t>
  </si>
  <si>
    <t>11/05/2025 19:15</t>
  </si>
  <si>
    <t>11/05/2025 19:30</t>
  </si>
  <si>
    <t>11/05/2025 19:45</t>
  </si>
  <si>
    <t>11/05/2025 20:00</t>
  </si>
  <si>
    <t>11/05/2025 20:15</t>
  </si>
  <si>
    <t>11/05/2025 20:30</t>
  </si>
  <si>
    <t>11/05/2025 20:45</t>
  </si>
  <si>
    <t>11/05/2025 21:00</t>
  </si>
  <si>
    <t>11/05/2025 21:15</t>
  </si>
  <si>
    <t>11/05/2025 21:30</t>
  </si>
  <si>
    <t>11/05/2025 21:45</t>
  </si>
  <si>
    <t>11/05/2025 22:00</t>
  </si>
  <si>
    <t>11/05/2025 22:15</t>
  </si>
  <si>
    <t>11/05/2025 22:30</t>
  </si>
  <si>
    <t>11/05/2025 22:45</t>
  </si>
  <si>
    <t>11/05/2025 23:00</t>
  </si>
  <si>
    <t>11/05/2025 23:15</t>
  </si>
  <si>
    <t>11/05/2025 23:30</t>
  </si>
  <si>
    <t>11/05/2025 23:45</t>
  </si>
  <si>
    <t>11/05/2025 24:00</t>
  </si>
  <si>
    <t>12/05/2025 00:15</t>
  </si>
  <si>
    <t>12/05/2025 00:30</t>
  </si>
  <si>
    <t>12/05/2025 00:45</t>
  </si>
  <si>
    <t>12/05/2025 01:00</t>
  </si>
  <si>
    <t>12/05/2025 01:15</t>
  </si>
  <si>
    <t>12/05/2025 01:30</t>
  </si>
  <si>
    <t>12/05/2025 01:45</t>
  </si>
  <si>
    <t>12/05/2025 02:00</t>
  </si>
  <si>
    <t>12/05/2025 02:15</t>
  </si>
  <si>
    <t>12/05/2025 02:30</t>
  </si>
  <si>
    <t>12/05/2025 02:45</t>
  </si>
  <si>
    <t>12/05/2025 03:00</t>
  </si>
  <si>
    <t>12/05/2025 03:15</t>
  </si>
  <si>
    <t>12/05/2025 03:30</t>
  </si>
  <si>
    <t>12/05/2025 03:45</t>
  </si>
  <si>
    <t>12/05/2025 04:00</t>
  </si>
  <si>
    <t>12/05/2025 04:15</t>
  </si>
  <si>
    <t>12/05/2025 04:30</t>
  </si>
  <si>
    <t>12/05/2025 04:45</t>
  </si>
  <si>
    <t>12/05/2025 05:00</t>
  </si>
  <si>
    <t>12/05/2025 05:15</t>
  </si>
  <si>
    <t>12/05/2025 05:30</t>
  </si>
  <si>
    <t>12/05/2025 05:45</t>
  </si>
  <si>
    <t>12/05/2025 06:00</t>
  </si>
  <si>
    <t>12/05/2025 06:15</t>
  </si>
  <si>
    <t>12/05/2025 06:30</t>
  </si>
  <si>
    <t>12/05/2025 06:45</t>
  </si>
  <si>
    <t>12/05/2025 07:00</t>
  </si>
  <si>
    <t>12/05/2025 07:15</t>
  </si>
  <si>
    <t>12/05/2025 07:30</t>
  </si>
  <si>
    <t>12/05/2025 07:45</t>
  </si>
  <si>
    <t>12/05/2025 08:00</t>
  </si>
  <si>
    <t>12/05/2025 08:15</t>
  </si>
  <si>
    <t>12/05/2025 08:30</t>
  </si>
  <si>
    <t>12/05/2025 08:45</t>
  </si>
  <si>
    <t>12/05/2025 09:00</t>
  </si>
  <si>
    <t>12/05/2025 09:15</t>
  </si>
  <si>
    <t>12/05/2025 09:30</t>
  </si>
  <si>
    <t>12/05/2025 09:45</t>
  </si>
  <si>
    <t>12/05/2025 10:00</t>
  </si>
  <si>
    <t>12/05/2025 10:15</t>
  </si>
  <si>
    <t>12/05/2025 10:30</t>
  </si>
  <si>
    <t>12/05/2025 10:45</t>
  </si>
  <si>
    <t>12/05/2025 11:00</t>
  </si>
  <si>
    <t>12/05/2025 11:15</t>
  </si>
  <si>
    <t>12/05/2025 11:30</t>
  </si>
  <si>
    <t>12/05/2025 11:45</t>
  </si>
  <si>
    <t>12/05/2025 12:00</t>
  </si>
  <si>
    <t>12/05/2025 12:15</t>
  </si>
  <si>
    <t>12/05/2025 12:30</t>
  </si>
  <si>
    <t>12/05/2025 12:45</t>
  </si>
  <si>
    <t>12/05/2025 13:00</t>
  </si>
  <si>
    <t>12/05/2025 13:15</t>
  </si>
  <si>
    <t>12/05/2025 13:30</t>
  </si>
  <si>
    <t>12/05/2025 13:45</t>
  </si>
  <si>
    <t>12/05/2025 14:00</t>
  </si>
  <si>
    <t>12/05/2025 14:15</t>
  </si>
  <si>
    <t>12/05/2025 14:30</t>
  </si>
  <si>
    <t>12/05/2025 14:45</t>
  </si>
  <si>
    <t>12/05/2025 15:00</t>
  </si>
  <si>
    <t>12/05/2025 15:15</t>
  </si>
  <si>
    <t>12/05/2025 15:30</t>
  </si>
  <si>
    <t>12/05/2025 15:45</t>
  </si>
  <si>
    <t>12/05/2025 16:00</t>
  </si>
  <si>
    <t>12/05/2025 16:15</t>
  </si>
  <si>
    <t>12/05/2025 16:30</t>
  </si>
  <si>
    <t>12/05/2025 16:45</t>
  </si>
  <si>
    <t>12/05/2025 17:00</t>
  </si>
  <si>
    <t>12/05/2025 17:15</t>
  </si>
  <si>
    <t>12/05/2025 17:30</t>
  </si>
  <si>
    <t>12/05/2025 17:45</t>
  </si>
  <si>
    <t>12/05/2025 18:00</t>
  </si>
  <si>
    <t>12/05/2025 18:15</t>
  </si>
  <si>
    <t>12/05/2025 18:30</t>
  </si>
  <si>
    <t>12/05/2025 18:45</t>
  </si>
  <si>
    <t>12/05/2025 19:00</t>
  </si>
  <si>
    <t>12/05/2025 19:15</t>
  </si>
  <si>
    <t>12/05/2025 19:30</t>
  </si>
  <si>
    <t>12/05/2025 19:45</t>
  </si>
  <si>
    <t>12/05/2025 20:00</t>
  </si>
  <si>
    <t>12/05/2025 20:15</t>
  </si>
  <si>
    <t>12/05/2025 20:30</t>
  </si>
  <si>
    <t>12/05/2025 20:45</t>
  </si>
  <si>
    <t>12/05/2025 21:00</t>
  </si>
  <si>
    <t>12/05/2025 21:15</t>
  </si>
  <si>
    <t>12/05/2025 21:30</t>
  </si>
  <si>
    <t>12/05/2025 21:45</t>
  </si>
  <si>
    <t>12/05/2025 22:00</t>
  </si>
  <si>
    <t>12/05/2025 22:15</t>
  </si>
  <si>
    <t>12/05/2025 22:30</t>
  </si>
  <si>
    <t>12/05/2025 22:45</t>
  </si>
  <si>
    <t>12/05/2025 23:00</t>
  </si>
  <si>
    <t>12/05/2025 23:15</t>
  </si>
  <si>
    <t>12/05/2025 23:30</t>
  </si>
  <si>
    <t>12/05/2025 23:45</t>
  </si>
  <si>
    <t>12/05/2025 24:00</t>
  </si>
  <si>
    <t>13/05/2025 00:15</t>
  </si>
  <si>
    <t>13/05/2025 00:30</t>
  </si>
  <si>
    <t>13/05/2025 00:45</t>
  </si>
  <si>
    <t>13/05/2025 01:00</t>
  </si>
  <si>
    <t>13/05/2025 01:15</t>
  </si>
  <si>
    <t>13/05/2025 01:30</t>
  </si>
  <si>
    <t>13/05/2025 01:45</t>
  </si>
  <si>
    <t>13/05/2025 02:00</t>
  </si>
  <si>
    <t>13/05/2025 02:15</t>
  </si>
  <si>
    <t>13/05/2025 02:30</t>
  </si>
  <si>
    <t>13/05/2025 02:45</t>
  </si>
  <si>
    <t>13/05/2025 03:00</t>
  </si>
  <si>
    <t>13/05/2025 03:15</t>
  </si>
  <si>
    <t>13/05/2025 03:30</t>
  </si>
  <si>
    <t>13/05/2025 03:45</t>
  </si>
  <si>
    <t>13/05/2025 04:00</t>
  </si>
  <si>
    <t>13/05/2025 04:15</t>
  </si>
  <si>
    <t>13/05/2025 04:30</t>
  </si>
  <si>
    <t>13/05/2025 04:45</t>
  </si>
  <si>
    <t>13/05/2025 05:00</t>
  </si>
  <si>
    <t>13/05/2025 05:15</t>
  </si>
  <si>
    <t>13/05/2025 05:30</t>
  </si>
  <si>
    <t>13/05/2025 05:45</t>
  </si>
  <si>
    <t>13/05/2025 06:00</t>
  </si>
  <si>
    <t>13/05/2025 06:15</t>
  </si>
  <si>
    <t>13/05/2025 06:30</t>
  </si>
  <si>
    <t>13/05/2025 06:45</t>
  </si>
  <si>
    <t>13/05/2025 07:00</t>
  </si>
  <si>
    <t>13/05/2025 07:15</t>
  </si>
  <si>
    <t>13/05/2025 07:30</t>
  </si>
  <si>
    <t>13/05/2025 07:45</t>
  </si>
  <si>
    <t>13/05/2025 08:00</t>
  </si>
  <si>
    <t>13/05/2025 08:15</t>
  </si>
  <si>
    <t>13/05/2025 08:30</t>
  </si>
  <si>
    <t>13/05/2025 08:45</t>
  </si>
  <si>
    <t>13/05/2025 09:00</t>
  </si>
  <si>
    <t>13/05/2025 09:15</t>
  </si>
  <si>
    <t>13/05/2025 09:30</t>
  </si>
  <si>
    <t>13/05/2025 09:45</t>
  </si>
  <si>
    <t>13/05/2025 10:00</t>
  </si>
  <si>
    <t>13/05/2025 10:15</t>
  </si>
  <si>
    <t>13/05/2025 10:30</t>
  </si>
  <si>
    <t>13/05/2025 10:45</t>
  </si>
  <si>
    <t>13/05/2025 11:00</t>
  </si>
  <si>
    <t>13/05/2025 11:15</t>
  </si>
  <si>
    <t>13/05/2025 11:30</t>
  </si>
  <si>
    <t>13/05/2025 11:45</t>
  </si>
  <si>
    <t>13/05/2025 12:00</t>
  </si>
  <si>
    <t>13/05/2025 12:15</t>
  </si>
  <si>
    <t>13/05/2025 12:30</t>
  </si>
  <si>
    <t>13/05/2025 12:45</t>
  </si>
  <si>
    <t>13/05/2025 13:00</t>
  </si>
  <si>
    <t>13/05/2025 13:15</t>
  </si>
  <si>
    <t>13/05/2025 13:30</t>
  </si>
  <si>
    <t>13/05/2025 13:45</t>
  </si>
  <si>
    <t>13/05/2025 14:00</t>
  </si>
  <si>
    <t>13/05/2025 14:15</t>
  </si>
  <si>
    <t>13/05/2025 14:30</t>
  </si>
  <si>
    <t>13/05/2025 14:45</t>
  </si>
  <si>
    <t>13/05/2025 15:00</t>
  </si>
  <si>
    <t>13/05/2025 15:15</t>
  </si>
  <si>
    <t>13/05/2025 15:30</t>
  </si>
  <si>
    <t>13/05/2025 15:45</t>
  </si>
  <si>
    <t>13/05/2025 16:00</t>
  </si>
  <si>
    <t>13/05/2025 16:15</t>
  </si>
  <si>
    <t>13/05/2025 16:30</t>
  </si>
  <si>
    <t>13/05/2025 16:45</t>
  </si>
  <si>
    <t>13/05/2025 17:00</t>
  </si>
  <si>
    <t>13/05/2025 17:15</t>
  </si>
  <si>
    <t>13/05/2025 17:30</t>
  </si>
  <si>
    <t>13/05/2025 17:45</t>
  </si>
  <si>
    <t>13/05/2025 18:00</t>
  </si>
  <si>
    <t>13/05/2025 18:15</t>
  </si>
  <si>
    <t>13/05/2025 18:30</t>
  </si>
  <si>
    <t>13/05/2025 18:45</t>
  </si>
  <si>
    <t>13/05/2025 19:00</t>
  </si>
  <si>
    <t>13/05/2025 19:15</t>
  </si>
  <si>
    <t>13/05/2025 19:30</t>
  </si>
  <si>
    <t>13/05/2025 19:45</t>
  </si>
  <si>
    <t>13/05/2025 20:00</t>
  </si>
  <si>
    <t>13/05/2025 20:15</t>
  </si>
  <si>
    <t>13/05/2025 20:30</t>
  </si>
  <si>
    <t>13/05/2025 20:45</t>
  </si>
  <si>
    <t>13/05/2025 21:00</t>
  </si>
  <si>
    <t>13/05/2025 21:15</t>
  </si>
  <si>
    <t>13/05/2025 21:30</t>
  </si>
  <si>
    <t>13/05/2025 21:45</t>
  </si>
  <si>
    <t>13/05/2025 22:00</t>
  </si>
  <si>
    <t>13/05/2025 22:15</t>
  </si>
  <si>
    <t>13/05/2025 22:30</t>
  </si>
  <si>
    <t>13/05/2025 22:45</t>
  </si>
  <si>
    <t>13/05/2025 23:00</t>
  </si>
  <si>
    <t>13/05/2025 23:15</t>
  </si>
  <si>
    <t>13/05/2025 23:30</t>
  </si>
  <si>
    <t>13/05/2025 23:45</t>
  </si>
  <si>
    <t>13/05/2025 24:00</t>
  </si>
  <si>
    <t>14/05/2025 00:15</t>
  </si>
  <si>
    <t>14/05/2025 00:30</t>
  </si>
  <si>
    <t>14/05/2025 00:45</t>
  </si>
  <si>
    <t>14/05/2025 01:00</t>
  </si>
  <si>
    <t>14/05/2025 01:15</t>
  </si>
  <si>
    <t>14/05/2025 01:30</t>
  </si>
  <si>
    <t>14/05/2025 01:45</t>
  </si>
  <si>
    <t>14/05/2025 02:00</t>
  </si>
  <si>
    <t>14/05/2025 02:15</t>
  </si>
  <si>
    <t>14/05/2025 02:30</t>
  </si>
  <si>
    <t>14/05/2025 02:45</t>
  </si>
  <si>
    <t>14/05/2025 03:00</t>
  </si>
  <si>
    <t>14/05/2025 03:15</t>
  </si>
  <si>
    <t>14/05/2025 03:30</t>
  </si>
  <si>
    <t>14/05/2025 03:45</t>
  </si>
  <si>
    <t>14/05/2025 04:00</t>
  </si>
  <si>
    <t>14/05/2025 04:15</t>
  </si>
  <si>
    <t>14/05/2025 04:30</t>
  </si>
  <si>
    <t>14/05/2025 04:45</t>
  </si>
  <si>
    <t>14/05/2025 05:00</t>
  </si>
  <si>
    <t>14/05/2025 05:15</t>
  </si>
  <si>
    <t>14/05/2025 05:30</t>
  </si>
  <si>
    <t>14/05/2025 05:45</t>
  </si>
  <si>
    <t>14/05/2025 06:00</t>
  </si>
  <si>
    <t>14/05/2025 06:15</t>
  </si>
  <si>
    <t>14/05/2025 06:30</t>
  </si>
  <si>
    <t>14/05/2025 06:45</t>
  </si>
  <si>
    <t>14/05/2025 07:00</t>
  </si>
  <si>
    <t>14/05/2025 07:15</t>
  </si>
  <si>
    <t>14/05/2025 07:30</t>
  </si>
  <si>
    <t>14/05/2025 07:45</t>
  </si>
  <si>
    <t>14/05/2025 08:00</t>
  </si>
  <si>
    <t>14/05/2025 08:15</t>
  </si>
  <si>
    <t>14/05/2025 08:30</t>
  </si>
  <si>
    <t>14/05/2025 08:45</t>
  </si>
  <si>
    <t>14/05/2025 09:00</t>
  </si>
  <si>
    <t>14/05/2025 09:15</t>
  </si>
  <si>
    <t>14/05/2025 09:30</t>
  </si>
  <si>
    <t>14/05/2025 09:45</t>
  </si>
  <si>
    <t>14/05/2025 10:00</t>
  </si>
  <si>
    <t>14/05/2025 10:15</t>
  </si>
  <si>
    <t>14/05/2025 10:30</t>
  </si>
  <si>
    <t>14/05/2025 10:45</t>
  </si>
  <si>
    <t>14/05/2025 11:00</t>
  </si>
  <si>
    <t>14/05/2025 11:15</t>
  </si>
  <si>
    <t>14/05/2025 11:30</t>
  </si>
  <si>
    <t>14/05/2025 11:45</t>
  </si>
  <si>
    <t>14/05/2025 12:00</t>
  </si>
  <si>
    <t>14/05/2025 12:15</t>
  </si>
  <si>
    <t>14/05/2025 12:30</t>
  </si>
  <si>
    <t>14/05/2025 12:45</t>
  </si>
  <si>
    <t>14/05/2025 13:00</t>
  </si>
  <si>
    <t>14/05/2025 13:15</t>
  </si>
  <si>
    <t>14/05/2025 13:30</t>
  </si>
  <si>
    <t>14/05/2025 13:45</t>
  </si>
  <si>
    <t>14/05/2025 14:00</t>
  </si>
  <si>
    <t>14/05/2025 14:15</t>
  </si>
  <si>
    <t>14/05/2025 14:30</t>
  </si>
  <si>
    <t>14/05/2025 14:45</t>
  </si>
  <si>
    <t>14/05/2025 15:00</t>
  </si>
  <si>
    <t>14/05/2025 15:15</t>
  </si>
  <si>
    <t>14/05/2025 15:30</t>
  </si>
  <si>
    <t>14/05/2025 15:45</t>
  </si>
  <si>
    <t>14/05/2025 16:00</t>
  </si>
  <si>
    <t>14/05/2025 16:15</t>
  </si>
  <si>
    <t>14/05/2025 16:30</t>
  </si>
  <si>
    <t>14/05/2025 16:45</t>
  </si>
  <si>
    <t>14/05/2025 17:00</t>
  </si>
  <si>
    <t>14/05/2025 17:15</t>
  </si>
  <si>
    <t>14/05/2025 17:30</t>
  </si>
  <si>
    <t>14/05/2025 17:45</t>
  </si>
  <si>
    <t>14/05/2025 18:00</t>
  </si>
  <si>
    <t>14/05/2025 18:15</t>
  </si>
  <si>
    <t>14/05/2025 18:30</t>
  </si>
  <si>
    <t>14/05/2025 18:45</t>
  </si>
  <si>
    <t>14/05/2025 19:00</t>
  </si>
  <si>
    <t>14/05/2025 19:15</t>
  </si>
  <si>
    <t>14/05/2025 19:30</t>
  </si>
  <si>
    <t>14/05/2025 19:45</t>
  </si>
  <si>
    <t>14/05/2025 20:00</t>
  </si>
  <si>
    <t>14/05/2025 20:15</t>
  </si>
  <si>
    <t>14/05/2025 20:30</t>
  </si>
  <si>
    <t>14/05/2025 20:45</t>
  </si>
  <si>
    <t>14/05/2025 21:00</t>
  </si>
  <si>
    <t>14/05/2025 21:15</t>
  </si>
  <si>
    <t>14/05/2025 21:30</t>
  </si>
  <si>
    <t>14/05/2025 21:45</t>
  </si>
  <si>
    <t>14/05/2025 22:00</t>
  </si>
  <si>
    <t>14/05/2025 22:15</t>
  </si>
  <si>
    <t>14/05/2025 22:30</t>
  </si>
  <si>
    <t>14/05/2025 22:45</t>
  </si>
  <si>
    <t>14/05/2025 23:00</t>
  </si>
  <si>
    <t>14/05/2025 23:15</t>
  </si>
  <si>
    <t>14/05/2025 23:30</t>
  </si>
  <si>
    <t>14/05/2025 23:45</t>
  </si>
  <si>
    <t>14/05/2025 24:00</t>
  </si>
  <si>
    <t>15/05/2025 00:15</t>
  </si>
  <si>
    <t>15/05/2025 00:30</t>
  </si>
  <si>
    <t>15/05/2025 00:45</t>
  </si>
  <si>
    <t>15/05/2025 01:00</t>
  </si>
  <si>
    <t>15/05/2025 01:15</t>
  </si>
  <si>
    <t>15/05/2025 01:30</t>
  </si>
  <si>
    <t>15/05/2025 01:45</t>
  </si>
  <si>
    <t>15/05/2025 02:00</t>
  </si>
  <si>
    <t>15/05/2025 02:15</t>
  </si>
  <si>
    <t>15/05/2025 02:30</t>
  </si>
  <si>
    <t>15/05/2025 02:45</t>
  </si>
  <si>
    <t>15/05/2025 03:00</t>
  </si>
  <si>
    <t>15/05/2025 03:15</t>
  </si>
  <si>
    <t>15/05/2025 03:30</t>
  </si>
  <si>
    <t>15/05/2025 03:45</t>
  </si>
  <si>
    <t>15/05/2025 04:00</t>
  </si>
  <si>
    <t>15/05/2025 04:15</t>
  </si>
  <si>
    <t>15/05/2025 04:30</t>
  </si>
  <si>
    <t>15/05/2025 04:45</t>
  </si>
  <si>
    <t>15/05/2025 05:00</t>
  </si>
  <si>
    <t>15/05/2025 05:15</t>
  </si>
  <si>
    <t>15/05/2025 05:30</t>
  </si>
  <si>
    <t>15/05/2025 05:45</t>
  </si>
  <si>
    <t>15/05/2025 06:00</t>
  </si>
  <si>
    <t>15/05/2025 06:15</t>
  </si>
  <si>
    <t>15/05/2025 06:30</t>
  </si>
  <si>
    <t>15/05/2025 06:45</t>
  </si>
  <si>
    <t>15/05/2025 07:00</t>
  </si>
  <si>
    <t>15/05/2025 07:15</t>
  </si>
  <si>
    <t>15/05/2025 07:30</t>
  </si>
  <si>
    <t>15/05/2025 07:45</t>
  </si>
  <si>
    <t>15/05/2025 08:00</t>
  </si>
  <si>
    <t>15/05/2025 08:15</t>
  </si>
  <si>
    <t>15/05/2025 08:30</t>
  </si>
  <si>
    <t>15/05/2025 08:45</t>
  </si>
  <si>
    <t>15/05/2025 09:00</t>
  </si>
  <si>
    <t>15/05/2025 09:15</t>
  </si>
  <si>
    <t>15/05/2025 09:30</t>
  </si>
  <si>
    <t>15/05/2025 09:45</t>
  </si>
  <si>
    <t>15/05/2025 10:00</t>
  </si>
  <si>
    <t>15/05/2025 10:15</t>
  </si>
  <si>
    <t>15/05/2025 10:30</t>
  </si>
  <si>
    <t>15/05/2025 10:45</t>
  </si>
  <si>
    <t>15/05/2025 11:00</t>
  </si>
  <si>
    <t>15/05/2025 11:15</t>
  </si>
  <si>
    <t>15/05/2025 11:30</t>
  </si>
  <si>
    <t>15/05/2025 11:45</t>
  </si>
  <si>
    <t>15/05/2025 12:00</t>
  </si>
  <si>
    <t>15/05/2025 12:15</t>
  </si>
  <si>
    <t>15/05/2025 12:30</t>
  </si>
  <si>
    <t>15/05/2025 12:45</t>
  </si>
  <si>
    <t>15/05/2025 13:00</t>
  </si>
  <si>
    <t>15/05/2025 13:15</t>
  </si>
  <si>
    <t>15/05/2025 13:30</t>
  </si>
  <si>
    <t>15/05/2025 13:45</t>
  </si>
  <si>
    <t>15/05/2025 14:00</t>
  </si>
  <si>
    <t>15/05/2025 14:15</t>
  </si>
  <si>
    <t>15/05/2025 14:30</t>
  </si>
  <si>
    <t>15/05/2025 14:45</t>
  </si>
  <si>
    <t>15/05/2025 15:00</t>
  </si>
  <si>
    <t>15/05/2025 15:15</t>
  </si>
  <si>
    <t>15/05/2025 15:30</t>
  </si>
  <si>
    <t>15/05/2025 15:45</t>
  </si>
  <si>
    <t>15/05/2025 16:00</t>
  </si>
  <si>
    <t>15/05/2025 16:15</t>
  </si>
  <si>
    <t>15/05/2025 16:30</t>
  </si>
  <si>
    <t>15/05/2025 16:45</t>
  </si>
  <si>
    <t>15/05/2025 17:00</t>
  </si>
  <si>
    <t>15/05/2025 17:15</t>
  </si>
  <si>
    <t>15/05/2025 17:30</t>
  </si>
  <si>
    <t>15/05/2025 17:45</t>
  </si>
  <si>
    <t>15/05/2025 18:00</t>
  </si>
  <si>
    <t>15/05/2025 18:15</t>
  </si>
  <si>
    <t>15/05/2025 18:30</t>
  </si>
  <si>
    <t>15/05/2025 18:45</t>
  </si>
  <si>
    <t>15/05/2025 19:00</t>
  </si>
  <si>
    <t>15/05/2025 19:15</t>
  </si>
  <si>
    <t>15/05/2025 19:30</t>
  </si>
  <si>
    <t>15/05/2025 19:45</t>
  </si>
  <si>
    <t>15/05/2025 20:00</t>
  </si>
  <si>
    <t>15/05/2025 20:15</t>
  </si>
  <si>
    <t>15/05/2025 20:30</t>
  </si>
  <si>
    <t>15/05/2025 20:45</t>
  </si>
  <si>
    <t>15/05/2025 21:00</t>
  </si>
  <si>
    <t>15/05/2025 21:15</t>
  </si>
  <si>
    <t>15/05/2025 21:30</t>
  </si>
  <si>
    <t>15/05/2025 21:45</t>
  </si>
  <si>
    <t>15/05/2025 22:00</t>
  </si>
  <si>
    <t>15/05/2025 22:15</t>
  </si>
  <si>
    <t>15/05/2025 22:30</t>
  </si>
  <si>
    <t>15/05/2025 22:45</t>
  </si>
  <si>
    <t>15/05/2025 23:00</t>
  </si>
  <si>
    <t>15/05/2025 23:15</t>
  </si>
  <si>
    <t>15/05/2025 23:30</t>
  </si>
  <si>
    <t>15/05/2025 23:45</t>
  </si>
  <si>
    <t>15/05/2025 24:00</t>
  </si>
  <si>
    <t>16/05/2025 00:15</t>
  </si>
  <si>
    <t>16/05/2025 00:30</t>
  </si>
  <si>
    <t>16/05/2025 00:45</t>
  </si>
  <si>
    <t>16/05/2025 01:00</t>
  </si>
  <si>
    <t>16/05/2025 01:15</t>
  </si>
  <si>
    <t>16/05/2025 01:30</t>
  </si>
  <si>
    <t>16/05/2025 01:45</t>
  </si>
  <si>
    <t>16/05/2025 02:00</t>
  </si>
  <si>
    <t>16/05/2025 02:15</t>
  </si>
  <si>
    <t>16/05/2025 02:30</t>
  </si>
  <si>
    <t>16/05/2025 02:45</t>
  </si>
  <si>
    <t>16/05/2025 03:00</t>
  </si>
  <si>
    <t>16/05/2025 03:15</t>
  </si>
  <si>
    <t>16/05/2025 03:30</t>
  </si>
  <si>
    <t>16/05/2025 03:45</t>
  </si>
  <si>
    <t>16/05/2025 04:00</t>
  </si>
  <si>
    <t>16/05/2025 04:15</t>
  </si>
  <si>
    <t>16/05/2025 04:30</t>
  </si>
  <si>
    <t>16/05/2025 04:45</t>
  </si>
  <si>
    <t>16/05/2025 05:00</t>
  </si>
  <si>
    <t>16/05/2025 05:15</t>
  </si>
  <si>
    <t>16/05/2025 05:30</t>
  </si>
  <si>
    <t>16/05/2025 05:45</t>
  </si>
  <si>
    <t>16/05/2025 06:00</t>
  </si>
  <si>
    <t>16/05/2025 06:15</t>
  </si>
  <si>
    <t>16/05/2025 06:30</t>
  </si>
  <si>
    <t>16/05/2025 06:45</t>
  </si>
  <si>
    <t>16/05/2025 07:00</t>
  </si>
  <si>
    <t>16/05/2025 07:15</t>
  </si>
  <si>
    <t>16/05/2025 07:30</t>
  </si>
  <si>
    <t>16/05/2025 07:45</t>
  </si>
  <si>
    <t>16/05/2025 08:00</t>
  </si>
  <si>
    <t>16/05/2025 08:15</t>
  </si>
  <si>
    <t>16/05/2025 08:30</t>
  </si>
  <si>
    <t>16/05/2025 08:45</t>
  </si>
  <si>
    <t>16/05/2025 09:00</t>
  </si>
  <si>
    <t>16/05/2025 09:15</t>
  </si>
  <si>
    <t>16/05/2025 09:30</t>
  </si>
  <si>
    <t>16/05/2025 09:45</t>
  </si>
  <si>
    <t>16/05/2025 10:00</t>
  </si>
  <si>
    <t>16/05/2025 10:15</t>
  </si>
  <si>
    <t>16/05/2025 10:30</t>
  </si>
  <si>
    <t>16/05/2025 10:45</t>
  </si>
  <si>
    <t>16/05/2025 11:00</t>
  </si>
  <si>
    <t>16/05/2025 11:15</t>
  </si>
  <si>
    <t>16/05/2025 11:30</t>
  </si>
  <si>
    <t>16/05/2025 11:45</t>
  </si>
  <si>
    <t>16/05/2025 12:00</t>
  </si>
  <si>
    <t>16/05/2025 12:15</t>
  </si>
  <si>
    <t>16/05/2025 12:30</t>
  </si>
  <si>
    <t>16/05/2025 12:45</t>
  </si>
  <si>
    <t>16/05/2025 13:00</t>
  </si>
  <si>
    <t>16/05/2025 13:15</t>
  </si>
  <si>
    <t>16/05/2025 13:30</t>
  </si>
  <si>
    <t>16/05/2025 13:45</t>
  </si>
  <si>
    <t>16/05/2025 14:00</t>
  </si>
  <si>
    <t>16/05/2025 14:15</t>
  </si>
  <si>
    <t>16/05/2025 14:30</t>
  </si>
  <si>
    <t>16/05/2025 14:45</t>
  </si>
  <si>
    <t>16/05/2025 15:00</t>
  </si>
  <si>
    <t>16/05/2025 15:15</t>
  </si>
  <si>
    <t>16/05/2025 15:30</t>
  </si>
  <si>
    <t>16/05/2025 15:45</t>
  </si>
  <si>
    <t>16/05/2025 16:00</t>
  </si>
  <si>
    <t>16/05/2025 16:15</t>
  </si>
  <si>
    <t>16/05/2025 16:30</t>
  </si>
  <si>
    <t>16/05/2025 16:45</t>
  </si>
  <si>
    <t>16/05/2025 17:00</t>
  </si>
  <si>
    <t>16/05/2025 17:15</t>
  </si>
  <si>
    <t>16/05/2025 17:30</t>
  </si>
  <si>
    <t>16/05/2025 17:45</t>
  </si>
  <si>
    <t>16/05/2025 18:00</t>
  </si>
  <si>
    <t>16/05/2025 18:15</t>
  </si>
  <si>
    <t>16/05/2025 18:30</t>
  </si>
  <si>
    <t>16/05/2025 18:45</t>
  </si>
  <si>
    <t>16/05/2025 19:00</t>
  </si>
  <si>
    <t>16/05/2025 19:15</t>
  </si>
  <si>
    <t>16/05/2025 19:30</t>
  </si>
  <si>
    <t>16/05/2025 19:45</t>
  </si>
  <si>
    <t>16/05/2025 20:00</t>
  </si>
  <si>
    <t>16/05/2025 20:15</t>
  </si>
  <si>
    <t>16/05/2025 20:30</t>
  </si>
  <si>
    <t>16/05/2025 20:45</t>
  </si>
  <si>
    <t>16/05/2025 21:00</t>
  </si>
  <si>
    <t>16/05/2025 21:15</t>
  </si>
  <si>
    <t>16/05/2025 21:30</t>
  </si>
  <si>
    <t>16/05/2025 21:45</t>
  </si>
  <si>
    <t>16/05/2025 22:00</t>
  </si>
  <si>
    <t>16/05/2025 22:15</t>
  </si>
  <si>
    <t>16/05/2025 22:30</t>
  </si>
  <si>
    <t>16/05/2025 22:45</t>
  </si>
  <si>
    <t>16/05/2025 23:00</t>
  </si>
  <si>
    <t>16/05/2025 23:15</t>
  </si>
  <si>
    <t>16/05/2025 23:30</t>
  </si>
  <si>
    <t>16/05/2025 23:45</t>
  </si>
  <si>
    <t>16/05/2025 24:00</t>
  </si>
  <si>
    <t>17/05/2025 00:15</t>
  </si>
  <si>
    <t>17/05/2025 00:30</t>
  </si>
  <si>
    <t>17/05/2025 00:45</t>
  </si>
  <si>
    <t>17/05/2025 01:00</t>
  </si>
  <si>
    <t>17/05/2025 01:15</t>
  </si>
  <si>
    <t>17/05/2025 01:30</t>
  </si>
  <si>
    <t>17/05/2025 01:45</t>
  </si>
  <si>
    <t>17/05/2025 02:00</t>
  </si>
  <si>
    <t>17/05/2025 02:15</t>
  </si>
  <si>
    <t>17/05/2025 02:30</t>
  </si>
  <si>
    <t>17/05/2025 02:45</t>
  </si>
  <si>
    <t>17/05/2025 03:00</t>
  </si>
  <si>
    <t>17/05/2025 03:15</t>
  </si>
  <si>
    <t>17/05/2025 03:30</t>
  </si>
  <si>
    <t>17/05/2025 03:45</t>
  </si>
  <si>
    <t>17/05/2025 04:00</t>
  </si>
  <si>
    <t>17/05/2025 04:15</t>
  </si>
  <si>
    <t>17/05/2025 04:30</t>
  </si>
  <si>
    <t>17/05/2025 04:45</t>
  </si>
  <si>
    <t>17/05/2025 05:00</t>
  </si>
  <si>
    <t>17/05/2025 05:15</t>
  </si>
  <si>
    <t>17/05/2025 05:30</t>
  </si>
  <si>
    <t>17/05/2025 05:45</t>
  </si>
  <si>
    <t>17/05/2025 06:00</t>
  </si>
  <si>
    <t>17/05/2025 06:15</t>
  </si>
  <si>
    <t>17/05/2025 06:30</t>
  </si>
  <si>
    <t>17/05/2025 06:45</t>
  </si>
  <si>
    <t>17/05/2025 07:00</t>
  </si>
  <si>
    <t>17/05/2025 07:15</t>
  </si>
  <si>
    <t>17/05/2025 07:30</t>
  </si>
  <si>
    <t>17/05/2025 07:45</t>
  </si>
  <si>
    <t>17/05/2025 08:00</t>
  </si>
  <si>
    <t>17/05/2025 08:15</t>
  </si>
  <si>
    <t>17/05/2025 08:30</t>
  </si>
  <si>
    <t>17/05/2025 08:45</t>
  </si>
  <si>
    <t>17/05/2025 09:00</t>
  </si>
  <si>
    <t>17/05/2025 09:15</t>
  </si>
  <si>
    <t>17/05/2025 09:30</t>
  </si>
  <si>
    <t>17/05/2025 09:45</t>
  </si>
  <si>
    <t>17/05/2025 10:00</t>
  </si>
  <si>
    <t>17/05/2025 10:15</t>
  </si>
  <si>
    <t>17/05/2025 10:30</t>
  </si>
  <si>
    <t>17/05/2025 10:45</t>
  </si>
  <si>
    <t>17/05/2025 11:00</t>
  </si>
  <si>
    <t>17/05/2025 11:15</t>
  </si>
  <si>
    <t>17/05/2025 11:30</t>
  </si>
  <si>
    <t>17/05/2025 11:45</t>
  </si>
  <si>
    <t>17/05/2025 12:00</t>
  </si>
  <si>
    <t>17/05/2025 12:15</t>
  </si>
  <si>
    <t>17/05/2025 12:30</t>
  </si>
  <si>
    <t>17/05/2025 12:45</t>
  </si>
  <si>
    <t>17/05/2025 13:00</t>
  </si>
  <si>
    <t>17/05/2025 13:15</t>
  </si>
  <si>
    <t>17/05/2025 13:30</t>
  </si>
  <si>
    <t>17/05/2025 13:45</t>
  </si>
  <si>
    <t>17/05/2025 14:00</t>
  </si>
  <si>
    <t>17/05/2025 14:15</t>
  </si>
  <si>
    <t>17/05/2025 14:30</t>
  </si>
  <si>
    <t>17/05/2025 14:45</t>
  </si>
  <si>
    <t>17/05/2025 15:00</t>
  </si>
  <si>
    <t>17/05/2025 15:15</t>
  </si>
  <si>
    <t>17/05/2025 15:30</t>
  </si>
  <si>
    <t>17/05/2025 15:45</t>
  </si>
  <si>
    <t>17/05/2025 16:00</t>
  </si>
  <si>
    <t>17/05/2025 16:15</t>
  </si>
  <si>
    <t>17/05/2025 16:30</t>
  </si>
  <si>
    <t>17/05/2025 16:45</t>
  </si>
  <si>
    <t>17/05/2025 17:00</t>
  </si>
  <si>
    <t>17/05/2025 17:15</t>
  </si>
  <si>
    <t>17/05/2025 17:30</t>
  </si>
  <si>
    <t>17/05/2025 17:45</t>
  </si>
  <si>
    <t>17/05/2025 18:00</t>
  </si>
  <si>
    <t>17/05/2025 18:15</t>
  </si>
  <si>
    <t>17/05/2025 18:30</t>
  </si>
  <si>
    <t>17/05/2025 18:45</t>
  </si>
  <si>
    <t>17/05/2025 19:00</t>
  </si>
  <si>
    <t>17/05/2025 19:15</t>
  </si>
  <si>
    <t>17/05/2025 19:30</t>
  </si>
  <si>
    <t>17/05/2025 19:45</t>
  </si>
  <si>
    <t>17/05/2025 20:00</t>
  </si>
  <si>
    <t>17/05/2025 20:15</t>
  </si>
  <si>
    <t>17/05/2025 20:30</t>
  </si>
  <si>
    <t>17/05/2025 20:45</t>
  </si>
  <si>
    <t>17/05/2025 21:00</t>
  </si>
  <si>
    <t>17/05/2025 21:15</t>
  </si>
  <si>
    <t>17/05/2025 21:30</t>
  </si>
  <si>
    <t>17/05/2025 21:45</t>
  </si>
  <si>
    <t>17/05/2025 22:00</t>
  </si>
  <si>
    <t>17/05/2025 22:15</t>
  </si>
  <si>
    <t>17/05/2025 22:30</t>
  </si>
  <si>
    <t>17/05/2025 22:45</t>
  </si>
  <si>
    <t>17/05/2025 23:00</t>
  </si>
  <si>
    <t>17/05/2025 23:15</t>
  </si>
  <si>
    <t>17/05/2025 23:30</t>
  </si>
  <si>
    <t>17/05/2025 23:45</t>
  </si>
  <si>
    <t>17/05/2025 24:00</t>
  </si>
  <si>
    <t>18/05/2025 00:15</t>
  </si>
  <si>
    <t>18/05/2025 00:30</t>
  </si>
  <si>
    <t>18/05/2025 00:45</t>
  </si>
  <si>
    <t>18/05/2025 01:00</t>
  </si>
  <si>
    <t>18/05/2025 01:15</t>
  </si>
  <si>
    <t>18/05/2025 01:30</t>
  </si>
  <si>
    <t>18/05/2025 01:45</t>
  </si>
  <si>
    <t>18/05/2025 02:00</t>
  </si>
  <si>
    <t>18/05/2025 02:15</t>
  </si>
  <si>
    <t>18/05/2025 02:30</t>
  </si>
  <si>
    <t>18/05/2025 02:45</t>
  </si>
  <si>
    <t>18/05/2025 03:00</t>
  </si>
  <si>
    <t>18/05/2025 03:15</t>
  </si>
  <si>
    <t>18/05/2025 03:30</t>
  </si>
  <si>
    <t>18/05/2025 03:45</t>
  </si>
  <si>
    <t>18/05/2025 04:00</t>
  </si>
  <si>
    <t>18/05/2025 04:15</t>
  </si>
  <si>
    <t>18/05/2025 04:30</t>
  </si>
  <si>
    <t>18/05/2025 04:45</t>
  </si>
  <si>
    <t>18/05/2025 05:00</t>
  </si>
  <si>
    <t>18/05/2025 05:15</t>
  </si>
  <si>
    <t>18/05/2025 05:30</t>
  </si>
  <si>
    <t>18/05/2025 05:45</t>
  </si>
  <si>
    <t>18/05/2025 06:00</t>
  </si>
  <si>
    <t>18/05/2025 06:15</t>
  </si>
  <si>
    <t>18/05/2025 06:30</t>
  </si>
  <si>
    <t>18/05/2025 06:45</t>
  </si>
  <si>
    <t>18/05/2025 07:00</t>
  </si>
  <si>
    <t>18/05/2025 07:15</t>
  </si>
  <si>
    <t>18/05/2025 07:30</t>
  </si>
  <si>
    <t>18/05/2025 07:45</t>
  </si>
  <si>
    <t>18/05/2025 08:00</t>
  </si>
  <si>
    <t>18/05/2025 08:15</t>
  </si>
  <si>
    <t>18/05/2025 08:30</t>
  </si>
  <si>
    <t>18/05/2025 08:45</t>
  </si>
  <si>
    <t>18/05/2025 09:00</t>
  </si>
  <si>
    <t>18/05/2025 09:15</t>
  </si>
  <si>
    <t>18/05/2025 09:30</t>
  </si>
  <si>
    <t>18/05/2025 09:45</t>
  </si>
  <si>
    <t>18/05/2025 10:00</t>
  </si>
  <si>
    <t>18/05/2025 10:15</t>
  </si>
  <si>
    <t>18/05/2025 10:30</t>
  </si>
  <si>
    <t>18/05/2025 10:45</t>
  </si>
  <si>
    <t>18/05/2025 11:00</t>
  </si>
  <si>
    <t>18/05/2025 11:15</t>
  </si>
  <si>
    <t>18/05/2025 11:30</t>
  </si>
  <si>
    <t>18/05/2025 11:45</t>
  </si>
  <si>
    <t>18/05/2025 12:00</t>
  </si>
  <si>
    <t>18/05/2025 12:15</t>
  </si>
  <si>
    <t>18/05/2025 12:30</t>
  </si>
  <si>
    <t>18/05/2025 12:45</t>
  </si>
  <si>
    <t>18/05/2025 13:00</t>
  </si>
  <si>
    <t>18/05/2025 13:15</t>
  </si>
  <si>
    <t>18/05/2025 13:30</t>
  </si>
  <si>
    <t>18/05/2025 13:45</t>
  </si>
  <si>
    <t>18/05/2025 14:00</t>
  </si>
  <si>
    <t>18/05/2025 14:15</t>
  </si>
  <si>
    <t>18/05/2025 14:30</t>
  </si>
  <si>
    <t>18/05/2025 14:45</t>
  </si>
  <si>
    <t>18/05/2025 15:00</t>
  </si>
  <si>
    <t>18/05/2025 15:15</t>
  </si>
  <si>
    <t>18/05/2025 15:30</t>
  </si>
  <si>
    <t>18/05/2025 15:45</t>
  </si>
  <si>
    <t>18/05/2025 16:00</t>
  </si>
  <si>
    <t>18/05/2025 16:15</t>
  </si>
  <si>
    <t>18/05/2025 16:30</t>
  </si>
  <si>
    <t>18/05/2025 16:45</t>
  </si>
  <si>
    <t>18/05/2025 17:00</t>
  </si>
  <si>
    <t>18/05/2025 17:15</t>
  </si>
  <si>
    <t>18/05/2025 17:30</t>
  </si>
  <si>
    <t>18/05/2025 17:45</t>
  </si>
  <si>
    <t>18/05/2025 18:00</t>
  </si>
  <si>
    <t>18/05/2025 18:15</t>
  </si>
  <si>
    <t>18/05/2025 18:30</t>
  </si>
  <si>
    <t>18/05/2025 18:45</t>
  </si>
  <si>
    <t>18/05/2025 19:00</t>
  </si>
  <si>
    <t>18/05/2025 19:15</t>
  </si>
  <si>
    <t>18/05/2025 19:30</t>
  </si>
  <si>
    <t>18/05/2025 19:45</t>
  </si>
  <si>
    <t>18/05/2025 20:00</t>
  </si>
  <si>
    <t>18/05/2025 20:15</t>
  </si>
  <si>
    <t>18/05/2025 20:30</t>
  </si>
  <si>
    <t>18/05/2025 20:45</t>
  </si>
  <si>
    <t>18/05/2025 21:00</t>
  </si>
  <si>
    <t>18/05/2025 21:15</t>
  </si>
  <si>
    <t>18/05/2025 21:30</t>
  </si>
  <si>
    <t>18/05/2025 21:45</t>
  </si>
  <si>
    <t>18/05/2025 22:00</t>
  </si>
  <si>
    <t>18/05/2025 22:15</t>
  </si>
  <si>
    <t>18/05/2025 22:30</t>
  </si>
  <si>
    <t>18/05/2025 22:45</t>
  </si>
  <si>
    <t>18/05/2025 23:00</t>
  </si>
  <si>
    <t>18/05/2025 23:15</t>
  </si>
  <si>
    <t>18/05/2025 23:30</t>
  </si>
  <si>
    <t>18/05/2025 23:45</t>
  </si>
  <si>
    <t>18/05/2025 24:00</t>
  </si>
  <si>
    <t>19/05/2025 00:15</t>
  </si>
  <si>
    <t>19/05/2025 00:30</t>
  </si>
  <si>
    <t>19/05/2025 00:45</t>
  </si>
  <si>
    <t>19/05/2025 01:00</t>
  </si>
  <si>
    <t>19/05/2025 01:15</t>
  </si>
  <si>
    <t>19/05/2025 01:30</t>
  </si>
  <si>
    <t>19/05/2025 01:45</t>
  </si>
  <si>
    <t>19/05/2025 02:00</t>
  </si>
  <si>
    <t>19/05/2025 02:15</t>
  </si>
  <si>
    <t>19/05/2025 02:30</t>
  </si>
  <si>
    <t>19/05/2025 02:45</t>
  </si>
  <si>
    <t>19/05/2025 03:00</t>
  </si>
  <si>
    <t>19/05/2025 03:15</t>
  </si>
  <si>
    <t>19/05/2025 03:30</t>
  </si>
  <si>
    <t>19/05/2025 03:45</t>
  </si>
  <si>
    <t>19/05/2025 04:00</t>
  </si>
  <si>
    <t>19/05/2025 04:15</t>
  </si>
  <si>
    <t>19/05/2025 04:30</t>
  </si>
  <si>
    <t>19/05/2025 04:45</t>
  </si>
  <si>
    <t>19/05/2025 05:00</t>
  </si>
  <si>
    <t>19/05/2025 05:15</t>
  </si>
  <si>
    <t>19/05/2025 05:30</t>
  </si>
  <si>
    <t>19/05/2025 05:45</t>
  </si>
  <si>
    <t>19/05/2025 06:00</t>
  </si>
  <si>
    <t>19/05/2025 06:15</t>
  </si>
  <si>
    <t>19/05/2025 06:30</t>
  </si>
  <si>
    <t>19/05/2025 06:45</t>
  </si>
  <si>
    <t>19/05/2025 07:00</t>
  </si>
  <si>
    <t>19/05/2025 07:15</t>
  </si>
  <si>
    <t>19/05/2025 07:30</t>
  </si>
  <si>
    <t>19/05/2025 07:45</t>
  </si>
  <si>
    <t>19/05/2025 08:00</t>
  </si>
  <si>
    <t>19/05/2025 08:15</t>
  </si>
  <si>
    <t>19/05/2025 08:30</t>
  </si>
  <si>
    <t>19/05/2025 08:45</t>
  </si>
  <si>
    <t>19/05/2025 09:00</t>
  </si>
  <si>
    <t>19/05/2025 09:15</t>
  </si>
  <si>
    <t>19/05/2025 09:30</t>
  </si>
  <si>
    <t>19/05/2025 09:45</t>
  </si>
  <si>
    <t>19/05/2025 10:00</t>
  </si>
  <si>
    <t>19/05/2025 10:15</t>
  </si>
  <si>
    <t>19/05/2025 10:30</t>
  </si>
  <si>
    <t>19/05/2025 10:45</t>
  </si>
  <si>
    <t>19/05/2025 11:00</t>
  </si>
  <si>
    <t>19/05/2025 11:15</t>
  </si>
  <si>
    <t>19/05/2025 11:30</t>
  </si>
  <si>
    <t>19/05/2025 11:45</t>
  </si>
  <si>
    <t>19/05/2025 12:00</t>
  </si>
  <si>
    <t>19/05/2025 12:15</t>
  </si>
  <si>
    <t>19/05/2025 12:30</t>
  </si>
  <si>
    <t>19/05/2025 12:45</t>
  </si>
  <si>
    <t>19/05/2025 13:00</t>
  </si>
  <si>
    <t>19/05/2025 13:15</t>
  </si>
  <si>
    <t>19/05/2025 13:30</t>
  </si>
  <si>
    <t>19/05/2025 13:45</t>
  </si>
  <si>
    <t>19/05/2025 14:00</t>
  </si>
  <si>
    <t>19/05/2025 14:15</t>
  </si>
  <si>
    <t>19/05/2025 14:30</t>
  </si>
  <si>
    <t>19/05/2025 14:45</t>
  </si>
  <si>
    <t>19/05/2025 15:00</t>
  </si>
  <si>
    <t>19/05/2025 15:15</t>
  </si>
  <si>
    <t>19/05/2025 15:30</t>
  </si>
  <si>
    <t>19/05/2025 15:45</t>
  </si>
  <si>
    <t>19/05/2025 16:00</t>
  </si>
  <si>
    <t>19/05/2025 16:15</t>
  </si>
  <si>
    <t>19/05/2025 16:30</t>
  </si>
  <si>
    <t>19/05/2025 16:45</t>
  </si>
  <si>
    <t>19/05/2025 17:00</t>
  </si>
  <si>
    <t>19/05/2025 17:15</t>
  </si>
  <si>
    <t>19/05/2025 17:30</t>
  </si>
  <si>
    <t>19/05/2025 17:45</t>
  </si>
  <si>
    <t>19/05/2025 18:00</t>
  </si>
  <si>
    <t>19/05/2025 18:15</t>
  </si>
  <si>
    <t>19/05/2025 18:30</t>
  </si>
  <si>
    <t>19/05/2025 18:45</t>
  </si>
  <si>
    <t>19/05/2025 19:00</t>
  </si>
  <si>
    <t>19/05/2025 19:15</t>
  </si>
  <si>
    <t>19/05/2025 19:30</t>
  </si>
  <si>
    <t>19/05/2025 19:45</t>
  </si>
  <si>
    <t>19/05/2025 20:00</t>
  </si>
  <si>
    <t>19/05/2025 20:15</t>
  </si>
  <si>
    <t>19/05/2025 20:30</t>
  </si>
  <si>
    <t>19/05/2025 20:45</t>
  </si>
  <si>
    <t>19/05/2025 21:00</t>
  </si>
  <si>
    <t>19/05/2025 21:15</t>
  </si>
  <si>
    <t>19/05/2025 21:30</t>
  </si>
  <si>
    <t>19/05/2025 21:45</t>
  </si>
  <si>
    <t>19/05/2025 22:00</t>
  </si>
  <si>
    <t>19/05/2025 22:15</t>
  </si>
  <si>
    <t>19/05/2025 22:30</t>
  </si>
  <si>
    <t>19/05/2025 22:45</t>
  </si>
  <si>
    <t>19/05/2025 23:00</t>
  </si>
  <si>
    <t>19/05/2025 23:15</t>
  </si>
  <si>
    <t>19/05/2025 23:30</t>
  </si>
  <si>
    <t>19/05/2025 23:45</t>
  </si>
  <si>
    <t>19/05/2025 24:00</t>
  </si>
  <si>
    <t>20/05/2025 00:15</t>
  </si>
  <si>
    <t>20/05/2025 00:30</t>
  </si>
  <si>
    <t>20/05/2025 00:45</t>
  </si>
  <si>
    <t>20/05/2025 01:00</t>
  </si>
  <si>
    <t>20/05/2025 01:15</t>
  </si>
  <si>
    <t>20/05/2025 01:30</t>
  </si>
  <si>
    <t>20/05/2025 01:45</t>
  </si>
  <si>
    <t>20/05/2025 02:00</t>
  </si>
  <si>
    <t>20/05/2025 02:15</t>
  </si>
  <si>
    <t>20/05/2025 02:30</t>
  </si>
  <si>
    <t>20/05/2025 02:45</t>
  </si>
  <si>
    <t>20/05/2025 03:00</t>
  </si>
  <si>
    <t>20/05/2025 03:15</t>
  </si>
  <si>
    <t>20/05/2025 03:30</t>
  </si>
  <si>
    <t>20/05/2025 03:45</t>
  </si>
  <si>
    <t>20/05/2025 04:00</t>
  </si>
  <si>
    <t>20/05/2025 04:15</t>
  </si>
  <si>
    <t>20/05/2025 04:30</t>
  </si>
  <si>
    <t>20/05/2025 04:45</t>
  </si>
  <si>
    <t>20/05/2025 05:00</t>
  </si>
  <si>
    <t>20/05/2025 05:15</t>
  </si>
  <si>
    <t>20/05/2025 05:30</t>
  </si>
  <si>
    <t>20/05/2025 05:45</t>
  </si>
  <si>
    <t>20/05/2025 06:00</t>
  </si>
  <si>
    <t>20/05/2025 06:15</t>
  </si>
  <si>
    <t>20/05/2025 06:30</t>
  </si>
  <si>
    <t>20/05/2025 06:45</t>
  </si>
  <si>
    <t>20/05/2025 07:00</t>
  </si>
  <si>
    <t>20/05/2025 07:15</t>
  </si>
  <si>
    <t>20/05/2025 07:30</t>
  </si>
  <si>
    <t>20/05/2025 07:45</t>
  </si>
  <si>
    <t>20/05/2025 08:00</t>
  </si>
  <si>
    <t>20/05/2025 08:15</t>
  </si>
  <si>
    <t>20/05/2025 08:30</t>
  </si>
  <si>
    <t>20/05/2025 08:45</t>
  </si>
  <si>
    <t>20/05/2025 09:00</t>
  </si>
  <si>
    <t>20/05/2025 09:15</t>
  </si>
  <si>
    <t>20/05/2025 09:30</t>
  </si>
  <si>
    <t>20/05/2025 09:45</t>
  </si>
  <si>
    <t>20/05/2025 10:00</t>
  </si>
  <si>
    <t>20/05/2025 10:15</t>
  </si>
  <si>
    <t>20/05/2025 10:30</t>
  </si>
  <si>
    <t>20/05/2025 10:45</t>
  </si>
  <si>
    <t>20/05/2025 11:00</t>
  </si>
  <si>
    <t>20/05/2025 11:15</t>
  </si>
  <si>
    <t>20/05/2025 11:30</t>
  </si>
  <si>
    <t>20/05/2025 11:45</t>
  </si>
  <si>
    <t>20/05/2025 12:00</t>
  </si>
  <si>
    <t>20/05/2025 12:15</t>
  </si>
  <si>
    <t>20/05/2025 12:30</t>
  </si>
  <si>
    <t>20/05/2025 12:45</t>
  </si>
  <si>
    <t>20/05/2025 13:00</t>
  </si>
  <si>
    <t>20/05/2025 13:15</t>
  </si>
  <si>
    <t>20/05/2025 13:30</t>
  </si>
  <si>
    <t>20/05/2025 13:45</t>
  </si>
  <si>
    <t>20/05/2025 14:00</t>
  </si>
  <si>
    <t>20/05/2025 14:15</t>
  </si>
  <si>
    <t>20/05/2025 14:30</t>
  </si>
  <si>
    <t>20/05/2025 14:45</t>
  </si>
  <si>
    <t>20/05/2025 15:00</t>
  </si>
  <si>
    <t>20/05/2025 15:15</t>
  </si>
  <si>
    <t>20/05/2025 15:30</t>
  </si>
  <si>
    <t>20/05/2025 15:45</t>
  </si>
  <si>
    <t>20/05/2025 16:00</t>
  </si>
  <si>
    <t>20/05/2025 16:15</t>
  </si>
  <si>
    <t>20/05/2025 16:30</t>
  </si>
  <si>
    <t>20/05/2025 16:45</t>
  </si>
  <si>
    <t>20/05/2025 17:00</t>
  </si>
  <si>
    <t>20/05/2025 17:15</t>
  </si>
  <si>
    <t>20/05/2025 17:30</t>
  </si>
  <si>
    <t>20/05/2025 17:45</t>
  </si>
  <si>
    <t>20/05/2025 18:00</t>
  </si>
  <si>
    <t>20/05/2025 18:15</t>
  </si>
  <si>
    <t>20/05/2025 18:30</t>
  </si>
  <si>
    <t>20/05/2025 18:45</t>
  </si>
  <si>
    <t>20/05/2025 19:00</t>
  </si>
  <si>
    <t>20/05/2025 19:15</t>
  </si>
  <si>
    <t>20/05/2025 19:30</t>
  </si>
  <si>
    <t>20/05/2025 19:45</t>
  </si>
  <si>
    <t>20/05/2025 20:00</t>
  </si>
  <si>
    <t>20/05/2025 20:15</t>
  </si>
  <si>
    <t>20/05/2025 20:30</t>
  </si>
  <si>
    <t>20/05/2025 20:45</t>
  </si>
  <si>
    <t>20/05/2025 21:00</t>
  </si>
  <si>
    <t>20/05/2025 21:15</t>
  </si>
  <si>
    <t>20/05/2025 21:30</t>
  </si>
  <si>
    <t>20/05/2025 21:45</t>
  </si>
  <si>
    <t>20/05/2025 22:00</t>
  </si>
  <si>
    <t>20/05/2025 22:15</t>
  </si>
  <si>
    <t>20/05/2025 22:30</t>
  </si>
  <si>
    <t>20/05/2025 22:45</t>
  </si>
  <si>
    <t>20/05/2025 23:00</t>
  </si>
  <si>
    <t>20/05/2025 23:15</t>
  </si>
  <si>
    <t>20/05/2025 23:30</t>
  </si>
  <si>
    <t>20/05/2025 23:45</t>
  </si>
  <si>
    <t>20/05/2025 24:00</t>
  </si>
  <si>
    <t>21/05/2025 00:15</t>
  </si>
  <si>
    <t>21/05/2025 00:30</t>
  </si>
  <si>
    <t>21/05/2025 00:45</t>
  </si>
  <si>
    <t>21/05/2025 01:00</t>
  </si>
  <si>
    <t>21/05/2025 01:15</t>
  </si>
  <si>
    <t>21/05/2025 01:30</t>
  </si>
  <si>
    <t>21/05/2025 01:45</t>
  </si>
  <si>
    <t>21/05/2025 02:00</t>
  </si>
  <si>
    <t>21/05/2025 02:15</t>
  </si>
  <si>
    <t>21/05/2025 02:30</t>
  </si>
  <si>
    <t>21/05/2025 02:45</t>
  </si>
  <si>
    <t>21/05/2025 03:00</t>
  </si>
  <si>
    <t>21/05/2025 03:15</t>
  </si>
  <si>
    <t>21/05/2025 03:30</t>
  </si>
  <si>
    <t>21/05/2025 03:45</t>
  </si>
  <si>
    <t>21/05/2025 04:00</t>
  </si>
  <si>
    <t>21/05/2025 04:15</t>
  </si>
  <si>
    <t>21/05/2025 04:30</t>
  </si>
  <si>
    <t>21/05/2025 04:45</t>
  </si>
  <si>
    <t>21/05/2025 05:00</t>
  </si>
  <si>
    <t>21/05/2025 05:15</t>
  </si>
  <si>
    <t>21/05/2025 05:30</t>
  </si>
  <si>
    <t>21/05/2025 05:45</t>
  </si>
  <si>
    <t>21/05/2025 06:00</t>
  </si>
  <si>
    <t>21/05/2025 06:15</t>
  </si>
  <si>
    <t>21/05/2025 06:30</t>
  </si>
  <si>
    <t>21/05/2025 06:45</t>
  </si>
  <si>
    <t>21/05/2025 07:00</t>
  </si>
  <si>
    <t>21/05/2025 07:15</t>
  </si>
  <si>
    <t>21/05/2025 07:30</t>
  </si>
  <si>
    <t>21/05/2025 07:45</t>
  </si>
  <si>
    <t>21/05/2025 08:00</t>
  </si>
  <si>
    <t>21/05/2025 08:15</t>
  </si>
  <si>
    <t>21/05/2025 08:30</t>
  </si>
  <si>
    <t>21/05/2025 08:45</t>
  </si>
  <si>
    <t>21/05/2025 09:00</t>
  </si>
  <si>
    <t>21/05/2025 09:15</t>
  </si>
  <si>
    <t>21/05/2025 09:30</t>
  </si>
  <si>
    <t>21/05/2025 09:45</t>
  </si>
  <si>
    <t>21/05/2025 10:00</t>
  </si>
  <si>
    <t>21/05/2025 10:15</t>
  </si>
  <si>
    <t>21/05/2025 10:30</t>
  </si>
  <si>
    <t>21/05/2025 10:45</t>
  </si>
  <si>
    <t>21/05/2025 11:00</t>
  </si>
  <si>
    <t>21/05/2025 11:15</t>
  </si>
  <si>
    <t>21/05/2025 11:30</t>
  </si>
  <si>
    <t>21/05/2025 11:45</t>
  </si>
  <si>
    <t>21/05/2025 12:00</t>
  </si>
  <si>
    <t>21/05/2025 12:15</t>
  </si>
  <si>
    <t>21/05/2025 12:30</t>
  </si>
  <si>
    <t>21/05/2025 12:45</t>
  </si>
  <si>
    <t>21/05/2025 13:00</t>
  </si>
  <si>
    <t>21/05/2025 13:15</t>
  </si>
  <si>
    <t>21/05/2025 13:30</t>
  </si>
  <si>
    <t>21/05/2025 13:45</t>
  </si>
  <si>
    <t>21/05/2025 14:00</t>
  </si>
  <si>
    <t>21/05/2025 14:15</t>
  </si>
  <si>
    <t>21/05/2025 14:30</t>
  </si>
  <si>
    <t>21/05/2025 14:45</t>
  </si>
  <si>
    <t>21/05/2025 15:00</t>
  </si>
  <si>
    <t>21/05/2025 15:15</t>
  </si>
  <si>
    <t>21/05/2025 15:30</t>
  </si>
  <si>
    <t>21/05/2025 15:45</t>
  </si>
  <si>
    <t>21/05/2025 16:00</t>
  </si>
  <si>
    <t>21/05/2025 16:15</t>
  </si>
  <si>
    <t>21/05/2025 16:30</t>
  </si>
  <si>
    <t>21/05/2025 16:45</t>
  </si>
  <si>
    <t>21/05/2025 17:00</t>
  </si>
  <si>
    <t>21/05/2025 17:15</t>
  </si>
  <si>
    <t>21/05/2025 17:30</t>
  </si>
  <si>
    <t>21/05/2025 17:45</t>
  </si>
  <si>
    <t>21/05/2025 18:00</t>
  </si>
  <si>
    <t>21/05/2025 18:15</t>
  </si>
  <si>
    <t>21/05/2025 18:30</t>
  </si>
  <si>
    <t>21/05/2025 18:45</t>
  </si>
  <si>
    <t>21/05/2025 19:00</t>
  </si>
  <si>
    <t>21/05/2025 19:15</t>
  </si>
  <si>
    <t>21/05/2025 19:30</t>
  </si>
  <si>
    <t>21/05/2025 19:45</t>
  </si>
  <si>
    <t>21/05/2025 20:00</t>
  </si>
  <si>
    <t>21/05/2025 20:15</t>
  </si>
  <si>
    <t>21/05/2025 20:30</t>
  </si>
  <si>
    <t>21/05/2025 20:45</t>
  </si>
  <si>
    <t>21/05/2025 21:00</t>
  </si>
  <si>
    <t>21/05/2025 21:15</t>
  </si>
  <si>
    <t>21/05/2025 21:30</t>
  </si>
  <si>
    <t>21/05/2025 21:45</t>
  </si>
  <si>
    <t>21/05/2025 22:00</t>
  </si>
  <si>
    <t>21/05/2025 22:15</t>
  </si>
  <si>
    <t>21/05/2025 22:30</t>
  </si>
  <si>
    <t>21/05/2025 22:45</t>
  </si>
  <si>
    <t>21/05/2025 23:00</t>
  </si>
  <si>
    <t>21/05/2025 23:15</t>
  </si>
  <si>
    <t>21/05/2025 23:30</t>
  </si>
  <si>
    <t>21/05/2025 23:45</t>
  </si>
  <si>
    <t>21/05/2025 24:00</t>
  </si>
  <si>
    <t>22/05/2025 00:15</t>
  </si>
  <si>
    <t>22/05/2025 00:30</t>
  </si>
  <si>
    <t>22/05/2025 00:45</t>
  </si>
  <si>
    <t>22/05/2025 01:00</t>
  </si>
  <si>
    <t>22/05/2025 01:15</t>
  </si>
  <si>
    <t>22/05/2025 01:30</t>
  </si>
  <si>
    <t>22/05/2025 01:45</t>
  </si>
  <si>
    <t>22/05/2025 02:00</t>
  </si>
  <si>
    <t>22/05/2025 02:15</t>
  </si>
  <si>
    <t>22/05/2025 02:30</t>
  </si>
  <si>
    <t>22/05/2025 02:45</t>
  </si>
  <si>
    <t>22/05/2025 03:00</t>
  </si>
  <si>
    <t>22/05/2025 03:15</t>
  </si>
  <si>
    <t>22/05/2025 03:30</t>
  </si>
  <si>
    <t>22/05/2025 03:45</t>
  </si>
  <si>
    <t>22/05/2025 04:00</t>
  </si>
  <si>
    <t>22/05/2025 04:15</t>
  </si>
  <si>
    <t>22/05/2025 04:30</t>
  </si>
  <si>
    <t>22/05/2025 04:45</t>
  </si>
  <si>
    <t>22/05/2025 05:00</t>
  </si>
  <si>
    <t>22/05/2025 05:15</t>
  </si>
  <si>
    <t>22/05/2025 05:30</t>
  </si>
  <si>
    <t>22/05/2025 05:45</t>
  </si>
  <si>
    <t>22/05/2025 06:00</t>
  </si>
  <si>
    <t>22/05/2025 06:15</t>
  </si>
  <si>
    <t>22/05/2025 06:30</t>
  </si>
  <si>
    <t>22/05/2025 06:45</t>
  </si>
  <si>
    <t>22/05/2025 07:00</t>
  </si>
  <si>
    <t>22/05/2025 07:15</t>
  </si>
  <si>
    <t>22/05/2025 07:30</t>
  </si>
  <si>
    <t>22/05/2025 07:45</t>
  </si>
  <si>
    <t>22/05/2025 08:00</t>
  </si>
  <si>
    <t>22/05/2025 08:15</t>
  </si>
  <si>
    <t>22/05/2025 08:30</t>
  </si>
  <si>
    <t>22/05/2025 08:45</t>
  </si>
  <si>
    <t>22/05/2025 09:00</t>
  </si>
  <si>
    <t>22/05/2025 09:15</t>
  </si>
  <si>
    <t>22/05/2025 09:30</t>
  </si>
  <si>
    <t>22/05/2025 09:45</t>
  </si>
  <si>
    <t>22/05/2025 10:00</t>
  </si>
  <si>
    <t>22/05/2025 10:15</t>
  </si>
  <si>
    <t>22/05/2025 10:30</t>
  </si>
  <si>
    <t>22/05/2025 10:45</t>
  </si>
  <si>
    <t>22/05/2025 11:00</t>
  </si>
  <si>
    <t>22/05/2025 11:15</t>
  </si>
  <si>
    <t>22/05/2025 11:30</t>
  </si>
  <si>
    <t>22/05/2025 11:45</t>
  </si>
  <si>
    <t>22/05/2025 12:00</t>
  </si>
  <si>
    <t>22/05/2025 12:15</t>
  </si>
  <si>
    <t>22/05/2025 12:30</t>
  </si>
  <si>
    <t>22/05/2025 12:45</t>
  </si>
  <si>
    <t>22/05/2025 13:00</t>
  </si>
  <si>
    <t>22/05/2025 13:15</t>
  </si>
  <si>
    <t>22/05/2025 13:30</t>
  </si>
  <si>
    <t>22/05/2025 13:45</t>
  </si>
  <si>
    <t>22/05/2025 14:00</t>
  </si>
  <si>
    <t>22/05/2025 14:15</t>
  </si>
  <si>
    <t>22/05/2025 14:30</t>
  </si>
  <si>
    <t>22/05/2025 14:45</t>
  </si>
  <si>
    <t>22/05/2025 15:00</t>
  </si>
  <si>
    <t>22/05/2025 15:15</t>
  </si>
  <si>
    <t>22/05/2025 15:30</t>
  </si>
  <si>
    <t>22/05/2025 15:45</t>
  </si>
  <si>
    <t>22/05/2025 16:00</t>
  </si>
  <si>
    <t>22/05/2025 16:15</t>
  </si>
  <si>
    <t>22/05/2025 16:30</t>
  </si>
  <si>
    <t>22/05/2025 16:45</t>
  </si>
  <si>
    <t>22/05/2025 17:00</t>
  </si>
  <si>
    <t>22/05/2025 17:15</t>
  </si>
  <si>
    <t>22/05/2025 17:30</t>
  </si>
  <si>
    <t>22/05/2025 17:45</t>
  </si>
  <si>
    <t>22/05/2025 18:00</t>
  </si>
  <si>
    <t>22/05/2025 18:15</t>
  </si>
  <si>
    <t>22/05/2025 18:30</t>
  </si>
  <si>
    <t>22/05/2025 18:45</t>
  </si>
  <si>
    <t>22/05/2025 19:00</t>
  </si>
  <si>
    <t>22/05/2025 19:15</t>
  </si>
  <si>
    <t>22/05/2025 19:30</t>
  </si>
  <si>
    <t>22/05/2025 19:45</t>
  </si>
  <si>
    <t>22/05/2025 20:00</t>
  </si>
  <si>
    <t>22/05/2025 20:15</t>
  </si>
  <si>
    <t>22/05/2025 20:30</t>
  </si>
  <si>
    <t>22/05/2025 20:45</t>
  </si>
  <si>
    <t>22/05/2025 21:00</t>
  </si>
  <si>
    <t>22/05/2025 21:15</t>
  </si>
  <si>
    <t>22/05/2025 21:30</t>
  </si>
  <si>
    <t>22/05/2025 21:45</t>
  </si>
  <si>
    <t>22/05/2025 22:00</t>
  </si>
  <si>
    <t>22/05/2025 22:15</t>
  </si>
  <si>
    <t>22/05/2025 22:30</t>
  </si>
  <si>
    <t>22/05/2025 22:45</t>
  </si>
  <si>
    <t>22/05/2025 23:00</t>
  </si>
  <si>
    <t>22/05/2025 23:15</t>
  </si>
  <si>
    <t>22/05/2025 23:30</t>
  </si>
  <si>
    <t>22/05/2025 23:45</t>
  </si>
  <si>
    <t>22/05/2025 24:00</t>
  </si>
  <si>
    <t>23/05/2025 00:15</t>
  </si>
  <si>
    <t>23/05/2025 00:30</t>
  </si>
  <si>
    <t>23/05/2025 00:45</t>
  </si>
  <si>
    <t>23/05/2025 01:00</t>
  </si>
  <si>
    <t>23/05/2025 01:15</t>
  </si>
  <si>
    <t>23/05/2025 01:30</t>
  </si>
  <si>
    <t>23/05/2025 01:45</t>
  </si>
  <si>
    <t>23/05/2025 02:00</t>
  </si>
  <si>
    <t>23/05/2025 02:15</t>
  </si>
  <si>
    <t>23/05/2025 02:30</t>
  </si>
  <si>
    <t>23/05/2025 02:45</t>
  </si>
  <si>
    <t>23/05/2025 03:00</t>
  </si>
  <si>
    <t>23/05/2025 03:15</t>
  </si>
  <si>
    <t>23/05/2025 03:30</t>
  </si>
  <si>
    <t>23/05/2025 03:45</t>
  </si>
  <si>
    <t>23/05/2025 04:00</t>
  </si>
  <si>
    <t>23/05/2025 04:15</t>
  </si>
  <si>
    <t>23/05/2025 04:30</t>
  </si>
  <si>
    <t>23/05/2025 04:45</t>
  </si>
  <si>
    <t>23/05/2025 05:00</t>
  </si>
  <si>
    <t>23/05/2025 05:15</t>
  </si>
  <si>
    <t>23/05/2025 05:30</t>
  </si>
  <si>
    <t>23/05/2025 05:45</t>
  </si>
  <si>
    <t>23/05/2025 06:00</t>
  </si>
  <si>
    <t>23/05/2025 06:15</t>
  </si>
  <si>
    <t>23/05/2025 06:30</t>
  </si>
  <si>
    <t>23/05/2025 06:45</t>
  </si>
  <si>
    <t>23/05/2025 07:00</t>
  </si>
  <si>
    <t>23/05/2025 07:15</t>
  </si>
  <si>
    <t>23/05/2025 07:30</t>
  </si>
  <si>
    <t>23/05/2025 07:45</t>
  </si>
  <si>
    <t>23/05/2025 08:00</t>
  </si>
  <si>
    <t>23/05/2025 08:15</t>
  </si>
  <si>
    <t>23/05/2025 08:30</t>
  </si>
  <si>
    <t>23/05/2025 08:45</t>
  </si>
  <si>
    <t>23/05/2025 09:00</t>
  </si>
  <si>
    <t>23/05/2025 09:15</t>
  </si>
  <si>
    <t>23/05/2025 09:30</t>
  </si>
  <si>
    <t>23/05/2025 09:45</t>
  </si>
  <si>
    <t>23/05/2025 10:00</t>
  </si>
  <si>
    <t>23/05/2025 10:15</t>
  </si>
  <si>
    <t>23/05/2025 10:30</t>
  </si>
  <si>
    <t>23/05/2025 10:45</t>
  </si>
  <si>
    <t>23/05/2025 11:00</t>
  </si>
  <si>
    <t>23/05/2025 11:15</t>
  </si>
  <si>
    <t>23/05/2025 11:30</t>
  </si>
  <si>
    <t>23/05/2025 11:45</t>
  </si>
  <si>
    <t>23/05/2025 12:00</t>
  </si>
  <si>
    <t>23/05/2025 12:15</t>
  </si>
  <si>
    <t>23/05/2025 12:30</t>
  </si>
  <si>
    <t>23/05/2025 12:45</t>
  </si>
  <si>
    <t>23/05/2025 13:00</t>
  </si>
  <si>
    <t>23/05/2025 13:15</t>
  </si>
  <si>
    <t>23/05/2025 13:30</t>
  </si>
  <si>
    <t>23/05/2025 13:45</t>
  </si>
  <si>
    <t>23/05/2025 14:00</t>
  </si>
  <si>
    <t>23/05/2025 14:15</t>
  </si>
  <si>
    <t>23/05/2025 14:30</t>
  </si>
  <si>
    <t>23/05/2025 14:45</t>
  </si>
  <si>
    <t>23/05/2025 15:00</t>
  </si>
  <si>
    <t>23/05/2025 15:15</t>
  </si>
  <si>
    <t>23/05/2025 15:30</t>
  </si>
  <si>
    <t>23/05/2025 15:45</t>
  </si>
  <si>
    <t>23/05/2025 16:00</t>
  </si>
  <si>
    <t>23/05/2025 16:15</t>
  </si>
  <si>
    <t>23/05/2025 16:30</t>
  </si>
  <si>
    <t>23/05/2025 16:45</t>
  </si>
  <si>
    <t>23/05/2025 17:00</t>
  </si>
  <si>
    <t>23/05/2025 17:15</t>
  </si>
  <si>
    <t>23/05/2025 17:30</t>
  </si>
  <si>
    <t>23/05/2025 17:45</t>
  </si>
  <si>
    <t>23/05/2025 18:00</t>
  </si>
  <si>
    <t>23/05/2025 18:15</t>
  </si>
  <si>
    <t>23/05/2025 18:30</t>
  </si>
  <si>
    <t>23/05/2025 18:45</t>
  </si>
  <si>
    <t>23/05/2025 19:00</t>
  </si>
  <si>
    <t>23/05/2025 19:15</t>
  </si>
  <si>
    <t>23/05/2025 19:30</t>
  </si>
  <si>
    <t>23/05/2025 19:45</t>
  </si>
  <si>
    <t>23/05/2025 20:00</t>
  </si>
  <si>
    <t>23/05/2025 20:15</t>
  </si>
  <si>
    <t>23/05/2025 20:30</t>
  </si>
  <si>
    <t>23/05/2025 20:45</t>
  </si>
  <si>
    <t>23/05/2025 21:00</t>
  </si>
  <si>
    <t>23/05/2025 21:15</t>
  </si>
  <si>
    <t>23/05/2025 21:30</t>
  </si>
  <si>
    <t>23/05/2025 21:45</t>
  </si>
  <si>
    <t>23/05/2025 22:00</t>
  </si>
  <si>
    <t>23/05/2025 22:15</t>
  </si>
  <si>
    <t>23/05/2025 22:30</t>
  </si>
  <si>
    <t>23/05/2025 22:45</t>
  </si>
  <si>
    <t>23/05/2025 23:00</t>
  </si>
  <si>
    <t>23/05/2025 23:15</t>
  </si>
  <si>
    <t>23/05/2025 23:30</t>
  </si>
  <si>
    <t>23/05/2025 23:45</t>
  </si>
  <si>
    <t>23/05/2025 24:00</t>
  </si>
  <si>
    <t>24/05/2025 00:15</t>
  </si>
  <si>
    <t>24/05/2025 00:30</t>
  </si>
  <si>
    <t>24/05/2025 00:45</t>
  </si>
  <si>
    <t>24/05/2025 01:00</t>
  </si>
  <si>
    <t>24/05/2025 01:15</t>
  </si>
  <si>
    <t>24/05/2025 01:30</t>
  </si>
  <si>
    <t>24/05/2025 01:45</t>
  </si>
  <si>
    <t>24/05/2025 02:00</t>
  </si>
  <si>
    <t>24/05/2025 02:15</t>
  </si>
  <si>
    <t>24/05/2025 02:30</t>
  </si>
  <si>
    <t>24/05/2025 02:45</t>
  </si>
  <si>
    <t>24/05/2025 03:00</t>
  </si>
  <si>
    <t>24/05/2025 03:15</t>
  </si>
  <si>
    <t>24/05/2025 03:30</t>
  </si>
  <si>
    <t>24/05/2025 03:45</t>
  </si>
  <si>
    <t>24/05/2025 04:00</t>
  </si>
  <si>
    <t>24/05/2025 04:15</t>
  </si>
  <si>
    <t>24/05/2025 04:30</t>
  </si>
  <si>
    <t>24/05/2025 04:45</t>
  </si>
  <si>
    <t>24/05/2025 05:00</t>
  </si>
  <si>
    <t>24/05/2025 05:15</t>
  </si>
  <si>
    <t>24/05/2025 05:30</t>
  </si>
  <si>
    <t>24/05/2025 05:45</t>
  </si>
  <si>
    <t>24/05/2025 06:00</t>
  </si>
  <si>
    <t>24/05/2025 06:15</t>
  </si>
  <si>
    <t>24/05/2025 06:30</t>
  </si>
  <si>
    <t>24/05/2025 06:45</t>
  </si>
  <si>
    <t>24/05/2025 07:00</t>
  </si>
  <si>
    <t>24/05/2025 07:15</t>
  </si>
  <si>
    <t>24/05/2025 07:30</t>
  </si>
  <si>
    <t>24/05/2025 07:45</t>
  </si>
  <si>
    <t>24/05/2025 08:00</t>
  </si>
  <si>
    <t>24/05/2025 08:15</t>
  </si>
  <si>
    <t>24/05/2025 08:30</t>
  </si>
  <si>
    <t>24/05/2025 08:45</t>
  </si>
  <si>
    <t>24/05/2025 09:00</t>
  </si>
  <si>
    <t>24/05/2025 09:15</t>
  </si>
  <si>
    <t>24/05/2025 09:30</t>
  </si>
  <si>
    <t>24/05/2025 09:45</t>
  </si>
  <si>
    <t>24/05/2025 10:00</t>
  </si>
  <si>
    <t>24/05/2025 10:15</t>
  </si>
  <si>
    <t>24/05/2025 10:30</t>
  </si>
  <si>
    <t>24/05/2025 10:45</t>
  </si>
  <si>
    <t>24/05/2025 11:00</t>
  </si>
  <si>
    <t>24/05/2025 11:15</t>
  </si>
  <si>
    <t>24/05/2025 11:30</t>
  </si>
  <si>
    <t>24/05/2025 11:45</t>
  </si>
  <si>
    <t>24/05/2025 12:00</t>
  </si>
  <si>
    <t>24/05/2025 12:15</t>
  </si>
  <si>
    <t>24/05/2025 12:30</t>
  </si>
  <si>
    <t>24/05/2025 12:45</t>
  </si>
  <si>
    <t>24/05/2025 13:00</t>
  </si>
  <si>
    <t>24/05/2025 13:15</t>
  </si>
  <si>
    <t>24/05/2025 13:30</t>
  </si>
  <si>
    <t>24/05/2025 13:45</t>
  </si>
  <si>
    <t>24/05/2025 14:00</t>
  </si>
  <si>
    <t>24/05/2025 14:15</t>
  </si>
  <si>
    <t>24/05/2025 14:30</t>
  </si>
  <si>
    <t>24/05/2025 14:45</t>
  </si>
  <si>
    <t>24/05/2025 15:00</t>
  </si>
  <si>
    <t>24/05/2025 15:15</t>
  </si>
  <si>
    <t>24/05/2025 15:30</t>
  </si>
  <si>
    <t>24/05/2025 15:45</t>
  </si>
  <si>
    <t>24/05/2025 16:00</t>
  </si>
  <si>
    <t>24/05/2025 16:15</t>
  </si>
  <si>
    <t>24/05/2025 16:30</t>
  </si>
  <si>
    <t>24/05/2025 16:45</t>
  </si>
  <si>
    <t>24/05/2025 17:00</t>
  </si>
  <si>
    <t>24/05/2025 17:15</t>
  </si>
  <si>
    <t>24/05/2025 17:30</t>
  </si>
  <si>
    <t>24/05/2025 17:45</t>
  </si>
  <si>
    <t>24/05/2025 18:00</t>
  </si>
  <si>
    <t>24/05/2025 18:15</t>
  </si>
  <si>
    <t>24/05/2025 18:30</t>
  </si>
  <si>
    <t>24/05/2025 18:45</t>
  </si>
  <si>
    <t>24/05/2025 19:00</t>
  </si>
  <si>
    <t>24/05/2025 19:15</t>
  </si>
  <si>
    <t>24/05/2025 19:30</t>
  </si>
  <si>
    <t>24/05/2025 19:45</t>
  </si>
  <si>
    <t>24/05/2025 20:00</t>
  </si>
  <si>
    <t>24/05/2025 20:15</t>
  </si>
  <si>
    <t>24/05/2025 20:30</t>
  </si>
  <si>
    <t>24/05/2025 20:45</t>
  </si>
  <si>
    <t>24/05/2025 21:00</t>
  </si>
  <si>
    <t>24/05/2025 21:15</t>
  </si>
  <si>
    <t>24/05/2025 21:30</t>
  </si>
  <si>
    <t>24/05/2025 21:45</t>
  </si>
  <si>
    <t>24/05/2025 22:00</t>
  </si>
  <si>
    <t>24/05/2025 22:15</t>
  </si>
  <si>
    <t>24/05/2025 22:30</t>
  </si>
  <si>
    <t>24/05/2025 22:45</t>
  </si>
  <si>
    <t>24/05/2025 23:00</t>
  </si>
  <si>
    <t>24/05/2025 23:15</t>
  </si>
  <si>
    <t>24/05/2025 23:30</t>
  </si>
  <si>
    <t>24/05/2025 23:45</t>
  </si>
  <si>
    <t>24/05/2025 24:00</t>
  </si>
  <si>
    <t>25/05/2025 00:15</t>
  </si>
  <si>
    <t>25/05/2025 00:30</t>
  </si>
  <si>
    <t>25/05/2025 00:45</t>
  </si>
  <si>
    <t>25/05/2025 01:00</t>
  </si>
  <si>
    <t>25/05/2025 01:15</t>
  </si>
  <si>
    <t>25/05/2025 01:30</t>
  </si>
  <si>
    <t>25/05/2025 01:45</t>
  </si>
  <si>
    <t>25/05/2025 02:00</t>
  </si>
  <si>
    <t>25/05/2025 02:15</t>
  </si>
  <si>
    <t>25/05/2025 02:30</t>
  </si>
  <si>
    <t>25/05/2025 02:45</t>
  </si>
  <si>
    <t>25/05/2025 03:00</t>
  </si>
  <si>
    <t>25/05/2025 03:15</t>
  </si>
  <si>
    <t>25/05/2025 03:30</t>
  </si>
  <si>
    <t>25/05/2025 03:45</t>
  </si>
  <si>
    <t>25/05/2025 04:00</t>
  </si>
  <si>
    <t>25/05/2025 04:15</t>
  </si>
  <si>
    <t>25/05/2025 04:30</t>
  </si>
  <si>
    <t>25/05/2025 04:45</t>
  </si>
  <si>
    <t>25/05/2025 05:00</t>
  </si>
  <si>
    <t>25/05/2025 05:15</t>
  </si>
  <si>
    <t>25/05/2025 05:30</t>
  </si>
  <si>
    <t>25/05/2025 05:45</t>
  </si>
  <si>
    <t>25/05/2025 06:00</t>
  </si>
  <si>
    <t>25/05/2025 06:15</t>
  </si>
  <si>
    <t>25/05/2025 06:30</t>
  </si>
  <si>
    <t>25/05/2025 06:45</t>
  </si>
  <si>
    <t>25/05/2025 07:00</t>
  </si>
  <si>
    <t>25/05/2025 07:15</t>
  </si>
  <si>
    <t>25/05/2025 07:30</t>
  </si>
  <si>
    <t>25/05/2025 07:45</t>
  </si>
  <si>
    <t>25/05/2025 08:00</t>
  </si>
  <si>
    <t>25/05/2025 08:15</t>
  </si>
  <si>
    <t>25/05/2025 08:30</t>
  </si>
  <si>
    <t>25/05/2025 08:45</t>
  </si>
  <si>
    <t>25/05/2025 09:00</t>
  </si>
  <si>
    <t>25/05/2025 09:15</t>
  </si>
  <si>
    <t>25/05/2025 09:30</t>
  </si>
  <si>
    <t>25/05/2025 09:45</t>
  </si>
  <si>
    <t>25/05/2025 10:00</t>
  </si>
  <si>
    <t>25/05/2025 10:15</t>
  </si>
  <si>
    <t>25/05/2025 10:30</t>
  </si>
  <si>
    <t>25/05/2025 10:45</t>
  </si>
  <si>
    <t>25/05/2025 11:00</t>
  </si>
  <si>
    <t>25/05/2025 11:15</t>
  </si>
  <si>
    <t>25/05/2025 11:30</t>
  </si>
  <si>
    <t>25/05/2025 11:45</t>
  </si>
  <si>
    <t>25/05/2025 12:00</t>
  </si>
  <si>
    <t>25/05/2025 12:15</t>
  </si>
  <si>
    <t>25/05/2025 12:30</t>
  </si>
  <si>
    <t>25/05/2025 12:45</t>
  </si>
  <si>
    <t>25/05/2025 13:00</t>
  </si>
  <si>
    <t>25/05/2025 13:15</t>
  </si>
  <si>
    <t>25/05/2025 13:30</t>
  </si>
  <si>
    <t>25/05/2025 13:45</t>
  </si>
  <si>
    <t>25/05/2025 14:00</t>
  </si>
  <si>
    <t>25/05/2025 14:15</t>
  </si>
  <si>
    <t>25/05/2025 14:30</t>
  </si>
  <si>
    <t>25/05/2025 14:45</t>
  </si>
  <si>
    <t>25/05/2025 15:00</t>
  </si>
  <si>
    <t>25/05/2025 15:15</t>
  </si>
  <si>
    <t>25/05/2025 15:30</t>
  </si>
  <si>
    <t>25/05/2025 15:45</t>
  </si>
  <si>
    <t>25/05/2025 16:00</t>
  </si>
  <si>
    <t>25/05/2025 16:15</t>
  </si>
  <si>
    <t>25/05/2025 16:30</t>
  </si>
  <si>
    <t>25/05/2025 16:45</t>
  </si>
  <si>
    <t>25/05/2025 17:00</t>
  </si>
  <si>
    <t>25/05/2025 17:15</t>
  </si>
  <si>
    <t>25/05/2025 17:30</t>
  </si>
  <si>
    <t>25/05/2025 17:45</t>
  </si>
  <si>
    <t>25/05/2025 18:00</t>
  </si>
  <si>
    <t>25/05/2025 18:15</t>
  </si>
  <si>
    <t>25/05/2025 18:30</t>
  </si>
  <si>
    <t>25/05/2025 18:45</t>
  </si>
  <si>
    <t>25/05/2025 19:00</t>
  </si>
  <si>
    <t>25/05/2025 19:15</t>
  </si>
  <si>
    <t>25/05/2025 19:30</t>
  </si>
  <si>
    <t>25/05/2025 19:45</t>
  </si>
  <si>
    <t>25/05/2025 20:00</t>
  </si>
  <si>
    <t>25/05/2025 20:15</t>
  </si>
  <si>
    <t>25/05/2025 20:30</t>
  </si>
  <si>
    <t>25/05/2025 20:45</t>
  </si>
  <si>
    <t>25/05/2025 21:00</t>
  </si>
  <si>
    <t>25/05/2025 21:15</t>
  </si>
  <si>
    <t>25/05/2025 21:30</t>
  </si>
  <si>
    <t>25/05/2025 21:45</t>
  </si>
  <si>
    <t>25/05/2025 22:00</t>
  </si>
  <si>
    <t>25/05/2025 22:15</t>
  </si>
  <si>
    <t>25/05/2025 22:30</t>
  </si>
  <si>
    <t>25/05/2025 22:45</t>
  </si>
  <si>
    <t>25/05/2025 23:00</t>
  </si>
  <si>
    <t>25/05/2025 23:15</t>
  </si>
  <si>
    <t>25/05/2025 23:30</t>
  </si>
  <si>
    <t>25/05/2025 23:45</t>
  </si>
  <si>
    <t>25/05/2025 24:00</t>
  </si>
  <si>
    <t>26/05/2025 00:15</t>
  </si>
  <si>
    <t>26/05/2025 00:30</t>
  </si>
  <si>
    <t>26/05/2025 00:45</t>
  </si>
  <si>
    <t>26/05/2025 01:00</t>
  </si>
  <si>
    <t>26/05/2025 01:15</t>
  </si>
  <si>
    <t>26/05/2025 01:30</t>
  </si>
  <si>
    <t>26/05/2025 01:45</t>
  </si>
  <si>
    <t>26/05/2025 02:00</t>
  </si>
  <si>
    <t>26/05/2025 02:15</t>
  </si>
  <si>
    <t>26/05/2025 02:30</t>
  </si>
  <si>
    <t>26/05/2025 02:45</t>
  </si>
  <si>
    <t>26/05/2025 03:00</t>
  </si>
  <si>
    <t>26/05/2025 03:15</t>
  </si>
  <si>
    <t>26/05/2025 03:30</t>
  </si>
  <si>
    <t>26/05/2025 03:45</t>
  </si>
  <si>
    <t>26/05/2025 04:00</t>
  </si>
  <si>
    <t>26/05/2025 04:15</t>
  </si>
  <si>
    <t>26/05/2025 04:30</t>
  </si>
  <si>
    <t>26/05/2025 04:45</t>
  </si>
  <si>
    <t>26/05/2025 05:00</t>
  </si>
  <si>
    <t>26/05/2025 05:15</t>
  </si>
  <si>
    <t>26/05/2025 05:30</t>
  </si>
  <si>
    <t>26/05/2025 05:45</t>
  </si>
  <si>
    <t>26/05/2025 06:00</t>
  </si>
  <si>
    <t>26/05/2025 06:15</t>
  </si>
  <si>
    <t>26/05/2025 06:30</t>
  </si>
  <si>
    <t>26/05/2025 06:45</t>
  </si>
  <si>
    <t>26/05/2025 07:00</t>
  </si>
  <si>
    <t>26/05/2025 07:15</t>
  </si>
  <si>
    <t>26/05/2025 07:30</t>
  </si>
  <si>
    <t>26/05/2025 07:45</t>
  </si>
  <si>
    <t>26/05/2025 08:00</t>
  </si>
  <si>
    <t>26/05/2025 08:15</t>
  </si>
  <si>
    <t>26/05/2025 08:30</t>
  </si>
  <si>
    <t>26/05/2025 08:45</t>
  </si>
  <si>
    <t>26/05/2025 09:00</t>
  </si>
  <si>
    <t>26/05/2025 09:15</t>
  </si>
  <si>
    <t>26/05/2025 09:30</t>
  </si>
  <si>
    <t>26/05/2025 09:45</t>
  </si>
  <si>
    <t>26/05/2025 10:00</t>
  </si>
  <si>
    <t>26/05/2025 10:15</t>
  </si>
  <si>
    <t>26/05/2025 10:30</t>
  </si>
  <si>
    <t>26/05/2025 10:45</t>
  </si>
  <si>
    <t>26/05/2025 11:00</t>
  </si>
  <si>
    <t>26/05/2025 11:15</t>
  </si>
  <si>
    <t>26/05/2025 11:30</t>
  </si>
  <si>
    <t>26/05/2025 11:45</t>
  </si>
  <si>
    <t>26/05/2025 12:00</t>
  </si>
  <si>
    <t>26/05/2025 12:15</t>
  </si>
  <si>
    <t>26/05/2025 12:30</t>
  </si>
  <si>
    <t>26/05/2025 12:45</t>
  </si>
  <si>
    <t>26/05/2025 13:00</t>
  </si>
  <si>
    <t>26/05/2025 13:15</t>
  </si>
  <si>
    <t>26/05/2025 13:30</t>
  </si>
  <si>
    <t>26/05/2025 13:45</t>
  </si>
  <si>
    <t>26/05/2025 14:00</t>
  </si>
  <si>
    <t>26/05/2025 14:15</t>
  </si>
  <si>
    <t>26/05/2025 14:30</t>
  </si>
  <si>
    <t>26/05/2025 14:45</t>
  </si>
  <si>
    <t>26/05/2025 15:00</t>
  </si>
  <si>
    <t>26/05/2025 15:15</t>
  </si>
  <si>
    <t>26/05/2025 15:30</t>
  </si>
  <si>
    <t>26/05/2025 15:45</t>
  </si>
  <si>
    <t>26/05/2025 16:00</t>
  </si>
  <si>
    <t>26/05/2025 16:15</t>
  </si>
  <si>
    <t>26/05/2025 16:30</t>
  </si>
  <si>
    <t>26/05/2025 16:45</t>
  </si>
  <si>
    <t>26/05/2025 17:00</t>
  </si>
  <si>
    <t>26/05/2025 17:15</t>
  </si>
  <si>
    <t>26/05/2025 17:30</t>
  </si>
  <si>
    <t>26/05/2025 17:45</t>
  </si>
  <si>
    <t>26/05/2025 18:00</t>
  </si>
  <si>
    <t>26/05/2025 18:15</t>
  </si>
  <si>
    <t>26/05/2025 18:30</t>
  </si>
  <si>
    <t>26/05/2025 18:45</t>
  </si>
  <si>
    <t>26/05/2025 19:00</t>
  </si>
  <si>
    <t>26/05/2025 19:15</t>
  </si>
  <si>
    <t>26/05/2025 19:30</t>
  </si>
  <si>
    <t>26/05/2025 19:45</t>
  </si>
  <si>
    <t>26/05/2025 20:00</t>
  </si>
  <si>
    <t>26/05/2025 20:15</t>
  </si>
  <si>
    <t>26/05/2025 20:30</t>
  </si>
  <si>
    <t>26/05/2025 20:45</t>
  </si>
  <si>
    <t>26/05/2025 21:00</t>
  </si>
  <si>
    <t>26/05/2025 21:15</t>
  </si>
  <si>
    <t>26/05/2025 21:30</t>
  </si>
  <si>
    <t>26/05/2025 21:45</t>
  </si>
  <si>
    <t>26/05/2025 22:00</t>
  </si>
  <si>
    <t>26/05/2025 22:15</t>
  </si>
  <si>
    <t>26/05/2025 22:30</t>
  </si>
  <si>
    <t>26/05/2025 22:45</t>
  </si>
  <si>
    <t>26/05/2025 23:00</t>
  </si>
  <si>
    <t>26/05/2025 23:15</t>
  </si>
  <si>
    <t>26/05/2025 23:30</t>
  </si>
  <si>
    <t>26/05/2025 23:45</t>
  </si>
  <si>
    <t>26/05/2025 24:00</t>
  </si>
  <si>
    <t>27/05/2025 00:15</t>
  </si>
  <si>
    <t>27/05/2025 00:30</t>
  </si>
  <si>
    <t>27/05/2025 00:45</t>
  </si>
  <si>
    <t>27/05/2025 01:00</t>
  </si>
  <si>
    <t>27/05/2025 01:15</t>
  </si>
  <si>
    <t>27/05/2025 01:30</t>
  </si>
  <si>
    <t>27/05/2025 01:45</t>
  </si>
  <si>
    <t>27/05/2025 02:00</t>
  </si>
  <si>
    <t>27/05/2025 02:15</t>
  </si>
  <si>
    <t>27/05/2025 02:30</t>
  </si>
  <si>
    <t>27/05/2025 02:45</t>
  </si>
  <si>
    <t>27/05/2025 03:00</t>
  </si>
  <si>
    <t>27/05/2025 03:15</t>
  </si>
  <si>
    <t>27/05/2025 03:30</t>
  </si>
  <si>
    <t>27/05/2025 03:45</t>
  </si>
  <si>
    <t>27/05/2025 04:00</t>
  </si>
  <si>
    <t>27/05/2025 04:15</t>
  </si>
  <si>
    <t>27/05/2025 04:30</t>
  </si>
  <si>
    <t>27/05/2025 04:45</t>
  </si>
  <si>
    <t>27/05/2025 05:00</t>
  </si>
  <si>
    <t>27/05/2025 05:15</t>
  </si>
  <si>
    <t>27/05/2025 05:30</t>
  </si>
  <si>
    <t>27/05/2025 05:45</t>
  </si>
  <si>
    <t>27/05/2025 06:00</t>
  </si>
  <si>
    <t>27/05/2025 06:15</t>
  </si>
  <si>
    <t>27/05/2025 06:30</t>
  </si>
  <si>
    <t>27/05/2025 06:45</t>
  </si>
  <si>
    <t>27/05/2025 07:00</t>
  </si>
  <si>
    <t>27/05/2025 07:15</t>
  </si>
  <si>
    <t>27/05/2025 07:30</t>
  </si>
  <si>
    <t>27/05/2025 07:45</t>
  </si>
  <si>
    <t>27/05/2025 08:00</t>
  </si>
  <si>
    <t>27/05/2025 08:15</t>
  </si>
  <si>
    <t>27/05/2025 08:30</t>
  </si>
  <si>
    <t>27/05/2025 08:45</t>
  </si>
  <si>
    <t>27/05/2025 09:00</t>
  </si>
  <si>
    <t>27/05/2025 09:15</t>
  </si>
  <si>
    <t>27/05/2025 09:30</t>
  </si>
  <si>
    <t>27/05/2025 09:45</t>
  </si>
  <si>
    <t>27/05/2025 10:00</t>
  </si>
  <si>
    <t>27/05/2025 10:15</t>
  </si>
  <si>
    <t>27/05/2025 10:30</t>
  </si>
  <si>
    <t>27/05/2025 10:45</t>
  </si>
  <si>
    <t>27/05/2025 11:00</t>
  </si>
  <si>
    <t>27/05/2025 11:15</t>
  </si>
  <si>
    <t>27/05/2025 11:30</t>
  </si>
  <si>
    <t>27/05/2025 11:45</t>
  </si>
  <si>
    <t>27/05/2025 12:00</t>
  </si>
  <si>
    <t>27/05/2025 12:15</t>
  </si>
  <si>
    <t>27/05/2025 12:30</t>
  </si>
  <si>
    <t>27/05/2025 12:45</t>
  </si>
  <si>
    <t>27/05/2025 13:00</t>
  </si>
  <si>
    <t>27/05/2025 13:15</t>
  </si>
  <si>
    <t>27/05/2025 13:30</t>
  </si>
  <si>
    <t>27/05/2025 13:45</t>
  </si>
  <si>
    <t>27/05/2025 14:00</t>
  </si>
  <si>
    <t>27/05/2025 14:15</t>
  </si>
  <si>
    <t>27/05/2025 14:30</t>
  </si>
  <si>
    <t>27/05/2025 14:45</t>
  </si>
  <si>
    <t>27/05/2025 15:00</t>
  </si>
  <si>
    <t>27/05/2025 15:15</t>
  </si>
  <si>
    <t>27/05/2025 15:30</t>
  </si>
  <si>
    <t>27/05/2025 15:45</t>
  </si>
  <si>
    <t>27/05/2025 16:00</t>
  </si>
  <si>
    <t>27/05/2025 16:15</t>
  </si>
  <si>
    <t>27/05/2025 16:30</t>
  </si>
  <si>
    <t>27/05/2025 16:45</t>
  </si>
  <si>
    <t>27/05/2025 17:00</t>
  </si>
  <si>
    <t>27/05/2025 17:15</t>
  </si>
  <si>
    <t>27/05/2025 17:30</t>
  </si>
  <si>
    <t>27/05/2025 17:45</t>
  </si>
  <si>
    <t>27/05/2025 18:00</t>
  </si>
  <si>
    <t>27/05/2025 18:15</t>
  </si>
  <si>
    <t>27/05/2025 18:30</t>
  </si>
  <si>
    <t>27/05/2025 18:45</t>
  </si>
  <si>
    <t>27/05/2025 19:00</t>
  </si>
  <si>
    <t>27/05/2025 19:15</t>
  </si>
  <si>
    <t>27/05/2025 19:30</t>
  </si>
  <si>
    <t>27/05/2025 19:45</t>
  </si>
  <si>
    <t>27/05/2025 20:00</t>
  </si>
  <si>
    <t>27/05/2025 20:15</t>
  </si>
  <si>
    <t>27/05/2025 20:30</t>
  </si>
  <si>
    <t>27/05/2025 20:45</t>
  </si>
  <si>
    <t>27/05/2025 21:00</t>
  </si>
  <si>
    <t>27/05/2025 21:15</t>
  </si>
  <si>
    <t>27/05/2025 21:30</t>
  </si>
  <si>
    <t>27/05/2025 21:45</t>
  </si>
  <si>
    <t>27/05/2025 22:00</t>
  </si>
  <si>
    <t>27/05/2025 22:15</t>
  </si>
  <si>
    <t>27/05/2025 22:30</t>
  </si>
  <si>
    <t>27/05/2025 22:45</t>
  </si>
  <si>
    <t>27/05/2025 23:00</t>
  </si>
  <si>
    <t>27/05/2025 23:15</t>
  </si>
  <si>
    <t>27/05/2025 23:30</t>
  </si>
  <si>
    <t>27/05/2025 23:45</t>
  </si>
  <si>
    <t>27/05/2025 24:00</t>
  </si>
  <si>
    <t>28/05/2025 00:15</t>
  </si>
  <si>
    <t>28/05/2025 00:30</t>
  </si>
  <si>
    <t>28/05/2025 00:45</t>
  </si>
  <si>
    <t>28/05/2025 01:00</t>
  </si>
  <si>
    <t>28/05/2025 01:15</t>
  </si>
  <si>
    <t>28/05/2025 01:30</t>
  </si>
  <si>
    <t>28/05/2025 01:45</t>
  </si>
  <si>
    <t>28/05/2025 02:00</t>
  </si>
  <si>
    <t>28/05/2025 02:15</t>
  </si>
  <si>
    <t>28/05/2025 02:30</t>
  </si>
  <si>
    <t>28/05/2025 02:45</t>
  </si>
  <si>
    <t>28/05/2025 03:00</t>
  </si>
  <si>
    <t>28/05/2025 03:15</t>
  </si>
  <si>
    <t>28/05/2025 03:30</t>
  </si>
  <si>
    <t>28/05/2025 03:45</t>
  </si>
  <si>
    <t>28/05/2025 04:00</t>
  </si>
  <si>
    <t>28/05/2025 04:15</t>
  </si>
  <si>
    <t>28/05/2025 04:30</t>
  </si>
  <si>
    <t>28/05/2025 04:45</t>
  </si>
  <si>
    <t>28/05/2025 05:00</t>
  </si>
  <si>
    <t>28/05/2025 05:15</t>
  </si>
  <si>
    <t>28/05/2025 05:30</t>
  </si>
  <si>
    <t>28/05/2025 05:45</t>
  </si>
  <si>
    <t>28/05/2025 06:00</t>
  </si>
  <si>
    <t>28/05/2025 06:15</t>
  </si>
  <si>
    <t>28/05/2025 06:30</t>
  </si>
  <si>
    <t>28/05/2025 06:45</t>
  </si>
  <si>
    <t>28/05/2025 07:00</t>
  </si>
  <si>
    <t>28/05/2025 07:15</t>
  </si>
  <si>
    <t>28/05/2025 07:30</t>
  </si>
  <si>
    <t>28/05/2025 07:45</t>
  </si>
  <si>
    <t>28/05/2025 08:00</t>
  </si>
  <si>
    <t>28/05/2025 08:15</t>
  </si>
  <si>
    <t>28/05/2025 08:30</t>
  </si>
  <si>
    <t>28/05/2025 08:45</t>
  </si>
  <si>
    <t>28/05/2025 09:00</t>
  </si>
  <si>
    <t>28/05/2025 09:15</t>
  </si>
  <si>
    <t>28/05/2025 09:30</t>
  </si>
  <si>
    <t>28/05/2025 09:45</t>
  </si>
  <si>
    <t>28/05/2025 10:00</t>
  </si>
  <si>
    <t>28/05/2025 10:15</t>
  </si>
  <si>
    <t>28/05/2025 10:30</t>
  </si>
  <si>
    <t>28/05/2025 10:45</t>
  </si>
  <si>
    <t>28/05/2025 11:00</t>
  </si>
  <si>
    <t>28/05/2025 11:15</t>
  </si>
  <si>
    <t>28/05/2025 11:30</t>
  </si>
  <si>
    <t>28/05/2025 11:45</t>
  </si>
  <si>
    <t>28/05/2025 12:00</t>
  </si>
  <si>
    <t>28/05/2025 12:15</t>
  </si>
  <si>
    <t>28/05/2025 12:30</t>
  </si>
  <si>
    <t>28/05/2025 12:45</t>
  </si>
  <si>
    <t>28/05/2025 13:00</t>
  </si>
  <si>
    <t>28/05/2025 13:15</t>
  </si>
  <si>
    <t>28/05/2025 13:30</t>
  </si>
  <si>
    <t>28/05/2025 13:45</t>
  </si>
  <si>
    <t>28/05/2025 14:00</t>
  </si>
  <si>
    <t>28/05/2025 14:15</t>
  </si>
  <si>
    <t>28/05/2025 14:30</t>
  </si>
  <si>
    <t>28/05/2025 14:45</t>
  </si>
  <si>
    <t>28/05/2025 15:00</t>
  </si>
  <si>
    <t>28/05/2025 15:15</t>
  </si>
  <si>
    <t>28/05/2025 15:30</t>
  </si>
  <si>
    <t>28/05/2025 15:45</t>
  </si>
  <si>
    <t>28/05/2025 16:00</t>
  </si>
  <si>
    <t>28/05/2025 16:15</t>
  </si>
  <si>
    <t>28/05/2025 16:30</t>
  </si>
  <si>
    <t>28/05/2025 16:45</t>
  </si>
  <si>
    <t>28/05/2025 17:00</t>
  </si>
  <si>
    <t>28/05/2025 17:15</t>
  </si>
  <si>
    <t>28/05/2025 17:30</t>
  </si>
  <si>
    <t>28/05/2025 17:45</t>
  </si>
  <si>
    <t>28/05/2025 18:00</t>
  </si>
  <si>
    <t>28/05/2025 18:15</t>
  </si>
  <si>
    <t>28/05/2025 18:30</t>
  </si>
  <si>
    <t>28/05/2025 18:45</t>
  </si>
  <si>
    <t>28/05/2025 19:00</t>
  </si>
  <si>
    <t>28/05/2025 19:15</t>
  </si>
  <si>
    <t>28/05/2025 19:30</t>
  </si>
  <si>
    <t>28/05/2025 19:45</t>
  </si>
  <si>
    <t>28/05/2025 20:00</t>
  </si>
  <si>
    <t>28/05/2025 20:15</t>
  </si>
  <si>
    <t>28/05/2025 20:30</t>
  </si>
  <si>
    <t>28/05/2025 20:45</t>
  </si>
  <si>
    <t>28/05/2025 21:00</t>
  </si>
  <si>
    <t>28/05/2025 21:15</t>
  </si>
  <si>
    <t>28/05/2025 21:30</t>
  </si>
  <si>
    <t>28/05/2025 21:45</t>
  </si>
  <si>
    <t>28/05/2025 22:00</t>
  </si>
  <si>
    <t>28/05/2025 22:15</t>
  </si>
  <si>
    <t>28/05/2025 22:30</t>
  </si>
  <si>
    <t>28/05/2025 22:45</t>
  </si>
  <si>
    <t>28/05/2025 23:00</t>
  </si>
  <si>
    <t>28/05/2025 23:15</t>
  </si>
  <si>
    <t>28/05/2025 23:30</t>
  </si>
  <si>
    <t>28/05/2025 23:45</t>
  </si>
  <si>
    <t>28/05/2025 24:00</t>
  </si>
  <si>
    <t>29/05/2025 00:15</t>
  </si>
  <si>
    <t>29/05/2025 00:30</t>
  </si>
  <si>
    <t>29/05/2025 00:45</t>
  </si>
  <si>
    <t>29/05/2025 01:00</t>
  </si>
  <si>
    <t>29/05/2025 01:15</t>
  </si>
  <si>
    <t>29/05/2025 01:30</t>
  </si>
  <si>
    <t>29/05/2025 01:45</t>
  </si>
  <si>
    <t>29/05/2025 02:00</t>
  </si>
  <si>
    <t>29/05/2025 02:15</t>
  </si>
  <si>
    <t>29/05/2025 02:30</t>
  </si>
  <si>
    <t>29/05/2025 02:45</t>
  </si>
  <si>
    <t>29/05/2025 03:00</t>
  </si>
  <si>
    <t>29/05/2025 03:15</t>
  </si>
  <si>
    <t>29/05/2025 03:30</t>
  </si>
  <si>
    <t>29/05/2025 03:45</t>
  </si>
  <si>
    <t>29/05/2025 04:00</t>
  </si>
  <si>
    <t>29/05/2025 04:15</t>
  </si>
  <si>
    <t>29/05/2025 04:30</t>
  </si>
  <si>
    <t>29/05/2025 04:45</t>
  </si>
  <si>
    <t>29/05/2025 05:00</t>
  </si>
  <si>
    <t>29/05/2025 05:15</t>
  </si>
  <si>
    <t>29/05/2025 05:30</t>
  </si>
  <si>
    <t>29/05/2025 05:45</t>
  </si>
  <si>
    <t>29/05/2025 06:00</t>
  </si>
  <si>
    <t>29/05/2025 06:15</t>
  </si>
  <si>
    <t>29/05/2025 06:30</t>
  </si>
  <si>
    <t>29/05/2025 06:45</t>
  </si>
  <si>
    <t>29/05/2025 07:00</t>
  </si>
  <si>
    <t>29/05/2025 07:15</t>
  </si>
  <si>
    <t>29/05/2025 07:30</t>
  </si>
  <si>
    <t>29/05/2025 07:45</t>
  </si>
  <si>
    <t>29/05/2025 08:00</t>
  </si>
  <si>
    <t>29/05/2025 08:15</t>
  </si>
  <si>
    <t>29/05/2025 08:30</t>
  </si>
  <si>
    <t>29/05/2025 08:45</t>
  </si>
  <si>
    <t>29/05/2025 09:00</t>
  </si>
  <si>
    <t>29/05/2025 09:15</t>
  </si>
  <si>
    <t>29/05/2025 09:30</t>
  </si>
  <si>
    <t>29/05/2025 09:45</t>
  </si>
  <si>
    <t>29/05/2025 10:00</t>
  </si>
  <si>
    <t>29/05/2025 10:15</t>
  </si>
  <si>
    <t>29/05/2025 10:30</t>
  </si>
  <si>
    <t>29/05/2025 10:45</t>
  </si>
  <si>
    <t>29/05/2025 11:00</t>
  </si>
  <si>
    <t>29/05/2025 11:15</t>
  </si>
  <si>
    <t>29/05/2025 11:30</t>
  </si>
  <si>
    <t>29/05/2025 11:45</t>
  </si>
  <si>
    <t>29/05/2025 12:00</t>
  </si>
  <si>
    <t>29/05/2025 12:15</t>
  </si>
  <si>
    <t>29/05/2025 12:30</t>
  </si>
  <si>
    <t>29/05/2025 12:45</t>
  </si>
  <si>
    <t>29/05/2025 13:00</t>
  </si>
  <si>
    <t>29/05/2025 13:15</t>
  </si>
  <si>
    <t>29/05/2025 13:30</t>
  </si>
  <si>
    <t>29/05/2025 13:45</t>
  </si>
  <si>
    <t>29/05/2025 14:00</t>
  </si>
  <si>
    <t>29/05/2025 14:15</t>
  </si>
  <si>
    <t>29/05/2025 14:30</t>
  </si>
  <si>
    <t>29/05/2025 14:45</t>
  </si>
  <si>
    <t>29/05/2025 15:00</t>
  </si>
  <si>
    <t>29/05/2025 15:15</t>
  </si>
  <si>
    <t>29/05/2025 15:30</t>
  </si>
  <si>
    <t>29/05/2025 15:45</t>
  </si>
  <si>
    <t>29/05/2025 16:00</t>
  </si>
  <si>
    <t>29/05/2025 16:15</t>
  </si>
  <si>
    <t>29/05/2025 16:30</t>
  </si>
  <si>
    <t>29/05/2025 16:45</t>
  </si>
  <si>
    <t>29/05/2025 17:00</t>
  </si>
  <si>
    <t>29/05/2025 17:15</t>
  </si>
  <si>
    <t>29/05/2025 17:30</t>
  </si>
  <si>
    <t>29/05/2025 17:45</t>
  </si>
  <si>
    <t>29/05/2025 18:00</t>
  </si>
  <si>
    <t>29/05/2025 18:15</t>
  </si>
  <si>
    <t>29/05/2025 18:30</t>
  </si>
  <si>
    <t>29/05/2025 18:45</t>
  </si>
  <si>
    <t>29/05/2025 19:00</t>
  </si>
  <si>
    <t>29/05/2025 19:15</t>
  </si>
  <si>
    <t>29/05/2025 19:30</t>
  </si>
  <si>
    <t>29/05/2025 19:45</t>
  </si>
  <si>
    <t>29/05/2025 20:00</t>
  </si>
  <si>
    <t>29/05/2025 20:15</t>
  </si>
  <si>
    <t>29/05/2025 20:30</t>
  </si>
  <si>
    <t>29/05/2025 20:45</t>
  </si>
  <si>
    <t>29/05/2025 21:00</t>
  </si>
  <si>
    <t>29/05/2025 21:15</t>
  </si>
  <si>
    <t>29/05/2025 21:30</t>
  </si>
  <si>
    <t>29/05/2025 21:45</t>
  </si>
  <si>
    <t>29/05/2025 22:00</t>
  </si>
  <si>
    <t>29/05/2025 22:15</t>
  </si>
  <si>
    <t>29/05/2025 22:30</t>
  </si>
  <si>
    <t>29/05/2025 22:45</t>
  </si>
  <si>
    <t>29/05/2025 23:00</t>
  </si>
  <si>
    <t>29/05/2025 23:15</t>
  </si>
  <si>
    <t>29/05/2025 23:30</t>
  </si>
  <si>
    <t>29/05/2025 23:45</t>
  </si>
  <si>
    <t>29/05/2025 24:00</t>
  </si>
  <si>
    <t>30/05/2025 00:15</t>
  </si>
  <si>
    <t>30/05/2025 00:30</t>
  </si>
  <si>
    <t>30/05/2025 00:45</t>
  </si>
  <si>
    <t>30/05/2025 01:00</t>
  </si>
  <si>
    <t>30/05/2025 01:15</t>
  </si>
  <si>
    <t>30/05/2025 01:30</t>
  </si>
  <si>
    <t>30/05/2025 01:45</t>
  </si>
  <si>
    <t>30/05/2025 02:00</t>
  </si>
  <si>
    <t>30/05/2025 02:15</t>
  </si>
  <si>
    <t>30/05/2025 02:30</t>
  </si>
  <si>
    <t>30/05/2025 02:45</t>
  </si>
  <si>
    <t>30/05/2025 03:00</t>
  </si>
  <si>
    <t>30/05/2025 03:15</t>
  </si>
  <si>
    <t>30/05/2025 03:30</t>
  </si>
  <si>
    <t>30/05/2025 03:45</t>
  </si>
  <si>
    <t>30/05/2025 04:00</t>
  </si>
  <si>
    <t>30/05/2025 04:15</t>
  </si>
  <si>
    <t>30/05/2025 04:30</t>
  </si>
  <si>
    <t>30/05/2025 04:45</t>
  </si>
  <si>
    <t>30/05/2025 05:00</t>
  </si>
  <si>
    <t>30/05/2025 05:15</t>
  </si>
  <si>
    <t>30/05/2025 05:30</t>
  </si>
  <si>
    <t>30/05/2025 05:45</t>
  </si>
  <si>
    <t>30/05/2025 06:00</t>
  </si>
  <si>
    <t>30/05/2025 06:15</t>
  </si>
  <si>
    <t>30/05/2025 06:30</t>
  </si>
  <si>
    <t>30/05/2025 06:45</t>
  </si>
  <si>
    <t>30/05/2025 07:00</t>
  </si>
  <si>
    <t>30/05/2025 07:15</t>
  </si>
  <si>
    <t>30/05/2025 07:30</t>
  </si>
  <si>
    <t>30/05/2025 07:45</t>
  </si>
  <si>
    <t>30/05/2025 08:00</t>
  </si>
  <si>
    <t>30/05/2025 08:15</t>
  </si>
  <si>
    <t>30/05/2025 08:30</t>
  </si>
  <si>
    <t>30/05/2025 08:45</t>
  </si>
  <si>
    <t>30/05/2025 09:00</t>
  </si>
  <si>
    <t>30/05/2025 09:15</t>
  </si>
  <si>
    <t>30/05/2025 09:30</t>
  </si>
  <si>
    <t>30/05/2025 09:45</t>
  </si>
  <si>
    <t>30/05/2025 10:00</t>
  </si>
  <si>
    <t>30/05/2025 10:15</t>
  </si>
  <si>
    <t>30/05/2025 10:30</t>
  </si>
  <si>
    <t>30/05/2025 10:45</t>
  </si>
  <si>
    <t>30/05/2025 11:00</t>
  </si>
  <si>
    <t>30/05/2025 11:15</t>
  </si>
  <si>
    <t>30/05/2025 11:30</t>
  </si>
  <si>
    <t>30/05/2025 11:45</t>
  </si>
  <si>
    <t>30/05/2025 12:00</t>
  </si>
  <si>
    <t>30/05/2025 12:15</t>
  </si>
  <si>
    <t>30/05/2025 12:30</t>
  </si>
  <si>
    <t>30/05/2025 12:45</t>
  </si>
  <si>
    <t>30/05/2025 13:00</t>
  </si>
  <si>
    <t>30/05/2025 13:15</t>
  </si>
  <si>
    <t>30/05/2025 13:30</t>
  </si>
  <si>
    <t>30/05/2025 13:45</t>
  </si>
  <si>
    <t>30/05/2025 14:00</t>
  </si>
  <si>
    <t>30/05/2025 14:15</t>
  </si>
  <si>
    <t>30/05/2025 14:30</t>
  </si>
  <si>
    <t>30/05/2025 14:45</t>
  </si>
  <si>
    <t>30/05/2025 15:00</t>
  </si>
  <si>
    <t>30/05/2025 15:15</t>
  </si>
  <si>
    <t>30/05/2025 15:30</t>
  </si>
  <si>
    <t>30/05/2025 15:45</t>
  </si>
  <si>
    <t>30/05/2025 16:00</t>
  </si>
  <si>
    <t>30/05/2025 16:15</t>
  </si>
  <si>
    <t>30/05/2025 16:30</t>
  </si>
  <si>
    <t>30/05/2025 16:45</t>
  </si>
  <si>
    <t>30/05/2025 17:00</t>
  </si>
  <si>
    <t>30/05/2025 17:15</t>
  </si>
  <si>
    <t>30/05/2025 17:30</t>
  </si>
  <si>
    <t>30/05/2025 17:45</t>
  </si>
  <si>
    <t>30/05/2025 18:00</t>
  </si>
  <si>
    <t>30/05/2025 18:15</t>
  </si>
  <si>
    <t>30/05/2025 18:30</t>
  </si>
  <si>
    <t>30/05/2025 18:45</t>
  </si>
  <si>
    <t>30/05/2025 19:00</t>
  </si>
  <si>
    <t>30/05/2025 19:15</t>
  </si>
  <si>
    <t>30/05/2025 19:30</t>
  </si>
  <si>
    <t>30/05/2025 19:45</t>
  </si>
  <si>
    <t>30/05/2025 20:00</t>
  </si>
  <si>
    <t>30/05/2025 20:15</t>
  </si>
  <si>
    <t>30/05/2025 20:30</t>
  </si>
  <si>
    <t>30/05/2025 20:45</t>
  </si>
  <si>
    <t>30/05/2025 21:00</t>
  </si>
  <si>
    <t>30/05/2025 21:15</t>
  </si>
  <si>
    <t>30/05/2025 21:30</t>
  </si>
  <si>
    <t>30/05/2025 21:45</t>
  </si>
  <si>
    <t>30/05/2025 22:00</t>
  </si>
  <si>
    <t>30/05/2025 22:15</t>
  </si>
  <si>
    <t>30/05/2025 22:30</t>
  </si>
  <si>
    <t>30/05/2025 22:45</t>
  </si>
  <si>
    <t>30/05/2025 23:00</t>
  </si>
  <si>
    <t>30/05/2025 23:15</t>
  </si>
  <si>
    <t>30/05/2025 23:30</t>
  </si>
  <si>
    <t>30/05/2025 23:45</t>
  </si>
  <si>
    <t>30/05/2025 24:00</t>
  </si>
  <si>
    <t>31/05/2025 00:15</t>
  </si>
  <si>
    <t>31/05/2025 00:30</t>
  </si>
  <si>
    <t>31/05/2025 00:45</t>
  </si>
  <si>
    <t>31/05/2025 01:00</t>
  </si>
  <si>
    <t>31/05/2025 01:15</t>
  </si>
  <si>
    <t>31/05/2025 01:30</t>
  </si>
  <si>
    <t>31/05/2025 01:45</t>
  </si>
  <si>
    <t>31/05/2025 02:00</t>
  </si>
  <si>
    <t>31/05/2025 02:15</t>
  </si>
  <si>
    <t>31/05/2025 02:30</t>
  </si>
  <si>
    <t>31/05/2025 02:45</t>
  </si>
  <si>
    <t>31/05/2025 03:00</t>
  </si>
  <si>
    <t>31/05/2025 03:15</t>
  </si>
  <si>
    <t>31/05/2025 03:30</t>
  </si>
  <si>
    <t>31/05/2025 03:45</t>
  </si>
  <si>
    <t>31/05/2025 04:00</t>
  </si>
  <si>
    <t>31/05/2025 04:15</t>
  </si>
  <si>
    <t>31/05/2025 04:30</t>
  </si>
  <si>
    <t>31/05/2025 04:45</t>
  </si>
  <si>
    <t>31/05/2025 05:00</t>
  </si>
  <si>
    <t>31/05/2025 05:15</t>
  </si>
  <si>
    <t>31/05/2025 05:30</t>
  </si>
  <si>
    <t>31/05/2025 05:45</t>
  </si>
  <si>
    <t>31/05/2025 06:00</t>
  </si>
  <si>
    <t>31/05/2025 06:15</t>
  </si>
  <si>
    <t>31/05/2025 06:30</t>
  </si>
  <si>
    <t>31/05/2025 06:45</t>
  </si>
  <si>
    <t>31/05/2025 07:00</t>
  </si>
  <si>
    <t>31/05/2025 07:15</t>
  </si>
  <si>
    <t>31/05/2025 07:30</t>
  </si>
  <si>
    <t>31/05/2025 07:45</t>
  </si>
  <si>
    <t>31/05/2025 08:00</t>
  </si>
  <si>
    <t>31/05/2025 08:15</t>
  </si>
  <si>
    <t>31/05/2025 08:30</t>
  </si>
  <si>
    <t>31/05/2025 08:45</t>
  </si>
  <si>
    <t>31/05/2025 09:00</t>
  </si>
  <si>
    <t>31/05/2025 09:15</t>
  </si>
  <si>
    <t>31/05/2025 09:30</t>
  </si>
  <si>
    <t>31/05/2025 09:45</t>
  </si>
  <si>
    <t>31/05/2025 10:00</t>
  </si>
  <si>
    <t>31/05/2025 10:15</t>
  </si>
  <si>
    <t>31/05/2025 10:30</t>
  </si>
  <si>
    <t>31/05/2025 10:45</t>
  </si>
  <si>
    <t>31/05/2025 11:00</t>
  </si>
  <si>
    <t>31/05/2025 11:15</t>
  </si>
  <si>
    <t>31/05/2025 11:30</t>
  </si>
  <si>
    <t>31/05/2025 11:45</t>
  </si>
  <si>
    <t>31/05/2025 12:00</t>
  </si>
  <si>
    <t>31/05/2025 12:15</t>
  </si>
  <si>
    <t>31/05/2025 12:30</t>
  </si>
  <si>
    <t>31/05/2025 12:45</t>
  </si>
  <si>
    <t>31/05/2025 13:00</t>
  </si>
  <si>
    <t>31/05/2025 13:15</t>
  </si>
  <si>
    <t>31/05/2025 13:30</t>
  </si>
  <si>
    <t>31/05/2025 13:45</t>
  </si>
  <si>
    <t>31/05/2025 14:00</t>
  </si>
  <si>
    <t>31/05/2025 14:15</t>
  </si>
  <si>
    <t>31/05/2025 14:30</t>
  </si>
  <si>
    <t>31/05/2025 14:45</t>
  </si>
  <si>
    <t>31/05/2025 15:00</t>
  </si>
  <si>
    <t>31/05/2025 15:15</t>
  </si>
  <si>
    <t>31/05/2025 15:30</t>
  </si>
  <si>
    <t>31/05/2025 15:45</t>
  </si>
  <si>
    <t>31/05/2025 16:00</t>
  </si>
  <si>
    <t>31/05/2025 16:15</t>
  </si>
  <si>
    <t>31/05/2025 16:30</t>
  </si>
  <si>
    <t>31/05/2025 16:45</t>
  </si>
  <si>
    <t>31/05/2025 17:00</t>
  </si>
  <si>
    <t>31/05/2025 17:15</t>
  </si>
  <si>
    <t>31/05/2025 17:30</t>
  </si>
  <si>
    <t>31/05/2025 17:45</t>
  </si>
  <si>
    <t>31/05/2025 18:00</t>
  </si>
  <si>
    <t>31/05/2025 18:15</t>
  </si>
  <si>
    <t>31/05/2025 18:30</t>
  </si>
  <si>
    <t>31/05/2025 18:45</t>
  </si>
  <si>
    <t>31/05/2025 19:00</t>
  </si>
  <si>
    <t>31/05/2025 19:15</t>
  </si>
  <si>
    <t>31/05/2025 19:30</t>
  </si>
  <si>
    <t>31/05/2025 19:45</t>
  </si>
  <si>
    <t>31/05/2025 20:00</t>
  </si>
  <si>
    <t>31/05/2025 20:15</t>
  </si>
  <si>
    <t>31/05/2025 20:30</t>
  </si>
  <si>
    <t>31/05/2025 20:45</t>
  </si>
  <si>
    <t>31/05/2025 21:00</t>
  </si>
  <si>
    <t>31/05/2025 21:15</t>
  </si>
  <si>
    <t>31/05/2025 21:30</t>
  </si>
  <si>
    <t>31/05/2025 21:45</t>
  </si>
  <si>
    <t>31/05/2025 22:00</t>
  </si>
  <si>
    <t>31/05/2025 22:15</t>
  </si>
  <si>
    <t>31/05/2025 22:30</t>
  </si>
  <si>
    <t>31/05/2025 22:45</t>
  </si>
  <si>
    <t>31/05/2025 23:00</t>
  </si>
  <si>
    <t>31/05/2025 23:15</t>
  </si>
  <si>
    <t>31/05/2025 23:30</t>
  </si>
  <si>
    <t>31/05/2025 23:45</t>
  </si>
  <si>
    <t>31/05/2025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</si>
</sst>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1" activePane="bottomRight" state="frozen"/>
      <selection pane="topRight"/>
      <selection pane="bottomLeft"/>
      <selection pane="bottomRight" activeCell="L97" sqref="L9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240</v>
      </c>
      <c r="B9" s="100">
        <v>3.89</v>
      </c>
      <c r="C9" s="100">
        <v>32.31</v>
      </c>
      <c r="D9" s="100">
        <v>20.68</v>
      </c>
      <c r="E9" s="100">
        <v>0.98</v>
      </c>
      <c r="F9" s="100">
        <v>6.86</v>
      </c>
      <c r="G9" s="100">
        <v>25.4</v>
      </c>
      <c r="H9" s="100">
        <v>16.36</v>
      </c>
      <c r="I9" s="100">
        <v>9.25</v>
      </c>
      <c r="J9" s="100">
        <v>0.76</v>
      </c>
      <c r="K9" s="100">
        <v>144.22</v>
      </c>
      <c r="L9" s="100">
        <v>27.97</v>
      </c>
      <c r="M9" s="100">
        <v>51.83</v>
      </c>
      <c r="N9" s="100">
        <v>22.8</v>
      </c>
      <c r="O9" s="100">
        <v>0</v>
      </c>
      <c r="P9" s="100">
        <v>0.5</v>
      </c>
      <c r="Q9" s="100">
        <v>28.07</v>
      </c>
      <c r="R9" s="6"/>
      <c r="S9" s="6"/>
      <c r="T9" s="156"/>
      <c r="U9" s="6"/>
    </row>
    <row r="10" spans="1:21" customFormat="1">
      <c r="A10" s="163" t="s">
        <v>241</v>
      </c>
      <c r="B10" s="100">
        <v>3.84</v>
      </c>
      <c r="C10" s="100">
        <v>33.32</v>
      </c>
      <c r="D10" s="100">
        <v>21.16</v>
      </c>
      <c r="E10" s="100">
        <v>1.37</v>
      </c>
      <c r="F10" s="100">
        <v>5.36</v>
      </c>
      <c r="G10" s="100">
        <v>25.4</v>
      </c>
      <c r="H10" s="100">
        <v>16.36</v>
      </c>
      <c r="I10" s="100">
        <v>9.06</v>
      </c>
      <c r="J10" s="100">
        <v>0.75</v>
      </c>
      <c r="K10" s="100">
        <v>142.09</v>
      </c>
      <c r="L10" s="100">
        <v>27.96</v>
      </c>
      <c r="M10" s="100">
        <v>51.64</v>
      </c>
      <c r="N10" s="100">
        <v>22.6</v>
      </c>
      <c r="O10" s="100">
        <v>0</v>
      </c>
      <c r="P10" s="100">
        <v>0.49</v>
      </c>
      <c r="Q10" s="100">
        <v>28.06</v>
      </c>
      <c r="R10" s="6"/>
      <c r="S10" s="6"/>
      <c r="T10" s="156"/>
      <c r="U10" s="6"/>
    </row>
    <row r="11" spans="1:21" customFormat="1">
      <c r="A11" s="163" t="s">
        <v>242</v>
      </c>
      <c r="B11" s="100">
        <v>3.85</v>
      </c>
      <c r="C11" s="100">
        <v>33.380000000000003</v>
      </c>
      <c r="D11" s="100">
        <v>21.21</v>
      </c>
      <c r="E11" s="100">
        <v>1.53</v>
      </c>
      <c r="F11" s="100">
        <v>4.93</v>
      </c>
      <c r="G11" s="100">
        <v>25.4</v>
      </c>
      <c r="H11" s="100">
        <v>16.36</v>
      </c>
      <c r="I11" s="100">
        <v>9.1199999999999992</v>
      </c>
      <c r="J11" s="100">
        <v>0.36</v>
      </c>
      <c r="K11" s="100">
        <v>165</v>
      </c>
      <c r="L11" s="100">
        <v>27.96</v>
      </c>
      <c r="M11" s="100">
        <v>51.42</v>
      </c>
      <c r="N11" s="100">
        <v>22.5</v>
      </c>
      <c r="O11" s="100">
        <v>0</v>
      </c>
      <c r="P11" s="100">
        <v>0.48</v>
      </c>
      <c r="Q11" s="100">
        <v>28.07</v>
      </c>
      <c r="R11" s="6"/>
      <c r="S11" s="6"/>
      <c r="T11" s="156"/>
      <c r="U11" s="6"/>
    </row>
    <row r="12" spans="1:21" customFormat="1">
      <c r="A12" s="163" t="s">
        <v>243</v>
      </c>
      <c r="B12" s="100">
        <v>4.08</v>
      </c>
      <c r="C12" s="100">
        <v>33.479999999999997</v>
      </c>
      <c r="D12" s="100">
        <v>21.44</v>
      </c>
      <c r="E12" s="100">
        <v>1.66</v>
      </c>
      <c r="F12" s="100">
        <v>5.26</v>
      </c>
      <c r="G12" s="100">
        <v>24.77</v>
      </c>
      <c r="H12" s="100">
        <v>14.83</v>
      </c>
      <c r="I12" s="100">
        <v>9.1</v>
      </c>
      <c r="J12" s="100">
        <v>0.47</v>
      </c>
      <c r="K12" s="100">
        <v>148.38999999999999</v>
      </c>
      <c r="L12" s="100">
        <v>27.94</v>
      </c>
      <c r="M12" s="100">
        <v>51.43</v>
      </c>
      <c r="N12" s="100">
        <v>22.5</v>
      </c>
      <c r="O12" s="100">
        <v>0</v>
      </c>
      <c r="P12" s="100">
        <v>0.46</v>
      </c>
      <c r="Q12" s="100">
        <v>28.06</v>
      </c>
      <c r="R12" s="6"/>
      <c r="S12" s="6"/>
      <c r="T12" s="156"/>
      <c r="U12" s="6"/>
    </row>
    <row r="13" spans="1:21" customFormat="1">
      <c r="A13" s="163" t="s">
        <v>244</v>
      </c>
      <c r="B13" s="100">
        <v>4.3899999999999997</v>
      </c>
      <c r="C13" s="100">
        <v>33.590000000000003</v>
      </c>
      <c r="D13" s="100">
        <v>21.75</v>
      </c>
      <c r="E13" s="100">
        <v>1.56</v>
      </c>
      <c r="F13" s="100">
        <v>4.5199999999999996</v>
      </c>
      <c r="G13" s="100">
        <v>24.23</v>
      </c>
      <c r="H13" s="100">
        <v>13.5</v>
      </c>
      <c r="I13" s="100">
        <v>9.0299999999999994</v>
      </c>
      <c r="J13" s="100">
        <v>0.31</v>
      </c>
      <c r="K13" s="100">
        <v>161.88</v>
      </c>
      <c r="L13" s="100">
        <v>27.95</v>
      </c>
      <c r="M13" s="100">
        <v>50.66</v>
      </c>
      <c r="N13" s="100">
        <v>22.4</v>
      </c>
      <c r="O13" s="100">
        <v>0</v>
      </c>
      <c r="P13" s="100">
        <v>0.45</v>
      </c>
      <c r="Q13" s="100">
        <v>28.06</v>
      </c>
      <c r="R13" s="6"/>
      <c r="S13" s="6"/>
      <c r="T13" s="156"/>
      <c r="U13" s="6"/>
    </row>
    <row r="14" spans="1:21" customFormat="1">
      <c r="A14" s="163" t="s">
        <v>245</v>
      </c>
      <c r="B14" s="100">
        <v>4.6900000000000004</v>
      </c>
      <c r="C14" s="100">
        <v>33.86</v>
      </c>
      <c r="D14" s="100">
        <v>22.13</v>
      </c>
      <c r="E14" s="100">
        <v>1.49</v>
      </c>
      <c r="F14" s="100">
        <v>3.65</v>
      </c>
      <c r="G14" s="100">
        <v>24.23</v>
      </c>
      <c r="H14" s="100">
        <v>13.5</v>
      </c>
      <c r="I14" s="100">
        <v>8.94</v>
      </c>
      <c r="J14" s="100">
        <v>0.53</v>
      </c>
      <c r="K14" s="100">
        <v>147.69999999999999</v>
      </c>
      <c r="L14" s="100">
        <v>27.84</v>
      </c>
      <c r="M14" s="100">
        <v>51.01</v>
      </c>
      <c r="N14" s="100">
        <v>22.6</v>
      </c>
      <c r="O14" s="100">
        <v>0</v>
      </c>
      <c r="P14" s="100">
        <v>0.46</v>
      </c>
      <c r="Q14" s="100">
        <v>28.02</v>
      </c>
      <c r="R14" s="6"/>
      <c r="S14" s="6"/>
      <c r="T14" s="156"/>
      <c r="U14" s="6"/>
    </row>
    <row r="15" spans="1:21" customFormat="1">
      <c r="A15" s="163" t="s">
        <v>246</v>
      </c>
      <c r="B15" s="100">
        <v>4.8099999999999996</v>
      </c>
      <c r="C15" s="100">
        <v>35.619999999999997</v>
      </c>
      <c r="D15" s="100">
        <v>23.14</v>
      </c>
      <c r="E15" s="100">
        <v>1.49</v>
      </c>
      <c r="F15" s="100">
        <v>7.13</v>
      </c>
      <c r="G15" s="100">
        <v>24.23</v>
      </c>
      <c r="H15" s="100">
        <v>13.5</v>
      </c>
      <c r="I15" s="100">
        <v>8.86</v>
      </c>
      <c r="J15" s="100">
        <v>0.34</v>
      </c>
      <c r="K15" s="100">
        <v>119.03</v>
      </c>
      <c r="L15" s="100">
        <v>27.68</v>
      </c>
      <c r="M15" s="100">
        <v>51.51</v>
      </c>
      <c r="N15" s="100">
        <v>22.5</v>
      </c>
      <c r="O15" s="100">
        <v>0</v>
      </c>
      <c r="P15" s="100">
        <v>0.43</v>
      </c>
      <c r="Q15" s="100">
        <v>27.95</v>
      </c>
      <c r="R15" s="6"/>
      <c r="S15" s="6"/>
      <c r="T15" s="156"/>
      <c r="U15" s="6"/>
    </row>
    <row r="16" spans="1:21" customFormat="1">
      <c r="A16" s="163" t="s">
        <v>247</v>
      </c>
      <c r="B16" s="100">
        <v>4.7</v>
      </c>
      <c r="C16" s="100">
        <v>31.04</v>
      </c>
      <c r="D16" s="100">
        <v>20.66</v>
      </c>
      <c r="E16" s="100">
        <v>1.46</v>
      </c>
      <c r="F16" s="100">
        <v>9.35</v>
      </c>
      <c r="G16" s="100">
        <v>21.88</v>
      </c>
      <c r="H16" s="100">
        <v>11.38</v>
      </c>
      <c r="I16" s="100">
        <v>8.85</v>
      </c>
      <c r="J16" s="100">
        <v>0.16</v>
      </c>
      <c r="K16" s="100">
        <v>206.72</v>
      </c>
      <c r="L16" s="100">
        <v>27.57</v>
      </c>
      <c r="M16" s="100">
        <v>52.16</v>
      </c>
      <c r="N16" s="100">
        <v>22.7</v>
      </c>
      <c r="O16" s="100">
        <v>0</v>
      </c>
      <c r="P16" s="100">
        <v>0.42</v>
      </c>
      <c r="Q16" s="100">
        <v>28.13</v>
      </c>
      <c r="R16" s="6"/>
      <c r="S16" s="6"/>
      <c r="T16" s="156"/>
      <c r="U16" s="6"/>
    </row>
    <row r="17" spans="1:21" customFormat="1">
      <c r="A17" s="163" t="s">
        <v>248</v>
      </c>
      <c r="B17" s="100">
        <v>4.68</v>
      </c>
      <c r="C17" s="100">
        <v>30.45</v>
      </c>
      <c r="D17" s="100">
        <v>20.34</v>
      </c>
      <c r="E17" s="100">
        <v>1.1100000000000001</v>
      </c>
      <c r="F17" s="100">
        <v>8.7899999999999991</v>
      </c>
      <c r="G17" s="100">
        <v>19.82</v>
      </c>
      <c r="H17" s="100">
        <v>9.5299999999999994</v>
      </c>
      <c r="I17" s="100">
        <v>8.5399999999999991</v>
      </c>
      <c r="J17" s="100">
        <v>0.23</v>
      </c>
      <c r="K17" s="100">
        <v>90.65</v>
      </c>
      <c r="L17" s="100">
        <v>27.07</v>
      </c>
      <c r="M17" s="100">
        <v>54.2</v>
      </c>
      <c r="N17" s="100">
        <v>22.8</v>
      </c>
      <c r="O17" s="100">
        <v>0</v>
      </c>
      <c r="P17" s="100">
        <v>0.44</v>
      </c>
      <c r="Q17" s="100">
        <v>28.12</v>
      </c>
      <c r="R17" s="6"/>
      <c r="S17" s="6"/>
      <c r="T17" s="156"/>
      <c r="U17" s="6"/>
    </row>
    <row r="18" spans="1:21" customFormat="1">
      <c r="A18" s="163" t="s">
        <v>249</v>
      </c>
      <c r="B18" s="100">
        <v>4.8099999999999996</v>
      </c>
      <c r="C18" s="100">
        <v>33.1</v>
      </c>
      <c r="D18" s="100">
        <v>21.83</v>
      </c>
      <c r="E18" s="100">
        <v>1.1299999999999999</v>
      </c>
      <c r="F18" s="100">
        <v>8.52</v>
      </c>
      <c r="G18" s="100">
        <v>19.82</v>
      </c>
      <c r="H18" s="100">
        <v>9.5299999999999994</v>
      </c>
      <c r="I18" s="100">
        <v>8.17</v>
      </c>
      <c r="J18" s="100">
        <v>0.57999999999999996</v>
      </c>
      <c r="K18" s="100">
        <v>287.11</v>
      </c>
      <c r="L18" s="100">
        <v>27.37</v>
      </c>
      <c r="M18" s="100">
        <v>52.81</v>
      </c>
      <c r="N18" s="100">
        <v>22.4</v>
      </c>
      <c r="O18" s="100">
        <v>0</v>
      </c>
      <c r="P18" s="100">
        <v>0.43</v>
      </c>
      <c r="Q18" s="100">
        <v>28</v>
      </c>
      <c r="R18" s="6"/>
      <c r="S18" s="6"/>
      <c r="T18" s="156"/>
      <c r="U18" s="6"/>
    </row>
    <row r="19" spans="1:21" customFormat="1">
      <c r="A19" s="163" t="s">
        <v>250</v>
      </c>
      <c r="B19" s="100">
        <v>4.6900000000000004</v>
      </c>
      <c r="C19" s="100">
        <v>34.07</v>
      </c>
      <c r="D19" s="100">
        <v>22.24</v>
      </c>
      <c r="E19" s="100">
        <v>1.1299999999999999</v>
      </c>
      <c r="F19" s="100">
        <v>8.1199999999999992</v>
      </c>
      <c r="G19" s="100">
        <v>19.82</v>
      </c>
      <c r="H19" s="100">
        <v>9.5299999999999994</v>
      </c>
      <c r="I19" s="100">
        <v>8.1</v>
      </c>
      <c r="J19" s="100">
        <v>0.4</v>
      </c>
      <c r="K19" s="100">
        <v>277.95999999999998</v>
      </c>
      <c r="L19" s="100">
        <v>27.26</v>
      </c>
      <c r="M19" s="100">
        <v>53.58</v>
      </c>
      <c r="N19" s="100">
        <v>22.6</v>
      </c>
      <c r="O19" s="100">
        <v>0</v>
      </c>
      <c r="P19" s="100">
        <v>0.44</v>
      </c>
      <c r="Q19" s="100">
        <v>27.94</v>
      </c>
      <c r="R19" s="6"/>
      <c r="S19" s="6"/>
      <c r="T19" s="156"/>
      <c r="U19" s="6"/>
    </row>
    <row r="20" spans="1:21" customFormat="1">
      <c r="A20" s="163" t="s">
        <v>251</v>
      </c>
      <c r="B20" s="100">
        <v>4.82</v>
      </c>
      <c r="C20" s="100">
        <v>34.47</v>
      </c>
      <c r="D20" s="100">
        <v>22.55</v>
      </c>
      <c r="E20" s="100">
        <v>1.19</v>
      </c>
      <c r="F20" s="100">
        <v>7.82</v>
      </c>
      <c r="G20" s="100">
        <v>18.53</v>
      </c>
      <c r="H20" s="100">
        <v>10.93</v>
      </c>
      <c r="I20" s="100">
        <v>7.96</v>
      </c>
      <c r="J20" s="100">
        <v>0.28999999999999998</v>
      </c>
      <c r="K20" s="100">
        <v>197.67</v>
      </c>
      <c r="L20" s="100">
        <v>26.9</v>
      </c>
      <c r="M20" s="100">
        <v>55.51</v>
      </c>
      <c r="N20" s="100">
        <v>22.9</v>
      </c>
      <c r="O20" s="100">
        <v>0</v>
      </c>
      <c r="P20" s="100">
        <v>0.43</v>
      </c>
      <c r="Q20" s="100">
        <v>27.91</v>
      </c>
      <c r="R20" s="6"/>
      <c r="S20" s="6"/>
      <c r="T20" s="156"/>
      <c r="U20" s="6"/>
    </row>
    <row r="21" spans="1:21" customFormat="1">
      <c r="A21" s="163" t="s">
        <v>252</v>
      </c>
      <c r="B21" s="100">
        <v>5.13</v>
      </c>
      <c r="C21" s="100">
        <v>35.479999999999997</v>
      </c>
      <c r="D21" s="100">
        <v>23.33</v>
      </c>
      <c r="E21" s="100">
        <v>0.89</v>
      </c>
      <c r="F21" s="100">
        <v>6.06</v>
      </c>
      <c r="G21" s="100">
        <v>17.41</v>
      </c>
      <c r="H21" s="100">
        <v>12.22</v>
      </c>
      <c r="I21" s="100">
        <v>7.8</v>
      </c>
      <c r="J21" s="100">
        <v>0.16</v>
      </c>
      <c r="K21" s="100">
        <v>284.27999999999997</v>
      </c>
      <c r="L21" s="100">
        <v>26.6</v>
      </c>
      <c r="M21" s="100">
        <v>57.1</v>
      </c>
      <c r="N21" s="100">
        <v>22.8</v>
      </c>
      <c r="O21" s="100">
        <v>0</v>
      </c>
      <c r="P21" s="100">
        <v>0.44</v>
      </c>
      <c r="Q21" s="100">
        <v>27.82</v>
      </c>
      <c r="R21" s="6"/>
      <c r="S21" s="6"/>
      <c r="T21" s="156"/>
      <c r="U21" s="6"/>
    </row>
    <row r="22" spans="1:21" customFormat="1">
      <c r="A22" s="163" t="s">
        <v>253</v>
      </c>
      <c r="B22" s="100">
        <v>5.56</v>
      </c>
      <c r="C22" s="100">
        <v>36.72</v>
      </c>
      <c r="D22" s="100">
        <v>24.32</v>
      </c>
      <c r="E22" s="100">
        <v>0.97</v>
      </c>
      <c r="F22" s="100">
        <v>5.42</v>
      </c>
      <c r="G22" s="100">
        <v>17.41</v>
      </c>
      <c r="H22" s="100">
        <v>12.22</v>
      </c>
      <c r="I22" s="100">
        <v>7.96</v>
      </c>
      <c r="J22" s="100">
        <v>0.15</v>
      </c>
      <c r="K22" s="100">
        <v>41.22</v>
      </c>
      <c r="L22" s="100">
        <v>26.43</v>
      </c>
      <c r="M22" s="100">
        <v>57.59</v>
      </c>
      <c r="N22" s="100">
        <v>22.7</v>
      </c>
      <c r="O22" s="100">
        <v>0</v>
      </c>
      <c r="P22" s="100">
        <v>0.45</v>
      </c>
      <c r="Q22" s="100">
        <v>27.75</v>
      </c>
      <c r="R22" s="6"/>
      <c r="S22" s="6"/>
      <c r="T22" s="156"/>
      <c r="U22" s="6"/>
    </row>
    <row r="23" spans="1:21" customFormat="1">
      <c r="A23" s="163" t="s">
        <v>254</v>
      </c>
      <c r="B23" s="100">
        <v>6.15</v>
      </c>
      <c r="C23" s="100">
        <v>42.1</v>
      </c>
      <c r="D23" s="100">
        <v>27.6</v>
      </c>
      <c r="E23" s="100">
        <v>0.95</v>
      </c>
      <c r="F23" s="100">
        <v>3.19</v>
      </c>
      <c r="G23" s="100">
        <v>17.41</v>
      </c>
      <c r="H23" s="100">
        <v>12.22</v>
      </c>
      <c r="I23" s="100">
        <v>8.1</v>
      </c>
      <c r="J23" s="100">
        <v>0.12</v>
      </c>
      <c r="K23" s="100">
        <v>155.41</v>
      </c>
      <c r="L23" s="100">
        <v>26.13</v>
      </c>
      <c r="M23" s="100">
        <v>58.98</v>
      </c>
      <c r="N23" s="100">
        <v>22.8</v>
      </c>
      <c r="O23" s="100">
        <v>0</v>
      </c>
      <c r="P23" s="100">
        <v>0.44</v>
      </c>
      <c r="Q23" s="100">
        <v>27.5</v>
      </c>
      <c r="R23" s="6"/>
      <c r="S23" s="6"/>
      <c r="T23" s="156"/>
      <c r="U23" s="6"/>
    </row>
    <row r="24" spans="1:21" customFormat="1">
      <c r="A24" s="163" t="s">
        <v>255</v>
      </c>
      <c r="B24" s="100">
        <v>6.84</v>
      </c>
      <c r="C24" s="100">
        <v>40.53</v>
      </c>
      <c r="D24" s="100">
        <v>27.34</v>
      </c>
      <c r="E24" s="100">
        <v>0.62</v>
      </c>
      <c r="F24" s="100">
        <v>2.78</v>
      </c>
      <c r="G24" s="100">
        <v>24.54</v>
      </c>
      <c r="H24" s="100">
        <v>14.17</v>
      </c>
      <c r="I24" s="100">
        <v>8.1199999999999992</v>
      </c>
      <c r="J24" s="100">
        <v>0.72</v>
      </c>
      <c r="K24" s="100">
        <v>125.25</v>
      </c>
      <c r="L24" s="100">
        <v>26.17</v>
      </c>
      <c r="M24" s="100">
        <v>59.38</v>
      </c>
      <c r="N24" s="100">
        <v>22.8</v>
      </c>
      <c r="O24" s="100">
        <v>0</v>
      </c>
      <c r="P24" s="100">
        <v>0.43</v>
      </c>
      <c r="Q24" s="100">
        <v>27.51</v>
      </c>
      <c r="R24" s="6"/>
      <c r="S24" s="6"/>
      <c r="T24" s="156"/>
      <c r="U24" s="6"/>
    </row>
    <row r="25" spans="1:21" customFormat="1">
      <c r="A25" s="163" t="s">
        <v>256</v>
      </c>
      <c r="B25" s="100">
        <v>7.63</v>
      </c>
      <c r="C25" s="100">
        <v>39.96</v>
      </c>
      <c r="D25" s="100">
        <v>27.67</v>
      </c>
      <c r="E25" s="100">
        <v>0.97</v>
      </c>
      <c r="F25" s="100">
        <v>2.75</v>
      </c>
      <c r="G25" s="100">
        <v>30.79</v>
      </c>
      <c r="H25" s="100">
        <v>15.89</v>
      </c>
      <c r="I25" s="100">
        <v>8.09</v>
      </c>
      <c r="J25" s="100">
        <v>0.71</v>
      </c>
      <c r="K25" s="100">
        <v>101.37</v>
      </c>
      <c r="L25" s="100">
        <v>26.2</v>
      </c>
      <c r="M25" s="100">
        <v>59.48</v>
      </c>
      <c r="N25" s="100">
        <v>22.6</v>
      </c>
      <c r="O25" s="100">
        <v>0</v>
      </c>
      <c r="P25" s="100">
        <v>0.42</v>
      </c>
      <c r="Q25" s="100">
        <v>27.45</v>
      </c>
      <c r="R25" s="6"/>
      <c r="S25" s="6"/>
      <c r="T25" s="156"/>
      <c r="U25" s="6"/>
    </row>
    <row r="26" spans="1:21" customFormat="1">
      <c r="A26" s="163" t="s">
        <v>257</v>
      </c>
      <c r="B26" s="100">
        <v>8.5500000000000007</v>
      </c>
      <c r="C26" s="100">
        <v>39.630000000000003</v>
      </c>
      <c r="D26" s="100">
        <v>28.23</v>
      </c>
      <c r="E26" s="100">
        <v>1.49</v>
      </c>
      <c r="F26" s="100">
        <v>2.61</v>
      </c>
      <c r="G26" s="100">
        <v>30.79</v>
      </c>
      <c r="H26" s="100">
        <v>15.89</v>
      </c>
      <c r="I26" s="100">
        <v>8.17</v>
      </c>
      <c r="J26" s="100">
        <v>0.51</v>
      </c>
      <c r="K26" s="100">
        <v>76.84</v>
      </c>
      <c r="L26" s="100">
        <v>26.33</v>
      </c>
      <c r="M26" s="100">
        <v>59.53</v>
      </c>
      <c r="N26" s="100">
        <v>22.4</v>
      </c>
      <c r="O26" s="100">
        <v>0</v>
      </c>
      <c r="P26" s="100">
        <v>0.43</v>
      </c>
      <c r="Q26" s="100">
        <v>27.55</v>
      </c>
      <c r="R26" s="6"/>
      <c r="S26" s="6"/>
      <c r="T26" s="156"/>
      <c r="U26" s="6"/>
    </row>
    <row r="27" spans="1:21" customFormat="1">
      <c r="A27" s="163" t="s">
        <v>258</v>
      </c>
      <c r="B27" s="100">
        <v>9.5299999999999994</v>
      </c>
      <c r="C27" s="100">
        <v>39.36</v>
      </c>
      <c r="D27" s="100">
        <v>28.88</v>
      </c>
      <c r="E27" s="100">
        <v>1.35</v>
      </c>
      <c r="F27" s="100">
        <v>2.48</v>
      </c>
      <c r="G27" s="100">
        <v>30.79</v>
      </c>
      <c r="H27" s="100">
        <v>15.89</v>
      </c>
      <c r="I27" s="100">
        <v>8.1999999999999993</v>
      </c>
      <c r="J27" s="100">
        <v>0.68</v>
      </c>
      <c r="K27" s="100">
        <v>58.47</v>
      </c>
      <c r="L27" s="100">
        <v>26.19</v>
      </c>
      <c r="M27" s="100">
        <v>60.53</v>
      </c>
      <c r="N27" s="100">
        <v>22.6</v>
      </c>
      <c r="O27" s="100">
        <v>0</v>
      </c>
      <c r="P27" s="100">
        <v>0.43</v>
      </c>
      <c r="Q27" s="100">
        <v>27.47</v>
      </c>
      <c r="R27" s="6"/>
      <c r="S27" s="6"/>
      <c r="T27" s="156"/>
      <c r="U27" s="6"/>
    </row>
    <row r="28" spans="1:21" customFormat="1">
      <c r="A28" s="163" t="s">
        <v>259</v>
      </c>
      <c r="B28" s="100">
        <v>10.58</v>
      </c>
      <c r="C28" s="100">
        <v>39.840000000000003</v>
      </c>
      <c r="D28" s="100">
        <v>29.98</v>
      </c>
      <c r="E28" s="100">
        <v>1.3</v>
      </c>
      <c r="F28" s="100">
        <v>2.36</v>
      </c>
      <c r="G28" s="100">
        <v>41.85</v>
      </c>
      <c r="H28" s="100">
        <v>18.079999999999998</v>
      </c>
      <c r="I28" s="100">
        <v>8.3000000000000007</v>
      </c>
      <c r="J28" s="100">
        <v>0.66</v>
      </c>
      <c r="K28" s="100">
        <v>67.56</v>
      </c>
      <c r="L28" s="100">
        <v>25.95</v>
      </c>
      <c r="M28" s="100">
        <v>62.32</v>
      </c>
      <c r="N28" s="100">
        <v>22.8</v>
      </c>
      <c r="O28" s="100">
        <v>0</v>
      </c>
      <c r="P28" s="100">
        <v>0.45</v>
      </c>
      <c r="Q28" s="100">
        <v>27.36</v>
      </c>
      <c r="R28" s="6"/>
      <c r="S28" s="6"/>
      <c r="T28" s="156"/>
      <c r="U28" s="6"/>
    </row>
    <row r="29" spans="1:21" customFormat="1">
      <c r="A29" s="163" t="s">
        <v>260</v>
      </c>
      <c r="B29" s="100">
        <v>11.47</v>
      </c>
      <c r="C29" s="100">
        <v>33.85</v>
      </c>
      <c r="D29" s="100">
        <v>27.56</v>
      </c>
      <c r="E29" s="100">
        <v>0.48</v>
      </c>
      <c r="F29" s="100">
        <v>2.48</v>
      </c>
      <c r="G29" s="100">
        <v>51.53</v>
      </c>
      <c r="H29" s="100">
        <v>20</v>
      </c>
      <c r="I29" s="100">
        <v>8.58</v>
      </c>
      <c r="J29" s="100">
        <v>0.7</v>
      </c>
      <c r="K29" s="100">
        <v>54</v>
      </c>
      <c r="L29" s="100">
        <v>25.64</v>
      </c>
      <c r="M29" s="100">
        <v>64.13</v>
      </c>
      <c r="N29" s="100">
        <v>22.9</v>
      </c>
      <c r="O29" s="100">
        <v>0</v>
      </c>
      <c r="P29" s="100">
        <v>0.47</v>
      </c>
      <c r="Q29" s="100">
        <v>27.52</v>
      </c>
      <c r="R29" s="6"/>
      <c r="S29" s="6"/>
      <c r="T29" s="156"/>
      <c r="U29" s="6"/>
    </row>
    <row r="30" spans="1:21" customFormat="1">
      <c r="A30" s="163" t="s">
        <v>261</v>
      </c>
      <c r="B30" s="100">
        <v>12.47</v>
      </c>
      <c r="C30" s="100">
        <v>31.25</v>
      </c>
      <c r="D30" s="100">
        <v>27</v>
      </c>
      <c r="E30" s="100">
        <v>1.5</v>
      </c>
      <c r="F30" s="100">
        <v>2.4500000000000002</v>
      </c>
      <c r="G30" s="100">
        <v>51.53</v>
      </c>
      <c r="H30" s="100">
        <v>20</v>
      </c>
      <c r="I30" s="100">
        <v>9.1</v>
      </c>
      <c r="J30" s="100">
        <v>0.44</v>
      </c>
      <c r="K30" s="100">
        <v>86.03</v>
      </c>
      <c r="L30" s="100">
        <v>25.73</v>
      </c>
      <c r="M30" s="100">
        <v>63.79</v>
      </c>
      <c r="N30" s="100">
        <v>23.9</v>
      </c>
      <c r="O30" s="100">
        <v>0</v>
      </c>
      <c r="P30" s="100">
        <v>0.54</v>
      </c>
      <c r="Q30" s="100">
        <v>27.59</v>
      </c>
      <c r="R30" s="6"/>
      <c r="S30" s="6"/>
      <c r="T30" s="156"/>
      <c r="U30" s="6"/>
    </row>
    <row r="31" spans="1:21" customFormat="1">
      <c r="A31" s="163" t="s">
        <v>262</v>
      </c>
      <c r="B31" s="100">
        <v>13.19</v>
      </c>
      <c r="C31" s="100">
        <v>32.619999999999997</v>
      </c>
      <c r="D31" s="100">
        <v>28.3</v>
      </c>
      <c r="E31" s="100">
        <v>1.46</v>
      </c>
      <c r="F31" s="100">
        <v>2.5499999999999998</v>
      </c>
      <c r="G31" s="100">
        <v>51.53</v>
      </c>
      <c r="H31" s="100">
        <v>20</v>
      </c>
      <c r="I31" s="100">
        <v>9.74</v>
      </c>
      <c r="J31" s="100">
        <v>0.51</v>
      </c>
      <c r="K31" s="100">
        <v>154.13999999999999</v>
      </c>
      <c r="L31" s="100">
        <v>25.67</v>
      </c>
      <c r="M31" s="100">
        <v>63.9</v>
      </c>
      <c r="N31" s="100">
        <v>29.3</v>
      </c>
      <c r="O31" s="100">
        <v>0</v>
      </c>
      <c r="P31" s="100">
        <v>0.56000000000000005</v>
      </c>
      <c r="Q31" s="100">
        <v>27.46</v>
      </c>
      <c r="R31" s="6"/>
      <c r="S31" s="6"/>
      <c r="T31" s="156"/>
      <c r="U31" s="6"/>
    </row>
    <row r="32" spans="1:21" customFormat="1">
      <c r="A32" s="163" t="s">
        <v>263</v>
      </c>
      <c r="B32" s="100">
        <v>13.23</v>
      </c>
      <c r="C32" s="100">
        <v>34.24</v>
      </c>
      <c r="D32" s="100">
        <v>29.18</v>
      </c>
      <c r="E32" s="100">
        <v>1.62</v>
      </c>
      <c r="F32" s="100">
        <v>3.41</v>
      </c>
      <c r="G32" s="100">
        <v>72.37</v>
      </c>
      <c r="H32" s="100">
        <v>28.3</v>
      </c>
      <c r="I32" s="100">
        <v>10.35</v>
      </c>
      <c r="J32" s="100">
        <v>0.64</v>
      </c>
      <c r="K32" s="100">
        <v>160.21</v>
      </c>
      <c r="L32" s="100">
        <v>25.51</v>
      </c>
      <c r="M32" s="100">
        <v>64.099999999999994</v>
      </c>
      <c r="N32" s="100">
        <v>37.4</v>
      </c>
      <c r="O32" s="100">
        <v>0</v>
      </c>
      <c r="P32" s="100">
        <v>0.56999999999999995</v>
      </c>
      <c r="Q32" s="100">
        <v>27.37</v>
      </c>
      <c r="R32" s="6"/>
      <c r="S32" s="6"/>
      <c r="T32" s="156"/>
      <c r="U32" s="6"/>
    </row>
    <row r="33" spans="1:21" customFormat="1">
      <c r="A33" s="163" t="s">
        <v>264</v>
      </c>
      <c r="B33" s="100">
        <v>12.98</v>
      </c>
      <c r="C33" s="100">
        <v>34.18</v>
      </c>
      <c r="D33" s="100">
        <v>28.94</v>
      </c>
      <c r="E33" s="100">
        <v>1.5</v>
      </c>
      <c r="F33" s="100">
        <v>3.64</v>
      </c>
      <c r="G33" s="100">
        <v>91.42</v>
      </c>
      <c r="H33" s="100">
        <v>35.57</v>
      </c>
      <c r="I33" s="100">
        <v>10.71</v>
      </c>
      <c r="J33" s="100">
        <v>0.49</v>
      </c>
      <c r="K33" s="100">
        <v>39.799999999999997</v>
      </c>
      <c r="L33" s="100">
        <v>25.64</v>
      </c>
      <c r="M33" s="100">
        <v>64.27</v>
      </c>
      <c r="N33" s="100">
        <v>47.6</v>
      </c>
      <c r="O33" s="100">
        <v>0</v>
      </c>
      <c r="P33" s="100">
        <v>0.56999999999999995</v>
      </c>
      <c r="Q33" s="100">
        <v>27.38</v>
      </c>
      <c r="R33" s="6"/>
      <c r="S33" s="6"/>
      <c r="T33" s="156"/>
      <c r="U33" s="6"/>
    </row>
    <row r="34" spans="1:21" customFormat="1">
      <c r="A34" s="163" t="s">
        <v>265</v>
      </c>
      <c r="B34" s="100">
        <v>12.98</v>
      </c>
      <c r="C34" s="100">
        <v>33.909999999999997</v>
      </c>
      <c r="D34" s="100">
        <v>28.8</v>
      </c>
      <c r="E34" s="100">
        <v>1.43</v>
      </c>
      <c r="F34" s="100">
        <v>3.52</v>
      </c>
      <c r="G34" s="100">
        <v>91.42</v>
      </c>
      <c r="H34" s="100">
        <v>35.57</v>
      </c>
      <c r="I34" s="100">
        <v>10.79</v>
      </c>
      <c r="J34" s="100">
        <v>0.38</v>
      </c>
      <c r="K34" s="100">
        <v>108.41</v>
      </c>
      <c r="L34" s="100">
        <v>26.04</v>
      </c>
      <c r="M34" s="100">
        <v>62.81</v>
      </c>
      <c r="N34" s="100">
        <v>57.8</v>
      </c>
      <c r="O34" s="100">
        <v>0</v>
      </c>
      <c r="P34" s="100">
        <v>0.56999999999999995</v>
      </c>
      <c r="Q34" s="100">
        <v>27.41</v>
      </c>
      <c r="R34" s="6"/>
      <c r="S34" s="6"/>
      <c r="T34" s="156"/>
      <c r="U34" s="6"/>
    </row>
    <row r="35" spans="1:21" customFormat="1">
      <c r="A35" s="163" t="s">
        <v>266</v>
      </c>
      <c r="B35" s="100">
        <v>12.96</v>
      </c>
      <c r="C35" s="100">
        <v>34.51</v>
      </c>
      <c r="D35" s="100">
        <v>29.1</v>
      </c>
      <c r="E35" s="100">
        <v>1.49</v>
      </c>
      <c r="F35" s="100">
        <v>3.4</v>
      </c>
      <c r="G35" s="100">
        <v>91.42</v>
      </c>
      <c r="H35" s="100">
        <v>35.57</v>
      </c>
      <c r="I35" s="100">
        <v>10.78</v>
      </c>
      <c r="J35" s="100">
        <v>0.51</v>
      </c>
      <c r="K35" s="100">
        <v>144.13999999999999</v>
      </c>
      <c r="L35" s="100">
        <v>26.35</v>
      </c>
      <c r="M35" s="100">
        <v>60.43</v>
      </c>
      <c r="N35" s="100">
        <v>67.599999999999994</v>
      </c>
      <c r="O35" s="100">
        <v>0</v>
      </c>
      <c r="P35" s="100">
        <v>0.56999999999999995</v>
      </c>
      <c r="Q35" s="100">
        <v>27.41</v>
      </c>
      <c r="R35" s="6"/>
      <c r="S35" s="6"/>
      <c r="T35" s="156"/>
      <c r="U35" s="6"/>
    </row>
    <row r="36" spans="1:21" customFormat="1">
      <c r="A36" s="163" t="s">
        <v>267</v>
      </c>
      <c r="B36" s="100">
        <v>12.85</v>
      </c>
      <c r="C36" s="100">
        <v>39.93</v>
      </c>
      <c r="D36" s="100">
        <v>31.85</v>
      </c>
      <c r="E36" s="100">
        <v>1.34</v>
      </c>
      <c r="F36" s="100">
        <v>2.99</v>
      </c>
      <c r="G36" s="100">
        <v>86.73</v>
      </c>
      <c r="H36" s="100">
        <v>33.96</v>
      </c>
      <c r="I36" s="100">
        <v>10.76</v>
      </c>
      <c r="J36" s="100">
        <v>0.28999999999999998</v>
      </c>
      <c r="K36" s="100">
        <v>146.91</v>
      </c>
      <c r="L36" s="100">
        <v>26.78</v>
      </c>
      <c r="M36" s="100">
        <v>58.93</v>
      </c>
      <c r="N36" s="100">
        <v>79.400000000000006</v>
      </c>
      <c r="O36" s="100">
        <v>0</v>
      </c>
      <c r="P36" s="100">
        <v>0.55000000000000004</v>
      </c>
      <c r="Q36" s="100">
        <v>27.18</v>
      </c>
      <c r="R36" s="6"/>
      <c r="S36" s="6"/>
      <c r="T36" s="156"/>
      <c r="U36" s="6"/>
    </row>
    <row r="37" spans="1:21" customFormat="1">
      <c r="A37" s="163" t="s">
        <v>268</v>
      </c>
      <c r="B37" s="100">
        <v>13.14</v>
      </c>
      <c r="C37" s="100">
        <v>39.81</v>
      </c>
      <c r="D37" s="100">
        <v>32.01</v>
      </c>
      <c r="E37" s="100">
        <v>1.43</v>
      </c>
      <c r="F37" s="100">
        <v>3</v>
      </c>
      <c r="G37" s="100">
        <v>82.62</v>
      </c>
      <c r="H37" s="100">
        <v>32.549999999999997</v>
      </c>
      <c r="I37" s="100">
        <v>10.73</v>
      </c>
      <c r="J37" s="100">
        <v>0.68</v>
      </c>
      <c r="K37" s="100">
        <v>150.22</v>
      </c>
      <c r="L37" s="100">
        <v>27.42</v>
      </c>
      <c r="M37" s="100">
        <v>56.03</v>
      </c>
      <c r="N37" s="100">
        <v>94.5</v>
      </c>
      <c r="O37" s="100">
        <v>0</v>
      </c>
      <c r="P37" s="100">
        <v>0.56000000000000005</v>
      </c>
      <c r="Q37" s="100">
        <v>27.19</v>
      </c>
      <c r="R37" s="6"/>
      <c r="S37" s="6"/>
      <c r="T37" s="156"/>
      <c r="U37" s="6"/>
    </row>
    <row r="38" spans="1:21" customFormat="1">
      <c r="A38" s="163" t="s">
        <v>269</v>
      </c>
      <c r="B38" s="100">
        <v>13.17</v>
      </c>
      <c r="C38" s="100">
        <v>39.159999999999997</v>
      </c>
      <c r="D38" s="100">
        <v>31.7</v>
      </c>
      <c r="E38" s="100">
        <v>1.41</v>
      </c>
      <c r="F38" s="100">
        <v>2.92</v>
      </c>
      <c r="G38" s="100">
        <v>82.62</v>
      </c>
      <c r="H38" s="100">
        <v>32.549999999999997</v>
      </c>
      <c r="I38" s="100">
        <v>10.77</v>
      </c>
      <c r="J38" s="100">
        <v>0.56000000000000005</v>
      </c>
      <c r="K38" s="100">
        <v>155.77000000000001</v>
      </c>
      <c r="L38" s="100">
        <v>27.83</v>
      </c>
      <c r="M38" s="100">
        <v>54.06</v>
      </c>
      <c r="N38" s="100">
        <v>99.6</v>
      </c>
      <c r="O38" s="100">
        <v>0</v>
      </c>
      <c r="P38" s="100">
        <v>0.54</v>
      </c>
      <c r="Q38" s="100">
        <v>27.26</v>
      </c>
      <c r="R38" s="6"/>
      <c r="S38" s="6"/>
      <c r="T38" s="156"/>
      <c r="U38" s="6"/>
    </row>
    <row r="39" spans="1:21" customFormat="1">
      <c r="A39" s="163" t="s">
        <v>270</v>
      </c>
      <c r="B39" s="100">
        <v>12.95</v>
      </c>
      <c r="C39" s="100">
        <v>38.67</v>
      </c>
      <c r="D39" s="100">
        <v>31.26</v>
      </c>
      <c r="E39" s="100">
        <v>1.28</v>
      </c>
      <c r="F39" s="100">
        <v>2.94</v>
      </c>
      <c r="G39" s="100">
        <v>82.62</v>
      </c>
      <c r="H39" s="100">
        <v>32.549999999999997</v>
      </c>
      <c r="I39" s="100">
        <v>10.86</v>
      </c>
      <c r="J39" s="100">
        <v>0.42</v>
      </c>
      <c r="K39" s="100">
        <v>161.13999999999999</v>
      </c>
      <c r="L39" s="100">
        <v>28.13</v>
      </c>
      <c r="M39" s="100">
        <v>53.19</v>
      </c>
      <c r="N39" s="100">
        <v>106.1</v>
      </c>
      <c r="O39" s="100">
        <v>0</v>
      </c>
      <c r="P39" s="100">
        <v>0.54</v>
      </c>
      <c r="Q39" s="100">
        <v>27.31</v>
      </c>
      <c r="R39" s="6"/>
      <c r="S39" s="6"/>
      <c r="T39" s="156"/>
      <c r="U39" s="6"/>
    </row>
    <row r="40" spans="1:21" customFormat="1">
      <c r="A40" s="163" t="s">
        <v>271</v>
      </c>
      <c r="B40" s="100">
        <v>12.76</v>
      </c>
      <c r="C40" s="100">
        <v>38.119999999999997</v>
      </c>
      <c r="D40" s="100">
        <v>30.82</v>
      </c>
      <c r="E40" s="100">
        <v>1.63</v>
      </c>
      <c r="F40" s="100">
        <v>3.37</v>
      </c>
      <c r="G40" s="100">
        <v>77.11</v>
      </c>
      <c r="H40" s="100">
        <v>32.72</v>
      </c>
      <c r="I40" s="100">
        <v>10.93</v>
      </c>
      <c r="J40" s="100">
        <v>0.24</v>
      </c>
      <c r="K40" s="100">
        <v>235.49</v>
      </c>
      <c r="L40" s="100">
        <v>28.66</v>
      </c>
      <c r="M40" s="100">
        <v>50.68</v>
      </c>
      <c r="N40" s="100">
        <v>168.1</v>
      </c>
      <c r="O40" s="100">
        <v>0</v>
      </c>
      <c r="P40" s="100">
        <v>0.54</v>
      </c>
      <c r="Q40" s="100">
        <v>27.33</v>
      </c>
      <c r="R40" s="6"/>
      <c r="S40" s="6"/>
      <c r="T40" s="156"/>
      <c r="U40" s="6"/>
    </row>
    <row r="41" spans="1:21" customFormat="1">
      <c r="A41" s="163" t="s">
        <v>272</v>
      </c>
      <c r="B41" s="100">
        <v>12.69</v>
      </c>
      <c r="C41" s="100">
        <v>38.549999999999997</v>
      </c>
      <c r="D41" s="100">
        <v>30.99</v>
      </c>
      <c r="E41" s="100">
        <v>1.75</v>
      </c>
      <c r="F41" s="100">
        <v>4.1500000000000004</v>
      </c>
      <c r="G41" s="100">
        <v>72.290000000000006</v>
      </c>
      <c r="H41" s="100">
        <v>32.880000000000003</v>
      </c>
      <c r="I41" s="100">
        <v>10.93</v>
      </c>
      <c r="J41" s="100">
        <v>0.56000000000000005</v>
      </c>
      <c r="K41" s="100">
        <v>176.19</v>
      </c>
      <c r="L41" s="100">
        <v>29.11</v>
      </c>
      <c r="M41" s="100">
        <v>49.09</v>
      </c>
      <c r="N41" s="100">
        <v>296.7</v>
      </c>
      <c r="O41" s="100">
        <v>0</v>
      </c>
      <c r="P41" s="100">
        <v>0.54</v>
      </c>
      <c r="Q41" s="100">
        <v>27.33</v>
      </c>
      <c r="R41" s="6"/>
      <c r="S41" s="6"/>
      <c r="T41" s="156"/>
      <c r="U41" s="6"/>
    </row>
    <row r="42" spans="1:21" customFormat="1">
      <c r="A42" s="163" t="s">
        <v>273</v>
      </c>
      <c r="B42" s="100">
        <v>11.62</v>
      </c>
      <c r="C42" s="100">
        <v>31.95</v>
      </c>
      <c r="D42" s="100">
        <v>26.68</v>
      </c>
      <c r="E42" s="100">
        <v>1.83</v>
      </c>
      <c r="F42" s="100">
        <v>5.96</v>
      </c>
      <c r="G42" s="100">
        <v>72.290000000000006</v>
      </c>
      <c r="H42" s="100">
        <v>32.880000000000003</v>
      </c>
      <c r="I42" s="100">
        <v>11.02</v>
      </c>
      <c r="J42" s="100">
        <v>0.71</v>
      </c>
      <c r="K42" s="100">
        <v>228.84</v>
      </c>
      <c r="L42" s="100">
        <v>29.47</v>
      </c>
      <c r="M42" s="100">
        <v>46.75</v>
      </c>
      <c r="N42" s="100">
        <v>229.2</v>
      </c>
      <c r="O42" s="100">
        <v>0</v>
      </c>
      <c r="P42" s="100">
        <v>0.53</v>
      </c>
      <c r="Q42" s="100">
        <v>27.53</v>
      </c>
      <c r="R42" s="6"/>
      <c r="S42" s="6"/>
      <c r="T42" s="156"/>
      <c r="U42" s="6"/>
    </row>
    <row r="43" spans="1:21" customFormat="1">
      <c r="A43" s="163" t="s">
        <v>274</v>
      </c>
      <c r="B43" s="100">
        <v>11.07</v>
      </c>
      <c r="C43" s="100">
        <v>29.22</v>
      </c>
      <c r="D43" s="100">
        <v>24.82</v>
      </c>
      <c r="E43" s="100">
        <v>1.1399999999999999</v>
      </c>
      <c r="F43" s="100">
        <v>4.62</v>
      </c>
      <c r="G43" s="100">
        <v>72.290000000000006</v>
      </c>
      <c r="H43" s="100">
        <v>32.880000000000003</v>
      </c>
      <c r="I43" s="100">
        <v>11.02</v>
      </c>
      <c r="J43" s="100">
        <v>1.18</v>
      </c>
      <c r="K43" s="100">
        <v>219</v>
      </c>
      <c r="L43" s="100">
        <v>29.79</v>
      </c>
      <c r="M43" s="100">
        <v>44.98</v>
      </c>
      <c r="N43" s="100">
        <v>143.6</v>
      </c>
      <c r="O43" s="100">
        <v>0</v>
      </c>
      <c r="P43" s="100">
        <v>0.55000000000000004</v>
      </c>
      <c r="Q43" s="100">
        <v>27.75</v>
      </c>
      <c r="R43" s="6"/>
      <c r="S43" s="6"/>
      <c r="T43" s="156"/>
      <c r="U43" s="6"/>
    </row>
    <row r="44" spans="1:21" customFormat="1">
      <c r="A44" s="163" t="s">
        <v>275</v>
      </c>
      <c r="B44" s="100">
        <v>9.59</v>
      </c>
      <c r="C44" s="100">
        <v>30.93</v>
      </c>
      <c r="D44" s="100">
        <v>24.52</v>
      </c>
      <c r="E44" s="100">
        <v>1.0900000000000001</v>
      </c>
      <c r="F44" s="100">
        <v>10.14</v>
      </c>
      <c r="G44" s="100">
        <v>62.68</v>
      </c>
      <c r="H44" s="100">
        <v>27.45</v>
      </c>
      <c r="I44" s="100">
        <v>10.99</v>
      </c>
      <c r="J44" s="100">
        <v>0.33</v>
      </c>
      <c r="K44" s="100">
        <v>206.49</v>
      </c>
      <c r="L44" s="100">
        <v>30.38</v>
      </c>
      <c r="M44" s="100">
        <v>43.95</v>
      </c>
      <c r="N44" s="100">
        <v>182.8</v>
      </c>
      <c r="O44" s="100">
        <v>0</v>
      </c>
      <c r="P44" s="100">
        <v>0.55000000000000004</v>
      </c>
      <c r="Q44" s="100">
        <v>27.8</v>
      </c>
      <c r="R44" s="6"/>
      <c r="S44" s="6"/>
      <c r="T44" s="156"/>
      <c r="U44" s="6"/>
    </row>
    <row r="45" spans="1:21" customFormat="1">
      <c r="A45" s="163" t="s">
        <v>276</v>
      </c>
      <c r="B45" s="100">
        <v>7.86</v>
      </c>
      <c r="C45" s="100">
        <v>29.46</v>
      </c>
      <c r="D45" s="100">
        <v>22.37</v>
      </c>
      <c r="E45" s="100">
        <v>1.0900000000000001</v>
      </c>
      <c r="F45" s="100">
        <v>8.77</v>
      </c>
      <c r="G45" s="100">
        <v>54.28</v>
      </c>
      <c r="H45" s="100">
        <v>22.69</v>
      </c>
      <c r="I45" s="100">
        <v>10.7</v>
      </c>
      <c r="J45" s="100">
        <v>0.82</v>
      </c>
      <c r="K45" s="100">
        <v>222.3</v>
      </c>
      <c r="L45" s="100">
        <v>30.94</v>
      </c>
      <c r="M45" s="100">
        <v>42.56</v>
      </c>
      <c r="N45" s="100">
        <v>323.5</v>
      </c>
      <c r="O45" s="100">
        <v>0</v>
      </c>
      <c r="P45" s="100">
        <v>0.55000000000000004</v>
      </c>
      <c r="Q45" s="100">
        <v>27.83</v>
      </c>
      <c r="R45" s="6"/>
      <c r="S45" s="6"/>
      <c r="T45" s="156"/>
      <c r="U45" s="6"/>
    </row>
    <row r="46" spans="1:21" customFormat="1">
      <c r="A46" s="163" t="s">
        <v>277</v>
      </c>
      <c r="B46" s="100">
        <v>7.78</v>
      </c>
      <c r="C46" s="100">
        <v>32.479999999999997</v>
      </c>
      <c r="D46" s="100">
        <v>23.88</v>
      </c>
      <c r="E46" s="100">
        <v>1.17</v>
      </c>
      <c r="F46" s="100">
        <v>6.34</v>
      </c>
      <c r="G46" s="100">
        <v>54.28</v>
      </c>
      <c r="H46" s="100">
        <v>22.69</v>
      </c>
      <c r="I46" s="100">
        <v>10.47</v>
      </c>
      <c r="J46" s="100">
        <v>1.2</v>
      </c>
      <c r="K46" s="100">
        <v>235.28</v>
      </c>
      <c r="L46" s="100">
        <v>31.26</v>
      </c>
      <c r="M46" s="100">
        <v>41.25</v>
      </c>
      <c r="N46" s="100">
        <v>247.9</v>
      </c>
      <c r="O46" s="100">
        <v>0</v>
      </c>
      <c r="P46" s="100">
        <v>0.56000000000000005</v>
      </c>
      <c r="Q46" s="100">
        <v>27.81</v>
      </c>
      <c r="R46" s="6"/>
      <c r="S46" s="6"/>
      <c r="T46" s="156"/>
      <c r="U46" s="6"/>
    </row>
    <row r="47" spans="1:21" customFormat="1">
      <c r="A47" s="163" t="s">
        <v>278</v>
      </c>
      <c r="B47" s="100">
        <v>6.87</v>
      </c>
      <c r="C47" s="100">
        <v>31.99</v>
      </c>
      <c r="D47" s="100">
        <v>22.9</v>
      </c>
      <c r="E47" s="100">
        <v>1.45</v>
      </c>
      <c r="F47" s="100">
        <v>9.31</v>
      </c>
      <c r="G47" s="100">
        <v>54.28</v>
      </c>
      <c r="H47" s="100">
        <v>22.69</v>
      </c>
      <c r="I47" s="100">
        <v>10.42</v>
      </c>
      <c r="J47" s="100">
        <v>0.46</v>
      </c>
      <c r="K47" s="100">
        <v>193.05</v>
      </c>
      <c r="L47" s="100">
        <v>31.7</v>
      </c>
      <c r="M47" s="100">
        <v>41.54</v>
      </c>
      <c r="N47" s="100">
        <v>519</v>
      </c>
      <c r="O47" s="100">
        <v>0</v>
      </c>
      <c r="P47" s="100">
        <v>0.55000000000000004</v>
      </c>
      <c r="Q47" s="100">
        <v>27.88</v>
      </c>
      <c r="R47" s="6"/>
      <c r="S47" s="6"/>
      <c r="T47" s="156"/>
      <c r="U47" s="6"/>
    </row>
    <row r="48" spans="1:21" customFormat="1">
      <c r="A48" s="163" t="s">
        <v>279</v>
      </c>
      <c r="B48" s="100">
        <v>6</v>
      </c>
      <c r="C48" s="100">
        <v>33.090000000000003</v>
      </c>
      <c r="D48" s="100">
        <v>22.77</v>
      </c>
      <c r="E48" s="100">
        <v>1.22</v>
      </c>
      <c r="F48" s="100">
        <v>8</v>
      </c>
      <c r="G48" s="100">
        <v>48.97</v>
      </c>
      <c r="H48" s="100">
        <v>20.43</v>
      </c>
      <c r="I48" s="100">
        <v>10.3</v>
      </c>
      <c r="J48" s="100">
        <v>0.88</v>
      </c>
      <c r="K48" s="100">
        <v>228.12</v>
      </c>
      <c r="L48" s="100">
        <v>32.33</v>
      </c>
      <c r="M48" s="100">
        <v>39.770000000000003</v>
      </c>
      <c r="N48" s="100">
        <v>702.9</v>
      </c>
      <c r="O48" s="100">
        <v>0</v>
      </c>
      <c r="P48" s="100">
        <v>0.55000000000000004</v>
      </c>
      <c r="Q48" s="100">
        <v>27.92</v>
      </c>
      <c r="R48" s="6"/>
      <c r="S48" s="6"/>
      <c r="T48" s="156"/>
      <c r="U48" s="6"/>
    </row>
    <row r="49" spans="1:21" customFormat="1">
      <c r="A49" s="163" t="s">
        <v>280</v>
      </c>
      <c r="B49" s="100">
        <v>5.48</v>
      </c>
      <c r="C49" s="100">
        <v>39.369999999999997</v>
      </c>
      <c r="D49" s="100">
        <v>25.64</v>
      </c>
      <c r="E49" s="100">
        <v>0.54</v>
      </c>
      <c r="F49" s="100">
        <v>5.56</v>
      </c>
      <c r="G49" s="100">
        <v>44.32</v>
      </c>
      <c r="H49" s="100">
        <v>18.46</v>
      </c>
      <c r="I49" s="100">
        <v>10.07</v>
      </c>
      <c r="J49" s="100">
        <v>0.53</v>
      </c>
      <c r="K49" s="100">
        <v>180.59</v>
      </c>
      <c r="L49" s="100">
        <v>33.119999999999997</v>
      </c>
      <c r="M49" s="100">
        <v>38.28</v>
      </c>
      <c r="N49" s="100">
        <v>741</v>
      </c>
      <c r="O49" s="100">
        <v>0</v>
      </c>
      <c r="P49" s="100">
        <v>0.55000000000000004</v>
      </c>
      <c r="Q49" s="100">
        <v>27.69</v>
      </c>
      <c r="R49" s="6"/>
      <c r="S49" s="6"/>
      <c r="T49" s="156"/>
      <c r="U49" s="6"/>
    </row>
    <row r="50" spans="1:21" customFormat="1">
      <c r="A50" s="163" t="s">
        <v>281</v>
      </c>
      <c r="B50" s="100">
        <v>4.53</v>
      </c>
      <c r="C50" s="100">
        <v>34.92</v>
      </c>
      <c r="D50" s="100">
        <v>22.55</v>
      </c>
      <c r="E50" s="100">
        <v>1.53</v>
      </c>
      <c r="F50" s="100">
        <v>7.96</v>
      </c>
      <c r="G50" s="100">
        <v>44.32</v>
      </c>
      <c r="H50" s="100">
        <v>18.46</v>
      </c>
      <c r="I50" s="100">
        <v>10.050000000000001</v>
      </c>
      <c r="J50" s="100">
        <v>0.87</v>
      </c>
      <c r="K50" s="100">
        <v>198.43</v>
      </c>
      <c r="L50" s="100">
        <v>33.54</v>
      </c>
      <c r="M50" s="100">
        <v>37.43</v>
      </c>
      <c r="N50" s="100">
        <v>773.5</v>
      </c>
      <c r="O50" s="100">
        <v>0</v>
      </c>
      <c r="P50" s="100">
        <v>0.53</v>
      </c>
      <c r="Q50" s="100">
        <v>27.79</v>
      </c>
      <c r="R50" s="6"/>
      <c r="S50" s="6"/>
      <c r="T50" s="156"/>
      <c r="U50" s="6"/>
    </row>
    <row r="51" spans="1:21" customFormat="1">
      <c r="A51" s="163" t="s">
        <v>282</v>
      </c>
      <c r="B51" s="100">
        <v>4.43</v>
      </c>
      <c r="C51" s="100">
        <v>36.07</v>
      </c>
      <c r="D51" s="100">
        <v>23.08</v>
      </c>
      <c r="E51" s="100">
        <v>1.43</v>
      </c>
      <c r="F51" s="100">
        <v>5.48</v>
      </c>
      <c r="G51" s="100">
        <v>44.32</v>
      </c>
      <c r="H51" s="100">
        <v>18.46</v>
      </c>
      <c r="I51" s="100">
        <v>10.08</v>
      </c>
      <c r="J51" s="100">
        <v>0.92</v>
      </c>
      <c r="K51" s="100">
        <v>237.79</v>
      </c>
      <c r="L51" s="100">
        <v>33.49</v>
      </c>
      <c r="M51" s="100">
        <v>37.6</v>
      </c>
      <c r="N51" s="100">
        <v>794.6</v>
      </c>
      <c r="O51" s="100">
        <v>0</v>
      </c>
      <c r="P51" s="100">
        <v>0.52</v>
      </c>
      <c r="Q51" s="100">
        <v>27.91</v>
      </c>
      <c r="R51" s="6"/>
      <c r="S51" s="6"/>
      <c r="T51" s="156"/>
      <c r="U51" s="6"/>
    </row>
    <row r="52" spans="1:21" customFormat="1">
      <c r="A52" s="163" t="s">
        <v>283</v>
      </c>
      <c r="B52" s="100">
        <v>4.3</v>
      </c>
      <c r="C52" s="100">
        <v>36.18</v>
      </c>
      <c r="D52" s="100">
        <v>23.03</v>
      </c>
      <c r="E52" s="100">
        <v>1.44</v>
      </c>
      <c r="F52" s="100">
        <v>6.67</v>
      </c>
      <c r="G52" s="100">
        <v>39.520000000000003</v>
      </c>
      <c r="H52" s="100">
        <v>18.059999999999999</v>
      </c>
      <c r="I52" s="100">
        <v>9.81</v>
      </c>
      <c r="J52" s="100">
        <v>1.01</v>
      </c>
      <c r="K52" s="100">
        <v>195.68</v>
      </c>
      <c r="L52" s="100">
        <v>34.17</v>
      </c>
      <c r="M52" s="100">
        <v>36.29</v>
      </c>
      <c r="N52" s="100">
        <v>813.3</v>
      </c>
      <c r="O52" s="100">
        <v>0</v>
      </c>
      <c r="P52" s="100">
        <v>0.51</v>
      </c>
      <c r="Q52" s="100">
        <v>28.03</v>
      </c>
      <c r="R52" s="6"/>
      <c r="S52" s="6"/>
      <c r="T52" s="156"/>
      <c r="U52" s="6"/>
    </row>
    <row r="53" spans="1:21" customFormat="1">
      <c r="A53" s="163" t="s">
        <v>284</v>
      </c>
      <c r="B53" s="100">
        <v>4.2300000000000004</v>
      </c>
      <c r="C53" s="100">
        <v>35.090000000000003</v>
      </c>
      <c r="D53" s="100">
        <v>22.4</v>
      </c>
      <c r="E53" s="100">
        <v>0.49</v>
      </c>
      <c r="F53" s="100">
        <v>6.74</v>
      </c>
      <c r="G53" s="100">
        <v>35.32</v>
      </c>
      <c r="H53" s="100">
        <v>17.72</v>
      </c>
      <c r="I53" s="100">
        <v>9.74</v>
      </c>
      <c r="J53" s="100">
        <v>0.8</v>
      </c>
      <c r="K53" s="100">
        <v>304.26</v>
      </c>
      <c r="L53" s="100">
        <v>34.56</v>
      </c>
      <c r="M53" s="100">
        <v>35.630000000000003</v>
      </c>
      <c r="N53" s="100">
        <v>829.1</v>
      </c>
      <c r="O53" s="100">
        <v>0</v>
      </c>
      <c r="P53" s="100">
        <v>0.49</v>
      </c>
      <c r="Q53" s="100">
        <v>28.08</v>
      </c>
      <c r="R53" s="6"/>
      <c r="S53" s="6"/>
      <c r="T53" s="156"/>
      <c r="U53" s="6"/>
    </row>
    <row r="54" spans="1:21" customFormat="1">
      <c r="A54" s="163" t="s">
        <v>285</v>
      </c>
      <c r="B54" s="100">
        <v>4.09</v>
      </c>
      <c r="C54" s="100">
        <v>34.33</v>
      </c>
      <c r="D54" s="100">
        <v>21.89</v>
      </c>
      <c r="E54" s="100">
        <v>1.23</v>
      </c>
      <c r="F54" s="100">
        <v>9.56</v>
      </c>
      <c r="G54" s="100">
        <v>35.32</v>
      </c>
      <c r="H54" s="100">
        <v>17.72</v>
      </c>
      <c r="I54" s="100">
        <v>9.74</v>
      </c>
      <c r="J54" s="100">
        <v>0.65</v>
      </c>
      <c r="K54" s="100">
        <v>245.12</v>
      </c>
      <c r="L54" s="100">
        <v>34.33</v>
      </c>
      <c r="M54" s="100">
        <v>36.22</v>
      </c>
      <c r="N54" s="100">
        <v>849.5</v>
      </c>
      <c r="O54" s="100">
        <v>0</v>
      </c>
      <c r="P54" s="100">
        <v>0.51</v>
      </c>
      <c r="Q54" s="100">
        <v>28.13</v>
      </c>
      <c r="R54" s="6"/>
      <c r="S54" s="6"/>
      <c r="T54" s="156"/>
      <c r="U54" s="6"/>
    </row>
    <row r="55" spans="1:21" customFormat="1">
      <c r="A55" s="163" t="s">
        <v>286</v>
      </c>
      <c r="B55" s="100">
        <v>3.63</v>
      </c>
      <c r="C55" s="100">
        <v>30.68</v>
      </c>
      <c r="D55" s="100">
        <v>19.62</v>
      </c>
      <c r="E55" s="100">
        <v>1.79</v>
      </c>
      <c r="F55" s="100">
        <v>18.329999999999998</v>
      </c>
      <c r="G55" s="100">
        <v>35.32</v>
      </c>
      <c r="H55" s="100">
        <v>17.72</v>
      </c>
      <c r="I55" s="100">
        <v>9.73</v>
      </c>
      <c r="J55" s="100">
        <v>0.69</v>
      </c>
      <c r="K55" s="100">
        <v>195.41</v>
      </c>
      <c r="L55" s="100">
        <v>35.31</v>
      </c>
      <c r="M55" s="100">
        <v>34.81</v>
      </c>
      <c r="N55" s="100">
        <v>850.7</v>
      </c>
      <c r="O55" s="100">
        <v>0</v>
      </c>
      <c r="P55" s="100">
        <v>0.49</v>
      </c>
      <c r="Q55" s="100">
        <v>28.3</v>
      </c>
      <c r="R55" s="6"/>
      <c r="S55" s="6"/>
      <c r="T55" s="156"/>
      <c r="U55" s="6"/>
    </row>
    <row r="56" spans="1:21" customFormat="1">
      <c r="A56" s="163" t="s">
        <v>287</v>
      </c>
      <c r="B56" s="100">
        <v>3.15</v>
      </c>
      <c r="C56" s="100">
        <v>23.44</v>
      </c>
      <c r="D56" s="100">
        <v>15.45</v>
      </c>
      <c r="E56" s="100">
        <v>1.59</v>
      </c>
      <c r="F56" s="100">
        <v>20.64</v>
      </c>
      <c r="G56" s="100">
        <v>33.700000000000003</v>
      </c>
      <c r="H56" s="100">
        <v>19.04</v>
      </c>
      <c r="I56" s="100">
        <v>9.6300000000000008</v>
      </c>
      <c r="J56" s="100">
        <v>1.02</v>
      </c>
      <c r="K56" s="100">
        <v>221.11</v>
      </c>
      <c r="L56" s="100">
        <v>35.950000000000003</v>
      </c>
      <c r="M56" s="100">
        <v>33.659999999999997</v>
      </c>
      <c r="N56" s="100">
        <v>848.9</v>
      </c>
      <c r="O56" s="100">
        <v>0</v>
      </c>
      <c r="P56" s="100">
        <v>0.5</v>
      </c>
      <c r="Q56" s="100">
        <v>28.67</v>
      </c>
      <c r="R56" s="6"/>
      <c r="S56" s="6"/>
      <c r="T56" s="156"/>
      <c r="U56" s="6"/>
    </row>
    <row r="57" spans="1:21" customFormat="1">
      <c r="A57" s="163" t="s">
        <v>288</v>
      </c>
      <c r="B57" s="100">
        <v>3.08</v>
      </c>
      <c r="C57" s="100">
        <v>23.72</v>
      </c>
      <c r="D57" s="100">
        <v>15.54</v>
      </c>
      <c r="E57" s="100">
        <v>1.49</v>
      </c>
      <c r="F57" s="100">
        <v>23.12</v>
      </c>
      <c r="G57" s="100">
        <v>32.28</v>
      </c>
      <c r="H57" s="100">
        <v>20.2</v>
      </c>
      <c r="I57" s="100">
        <v>9.4499999999999993</v>
      </c>
      <c r="J57" s="100">
        <v>0.62</v>
      </c>
      <c r="K57" s="100">
        <v>305.57</v>
      </c>
      <c r="L57" s="100">
        <v>35.81</v>
      </c>
      <c r="M57" s="100">
        <v>33.96</v>
      </c>
      <c r="N57" s="100">
        <v>837.2</v>
      </c>
      <c r="O57" s="100">
        <v>0</v>
      </c>
      <c r="P57" s="100">
        <v>0.54</v>
      </c>
      <c r="Q57" s="100">
        <v>28.64</v>
      </c>
      <c r="R57" s="6"/>
      <c r="S57" s="6"/>
      <c r="T57" s="156"/>
      <c r="U57" s="6"/>
    </row>
    <row r="58" spans="1:21" customFormat="1">
      <c r="A58" s="163" t="s">
        <v>289</v>
      </c>
      <c r="B58" s="100">
        <v>3.1</v>
      </c>
      <c r="C58" s="100">
        <v>25.08</v>
      </c>
      <c r="D58" s="100">
        <v>16.27</v>
      </c>
      <c r="E58" s="100">
        <v>1.79</v>
      </c>
      <c r="F58" s="100">
        <v>14.65</v>
      </c>
      <c r="G58" s="100">
        <v>32.28</v>
      </c>
      <c r="H58" s="100">
        <v>20.2</v>
      </c>
      <c r="I58" s="100">
        <v>9.56</v>
      </c>
      <c r="J58" s="100">
        <v>1.07</v>
      </c>
      <c r="K58" s="100">
        <v>227.38</v>
      </c>
      <c r="L58" s="100">
        <v>36.200000000000003</v>
      </c>
      <c r="M58" s="100">
        <v>33.21</v>
      </c>
      <c r="N58" s="100">
        <v>820.8</v>
      </c>
      <c r="O58" s="100">
        <v>0</v>
      </c>
      <c r="P58" s="100">
        <v>0.57999999999999996</v>
      </c>
      <c r="Q58" s="100">
        <v>28.51</v>
      </c>
      <c r="R58" s="6"/>
      <c r="S58" s="6"/>
      <c r="T58" s="156"/>
      <c r="U58" s="6"/>
    </row>
    <row r="59" spans="1:21" customFormat="1">
      <c r="A59" s="163" t="s">
        <v>290</v>
      </c>
      <c r="B59" s="100">
        <v>2.72</v>
      </c>
      <c r="C59" s="100">
        <v>25.05</v>
      </c>
      <c r="D59" s="100">
        <v>15.94</v>
      </c>
      <c r="E59" s="100">
        <v>1.97</v>
      </c>
      <c r="F59" s="100">
        <v>21.06</v>
      </c>
      <c r="G59" s="100">
        <v>32.28</v>
      </c>
      <c r="H59" s="100">
        <v>20.2</v>
      </c>
      <c r="I59" s="100">
        <v>10.11</v>
      </c>
      <c r="J59" s="100">
        <v>1.04</v>
      </c>
      <c r="K59" s="100">
        <v>209.03</v>
      </c>
      <c r="L59" s="100">
        <v>36.590000000000003</v>
      </c>
      <c r="M59" s="100">
        <v>32.369999999999997</v>
      </c>
      <c r="N59" s="100">
        <v>816</v>
      </c>
      <c r="O59" s="100">
        <v>0</v>
      </c>
      <c r="P59" s="100">
        <v>0.6</v>
      </c>
      <c r="Q59" s="100">
        <v>28.52</v>
      </c>
      <c r="R59" s="6"/>
      <c r="S59" s="6"/>
      <c r="T59" s="156"/>
      <c r="U59" s="6"/>
    </row>
    <row r="60" spans="1:21" customFormat="1">
      <c r="A60" s="163" t="s">
        <v>291</v>
      </c>
      <c r="B60" s="100">
        <v>2.56</v>
      </c>
      <c r="C60" s="100">
        <v>23.15</v>
      </c>
      <c r="D60" s="100">
        <v>14.82</v>
      </c>
      <c r="E60" s="100">
        <v>2.0699999999999998</v>
      </c>
      <c r="F60" s="100">
        <v>18.28</v>
      </c>
      <c r="G60" s="100">
        <v>33.93</v>
      </c>
      <c r="H60" s="100">
        <v>18.399999999999999</v>
      </c>
      <c r="I60" s="100">
        <v>10.72</v>
      </c>
      <c r="J60" s="100">
        <v>1.58</v>
      </c>
      <c r="K60" s="100">
        <v>226</v>
      </c>
      <c r="L60" s="100">
        <v>37.049999999999997</v>
      </c>
      <c r="M60" s="100">
        <v>31.71</v>
      </c>
      <c r="N60" s="100">
        <v>791.7</v>
      </c>
      <c r="O60" s="100">
        <v>0</v>
      </c>
      <c r="P60" s="100">
        <v>0.61</v>
      </c>
      <c r="Q60" s="100">
        <v>28.66</v>
      </c>
      <c r="R60" s="6"/>
      <c r="S60" s="6"/>
      <c r="T60" s="156"/>
      <c r="U60" s="6"/>
    </row>
    <row r="61" spans="1:21" customFormat="1">
      <c r="A61" s="163" t="s">
        <v>292</v>
      </c>
      <c r="B61" s="100">
        <v>2.5099999999999998</v>
      </c>
      <c r="C61" s="100">
        <v>24.18</v>
      </c>
      <c r="D61" s="100">
        <v>15.32</v>
      </c>
      <c r="E61" s="100">
        <v>2.4500000000000002</v>
      </c>
      <c r="F61" s="100">
        <v>26.72</v>
      </c>
      <c r="G61" s="100">
        <v>35.36</v>
      </c>
      <c r="H61" s="100">
        <v>16.829999999999998</v>
      </c>
      <c r="I61" s="100">
        <v>11.37</v>
      </c>
      <c r="J61" s="100">
        <v>0.74</v>
      </c>
      <c r="K61" s="100">
        <v>214.05</v>
      </c>
      <c r="L61" s="100">
        <v>37.75</v>
      </c>
      <c r="M61" s="100">
        <v>30.29</v>
      </c>
      <c r="N61" s="100">
        <v>791.5</v>
      </c>
      <c r="O61" s="100">
        <v>0</v>
      </c>
      <c r="P61" s="100">
        <v>0.66</v>
      </c>
      <c r="Q61" s="100">
        <v>28.6</v>
      </c>
      <c r="R61" s="6"/>
      <c r="S61" s="6"/>
      <c r="T61" s="156"/>
      <c r="U61" s="6"/>
    </row>
    <row r="62" spans="1:21" customFormat="1">
      <c r="A62" s="163" t="s">
        <v>293</v>
      </c>
      <c r="B62" s="100">
        <v>2.44</v>
      </c>
      <c r="C62" s="100">
        <v>27.38</v>
      </c>
      <c r="D62" s="100">
        <v>16.940000000000001</v>
      </c>
      <c r="E62" s="100">
        <v>3.02</v>
      </c>
      <c r="F62" s="100">
        <v>13.74</v>
      </c>
      <c r="G62" s="100">
        <v>35.36</v>
      </c>
      <c r="H62" s="100">
        <v>16.829999999999998</v>
      </c>
      <c r="I62" s="100">
        <v>11.95</v>
      </c>
      <c r="J62" s="100">
        <v>1.04</v>
      </c>
      <c r="K62" s="100">
        <v>256.62</v>
      </c>
      <c r="L62" s="100">
        <v>37.83</v>
      </c>
      <c r="M62" s="100">
        <v>30.01</v>
      </c>
      <c r="N62" s="100">
        <v>799</v>
      </c>
      <c r="O62" s="100">
        <v>0</v>
      </c>
      <c r="P62" s="100">
        <v>0.64</v>
      </c>
      <c r="Q62" s="100">
        <v>28.52</v>
      </c>
      <c r="R62" s="6"/>
      <c r="S62" s="6"/>
      <c r="T62" s="156"/>
      <c r="U62" s="6"/>
    </row>
    <row r="63" spans="1:21" customFormat="1">
      <c r="A63" s="163" t="s">
        <v>294</v>
      </c>
      <c r="B63" s="100">
        <v>2.41</v>
      </c>
      <c r="C63" s="100">
        <v>31.12</v>
      </c>
      <c r="D63" s="100">
        <v>18.87</v>
      </c>
      <c r="E63" s="100">
        <v>3.89</v>
      </c>
      <c r="F63" s="100">
        <v>12.73</v>
      </c>
      <c r="G63" s="100">
        <v>35.36</v>
      </c>
      <c r="H63" s="100">
        <v>16.829999999999998</v>
      </c>
      <c r="I63" s="100">
        <v>12.64</v>
      </c>
      <c r="J63" s="100">
        <v>1.43</v>
      </c>
      <c r="K63" s="100">
        <v>225.96</v>
      </c>
      <c r="L63" s="100">
        <v>37.83</v>
      </c>
      <c r="M63" s="100">
        <v>29.68</v>
      </c>
      <c r="N63" s="100">
        <v>737.9</v>
      </c>
      <c r="O63" s="100">
        <v>0</v>
      </c>
      <c r="P63" s="100">
        <v>0.65</v>
      </c>
      <c r="Q63" s="100">
        <v>28.34</v>
      </c>
      <c r="R63" s="6"/>
      <c r="S63" s="6"/>
      <c r="T63" s="156"/>
      <c r="U63" s="6"/>
    </row>
    <row r="64" spans="1:21" customFormat="1">
      <c r="A64" s="163" t="s">
        <v>295</v>
      </c>
      <c r="B64" s="100">
        <v>2.4500000000000002</v>
      </c>
      <c r="C64" s="100">
        <v>25.84</v>
      </c>
      <c r="D64" s="100">
        <v>16.14</v>
      </c>
      <c r="E64" s="100">
        <v>4.3099999999999996</v>
      </c>
      <c r="F64" s="100">
        <v>13.07</v>
      </c>
      <c r="G64" s="100">
        <v>38.15</v>
      </c>
      <c r="H64" s="100">
        <v>18.940000000000001</v>
      </c>
      <c r="I64" s="100">
        <v>12.94</v>
      </c>
      <c r="J64" s="100">
        <v>1.3</v>
      </c>
      <c r="K64" s="100">
        <v>230.09</v>
      </c>
      <c r="L64" s="100">
        <v>38.270000000000003</v>
      </c>
      <c r="M64" s="100">
        <v>28.68</v>
      </c>
      <c r="N64" s="100">
        <v>699.6</v>
      </c>
      <c r="O64" s="100">
        <v>0</v>
      </c>
      <c r="P64" s="100">
        <v>0.64</v>
      </c>
      <c r="Q64" s="100">
        <v>28.58</v>
      </c>
      <c r="R64" s="6"/>
      <c r="S64" s="6"/>
      <c r="T64" s="156"/>
      <c r="U64" s="6"/>
    </row>
    <row r="65" spans="1:21" customFormat="1">
      <c r="A65" s="163" t="s">
        <v>296</v>
      </c>
      <c r="B65" s="100">
        <v>2.4900000000000002</v>
      </c>
      <c r="C65" s="100">
        <v>22.38</v>
      </c>
      <c r="D65" s="100">
        <v>14.37</v>
      </c>
      <c r="E65" s="100">
        <v>4.7300000000000004</v>
      </c>
      <c r="F65" s="100">
        <v>14.03</v>
      </c>
      <c r="G65" s="100">
        <v>40.590000000000003</v>
      </c>
      <c r="H65" s="100">
        <v>20.79</v>
      </c>
      <c r="I65" s="100">
        <v>13.28</v>
      </c>
      <c r="J65" s="100">
        <v>0.97</v>
      </c>
      <c r="K65" s="100">
        <v>197.22</v>
      </c>
      <c r="L65" s="100">
        <v>39.01</v>
      </c>
      <c r="M65" s="100">
        <v>27.48</v>
      </c>
      <c r="N65" s="100">
        <v>659.4</v>
      </c>
      <c r="O65" s="100">
        <v>0</v>
      </c>
      <c r="P65" s="100">
        <v>0.66</v>
      </c>
      <c r="Q65" s="100">
        <v>28.75</v>
      </c>
      <c r="R65" s="6"/>
      <c r="S65" s="6"/>
      <c r="T65" s="156"/>
      <c r="U65" s="6"/>
    </row>
    <row r="66" spans="1:21" customFormat="1">
      <c r="A66" s="163" t="s">
        <v>297</v>
      </c>
      <c r="B66" s="100">
        <v>2.48</v>
      </c>
      <c r="C66" s="100">
        <v>26.3</v>
      </c>
      <c r="D66" s="100">
        <v>16.41</v>
      </c>
      <c r="E66" s="100">
        <v>4.3600000000000003</v>
      </c>
      <c r="F66" s="100">
        <v>10.55</v>
      </c>
      <c r="G66" s="100">
        <v>40.590000000000003</v>
      </c>
      <c r="H66" s="100">
        <v>20.79</v>
      </c>
      <c r="I66" s="100">
        <v>14.03</v>
      </c>
      <c r="J66" s="100">
        <v>1.21</v>
      </c>
      <c r="K66" s="100">
        <v>203.62</v>
      </c>
      <c r="L66" s="100">
        <v>38.99</v>
      </c>
      <c r="M66" s="100">
        <v>25.84</v>
      </c>
      <c r="N66" s="100">
        <v>580.5</v>
      </c>
      <c r="O66" s="100">
        <v>0</v>
      </c>
      <c r="P66" s="100">
        <v>0.65</v>
      </c>
      <c r="Q66" s="100">
        <v>28.57</v>
      </c>
      <c r="R66" s="6"/>
      <c r="S66" s="6"/>
      <c r="T66" s="156"/>
      <c r="U66" s="6"/>
    </row>
    <row r="67" spans="1:21" customFormat="1">
      <c r="A67" s="163" t="s">
        <v>298</v>
      </c>
      <c r="B67" s="100">
        <v>2.4500000000000002</v>
      </c>
      <c r="C67" s="100">
        <v>23.67</v>
      </c>
      <c r="D67" s="100">
        <v>15.01</v>
      </c>
      <c r="E67" s="100">
        <v>3.71</v>
      </c>
      <c r="F67" s="100">
        <v>9.44</v>
      </c>
      <c r="G67" s="100">
        <v>40.590000000000003</v>
      </c>
      <c r="H67" s="100">
        <v>20.79</v>
      </c>
      <c r="I67" s="100">
        <v>14.35</v>
      </c>
      <c r="J67" s="100">
        <v>1.36</v>
      </c>
      <c r="K67" s="100">
        <v>236.67</v>
      </c>
      <c r="L67" s="100">
        <v>38.69</v>
      </c>
      <c r="M67" s="100">
        <v>25.91</v>
      </c>
      <c r="N67" s="100">
        <v>643.4</v>
      </c>
      <c r="O67" s="100">
        <v>0</v>
      </c>
      <c r="P67" s="100">
        <v>0.65</v>
      </c>
      <c r="Q67" s="100">
        <v>28.73</v>
      </c>
      <c r="R67" s="6"/>
      <c r="S67" s="6"/>
      <c r="T67" s="156"/>
      <c r="U67" s="6"/>
    </row>
    <row r="68" spans="1:21" customFormat="1">
      <c r="A68" s="163" t="s">
        <v>299</v>
      </c>
      <c r="B68" s="100">
        <v>2.58</v>
      </c>
      <c r="C68" s="100">
        <v>28.06</v>
      </c>
      <c r="D68" s="100">
        <v>17.41</v>
      </c>
      <c r="E68" s="100">
        <v>3</v>
      </c>
      <c r="F68" s="100">
        <v>12.15</v>
      </c>
      <c r="G68" s="100">
        <v>43.52</v>
      </c>
      <c r="H68" s="100">
        <v>21.72</v>
      </c>
      <c r="I68" s="100">
        <v>14.27</v>
      </c>
      <c r="J68" s="100">
        <v>1.79</v>
      </c>
      <c r="K68" s="100">
        <v>240.48</v>
      </c>
      <c r="L68" s="100">
        <v>38.57</v>
      </c>
      <c r="M68" s="100">
        <v>26.89</v>
      </c>
      <c r="N68" s="100">
        <v>613.5</v>
      </c>
      <c r="O68" s="100">
        <v>0</v>
      </c>
      <c r="P68" s="100">
        <v>0.62</v>
      </c>
      <c r="Q68" s="100">
        <v>28.58</v>
      </c>
      <c r="R68" s="6"/>
      <c r="S68" s="6"/>
      <c r="T68" s="156"/>
      <c r="U68" s="6"/>
    </row>
    <row r="69" spans="1:21" customFormat="1">
      <c r="A69" s="163" t="s">
        <v>300</v>
      </c>
      <c r="B69" s="100">
        <v>2.73</v>
      </c>
      <c r="C69" s="100">
        <v>26.44</v>
      </c>
      <c r="D69" s="100">
        <v>16.68</v>
      </c>
      <c r="E69" s="100">
        <v>2.84</v>
      </c>
      <c r="F69" s="100">
        <v>25.33</v>
      </c>
      <c r="G69" s="100">
        <v>46.08</v>
      </c>
      <c r="H69" s="100">
        <v>22.54</v>
      </c>
      <c r="I69" s="100">
        <v>14.23</v>
      </c>
      <c r="J69" s="100">
        <v>0.21</v>
      </c>
      <c r="K69" s="100">
        <v>237.14</v>
      </c>
      <c r="L69" s="100">
        <v>39.32</v>
      </c>
      <c r="M69" s="100">
        <v>25.78</v>
      </c>
      <c r="N69" s="100">
        <v>559</v>
      </c>
      <c r="O69" s="100">
        <v>0</v>
      </c>
      <c r="P69" s="100">
        <v>0.6</v>
      </c>
      <c r="Q69" s="100">
        <v>28.6</v>
      </c>
      <c r="R69" s="6"/>
      <c r="S69" s="6"/>
      <c r="T69" s="156"/>
      <c r="U69" s="6"/>
    </row>
    <row r="70" spans="1:21" customFormat="1">
      <c r="A70" s="163" t="s">
        <v>301</v>
      </c>
      <c r="B70" s="100">
        <v>2.78</v>
      </c>
      <c r="C70" s="100">
        <v>21.38</v>
      </c>
      <c r="D70" s="100">
        <v>14.08</v>
      </c>
      <c r="E70" s="100">
        <v>2.61</v>
      </c>
      <c r="F70" s="100">
        <v>22.63</v>
      </c>
      <c r="G70" s="100">
        <v>46.08</v>
      </c>
      <c r="H70" s="100">
        <v>22.54</v>
      </c>
      <c r="I70" s="100">
        <v>13.7</v>
      </c>
      <c r="J70" s="100">
        <v>0.55000000000000004</v>
      </c>
      <c r="K70" s="100">
        <v>122.76</v>
      </c>
      <c r="L70" s="100">
        <v>40.94</v>
      </c>
      <c r="M70" s="100">
        <v>25.25</v>
      </c>
      <c r="N70" s="100">
        <v>496.1</v>
      </c>
      <c r="O70" s="100">
        <v>0</v>
      </c>
      <c r="P70" s="100">
        <v>0.57999999999999996</v>
      </c>
      <c r="Q70" s="100">
        <v>28.77</v>
      </c>
      <c r="R70" s="6"/>
      <c r="S70" s="6"/>
      <c r="T70" s="156"/>
      <c r="U70" s="6"/>
    </row>
    <row r="71" spans="1:21" customFormat="1">
      <c r="A71" s="163" t="s">
        <v>302</v>
      </c>
      <c r="B71" s="100">
        <v>2.83</v>
      </c>
      <c r="C71" s="100">
        <v>19.12</v>
      </c>
      <c r="D71" s="100">
        <v>12.93</v>
      </c>
      <c r="E71" s="100">
        <v>2.21</v>
      </c>
      <c r="F71" s="100">
        <v>26.05</v>
      </c>
      <c r="G71" s="100">
        <v>46.08</v>
      </c>
      <c r="H71" s="100">
        <v>22.54</v>
      </c>
      <c r="I71" s="100">
        <v>12.7</v>
      </c>
      <c r="J71" s="100">
        <v>0.45</v>
      </c>
      <c r="K71" s="100">
        <v>144.78</v>
      </c>
      <c r="L71" s="100">
        <v>40.25</v>
      </c>
      <c r="M71" s="100">
        <v>26.35</v>
      </c>
      <c r="N71" s="100">
        <v>310</v>
      </c>
      <c r="O71" s="100">
        <v>0</v>
      </c>
      <c r="P71" s="100">
        <v>0.6</v>
      </c>
      <c r="Q71" s="100">
        <v>28.84</v>
      </c>
      <c r="R71" s="6"/>
      <c r="S71" s="6"/>
      <c r="T71" s="156"/>
      <c r="U71" s="6"/>
    </row>
    <row r="72" spans="1:21" customFormat="1">
      <c r="A72" s="163" t="s">
        <v>303</v>
      </c>
      <c r="B72" s="100">
        <v>2.54</v>
      </c>
      <c r="C72" s="100">
        <v>15.94</v>
      </c>
      <c r="D72" s="100">
        <v>11.04</v>
      </c>
      <c r="E72" s="100">
        <v>2.27</v>
      </c>
      <c r="F72" s="100">
        <v>44.4</v>
      </c>
      <c r="G72" s="100">
        <v>44.03</v>
      </c>
      <c r="H72" s="100">
        <v>21.1</v>
      </c>
      <c r="I72" s="100">
        <v>12.11</v>
      </c>
      <c r="J72" s="100">
        <v>0.6</v>
      </c>
      <c r="K72" s="100">
        <v>149.96</v>
      </c>
      <c r="L72" s="100">
        <v>38.39</v>
      </c>
      <c r="M72" s="100">
        <v>28.53</v>
      </c>
      <c r="N72" s="100">
        <v>65.400000000000006</v>
      </c>
      <c r="O72" s="100">
        <v>0</v>
      </c>
      <c r="P72" s="100">
        <v>0.52</v>
      </c>
      <c r="Q72" s="100">
        <v>29.09</v>
      </c>
      <c r="R72" s="6"/>
      <c r="S72" s="6"/>
      <c r="T72" s="156"/>
      <c r="U72" s="6"/>
    </row>
    <row r="73" spans="1:21" customFormat="1">
      <c r="A73" s="163" t="s">
        <v>304</v>
      </c>
      <c r="B73" s="100">
        <v>2.4700000000000002</v>
      </c>
      <c r="C73" s="100">
        <v>15.73</v>
      </c>
      <c r="D73" s="100">
        <v>10.88</v>
      </c>
      <c r="E73" s="100">
        <v>2.69</v>
      </c>
      <c r="F73" s="100">
        <v>39.1</v>
      </c>
      <c r="G73" s="100">
        <v>42.24</v>
      </c>
      <c r="H73" s="100">
        <v>19.829999999999998</v>
      </c>
      <c r="I73" s="100">
        <v>11.32</v>
      </c>
      <c r="J73" s="100">
        <v>0.45</v>
      </c>
      <c r="K73" s="100">
        <v>200.88</v>
      </c>
      <c r="L73" s="100">
        <v>37.21</v>
      </c>
      <c r="M73" s="100">
        <v>29.84</v>
      </c>
      <c r="N73" s="100">
        <v>30.9</v>
      </c>
      <c r="O73" s="100">
        <v>0</v>
      </c>
      <c r="P73" s="100">
        <v>0.53</v>
      </c>
      <c r="Q73" s="100">
        <v>29.12</v>
      </c>
      <c r="R73" s="6"/>
      <c r="S73" s="6"/>
      <c r="T73" s="156"/>
      <c r="U73" s="6"/>
    </row>
    <row r="74" spans="1:21" customFormat="1">
      <c r="A74" s="163" t="s">
        <v>305</v>
      </c>
      <c r="B74" s="100">
        <v>3.02</v>
      </c>
      <c r="C74" s="100">
        <v>17.940000000000001</v>
      </c>
      <c r="D74" s="100">
        <v>12.47</v>
      </c>
      <c r="E74" s="100">
        <v>2.75</v>
      </c>
      <c r="F74" s="100">
        <v>23.21</v>
      </c>
      <c r="G74" s="100">
        <v>42.24</v>
      </c>
      <c r="H74" s="100">
        <v>19.829999999999998</v>
      </c>
      <c r="I74" s="100">
        <v>9.99</v>
      </c>
      <c r="J74" s="100">
        <v>2.99</v>
      </c>
      <c r="K74" s="100">
        <v>357.93</v>
      </c>
      <c r="L74" s="100">
        <v>32.35</v>
      </c>
      <c r="M74" s="100">
        <v>39.69</v>
      </c>
      <c r="N74" s="100">
        <v>38.4</v>
      </c>
      <c r="O74" s="100">
        <v>0</v>
      </c>
      <c r="P74" s="100">
        <v>0.57999999999999996</v>
      </c>
      <c r="Q74" s="100">
        <v>28.98</v>
      </c>
      <c r="R74" s="6"/>
      <c r="S74" s="6"/>
      <c r="T74" s="156"/>
      <c r="U74" s="6"/>
    </row>
    <row r="75" spans="1:21" customFormat="1">
      <c r="A75" s="163" t="s">
        <v>306</v>
      </c>
      <c r="B75" s="100">
        <v>2.66</v>
      </c>
      <c r="C75" s="100">
        <v>21.14</v>
      </c>
      <c r="D75" s="100">
        <v>13.86</v>
      </c>
      <c r="E75" s="100">
        <v>2.52</v>
      </c>
      <c r="F75" s="100">
        <v>23.13</v>
      </c>
      <c r="G75" s="100">
        <v>42.24</v>
      </c>
      <c r="H75" s="100">
        <v>19.829999999999998</v>
      </c>
      <c r="I75" s="100">
        <v>9.67</v>
      </c>
      <c r="J75" s="100">
        <v>5.29</v>
      </c>
      <c r="K75" s="100">
        <v>15.39</v>
      </c>
      <c r="L75" s="100">
        <v>23.1</v>
      </c>
      <c r="M75" s="100">
        <v>75.459999999999994</v>
      </c>
      <c r="N75" s="100">
        <v>39.9</v>
      </c>
      <c r="O75" s="100">
        <v>2.6</v>
      </c>
      <c r="P75" s="100">
        <v>0.49</v>
      </c>
      <c r="Q75" s="100">
        <v>28.85</v>
      </c>
      <c r="R75" s="6"/>
      <c r="S75" s="6"/>
      <c r="T75" s="156"/>
      <c r="U75" s="6"/>
    </row>
    <row r="76" spans="1:21" customFormat="1">
      <c r="A76" s="163" t="s">
        <v>307</v>
      </c>
      <c r="B76" s="100">
        <v>2.17</v>
      </c>
      <c r="C76" s="100">
        <v>26.96</v>
      </c>
      <c r="D76" s="100">
        <v>16.5</v>
      </c>
      <c r="E76" s="100">
        <v>2.97</v>
      </c>
      <c r="F76" s="100">
        <v>17.23</v>
      </c>
      <c r="G76" s="100">
        <v>42.24</v>
      </c>
      <c r="H76" s="100">
        <v>28.09</v>
      </c>
      <c r="I76" s="100">
        <v>9.67</v>
      </c>
      <c r="J76" s="100">
        <v>2.98</v>
      </c>
      <c r="K76" s="100">
        <v>45.29</v>
      </c>
      <c r="L76" s="100">
        <v>20.51</v>
      </c>
      <c r="M76" s="100">
        <v>90.95</v>
      </c>
      <c r="N76" s="100">
        <v>25.3</v>
      </c>
      <c r="O76" s="100">
        <v>1.2</v>
      </c>
      <c r="P76" s="100">
        <v>0.45</v>
      </c>
      <c r="Q76" s="100">
        <v>28.62</v>
      </c>
      <c r="R76" s="6"/>
      <c r="S76" s="6"/>
      <c r="T76" s="156"/>
      <c r="U76" s="6"/>
    </row>
    <row r="77" spans="1:21" customFormat="1">
      <c r="A77" s="163" t="s">
        <v>308</v>
      </c>
      <c r="B77" s="100">
        <v>2.19</v>
      </c>
      <c r="C77" s="100">
        <v>30.05</v>
      </c>
      <c r="D77" s="100">
        <v>18.14</v>
      </c>
      <c r="E77" s="100">
        <v>1.46</v>
      </c>
      <c r="F77" s="100">
        <v>16.13</v>
      </c>
      <c r="G77" s="100">
        <v>848.33</v>
      </c>
      <c r="H77" s="100">
        <v>35.31</v>
      </c>
      <c r="I77" s="100">
        <v>9.67</v>
      </c>
      <c r="J77" s="100">
        <v>2.15</v>
      </c>
      <c r="K77" s="100">
        <v>53.5</v>
      </c>
      <c r="L77" s="100">
        <v>21.28</v>
      </c>
      <c r="M77" s="100">
        <v>82.84</v>
      </c>
      <c r="N77" s="100">
        <v>25</v>
      </c>
      <c r="O77" s="100">
        <v>0.2</v>
      </c>
      <c r="P77" s="100">
        <v>0.42</v>
      </c>
      <c r="Q77" s="100">
        <v>28.48</v>
      </c>
      <c r="R77" s="6"/>
      <c r="S77" s="6"/>
      <c r="T77" s="156"/>
      <c r="U77" s="6"/>
    </row>
    <row r="78" spans="1:21" customFormat="1">
      <c r="A78" s="163" t="s">
        <v>309</v>
      </c>
      <c r="B78" s="100">
        <v>2.2200000000000002</v>
      </c>
      <c r="C78" s="100">
        <v>32.31</v>
      </c>
      <c r="D78" s="100">
        <v>19.329999999999998</v>
      </c>
      <c r="E78" s="100">
        <v>2.7</v>
      </c>
      <c r="F78" s="100">
        <v>6.99</v>
      </c>
      <c r="G78" s="100">
        <v>848.33</v>
      </c>
      <c r="H78" s="100">
        <v>35.31</v>
      </c>
      <c r="I78" s="100">
        <v>9.67</v>
      </c>
      <c r="J78" s="100">
        <v>1.1200000000000001</v>
      </c>
      <c r="K78" s="100">
        <v>81.96</v>
      </c>
      <c r="L78" s="100">
        <v>21.86</v>
      </c>
      <c r="M78" s="100">
        <v>78.290000000000006</v>
      </c>
      <c r="N78" s="100">
        <v>24.6</v>
      </c>
      <c r="O78" s="100">
        <v>0.2</v>
      </c>
      <c r="P78" s="100">
        <v>0.43</v>
      </c>
      <c r="Q78" s="100">
        <v>28.33</v>
      </c>
      <c r="R78" s="6"/>
      <c r="S78" s="6"/>
      <c r="T78" s="156"/>
      <c r="U78" s="6"/>
    </row>
    <row r="79" spans="1:21" customFormat="1">
      <c r="A79" s="163" t="s">
        <v>310</v>
      </c>
      <c r="B79" s="100">
        <v>2.62</v>
      </c>
      <c r="C79" s="100">
        <v>34.4</v>
      </c>
      <c r="D79" s="100">
        <v>20.75</v>
      </c>
      <c r="E79" s="100">
        <v>2.54</v>
      </c>
      <c r="F79" s="100">
        <v>5.0999999999999996</v>
      </c>
      <c r="G79" s="100">
        <v>848.33</v>
      </c>
      <c r="H79" s="100">
        <v>35.31</v>
      </c>
      <c r="I79" s="100">
        <v>9.67</v>
      </c>
      <c r="J79" s="100">
        <v>1.07</v>
      </c>
      <c r="K79" s="100">
        <v>69.760000000000005</v>
      </c>
      <c r="L79" s="100">
        <v>22.45</v>
      </c>
      <c r="M79" s="100">
        <v>76.03</v>
      </c>
      <c r="N79" s="100">
        <v>25</v>
      </c>
      <c r="O79" s="100">
        <v>0</v>
      </c>
      <c r="P79" s="100">
        <v>0.44</v>
      </c>
      <c r="Q79" s="100">
        <v>28.13</v>
      </c>
      <c r="R79" s="6"/>
      <c r="S79" s="6"/>
      <c r="T79" s="156"/>
      <c r="U79" s="6"/>
    </row>
    <row r="80" spans="1:21" customFormat="1">
      <c r="A80" s="163" t="s">
        <v>311</v>
      </c>
      <c r="B80" s="100">
        <v>3.36</v>
      </c>
      <c r="C80" s="100">
        <v>35.770000000000003</v>
      </c>
      <c r="D80" s="100">
        <v>22.05</v>
      </c>
      <c r="E80" s="100">
        <v>2.29</v>
      </c>
      <c r="F80" s="100">
        <v>3.95</v>
      </c>
      <c r="G80" s="100">
        <v>18.149999999999999</v>
      </c>
      <c r="H80" s="100">
        <v>28.13</v>
      </c>
      <c r="I80" s="100">
        <v>9.67</v>
      </c>
      <c r="J80" s="100">
        <v>0.82</v>
      </c>
      <c r="K80" s="100">
        <v>78.41</v>
      </c>
      <c r="L80" s="100">
        <v>23.27</v>
      </c>
      <c r="M80" s="100">
        <v>72.260000000000005</v>
      </c>
      <c r="N80" s="100">
        <v>27.5</v>
      </c>
      <c r="O80" s="100">
        <v>0</v>
      </c>
      <c r="P80" s="100">
        <v>0.45</v>
      </c>
      <c r="Q80" s="100">
        <v>27.98</v>
      </c>
      <c r="R80" s="6"/>
      <c r="S80" s="6"/>
      <c r="T80" s="156"/>
      <c r="U80" s="6"/>
    </row>
    <row r="81" spans="1:21" customFormat="1">
      <c r="A81" s="163" t="s">
        <v>312</v>
      </c>
      <c r="B81" s="100">
        <v>4.37</v>
      </c>
      <c r="C81" s="100">
        <v>38.1</v>
      </c>
      <c r="D81" s="100">
        <v>24.08</v>
      </c>
      <c r="E81" s="100">
        <v>1.44</v>
      </c>
      <c r="F81" s="100">
        <v>3.27</v>
      </c>
      <c r="G81" s="100">
        <v>18.149999999999999</v>
      </c>
      <c r="H81" s="100">
        <v>21.84</v>
      </c>
      <c r="I81" s="100">
        <v>9.67</v>
      </c>
      <c r="J81" s="100">
        <v>0.73</v>
      </c>
      <c r="K81" s="100">
        <v>150.91</v>
      </c>
      <c r="L81" s="100">
        <v>23.66</v>
      </c>
      <c r="M81" s="100">
        <v>69.25</v>
      </c>
      <c r="N81" s="100">
        <v>27.5</v>
      </c>
      <c r="O81" s="100">
        <v>0</v>
      </c>
      <c r="P81" s="100">
        <v>0.46</v>
      </c>
      <c r="Q81" s="100">
        <v>27.77</v>
      </c>
      <c r="R81" s="6"/>
      <c r="S81" s="6"/>
      <c r="T81" s="156"/>
      <c r="U81" s="6"/>
    </row>
    <row r="82" spans="1:21" customFormat="1">
      <c r="A82" s="163" t="s">
        <v>313</v>
      </c>
      <c r="B82" s="100">
        <v>5.1100000000000003</v>
      </c>
      <c r="C82" s="100">
        <v>32.799999999999997</v>
      </c>
      <c r="D82" s="100">
        <v>21.91</v>
      </c>
      <c r="E82" s="100">
        <v>1.58</v>
      </c>
      <c r="F82" s="100">
        <v>3.16</v>
      </c>
      <c r="G82" s="100">
        <v>18.149999999999999</v>
      </c>
      <c r="H82" s="100">
        <v>21.84</v>
      </c>
      <c r="I82" s="100">
        <v>9.67</v>
      </c>
      <c r="J82" s="100">
        <v>0.4</v>
      </c>
      <c r="K82" s="100">
        <v>107.22</v>
      </c>
      <c r="L82" s="100">
        <v>23.98</v>
      </c>
      <c r="M82" s="100">
        <v>70.069999999999993</v>
      </c>
      <c r="N82" s="100">
        <v>25.1</v>
      </c>
      <c r="O82" s="100">
        <v>0</v>
      </c>
      <c r="P82" s="100">
        <v>0.47</v>
      </c>
      <c r="Q82" s="100">
        <v>27.91</v>
      </c>
      <c r="R82" s="6"/>
      <c r="S82" s="6"/>
      <c r="T82" s="156"/>
      <c r="U82" s="6"/>
    </row>
    <row r="83" spans="1:21" customFormat="1">
      <c r="A83" s="163" t="s">
        <v>314</v>
      </c>
      <c r="B83" s="100">
        <v>5.58</v>
      </c>
      <c r="C83" s="100">
        <v>33.85</v>
      </c>
      <c r="D83" s="100">
        <v>22.84</v>
      </c>
      <c r="E83" s="100">
        <v>1.37</v>
      </c>
      <c r="F83" s="100">
        <v>3.33</v>
      </c>
      <c r="G83" s="100">
        <v>18.149999999999999</v>
      </c>
      <c r="H83" s="100">
        <v>21.84</v>
      </c>
      <c r="I83" s="100">
        <v>9.67</v>
      </c>
      <c r="J83" s="100">
        <v>0.35</v>
      </c>
      <c r="K83" s="100">
        <v>150.05000000000001</v>
      </c>
      <c r="L83" s="100">
        <v>24.19</v>
      </c>
      <c r="M83" s="100">
        <v>67.11</v>
      </c>
      <c r="N83" s="100">
        <v>25.1</v>
      </c>
      <c r="O83" s="100">
        <v>0</v>
      </c>
      <c r="P83" s="100">
        <v>0.5</v>
      </c>
      <c r="Q83" s="100">
        <v>27.85</v>
      </c>
      <c r="R83" s="6"/>
      <c r="S83" s="6"/>
      <c r="T83" s="156"/>
      <c r="U83" s="6"/>
    </row>
    <row r="84" spans="1:21" customFormat="1">
      <c r="A84" s="163" t="s">
        <v>315</v>
      </c>
      <c r="B84" s="100">
        <v>5.9</v>
      </c>
      <c r="C84" s="100">
        <v>37.06</v>
      </c>
      <c r="D84" s="100">
        <v>24.77</v>
      </c>
      <c r="E84" s="100">
        <v>1.34</v>
      </c>
      <c r="F84" s="100">
        <v>3.87</v>
      </c>
      <c r="G84" s="100">
        <v>19.14</v>
      </c>
      <c r="H84" s="100">
        <v>17.91</v>
      </c>
      <c r="I84" s="100">
        <v>9.67</v>
      </c>
      <c r="J84" s="100">
        <v>0.56000000000000005</v>
      </c>
      <c r="K84" s="100">
        <v>150.80000000000001</v>
      </c>
      <c r="L84" s="100">
        <v>24.31</v>
      </c>
      <c r="M84" s="100">
        <v>65.650000000000006</v>
      </c>
      <c r="N84" s="100">
        <v>24.3</v>
      </c>
      <c r="O84" s="100">
        <v>0</v>
      </c>
      <c r="P84" s="100">
        <v>0.51</v>
      </c>
      <c r="Q84" s="100">
        <v>27.64</v>
      </c>
      <c r="R84" s="6"/>
      <c r="S84" s="6"/>
      <c r="T84" s="156"/>
      <c r="U84" s="6"/>
    </row>
    <row r="85" spans="1:21" customFormat="1">
      <c r="A85" s="163" t="s">
        <v>316</v>
      </c>
      <c r="B85" s="100">
        <v>6.11</v>
      </c>
      <c r="C85" s="100">
        <v>39.840000000000003</v>
      </c>
      <c r="D85" s="100">
        <v>26.39</v>
      </c>
      <c r="E85" s="100">
        <v>1.6</v>
      </c>
      <c r="F85" s="100">
        <v>3.35</v>
      </c>
      <c r="G85" s="100">
        <v>20</v>
      </c>
      <c r="H85" s="100">
        <v>14.48</v>
      </c>
      <c r="I85" s="100">
        <v>9.67</v>
      </c>
      <c r="J85" s="100">
        <v>0.53</v>
      </c>
      <c r="K85" s="100">
        <v>148.13999999999999</v>
      </c>
      <c r="L85" s="100">
        <v>24.29</v>
      </c>
      <c r="M85" s="100">
        <v>65.2</v>
      </c>
      <c r="N85" s="100">
        <v>23.6</v>
      </c>
      <c r="O85" s="100">
        <v>0</v>
      </c>
      <c r="P85" s="100">
        <v>0.51</v>
      </c>
      <c r="Q85" s="100">
        <v>27.49</v>
      </c>
      <c r="R85" s="6"/>
      <c r="S85" s="6"/>
      <c r="T85" s="156"/>
      <c r="U85" s="6"/>
    </row>
    <row r="86" spans="1:21" customFormat="1">
      <c r="A86" s="163" t="s">
        <v>317</v>
      </c>
      <c r="B86" s="100">
        <v>6.26</v>
      </c>
      <c r="C86" s="100">
        <v>40.35</v>
      </c>
      <c r="D86" s="100">
        <v>26.77</v>
      </c>
      <c r="E86" s="100">
        <v>1.61</v>
      </c>
      <c r="F86" s="100">
        <v>3.22</v>
      </c>
      <c r="G86" s="100">
        <v>20</v>
      </c>
      <c r="H86" s="100">
        <v>14.48</v>
      </c>
      <c r="I86" s="100">
        <v>9.67</v>
      </c>
      <c r="J86" s="100">
        <v>0.61</v>
      </c>
      <c r="K86" s="100">
        <v>150.29</v>
      </c>
      <c r="L86" s="100">
        <v>24.51</v>
      </c>
      <c r="M86" s="100">
        <v>63.92</v>
      </c>
      <c r="N86" s="100">
        <v>22.8</v>
      </c>
      <c r="O86" s="100">
        <v>0</v>
      </c>
      <c r="P86" s="100">
        <v>0.53</v>
      </c>
      <c r="Q86" s="100">
        <v>27.43</v>
      </c>
      <c r="R86" s="6"/>
      <c r="S86" s="6"/>
      <c r="T86" s="156"/>
      <c r="U86" s="6"/>
    </row>
    <row r="87" spans="1:21" customFormat="1">
      <c r="A87" s="163" t="s">
        <v>318</v>
      </c>
      <c r="B87" s="100">
        <v>6.39</v>
      </c>
      <c r="C87" s="100">
        <v>40.81</v>
      </c>
      <c r="D87" s="100">
        <v>27.12</v>
      </c>
      <c r="E87" s="100">
        <v>1.1000000000000001</v>
      </c>
      <c r="F87" s="100">
        <v>3.45</v>
      </c>
      <c r="G87" s="100">
        <v>20</v>
      </c>
      <c r="H87" s="100">
        <v>14.48</v>
      </c>
      <c r="I87" s="100">
        <v>9.67</v>
      </c>
      <c r="J87" s="100">
        <v>0.47</v>
      </c>
      <c r="K87" s="100">
        <v>126</v>
      </c>
      <c r="L87" s="100">
        <v>24.7</v>
      </c>
      <c r="M87" s="100">
        <v>63.43</v>
      </c>
      <c r="N87" s="100">
        <v>22.8</v>
      </c>
      <c r="O87" s="100">
        <v>0</v>
      </c>
      <c r="P87" s="100">
        <v>0.53</v>
      </c>
      <c r="Q87" s="100">
        <v>27.43</v>
      </c>
      <c r="R87" s="6"/>
      <c r="S87" s="6"/>
      <c r="T87" s="156"/>
      <c r="U87" s="6"/>
    </row>
    <row r="88" spans="1:21" customFormat="1">
      <c r="A88" s="163" t="s">
        <v>319</v>
      </c>
      <c r="B88" s="100">
        <v>6.46</v>
      </c>
      <c r="C88" s="100">
        <v>40.07</v>
      </c>
      <c r="D88" s="100">
        <v>26.79</v>
      </c>
      <c r="E88" s="100">
        <v>1.0900000000000001</v>
      </c>
      <c r="F88" s="100">
        <v>3.83</v>
      </c>
      <c r="G88" s="100">
        <v>24.17</v>
      </c>
      <c r="H88" s="100">
        <v>14.55</v>
      </c>
      <c r="I88" s="100">
        <v>9.67</v>
      </c>
      <c r="J88" s="100">
        <v>0.47</v>
      </c>
      <c r="K88" s="100">
        <v>123.85</v>
      </c>
      <c r="L88" s="100">
        <v>24.68</v>
      </c>
      <c r="M88" s="100">
        <v>62.44</v>
      </c>
      <c r="N88" s="100">
        <v>22.9</v>
      </c>
      <c r="O88" s="100">
        <v>0</v>
      </c>
      <c r="P88" s="100">
        <v>0.54</v>
      </c>
      <c r="Q88" s="100">
        <v>27.46</v>
      </c>
      <c r="R88" s="6"/>
      <c r="S88" s="6"/>
      <c r="T88" s="156"/>
      <c r="U88" s="6"/>
    </row>
    <row r="89" spans="1:21" customFormat="1">
      <c r="A89" s="163" t="s">
        <v>320</v>
      </c>
      <c r="B89" s="100">
        <v>6.78</v>
      </c>
      <c r="C89" s="100">
        <v>38.36</v>
      </c>
      <c r="D89" s="100">
        <v>26.15</v>
      </c>
      <c r="E89" s="100">
        <v>1.59</v>
      </c>
      <c r="F89" s="100">
        <v>2.97</v>
      </c>
      <c r="G89" s="100">
        <v>27.81</v>
      </c>
      <c r="H89" s="100">
        <v>14.61</v>
      </c>
      <c r="I89" s="100">
        <v>9.67</v>
      </c>
      <c r="J89" s="100">
        <v>0.3</v>
      </c>
      <c r="K89" s="100">
        <v>186.95</v>
      </c>
      <c r="L89" s="100">
        <v>24.96</v>
      </c>
      <c r="M89" s="100">
        <v>60.83</v>
      </c>
      <c r="N89" s="100">
        <v>22.7</v>
      </c>
      <c r="O89" s="100">
        <v>0</v>
      </c>
      <c r="P89" s="100">
        <v>0.52</v>
      </c>
      <c r="Q89" s="100">
        <v>27.52</v>
      </c>
      <c r="R89" s="6"/>
      <c r="S89" s="6"/>
      <c r="T89" s="156"/>
      <c r="U89" s="6"/>
    </row>
    <row r="90" spans="1:21" customFormat="1">
      <c r="A90" s="163" t="s">
        <v>321</v>
      </c>
      <c r="B90" s="100">
        <v>7.02</v>
      </c>
      <c r="C90" s="100">
        <v>37.86</v>
      </c>
      <c r="D90" s="100">
        <v>26.09</v>
      </c>
      <c r="E90" s="100">
        <v>1.22</v>
      </c>
      <c r="F90" s="100">
        <v>2.92</v>
      </c>
      <c r="G90" s="100">
        <v>27.81</v>
      </c>
      <c r="H90" s="100">
        <v>14.61</v>
      </c>
      <c r="I90" s="100">
        <v>9.67</v>
      </c>
      <c r="J90" s="100">
        <v>1.46</v>
      </c>
      <c r="K90" s="100">
        <v>208.75</v>
      </c>
      <c r="L90" s="100">
        <v>24.92</v>
      </c>
      <c r="M90" s="100">
        <v>61.64</v>
      </c>
      <c r="N90" s="100">
        <v>23.3</v>
      </c>
      <c r="O90" s="100">
        <v>0</v>
      </c>
      <c r="P90" s="100">
        <v>0.51</v>
      </c>
      <c r="Q90" s="100">
        <v>27.69</v>
      </c>
      <c r="R90" s="6"/>
      <c r="S90" s="6"/>
      <c r="T90" s="156"/>
      <c r="U90" s="6"/>
    </row>
    <row r="91" spans="1:21" customFormat="1">
      <c r="A91" s="163" t="s">
        <v>322</v>
      </c>
      <c r="B91" s="100">
        <v>6.91</v>
      </c>
      <c r="C91" s="100">
        <v>37.83</v>
      </c>
      <c r="D91" s="100">
        <v>25.98</v>
      </c>
      <c r="E91" s="100">
        <v>1.26</v>
      </c>
      <c r="F91" s="100">
        <v>2.99</v>
      </c>
      <c r="G91" s="100">
        <v>27.81</v>
      </c>
      <c r="H91" s="100">
        <v>14.61</v>
      </c>
      <c r="I91" s="100">
        <v>9.67</v>
      </c>
      <c r="J91" s="100">
        <v>1.78</v>
      </c>
      <c r="K91" s="100">
        <v>208.65</v>
      </c>
      <c r="L91" s="100">
        <v>23.96</v>
      </c>
      <c r="M91" s="100">
        <v>67.95</v>
      </c>
      <c r="N91" s="100">
        <v>24.4</v>
      </c>
      <c r="O91" s="100">
        <v>0</v>
      </c>
      <c r="P91" s="100">
        <v>0.5</v>
      </c>
      <c r="Q91" s="100">
        <v>27.62</v>
      </c>
      <c r="R91" s="6"/>
      <c r="S91" s="6"/>
      <c r="T91" s="156"/>
      <c r="U91" s="6"/>
    </row>
    <row r="92" spans="1:21" customFormat="1">
      <c r="A92" s="163" t="s">
        <v>323</v>
      </c>
      <c r="B92" s="100">
        <v>6.66</v>
      </c>
      <c r="C92" s="100">
        <v>37.69</v>
      </c>
      <c r="D92" s="100">
        <v>25.71</v>
      </c>
      <c r="E92" s="100">
        <v>1.51</v>
      </c>
      <c r="F92" s="100">
        <v>3.93</v>
      </c>
      <c r="G92" s="100">
        <v>22.85</v>
      </c>
      <c r="H92" s="100">
        <v>12.02</v>
      </c>
      <c r="I92" s="100">
        <v>9.67</v>
      </c>
      <c r="J92" s="100">
        <v>1.59</v>
      </c>
      <c r="K92" s="100">
        <v>210.74</v>
      </c>
      <c r="L92" s="100">
        <v>23.46</v>
      </c>
      <c r="M92" s="100">
        <v>70.48</v>
      </c>
      <c r="N92" s="100">
        <v>23.9</v>
      </c>
      <c r="O92" s="100">
        <v>0</v>
      </c>
      <c r="P92" s="100">
        <v>0.49</v>
      </c>
      <c r="Q92" s="100">
        <v>27.66</v>
      </c>
      <c r="R92" s="6"/>
      <c r="S92" s="6"/>
      <c r="T92" s="156"/>
      <c r="U92" s="6"/>
    </row>
    <row r="93" spans="1:21" customFormat="1">
      <c r="A93" s="163" t="s">
        <v>324</v>
      </c>
      <c r="B93" s="100">
        <v>6.61</v>
      </c>
      <c r="C93" s="100">
        <v>37.909999999999997</v>
      </c>
      <c r="D93" s="100">
        <v>25.78</v>
      </c>
      <c r="E93" s="100">
        <v>1.29</v>
      </c>
      <c r="F93" s="100">
        <v>3.52</v>
      </c>
      <c r="G93" s="100">
        <v>18.5</v>
      </c>
      <c r="H93" s="100">
        <v>9.76</v>
      </c>
      <c r="I93" s="100">
        <v>9.67</v>
      </c>
      <c r="J93" s="100">
        <v>1.62</v>
      </c>
      <c r="K93" s="100">
        <v>218.01</v>
      </c>
      <c r="L93" s="100">
        <v>23.25</v>
      </c>
      <c r="M93" s="100">
        <v>71.760000000000005</v>
      </c>
      <c r="N93" s="100">
        <v>23.5</v>
      </c>
      <c r="O93" s="100">
        <v>0</v>
      </c>
      <c r="P93" s="100">
        <v>0.48</v>
      </c>
      <c r="Q93" s="100">
        <v>27.66</v>
      </c>
      <c r="R93" s="6"/>
      <c r="S93" s="6"/>
      <c r="T93" s="156"/>
      <c r="U93" s="6"/>
    </row>
    <row r="94" spans="1:21" customFormat="1">
      <c r="A94" s="163" t="s">
        <v>325</v>
      </c>
      <c r="B94" s="100">
        <v>6.64</v>
      </c>
      <c r="C94" s="100">
        <v>39.39</v>
      </c>
      <c r="D94" s="100">
        <v>26.58</v>
      </c>
      <c r="E94" s="100">
        <v>1.35</v>
      </c>
      <c r="F94" s="100">
        <v>3.27</v>
      </c>
      <c r="G94" s="100">
        <v>18.5</v>
      </c>
      <c r="H94" s="100">
        <v>9.76</v>
      </c>
      <c r="I94" s="100">
        <v>9.67</v>
      </c>
      <c r="J94" s="100">
        <v>1.42</v>
      </c>
      <c r="K94" s="100">
        <v>202.09</v>
      </c>
      <c r="L94" s="100">
        <v>23.13</v>
      </c>
      <c r="M94" s="100">
        <v>72.14</v>
      </c>
      <c r="N94" s="100">
        <v>23.5</v>
      </c>
      <c r="O94" s="100">
        <v>0</v>
      </c>
      <c r="P94" s="100">
        <v>0.46</v>
      </c>
      <c r="Q94" s="100">
        <v>27.59</v>
      </c>
      <c r="R94" s="6"/>
      <c r="S94" s="6"/>
      <c r="T94" s="156"/>
      <c r="U94" s="6"/>
    </row>
    <row r="95" spans="1:21" customFormat="1">
      <c r="A95" s="163" t="s">
        <v>326</v>
      </c>
      <c r="B95" s="100">
        <v>6.4</v>
      </c>
      <c r="C95" s="100">
        <v>34.82</v>
      </c>
      <c r="D95" s="100">
        <v>24</v>
      </c>
      <c r="E95" s="100">
        <v>1.05</v>
      </c>
      <c r="F95" s="100">
        <v>3.38</v>
      </c>
      <c r="G95" s="100">
        <v>18.5</v>
      </c>
      <c r="H95" s="100">
        <v>9.76</v>
      </c>
      <c r="I95" s="100">
        <v>9.67</v>
      </c>
      <c r="J95" s="100">
        <v>1.44</v>
      </c>
      <c r="K95" s="100">
        <v>211.87</v>
      </c>
      <c r="L95" s="100">
        <v>23</v>
      </c>
      <c r="M95" s="100">
        <v>73.17</v>
      </c>
      <c r="N95" s="100">
        <v>23.1</v>
      </c>
      <c r="O95" s="100">
        <v>0</v>
      </c>
      <c r="P95" s="100">
        <v>0.45</v>
      </c>
      <c r="Q95" s="100">
        <v>27.81</v>
      </c>
      <c r="R95" s="6"/>
      <c r="S95" s="6"/>
      <c r="T95" s="156"/>
      <c r="U95" s="6"/>
    </row>
    <row r="96" spans="1:21" customFormat="1">
      <c r="A96" s="163" t="s">
        <v>327</v>
      </c>
      <c r="B96" s="100">
        <v>6.13</v>
      </c>
      <c r="C96" s="100">
        <v>35.130000000000003</v>
      </c>
      <c r="D96" s="100">
        <v>23.95</v>
      </c>
      <c r="E96" s="100">
        <v>0.9</v>
      </c>
      <c r="F96" s="100">
        <v>3.99</v>
      </c>
      <c r="G96" s="100">
        <v>12.87</v>
      </c>
      <c r="H96" s="100">
        <v>9.61</v>
      </c>
      <c r="I96" s="100">
        <v>9.67</v>
      </c>
      <c r="J96" s="100">
        <v>1.25</v>
      </c>
      <c r="K96" s="100">
        <v>201.07</v>
      </c>
      <c r="L96" s="100">
        <v>22.97</v>
      </c>
      <c r="M96" s="100">
        <v>74.209999999999994</v>
      </c>
      <c r="N96" s="100">
        <v>22.9</v>
      </c>
      <c r="O96" s="100">
        <v>0</v>
      </c>
      <c r="P96" s="100">
        <v>0.46</v>
      </c>
      <c r="Q96" s="100">
        <v>27.82</v>
      </c>
      <c r="R96" s="6"/>
      <c r="S96" s="6"/>
      <c r="T96" s="156"/>
      <c r="U96" s="6"/>
    </row>
    <row r="97" spans="1:28" customFormat="1">
      <c r="A97" s="163" t="s">
        <v>328</v>
      </c>
      <c r="B97" s="100">
        <v>5.94</v>
      </c>
      <c r="C97" s="100">
        <v>37.159999999999997</v>
      </c>
      <c r="D97" s="100">
        <v>24.85</v>
      </c>
      <c r="E97" s="100">
        <v>1.1200000000000001</v>
      </c>
      <c r="F97" s="100">
        <v>3.27</v>
      </c>
      <c r="G97" s="100">
        <v>7.93</v>
      </c>
      <c r="H97" s="100">
        <v>9.4700000000000006</v>
      </c>
      <c r="I97" s="100">
        <v>9.67</v>
      </c>
      <c r="J97" s="100">
        <v>0.6</v>
      </c>
      <c r="K97" s="100">
        <v>217.48</v>
      </c>
      <c r="L97" s="100">
        <v>23.19</v>
      </c>
      <c r="M97" s="100">
        <v>73.55</v>
      </c>
      <c r="N97" s="100">
        <v>22.6</v>
      </c>
      <c r="O97" s="100">
        <v>0</v>
      </c>
      <c r="P97" s="100">
        <v>0.46</v>
      </c>
      <c r="Q97" s="100">
        <v>27.71</v>
      </c>
      <c r="R97" s="6"/>
      <c r="S97" s="6"/>
      <c r="T97" s="156"/>
      <c r="U97" s="6"/>
    </row>
    <row r="98" spans="1:28" customFormat="1">
      <c r="A98" s="163" t="s">
        <v>329</v>
      </c>
      <c r="B98" s="100">
        <v>5.85</v>
      </c>
      <c r="C98" s="100">
        <v>37.340000000000003</v>
      </c>
      <c r="D98" s="100">
        <v>24.87</v>
      </c>
      <c r="E98" s="100">
        <v>1.1100000000000001</v>
      </c>
      <c r="F98" s="100">
        <v>3.32</v>
      </c>
      <c r="G98" s="100">
        <v>7.93</v>
      </c>
      <c r="H98" s="100">
        <v>9.4700000000000006</v>
      </c>
      <c r="I98" s="100">
        <v>9.67</v>
      </c>
      <c r="J98" s="100">
        <v>0.12</v>
      </c>
      <c r="K98" s="100">
        <v>233.6</v>
      </c>
      <c r="L98" s="100">
        <v>23.33</v>
      </c>
      <c r="M98" s="100">
        <v>72.650000000000006</v>
      </c>
      <c r="N98" s="100">
        <v>22.6</v>
      </c>
      <c r="O98" s="100">
        <v>0</v>
      </c>
      <c r="P98" s="100">
        <v>0.46</v>
      </c>
      <c r="Q98" s="100">
        <v>27.73</v>
      </c>
      <c r="R98" s="6"/>
      <c r="S98" s="6"/>
      <c r="T98" s="156"/>
      <c r="U98" s="6"/>
    </row>
    <row r="99" spans="1:28" customFormat="1">
      <c r="A99" s="163" t="s">
        <v>330</v>
      </c>
      <c r="B99" s="100">
        <v>5.81</v>
      </c>
      <c r="C99" s="100">
        <v>38.159999999999997</v>
      </c>
      <c r="D99" s="100">
        <v>25.27</v>
      </c>
      <c r="E99" s="100">
        <v>0.75</v>
      </c>
      <c r="F99" s="100">
        <v>3.37</v>
      </c>
      <c r="G99" s="100">
        <v>7.93</v>
      </c>
      <c r="H99" s="100">
        <v>9.4700000000000006</v>
      </c>
      <c r="I99" s="100">
        <v>9.67</v>
      </c>
      <c r="J99" s="100">
        <v>1.01</v>
      </c>
      <c r="K99" s="100">
        <v>204.76</v>
      </c>
      <c r="L99" s="100">
        <v>23.36</v>
      </c>
      <c r="M99" s="100">
        <v>72.02</v>
      </c>
      <c r="N99" s="100">
        <v>22.7</v>
      </c>
      <c r="O99" s="100">
        <v>0</v>
      </c>
      <c r="P99" s="100">
        <v>0.46</v>
      </c>
      <c r="Q99" s="100">
        <v>27.71</v>
      </c>
      <c r="R99" s="6"/>
      <c r="S99" s="6"/>
      <c r="T99" s="156"/>
      <c r="U99" s="6"/>
    </row>
    <row r="100" spans="1:28" customFormat="1">
      <c r="A100" s="163" t="s">
        <v>331</v>
      </c>
      <c r="B100" s="100">
        <v>5.62</v>
      </c>
      <c r="C100" s="100">
        <v>38.82</v>
      </c>
      <c r="D100" s="100">
        <v>25.46</v>
      </c>
      <c r="E100" s="100">
        <v>0.52</v>
      </c>
      <c r="F100" s="100">
        <v>3.19</v>
      </c>
      <c r="G100" s="100">
        <v>9.06</v>
      </c>
      <c r="H100" s="100">
        <v>8.11</v>
      </c>
      <c r="I100" s="100">
        <v>9.67</v>
      </c>
      <c r="J100" s="100">
        <v>0.71</v>
      </c>
      <c r="K100" s="100">
        <v>208</v>
      </c>
      <c r="L100" s="100">
        <v>23.32</v>
      </c>
      <c r="M100" s="100">
        <v>72.510000000000005</v>
      </c>
      <c r="N100" s="100">
        <v>22.9</v>
      </c>
      <c r="O100" s="100">
        <v>0</v>
      </c>
      <c r="P100" s="100">
        <v>0.45</v>
      </c>
      <c r="Q100" s="100">
        <v>27.71</v>
      </c>
      <c r="R100" s="6"/>
      <c r="S100" s="6"/>
      <c r="T100" s="156"/>
      <c r="U100" s="6"/>
      <c r="AB100" s="161"/>
    </row>
    <row r="101" spans="1:28" customFormat="1">
      <c r="A101" s="163" t="s">
        <v>332</v>
      </c>
      <c r="B101" s="100">
        <v>5.76</v>
      </c>
      <c r="C101" s="100">
        <v>39.99</v>
      </c>
      <c r="D101" s="100">
        <v>26.19</v>
      </c>
      <c r="E101" s="100">
        <v>0.05</v>
      </c>
      <c r="F101" s="100">
        <v>3.18</v>
      </c>
      <c r="G101" s="100">
        <v>10.050000000000001</v>
      </c>
      <c r="H101" s="100">
        <v>6.91</v>
      </c>
      <c r="I101" s="100">
        <v>9.67</v>
      </c>
      <c r="J101" s="100">
        <v>0.91</v>
      </c>
      <c r="K101" s="100">
        <v>222.35</v>
      </c>
      <c r="L101" s="100">
        <v>23.18</v>
      </c>
      <c r="M101" s="100">
        <v>73.61</v>
      </c>
      <c r="N101" s="100">
        <v>22.6</v>
      </c>
      <c r="O101" s="100">
        <v>0</v>
      </c>
      <c r="P101" s="100">
        <v>0.43</v>
      </c>
      <c r="Q101" s="100">
        <v>27.63</v>
      </c>
      <c r="R101" s="6"/>
      <c r="S101" s="6"/>
      <c r="T101" s="156"/>
      <c r="U101" s="6"/>
    </row>
    <row r="102" spans="1:28" customFormat="1">
      <c r="A102" s="163" t="s">
        <v>333</v>
      </c>
      <c r="B102" s="100">
        <v>6.15</v>
      </c>
      <c r="C102" s="100">
        <v>41.14</v>
      </c>
      <c r="D102" s="100">
        <v>27.11</v>
      </c>
      <c r="E102" s="100">
        <v>0.28000000000000003</v>
      </c>
      <c r="F102" s="100">
        <v>3.07</v>
      </c>
      <c r="G102" s="100">
        <v>10.050000000000001</v>
      </c>
      <c r="H102" s="100">
        <v>6.91</v>
      </c>
      <c r="I102" s="100">
        <v>9.67</v>
      </c>
      <c r="J102" s="100">
        <v>1.51</v>
      </c>
      <c r="K102" s="100">
        <v>236.28</v>
      </c>
      <c r="L102" s="100">
        <v>23.17</v>
      </c>
      <c r="M102" s="100">
        <v>73.790000000000006</v>
      </c>
      <c r="N102" s="100">
        <v>22.8</v>
      </c>
      <c r="O102" s="100">
        <v>0</v>
      </c>
      <c r="P102" s="100">
        <v>0.44</v>
      </c>
      <c r="Q102" s="100">
        <v>27.59</v>
      </c>
      <c r="R102" s="6"/>
      <c r="S102" s="6"/>
      <c r="T102" s="156"/>
      <c r="U102" s="6"/>
    </row>
    <row r="103" spans="1:28" customFormat="1">
      <c r="A103" s="163" t="s">
        <v>334</v>
      </c>
      <c r="B103" s="100">
        <v>6.72</v>
      </c>
      <c r="C103" s="100">
        <v>40.29</v>
      </c>
      <c r="D103" s="100">
        <v>27.12</v>
      </c>
      <c r="E103" s="100">
        <v>0.56999999999999995</v>
      </c>
      <c r="F103" s="100">
        <v>2.76</v>
      </c>
      <c r="G103" s="100">
        <v>10.050000000000001</v>
      </c>
      <c r="H103" s="100">
        <v>6.91</v>
      </c>
      <c r="I103" s="100">
        <v>9.67</v>
      </c>
      <c r="J103" s="100">
        <v>0.96</v>
      </c>
      <c r="K103" s="100">
        <v>268.95</v>
      </c>
      <c r="L103" s="100">
        <v>22.82</v>
      </c>
      <c r="M103" s="100">
        <v>76.400000000000006</v>
      </c>
      <c r="N103" s="100">
        <v>23.2</v>
      </c>
      <c r="O103" s="100">
        <v>0</v>
      </c>
      <c r="P103" s="100">
        <v>0.42</v>
      </c>
      <c r="Q103" s="100">
        <v>27.57</v>
      </c>
      <c r="R103" s="6"/>
      <c r="S103" s="6"/>
      <c r="T103" s="156"/>
      <c r="U103" s="6"/>
    </row>
    <row r="104" spans="1:28" customFormat="1">
      <c r="A104" s="163" t="s">
        <v>335</v>
      </c>
      <c r="B104" s="100">
        <v>7.33</v>
      </c>
      <c r="C104" s="100">
        <v>40.1</v>
      </c>
      <c r="D104" s="100">
        <v>27.5</v>
      </c>
      <c r="E104" s="100">
        <v>0.33</v>
      </c>
      <c r="F104" s="100">
        <v>2.67</v>
      </c>
      <c r="G104" s="100">
        <v>14.13</v>
      </c>
      <c r="H104" s="100">
        <v>9.76</v>
      </c>
      <c r="I104" s="100">
        <v>9.67</v>
      </c>
      <c r="J104" s="100">
        <v>0.19</v>
      </c>
      <c r="K104" s="100">
        <v>357.81</v>
      </c>
      <c r="L104" s="100">
        <v>22.61</v>
      </c>
      <c r="M104" s="100">
        <v>78.52</v>
      </c>
      <c r="N104" s="100">
        <v>23</v>
      </c>
      <c r="O104" s="100">
        <v>0</v>
      </c>
      <c r="P104" s="100">
        <v>0.42</v>
      </c>
      <c r="Q104" s="100">
        <v>27.55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2.17</v>
      </c>
      <c r="C106" s="158">
        <f>MIN(C9:C104)</f>
        <v>15.73</v>
      </c>
      <c r="D106" s="158">
        <f t="shared" ref="D106:Q106" si="0">MIN(D9:D104)</f>
        <v>10.88</v>
      </c>
      <c r="E106" s="158">
        <f t="shared" si="0"/>
        <v>0.05</v>
      </c>
      <c r="F106" s="158">
        <f t="shared" si="0"/>
        <v>2.36</v>
      </c>
      <c r="G106" s="158">
        <f t="shared" si="0"/>
        <v>7.93</v>
      </c>
      <c r="H106" s="158">
        <f t="shared" si="0"/>
        <v>6.91</v>
      </c>
      <c r="I106" s="158">
        <f t="shared" si="0"/>
        <v>7.8</v>
      </c>
      <c r="J106" s="158">
        <f t="shared" si="0"/>
        <v>0.12</v>
      </c>
      <c r="K106" s="158">
        <f t="shared" si="0"/>
        <v>15.39</v>
      </c>
      <c r="L106" s="158">
        <f t="shared" si="0"/>
        <v>20.51</v>
      </c>
      <c r="M106" s="158">
        <f t="shared" si="0"/>
        <v>25.25</v>
      </c>
      <c r="N106" s="158">
        <f t="shared" si="0"/>
        <v>22.4</v>
      </c>
      <c r="O106" s="158">
        <f t="shared" si="0"/>
        <v>0</v>
      </c>
      <c r="P106" s="158">
        <f t="shared" si="0"/>
        <v>0.42</v>
      </c>
      <c r="Q106" s="158">
        <f t="shared" si="0"/>
        <v>27.18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13.23</v>
      </c>
      <c r="C107" s="157">
        <f t="shared" ref="C107:Q107" si="1">MAX(C9:C104)</f>
        <v>42.1</v>
      </c>
      <c r="D107" s="157">
        <f t="shared" si="1"/>
        <v>32.01</v>
      </c>
      <c r="E107" s="157">
        <f t="shared" si="1"/>
        <v>4.7300000000000004</v>
      </c>
      <c r="F107" s="157">
        <f t="shared" si="1"/>
        <v>44.4</v>
      </c>
      <c r="G107" s="157">
        <f t="shared" si="1"/>
        <v>848.33</v>
      </c>
      <c r="H107" s="157">
        <f t="shared" si="1"/>
        <v>35.57</v>
      </c>
      <c r="I107" s="157">
        <f t="shared" si="1"/>
        <v>14.35</v>
      </c>
      <c r="J107" s="157">
        <f t="shared" si="1"/>
        <v>5.29</v>
      </c>
      <c r="K107" s="157">
        <f t="shared" si="1"/>
        <v>357.93</v>
      </c>
      <c r="L107" s="157">
        <f t="shared" si="1"/>
        <v>40.94</v>
      </c>
      <c r="M107" s="157">
        <f t="shared" si="1"/>
        <v>90.95</v>
      </c>
      <c r="N107" s="157">
        <f t="shared" si="1"/>
        <v>850.7</v>
      </c>
      <c r="O107" s="157">
        <f t="shared" si="1"/>
        <v>2.6</v>
      </c>
      <c r="P107" s="157">
        <f t="shared" si="1"/>
        <v>0.66</v>
      </c>
      <c r="Q107" s="157">
        <f t="shared" si="1"/>
        <v>29.12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6.1047916666666664</v>
      </c>
      <c r="C108" s="158">
        <f t="shared" ref="C108:Q108" si="2">AVERAGE(C9:C104)</f>
        <v>33.211354166666673</v>
      </c>
      <c r="D108" s="158">
        <f t="shared" si="2"/>
        <v>22.923124999999999</v>
      </c>
      <c r="E108" s="158">
        <f t="shared" si="2"/>
        <v>1.6110416666666671</v>
      </c>
      <c r="F108" s="158">
        <f t="shared" si="2"/>
        <v>8.3846875000000018</v>
      </c>
      <c r="G108" s="158">
        <f t="shared" si="2"/>
        <v>62.136875000000032</v>
      </c>
      <c r="H108" s="158">
        <f t="shared" si="2"/>
        <v>19.140729166666656</v>
      </c>
      <c r="I108" s="158">
        <f t="shared" si="2"/>
        <v>10.076458333333322</v>
      </c>
      <c r="J108" s="158">
        <f t="shared" si="2"/>
        <v>0.84583333333333321</v>
      </c>
      <c r="K108" s="158">
        <f t="shared" si="2"/>
        <v>178.3105208333333</v>
      </c>
      <c r="L108" s="158">
        <f t="shared" si="2"/>
        <v>28.779062499999998</v>
      </c>
      <c r="M108" s="158">
        <f t="shared" si="2"/>
        <v>53.525000000000006</v>
      </c>
      <c r="N108" s="158">
        <f t="shared" si="2"/>
        <v>223.48541666666668</v>
      </c>
      <c r="O108" s="158">
        <f t="shared" si="2"/>
        <v>4.3750000000000004E-2</v>
      </c>
      <c r="P108" s="158">
        <f t="shared" si="2"/>
        <v>0.51072916666666679</v>
      </c>
      <c r="Q108" s="158">
        <f t="shared" si="2"/>
        <v>27.937499999999996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3.3666325449894945</v>
      </c>
      <c r="C109" s="158">
        <f t="shared" ref="C109:Q109" si="3">STDEV(C9:C104)</f>
        <v>6.20277571478948</v>
      </c>
      <c r="D109" s="158">
        <f t="shared" si="3"/>
        <v>5.1550756413869481</v>
      </c>
      <c r="E109" s="158">
        <f t="shared" si="3"/>
        <v>0.86638447666351115</v>
      </c>
      <c r="F109" s="158">
        <f t="shared" si="3"/>
        <v>8.071814503257615</v>
      </c>
      <c r="G109" s="158">
        <f t="shared" si="3"/>
        <v>143.49747956937483</v>
      </c>
      <c r="H109" s="158">
        <f t="shared" si="3"/>
        <v>7.8147123386855206</v>
      </c>
      <c r="I109" s="158">
        <f t="shared" si="3"/>
        <v>1.4431267071822684</v>
      </c>
      <c r="J109" s="158">
        <f t="shared" si="3"/>
        <v>0.70427367088992632</v>
      </c>
      <c r="K109" s="158">
        <f t="shared" si="3"/>
        <v>69.482809844856007</v>
      </c>
      <c r="L109" s="158">
        <f t="shared" si="3"/>
        <v>5.4951984932541782</v>
      </c>
      <c r="M109" s="158">
        <f t="shared" si="3"/>
        <v>16.520454116353051</v>
      </c>
      <c r="N109" s="158">
        <f t="shared" si="3"/>
        <v>306.40755314971096</v>
      </c>
      <c r="O109" s="158">
        <f t="shared" si="3"/>
        <v>0.29193095795157853</v>
      </c>
      <c r="P109" s="158">
        <f t="shared" si="3"/>
        <v>6.6018255715515048E-2</v>
      </c>
      <c r="Q109" s="158">
        <f t="shared" si="3"/>
        <v>0.48254588001120635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11" sqref="I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336</v>
      </c>
      <c r="B9" s="100">
        <v>7.51</v>
      </c>
      <c r="C9" s="100">
        <v>39.79</v>
      </c>
      <c r="D9" s="100">
        <v>27.49</v>
      </c>
      <c r="E9" s="100">
        <v>0.9</v>
      </c>
      <c r="F9" s="100">
        <v>2.67</v>
      </c>
      <c r="G9" s="100">
        <v>17.690000000000001</v>
      </c>
      <c r="H9" s="100">
        <v>12.24</v>
      </c>
      <c r="I9" s="147" t="s">
        <v>14</v>
      </c>
      <c r="J9" s="100">
        <v>0.24</v>
      </c>
      <c r="K9" s="100">
        <v>305.11</v>
      </c>
      <c r="L9" s="100">
        <v>22.69</v>
      </c>
      <c r="M9" s="100">
        <v>77.900000000000006</v>
      </c>
      <c r="N9" s="100">
        <v>22.6</v>
      </c>
      <c r="O9" s="100">
        <v>0</v>
      </c>
      <c r="P9" s="100">
        <v>0.41</v>
      </c>
      <c r="Q9" s="100">
        <v>27.43</v>
      </c>
      <c r="R9" s="6"/>
      <c r="S9" s="6"/>
      <c r="T9" s="156"/>
      <c r="U9" s="6"/>
    </row>
    <row r="10" spans="1:21" customFormat="1">
      <c r="A10" s="163" t="s">
        <v>337</v>
      </c>
      <c r="B10" s="100">
        <v>8.1</v>
      </c>
      <c r="C10" s="100">
        <v>40.909999999999997</v>
      </c>
      <c r="D10" s="100">
        <v>28.55</v>
      </c>
      <c r="E10" s="100">
        <v>0.63</v>
      </c>
      <c r="F10" s="100">
        <v>2.57</v>
      </c>
      <c r="G10" s="100">
        <v>17.690000000000001</v>
      </c>
      <c r="H10" s="100">
        <v>12.24</v>
      </c>
      <c r="I10" s="147" t="s">
        <v>14</v>
      </c>
      <c r="J10" s="100">
        <v>0.12</v>
      </c>
      <c r="K10" s="100">
        <v>151.41</v>
      </c>
      <c r="L10" s="100">
        <v>22.76</v>
      </c>
      <c r="M10" s="100">
        <v>77.83</v>
      </c>
      <c r="N10" s="100">
        <v>22.7</v>
      </c>
      <c r="O10" s="100">
        <v>0</v>
      </c>
      <c r="P10" s="100">
        <v>0.41</v>
      </c>
      <c r="Q10" s="100">
        <v>27.33</v>
      </c>
      <c r="R10" s="6"/>
      <c r="S10" s="6"/>
      <c r="T10" s="156"/>
      <c r="U10" s="6"/>
    </row>
    <row r="11" spans="1:21" customFormat="1">
      <c r="A11" s="163" t="s">
        <v>338</v>
      </c>
      <c r="B11" s="100">
        <v>8.83</v>
      </c>
      <c r="C11" s="100">
        <v>43.09</v>
      </c>
      <c r="D11" s="100">
        <v>30.27</v>
      </c>
      <c r="E11" s="100">
        <v>0.56999999999999995</v>
      </c>
      <c r="F11" s="100">
        <v>2.54</v>
      </c>
      <c r="G11" s="100">
        <v>17.690000000000001</v>
      </c>
      <c r="H11" s="100">
        <v>12.24</v>
      </c>
      <c r="I11" s="147" t="s">
        <v>14</v>
      </c>
      <c r="J11" s="100">
        <v>0.42</v>
      </c>
      <c r="K11" s="100">
        <v>231.25</v>
      </c>
      <c r="L11" s="100">
        <v>22.78</v>
      </c>
      <c r="M11" s="100">
        <v>77.95</v>
      </c>
      <c r="N11" s="100">
        <v>22.6</v>
      </c>
      <c r="O11" s="100">
        <v>0</v>
      </c>
      <c r="P11" s="100">
        <v>0.41</v>
      </c>
      <c r="Q11" s="100">
        <v>27.18</v>
      </c>
      <c r="R11" s="6"/>
      <c r="S11" s="6"/>
      <c r="T11" s="156"/>
      <c r="U11" s="6"/>
    </row>
    <row r="12" spans="1:21" customFormat="1">
      <c r="A12" s="163" t="s">
        <v>339</v>
      </c>
      <c r="B12" s="100">
        <v>9.3800000000000008</v>
      </c>
      <c r="C12" s="100">
        <v>38.340000000000003</v>
      </c>
      <c r="D12" s="100">
        <v>28.23</v>
      </c>
      <c r="E12" s="100">
        <v>0.56999999999999995</v>
      </c>
      <c r="F12" s="100">
        <v>2.56</v>
      </c>
      <c r="G12" s="100">
        <v>20.64</v>
      </c>
      <c r="H12" s="100">
        <v>12.18</v>
      </c>
      <c r="I12" s="147" t="s">
        <v>14</v>
      </c>
      <c r="J12" s="100">
        <v>0.71</v>
      </c>
      <c r="K12" s="100">
        <v>108.44</v>
      </c>
      <c r="L12" s="100">
        <v>22.55</v>
      </c>
      <c r="M12" s="100">
        <v>80.38</v>
      </c>
      <c r="N12" s="100">
        <v>23</v>
      </c>
      <c r="O12" s="100">
        <v>0</v>
      </c>
      <c r="P12" s="100">
        <v>0.4</v>
      </c>
      <c r="Q12" s="100">
        <v>27.33</v>
      </c>
      <c r="R12" s="6"/>
      <c r="S12" s="6"/>
      <c r="T12" s="156"/>
      <c r="U12" s="6"/>
    </row>
    <row r="13" spans="1:21" customFormat="1">
      <c r="A13" s="163" t="s">
        <v>340</v>
      </c>
      <c r="B13" s="100">
        <v>9.76</v>
      </c>
      <c r="C13" s="100">
        <v>35.6</v>
      </c>
      <c r="D13" s="100">
        <v>27.11</v>
      </c>
      <c r="E13" s="100">
        <v>0.1</v>
      </c>
      <c r="F13" s="100">
        <v>2.2799999999999998</v>
      </c>
      <c r="G13" s="100">
        <v>23.22</v>
      </c>
      <c r="H13" s="100">
        <v>12.12</v>
      </c>
      <c r="I13" s="147" t="s">
        <v>14</v>
      </c>
      <c r="J13" s="100">
        <v>0.61</v>
      </c>
      <c r="K13" s="100">
        <v>81.349999999999994</v>
      </c>
      <c r="L13" s="100">
        <v>22.56</v>
      </c>
      <c r="M13" s="100">
        <v>81.349999999999994</v>
      </c>
      <c r="N13" s="100">
        <v>22.6</v>
      </c>
      <c r="O13" s="100">
        <v>0</v>
      </c>
      <c r="P13" s="100">
        <v>0.41</v>
      </c>
      <c r="Q13" s="100">
        <v>27.41</v>
      </c>
      <c r="R13" s="6"/>
      <c r="S13" s="6"/>
      <c r="T13" s="156"/>
      <c r="U13" s="6"/>
    </row>
    <row r="14" spans="1:21" customFormat="1">
      <c r="A14" s="163" t="s">
        <v>341</v>
      </c>
      <c r="B14" s="100">
        <v>10.26</v>
      </c>
      <c r="C14" s="100">
        <v>37.29</v>
      </c>
      <c r="D14" s="100">
        <v>28.39</v>
      </c>
      <c r="E14" s="100">
        <v>0.26</v>
      </c>
      <c r="F14" s="100">
        <v>2.29</v>
      </c>
      <c r="G14" s="100">
        <v>23.22</v>
      </c>
      <c r="H14" s="100">
        <v>12.12</v>
      </c>
      <c r="I14" s="147" t="s">
        <v>14</v>
      </c>
      <c r="J14" s="100">
        <v>0.79</v>
      </c>
      <c r="K14" s="100">
        <v>48.56</v>
      </c>
      <c r="L14" s="100">
        <v>22.69</v>
      </c>
      <c r="M14" s="100">
        <v>80.180000000000007</v>
      </c>
      <c r="N14" s="100">
        <v>22.6</v>
      </c>
      <c r="O14" s="100">
        <v>0</v>
      </c>
      <c r="P14" s="100">
        <v>0.43</v>
      </c>
      <c r="Q14" s="100">
        <v>27.33</v>
      </c>
      <c r="R14" s="6"/>
      <c r="S14" s="6"/>
      <c r="T14" s="156"/>
      <c r="U14" s="6"/>
    </row>
    <row r="15" spans="1:21" customFormat="1">
      <c r="A15" s="163" t="s">
        <v>342</v>
      </c>
      <c r="B15" s="100">
        <v>10.83</v>
      </c>
      <c r="C15" s="100">
        <v>38.17</v>
      </c>
      <c r="D15" s="100">
        <v>29.3</v>
      </c>
      <c r="E15" s="100">
        <v>0.22</v>
      </c>
      <c r="F15" s="100">
        <v>2.36</v>
      </c>
      <c r="G15" s="100">
        <v>23.22</v>
      </c>
      <c r="H15" s="100">
        <v>12.12</v>
      </c>
      <c r="I15" s="147" t="s">
        <v>14</v>
      </c>
      <c r="J15" s="100">
        <v>0.91</v>
      </c>
      <c r="K15" s="100">
        <v>61.33</v>
      </c>
      <c r="L15" s="100">
        <v>22.59</v>
      </c>
      <c r="M15" s="100">
        <v>80.58</v>
      </c>
      <c r="N15" s="100">
        <v>22.9</v>
      </c>
      <c r="O15" s="100">
        <v>0</v>
      </c>
      <c r="P15" s="100">
        <v>0.45</v>
      </c>
      <c r="Q15" s="100">
        <v>27.22</v>
      </c>
      <c r="R15" s="6"/>
      <c r="S15" s="6"/>
      <c r="T15" s="156"/>
      <c r="U15" s="6"/>
    </row>
    <row r="16" spans="1:21" customFormat="1">
      <c r="A16" s="163" t="s">
        <v>343</v>
      </c>
      <c r="B16" s="100">
        <v>11.28</v>
      </c>
      <c r="C16" s="100">
        <v>39.29</v>
      </c>
      <c r="D16" s="100">
        <v>30.25</v>
      </c>
      <c r="E16" s="100">
        <v>0.19</v>
      </c>
      <c r="F16" s="100">
        <v>2.57</v>
      </c>
      <c r="G16" s="100">
        <v>39.46</v>
      </c>
      <c r="H16" s="100">
        <v>14.32</v>
      </c>
      <c r="I16" s="147" t="s">
        <v>14</v>
      </c>
      <c r="J16" s="100">
        <v>0.65</v>
      </c>
      <c r="K16" s="100">
        <v>68.569999999999993</v>
      </c>
      <c r="L16" s="100">
        <v>22.52</v>
      </c>
      <c r="M16" s="100">
        <v>81.38</v>
      </c>
      <c r="N16" s="100">
        <v>22.8</v>
      </c>
      <c r="O16" s="100">
        <v>0</v>
      </c>
      <c r="P16" s="100">
        <v>0.48</v>
      </c>
      <c r="Q16" s="100">
        <v>27.16</v>
      </c>
      <c r="R16" s="6"/>
      <c r="S16" s="6"/>
      <c r="T16" s="156"/>
      <c r="U16" s="6"/>
    </row>
    <row r="17" spans="1:21" customFormat="1">
      <c r="A17" s="163" t="s">
        <v>344</v>
      </c>
      <c r="B17" s="100">
        <v>12.01</v>
      </c>
      <c r="C17" s="100">
        <v>39.69</v>
      </c>
      <c r="D17" s="100">
        <v>31.04</v>
      </c>
      <c r="E17" s="100">
        <v>0.09</v>
      </c>
      <c r="F17" s="100">
        <v>2.4300000000000002</v>
      </c>
      <c r="G17" s="100">
        <v>53.68</v>
      </c>
      <c r="H17" s="100">
        <v>16.25</v>
      </c>
      <c r="I17" s="147" t="s">
        <v>14</v>
      </c>
      <c r="J17" s="100">
        <v>0.52</v>
      </c>
      <c r="K17" s="100">
        <v>103.21</v>
      </c>
      <c r="L17" s="100">
        <v>22.62</v>
      </c>
      <c r="M17" s="100">
        <v>80.66</v>
      </c>
      <c r="N17" s="100">
        <v>22.7</v>
      </c>
      <c r="O17" s="100">
        <v>0</v>
      </c>
      <c r="P17" s="100">
        <v>0.5</v>
      </c>
      <c r="Q17" s="100">
        <v>27.06</v>
      </c>
      <c r="R17" s="6"/>
      <c r="S17" s="6"/>
      <c r="T17" s="156"/>
      <c r="U17" s="6"/>
    </row>
    <row r="18" spans="1:21" customFormat="1">
      <c r="A18" s="163" t="s">
        <v>345</v>
      </c>
      <c r="B18" s="100">
        <v>12.54</v>
      </c>
      <c r="C18" s="100">
        <v>38.65</v>
      </c>
      <c r="D18" s="100">
        <v>30.92</v>
      </c>
      <c r="E18" s="100">
        <v>0.09</v>
      </c>
      <c r="F18" s="100">
        <v>2.59</v>
      </c>
      <c r="G18" s="100">
        <v>53.68</v>
      </c>
      <c r="H18" s="100">
        <v>16.25</v>
      </c>
      <c r="I18" s="147" t="s">
        <v>14</v>
      </c>
      <c r="J18" s="100">
        <v>0.44</v>
      </c>
      <c r="K18" s="100">
        <v>134.28</v>
      </c>
      <c r="L18" s="100">
        <v>22.46</v>
      </c>
      <c r="M18" s="100">
        <v>80.14</v>
      </c>
      <c r="N18" s="100">
        <v>22.9</v>
      </c>
      <c r="O18" s="100">
        <v>0</v>
      </c>
      <c r="P18" s="100">
        <v>0.5</v>
      </c>
      <c r="Q18" s="100">
        <v>27.09</v>
      </c>
      <c r="R18" s="6"/>
      <c r="S18" s="6"/>
      <c r="T18" s="156"/>
      <c r="U18" s="6"/>
    </row>
    <row r="19" spans="1:21" customFormat="1">
      <c r="A19" s="163" t="s">
        <v>346</v>
      </c>
      <c r="B19" s="100">
        <v>12.86</v>
      </c>
      <c r="C19" s="100">
        <v>37.21</v>
      </c>
      <c r="D19" s="100">
        <v>30.43</v>
      </c>
      <c r="E19" s="100">
        <v>0.02</v>
      </c>
      <c r="F19" s="100">
        <v>2.2999999999999998</v>
      </c>
      <c r="G19" s="100">
        <v>53.68</v>
      </c>
      <c r="H19" s="100">
        <v>16.25</v>
      </c>
      <c r="I19" s="147" t="s">
        <v>14</v>
      </c>
      <c r="J19" s="100">
        <v>0.32</v>
      </c>
      <c r="K19" s="100">
        <v>136.96</v>
      </c>
      <c r="L19" s="100">
        <v>22.31</v>
      </c>
      <c r="M19" s="100">
        <v>80.63</v>
      </c>
      <c r="N19" s="100">
        <v>22.9</v>
      </c>
      <c r="O19" s="100">
        <v>0</v>
      </c>
      <c r="P19" s="100">
        <v>0.49</v>
      </c>
      <c r="Q19" s="100">
        <v>27.22</v>
      </c>
      <c r="R19" s="6"/>
      <c r="S19" s="6"/>
      <c r="T19" s="156"/>
      <c r="U19" s="6"/>
    </row>
    <row r="20" spans="1:21" customFormat="1">
      <c r="A20" s="163" t="s">
        <v>347</v>
      </c>
      <c r="B20" s="100">
        <v>13.28</v>
      </c>
      <c r="C20" s="100">
        <v>36.94</v>
      </c>
      <c r="D20" s="100">
        <v>30.63</v>
      </c>
      <c r="E20" s="100">
        <v>0.02</v>
      </c>
      <c r="F20" s="100">
        <v>2.38</v>
      </c>
      <c r="G20" s="100">
        <v>59.95</v>
      </c>
      <c r="H20" s="100">
        <v>17.38</v>
      </c>
      <c r="I20" s="147" t="s">
        <v>14</v>
      </c>
      <c r="J20" s="100">
        <v>0.32</v>
      </c>
      <c r="K20" s="100">
        <v>117.47</v>
      </c>
      <c r="L20" s="100">
        <v>22.3</v>
      </c>
      <c r="M20" s="100">
        <v>80.489999999999995</v>
      </c>
      <c r="N20" s="100">
        <v>22.9</v>
      </c>
      <c r="O20" s="100">
        <v>0</v>
      </c>
      <c r="P20" s="100">
        <v>0.48</v>
      </c>
      <c r="Q20" s="100">
        <v>27.19</v>
      </c>
      <c r="R20" s="6"/>
      <c r="S20" s="6"/>
      <c r="T20" s="156"/>
      <c r="U20" s="6"/>
    </row>
    <row r="21" spans="1:21" customFormat="1">
      <c r="A21" s="163" t="s">
        <v>348</v>
      </c>
      <c r="B21" s="100">
        <v>13.82</v>
      </c>
      <c r="C21" s="100">
        <v>37.74</v>
      </c>
      <c r="D21" s="100">
        <v>31.48</v>
      </c>
      <c r="E21" s="100">
        <v>0.01</v>
      </c>
      <c r="F21" s="100">
        <v>2.4700000000000002</v>
      </c>
      <c r="G21" s="100">
        <v>65.44</v>
      </c>
      <c r="H21" s="100">
        <v>18.37</v>
      </c>
      <c r="I21" s="147" t="s">
        <v>14</v>
      </c>
      <c r="J21" s="100">
        <v>0.42</v>
      </c>
      <c r="K21" s="100">
        <v>80.62</v>
      </c>
      <c r="L21" s="100">
        <v>22.54</v>
      </c>
      <c r="M21" s="100">
        <v>79.239999999999995</v>
      </c>
      <c r="N21" s="100">
        <v>22.5</v>
      </c>
      <c r="O21" s="100">
        <v>0</v>
      </c>
      <c r="P21" s="100">
        <v>0.46</v>
      </c>
      <c r="Q21" s="100">
        <v>27.09</v>
      </c>
      <c r="R21" s="6"/>
      <c r="S21" s="6"/>
      <c r="T21" s="156"/>
      <c r="U21" s="6"/>
    </row>
    <row r="22" spans="1:21" customFormat="1">
      <c r="A22" s="163" t="s">
        <v>349</v>
      </c>
      <c r="B22" s="100">
        <v>14.16</v>
      </c>
      <c r="C22" s="100">
        <v>38.159999999999997</v>
      </c>
      <c r="D22" s="100">
        <v>31.97</v>
      </c>
      <c r="E22" s="100">
        <v>0.15</v>
      </c>
      <c r="F22" s="100">
        <v>2.5499999999999998</v>
      </c>
      <c r="G22" s="100">
        <v>65.44</v>
      </c>
      <c r="H22" s="100">
        <v>18.37</v>
      </c>
      <c r="I22" s="147" t="s">
        <v>14</v>
      </c>
      <c r="J22" s="100">
        <v>0.57999999999999996</v>
      </c>
      <c r="K22" s="100">
        <v>86.35</v>
      </c>
      <c r="L22" s="100">
        <v>22.63</v>
      </c>
      <c r="M22" s="100">
        <v>78.430000000000007</v>
      </c>
      <c r="N22" s="100">
        <v>22.6</v>
      </c>
      <c r="O22" s="100">
        <v>0</v>
      </c>
      <c r="P22" s="100">
        <v>0.45</v>
      </c>
      <c r="Q22" s="100">
        <v>27.06</v>
      </c>
      <c r="R22" s="6"/>
      <c r="S22" s="6"/>
      <c r="T22" s="156"/>
      <c r="U22" s="6"/>
    </row>
    <row r="23" spans="1:21" customFormat="1">
      <c r="A23" s="163" t="s">
        <v>350</v>
      </c>
      <c r="B23" s="100">
        <v>14.52</v>
      </c>
      <c r="C23" s="100">
        <v>38.81</v>
      </c>
      <c r="D23" s="100">
        <v>32.590000000000003</v>
      </c>
      <c r="E23" s="100">
        <v>0.05</v>
      </c>
      <c r="F23" s="100">
        <v>2.56</v>
      </c>
      <c r="G23" s="100">
        <v>65.44</v>
      </c>
      <c r="H23" s="100">
        <v>18.37</v>
      </c>
      <c r="I23" s="147" t="s">
        <v>14</v>
      </c>
      <c r="J23" s="100">
        <v>0.54</v>
      </c>
      <c r="K23" s="100">
        <v>84.67</v>
      </c>
      <c r="L23" s="100">
        <v>22.55</v>
      </c>
      <c r="M23" s="100">
        <v>78.14</v>
      </c>
      <c r="N23" s="100">
        <v>22.7</v>
      </c>
      <c r="O23" s="100">
        <v>0</v>
      </c>
      <c r="P23" s="100">
        <v>0.45</v>
      </c>
      <c r="Q23" s="100">
        <v>26.97</v>
      </c>
      <c r="R23" s="6"/>
      <c r="S23" s="6"/>
      <c r="T23" s="156"/>
      <c r="U23" s="6"/>
    </row>
    <row r="24" spans="1:21" customFormat="1">
      <c r="A24" s="163" t="s">
        <v>351</v>
      </c>
      <c r="B24" s="100">
        <v>14.93</v>
      </c>
      <c r="C24" s="100">
        <v>40.700000000000003</v>
      </c>
      <c r="D24" s="100">
        <v>33.909999999999997</v>
      </c>
      <c r="E24" s="100">
        <v>0.26</v>
      </c>
      <c r="F24" s="100">
        <v>2.46</v>
      </c>
      <c r="G24" s="100">
        <v>39.85</v>
      </c>
      <c r="H24" s="100">
        <v>16.329999999999998</v>
      </c>
      <c r="I24" s="147" t="s">
        <v>14</v>
      </c>
      <c r="J24" s="100">
        <v>0.35</v>
      </c>
      <c r="K24" s="100">
        <v>104.2</v>
      </c>
      <c r="L24" s="100">
        <v>22.37</v>
      </c>
      <c r="M24" s="100">
        <v>78.42</v>
      </c>
      <c r="N24" s="100">
        <v>22.9</v>
      </c>
      <c r="O24" s="100">
        <v>0</v>
      </c>
      <c r="P24" s="100">
        <v>0.44</v>
      </c>
      <c r="Q24" s="100">
        <v>26.87</v>
      </c>
      <c r="R24" s="6"/>
      <c r="S24" s="6"/>
      <c r="T24" s="156"/>
      <c r="U24" s="6"/>
    </row>
    <row r="25" spans="1:21" customFormat="1">
      <c r="A25" s="163" t="s">
        <v>352</v>
      </c>
      <c r="B25" s="100">
        <v>15.33</v>
      </c>
      <c r="C25" s="100">
        <v>38.51</v>
      </c>
      <c r="D25" s="100">
        <v>33.090000000000003</v>
      </c>
      <c r="E25" s="100">
        <v>0.26</v>
      </c>
      <c r="F25" s="100">
        <v>2.5</v>
      </c>
      <c r="G25" s="100">
        <v>17.46</v>
      </c>
      <c r="H25" s="100">
        <v>14.54</v>
      </c>
      <c r="I25" s="147" t="s">
        <v>14</v>
      </c>
      <c r="J25" s="100">
        <v>0.28999999999999998</v>
      </c>
      <c r="K25" s="100">
        <v>134.97999999999999</v>
      </c>
      <c r="L25" s="100">
        <v>22.06</v>
      </c>
      <c r="M25" s="100">
        <v>79.31</v>
      </c>
      <c r="N25" s="100">
        <v>23</v>
      </c>
      <c r="O25" s="100">
        <v>0</v>
      </c>
      <c r="P25" s="100">
        <v>0.43</v>
      </c>
      <c r="Q25" s="100">
        <v>26.75</v>
      </c>
      <c r="R25" s="6"/>
      <c r="S25" s="6"/>
      <c r="T25" s="156"/>
      <c r="U25" s="6"/>
    </row>
    <row r="26" spans="1:21" customFormat="1">
      <c r="A26" s="163" t="s">
        <v>353</v>
      </c>
      <c r="B26" s="100">
        <v>15.24</v>
      </c>
      <c r="C26" s="100">
        <v>35.61</v>
      </c>
      <c r="D26" s="100">
        <v>31.5</v>
      </c>
      <c r="E26" s="100">
        <v>0.01</v>
      </c>
      <c r="F26" s="100">
        <v>2.42</v>
      </c>
      <c r="G26" s="100">
        <v>17.46</v>
      </c>
      <c r="H26" s="100">
        <v>14.54</v>
      </c>
      <c r="I26" s="147" t="s">
        <v>14</v>
      </c>
      <c r="J26" s="100">
        <v>0.62</v>
      </c>
      <c r="K26" s="100">
        <v>50.41</v>
      </c>
      <c r="L26" s="100">
        <v>21.88</v>
      </c>
      <c r="M26" s="100">
        <v>80.53</v>
      </c>
      <c r="N26" s="100">
        <v>23</v>
      </c>
      <c r="O26" s="100">
        <v>0</v>
      </c>
      <c r="P26" s="100">
        <v>0.44</v>
      </c>
      <c r="Q26" s="100">
        <v>27.17</v>
      </c>
      <c r="R26" s="6"/>
      <c r="S26" s="6"/>
      <c r="T26" s="156"/>
      <c r="U26" s="6"/>
    </row>
    <row r="27" spans="1:21" customFormat="1">
      <c r="A27" s="163" t="s">
        <v>354</v>
      </c>
      <c r="B27" s="100">
        <v>15.19</v>
      </c>
      <c r="C27" s="100">
        <v>37.270000000000003</v>
      </c>
      <c r="D27" s="100">
        <v>32.33</v>
      </c>
      <c r="E27" s="100">
        <v>0</v>
      </c>
      <c r="F27" s="100">
        <v>2.3199999999999998</v>
      </c>
      <c r="G27" s="100">
        <v>17.46</v>
      </c>
      <c r="H27" s="100">
        <v>14.54</v>
      </c>
      <c r="I27" s="147" t="s">
        <v>14</v>
      </c>
      <c r="J27" s="100">
        <v>0.59</v>
      </c>
      <c r="K27" s="100">
        <v>66.069999999999993</v>
      </c>
      <c r="L27" s="100">
        <v>21.78</v>
      </c>
      <c r="M27" s="100">
        <v>80.819999999999993</v>
      </c>
      <c r="N27" s="100">
        <v>22.9</v>
      </c>
      <c r="O27" s="100">
        <v>0</v>
      </c>
      <c r="P27" s="100">
        <v>0.44</v>
      </c>
      <c r="Q27" s="100">
        <v>27.07</v>
      </c>
      <c r="R27" s="6"/>
      <c r="S27" s="6"/>
      <c r="T27" s="156"/>
      <c r="U27" s="6"/>
    </row>
    <row r="28" spans="1:21" customFormat="1">
      <c r="A28" s="163" t="s">
        <v>355</v>
      </c>
      <c r="B28" s="100">
        <v>15.09</v>
      </c>
      <c r="C28" s="100">
        <v>39.090000000000003</v>
      </c>
      <c r="D28" s="100">
        <v>33.200000000000003</v>
      </c>
      <c r="E28" s="100">
        <v>0.05</v>
      </c>
      <c r="F28" s="100">
        <v>2.44</v>
      </c>
      <c r="G28" s="100">
        <v>15</v>
      </c>
      <c r="H28" s="100">
        <v>12.37</v>
      </c>
      <c r="I28" s="147" t="s">
        <v>14</v>
      </c>
      <c r="J28" s="100">
        <v>0.85</v>
      </c>
      <c r="K28" s="100">
        <v>51.44</v>
      </c>
      <c r="L28" s="100">
        <v>21.83</v>
      </c>
      <c r="M28" s="100">
        <v>80.63</v>
      </c>
      <c r="N28" s="100">
        <v>22.8</v>
      </c>
      <c r="O28" s="100">
        <v>0</v>
      </c>
      <c r="P28" s="100">
        <v>0.44</v>
      </c>
      <c r="Q28" s="100">
        <v>27.02</v>
      </c>
      <c r="R28" s="6"/>
      <c r="S28" s="6"/>
      <c r="T28" s="156"/>
      <c r="U28" s="6"/>
    </row>
    <row r="29" spans="1:21" customFormat="1">
      <c r="A29" s="163" t="s">
        <v>356</v>
      </c>
      <c r="B29" s="100">
        <v>15.04</v>
      </c>
      <c r="C29" s="100">
        <v>39.67</v>
      </c>
      <c r="D29" s="100">
        <v>33.46</v>
      </c>
      <c r="E29" s="100">
        <v>0.41</v>
      </c>
      <c r="F29" s="100">
        <v>2.57</v>
      </c>
      <c r="G29" s="100">
        <v>12.74</v>
      </c>
      <c r="H29" s="100">
        <v>10.47</v>
      </c>
      <c r="I29" s="147" t="s">
        <v>14</v>
      </c>
      <c r="J29" s="100">
        <v>0.5</v>
      </c>
      <c r="K29" s="100">
        <v>102.24</v>
      </c>
      <c r="L29" s="100">
        <v>21.79</v>
      </c>
      <c r="M29" s="100">
        <v>80.86</v>
      </c>
      <c r="N29" s="100">
        <v>23.1</v>
      </c>
      <c r="O29" s="100">
        <v>0</v>
      </c>
      <c r="P29" s="100">
        <v>0.43</v>
      </c>
      <c r="Q29" s="100">
        <v>27.01</v>
      </c>
      <c r="R29" s="6"/>
      <c r="S29" s="6"/>
      <c r="T29" s="156"/>
      <c r="U29" s="6"/>
    </row>
    <row r="30" spans="1:21" customFormat="1">
      <c r="A30" s="163" t="s">
        <v>357</v>
      </c>
      <c r="B30" s="100">
        <v>14.98</v>
      </c>
      <c r="C30" s="100">
        <v>39.9</v>
      </c>
      <c r="D30" s="100">
        <v>33.53</v>
      </c>
      <c r="E30" s="100">
        <v>1.1100000000000001</v>
      </c>
      <c r="F30" s="100">
        <v>2.4900000000000002</v>
      </c>
      <c r="G30" s="100">
        <v>12.74</v>
      </c>
      <c r="H30" s="100">
        <v>10.47</v>
      </c>
      <c r="I30" s="147" t="s">
        <v>14</v>
      </c>
      <c r="J30" s="100">
        <v>0.55000000000000004</v>
      </c>
      <c r="K30" s="100">
        <v>73.09</v>
      </c>
      <c r="L30" s="100">
        <v>21.74</v>
      </c>
      <c r="M30" s="100">
        <v>81.09</v>
      </c>
      <c r="N30" s="100">
        <v>24.5</v>
      </c>
      <c r="O30" s="100">
        <v>0</v>
      </c>
      <c r="P30" s="100">
        <v>0.45</v>
      </c>
      <c r="Q30" s="100">
        <v>27</v>
      </c>
      <c r="R30" s="6"/>
      <c r="S30" s="6"/>
      <c r="T30" s="156"/>
      <c r="U30" s="6"/>
    </row>
    <row r="31" spans="1:21" customFormat="1">
      <c r="A31" s="163" t="s">
        <v>358</v>
      </c>
      <c r="B31" s="100">
        <v>15.21</v>
      </c>
      <c r="C31" s="100">
        <v>39.1</v>
      </c>
      <c r="D31" s="100">
        <v>33.299999999999997</v>
      </c>
      <c r="E31" s="100">
        <v>1.32</v>
      </c>
      <c r="F31" s="100">
        <v>2.4500000000000002</v>
      </c>
      <c r="G31" s="100">
        <v>12.74</v>
      </c>
      <c r="H31" s="100">
        <v>10.47</v>
      </c>
      <c r="I31" s="147" t="s">
        <v>14</v>
      </c>
      <c r="J31" s="100">
        <v>0.52</v>
      </c>
      <c r="K31" s="100">
        <v>66.52</v>
      </c>
      <c r="L31" s="100">
        <v>21.81</v>
      </c>
      <c r="M31" s="100">
        <v>81.099999999999994</v>
      </c>
      <c r="N31" s="100">
        <v>30.5</v>
      </c>
      <c r="O31" s="100">
        <v>0</v>
      </c>
      <c r="P31" s="100">
        <v>0.45</v>
      </c>
      <c r="Q31" s="100">
        <v>27</v>
      </c>
      <c r="R31" s="6"/>
      <c r="S31" s="6"/>
      <c r="T31" s="156"/>
      <c r="U31" s="6"/>
    </row>
    <row r="32" spans="1:21" customFormat="1">
      <c r="A32" s="163" t="s">
        <v>359</v>
      </c>
      <c r="B32" s="100">
        <v>15.5</v>
      </c>
      <c r="C32" s="100">
        <v>37.19</v>
      </c>
      <c r="D32" s="100">
        <v>32.54</v>
      </c>
      <c r="E32" s="100">
        <v>0.9</v>
      </c>
      <c r="F32" s="100">
        <v>2.2200000000000002</v>
      </c>
      <c r="G32" s="100">
        <v>20.04</v>
      </c>
      <c r="H32" s="100">
        <v>10.57</v>
      </c>
      <c r="I32" s="147" t="s">
        <v>14</v>
      </c>
      <c r="J32" s="100">
        <v>0.3</v>
      </c>
      <c r="K32" s="100">
        <v>98.87</v>
      </c>
      <c r="L32" s="100">
        <v>21.82</v>
      </c>
      <c r="M32" s="100">
        <v>81.62</v>
      </c>
      <c r="N32" s="100">
        <v>40.299999999999997</v>
      </c>
      <c r="O32" s="100">
        <v>0</v>
      </c>
      <c r="P32" s="100">
        <v>0.44</v>
      </c>
      <c r="Q32" s="100">
        <v>27.09</v>
      </c>
      <c r="R32" s="6"/>
      <c r="S32" s="6"/>
      <c r="T32" s="156"/>
      <c r="U32" s="6"/>
    </row>
    <row r="33" spans="1:21" customFormat="1">
      <c r="A33" s="163" t="s">
        <v>360</v>
      </c>
      <c r="B33" s="100">
        <v>16.04</v>
      </c>
      <c r="C33" s="100">
        <v>37.15</v>
      </c>
      <c r="D33" s="100">
        <v>32.950000000000003</v>
      </c>
      <c r="E33" s="100">
        <v>0.79</v>
      </c>
      <c r="F33" s="100">
        <v>2.2799999999999998</v>
      </c>
      <c r="G33" s="100">
        <v>26.44</v>
      </c>
      <c r="H33" s="100">
        <v>10.66</v>
      </c>
      <c r="I33" s="147" t="s">
        <v>14</v>
      </c>
      <c r="J33" s="100">
        <v>0.3</v>
      </c>
      <c r="K33" s="100">
        <v>33.729999999999997</v>
      </c>
      <c r="L33" s="100">
        <v>22.13</v>
      </c>
      <c r="M33" s="100">
        <v>80.48</v>
      </c>
      <c r="N33" s="100">
        <v>50.8</v>
      </c>
      <c r="O33" s="100">
        <v>0</v>
      </c>
      <c r="P33" s="100">
        <v>0.43</v>
      </c>
      <c r="Q33" s="100">
        <v>27.07</v>
      </c>
      <c r="R33" s="6"/>
      <c r="S33" s="6"/>
      <c r="T33" s="156"/>
      <c r="U33" s="6"/>
    </row>
    <row r="34" spans="1:21" customFormat="1">
      <c r="A34" s="163" t="s">
        <v>361</v>
      </c>
      <c r="B34" s="100">
        <v>16.48</v>
      </c>
      <c r="C34" s="100">
        <v>37.56</v>
      </c>
      <c r="D34" s="100">
        <v>33.520000000000003</v>
      </c>
      <c r="E34" s="100">
        <v>1.22</v>
      </c>
      <c r="F34" s="100">
        <v>2.4900000000000002</v>
      </c>
      <c r="G34" s="100">
        <v>26.44</v>
      </c>
      <c r="H34" s="100">
        <v>10.66</v>
      </c>
      <c r="I34" s="147" t="s">
        <v>14</v>
      </c>
      <c r="J34" s="100">
        <v>0.45</v>
      </c>
      <c r="K34" s="100">
        <v>83.34</v>
      </c>
      <c r="L34" s="100">
        <v>22.46</v>
      </c>
      <c r="M34" s="100">
        <v>78.599999999999994</v>
      </c>
      <c r="N34" s="100">
        <v>61.3</v>
      </c>
      <c r="O34" s="100">
        <v>0</v>
      </c>
      <c r="P34" s="100">
        <v>0.44</v>
      </c>
      <c r="Q34" s="100">
        <v>27.06</v>
      </c>
      <c r="R34" s="6"/>
      <c r="S34" s="6"/>
      <c r="T34" s="156"/>
      <c r="U34" s="6"/>
    </row>
    <row r="35" spans="1:21" customFormat="1">
      <c r="A35" s="163" t="s">
        <v>362</v>
      </c>
      <c r="B35" s="100">
        <v>17.04</v>
      </c>
      <c r="C35" s="100">
        <v>38.520000000000003</v>
      </c>
      <c r="D35" s="100">
        <v>34.46</v>
      </c>
      <c r="E35" s="100">
        <v>1.25</v>
      </c>
      <c r="F35" s="100">
        <v>2.6</v>
      </c>
      <c r="G35" s="100">
        <v>26.44</v>
      </c>
      <c r="H35" s="100">
        <v>10.66</v>
      </c>
      <c r="I35" s="147" t="s">
        <v>14</v>
      </c>
      <c r="J35" s="100">
        <v>0.5</v>
      </c>
      <c r="K35" s="100">
        <v>130.4</v>
      </c>
      <c r="L35" s="100">
        <v>22.85</v>
      </c>
      <c r="M35" s="100">
        <v>76.459999999999994</v>
      </c>
      <c r="N35" s="100">
        <v>72.2</v>
      </c>
      <c r="O35" s="100">
        <v>0</v>
      </c>
      <c r="P35" s="100">
        <v>0.43</v>
      </c>
      <c r="Q35" s="100">
        <v>26.92</v>
      </c>
      <c r="R35" s="6"/>
      <c r="S35" s="6"/>
      <c r="T35" s="156"/>
      <c r="U35" s="6"/>
    </row>
    <row r="36" spans="1:21" customFormat="1">
      <c r="A36" s="163" t="s">
        <v>363</v>
      </c>
      <c r="B36" s="100">
        <v>17.170000000000002</v>
      </c>
      <c r="C36" s="100">
        <v>39.08</v>
      </c>
      <c r="D36" s="100">
        <v>34.869999999999997</v>
      </c>
      <c r="E36" s="100">
        <v>0.84</v>
      </c>
      <c r="F36" s="100">
        <v>2.64</v>
      </c>
      <c r="G36" s="100">
        <v>26.72</v>
      </c>
      <c r="H36" s="100">
        <v>11.99</v>
      </c>
      <c r="I36" s="147" t="s">
        <v>14</v>
      </c>
      <c r="J36" s="100">
        <v>0.47</v>
      </c>
      <c r="K36" s="100">
        <v>131.80000000000001</v>
      </c>
      <c r="L36" s="100">
        <v>23.4</v>
      </c>
      <c r="M36" s="100">
        <v>74.040000000000006</v>
      </c>
      <c r="N36" s="100">
        <v>85.8</v>
      </c>
      <c r="O36" s="100">
        <v>0</v>
      </c>
      <c r="P36" s="100">
        <v>0.43</v>
      </c>
      <c r="Q36" s="100">
        <v>26.86</v>
      </c>
      <c r="R36" s="6"/>
      <c r="S36" s="6"/>
      <c r="T36" s="156"/>
      <c r="U36" s="6"/>
    </row>
    <row r="37" spans="1:21" customFormat="1">
      <c r="A37" s="163" t="s">
        <v>364</v>
      </c>
      <c r="B37" s="100">
        <v>17.21</v>
      </c>
      <c r="C37" s="100">
        <v>39.51</v>
      </c>
      <c r="D37" s="100">
        <v>35.119999999999997</v>
      </c>
      <c r="E37" s="100">
        <v>1.1399999999999999</v>
      </c>
      <c r="F37" s="100">
        <v>2.69</v>
      </c>
      <c r="G37" s="100">
        <v>26.97</v>
      </c>
      <c r="H37" s="100">
        <v>13.16</v>
      </c>
      <c r="I37" s="147" t="s">
        <v>14</v>
      </c>
      <c r="J37" s="100">
        <v>0.25</v>
      </c>
      <c r="K37" s="100">
        <v>182.63</v>
      </c>
      <c r="L37" s="100">
        <v>23.91</v>
      </c>
      <c r="M37" s="100">
        <v>70.569999999999993</v>
      </c>
      <c r="N37" s="100">
        <v>99.9</v>
      </c>
      <c r="O37" s="100">
        <v>0</v>
      </c>
      <c r="P37" s="100">
        <v>0.43</v>
      </c>
      <c r="Q37" s="100">
        <v>26.81</v>
      </c>
      <c r="R37" s="6"/>
      <c r="S37" s="6"/>
      <c r="T37" s="156"/>
      <c r="U37" s="6"/>
    </row>
    <row r="38" spans="1:21" customFormat="1">
      <c r="A38" s="163" t="s">
        <v>365</v>
      </c>
      <c r="B38" s="100">
        <v>17.25</v>
      </c>
      <c r="C38" s="100">
        <v>37.32</v>
      </c>
      <c r="D38" s="100">
        <v>34.01</v>
      </c>
      <c r="E38" s="100">
        <v>1.22</v>
      </c>
      <c r="F38" s="100">
        <v>2.5299999999999998</v>
      </c>
      <c r="G38" s="100">
        <v>26.97</v>
      </c>
      <c r="H38" s="100">
        <v>13.16</v>
      </c>
      <c r="I38" s="147" t="s">
        <v>14</v>
      </c>
      <c r="J38" s="100">
        <v>0.72</v>
      </c>
      <c r="K38" s="100">
        <v>37.03</v>
      </c>
      <c r="L38" s="100">
        <v>24.1</v>
      </c>
      <c r="M38" s="100">
        <v>70</v>
      </c>
      <c r="N38" s="100">
        <v>132.19999999999999</v>
      </c>
      <c r="O38" s="100">
        <v>0</v>
      </c>
      <c r="P38" s="100">
        <v>0.43</v>
      </c>
      <c r="Q38" s="100">
        <v>26.84</v>
      </c>
      <c r="R38" s="6"/>
      <c r="S38" s="6"/>
      <c r="T38" s="156"/>
      <c r="U38" s="6"/>
    </row>
    <row r="39" spans="1:21" customFormat="1">
      <c r="A39" s="163" t="s">
        <v>366</v>
      </c>
      <c r="B39" s="100">
        <v>17.03</v>
      </c>
      <c r="C39" s="100">
        <v>33.94</v>
      </c>
      <c r="D39" s="100">
        <v>32.06</v>
      </c>
      <c r="E39" s="100">
        <v>0.97</v>
      </c>
      <c r="F39" s="100">
        <v>2.69</v>
      </c>
      <c r="G39" s="100">
        <v>26.97</v>
      </c>
      <c r="H39" s="100">
        <v>13.16</v>
      </c>
      <c r="I39" s="147" t="s">
        <v>14</v>
      </c>
      <c r="J39" s="100">
        <v>0.74</v>
      </c>
      <c r="K39" s="100">
        <v>36.68</v>
      </c>
      <c r="L39" s="100">
        <v>24.57</v>
      </c>
      <c r="M39" s="100">
        <v>68.88</v>
      </c>
      <c r="N39" s="100">
        <v>136.1</v>
      </c>
      <c r="O39" s="100">
        <v>0</v>
      </c>
      <c r="P39" s="100">
        <v>0.44</v>
      </c>
      <c r="Q39" s="100">
        <v>26.96</v>
      </c>
      <c r="R39" s="6"/>
      <c r="S39" s="6"/>
      <c r="T39" s="156"/>
      <c r="U39" s="6"/>
    </row>
    <row r="40" spans="1:21" customFormat="1">
      <c r="A40" s="163" t="s">
        <v>367</v>
      </c>
      <c r="B40" s="100">
        <v>16.68</v>
      </c>
      <c r="C40" s="100">
        <v>35.479999999999997</v>
      </c>
      <c r="D40" s="100">
        <v>32.58</v>
      </c>
      <c r="E40" s="100">
        <v>0.82</v>
      </c>
      <c r="F40" s="100">
        <v>3.23</v>
      </c>
      <c r="G40" s="100">
        <v>29.2</v>
      </c>
      <c r="H40" s="100">
        <v>12.89</v>
      </c>
      <c r="I40" s="147" t="s">
        <v>14</v>
      </c>
      <c r="J40" s="100">
        <v>0.68</v>
      </c>
      <c r="K40" s="100">
        <v>26.39</v>
      </c>
      <c r="L40" s="100">
        <v>25.03</v>
      </c>
      <c r="M40" s="100">
        <v>66.849999999999994</v>
      </c>
      <c r="N40" s="100">
        <v>170.5</v>
      </c>
      <c r="O40" s="100">
        <v>0</v>
      </c>
      <c r="P40" s="100">
        <v>0.47</v>
      </c>
      <c r="Q40" s="100">
        <v>26.94</v>
      </c>
      <c r="R40" s="6"/>
      <c r="S40" s="6"/>
      <c r="T40" s="156"/>
      <c r="U40" s="6"/>
    </row>
    <row r="41" spans="1:21" customFormat="1">
      <c r="A41" s="163" t="s">
        <v>368</v>
      </c>
      <c r="B41" s="100">
        <v>16.5</v>
      </c>
      <c r="C41" s="100">
        <v>38.07</v>
      </c>
      <c r="D41" s="100">
        <v>33.799999999999997</v>
      </c>
      <c r="E41" s="100">
        <v>1.26</v>
      </c>
      <c r="F41" s="100">
        <v>3.14</v>
      </c>
      <c r="G41" s="100">
        <v>31.15</v>
      </c>
      <c r="H41" s="100">
        <v>12.65</v>
      </c>
      <c r="I41" s="147" t="s">
        <v>14</v>
      </c>
      <c r="J41" s="100">
        <v>0.78</v>
      </c>
      <c r="K41" s="100">
        <v>35.68</v>
      </c>
      <c r="L41" s="100">
        <v>25.26</v>
      </c>
      <c r="M41" s="100">
        <v>65.569999999999993</v>
      </c>
      <c r="N41" s="100">
        <v>328.3</v>
      </c>
      <c r="O41" s="100">
        <v>0</v>
      </c>
      <c r="P41" s="100">
        <v>0.48</v>
      </c>
      <c r="Q41" s="100">
        <v>26.81</v>
      </c>
      <c r="R41" s="6"/>
      <c r="S41" s="6"/>
      <c r="T41" s="156"/>
      <c r="U41" s="6"/>
    </row>
    <row r="42" spans="1:21" customFormat="1">
      <c r="A42" s="163" t="s">
        <v>369</v>
      </c>
      <c r="B42" s="100">
        <v>16.34</v>
      </c>
      <c r="C42" s="100">
        <v>38.35</v>
      </c>
      <c r="D42" s="100">
        <v>33.81</v>
      </c>
      <c r="E42" s="100">
        <v>0.78</v>
      </c>
      <c r="F42" s="100">
        <v>2.87</v>
      </c>
      <c r="G42" s="100">
        <v>31.15</v>
      </c>
      <c r="H42" s="100">
        <v>12.65</v>
      </c>
      <c r="I42" s="147" t="s">
        <v>14</v>
      </c>
      <c r="J42" s="100">
        <v>0.83</v>
      </c>
      <c r="K42" s="100">
        <v>27.98</v>
      </c>
      <c r="L42" s="100">
        <v>26.14</v>
      </c>
      <c r="M42" s="100">
        <v>63.32</v>
      </c>
      <c r="N42" s="100">
        <v>335.1</v>
      </c>
      <c r="O42" s="100">
        <v>0</v>
      </c>
      <c r="P42" s="100">
        <v>0.5</v>
      </c>
      <c r="Q42" s="100">
        <v>26.8</v>
      </c>
      <c r="R42" s="6"/>
      <c r="S42" s="6"/>
      <c r="T42" s="156"/>
      <c r="U42" s="6"/>
    </row>
    <row r="43" spans="1:21" customFormat="1">
      <c r="A43" s="163" t="s">
        <v>370</v>
      </c>
      <c r="B43" s="100">
        <v>16.53</v>
      </c>
      <c r="C43" s="100">
        <v>37.659999999999997</v>
      </c>
      <c r="D43" s="100">
        <v>33.61</v>
      </c>
      <c r="E43" s="100">
        <v>1.35</v>
      </c>
      <c r="F43" s="100">
        <v>2.8</v>
      </c>
      <c r="G43" s="100">
        <v>31.15</v>
      </c>
      <c r="H43" s="100">
        <v>12.65</v>
      </c>
      <c r="I43" s="147" t="s">
        <v>14</v>
      </c>
      <c r="J43" s="100">
        <v>0.88</v>
      </c>
      <c r="K43" s="100">
        <v>32.090000000000003</v>
      </c>
      <c r="L43" s="100">
        <v>26.44</v>
      </c>
      <c r="M43" s="100">
        <v>62.11</v>
      </c>
      <c r="N43" s="100">
        <v>254</v>
      </c>
      <c r="O43" s="100">
        <v>0</v>
      </c>
      <c r="P43" s="100">
        <v>0.53</v>
      </c>
      <c r="Q43" s="100">
        <v>26.81</v>
      </c>
      <c r="R43" s="6"/>
      <c r="S43" s="6"/>
      <c r="T43" s="156"/>
      <c r="U43" s="6"/>
    </row>
    <row r="44" spans="1:21" customFormat="1">
      <c r="A44" s="163" t="s">
        <v>371</v>
      </c>
      <c r="B44" s="100">
        <v>16.739999999999998</v>
      </c>
      <c r="C44" s="100">
        <v>36.94</v>
      </c>
      <c r="D44" s="100">
        <v>33.4</v>
      </c>
      <c r="E44" s="100">
        <v>1.28</v>
      </c>
      <c r="F44" s="100">
        <v>3.23</v>
      </c>
      <c r="G44" s="100">
        <v>51.03</v>
      </c>
      <c r="H44" s="100">
        <v>15.59</v>
      </c>
      <c r="I44" s="147" t="s">
        <v>14</v>
      </c>
      <c r="J44" s="100">
        <v>0.37</v>
      </c>
      <c r="K44" s="100">
        <v>27.56</v>
      </c>
      <c r="L44" s="100">
        <v>27.14</v>
      </c>
      <c r="M44" s="100">
        <v>59.64</v>
      </c>
      <c r="N44" s="100">
        <v>277.2</v>
      </c>
      <c r="O44" s="100">
        <v>0</v>
      </c>
      <c r="P44" s="100">
        <v>0.56999999999999995</v>
      </c>
      <c r="Q44" s="100">
        <v>26.83</v>
      </c>
      <c r="R44" s="6"/>
      <c r="S44" s="6"/>
      <c r="T44" s="156"/>
      <c r="U44" s="6"/>
    </row>
    <row r="45" spans="1:21" customFormat="1">
      <c r="A45" s="163" t="s">
        <v>372</v>
      </c>
      <c r="B45" s="100">
        <v>17.05</v>
      </c>
      <c r="C45" s="100">
        <v>41.54</v>
      </c>
      <c r="D45" s="100">
        <v>36.049999999999997</v>
      </c>
      <c r="E45" s="100">
        <v>1.03</v>
      </c>
      <c r="F45" s="100">
        <v>2.81</v>
      </c>
      <c r="G45" s="100">
        <v>68.430000000000007</v>
      </c>
      <c r="H45" s="100">
        <v>18.170000000000002</v>
      </c>
      <c r="I45" s="147" t="s">
        <v>14</v>
      </c>
      <c r="J45" s="100">
        <v>0.63</v>
      </c>
      <c r="K45" s="100">
        <v>161.71</v>
      </c>
      <c r="L45" s="100">
        <v>28.19</v>
      </c>
      <c r="M45" s="100">
        <v>55.69</v>
      </c>
      <c r="N45" s="100">
        <v>210.2</v>
      </c>
      <c r="O45" s="100">
        <v>0</v>
      </c>
      <c r="P45" s="100">
        <v>0.56999999999999995</v>
      </c>
      <c r="Q45" s="100">
        <v>26.66</v>
      </c>
      <c r="R45" s="6"/>
      <c r="S45" s="6"/>
      <c r="T45" s="156"/>
      <c r="U45" s="6"/>
    </row>
    <row r="46" spans="1:21" customFormat="1">
      <c r="A46" s="163" t="s">
        <v>373</v>
      </c>
      <c r="B46" s="100">
        <v>17.27</v>
      </c>
      <c r="C46" s="100">
        <v>41.77</v>
      </c>
      <c r="D46" s="100">
        <v>36.35</v>
      </c>
      <c r="E46" s="100">
        <v>1.23</v>
      </c>
      <c r="F46" s="100">
        <v>2.67</v>
      </c>
      <c r="G46" s="100">
        <v>68.430000000000007</v>
      </c>
      <c r="H46" s="100">
        <v>18.170000000000002</v>
      </c>
      <c r="I46" s="147" t="s">
        <v>14</v>
      </c>
      <c r="J46" s="100">
        <v>0.19</v>
      </c>
      <c r="K46" s="100">
        <v>329.36</v>
      </c>
      <c r="L46" s="100">
        <v>27.97</v>
      </c>
      <c r="M46" s="100">
        <v>55.03</v>
      </c>
      <c r="N46" s="100">
        <v>259.2</v>
      </c>
      <c r="O46" s="100">
        <v>0</v>
      </c>
      <c r="P46" s="100">
        <v>0.56999999999999995</v>
      </c>
      <c r="Q46" s="100">
        <v>26.65</v>
      </c>
      <c r="R46" s="6"/>
      <c r="S46" s="6"/>
      <c r="T46" s="156"/>
      <c r="U46" s="6"/>
    </row>
    <row r="47" spans="1:21" customFormat="1">
      <c r="A47" s="163" t="s">
        <v>374</v>
      </c>
      <c r="B47" s="100">
        <v>17.350000000000001</v>
      </c>
      <c r="C47" s="100">
        <v>41.44</v>
      </c>
      <c r="D47" s="100">
        <v>36.24</v>
      </c>
      <c r="E47" s="100">
        <v>1.21</v>
      </c>
      <c r="F47" s="100">
        <v>3</v>
      </c>
      <c r="G47" s="100">
        <v>68.430000000000007</v>
      </c>
      <c r="H47" s="100">
        <v>18.170000000000002</v>
      </c>
      <c r="I47" s="147" t="s">
        <v>14</v>
      </c>
      <c r="J47" s="100">
        <v>0.55000000000000004</v>
      </c>
      <c r="K47" s="100">
        <v>15</v>
      </c>
      <c r="L47" s="100">
        <v>28.56</v>
      </c>
      <c r="M47" s="100">
        <v>53.22</v>
      </c>
      <c r="N47" s="100">
        <v>503.9</v>
      </c>
      <c r="O47" s="100">
        <v>0</v>
      </c>
      <c r="P47" s="100">
        <v>0.59</v>
      </c>
      <c r="Q47" s="100">
        <v>26.64</v>
      </c>
      <c r="R47" s="6"/>
      <c r="S47" s="6"/>
      <c r="T47" s="156"/>
      <c r="U47" s="6"/>
    </row>
    <row r="48" spans="1:21" customFormat="1">
      <c r="A48" s="163" t="s">
        <v>375</v>
      </c>
      <c r="B48" s="100">
        <v>17.57</v>
      </c>
      <c r="C48" s="100">
        <v>41.4</v>
      </c>
      <c r="D48" s="100">
        <v>36.4</v>
      </c>
      <c r="E48" s="100">
        <v>1.23</v>
      </c>
      <c r="F48" s="100">
        <v>2.75</v>
      </c>
      <c r="G48" s="100">
        <v>89.37</v>
      </c>
      <c r="H48" s="100">
        <v>24.46</v>
      </c>
      <c r="I48" s="147" t="s">
        <v>14</v>
      </c>
      <c r="J48" s="100">
        <v>0.44</v>
      </c>
      <c r="K48" s="100">
        <v>51.93</v>
      </c>
      <c r="L48" s="100">
        <v>29.76</v>
      </c>
      <c r="M48" s="100">
        <v>51.04</v>
      </c>
      <c r="N48" s="100">
        <v>629.29999999999995</v>
      </c>
      <c r="O48" s="100">
        <v>0</v>
      </c>
      <c r="P48" s="100">
        <v>0.59</v>
      </c>
      <c r="Q48" s="100">
        <v>26.6</v>
      </c>
      <c r="R48" s="6"/>
      <c r="S48" s="6"/>
      <c r="T48" s="156"/>
      <c r="U48" s="6"/>
    </row>
    <row r="49" spans="1:21" customFormat="1">
      <c r="A49" s="163" t="s">
        <v>376</v>
      </c>
      <c r="B49" s="100">
        <v>18.04</v>
      </c>
      <c r="C49" s="100">
        <v>41.54</v>
      </c>
      <c r="D49" s="100">
        <v>36.840000000000003</v>
      </c>
      <c r="E49" s="100">
        <v>1.41</v>
      </c>
      <c r="F49" s="100">
        <v>2.57</v>
      </c>
      <c r="G49" s="100">
        <v>107.7</v>
      </c>
      <c r="H49" s="100">
        <v>29.97</v>
      </c>
      <c r="I49" s="147" t="s">
        <v>14</v>
      </c>
      <c r="J49" s="100">
        <v>0.69</v>
      </c>
      <c r="K49" s="100">
        <v>326.89</v>
      </c>
      <c r="L49" s="100">
        <v>29.8</v>
      </c>
      <c r="M49" s="100">
        <v>50.37</v>
      </c>
      <c r="N49" s="100">
        <v>652.79999999999995</v>
      </c>
      <c r="O49" s="100">
        <v>0</v>
      </c>
      <c r="P49" s="100">
        <v>0.61</v>
      </c>
      <c r="Q49" s="100">
        <v>26.52</v>
      </c>
      <c r="R49" s="6"/>
      <c r="S49" s="6"/>
      <c r="T49" s="156"/>
      <c r="U49" s="6"/>
    </row>
    <row r="50" spans="1:21" customFormat="1">
      <c r="A50" s="163" t="s">
        <v>377</v>
      </c>
      <c r="B50" s="100">
        <v>18.32</v>
      </c>
      <c r="C50" s="100">
        <v>40.020000000000003</v>
      </c>
      <c r="D50" s="100">
        <v>36.28</v>
      </c>
      <c r="E50" s="100">
        <v>1.73</v>
      </c>
      <c r="F50" s="100">
        <v>2.72</v>
      </c>
      <c r="G50" s="100">
        <v>107.7</v>
      </c>
      <c r="H50" s="100">
        <v>29.97</v>
      </c>
      <c r="I50" s="147" t="s">
        <v>14</v>
      </c>
      <c r="J50" s="100">
        <v>0.65</v>
      </c>
      <c r="K50" s="100">
        <v>286.16000000000003</v>
      </c>
      <c r="L50" s="100">
        <v>30.01</v>
      </c>
      <c r="M50" s="100">
        <v>50.55</v>
      </c>
      <c r="N50" s="100">
        <v>656.4</v>
      </c>
      <c r="O50" s="100">
        <v>0</v>
      </c>
      <c r="P50" s="100">
        <v>0.63</v>
      </c>
      <c r="Q50" s="100">
        <v>26.61</v>
      </c>
      <c r="R50" s="6"/>
      <c r="S50" s="6"/>
      <c r="T50" s="156"/>
      <c r="U50" s="6"/>
    </row>
    <row r="51" spans="1:21" customFormat="1">
      <c r="A51" s="163" t="s">
        <v>378</v>
      </c>
      <c r="B51" s="100">
        <v>17.93</v>
      </c>
      <c r="C51" s="100">
        <v>38.799999999999997</v>
      </c>
      <c r="D51" s="100">
        <v>35.33</v>
      </c>
      <c r="E51" s="100">
        <v>3.59</v>
      </c>
      <c r="F51" s="100">
        <v>6.63</v>
      </c>
      <c r="G51" s="100">
        <v>107.7</v>
      </c>
      <c r="H51" s="100">
        <v>29.97</v>
      </c>
      <c r="I51" s="147" t="s">
        <v>14</v>
      </c>
      <c r="J51" s="100">
        <v>0.45</v>
      </c>
      <c r="K51" s="100">
        <v>335.1</v>
      </c>
      <c r="L51" s="100">
        <v>30.55</v>
      </c>
      <c r="M51" s="100">
        <v>49.56</v>
      </c>
      <c r="N51" s="100">
        <v>688.2</v>
      </c>
      <c r="O51" s="100">
        <v>0</v>
      </c>
      <c r="P51" s="100">
        <v>0.67</v>
      </c>
      <c r="Q51" s="100">
        <v>26.59</v>
      </c>
      <c r="R51" s="6"/>
      <c r="S51" s="6"/>
      <c r="T51" s="156"/>
      <c r="U51" s="6"/>
    </row>
    <row r="52" spans="1:21" customFormat="1">
      <c r="A52" s="163" t="s">
        <v>379</v>
      </c>
      <c r="B52" s="100">
        <v>17.66</v>
      </c>
      <c r="C52" s="100">
        <v>31.6</v>
      </c>
      <c r="D52" s="100">
        <v>31.34</v>
      </c>
      <c r="E52" s="100">
        <v>3.79</v>
      </c>
      <c r="F52" s="100">
        <v>7.98</v>
      </c>
      <c r="G52" s="100">
        <v>115.65</v>
      </c>
      <c r="H52" s="100">
        <v>34.92</v>
      </c>
      <c r="I52" s="147" t="s">
        <v>14</v>
      </c>
      <c r="J52" s="100">
        <v>1.1100000000000001</v>
      </c>
      <c r="K52" s="100">
        <v>18.600000000000001</v>
      </c>
      <c r="L52" s="100">
        <v>30.84</v>
      </c>
      <c r="M52" s="100">
        <v>48.81</v>
      </c>
      <c r="N52" s="100">
        <v>713.9</v>
      </c>
      <c r="O52" s="100">
        <v>0</v>
      </c>
      <c r="P52" s="100">
        <v>0.67</v>
      </c>
      <c r="Q52" s="100">
        <v>26.91</v>
      </c>
      <c r="R52" s="6"/>
      <c r="S52" s="6"/>
      <c r="T52" s="156"/>
      <c r="U52" s="6"/>
    </row>
    <row r="53" spans="1:21" customFormat="1">
      <c r="A53" s="163" t="s">
        <v>380</v>
      </c>
      <c r="B53" s="100">
        <v>17.3</v>
      </c>
      <c r="C53" s="100">
        <v>30.79</v>
      </c>
      <c r="D53" s="100">
        <v>30.64</v>
      </c>
      <c r="E53" s="100">
        <v>1.1100000000000001</v>
      </c>
      <c r="F53" s="100">
        <v>5.19</v>
      </c>
      <c r="G53" s="100">
        <v>122.6</v>
      </c>
      <c r="H53" s="100">
        <v>39.25</v>
      </c>
      <c r="I53" s="147" t="s">
        <v>14</v>
      </c>
      <c r="J53" s="100">
        <v>0.74</v>
      </c>
      <c r="K53" s="100">
        <v>352.33</v>
      </c>
      <c r="L53" s="100">
        <v>31.14</v>
      </c>
      <c r="M53" s="100">
        <v>47.38</v>
      </c>
      <c r="N53" s="100">
        <v>765.7</v>
      </c>
      <c r="O53" s="100">
        <v>0</v>
      </c>
      <c r="P53" s="100">
        <v>0.62</v>
      </c>
      <c r="Q53" s="100">
        <v>27</v>
      </c>
      <c r="R53" s="6"/>
      <c r="S53" s="6"/>
      <c r="T53" s="156"/>
      <c r="U53" s="6"/>
    </row>
    <row r="54" spans="1:21" customFormat="1">
      <c r="A54" s="163" t="s">
        <v>381</v>
      </c>
      <c r="B54" s="100">
        <v>16.940000000000001</v>
      </c>
      <c r="C54" s="100">
        <v>31.58</v>
      </c>
      <c r="D54" s="100">
        <v>30.76</v>
      </c>
      <c r="E54" s="100">
        <v>2.85</v>
      </c>
      <c r="F54" s="100">
        <v>6.54</v>
      </c>
      <c r="G54" s="100">
        <v>122.6</v>
      </c>
      <c r="H54" s="100">
        <v>39.25</v>
      </c>
      <c r="I54" s="147" t="s">
        <v>14</v>
      </c>
      <c r="J54" s="100">
        <v>0.57999999999999996</v>
      </c>
      <c r="K54" s="100">
        <v>280.79000000000002</v>
      </c>
      <c r="L54" s="100">
        <v>31.36</v>
      </c>
      <c r="M54" s="100">
        <v>45.68</v>
      </c>
      <c r="N54" s="100">
        <v>791.3</v>
      </c>
      <c r="O54" s="100">
        <v>0</v>
      </c>
      <c r="P54" s="100">
        <v>0.66</v>
      </c>
      <c r="Q54" s="100">
        <v>27.02</v>
      </c>
      <c r="R54" s="6"/>
      <c r="S54" s="6"/>
      <c r="T54" s="156"/>
      <c r="U54" s="6"/>
    </row>
    <row r="55" spans="1:21" customFormat="1">
      <c r="A55" s="163" t="s">
        <v>382</v>
      </c>
      <c r="B55" s="100">
        <v>15.87</v>
      </c>
      <c r="C55" s="100">
        <v>31</v>
      </c>
      <c r="D55" s="100">
        <v>29.6</v>
      </c>
      <c r="E55" s="100">
        <v>2.86</v>
      </c>
      <c r="F55" s="100">
        <v>8.42</v>
      </c>
      <c r="G55" s="100">
        <v>122.6</v>
      </c>
      <c r="H55" s="100">
        <v>39.25</v>
      </c>
      <c r="I55" s="147" t="s">
        <v>14</v>
      </c>
      <c r="J55" s="100">
        <v>0.73</v>
      </c>
      <c r="K55" s="100">
        <v>323.2</v>
      </c>
      <c r="L55" s="100">
        <v>31.98</v>
      </c>
      <c r="M55" s="100">
        <v>43.05</v>
      </c>
      <c r="N55" s="100">
        <v>801.9</v>
      </c>
      <c r="O55" s="100">
        <v>0</v>
      </c>
      <c r="P55" s="100">
        <v>0.67</v>
      </c>
      <c r="Q55" s="100">
        <v>27.09</v>
      </c>
      <c r="R55" s="6"/>
      <c r="S55" s="6"/>
      <c r="T55" s="156"/>
      <c r="U55" s="6"/>
    </row>
    <row r="56" spans="1:21" customFormat="1">
      <c r="A56" s="163" t="s">
        <v>383</v>
      </c>
      <c r="B56" s="100">
        <v>13.84</v>
      </c>
      <c r="C56" s="100">
        <v>31.29</v>
      </c>
      <c r="D56" s="100">
        <v>28.13</v>
      </c>
      <c r="E56" s="100">
        <v>2.93</v>
      </c>
      <c r="F56" s="100">
        <v>13.23</v>
      </c>
      <c r="G56" s="100">
        <v>119.53</v>
      </c>
      <c r="H56" s="100">
        <v>39.64</v>
      </c>
      <c r="I56" s="147" t="s">
        <v>14</v>
      </c>
      <c r="J56" s="100">
        <v>0.87</v>
      </c>
      <c r="K56" s="100">
        <v>1.22</v>
      </c>
      <c r="L56" s="100">
        <v>32.9</v>
      </c>
      <c r="M56" s="100">
        <v>41.14</v>
      </c>
      <c r="N56" s="100">
        <v>815.9</v>
      </c>
      <c r="O56" s="100">
        <v>0</v>
      </c>
      <c r="P56" s="100">
        <v>0.68</v>
      </c>
      <c r="Q56" s="100">
        <v>27.19</v>
      </c>
      <c r="R56" s="6"/>
      <c r="S56" s="6"/>
      <c r="T56" s="156"/>
      <c r="U56" s="6"/>
    </row>
    <row r="57" spans="1:21" customFormat="1">
      <c r="A57" s="163" t="s">
        <v>384</v>
      </c>
      <c r="B57" s="100">
        <v>12.78</v>
      </c>
      <c r="C57" s="100">
        <v>31.43</v>
      </c>
      <c r="D57" s="100">
        <v>27.34</v>
      </c>
      <c r="E57" s="100">
        <v>3.17</v>
      </c>
      <c r="F57" s="100">
        <v>10.16</v>
      </c>
      <c r="G57" s="100">
        <v>116.84</v>
      </c>
      <c r="H57" s="100">
        <v>39.979999999999997</v>
      </c>
      <c r="I57" s="147" t="s">
        <v>14</v>
      </c>
      <c r="J57" s="100">
        <v>0.56000000000000005</v>
      </c>
      <c r="K57" s="100">
        <v>280.12</v>
      </c>
      <c r="L57" s="100">
        <v>33.26</v>
      </c>
      <c r="M57" s="100">
        <v>39.159999999999997</v>
      </c>
      <c r="N57" s="100">
        <v>819.7</v>
      </c>
      <c r="O57" s="100">
        <v>0</v>
      </c>
      <c r="P57" s="100">
        <v>0.67</v>
      </c>
      <c r="Q57" s="100">
        <v>27.19</v>
      </c>
      <c r="R57" s="6"/>
      <c r="S57" s="6"/>
      <c r="T57" s="156"/>
      <c r="U57" s="6"/>
    </row>
    <row r="58" spans="1:21" customFormat="1">
      <c r="A58" s="163" t="s">
        <v>385</v>
      </c>
      <c r="B58" s="100">
        <v>12.03</v>
      </c>
      <c r="C58" s="100">
        <v>32.270000000000003</v>
      </c>
      <c r="D58" s="100">
        <v>27.19</v>
      </c>
      <c r="E58" s="100">
        <v>3.77</v>
      </c>
      <c r="F58" s="100">
        <v>8.0500000000000007</v>
      </c>
      <c r="G58" s="100">
        <v>116.84</v>
      </c>
      <c r="H58" s="100">
        <v>39.979999999999997</v>
      </c>
      <c r="I58" s="147" t="s">
        <v>14</v>
      </c>
      <c r="J58" s="100">
        <v>0.99</v>
      </c>
      <c r="K58" s="100">
        <v>225.05</v>
      </c>
      <c r="L58" s="100">
        <v>33.659999999999997</v>
      </c>
      <c r="M58" s="100">
        <v>36.979999999999997</v>
      </c>
      <c r="N58" s="100">
        <v>832.4</v>
      </c>
      <c r="O58" s="100">
        <v>0</v>
      </c>
      <c r="P58" s="100">
        <v>0.67</v>
      </c>
      <c r="Q58" s="100">
        <v>27.34</v>
      </c>
      <c r="R58" s="6"/>
      <c r="S58" s="6"/>
      <c r="T58" s="156"/>
      <c r="U58" s="6"/>
    </row>
    <row r="59" spans="1:21" customFormat="1">
      <c r="A59" s="163" t="s">
        <v>386</v>
      </c>
      <c r="B59" s="100">
        <v>11.21</v>
      </c>
      <c r="C59" s="100">
        <v>33.880000000000003</v>
      </c>
      <c r="D59" s="100">
        <v>27.37</v>
      </c>
      <c r="E59" s="100">
        <v>4.76</v>
      </c>
      <c r="F59" s="100">
        <v>6.47</v>
      </c>
      <c r="G59" s="100">
        <v>116.84</v>
      </c>
      <c r="H59" s="100">
        <v>39.979999999999997</v>
      </c>
      <c r="I59" s="147" t="s">
        <v>14</v>
      </c>
      <c r="J59" s="100">
        <v>1.29</v>
      </c>
      <c r="K59" s="100">
        <v>243.2</v>
      </c>
      <c r="L59" s="100">
        <v>33.58</v>
      </c>
      <c r="M59" s="100">
        <v>35.74</v>
      </c>
      <c r="N59" s="100">
        <v>849.1</v>
      </c>
      <c r="O59" s="100">
        <v>0</v>
      </c>
      <c r="P59" s="100">
        <v>0.65</v>
      </c>
      <c r="Q59" s="100">
        <v>27.32</v>
      </c>
      <c r="R59" s="6"/>
      <c r="S59" s="6"/>
      <c r="T59" s="156"/>
      <c r="U59" s="6"/>
    </row>
    <row r="60" spans="1:21" customFormat="1">
      <c r="A60" s="163" t="s">
        <v>387</v>
      </c>
      <c r="B60" s="100">
        <v>9.75</v>
      </c>
      <c r="C60" s="100">
        <v>34.75</v>
      </c>
      <c r="D60" s="100">
        <v>26.65</v>
      </c>
      <c r="E60" s="100">
        <v>4.5</v>
      </c>
      <c r="F60" s="100">
        <v>6.43</v>
      </c>
      <c r="G60" s="100">
        <v>108.77</v>
      </c>
      <c r="H60" s="100">
        <v>37.03</v>
      </c>
      <c r="I60" s="147" t="s">
        <v>14</v>
      </c>
      <c r="J60" s="100">
        <v>0.99</v>
      </c>
      <c r="K60" s="100">
        <v>234.8</v>
      </c>
      <c r="L60" s="100">
        <v>34.520000000000003</v>
      </c>
      <c r="M60" s="100">
        <v>33.44</v>
      </c>
      <c r="N60" s="100">
        <v>843.3</v>
      </c>
      <c r="O60" s="100">
        <v>0</v>
      </c>
      <c r="P60" s="100">
        <v>0.63</v>
      </c>
      <c r="Q60" s="100">
        <v>27.43</v>
      </c>
      <c r="R60" s="6"/>
      <c r="S60" s="6"/>
      <c r="T60" s="156"/>
      <c r="U60" s="6"/>
    </row>
    <row r="61" spans="1:21" customFormat="1">
      <c r="A61" s="163" t="s">
        <v>388</v>
      </c>
      <c r="B61" s="100">
        <v>8.34</v>
      </c>
      <c r="C61" s="100">
        <v>34.619999999999997</v>
      </c>
      <c r="D61" s="100">
        <v>25.45</v>
      </c>
      <c r="E61" s="100">
        <v>4.1500000000000004</v>
      </c>
      <c r="F61" s="100">
        <v>7.4</v>
      </c>
      <c r="G61" s="100">
        <v>101.7</v>
      </c>
      <c r="H61" s="100">
        <v>34.44</v>
      </c>
      <c r="I61" s="147" t="s">
        <v>14</v>
      </c>
      <c r="J61" s="100">
        <v>0.62</v>
      </c>
      <c r="K61" s="100">
        <v>269.56</v>
      </c>
      <c r="L61" s="100">
        <v>35.450000000000003</v>
      </c>
      <c r="M61" s="100">
        <v>30.29</v>
      </c>
      <c r="N61" s="100">
        <v>838.8</v>
      </c>
      <c r="O61" s="100">
        <v>0</v>
      </c>
      <c r="P61" s="100">
        <v>0.62</v>
      </c>
      <c r="Q61" s="100">
        <v>27.55</v>
      </c>
      <c r="R61" s="6"/>
      <c r="S61" s="6"/>
      <c r="T61" s="156"/>
      <c r="U61" s="6"/>
    </row>
    <row r="62" spans="1:21" customFormat="1">
      <c r="A62" s="163" t="s">
        <v>389</v>
      </c>
      <c r="B62" s="100">
        <v>7.09</v>
      </c>
      <c r="C62" s="100">
        <v>34.65</v>
      </c>
      <c r="D62" s="100">
        <v>24.47</v>
      </c>
      <c r="E62" s="100">
        <v>3.96</v>
      </c>
      <c r="F62" s="100">
        <v>6.08</v>
      </c>
      <c r="G62" s="100">
        <v>101.7</v>
      </c>
      <c r="H62" s="100">
        <v>34.44</v>
      </c>
      <c r="I62" s="147" t="s">
        <v>14</v>
      </c>
      <c r="J62" s="100">
        <v>1.47</v>
      </c>
      <c r="K62" s="100">
        <v>222.9</v>
      </c>
      <c r="L62" s="100">
        <v>35.729999999999997</v>
      </c>
      <c r="M62" s="100">
        <v>28.51</v>
      </c>
      <c r="N62" s="100">
        <v>838</v>
      </c>
      <c r="O62" s="100">
        <v>0</v>
      </c>
      <c r="P62" s="100">
        <v>0.62</v>
      </c>
      <c r="Q62" s="100">
        <v>27.63</v>
      </c>
      <c r="R62" s="6"/>
      <c r="S62" s="6"/>
      <c r="T62" s="156"/>
      <c r="U62" s="6"/>
    </row>
    <row r="63" spans="1:21" customFormat="1">
      <c r="A63" s="163" t="s">
        <v>390</v>
      </c>
      <c r="B63" s="100">
        <v>5.72</v>
      </c>
      <c r="C63" s="100">
        <v>31.66</v>
      </c>
      <c r="D63" s="100">
        <v>21.81</v>
      </c>
      <c r="E63" s="100">
        <v>3.79</v>
      </c>
      <c r="F63" s="100">
        <v>6.75</v>
      </c>
      <c r="G63" s="100">
        <v>101.7</v>
      </c>
      <c r="H63" s="100">
        <v>34.44</v>
      </c>
      <c r="I63" s="147" t="s">
        <v>14</v>
      </c>
      <c r="J63" s="100">
        <v>0.99</v>
      </c>
      <c r="K63" s="100">
        <v>219.82</v>
      </c>
      <c r="L63" s="100">
        <v>35.729999999999997</v>
      </c>
      <c r="M63" s="100">
        <v>27.47</v>
      </c>
      <c r="N63" s="100">
        <v>810.4</v>
      </c>
      <c r="O63" s="100">
        <v>0</v>
      </c>
      <c r="P63" s="100">
        <v>0.6</v>
      </c>
      <c r="Q63" s="100">
        <v>27.87</v>
      </c>
      <c r="R63" s="6"/>
      <c r="S63" s="6"/>
      <c r="T63" s="156"/>
      <c r="U63" s="6"/>
    </row>
    <row r="64" spans="1:21" customFormat="1">
      <c r="A64" s="163" t="s">
        <v>391</v>
      </c>
      <c r="B64" s="100">
        <v>4.2699999999999996</v>
      </c>
      <c r="C64" s="100">
        <v>31.67</v>
      </c>
      <c r="D64" s="100">
        <v>20.65</v>
      </c>
      <c r="E64" s="100">
        <v>4.26</v>
      </c>
      <c r="F64" s="100">
        <v>21.37</v>
      </c>
      <c r="G64" s="100">
        <v>84.43</v>
      </c>
      <c r="H64" s="100">
        <v>32.72</v>
      </c>
      <c r="I64" s="147" t="s">
        <v>14</v>
      </c>
      <c r="J64" s="100">
        <v>0.56999999999999995</v>
      </c>
      <c r="K64" s="100">
        <v>209.97</v>
      </c>
      <c r="L64" s="100">
        <v>37.270000000000003</v>
      </c>
      <c r="M64" s="100">
        <v>25.53</v>
      </c>
      <c r="N64" s="100">
        <v>771.8</v>
      </c>
      <c r="O64" s="100">
        <v>0</v>
      </c>
      <c r="P64" s="100">
        <v>0.56000000000000005</v>
      </c>
      <c r="Q64" s="100">
        <v>28.04</v>
      </c>
      <c r="R64" s="6"/>
      <c r="S64" s="6"/>
      <c r="T64" s="156"/>
      <c r="U64" s="6"/>
    </row>
    <row r="65" spans="1:21" customFormat="1">
      <c r="A65" s="163" t="s">
        <v>392</v>
      </c>
      <c r="B65" s="100">
        <v>3.24</v>
      </c>
      <c r="C65" s="100">
        <v>27.07</v>
      </c>
      <c r="D65" s="100">
        <v>17.420000000000002</v>
      </c>
      <c r="E65" s="100">
        <v>3.3</v>
      </c>
      <c r="F65" s="100">
        <v>18.440000000000001</v>
      </c>
      <c r="G65" s="100">
        <v>69.31</v>
      </c>
      <c r="H65" s="100">
        <v>31.22</v>
      </c>
      <c r="I65" s="147" t="s">
        <v>14</v>
      </c>
      <c r="J65" s="100">
        <v>0.2</v>
      </c>
      <c r="K65" s="100">
        <v>266.58</v>
      </c>
      <c r="L65" s="100">
        <v>37.630000000000003</v>
      </c>
      <c r="M65" s="100">
        <v>25.2</v>
      </c>
      <c r="N65" s="100">
        <v>740.7</v>
      </c>
      <c r="O65" s="100">
        <v>0</v>
      </c>
      <c r="P65" s="100">
        <v>0.56000000000000005</v>
      </c>
      <c r="Q65" s="100">
        <v>28.31</v>
      </c>
      <c r="R65" s="6"/>
      <c r="S65" s="6"/>
      <c r="T65" s="156"/>
      <c r="U65" s="6"/>
    </row>
    <row r="66" spans="1:21" customFormat="1">
      <c r="A66" s="163" t="s">
        <v>393</v>
      </c>
      <c r="B66" s="100">
        <v>3.07</v>
      </c>
      <c r="C66" s="100">
        <v>27.59</v>
      </c>
      <c r="D66" s="100">
        <v>17.55</v>
      </c>
      <c r="E66" s="100">
        <v>2.74</v>
      </c>
      <c r="F66" s="100">
        <v>20.43</v>
      </c>
      <c r="G66" s="100">
        <v>69.31</v>
      </c>
      <c r="H66" s="100">
        <v>31.22</v>
      </c>
      <c r="I66" s="147" t="s">
        <v>14</v>
      </c>
      <c r="J66" s="100">
        <v>0.81</v>
      </c>
      <c r="K66" s="100">
        <v>344.29</v>
      </c>
      <c r="L66" s="100">
        <v>37.65</v>
      </c>
      <c r="M66" s="100">
        <v>24.02</v>
      </c>
      <c r="N66" s="100">
        <v>705.2</v>
      </c>
      <c r="O66" s="100">
        <v>0</v>
      </c>
      <c r="P66" s="100">
        <v>0.57999999999999996</v>
      </c>
      <c r="Q66" s="100">
        <v>28.25</v>
      </c>
      <c r="R66" s="6"/>
      <c r="S66" s="6"/>
      <c r="T66" s="156"/>
      <c r="U66" s="6"/>
    </row>
    <row r="67" spans="1:21" customFormat="1">
      <c r="A67" s="163" t="s">
        <v>394</v>
      </c>
      <c r="B67" s="100">
        <v>2.54</v>
      </c>
      <c r="C67" s="100">
        <v>25.7</v>
      </c>
      <c r="D67" s="100">
        <v>16.14</v>
      </c>
      <c r="E67" s="100">
        <v>2.92</v>
      </c>
      <c r="F67" s="100">
        <v>23.2</v>
      </c>
      <c r="G67" s="100">
        <v>69.31</v>
      </c>
      <c r="H67" s="100">
        <v>31.22</v>
      </c>
      <c r="I67" s="147" t="s">
        <v>14</v>
      </c>
      <c r="J67" s="100">
        <v>0.91</v>
      </c>
      <c r="K67" s="100">
        <v>7.05</v>
      </c>
      <c r="L67" s="100">
        <v>37.89</v>
      </c>
      <c r="M67" s="100">
        <v>23.02</v>
      </c>
      <c r="N67" s="100">
        <v>664.9</v>
      </c>
      <c r="O67" s="100">
        <v>0</v>
      </c>
      <c r="P67" s="100">
        <v>0.56999999999999995</v>
      </c>
      <c r="Q67" s="100">
        <v>28.36</v>
      </c>
      <c r="R67" s="6"/>
      <c r="S67" s="6"/>
      <c r="T67" s="156"/>
      <c r="U67" s="6"/>
    </row>
    <row r="68" spans="1:21" customFormat="1">
      <c r="A68" s="163" t="s">
        <v>395</v>
      </c>
      <c r="B68" s="100">
        <v>2.23</v>
      </c>
      <c r="C68" s="100">
        <v>24.67</v>
      </c>
      <c r="D68" s="100">
        <v>15.35</v>
      </c>
      <c r="E68" s="100">
        <v>2.4</v>
      </c>
      <c r="F68" s="100">
        <v>26.7</v>
      </c>
      <c r="G68" s="100">
        <v>58.35</v>
      </c>
      <c r="H68" s="100">
        <v>28.83</v>
      </c>
      <c r="I68" s="147" t="s">
        <v>14</v>
      </c>
      <c r="J68" s="100">
        <v>0.16</v>
      </c>
      <c r="K68" s="100">
        <v>267.75</v>
      </c>
      <c r="L68" s="100">
        <v>37.979999999999997</v>
      </c>
      <c r="M68" s="100">
        <v>22.77</v>
      </c>
      <c r="N68" s="100">
        <v>617.79999999999995</v>
      </c>
      <c r="O68" s="100">
        <v>0</v>
      </c>
      <c r="P68" s="100">
        <v>0.55000000000000004</v>
      </c>
      <c r="Q68" s="100">
        <v>28.44</v>
      </c>
      <c r="R68" s="6"/>
      <c r="S68" s="6"/>
      <c r="T68" s="156"/>
      <c r="U68" s="6"/>
    </row>
    <row r="69" spans="1:21" customFormat="1">
      <c r="A69" s="163" t="s">
        <v>396</v>
      </c>
      <c r="B69" s="100">
        <v>1.99</v>
      </c>
      <c r="C69" s="100">
        <v>27.15</v>
      </c>
      <c r="D69" s="100">
        <v>16.46</v>
      </c>
      <c r="E69" s="100">
        <v>2.23</v>
      </c>
      <c r="F69" s="100">
        <v>18.350000000000001</v>
      </c>
      <c r="G69" s="100">
        <v>48.75</v>
      </c>
      <c r="H69" s="100">
        <v>26.75</v>
      </c>
      <c r="I69" s="147" t="s">
        <v>14</v>
      </c>
      <c r="J69" s="100">
        <v>0.89</v>
      </c>
      <c r="K69" s="100">
        <v>226.53</v>
      </c>
      <c r="L69" s="100">
        <v>37.29</v>
      </c>
      <c r="M69" s="100">
        <v>24.78</v>
      </c>
      <c r="N69" s="100">
        <v>576.9</v>
      </c>
      <c r="O69" s="100">
        <v>0</v>
      </c>
      <c r="P69" s="100">
        <v>0.55000000000000004</v>
      </c>
      <c r="Q69" s="100">
        <v>28.4</v>
      </c>
      <c r="R69" s="6"/>
      <c r="S69" s="6"/>
      <c r="T69" s="156"/>
      <c r="U69" s="6"/>
    </row>
    <row r="70" spans="1:21" customFormat="1">
      <c r="A70" s="163" t="s">
        <v>397</v>
      </c>
      <c r="B70" s="100">
        <v>1.73</v>
      </c>
      <c r="C70" s="100">
        <v>25.2</v>
      </c>
      <c r="D70" s="100">
        <v>15.23</v>
      </c>
      <c r="E70" s="100">
        <v>2.2599999999999998</v>
      </c>
      <c r="F70" s="100">
        <v>25.09</v>
      </c>
      <c r="G70" s="100">
        <v>48.75</v>
      </c>
      <c r="H70" s="100">
        <v>26.75</v>
      </c>
      <c r="I70" s="147" t="s">
        <v>14</v>
      </c>
      <c r="J70" s="100">
        <v>0.8</v>
      </c>
      <c r="K70" s="100">
        <v>357.18</v>
      </c>
      <c r="L70" s="100">
        <v>38.26</v>
      </c>
      <c r="M70" s="100">
        <v>23.57</v>
      </c>
      <c r="N70" s="100">
        <v>522.4</v>
      </c>
      <c r="O70" s="100">
        <v>0</v>
      </c>
      <c r="P70" s="100">
        <v>0.54</v>
      </c>
      <c r="Q70" s="100">
        <v>28.55</v>
      </c>
      <c r="R70" s="6"/>
      <c r="S70" s="6"/>
      <c r="T70" s="156"/>
      <c r="U70" s="6"/>
    </row>
    <row r="71" spans="1:21" customFormat="1">
      <c r="A71" s="163" t="s">
        <v>398</v>
      </c>
      <c r="B71" s="100">
        <v>1.71</v>
      </c>
      <c r="C71" s="100">
        <v>26.57</v>
      </c>
      <c r="D71" s="100">
        <v>15.92</v>
      </c>
      <c r="E71" s="100">
        <v>2.0499999999999998</v>
      </c>
      <c r="F71" s="100">
        <v>13.4</v>
      </c>
      <c r="G71" s="100">
        <v>48.75</v>
      </c>
      <c r="H71" s="100">
        <v>26.75</v>
      </c>
      <c r="I71" s="147" t="s">
        <v>14</v>
      </c>
      <c r="J71" s="100">
        <v>0.42</v>
      </c>
      <c r="K71" s="100">
        <v>259.24</v>
      </c>
      <c r="L71" s="100">
        <v>38.020000000000003</v>
      </c>
      <c r="M71" s="100">
        <v>24.37</v>
      </c>
      <c r="N71" s="100">
        <v>470.1</v>
      </c>
      <c r="O71" s="100">
        <v>0</v>
      </c>
      <c r="P71" s="100">
        <v>0.55000000000000004</v>
      </c>
      <c r="Q71" s="100">
        <v>28.49</v>
      </c>
      <c r="R71" s="6"/>
      <c r="S71" s="6"/>
      <c r="T71" s="156"/>
      <c r="U71" s="6"/>
    </row>
    <row r="72" spans="1:21" customFormat="1">
      <c r="A72" s="163" t="s">
        <v>399</v>
      </c>
      <c r="B72" s="100">
        <v>1.75</v>
      </c>
      <c r="C72" s="100">
        <v>31.22</v>
      </c>
      <c r="D72" s="100">
        <v>18.39</v>
      </c>
      <c r="E72" s="100">
        <v>2.86</v>
      </c>
      <c r="F72" s="100">
        <v>15.23</v>
      </c>
      <c r="G72" s="100">
        <v>44.86</v>
      </c>
      <c r="H72" s="100">
        <v>26.29</v>
      </c>
      <c r="I72" s="147" t="s">
        <v>14</v>
      </c>
      <c r="J72" s="100">
        <v>0.39</v>
      </c>
      <c r="K72" s="100">
        <v>240.01</v>
      </c>
      <c r="L72" s="100">
        <v>38.299999999999997</v>
      </c>
      <c r="M72" s="100">
        <v>24.73</v>
      </c>
      <c r="N72" s="100">
        <v>415</v>
      </c>
      <c r="O72" s="100">
        <v>0</v>
      </c>
      <c r="P72" s="100">
        <v>0.53</v>
      </c>
      <c r="Q72" s="100">
        <v>28.24</v>
      </c>
      <c r="R72" s="6"/>
      <c r="S72" s="6"/>
      <c r="T72" s="156"/>
      <c r="U72" s="6"/>
    </row>
    <row r="73" spans="1:21" customFormat="1">
      <c r="A73" s="163" t="s">
        <v>400</v>
      </c>
      <c r="B73" s="100">
        <v>1.73</v>
      </c>
      <c r="C73" s="100">
        <v>29.55</v>
      </c>
      <c r="D73" s="100">
        <v>17.5</v>
      </c>
      <c r="E73" s="100">
        <v>3.46</v>
      </c>
      <c r="F73" s="100">
        <v>17.7</v>
      </c>
      <c r="G73" s="100">
        <v>41.46</v>
      </c>
      <c r="H73" s="100">
        <v>25.88</v>
      </c>
      <c r="I73" s="147" t="s">
        <v>14</v>
      </c>
      <c r="J73" s="100">
        <v>0.82</v>
      </c>
      <c r="K73" s="100">
        <v>317.20999999999998</v>
      </c>
      <c r="L73" s="100">
        <v>37.47</v>
      </c>
      <c r="M73" s="100">
        <v>25.67</v>
      </c>
      <c r="N73" s="100">
        <v>366.4</v>
      </c>
      <c r="O73" s="100">
        <v>0</v>
      </c>
      <c r="P73" s="100">
        <v>0.52</v>
      </c>
      <c r="Q73" s="100">
        <v>28.35</v>
      </c>
      <c r="R73" s="6"/>
      <c r="S73" s="6"/>
      <c r="T73" s="156"/>
      <c r="U73" s="6"/>
    </row>
    <row r="74" spans="1:21" customFormat="1">
      <c r="A74" s="163" t="s">
        <v>401</v>
      </c>
      <c r="B74" s="100">
        <v>1.22</v>
      </c>
      <c r="C74" s="100">
        <v>27</v>
      </c>
      <c r="D74" s="100">
        <v>14.55</v>
      </c>
      <c r="E74" s="100">
        <v>0.34</v>
      </c>
      <c r="F74" s="100">
        <v>36.299999999999997</v>
      </c>
      <c r="G74" s="100">
        <v>41.46</v>
      </c>
      <c r="H74" s="100">
        <v>25.88</v>
      </c>
      <c r="I74" s="147" t="s">
        <v>14</v>
      </c>
      <c r="J74" s="100">
        <v>0.44</v>
      </c>
      <c r="K74" s="100">
        <v>278.87</v>
      </c>
      <c r="L74" s="100">
        <v>38.03</v>
      </c>
      <c r="M74" s="100">
        <v>25.2</v>
      </c>
      <c r="N74" s="100">
        <v>292.2</v>
      </c>
      <c r="O74" s="100">
        <v>0</v>
      </c>
      <c r="P74" s="100">
        <v>0.47</v>
      </c>
      <c r="Q74" s="100">
        <v>28.49</v>
      </c>
      <c r="R74" s="6"/>
      <c r="S74" s="6"/>
      <c r="T74" s="156"/>
      <c r="U74" s="6"/>
    </row>
    <row r="75" spans="1:21" customFormat="1">
      <c r="A75" s="163" t="s">
        <v>402</v>
      </c>
      <c r="B75" s="100">
        <v>0.84</v>
      </c>
      <c r="C75" s="100">
        <v>20.75</v>
      </c>
      <c r="D75" s="100">
        <v>12.19</v>
      </c>
      <c r="E75" s="100">
        <v>0.13</v>
      </c>
      <c r="F75" s="100">
        <v>43.88</v>
      </c>
      <c r="G75" s="100">
        <v>41.46</v>
      </c>
      <c r="H75" s="100">
        <v>25.88</v>
      </c>
      <c r="I75" s="147" t="s">
        <v>14</v>
      </c>
      <c r="J75" s="100">
        <v>0.47</v>
      </c>
      <c r="K75" s="100">
        <v>29.09</v>
      </c>
      <c r="L75" s="100">
        <v>37.979999999999997</v>
      </c>
      <c r="M75" s="100">
        <v>25.94</v>
      </c>
      <c r="N75" s="100">
        <v>262.3</v>
      </c>
      <c r="O75" s="100">
        <v>0</v>
      </c>
      <c r="P75" s="100">
        <v>0.46</v>
      </c>
      <c r="Q75" s="100">
        <v>28.77</v>
      </c>
      <c r="R75" s="6"/>
      <c r="S75" s="6"/>
      <c r="T75" s="156"/>
      <c r="U75" s="6"/>
    </row>
    <row r="76" spans="1:21" customFormat="1">
      <c r="A76" s="163" t="s">
        <v>403</v>
      </c>
      <c r="B76" s="100">
        <v>1.54</v>
      </c>
      <c r="C76" s="100">
        <v>24.25</v>
      </c>
      <c r="D76" s="100">
        <v>14.58</v>
      </c>
      <c r="E76" s="100">
        <v>3.49</v>
      </c>
      <c r="F76" s="100">
        <v>57.34</v>
      </c>
      <c r="G76" s="100">
        <v>33.409999999999997</v>
      </c>
      <c r="H76" s="100">
        <v>23.45</v>
      </c>
      <c r="I76" s="147" t="s">
        <v>14</v>
      </c>
      <c r="J76" s="100">
        <v>0.66</v>
      </c>
      <c r="K76" s="100">
        <v>136.55000000000001</v>
      </c>
      <c r="L76" s="100">
        <v>38.46</v>
      </c>
      <c r="M76" s="100">
        <v>26.11</v>
      </c>
      <c r="N76" s="100">
        <v>206.6</v>
      </c>
      <c r="O76" s="100">
        <v>0</v>
      </c>
      <c r="P76" s="100">
        <v>0.46</v>
      </c>
      <c r="Q76" s="100">
        <v>28.37</v>
      </c>
      <c r="R76" s="6"/>
      <c r="S76" s="6"/>
      <c r="T76" s="156"/>
      <c r="U76" s="6"/>
    </row>
    <row r="77" spans="1:21" customFormat="1">
      <c r="A77" s="163" t="s">
        <v>404</v>
      </c>
      <c r="B77" s="100">
        <v>0.37</v>
      </c>
      <c r="C77" s="100">
        <v>19.39</v>
      </c>
      <c r="D77" s="100">
        <v>11.11</v>
      </c>
      <c r="E77" s="100">
        <v>6.46</v>
      </c>
      <c r="F77" s="100">
        <v>74.2</v>
      </c>
      <c r="G77" s="100">
        <v>26.36</v>
      </c>
      <c r="H77" s="100">
        <v>21.33</v>
      </c>
      <c r="I77" s="147" t="s">
        <v>14</v>
      </c>
      <c r="J77" s="100">
        <v>0.8</v>
      </c>
      <c r="K77" s="100">
        <v>175.73</v>
      </c>
      <c r="L77" s="100">
        <v>38.4</v>
      </c>
      <c r="M77" s="100">
        <v>25.7</v>
      </c>
      <c r="N77" s="100">
        <v>159.69999999999999</v>
      </c>
      <c r="O77" s="100">
        <v>0</v>
      </c>
      <c r="P77" s="100">
        <v>0.35</v>
      </c>
      <c r="Q77" s="100">
        <v>28.84</v>
      </c>
      <c r="R77" s="6"/>
      <c r="S77" s="6"/>
      <c r="T77" s="156"/>
      <c r="U77" s="6"/>
    </row>
    <row r="78" spans="1:21" customFormat="1">
      <c r="A78" s="163" t="s">
        <v>405</v>
      </c>
      <c r="B78" s="100">
        <v>0.16</v>
      </c>
      <c r="C78" s="100">
        <v>17.260000000000002</v>
      </c>
      <c r="D78" s="100">
        <v>9.83</v>
      </c>
      <c r="E78" s="100">
        <v>3.99</v>
      </c>
      <c r="F78" s="100">
        <v>66.94</v>
      </c>
      <c r="G78" s="100">
        <v>26.36</v>
      </c>
      <c r="H78" s="100">
        <v>21.33</v>
      </c>
      <c r="I78" s="100">
        <v>8.08</v>
      </c>
      <c r="J78" s="100">
        <v>0.79</v>
      </c>
      <c r="K78" s="100">
        <v>161.31</v>
      </c>
      <c r="L78" s="100">
        <v>37.549999999999997</v>
      </c>
      <c r="M78" s="100">
        <v>27.5</v>
      </c>
      <c r="N78" s="100">
        <v>103.3</v>
      </c>
      <c r="O78" s="100">
        <v>0</v>
      </c>
      <c r="P78" s="100">
        <v>0.38</v>
      </c>
      <c r="Q78" s="100">
        <v>29.08</v>
      </c>
      <c r="R78" s="6"/>
      <c r="S78" s="6"/>
      <c r="T78" s="156"/>
      <c r="U78" s="6"/>
    </row>
    <row r="79" spans="1:21" customFormat="1">
      <c r="A79" s="163" t="s">
        <v>406</v>
      </c>
      <c r="B79" s="100">
        <v>0.2</v>
      </c>
      <c r="C79" s="100">
        <v>17.93</v>
      </c>
      <c r="D79" s="100">
        <v>10.199999999999999</v>
      </c>
      <c r="E79" s="100">
        <v>1.85</v>
      </c>
      <c r="F79" s="100">
        <v>51.35</v>
      </c>
      <c r="G79" s="100">
        <v>26.36</v>
      </c>
      <c r="H79" s="100">
        <v>21.33</v>
      </c>
      <c r="I79" s="100">
        <v>6.6</v>
      </c>
      <c r="J79" s="100">
        <v>0.6</v>
      </c>
      <c r="K79" s="100">
        <v>165.22</v>
      </c>
      <c r="L79" s="100">
        <v>36.33</v>
      </c>
      <c r="M79" s="100">
        <v>29.19</v>
      </c>
      <c r="N79" s="100">
        <v>66.900000000000006</v>
      </c>
      <c r="O79" s="100">
        <v>0</v>
      </c>
      <c r="P79" s="100">
        <v>0.44</v>
      </c>
      <c r="Q79" s="100">
        <v>28.96</v>
      </c>
      <c r="R79" s="6"/>
      <c r="S79" s="6"/>
      <c r="T79" s="156"/>
      <c r="U79" s="6"/>
    </row>
    <row r="80" spans="1:21" customFormat="1">
      <c r="A80" s="163" t="s">
        <v>407</v>
      </c>
      <c r="B80" s="100">
        <v>0.32</v>
      </c>
      <c r="C80" s="100">
        <v>20.3</v>
      </c>
      <c r="D80" s="100">
        <v>11.53</v>
      </c>
      <c r="E80" s="100">
        <v>4.9000000000000004</v>
      </c>
      <c r="F80" s="100">
        <v>42.94</v>
      </c>
      <c r="G80" s="100">
        <v>32.67</v>
      </c>
      <c r="H80" s="100">
        <v>21.7</v>
      </c>
      <c r="I80" s="100">
        <v>6.46</v>
      </c>
      <c r="J80" s="100">
        <v>0.92</v>
      </c>
      <c r="K80" s="100">
        <v>216.46</v>
      </c>
      <c r="L80" s="100">
        <v>35.659999999999997</v>
      </c>
      <c r="M80" s="100">
        <v>29.2</v>
      </c>
      <c r="N80" s="100">
        <v>48.9</v>
      </c>
      <c r="O80" s="100">
        <v>0</v>
      </c>
      <c r="P80" s="100">
        <v>0.57999999999999996</v>
      </c>
      <c r="Q80" s="100">
        <v>28.75</v>
      </c>
      <c r="R80" s="6"/>
      <c r="S80" s="6"/>
      <c r="T80" s="156"/>
      <c r="U80" s="6"/>
    </row>
    <row r="81" spans="1:21" customFormat="1">
      <c r="A81" s="163" t="s">
        <v>408</v>
      </c>
      <c r="B81" s="100">
        <v>0.78</v>
      </c>
      <c r="C81" s="100">
        <v>23.76</v>
      </c>
      <c r="D81" s="100">
        <v>13.72</v>
      </c>
      <c r="E81" s="100">
        <v>6.31</v>
      </c>
      <c r="F81" s="100">
        <v>32.520000000000003</v>
      </c>
      <c r="G81" s="100">
        <v>38.200000000000003</v>
      </c>
      <c r="H81" s="100">
        <v>22.02</v>
      </c>
      <c r="I81" s="100">
        <v>8.0500000000000007</v>
      </c>
      <c r="J81" s="100">
        <v>1.21</v>
      </c>
      <c r="K81" s="100">
        <v>222.91</v>
      </c>
      <c r="L81" s="100">
        <v>35.130000000000003</v>
      </c>
      <c r="M81" s="100">
        <v>30.62</v>
      </c>
      <c r="N81" s="100">
        <v>34</v>
      </c>
      <c r="O81" s="100">
        <v>0</v>
      </c>
      <c r="P81" s="100">
        <v>0.6</v>
      </c>
      <c r="Q81" s="100">
        <v>28.54</v>
      </c>
      <c r="R81" s="6"/>
      <c r="S81" s="6"/>
      <c r="T81" s="156"/>
      <c r="U81" s="6"/>
    </row>
    <row r="82" spans="1:21" customFormat="1">
      <c r="A82" s="163" t="s">
        <v>409</v>
      </c>
      <c r="B82" s="100">
        <v>0.97</v>
      </c>
      <c r="C82" s="100">
        <v>26.29</v>
      </c>
      <c r="D82" s="100">
        <v>15.19</v>
      </c>
      <c r="E82" s="100">
        <v>6.23</v>
      </c>
      <c r="F82" s="100">
        <v>32.61</v>
      </c>
      <c r="G82" s="100">
        <v>38.200000000000003</v>
      </c>
      <c r="H82" s="100">
        <v>22.02</v>
      </c>
      <c r="I82" s="100">
        <v>10.33</v>
      </c>
      <c r="J82" s="100">
        <v>0.86</v>
      </c>
      <c r="K82" s="100">
        <v>210.76</v>
      </c>
      <c r="L82" s="100">
        <v>34.65</v>
      </c>
      <c r="M82" s="100">
        <v>32.119999999999997</v>
      </c>
      <c r="N82" s="100">
        <v>25.8</v>
      </c>
      <c r="O82" s="100">
        <v>0</v>
      </c>
      <c r="P82" s="100">
        <v>0.67</v>
      </c>
      <c r="Q82" s="100">
        <v>28.32</v>
      </c>
      <c r="R82" s="6"/>
      <c r="S82" s="6"/>
      <c r="T82" s="156"/>
      <c r="U82" s="6"/>
    </row>
    <row r="83" spans="1:21" customFormat="1">
      <c r="A83" s="163" t="s">
        <v>410</v>
      </c>
      <c r="B83" s="100">
        <v>0.97</v>
      </c>
      <c r="C83" s="100">
        <v>26.55</v>
      </c>
      <c r="D83" s="100">
        <v>15.32</v>
      </c>
      <c r="E83" s="100">
        <v>7.01</v>
      </c>
      <c r="F83" s="100">
        <v>33.64</v>
      </c>
      <c r="G83" s="100">
        <v>38.200000000000003</v>
      </c>
      <c r="H83" s="100">
        <v>22.02</v>
      </c>
      <c r="I83" s="100">
        <v>11.05</v>
      </c>
      <c r="J83" s="100">
        <v>0.65</v>
      </c>
      <c r="K83" s="100">
        <v>152.46</v>
      </c>
      <c r="L83" s="100">
        <v>33.65</v>
      </c>
      <c r="M83" s="100">
        <v>35.299999999999997</v>
      </c>
      <c r="N83" s="100">
        <v>23.7</v>
      </c>
      <c r="O83" s="100">
        <v>0</v>
      </c>
      <c r="P83" s="100">
        <v>0.72</v>
      </c>
      <c r="Q83" s="100">
        <v>28.29</v>
      </c>
      <c r="R83" s="6"/>
      <c r="S83" s="6"/>
      <c r="T83" s="156"/>
      <c r="U83" s="6"/>
    </row>
    <row r="84" spans="1:21" customFormat="1">
      <c r="A84" s="163" t="s">
        <v>411</v>
      </c>
      <c r="B84" s="100">
        <v>1.03</v>
      </c>
      <c r="C84" s="100">
        <v>26.91</v>
      </c>
      <c r="D84" s="100">
        <v>15.56</v>
      </c>
      <c r="E84" s="100">
        <v>6.98</v>
      </c>
      <c r="F84" s="100">
        <v>19.809999999999999</v>
      </c>
      <c r="G84" s="100">
        <v>42.96</v>
      </c>
      <c r="H84" s="100">
        <v>24.44</v>
      </c>
      <c r="I84" s="100">
        <v>12.19</v>
      </c>
      <c r="J84" s="100">
        <v>0.75</v>
      </c>
      <c r="K84" s="100">
        <v>178.51</v>
      </c>
      <c r="L84" s="100">
        <v>32.83</v>
      </c>
      <c r="M84" s="100">
        <v>37.799999999999997</v>
      </c>
      <c r="N84" s="100">
        <v>23</v>
      </c>
      <c r="O84" s="100">
        <v>0</v>
      </c>
      <c r="P84" s="100">
        <v>0.68</v>
      </c>
      <c r="Q84" s="100">
        <v>28.28</v>
      </c>
      <c r="R84" s="6"/>
      <c r="S84" s="6"/>
      <c r="T84" s="156"/>
      <c r="U84" s="6"/>
    </row>
    <row r="85" spans="1:21" customFormat="1">
      <c r="A85" s="163" t="s">
        <v>412</v>
      </c>
      <c r="B85" s="100">
        <v>1.43</v>
      </c>
      <c r="C85" s="100">
        <v>32.82</v>
      </c>
      <c r="D85" s="100">
        <v>18.97</v>
      </c>
      <c r="E85" s="100">
        <v>5.83</v>
      </c>
      <c r="F85" s="100">
        <v>16.72</v>
      </c>
      <c r="G85" s="100">
        <v>47.12</v>
      </c>
      <c r="H85" s="100">
        <v>26.56</v>
      </c>
      <c r="I85" s="100">
        <v>12.74</v>
      </c>
      <c r="J85" s="100">
        <v>0.69</v>
      </c>
      <c r="K85" s="100">
        <v>192.75</v>
      </c>
      <c r="L85" s="100">
        <v>33.409999999999997</v>
      </c>
      <c r="M85" s="100">
        <v>35.630000000000003</v>
      </c>
      <c r="N85" s="100">
        <v>22.5</v>
      </c>
      <c r="O85" s="100">
        <v>0</v>
      </c>
      <c r="P85" s="100">
        <v>0.68</v>
      </c>
      <c r="Q85" s="100">
        <v>28.04</v>
      </c>
      <c r="R85" s="6"/>
      <c r="S85" s="6"/>
      <c r="T85" s="156"/>
      <c r="U85" s="6"/>
    </row>
    <row r="86" spans="1:21" customFormat="1">
      <c r="A86" s="163" t="s">
        <v>413</v>
      </c>
      <c r="B86" s="100">
        <v>1.27</v>
      </c>
      <c r="C86" s="100">
        <v>28.65</v>
      </c>
      <c r="D86" s="100">
        <v>16.66</v>
      </c>
      <c r="E86" s="100">
        <v>8.32</v>
      </c>
      <c r="F86" s="100">
        <v>31.39</v>
      </c>
      <c r="G86" s="100">
        <v>47.12</v>
      </c>
      <c r="H86" s="100">
        <v>26.56</v>
      </c>
      <c r="I86" s="100">
        <v>12.58</v>
      </c>
      <c r="J86" s="100">
        <v>0.87</v>
      </c>
      <c r="K86" s="100">
        <v>150.32</v>
      </c>
      <c r="L86" s="100">
        <v>32.99</v>
      </c>
      <c r="M86" s="100">
        <v>37.03</v>
      </c>
      <c r="N86" s="100">
        <v>22.7</v>
      </c>
      <c r="O86" s="100">
        <v>0</v>
      </c>
      <c r="P86" s="100">
        <v>0.71</v>
      </c>
      <c r="Q86" s="100">
        <v>28.27</v>
      </c>
      <c r="R86" s="6"/>
      <c r="S86" s="6"/>
      <c r="T86" s="156"/>
      <c r="U86" s="6"/>
    </row>
    <row r="87" spans="1:21" customFormat="1">
      <c r="A87" s="163" t="s">
        <v>414</v>
      </c>
      <c r="B87" s="100">
        <v>1.59</v>
      </c>
      <c r="C87" s="100">
        <v>27.09</v>
      </c>
      <c r="D87" s="100">
        <v>16.100000000000001</v>
      </c>
      <c r="E87" s="100">
        <v>7.88</v>
      </c>
      <c r="F87" s="100">
        <v>8.33</v>
      </c>
      <c r="G87" s="100">
        <v>47.12</v>
      </c>
      <c r="H87" s="100">
        <v>26.56</v>
      </c>
      <c r="I87" s="100">
        <v>12.27</v>
      </c>
      <c r="J87" s="100">
        <v>0.78</v>
      </c>
      <c r="K87" s="100">
        <v>237.52</v>
      </c>
      <c r="L87" s="100">
        <v>32.979999999999997</v>
      </c>
      <c r="M87" s="100">
        <v>37.5</v>
      </c>
      <c r="N87" s="100">
        <v>22.3</v>
      </c>
      <c r="O87" s="100">
        <v>0</v>
      </c>
      <c r="P87" s="100">
        <v>0.7</v>
      </c>
      <c r="Q87" s="100">
        <v>28.41</v>
      </c>
      <c r="R87" s="6"/>
      <c r="S87" s="6"/>
      <c r="T87" s="156"/>
      <c r="U87" s="6"/>
    </row>
    <row r="88" spans="1:21" customFormat="1">
      <c r="A88" s="163" t="s">
        <v>415</v>
      </c>
      <c r="B88" s="100">
        <v>2.72</v>
      </c>
      <c r="C88" s="100">
        <v>31.61</v>
      </c>
      <c r="D88" s="100">
        <v>19.37</v>
      </c>
      <c r="E88" s="100">
        <v>6.4</v>
      </c>
      <c r="F88" s="100">
        <v>13.24</v>
      </c>
      <c r="G88" s="100">
        <v>53.42</v>
      </c>
      <c r="H88" s="100">
        <v>27.15</v>
      </c>
      <c r="I88" s="100">
        <v>12.95</v>
      </c>
      <c r="J88" s="100">
        <v>0.91</v>
      </c>
      <c r="K88" s="100">
        <v>218.44</v>
      </c>
      <c r="L88" s="100">
        <v>32.880000000000003</v>
      </c>
      <c r="M88" s="100">
        <v>38.56</v>
      </c>
      <c r="N88" s="100">
        <v>22.5</v>
      </c>
      <c r="O88" s="100">
        <v>0</v>
      </c>
      <c r="P88" s="100">
        <v>0.74</v>
      </c>
      <c r="Q88" s="100">
        <v>28.08</v>
      </c>
      <c r="R88" s="6"/>
      <c r="S88" s="6"/>
      <c r="T88" s="156"/>
      <c r="U88" s="6"/>
    </row>
    <row r="89" spans="1:21" customFormat="1">
      <c r="A89" s="163" t="s">
        <v>416</v>
      </c>
      <c r="B89" s="100">
        <v>2.61</v>
      </c>
      <c r="C89" s="100">
        <v>26.1</v>
      </c>
      <c r="D89" s="100">
        <v>16.399999999999999</v>
      </c>
      <c r="E89" s="100">
        <v>7.42</v>
      </c>
      <c r="F89" s="100">
        <v>10.84</v>
      </c>
      <c r="G89" s="100">
        <v>58.93</v>
      </c>
      <c r="H89" s="100">
        <v>27.67</v>
      </c>
      <c r="I89" s="100">
        <v>12.99</v>
      </c>
      <c r="J89" s="100">
        <v>0.86</v>
      </c>
      <c r="K89" s="100">
        <v>133.93</v>
      </c>
      <c r="L89" s="100">
        <v>32.159999999999997</v>
      </c>
      <c r="M89" s="100">
        <v>41.73</v>
      </c>
      <c r="N89" s="100">
        <v>23.3</v>
      </c>
      <c r="O89" s="100">
        <v>0</v>
      </c>
      <c r="P89" s="100">
        <v>0.73</v>
      </c>
      <c r="Q89" s="100">
        <v>28.19</v>
      </c>
      <c r="R89" s="6"/>
      <c r="S89" s="6"/>
      <c r="T89" s="156"/>
      <c r="U89" s="6"/>
    </row>
    <row r="90" spans="1:21" customFormat="1">
      <c r="A90" s="163" t="s">
        <v>417</v>
      </c>
      <c r="B90" s="100">
        <v>2.48</v>
      </c>
      <c r="C90" s="100">
        <v>31.98</v>
      </c>
      <c r="D90" s="100">
        <v>19.38</v>
      </c>
      <c r="E90" s="100">
        <v>6.03</v>
      </c>
      <c r="F90" s="100">
        <v>19.07</v>
      </c>
      <c r="G90" s="100">
        <v>58.93</v>
      </c>
      <c r="H90" s="100">
        <v>27.67</v>
      </c>
      <c r="I90" s="100">
        <v>14.08</v>
      </c>
      <c r="J90" s="100">
        <v>0.71</v>
      </c>
      <c r="K90" s="100">
        <v>100.47</v>
      </c>
      <c r="L90" s="100">
        <v>31.42</v>
      </c>
      <c r="M90" s="100">
        <v>44.99</v>
      </c>
      <c r="N90" s="100">
        <v>23</v>
      </c>
      <c r="O90" s="100">
        <v>0</v>
      </c>
      <c r="P90" s="100">
        <v>0.77</v>
      </c>
      <c r="Q90" s="100">
        <v>28.13</v>
      </c>
      <c r="R90" s="6"/>
      <c r="S90" s="6"/>
      <c r="T90" s="156"/>
      <c r="U90" s="6"/>
    </row>
    <row r="91" spans="1:21" customFormat="1">
      <c r="A91" s="163" t="s">
        <v>418</v>
      </c>
      <c r="B91" s="100">
        <v>2.25</v>
      </c>
      <c r="C91" s="100">
        <v>27.85</v>
      </c>
      <c r="D91" s="100">
        <v>17.03</v>
      </c>
      <c r="E91" s="100">
        <v>6.63</v>
      </c>
      <c r="F91" s="100">
        <v>19.21</v>
      </c>
      <c r="G91" s="100">
        <v>58.93</v>
      </c>
      <c r="H91" s="100">
        <v>27.67</v>
      </c>
      <c r="I91" s="100">
        <v>14.36</v>
      </c>
      <c r="J91" s="100">
        <v>0.72</v>
      </c>
      <c r="K91" s="100">
        <v>172.72</v>
      </c>
      <c r="L91" s="100">
        <v>31.28</v>
      </c>
      <c r="M91" s="100">
        <v>47.11</v>
      </c>
      <c r="N91" s="100">
        <v>22.7</v>
      </c>
      <c r="O91" s="100">
        <v>0</v>
      </c>
      <c r="P91" s="100">
        <v>0.74</v>
      </c>
      <c r="Q91" s="100">
        <v>28.18</v>
      </c>
      <c r="R91" s="6"/>
      <c r="S91" s="6"/>
      <c r="T91" s="156"/>
      <c r="U91" s="6"/>
    </row>
    <row r="92" spans="1:21" customFormat="1">
      <c r="A92" s="163" t="s">
        <v>419</v>
      </c>
      <c r="B92" s="100">
        <v>2.54</v>
      </c>
      <c r="C92" s="100">
        <v>25.73</v>
      </c>
      <c r="D92" s="100">
        <v>16.149999999999999</v>
      </c>
      <c r="E92" s="100">
        <v>5.4</v>
      </c>
      <c r="F92" s="100">
        <v>15.47</v>
      </c>
      <c r="G92" s="100">
        <v>57.83</v>
      </c>
      <c r="H92" s="100">
        <v>26.75</v>
      </c>
      <c r="I92" s="100">
        <v>14.35</v>
      </c>
      <c r="J92" s="100">
        <v>1.1200000000000001</v>
      </c>
      <c r="K92" s="100">
        <v>216.66</v>
      </c>
      <c r="L92" s="100">
        <v>31.57</v>
      </c>
      <c r="M92" s="100">
        <v>47.03</v>
      </c>
      <c r="N92" s="100">
        <v>22.2</v>
      </c>
      <c r="O92" s="100">
        <v>0</v>
      </c>
      <c r="P92" s="100">
        <v>0.7</v>
      </c>
      <c r="Q92" s="100">
        <v>28.34</v>
      </c>
      <c r="R92" s="6"/>
      <c r="S92" s="6"/>
      <c r="T92" s="156"/>
      <c r="U92" s="6"/>
    </row>
    <row r="93" spans="1:21" customFormat="1">
      <c r="A93" s="163" t="s">
        <v>420</v>
      </c>
      <c r="B93" s="100">
        <v>2.46</v>
      </c>
      <c r="C93" s="100">
        <v>25.29</v>
      </c>
      <c r="D93" s="100">
        <v>15.86</v>
      </c>
      <c r="E93" s="100">
        <v>5.5</v>
      </c>
      <c r="F93" s="100">
        <v>21.86</v>
      </c>
      <c r="G93" s="100">
        <v>56.87</v>
      </c>
      <c r="H93" s="100">
        <v>25.95</v>
      </c>
      <c r="I93" s="100">
        <v>14.22</v>
      </c>
      <c r="J93" s="100">
        <v>0.5</v>
      </c>
      <c r="K93" s="100">
        <v>122.44</v>
      </c>
      <c r="L93" s="100">
        <v>31.27</v>
      </c>
      <c r="M93" s="100">
        <v>48.48</v>
      </c>
      <c r="N93" s="100">
        <v>22.9</v>
      </c>
      <c r="O93" s="100">
        <v>0</v>
      </c>
      <c r="P93" s="100">
        <v>0.76</v>
      </c>
      <c r="Q93" s="100">
        <v>28.32</v>
      </c>
      <c r="R93" s="6"/>
      <c r="S93" s="6"/>
      <c r="T93" s="156"/>
      <c r="U93" s="6"/>
    </row>
    <row r="94" spans="1:21" customFormat="1">
      <c r="A94" s="163" t="s">
        <v>421</v>
      </c>
      <c r="B94" s="100">
        <v>2.16</v>
      </c>
      <c r="C94" s="100">
        <v>24.91</v>
      </c>
      <c r="D94" s="100">
        <v>15.42</v>
      </c>
      <c r="E94" s="100">
        <v>5.13</v>
      </c>
      <c r="F94" s="100">
        <v>24.71</v>
      </c>
      <c r="G94" s="100">
        <v>56.87</v>
      </c>
      <c r="H94" s="100">
        <v>25.95</v>
      </c>
      <c r="I94" s="100">
        <v>13.09</v>
      </c>
      <c r="J94" s="100">
        <v>0.71</v>
      </c>
      <c r="K94" s="100">
        <v>108.05</v>
      </c>
      <c r="L94" s="100">
        <v>30.6</v>
      </c>
      <c r="M94" s="100">
        <v>50.33</v>
      </c>
      <c r="N94" s="100">
        <v>22.9</v>
      </c>
      <c r="O94" s="100">
        <v>0</v>
      </c>
      <c r="P94" s="100">
        <v>0.69</v>
      </c>
      <c r="Q94" s="100">
        <v>28.3</v>
      </c>
      <c r="R94" s="6"/>
      <c r="S94" s="6"/>
      <c r="T94" s="156"/>
      <c r="U94" s="6"/>
    </row>
    <row r="95" spans="1:21" customFormat="1">
      <c r="A95" s="163" t="s">
        <v>422</v>
      </c>
      <c r="B95" s="100">
        <v>1.97</v>
      </c>
      <c r="C95" s="100">
        <v>23.8</v>
      </c>
      <c r="D95" s="100">
        <v>14.69</v>
      </c>
      <c r="E95" s="100">
        <v>4.7699999999999996</v>
      </c>
      <c r="F95" s="100">
        <v>22.58</v>
      </c>
      <c r="G95" s="100">
        <v>56.87</v>
      </c>
      <c r="H95" s="100">
        <v>25.95</v>
      </c>
      <c r="I95" s="100">
        <v>12.9</v>
      </c>
      <c r="J95" s="100">
        <v>0.68</v>
      </c>
      <c r="K95" s="100">
        <v>102.21</v>
      </c>
      <c r="L95" s="100">
        <v>30.41</v>
      </c>
      <c r="M95" s="100">
        <v>50.44</v>
      </c>
      <c r="N95" s="100">
        <v>22.9</v>
      </c>
      <c r="O95" s="100">
        <v>0</v>
      </c>
      <c r="P95" s="100">
        <v>0.7</v>
      </c>
      <c r="Q95" s="100">
        <v>28.44</v>
      </c>
      <c r="R95" s="6"/>
      <c r="S95" s="6"/>
      <c r="T95" s="156"/>
      <c r="U95" s="6"/>
    </row>
    <row r="96" spans="1:21" customFormat="1">
      <c r="A96" s="163" t="s">
        <v>423</v>
      </c>
      <c r="B96" s="100">
        <v>1.96</v>
      </c>
      <c r="C96" s="100">
        <v>23.78</v>
      </c>
      <c r="D96" s="100">
        <v>14.67</v>
      </c>
      <c r="E96" s="100">
        <v>4.05</v>
      </c>
      <c r="F96" s="100">
        <v>24.49</v>
      </c>
      <c r="G96" s="100">
        <v>51.02</v>
      </c>
      <c r="H96" s="100">
        <v>24.29</v>
      </c>
      <c r="I96" s="100">
        <v>12.71</v>
      </c>
      <c r="J96" s="100">
        <v>0.74</v>
      </c>
      <c r="K96" s="100">
        <v>100.8</v>
      </c>
      <c r="L96" s="100">
        <v>30.24</v>
      </c>
      <c r="M96" s="100">
        <v>51.01</v>
      </c>
      <c r="N96" s="100">
        <v>22.7</v>
      </c>
      <c r="O96" s="100">
        <v>0</v>
      </c>
      <c r="P96" s="100">
        <v>0.67</v>
      </c>
      <c r="Q96" s="100">
        <v>28.42</v>
      </c>
      <c r="R96" s="6"/>
      <c r="S96" s="6"/>
      <c r="T96" s="156"/>
      <c r="U96" s="6"/>
    </row>
    <row r="97" spans="1:28" customFormat="1">
      <c r="A97" s="163" t="s">
        <v>424</v>
      </c>
      <c r="B97" s="100">
        <v>2.17</v>
      </c>
      <c r="C97" s="100">
        <v>25.68</v>
      </c>
      <c r="D97" s="100">
        <v>15.83</v>
      </c>
      <c r="E97" s="100">
        <v>4.88</v>
      </c>
      <c r="F97" s="100">
        <v>14.45</v>
      </c>
      <c r="G97" s="100">
        <v>45.9</v>
      </c>
      <c r="H97" s="100">
        <v>22.78</v>
      </c>
      <c r="I97" s="100">
        <v>12.06</v>
      </c>
      <c r="J97" s="100">
        <v>0.74</v>
      </c>
      <c r="K97" s="100">
        <v>111.18</v>
      </c>
      <c r="L97" s="100">
        <v>30.04</v>
      </c>
      <c r="M97" s="100">
        <v>51.9</v>
      </c>
      <c r="N97" s="100">
        <v>22.8</v>
      </c>
      <c r="O97" s="100">
        <v>0</v>
      </c>
      <c r="P97" s="100">
        <v>0.7</v>
      </c>
      <c r="Q97" s="100">
        <v>28.31</v>
      </c>
      <c r="R97" s="6"/>
      <c r="S97" s="6"/>
      <c r="T97" s="156"/>
      <c r="U97" s="6"/>
    </row>
    <row r="98" spans="1:28" customFormat="1">
      <c r="A98" s="163" t="s">
        <v>425</v>
      </c>
      <c r="B98" s="100">
        <v>2.64</v>
      </c>
      <c r="C98" s="100">
        <v>35.14</v>
      </c>
      <c r="D98" s="100">
        <v>21.15</v>
      </c>
      <c r="E98" s="100">
        <v>4.26</v>
      </c>
      <c r="F98" s="100">
        <v>10.57</v>
      </c>
      <c r="G98" s="100">
        <v>45.9</v>
      </c>
      <c r="H98" s="100">
        <v>22.78</v>
      </c>
      <c r="I98" s="100">
        <v>11.92</v>
      </c>
      <c r="J98" s="100">
        <v>0.75</v>
      </c>
      <c r="K98" s="100">
        <v>116.09</v>
      </c>
      <c r="L98" s="100">
        <v>29.96</v>
      </c>
      <c r="M98" s="100">
        <v>51.05</v>
      </c>
      <c r="N98" s="100">
        <v>22.7</v>
      </c>
      <c r="O98" s="100">
        <v>0</v>
      </c>
      <c r="P98" s="100">
        <v>0.69</v>
      </c>
      <c r="Q98" s="100">
        <v>27.89</v>
      </c>
      <c r="R98" s="6"/>
      <c r="S98" s="6"/>
      <c r="T98" s="156"/>
      <c r="U98" s="6"/>
    </row>
    <row r="99" spans="1:28" customFormat="1">
      <c r="A99" s="163" t="s">
        <v>426</v>
      </c>
      <c r="B99" s="100">
        <v>2.88</v>
      </c>
      <c r="C99" s="100">
        <v>37.01</v>
      </c>
      <c r="D99" s="100">
        <v>22.32</v>
      </c>
      <c r="E99" s="100">
        <v>4.46</v>
      </c>
      <c r="F99" s="100">
        <v>8.76</v>
      </c>
      <c r="G99" s="100">
        <v>45.9</v>
      </c>
      <c r="H99" s="100">
        <v>22.78</v>
      </c>
      <c r="I99" s="100">
        <v>12.28</v>
      </c>
      <c r="J99" s="100">
        <v>0.74</v>
      </c>
      <c r="K99" s="100">
        <v>123.26</v>
      </c>
      <c r="L99" s="100">
        <v>30.05</v>
      </c>
      <c r="M99" s="100">
        <v>50.13</v>
      </c>
      <c r="N99" s="100">
        <v>22.4</v>
      </c>
      <c r="O99" s="100">
        <v>0</v>
      </c>
      <c r="P99" s="100">
        <v>0.67</v>
      </c>
      <c r="Q99" s="100">
        <v>27.8</v>
      </c>
      <c r="R99" s="6"/>
      <c r="S99" s="6"/>
      <c r="T99" s="156"/>
      <c r="U99" s="6"/>
    </row>
    <row r="100" spans="1:28" customFormat="1">
      <c r="A100" s="163" t="s">
        <v>427</v>
      </c>
      <c r="B100" s="100">
        <v>2.96</v>
      </c>
      <c r="C100" s="100">
        <v>34.79</v>
      </c>
      <c r="D100" s="100">
        <v>21.23</v>
      </c>
      <c r="E100" s="100">
        <v>4.2300000000000004</v>
      </c>
      <c r="F100" s="100">
        <v>8.51</v>
      </c>
      <c r="G100" s="100">
        <v>42.59</v>
      </c>
      <c r="H100" s="100">
        <v>21.71</v>
      </c>
      <c r="I100" s="100">
        <v>12.54</v>
      </c>
      <c r="J100" s="100">
        <v>0.74</v>
      </c>
      <c r="K100" s="100">
        <v>130.18</v>
      </c>
      <c r="L100" s="100">
        <v>30.12</v>
      </c>
      <c r="M100" s="100">
        <v>49.57</v>
      </c>
      <c r="N100" s="100">
        <v>22.6</v>
      </c>
      <c r="O100" s="100">
        <v>0</v>
      </c>
      <c r="P100" s="100">
        <v>0.66</v>
      </c>
      <c r="Q100" s="100">
        <v>27.92</v>
      </c>
      <c r="R100" s="6"/>
      <c r="S100" s="6"/>
      <c r="T100" s="156"/>
      <c r="U100" s="6"/>
      <c r="AB100" s="161"/>
    </row>
    <row r="101" spans="1:28" customFormat="1">
      <c r="A101" s="163" t="s">
        <v>428</v>
      </c>
      <c r="B101" s="100">
        <v>3.25</v>
      </c>
      <c r="C101" s="100">
        <v>33.79</v>
      </c>
      <c r="D101" s="100">
        <v>20.94</v>
      </c>
      <c r="E101" s="100">
        <v>0.59</v>
      </c>
      <c r="F101" s="100">
        <v>7.87</v>
      </c>
      <c r="G101" s="100">
        <v>39.69</v>
      </c>
      <c r="H101" s="100">
        <v>20.77</v>
      </c>
      <c r="I101" s="100">
        <v>12.54</v>
      </c>
      <c r="J101" s="100">
        <v>0.74</v>
      </c>
      <c r="K101" s="100">
        <v>116.91</v>
      </c>
      <c r="L101" s="100">
        <v>30.06</v>
      </c>
      <c r="M101" s="100">
        <v>48.81</v>
      </c>
      <c r="N101" s="100">
        <v>22.7</v>
      </c>
      <c r="O101" s="100">
        <v>0</v>
      </c>
      <c r="P101" s="100">
        <v>0.62</v>
      </c>
      <c r="Q101" s="100">
        <v>27.95</v>
      </c>
      <c r="R101" s="6"/>
      <c r="S101" s="6"/>
      <c r="T101" s="156"/>
      <c r="U101" s="6"/>
    </row>
    <row r="102" spans="1:28" customFormat="1">
      <c r="A102" s="163" t="s">
        <v>429</v>
      </c>
      <c r="B102" s="100">
        <v>3.06</v>
      </c>
      <c r="C102" s="100">
        <v>26.34</v>
      </c>
      <c r="D102" s="100">
        <v>16.89</v>
      </c>
      <c r="E102" s="100">
        <v>2.16</v>
      </c>
      <c r="F102" s="100">
        <v>15.22</v>
      </c>
      <c r="G102" s="100">
        <v>39.69</v>
      </c>
      <c r="H102" s="100">
        <v>20.77</v>
      </c>
      <c r="I102" s="100">
        <v>12.54</v>
      </c>
      <c r="J102" s="100">
        <v>0.74</v>
      </c>
      <c r="K102" s="100">
        <v>123.64</v>
      </c>
      <c r="L102" s="100">
        <v>30.22</v>
      </c>
      <c r="M102" s="100">
        <v>47.65</v>
      </c>
      <c r="N102" s="100">
        <v>22.5</v>
      </c>
      <c r="O102" s="100">
        <v>0</v>
      </c>
      <c r="P102" s="100">
        <v>0.6</v>
      </c>
      <c r="Q102" s="100">
        <v>28.3</v>
      </c>
      <c r="R102" s="6"/>
      <c r="S102" s="6"/>
      <c r="T102" s="156"/>
      <c r="U102" s="6"/>
    </row>
    <row r="103" spans="1:28" customFormat="1">
      <c r="A103" s="163" t="s">
        <v>430</v>
      </c>
      <c r="B103" s="100">
        <v>3.38</v>
      </c>
      <c r="C103" s="100">
        <v>26.3</v>
      </c>
      <c r="D103" s="100">
        <v>17.13</v>
      </c>
      <c r="E103" s="100">
        <v>1.71</v>
      </c>
      <c r="F103" s="100">
        <v>10.72</v>
      </c>
      <c r="G103" s="100">
        <v>39.69</v>
      </c>
      <c r="H103" s="100">
        <v>20.77</v>
      </c>
      <c r="I103" s="100">
        <v>12.24</v>
      </c>
      <c r="J103" s="100">
        <v>0.63</v>
      </c>
      <c r="K103" s="100">
        <v>117.25</v>
      </c>
      <c r="L103" s="100">
        <v>29.93</v>
      </c>
      <c r="M103" s="100">
        <v>47.5</v>
      </c>
      <c r="N103" s="100">
        <v>22.7</v>
      </c>
      <c r="O103" s="100">
        <v>0</v>
      </c>
      <c r="P103" s="100">
        <v>0.63</v>
      </c>
      <c r="Q103" s="100">
        <v>28.45</v>
      </c>
      <c r="R103" s="6"/>
      <c r="S103" s="6"/>
      <c r="T103" s="156"/>
      <c r="U103" s="6"/>
    </row>
    <row r="104" spans="1:28" customFormat="1">
      <c r="A104" s="163" t="s">
        <v>431</v>
      </c>
      <c r="B104" s="100">
        <v>3.09</v>
      </c>
      <c r="C104" s="100">
        <v>27.39</v>
      </c>
      <c r="D104" s="100">
        <v>17.46</v>
      </c>
      <c r="E104" s="100">
        <v>1.92</v>
      </c>
      <c r="F104" s="100">
        <v>21.18</v>
      </c>
      <c r="G104" s="100">
        <v>38.630000000000003</v>
      </c>
      <c r="H104" s="100">
        <v>19.32</v>
      </c>
      <c r="I104" s="100">
        <v>11.82</v>
      </c>
      <c r="J104" s="100">
        <v>0.74</v>
      </c>
      <c r="K104" s="100">
        <v>107.69</v>
      </c>
      <c r="L104" s="100">
        <v>29.57</v>
      </c>
      <c r="M104" s="100">
        <v>47.81</v>
      </c>
      <c r="N104" s="100">
        <v>22.9</v>
      </c>
      <c r="O104" s="100">
        <v>0</v>
      </c>
      <c r="P104" s="100">
        <v>0.56999999999999995</v>
      </c>
      <c r="Q104" s="100">
        <v>28.34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0.16</v>
      </c>
      <c r="C106" s="158">
        <f>MIN(C9:C104)</f>
        <v>17.260000000000002</v>
      </c>
      <c r="D106" s="158">
        <f t="shared" ref="D106:Q106" si="0">MIN(D9:D104)</f>
        <v>9.83</v>
      </c>
      <c r="E106" s="158">
        <f t="shared" si="0"/>
        <v>0</v>
      </c>
      <c r="F106" s="158">
        <f t="shared" si="0"/>
        <v>2.2200000000000002</v>
      </c>
      <c r="G106" s="158">
        <f t="shared" si="0"/>
        <v>12.74</v>
      </c>
      <c r="H106" s="158">
        <f t="shared" si="0"/>
        <v>10.47</v>
      </c>
      <c r="I106" s="158">
        <f t="shared" si="0"/>
        <v>6.46</v>
      </c>
      <c r="J106" s="158">
        <f t="shared" si="0"/>
        <v>0.12</v>
      </c>
      <c r="K106" s="158">
        <f t="shared" si="0"/>
        <v>1.22</v>
      </c>
      <c r="L106" s="158">
        <f t="shared" si="0"/>
        <v>21.74</v>
      </c>
      <c r="M106" s="158">
        <f t="shared" si="0"/>
        <v>22.77</v>
      </c>
      <c r="N106" s="158">
        <f t="shared" si="0"/>
        <v>22.2</v>
      </c>
      <c r="O106" s="158">
        <f t="shared" si="0"/>
        <v>0</v>
      </c>
      <c r="P106" s="158">
        <f t="shared" si="0"/>
        <v>0.35</v>
      </c>
      <c r="Q106" s="158">
        <f t="shared" si="0"/>
        <v>26.52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18.32</v>
      </c>
      <c r="C107" s="157">
        <f t="shared" ref="C107:Q107" si="1">MAX(C9:C104)</f>
        <v>43.09</v>
      </c>
      <c r="D107" s="157">
        <f t="shared" si="1"/>
        <v>36.840000000000003</v>
      </c>
      <c r="E107" s="157">
        <f t="shared" si="1"/>
        <v>8.32</v>
      </c>
      <c r="F107" s="157">
        <f t="shared" si="1"/>
        <v>74.2</v>
      </c>
      <c r="G107" s="157">
        <f t="shared" si="1"/>
        <v>122.6</v>
      </c>
      <c r="H107" s="157">
        <f t="shared" si="1"/>
        <v>39.979999999999997</v>
      </c>
      <c r="I107" s="157">
        <f t="shared" si="1"/>
        <v>14.36</v>
      </c>
      <c r="J107" s="157">
        <f t="shared" si="1"/>
        <v>1.47</v>
      </c>
      <c r="K107" s="157">
        <f t="shared" si="1"/>
        <v>357.18</v>
      </c>
      <c r="L107" s="157">
        <f t="shared" si="1"/>
        <v>38.46</v>
      </c>
      <c r="M107" s="157">
        <f t="shared" si="1"/>
        <v>81.62</v>
      </c>
      <c r="N107" s="157">
        <f t="shared" si="1"/>
        <v>849.1</v>
      </c>
      <c r="O107" s="157">
        <f t="shared" si="1"/>
        <v>0</v>
      </c>
      <c r="P107" s="157">
        <f t="shared" si="1"/>
        <v>0.77</v>
      </c>
      <c r="Q107" s="157">
        <f t="shared" si="1"/>
        <v>29.08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8.9609375000000036</v>
      </c>
      <c r="C108" s="158">
        <f t="shared" ref="C108:Q108" si="2">AVERAGE(C9:C104)</f>
        <v>32.866250000000015</v>
      </c>
      <c r="D108" s="158">
        <f t="shared" si="2"/>
        <v>25.02062500000001</v>
      </c>
      <c r="E108" s="158">
        <f t="shared" si="2"/>
        <v>2.5824999999999996</v>
      </c>
      <c r="F108" s="158">
        <f t="shared" si="2"/>
        <v>12.756874999999999</v>
      </c>
      <c r="G108" s="158">
        <f t="shared" si="2"/>
        <v>52.805520833333333</v>
      </c>
      <c r="H108" s="158">
        <f t="shared" si="2"/>
        <v>22.249166666666671</v>
      </c>
      <c r="I108" s="158">
        <f t="shared" si="2"/>
        <v>11.849629629629632</v>
      </c>
      <c r="J108" s="158">
        <f t="shared" si="2"/>
        <v>0.65520833333333328</v>
      </c>
      <c r="K108" s="158">
        <f t="shared" si="2"/>
        <v>153.50666666666663</v>
      </c>
      <c r="L108" s="158">
        <f t="shared" si="2"/>
        <v>29.49625</v>
      </c>
      <c r="M108" s="158">
        <f t="shared" si="2"/>
        <v>52.832187499999975</v>
      </c>
      <c r="N108" s="158">
        <f t="shared" si="2"/>
        <v>244.26354166666678</v>
      </c>
      <c r="O108" s="158">
        <f t="shared" si="2"/>
        <v>0</v>
      </c>
      <c r="P108" s="158">
        <f t="shared" si="2"/>
        <v>0.55531250000000021</v>
      </c>
      <c r="Q108" s="158">
        <f t="shared" si="2"/>
        <v>27.601770833333333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6.5803813804248534</v>
      </c>
      <c r="C109" s="158">
        <f t="shared" ref="C109:Q109" si="3">STDEV(C9:C104)</f>
        <v>6.3851207382558313</v>
      </c>
      <c r="D109" s="158">
        <f t="shared" si="3"/>
        <v>8.1936814953577564</v>
      </c>
      <c r="E109" s="158">
        <f t="shared" si="3"/>
        <v>2.237767684663964</v>
      </c>
      <c r="F109" s="158">
        <f t="shared" si="3"/>
        <v>14.652536285751461</v>
      </c>
      <c r="G109" s="158">
        <f t="shared" si="3"/>
        <v>30.776931479678485</v>
      </c>
      <c r="H109" s="158">
        <f t="shared" si="3"/>
        <v>8.5338682124032186</v>
      </c>
      <c r="I109" s="158">
        <f t="shared" si="3"/>
        <v>2.1544167182816198</v>
      </c>
      <c r="J109" s="158">
        <f t="shared" si="3"/>
        <v>0.24727559381840755</v>
      </c>
      <c r="K109" s="158">
        <f t="shared" si="3"/>
        <v>94.397604214320609</v>
      </c>
      <c r="L109" s="158">
        <f t="shared" si="3"/>
        <v>5.709782786909142</v>
      </c>
      <c r="M109" s="158">
        <f t="shared" si="3"/>
        <v>20.648770943575933</v>
      </c>
      <c r="N109" s="158">
        <f t="shared" si="3"/>
        <v>300.44908006088104</v>
      </c>
      <c r="O109" s="158">
        <f t="shared" si="3"/>
        <v>0</v>
      </c>
      <c r="P109" s="158">
        <f t="shared" si="3"/>
        <v>0.10914937254201429</v>
      </c>
      <c r="Q109" s="158">
        <f t="shared" si="3"/>
        <v>0.70148263255189003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>COUNT(I9:I104)+69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0" sqref="H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432</v>
      </c>
      <c r="B9" s="100">
        <v>4.38</v>
      </c>
      <c r="C9" s="100">
        <v>22.23</v>
      </c>
      <c r="D9" s="100">
        <v>15.8</v>
      </c>
      <c r="E9" s="100">
        <v>1.49</v>
      </c>
      <c r="F9" s="100">
        <v>18.329999999999998</v>
      </c>
      <c r="G9" s="100">
        <v>37.700000000000003</v>
      </c>
      <c r="H9" s="100">
        <v>18.05</v>
      </c>
      <c r="I9" s="100">
        <v>11.78</v>
      </c>
      <c r="J9" s="100">
        <v>0.67</v>
      </c>
      <c r="K9" s="100">
        <v>118.3</v>
      </c>
      <c r="L9" s="100">
        <v>29.53</v>
      </c>
      <c r="M9" s="100">
        <v>45.86</v>
      </c>
      <c r="N9" s="100">
        <v>22.8</v>
      </c>
      <c r="O9" s="100">
        <v>0</v>
      </c>
      <c r="P9" s="100">
        <v>0.57999999999999996</v>
      </c>
      <c r="Q9" s="100">
        <v>28.47</v>
      </c>
      <c r="R9" s="6"/>
      <c r="S9" s="6"/>
      <c r="T9" s="156"/>
      <c r="U9" s="6"/>
    </row>
    <row r="10" spans="1:21" customFormat="1">
      <c r="A10" s="163" t="s">
        <v>433</v>
      </c>
      <c r="B10" s="100">
        <v>4.57</v>
      </c>
      <c r="C10" s="100">
        <v>24.29</v>
      </c>
      <c r="D10" s="100">
        <v>17.03</v>
      </c>
      <c r="E10" s="100">
        <v>1.77</v>
      </c>
      <c r="F10" s="100">
        <v>16.46</v>
      </c>
      <c r="G10" s="100">
        <v>37.700000000000003</v>
      </c>
      <c r="H10" s="100">
        <v>18.05</v>
      </c>
      <c r="I10" s="100">
        <v>10.88</v>
      </c>
      <c r="J10" s="100">
        <v>0.66</v>
      </c>
      <c r="K10" s="100">
        <v>139.63</v>
      </c>
      <c r="L10" s="100">
        <v>29.56</v>
      </c>
      <c r="M10" s="100">
        <v>45.84</v>
      </c>
      <c r="N10" s="100">
        <v>22.7</v>
      </c>
      <c r="O10" s="100">
        <v>0</v>
      </c>
      <c r="P10" s="100">
        <v>0.57999999999999996</v>
      </c>
      <c r="Q10" s="100">
        <v>28.39</v>
      </c>
      <c r="R10" s="6"/>
      <c r="S10" s="6"/>
      <c r="T10" s="156"/>
      <c r="U10" s="6"/>
    </row>
    <row r="11" spans="1:21" customFormat="1">
      <c r="A11" s="163" t="s">
        <v>434</v>
      </c>
      <c r="B11" s="100">
        <v>4.78</v>
      </c>
      <c r="C11" s="100">
        <v>25.48</v>
      </c>
      <c r="D11" s="100">
        <v>17.82</v>
      </c>
      <c r="E11" s="100">
        <v>1.4</v>
      </c>
      <c r="F11" s="100">
        <v>12.88</v>
      </c>
      <c r="G11" s="100">
        <v>37.700000000000003</v>
      </c>
      <c r="H11" s="100">
        <v>18.05</v>
      </c>
      <c r="I11" s="100">
        <v>10.94</v>
      </c>
      <c r="J11" s="100">
        <v>0.74</v>
      </c>
      <c r="K11" s="100">
        <v>125.09</v>
      </c>
      <c r="L11" s="100">
        <v>29.24</v>
      </c>
      <c r="M11" s="100">
        <v>48.34</v>
      </c>
      <c r="N11" s="100">
        <v>22.9</v>
      </c>
      <c r="O11" s="100">
        <v>0</v>
      </c>
      <c r="P11" s="100">
        <v>0.59</v>
      </c>
      <c r="Q11" s="100">
        <v>28.3</v>
      </c>
      <c r="R11" s="6"/>
      <c r="S11" s="6"/>
      <c r="T11" s="156"/>
      <c r="U11" s="6"/>
    </row>
    <row r="12" spans="1:21" customFormat="1">
      <c r="A12" s="163" t="s">
        <v>435</v>
      </c>
      <c r="B12" s="100">
        <v>5.0599999999999996</v>
      </c>
      <c r="C12" s="100">
        <v>27.4</v>
      </c>
      <c r="D12" s="100">
        <v>19.05</v>
      </c>
      <c r="E12" s="100">
        <v>1.6</v>
      </c>
      <c r="F12" s="100">
        <v>10.92</v>
      </c>
      <c r="G12" s="100">
        <v>34.99</v>
      </c>
      <c r="H12" s="100">
        <v>16.54</v>
      </c>
      <c r="I12" s="100">
        <v>10.99</v>
      </c>
      <c r="J12" s="100">
        <v>0.66</v>
      </c>
      <c r="K12" s="100">
        <v>189.77</v>
      </c>
      <c r="L12" s="100">
        <v>29.16</v>
      </c>
      <c r="M12" s="100">
        <v>49.45</v>
      </c>
      <c r="N12" s="100">
        <v>22.6</v>
      </c>
      <c r="O12" s="100">
        <v>0</v>
      </c>
      <c r="P12" s="100">
        <v>0.59</v>
      </c>
      <c r="Q12" s="100">
        <v>28.19</v>
      </c>
      <c r="R12" s="6"/>
      <c r="S12" s="6"/>
      <c r="T12" s="156"/>
      <c r="U12" s="6"/>
    </row>
    <row r="13" spans="1:21" customFormat="1">
      <c r="A13" s="163" t="s">
        <v>436</v>
      </c>
      <c r="B13" s="100">
        <v>5.76</v>
      </c>
      <c r="C13" s="100">
        <v>29.21</v>
      </c>
      <c r="D13" s="100">
        <v>20.56</v>
      </c>
      <c r="E13" s="100">
        <v>1.58</v>
      </c>
      <c r="F13" s="100">
        <v>7.29</v>
      </c>
      <c r="G13" s="100">
        <v>32.630000000000003</v>
      </c>
      <c r="H13" s="100">
        <v>15.22</v>
      </c>
      <c r="I13" s="100">
        <v>10.9</v>
      </c>
      <c r="J13" s="100">
        <v>1.08</v>
      </c>
      <c r="K13" s="100">
        <v>221.45</v>
      </c>
      <c r="L13" s="100">
        <v>29.54</v>
      </c>
      <c r="M13" s="100">
        <v>48.84</v>
      </c>
      <c r="N13" s="100">
        <v>22.4</v>
      </c>
      <c r="O13" s="100">
        <v>0</v>
      </c>
      <c r="P13" s="100">
        <v>0.61</v>
      </c>
      <c r="Q13" s="100">
        <v>28.06</v>
      </c>
      <c r="R13" s="6"/>
      <c r="S13" s="6"/>
      <c r="T13" s="156"/>
      <c r="U13" s="6"/>
    </row>
    <row r="14" spans="1:21" customFormat="1">
      <c r="A14" s="163" t="s">
        <v>437</v>
      </c>
      <c r="B14" s="100">
        <v>6.24</v>
      </c>
      <c r="C14" s="100">
        <v>29.51</v>
      </c>
      <c r="D14" s="100">
        <v>21.1</v>
      </c>
      <c r="E14" s="100">
        <v>1.31</v>
      </c>
      <c r="F14" s="100">
        <v>6.92</v>
      </c>
      <c r="G14" s="100">
        <v>32.630000000000003</v>
      </c>
      <c r="H14" s="100">
        <v>15.22</v>
      </c>
      <c r="I14" s="100">
        <v>11.13</v>
      </c>
      <c r="J14" s="100">
        <v>1.25</v>
      </c>
      <c r="K14" s="100">
        <v>223.18</v>
      </c>
      <c r="L14" s="100">
        <v>29.38</v>
      </c>
      <c r="M14" s="100">
        <v>49.6</v>
      </c>
      <c r="N14" s="100">
        <v>22.6</v>
      </c>
      <c r="O14" s="100">
        <v>0</v>
      </c>
      <c r="P14" s="100">
        <v>0.6</v>
      </c>
      <c r="Q14" s="100">
        <v>28.01</v>
      </c>
      <c r="R14" s="6"/>
      <c r="S14" s="6"/>
      <c r="T14" s="156"/>
      <c r="U14" s="6"/>
    </row>
    <row r="15" spans="1:21" customFormat="1">
      <c r="A15" s="163" t="s">
        <v>438</v>
      </c>
      <c r="B15" s="100">
        <v>6.95</v>
      </c>
      <c r="C15" s="100">
        <v>40.130000000000003</v>
      </c>
      <c r="D15" s="100">
        <v>27.22</v>
      </c>
      <c r="E15" s="100">
        <v>1.08</v>
      </c>
      <c r="F15" s="100">
        <v>4.0199999999999996</v>
      </c>
      <c r="G15" s="100">
        <v>32.630000000000003</v>
      </c>
      <c r="H15" s="100">
        <v>15.22</v>
      </c>
      <c r="I15" s="100">
        <v>11.34</v>
      </c>
      <c r="J15" s="100">
        <v>0.98</v>
      </c>
      <c r="K15" s="100">
        <v>213.64</v>
      </c>
      <c r="L15" s="100">
        <v>29.2</v>
      </c>
      <c r="M15" s="100">
        <v>51.56</v>
      </c>
      <c r="N15" s="100">
        <v>22.9</v>
      </c>
      <c r="O15" s="100">
        <v>0</v>
      </c>
      <c r="P15" s="100">
        <v>0.6</v>
      </c>
      <c r="Q15" s="100">
        <v>27.54</v>
      </c>
      <c r="R15" s="6"/>
      <c r="S15" s="6"/>
      <c r="T15" s="156"/>
      <c r="U15" s="6"/>
    </row>
    <row r="16" spans="1:21" customFormat="1">
      <c r="A16" s="163" t="s">
        <v>439</v>
      </c>
      <c r="B16" s="100">
        <v>7.28</v>
      </c>
      <c r="C16" s="100">
        <v>41.5</v>
      </c>
      <c r="D16" s="100">
        <v>28.19</v>
      </c>
      <c r="E16" s="100">
        <v>1.25</v>
      </c>
      <c r="F16" s="100">
        <v>4.6500000000000004</v>
      </c>
      <c r="G16" s="100">
        <v>34.729999999999997</v>
      </c>
      <c r="H16" s="100">
        <v>16.239999999999998</v>
      </c>
      <c r="I16" s="100">
        <v>11.29</v>
      </c>
      <c r="J16" s="100">
        <v>0.67</v>
      </c>
      <c r="K16" s="100">
        <v>188.91</v>
      </c>
      <c r="L16" s="100">
        <v>28.93</v>
      </c>
      <c r="M16" s="100">
        <v>53.76</v>
      </c>
      <c r="N16" s="100">
        <v>23</v>
      </c>
      <c r="O16" s="100">
        <v>0</v>
      </c>
      <c r="P16" s="100">
        <v>0.59</v>
      </c>
      <c r="Q16" s="100">
        <v>27.48</v>
      </c>
      <c r="R16" s="6"/>
      <c r="S16" s="6"/>
      <c r="T16" s="156"/>
      <c r="U16" s="6"/>
    </row>
    <row r="17" spans="1:21" customFormat="1">
      <c r="A17" s="163" t="s">
        <v>440</v>
      </c>
      <c r="B17" s="100">
        <v>7.68</v>
      </c>
      <c r="C17" s="100">
        <v>38.97</v>
      </c>
      <c r="D17" s="100">
        <v>27.2</v>
      </c>
      <c r="E17" s="100">
        <v>1.07</v>
      </c>
      <c r="F17" s="100">
        <v>3.6</v>
      </c>
      <c r="G17" s="100">
        <v>36.58</v>
      </c>
      <c r="H17" s="100">
        <v>17.13</v>
      </c>
      <c r="I17" s="100">
        <v>11.49</v>
      </c>
      <c r="J17" s="100">
        <v>0.93</v>
      </c>
      <c r="K17" s="100">
        <v>206.15</v>
      </c>
      <c r="L17" s="100">
        <v>28.76</v>
      </c>
      <c r="M17" s="100">
        <v>54.5</v>
      </c>
      <c r="N17" s="100">
        <v>22.8</v>
      </c>
      <c r="O17" s="100">
        <v>0</v>
      </c>
      <c r="P17" s="100">
        <v>0.57999999999999996</v>
      </c>
      <c r="Q17" s="100">
        <v>27.6</v>
      </c>
      <c r="R17" s="6"/>
      <c r="S17" s="6"/>
      <c r="T17" s="156"/>
      <c r="U17" s="6"/>
    </row>
    <row r="18" spans="1:21" customFormat="1">
      <c r="A18" s="163" t="s">
        <v>441</v>
      </c>
      <c r="B18" s="100">
        <v>7.98</v>
      </c>
      <c r="C18" s="100">
        <v>37.39</v>
      </c>
      <c r="D18" s="100">
        <v>26.61</v>
      </c>
      <c r="E18" s="100">
        <v>1.39</v>
      </c>
      <c r="F18" s="100">
        <v>3.26</v>
      </c>
      <c r="G18" s="100">
        <v>36.58</v>
      </c>
      <c r="H18" s="100">
        <v>17.13</v>
      </c>
      <c r="I18" s="100">
        <v>11.42</v>
      </c>
      <c r="J18" s="100">
        <v>0.83</v>
      </c>
      <c r="K18" s="100">
        <v>202.79</v>
      </c>
      <c r="L18" s="100">
        <v>28.72</v>
      </c>
      <c r="M18" s="100">
        <v>55.25</v>
      </c>
      <c r="N18" s="100">
        <v>22.7</v>
      </c>
      <c r="O18" s="100">
        <v>0</v>
      </c>
      <c r="P18" s="100">
        <v>0.56999999999999995</v>
      </c>
      <c r="Q18" s="100">
        <v>27.66</v>
      </c>
      <c r="R18" s="6"/>
      <c r="S18" s="6"/>
      <c r="T18" s="156"/>
      <c r="U18" s="6"/>
    </row>
    <row r="19" spans="1:21" customFormat="1">
      <c r="A19" s="163" t="s">
        <v>442</v>
      </c>
      <c r="B19" s="100">
        <v>8.36</v>
      </c>
      <c r="C19" s="100">
        <v>35.729999999999997</v>
      </c>
      <c r="D19" s="100">
        <v>26.05</v>
      </c>
      <c r="E19" s="100">
        <v>0.9</v>
      </c>
      <c r="F19" s="100">
        <v>2.83</v>
      </c>
      <c r="G19" s="100">
        <v>36.58</v>
      </c>
      <c r="H19" s="100">
        <v>17.13</v>
      </c>
      <c r="I19" s="100">
        <v>11.39</v>
      </c>
      <c r="J19" s="100">
        <v>0.84</v>
      </c>
      <c r="K19" s="100">
        <v>206.9</v>
      </c>
      <c r="L19" s="100">
        <v>28.74</v>
      </c>
      <c r="M19" s="100">
        <v>55.18</v>
      </c>
      <c r="N19" s="100">
        <v>22.6</v>
      </c>
      <c r="O19" s="100">
        <v>0</v>
      </c>
      <c r="P19" s="100">
        <v>0.56999999999999995</v>
      </c>
      <c r="Q19" s="100">
        <v>27.73</v>
      </c>
      <c r="R19" s="6"/>
      <c r="S19" s="6"/>
      <c r="T19" s="156"/>
      <c r="U19" s="6"/>
    </row>
    <row r="20" spans="1:21" customFormat="1">
      <c r="A20" s="163" t="s">
        <v>443</v>
      </c>
      <c r="B20" s="100">
        <v>8.7100000000000009</v>
      </c>
      <c r="C20" s="100">
        <v>36.4</v>
      </c>
      <c r="D20" s="100">
        <v>26.68</v>
      </c>
      <c r="E20" s="100">
        <v>1.36</v>
      </c>
      <c r="F20" s="100">
        <v>3.06</v>
      </c>
      <c r="G20" s="100">
        <v>36.56</v>
      </c>
      <c r="H20" s="100">
        <v>18.53</v>
      </c>
      <c r="I20" s="100">
        <v>11.39</v>
      </c>
      <c r="J20" s="100">
        <v>0.81</v>
      </c>
      <c r="K20" s="100">
        <v>189.27</v>
      </c>
      <c r="L20" s="100">
        <v>28.61</v>
      </c>
      <c r="M20" s="100">
        <v>55.54</v>
      </c>
      <c r="N20" s="100">
        <v>22.8</v>
      </c>
      <c r="O20" s="100">
        <v>0</v>
      </c>
      <c r="P20" s="100">
        <v>0.56000000000000005</v>
      </c>
      <c r="Q20" s="100">
        <v>27.72</v>
      </c>
      <c r="R20" s="6"/>
      <c r="S20" s="6"/>
      <c r="T20" s="156"/>
      <c r="U20" s="6"/>
    </row>
    <row r="21" spans="1:21" customFormat="1">
      <c r="A21" s="163" t="s">
        <v>444</v>
      </c>
      <c r="B21" s="100">
        <v>8.7799999999999994</v>
      </c>
      <c r="C21" s="100">
        <v>36.1</v>
      </c>
      <c r="D21" s="100">
        <v>26.58</v>
      </c>
      <c r="E21" s="100">
        <v>1.49</v>
      </c>
      <c r="F21" s="100">
        <v>5.76</v>
      </c>
      <c r="G21" s="100">
        <v>36.549999999999997</v>
      </c>
      <c r="H21" s="100">
        <v>19.75</v>
      </c>
      <c r="I21" s="100">
        <v>11.35</v>
      </c>
      <c r="J21" s="100">
        <v>0.83</v>
      </c>
      <c r="K21" s="100">
        <v>178.03</v>
      </c>
      <c r="L21" s="100">
        <v>28.27</v>
      </c>
      <c r="M21" s="100">
        <v>57.52</v>
      </c>
      <c r="N21" s="100">
        <v>23.1</v>
      </c>
      <c r="O21" s="100">
        <v>0</v>
      </c>
      <c r="P21" s="100">
        <v>0.53</v>
      </c>
      <c r="Q21" s="100">
        <v>27.64</v>
      </c>
      <c r="R21" s="6"/>
      <c r="S21" s="6"/>
      <c r="T21" s="156"/>
      <c r="U21" s="6"/>
    </row>
    <row r="22" spans="1:21" customFormat="1">
      <c r="A22" s="163" t="s">
        <v>445</v>
      </c>
      <c r="B22" s="100">
        <v>8.8000000000000007</v>
      </c>
      <c r="C22" s="100">
        <v>29.01</v>
      </c>
      <c r="D22" s="100">
        <v>22.89</v>
      </c>
      <c r="E22" s="100">
        <v>0.7</v>
      </c>
      <c r="F22" s="100">
        <v>6</v>
      </c>
      <c r="G22" s="100">
        <v>36.549999999999997</v>
      </c>
      <c r="H22" s="100">
        <v>19.75</v>
      </c>
      <c r="I22" s="100">
        <v>11.19</v>
      </c>
      <c r="J22" s="100">
        <v>0.63</v>
      </c>
      <c r="K22" s="100">
        <v>177.41</v>
      </c>
      <c r="L22" s="100">
        <v>28.12</v>
      </c>
      <c r="M22" s="100">
        <v>57.89</v>
      </c>
      <c r="N22" s="100">
        <v>22.9</v>
      </c>
      <c r="O22" s="100">
        <v>0</v>
      </c>
      <c r="P22" s="100">
        <v>0.54</v>
      </c>
      <c r="Q22" s="100">
        <v>27.95</v>
      </c>
      <c r="R22" s="6"/>
      <c r="S22" s="6"/>
      <c r="T22" s="156"/>
      <c r="U22" s="6"/>
    </row>
    <row r="23" spans="1:21" customFormat="1">
      <c r="A23" s="163" t="s">
        <v>446</v>
      </c>
      <c r="B23" s="100">
        <v>9</v>
      </c>
      <c r="C23" s="100">
        <v>28</v>
      </c>
      <c r="D23" s="100">
        <v>22.52</v>
      </c>
      <c r="E23" s="100">
        <v>1.03</v>
      </c>
      <c r="F23" s="100">
        <v>5.27</v>
      </c>
      <c r="G23" s="100">
        <v>36.549999999999997</v>
      </c>
      <c r="H23" s="100">
        <v>19.75</v>
      </c>
      <c r="I23" s="100">
        <v>10.85</v>
      </c>
      <c r="J23" s="100">
        <v>0.63</v>
      </c>
      <c r="K23" s="100">
        <v>171.76</v>
      </c>
      <c r="L23" s="100">
        <v>27.96</v>
      </c>
      <c r="M23" s="100">
        <v>58.84</v>
      </c>
      <c r="N23" s="100">
        <v>22.9</v>
      </c>
      <c r="O23" s="100">
        <v>0</v>
      </c>
      <c r="P23" s="100">
        <v>0.55000000000000004</v>
      </c>
      <c r="Q23" s="100">
        <v>28.01</v>
      </c>
      <c r="R23" s="6"/>
      <c r="S23" s="6"/>
      <c r="T23" s="156"/>
      <c r="U23" s="6"/>
    </row>
    <row r="24" spans="1:21" customFormat="1">
      <c r="A24" s="163" t="s">
        <v>447</v>
      </c>
      <c r="B24" s="100">
        <v>8.73</v>
      </c>
      <c r="C24" s="100">
        <v>28.11</v>
      </c>
      <c r="D24" s="100">
        <v>22.36</v>
      </c>
      <c r="E24" s="100">
        <v>0.95</v>
      </c>
      <c r="F24" s="100">
        <v>7.65</v>
      </c>
      <c r="G24" s="100">
        <v>33.6</v>
      </c>
      <c r="H24" s="100">
        <v>18.77</v>
      </c>
      <c r="I24" s="100">
        <v>10.72</v>
      </c>
      <c r="J24" s="100">
        <v>0.54</v>
      </c>
      <c r="K24" s="100">
        <v>132.37</v>
      </c>
      <c r="L24" s="100">
        <v>27.77</v>
      </c>
      <c r="M24" s="100">
        <v>59.53</v>
      </c>
      <c r="N24" s="100">
        <v>23</v>
      </c>
      <c r="O24" s="100">
        <v>0</v>
      </c>
      <c r="P24" s="100">
        <v>0.54</v>
      </c>
      <c r="Q24" s="100">
        <v>28.01</v>
      </c>
      <c r="R24" s="6"/>
      <c r="S24" s="6"/>
      <c r="T24" s="156"/>
      <c r="U24" s="6"/>
    </row>
    <row r="25" spans="1:21" customFormat="1">
      <c r="A25" s="163" t="s">
        <v>448</v>
      </c>
      <c r="B25" s="100">
        <v>9</v>
      </c>
      <c r="C25" s="100">
        <v>29.66</v>
      </c>
      <c r="D25" s="100">
        <v>23.39</v>
      </c>
      <c r="E25" s="100">
        <v>0.56000000000000005</v>
      </c>
      <c r="F25" s="100">
        <v>5.39</v>
      </c>
      <c r="G25" s="100">
        <v>31.03</v>
      </c>
      <c r="H25" s="100">
        <v>17.91</v>
      </c>
      <c r="I25" s="100">
        <v>10.53</v>
      </c>
      <c r="J25" s="100">
        <v>0.23</v>
      </c>
      <c r="K25" s="100">
        <v>35.590000000000003</v>
      </c>
      <c r="L25" s="100">
        <v>27.52</v>
      </c>
      <c r="M25" s="100">
        <v>61.02</v>
      </c>
      <c r="N25" s="100">
        <v>22.9</v>
      </c>
      <c r="O25" s="100">
        <v>0</v>
      </c>
      <c r="P25" s="100">
        <v>0.54</v>
      </c>
      <c r="Q25" s="100">
        <v>27.98</v>
      </c>
      <c r="R25" s="6"/>
      <c r="S25" s="6"/>
      <c r="T25" s="156"/>
      <c r="U25" s="6"/>
    </row>
    <row r="26" spans="1:21" customFormat="1">
      <c r="A26" s="163" t="s">
        <v>449</v>
      </c>
      <c r="B26" s="100">
        <v>9.6999999999999993</v>
      </c>
      <c r="C26" s="100">
        <v>30.15</v>
      </c>
      <c r="D26" s="100">
        <v>24.21</v>
      </c>
      <c r="E26" s="100">
        <v>0.97</v>
      </c>
      <c r="F26" s="100">
        <v>4.22</v>
      </c>
      <c r="G26" s="100">
        <v>31.03</v>
      </c>
      <c r="H26" s="100">
        <v>17.91</v>
      </c>
      <c r="I26" s="100">
        <v>10.199999999999999</v>
      </c>
      <c r="J26" s="100">
        <v>1.06</v>
      </c>
      <c r="K26" s="100">
        <v>245.43</v>
      </c>
      <c r="L26" s="100">
        <v>27.84</v>
      </c>
      <c r="M26" s="100">
        <v>59.35</v>
      </c>
      <c r="N26" s="100">
        <v>22.5</v>
      </c>
      <c r="O26" s="100">
        <v>0</v>
      </c>
      <c r="P26" s="100">
        <v>0.54</v>
      </c>
      <c r="Q26" s="100">
        <v>27.87</v>
      </c>
      <c r="R26" s="6"/>
      <c r="S26" s="6"/>
      <c r="T26" s="156"/>
      <c r="U26" s="6"/>
    </row>
    <row r="27" spans="1:21" customFormat="1">
      <c r="A27" s="163" t="s">
        <v>450</v>
      </c>
      <c r="B27" s="100">
        <v>10.29</v>
      </c>
      <c r="C27" s="100">
        <v>30</v>
      </c>
      <c r="D27" s="100">
        <v>24.61</v>
      </c>
      <c r="E27" s="100">
        <v>0.87</v>
      </c>
      <c r="F27" s="100">
        <v>3.77</v>
      </c>
      <c r="G27" s="100">
        <v>31.03</v>
      </c>
      <c r="H27" s="100">
        <v>17.91</v>
      </c>
      <c r="I27" s="100">
        <v>10.24</v>
      </c>
      <c r="J27" s="100">
        <v>1.41</v>
      </c>
      <c r="K27" s="100">
        <v>235.87</v>
      </c>
      <c r="L27" s="100">
        <v>27.94</v>
      </c>
      <c r="M27" s="100">
        <v>59.27</v>
      </c>
      <c r="N27" s="100">
        <v>22.6</v>
      </c>
      <c r="O27" s="100">
        <v>0</v>
      </c>
      <c r="P27" s="100">
        <v>0.54</v>
      </c>
      <c r="Q27" s="100">
        <v>27.82</v>
      </c>
      <c r="R27" s="6"/>
      <c r="S27" s="6"/>
      <c r="T27" s="156"/>
      <c r="U27" s="6"/>
    </row>
    <row r="28" spans="1:21" customFormat="1">
      <c r="A28" s="163" t="s">
        <v>451</v>
      </c>
      <c r="B28" s="100">
        <v>10.81</v>
      </c>
      <c r="C28" s="100">
        <v>28.92</v>
      </c>
      <c r="D28" s="100">
        <v>24.45</v>
      </c>
      <c r="E28" s="100">
        <v>0.5</v>
      </c>
      <c r="F28" s="100">
        <v>3</v>
      </c>
      <c r="G28" s="100">
        <v>29.66</v>
      </c>
      <c r="H28" s="100">
        <v>15.69</v>
      </c>
      <c r="I28" s="100">
        <v>10.36</v>
      </c>
      <c r="J28" s="100">
        <v>0.79</v>
      </c>
      <c r="K28" s="100">
        <v>257.31</v>
      </c>
      <c r="L28" s="100">
        <v>27.6</v>
      </c>
      <c r="M28" s="100">
        <v>61.64</v>
      </c>
      <c r="N28" s="100">
        <v>23.2</v>
      </c>
      <c r="O28" s="100">
        <v>0</v>
      </c>
      <c r="P28" s="100">
        <v>0.54</v>
      </c>
      <c r="Q28" s="100">
        <v>27.86</v>
      </c>
      <c r="R28" s="6"/>
      <c r="S28" s="6"/>
      <c r="T28" s="156"/>
      <c r="U28" s="6"/>
    </row>
    <row r="29" spans="1:21" customFormat="1">
      <c r="A29" s="163" t="s">
        <v>452</v>
      </c>
      <c r="B29" s="100">
        <v>11.23</v>
      </c>
      <c r="C29" s="100">
        <v>30</v>
      </c>
      <c r="D29" s="100">
        <v>25.35</v>
      </c>
      <c r="E29" s="100">
        <v>0.24</v>
      </c>
      <c r="F29" s="100">
        <v>2.72</v>
      </c>
      <c r="G29" s="100">
        <v>28.46</v>
      </c>
      <c r="H29" s="100">
        <v>13.75</v>
      </c>
      <c r="I29" s="100">
        <v>10.33</v>
      </c>
      <c r="J29" s="100">
        <v>0.66</v>
      </c>
      <c r="K29" s="100">
        <v>103.46</v>
      </c>
      <c r="L29" s="100">
        <v>27.39</v>
      </c>
      <c r="M29" s="100">
        <v>64.2</v>
      </c>
      <c r="N29" s="100">
        <v>23.3</v>
      </c>
      <c r="O29" s="100">
        <v>0</v>
      </c>
      <c r="P29" s="100">
        <v>0.51</v>
      </c>
      <c r="Q29" s="100">
        <v>27.82</v>
      </c>
      <c r="R29" s="6"/>
      <c r="S29" s="6"/>
      <c r="T29" s="156"/>
      <c r="U29" s="6"/>
    </row>
    <row r="30" spans="1:21" customFormat="1">
      <c r="A30" s="163" t="s">
        <v>453</v>
      </c>
      <c r="B30" s="100">
        <v>11.71</v>
      </c>
      <c r="C30" s="100">
        <v>30.25</v>
      </c>
      <c r="D30" s="100">
        <v>25.87</v>
      </c>
      <c r="E30" s="100">
        <v>0.33</v>
      </c>
      <c r="F30" s="100">
        <v>2.73</v>
      </c>
      <c r="G30" s="100">
        <v>28.46</v>
      </c>
      <c r="H30" s="100">
        <v>13.75</v>
      </c>
      <c r="I30" s="100">
        <v>10.4</v>
      </c>
      <c r="J30" s="100">
        <v>1.02</v>
      </c>
      <c r="K30" s="100">
        <v>193.96</v>
      </c>
      <c r="L30" s="100">
        <v>27.65</v>
      </c>
      <c r="M30" s="100">
        <v>62.84</v>
      </c>
      <c r="N30" s="100">
        <v>23.7</v>
      </c>
      <c r="O30" s="100">
        <v>0</v>
      </c>
      <c r="P30" s="100">
        <v>0.52</v>
      </c>
      <c r="Q30" s="100">
        <v>27.84</v>
      </c>
      <c r="R30" s="6"/>
      <c r="S30" s="6"/>
      <c r="T30" s="156"/>
      <c r="U30" s="6"/>
    </row>
    <row r="31" spans="1:21" customFormat="1">
      <c r="A31" s="163" t="s">
        <v>454</v>
      </c>
      <c r="B31" s="100">
        <v>12.11</v>
      </c>
      <c r="C31" s="100">
        <v>30.74</v>
      </c>
      <c r="D31" s="100">
        <v>26.45</v>
      </c>
      <c r="E31" s="100">
        <v>1.05</v>
      </c>
      <c r="F31" s="100">
        <v>2.67</v>
      </c>
      <c r="G31" s="100">
        <v>28.46</v>
      </c>
      <c r="H31" s="100">
        <v>13.75</v>
      </c>
      <c r="I31" s="100">
        <v>10.52</v>
      </c>
      <c r="J31" s="100">
        <v>0.92</v>
      </c>
      <c r="K31" s="100">
        <v>317.77</v>
      </c>
      <c r="L31" s="100">
        <v>27.78</v>
      </c>
      <c r="M31" s="100">
        <v>63.28</v>
      </c>
      <c r="N31" s="100">
        <v>29.1</v>
      </c>
      <c r="O31" s="100">
        <v>0</v>
      </c>
      <c r="P31" s="100">
        <v>0.52</v>
      </c>
      <c r="Q31" s="100">
        <v>27.79</v>
      </c>
      <c r="R31" s="6"/>
      <c r="S31" s="6"/>
      <c r="T31" s="156"/>
      <c r="U31" s="6"/>
    </row>
    <row r="32" spans="1:21" customFormat="1">
      <c r="A32" s="163" t="s">
        <v>455</v>
      </c>
      <c r="B32" s="100">
        <v>12.73</v>
      </c>
      <c r="C32" s="100">
        <v>30.8</v>
      </c>
      <c r="D32" s="100">
        <v>26.98</v>
      </c>
      <c r="E32" s="100">
        <v>0.95</v>
      </c>
      <c r="F32" s="100">
        <v>2.84</v>
      </c>
      <c r="G32" s="100">
        <v>34.17</v>
      </c>
      <c r="H32" s="100">
        <v>15.53</v>
      </c>
      <c r="I32" s="100">
        <v>10.69</v>
      </c>
      <c r="J32" s="100">
        <v>1.1100000000000001</v>
      </c>
      <c r="K32" s="100">
        <v>22.69</v>
      </c>
      <c r="L32" s="100">
        <v>27.76</v>
      </c>
      <c r="M32" s="100">
        <v>64.8</v>
      </c>
      <c r="N32" s="100">
        <v>43</v>
      </c>
      <c r="O32" s="100">
        <v>0</v>
      </c>
      <c r="P32" s="100">
        <v>0.53</v>
      </c>
      <c r="Q32" s="100">
        <v>27.67</v>
      </c>
      <c r="R32" s="6"/>
      <c r="S32" s="6"/>
      <c r="T32" s="156"/>
      <c r="U32" s="6"/>
    </row>
    <row r="33" spans="1:21" customFormat="1">
      <c r="A33" s="163" t="s">
        <v>456</v>
      </c>
      <c r="B33" s="100">
        <v>13.37</v>
      </c>
      <c r="C33" s="100">
        <v>31.37</v>
      </c>
      <c r="D33" s="100">
        <v>27.79</v>
      </c>
      <c r="E33" s="100">
        <v>1.02</v>
      </c>
      <c r="F33" s="100">
        <v>2.99</v>
      </c>
      <c r="G33" s="100">
        <v>39.17</v>
      </c>
      <c r="H33" s="100">
        <v>17.079999999999998</v>
      </c>
      <c r="I33" s="100">
        <v>11.03</v>
      </c>
      <c r="J33" s="100">
        <v>0.17</v>
      </c>
      <c r="K33" s="100">
        <v>205.08</v>
      </c>
      <c r="L33" s="100">
        <v>28.05</v>
      </c>
      <c r="M33" s="100">
        <v>63.2</v>
      </c>
      <c r="N33" s="100">
        <v>50</v>
      </c>
      <c r="O33" s="100">
        <v>0</v>
      </c>
      <c r="P33" s="100">
        <v>0.53</v>
      </c>
      <c r="Q33" s="100">
        <v>27.59</v>
      </c>
      <c r="R33" s="6"/>
      <c r="S33" s="6"/>
      <c r="T33" s="156"/>
      <c r="U33" s="6"/>
    </row>
    <row r="34" spans="1:21" customFormat="1">
      <c r="A34" s="163" t="s">
        <v>457</v>
      </c>
      <c r="B34" s="100">
        <v>13.45</v>
      </c>
      <c r="C34" s="100">
        <v>33.6</v>
      </c>
      <c r="D34" s="100">
        <v>29.02</v>
      </c>
      <c r="E34" s="100">
        <v>0.85</v>
      </c>
      <c r="F34" s="100">
        <v>3.59</v>
      </c>
      <c r="G34" s="100">
        <v>39.17</v>
      </c>
      <c r="H34" s="100">
        <v>17.079999999999998</v>
      </c>
      <c r="I34" s="100">
        <v>11.42</v>
      </c>
      <c r="J34" s="100">
        <v>0.98</v>
      </c>
      <c r="K34" s="100">
        <v>168.01</v>
      </c>
      <c r="L34" s="100">
        <v>28.24</v>
      </c>
      <c r="M34" s="100">
        <v>63.76</v>
      </c>
      <c r="N34" s="100">
        <v>48</v>
      </c>
      <c r="O34" s="100">
        <v>0</v>
      </c>
      <c r="P34" s="100">
        <v>0.53</v>
      </c>
      <c r="Q34" s="100">
        <v>27.51</v>
      </c>
      <c r="R34" s="6"/>
      <c r="S34" s="6"/>
      <c r="T34" s="156"/>
      <c r="U34" s="6"/>
    </row>
    <row r="35" spans="1:21" customFormat="1">
      <c r="A35" s="163" t="s">
        <v>458</v>
      </c>
      <c r="B35" s="100">
        <v>13.48</v>
      </c>
      <c r="C35" s="100">
        <v>28.56</v>
      </c>
      <c r="D35" s="100">
        <v>26.41</v>
      </c>
      <c r="E35" s="100">
        <v>0.97</v>
      </c>
      <c r="F35" s="100">
        <v>3.38</v>
      </c>
      <c r="G35" s="100">
        <v>39.17</v>
      </c>
      <c r="H35" s="100">
        <v>17.079999999999998</v>
      </c>
      <c r="I35" s="100">
        <v>11.6</v>
      </c>
      <c r="J35" s="100">
        <v>1.33</v>
      </c>
      <c r="K35" s="100">
        <v>188.55</v>
      </c>
      <c r="L35" s="100">
        <v>28.64</v>
      </c>
      <c r="M35" s="100">
        <v>61.58</v>
      </c>
      <c r="N35" s="100">
        <v>54.9</v>
      </c>
      <c r="O35" s="100">
        <v>0</v>
      </c>
      <c r="P35" s="100">
        <v>0.53</v>
      </c>
      <c r="Q35" s="100">
        <v>27.7</v>
      </c>
      <c r="R35" s="6"/>
      <c r="S35" s="6"/>
      <c r="T35" s="156"/>
      <c r="U35" s="6"/>
    </row>
    <row r="36" spans="1:21" customFormat="1">
      <c r="A36" s="163" t="s">
        <v>459</v>
      </c>
      <c r="B36" s="100">
        <v>12.86</v>
      </c>
      <c r="C36" s="100">
        <v>28.12</v>
      </c>
      <c r="D36" s="100">
        <v>25.68</v>
      </c>
      <c r="E36" s="100">
        <v>0.52</v>
      </c>
      <c r="F36" s="100">
        <v>4.51</v>
      </c>
      <c r="G36" s="100">
        <v>45.11</v>
      </c>
      <c r="H36" s="100">
        <v>23.28</v>
      </c>
      <c r="I36" s="100">
        <v>11.76</v>
      </c>
      <c r="J36" s="100">
        <v>1.72</v>
      </c>
      <c r="K36" s="100">
        <v>223.49</v>
      </c>
      <c r="L36" s="100">
        <v>28.89</v>
      </c>
      <c r="M36" s="100">
        <v>61.2</v>
      </c>
      <c r="N36" s="100">
        <v>79.599999999999994</v>
      </c>
      <c r="O36" s="100">
        <v>0</v>
      </c>
      <c r="P36" s="100">
        <v>0.55000000000000004</v>
      </c>
      <c r="Q36" s="100">
        <v>27.76</v>
      </c>
      <c r="R36" s="6"/>
      <c r="S36" s="6"/>
      <c r="T36" s="156"/>
      <c r="U36" s="6"/>
    </row>
    <row r="37" spans="1:21" customFormat="1">
      <c r="A37" s="163" t="s">
        <v>460</v>
      </c>
      <c r="B37" s="100">
        <v>12.64</v>
      </c>
      <c r="C37" s="100">
        <v>28.84</v>
      </c>
      <c r="D37" s="100">
        <v>25.89</v>
      </c>
      <c r="E37" s="100">
        <v>0.48</v>
      </c>
      <c r="F37" s="100">
        <v>3.84</v>
      </c>
      <c r="G37" s="100">
        <v>50.31</v>
      </c>
      <c r="H37" s="100">
        <v>28.7</v>
      </c>
      <c r="I37" s="100">
        <v>11.75</v>
      </c>
      <c r="J37" s="100">
        <v>1.73</v>
      </c>
      <c r="K37" s="100">
        <v>220.84</v>
      </c>
      <c r="L37" s="100">
        <v>28.85</v>
      </c>
      <c r="M37" s="100">
        <v>62.4</v>
      </c>
      <c r="N37" s="100">
        <v>99</v>
      </c>
      <c r="O37" s="100">
        <v>0</v>
      </c>
      <c r="P37" s="100">
        <v>0.56000000000000005</v>
      </c>
      <c r="Q37" s="100">
        <v>27.69</v>
      </c>
      <c r="R37" s="6"/>
      <c r="S37" s="6"/>
      <c r="T37" s="156"/>
      <c r="U37" s="6"/>
    </row>
    <row r="38" spans="1:21" customFormat="1">
      <c r="A38" s="163" t="s">
        <v>461</v>
      </c>
      <c r="B38" s="100">
        <v>12.24</v>
      </c>
      <c r="C38" s="100">
        <v>28.21</v>
      </c>
      <c r="D38" s="100">
        <v>25.23</v>
      </c>
      <c r="E38" s="100">
        <v>0.31</v>
      </c>
      <c r="F38" s="100">
        <v>4.51</v>
      </c>
      <c r="G38" s="100">
        <v>50.31</v>
      </c>
      <c r="H38" s="100">
        <v>28.7</v>
      </c>
      <c r="I38" s="100">
        <v>11.72</v>
      </c>
      <c r="J38" s="100">
        <v>1.57</v>
      </c>
      <c r="K38" s="100">
        <v>228.87</v>
      </c>
      <c r="L38" s="100">
        <v>29.26</v>
      </c>
      <c r="M38" s="100">
        <v>61.96</v>
      </c>
      <c r="N38" s="100">
        <v>156.6</v>
      </c>
      <c r="O38" s="100">
        <v>0</v>
      </c>
      <c r="P38" s="100">
        <v>0.57999999999999996</v>
      </c>
      <c r="Q38" s="100">
        <v>27.76</v>
      </c>
      <c r="R38" s="6"/>
      <c r="S38" s="6"/>
      <c r="T38" s="156"/>
      <c r="U38" s="6"/>
    </row>
    <row r="39" spans="1:21" customFormat="1">
      <c r="A39" s="163" t="s">
        <v>462</v>
      </c>
      <c r="B39" s="100">
        <v>11.91</v>
      </c>
      <c r="C39" s="100">
        <v>27.51</v>
      </c>
      <c r="D39" s="100">
        <v>24.6</v>
      </c>
      <c r="E39" s="100">
        <v>0.93</v>
      </c>
      <c r="F39" s="100">
        <v>4.54</v>
      </c>
      <c r="G39" s="100">
        <v>50.31</v>
      </c>
      <c r="H39" s="100">
        <v>28.7</v>
      </c>
      <c r="I39" s="100">
        <v>11.85</v>
      </c>
      <c r="J39" s="100">
        <v>1.7</v>
      </c>
      <c r="K39" s="100">
        <v>237.67</v>
      </c>
      <c r="L39" s="100">
        <v>30.05</v>
      </c>
      <c r="M39" s="100">
        <v>59.62</v>
      </c>
      <c r="N39" s="100">
        <v>155.4</v>
      </c>
      <c r="O39" s="100">
        <v>0</v>
      </c>
      <c r="P39" s="100">
        <v>0.65</v>
      </c>
      <c r="Q39" s="100">
        <v>27.77</v>
      </c>
      <c r="R39" s="6"/>
      <c r="S39" s="6"/>
      <c r="T39" s="156"/>
      <c r="U39" s="6"/>
    </row>
    <row r="40" spans="1:21" customFormat="1">
      <c r="A40" s="163" t="s">
        <v>463</v>
      </c>
      <c r="B40" s="100">
        <v>11.58</v>
      </c>
      <c r="C40" s="100">
        <v>27.62</v>
      </c>
      <c r="D40" s="100">
        <v>24.39</v>
      </c>
      <c r="E40" s="100">
        <v>0.77</v>
      </c>
      <c r="F40" s="100">
        <v>6.11</v>
      </c>
      <c r="G40" s="100">
        <v>55.17</v>
      </c>
      <c r="H40" s="100">
        <v>28.71</v>
      </c>
      <c r="I40" s="100">
        <v>12.63</v>
      </c>
      <c r="J40" s="100">
        <v>2.15</v>
      </c>
      <c r="K40" s="100">
        <v>231.34</v>
      </c>
      <c r="L40" s="100">
        <v>30.89</v>
      </c>
      <c r="M40" s="100">
        <v>57.15</v>
      </c>
      <c r="N40" s="100">
        <v>224.3</v>
      </c>
      <c r="O40" s="100">
        <v>0</v>
      </c>
      <c r="P40" s="100">
        <v>0.76</v>
      </c>
      <c r="Q40" s="100">
        <v>27.8</v>
      </c>
      <c r="R40" s="6"/>
      <c r="S40" s="6"/>
      <c r="T40" s="156"/>
      <c r="U40" s="6"/>
    </row>
    <row r="41" spans="1:21" customFormat="1">
      <c r="A41" s="163" t="s">
        <v>464</v>
      </c>
      <c r="B41" s="100">
        <v>10.84</v>
      </c>
      <c r="C41" s="100">
        <v>29.68</v>
      </c>
      <c r="D41" s="100">
        <v>24.88</v>
      </c>
      <c r="E41" s="100">
        <v>0.11</v>
      </c>
      <c r="F41" s="100">
        <v>3.98</v>
      </c>
      <c r="G41" s="100">
        <v>59.42</v>
      </c>
      <c r="H41" s="100">
        <v>28.71</v>
      </c>
      <c r="I41" s="100">
        <v>14.26</v>
      </c>
      <c r="J41" s="100">
        <v>2.72</v>
      </c>
      <c r="K41" s="100">
        <v>234.07</v>
      </c>
      <c r="L41" s="100">
        <v>31.53</v>
      </c>
      <c r="M41" s="100">
        <v>55.52</v>
      </c>
      <c r="N41" s="100">
        <v>417.5</v>
      </c>
      <c r="O41" s="100">
        <v>0</v>
      </c>
      <c r="P41" s="100">
        <v>0.71</v>
      </c>
      <c r="Q41" s="100">
        <v>27.79</v>
      </c>
      <c r="R41" s="6"/>
      <c r="S41" s="6"/>
      <c r="T41" s="156"/>
      <c r="U41" s="6"/>
    </row>
    <row r="42" spans="1:21" customFormat="1">
      <c r="A42" s="163" t="s">
        <v>465</v>
      </c>
      <c r="B42" s="100">
        <v>9.52</v>
      </c>
      <c r="C42" s="100">
        <v>30.25</v>
      </c>
      <c r="D42" s="100">
        <v>24.11</v>
      </c>
      <c r="E42" s="100">
        <v>0.3</v>
      </c>
      <c r="F42" s="100">
        <v>3.58</v>
      </c>
      <c r="G42" s="100">
        <v>59.42</v>
      </c>
      <c r="H42" s="100">
        <v>28.71</v>
      </c>
      <c r="I42" s="100">
        <v>15.15</v>
      </c>
      <c r="J42" s="100">
        <v>2.82</v>
      </c>
      <c r="K42" s="100">
        <v>230.91</v>
      </c>
      <c r="L42" s="100">
        <v>31.79</v>
      </c>
      <c r="M42" s="100">
        <v>56.41</v>
      </c>
      <c r="N42" s="100">
        <v>347.9</v>
      </c>
      <c r="O42" s="100">
        <v>0</v>
      </c>
      <c r="P42" s="100">
        <v>0.67</v>
      </c>
      <c r="Q42" s="100">
        <v>27.87</v>
      </c>
      <c r="R42" s="6"/>
      <c r="S42" s="6"/>
      <c r="T42" s="156"/>
      <c r="U42" s="6"/>
    </row>
    <row r="43" spans="1:21" customFormat="1">
      <c r="A43" s="163" t="s">
        <v>466</v>
      </c>
      <c r="B43" s="100">
        <v>8.61</v>
      </c>
      <c r="C43" s="100">
        <v>29.48</v>
      </c>
      <c r="D43" s="100">
        <v>22.99</v>
      </c>
      <c r="E43" s="100">
        <v>0.26</v>
      </c>
      <c r="F43" s="100">
        <v>3.79</v>
      </c>
      <c r="G43" s="100">
        <v>59.42</v>
      </c>
      <c r="H43" s="100">
        <v>28.71</v>
      </c>
      <c r="I43" s="100">
        <v>14.28</v>
      </c>
      <c r="J43" s="100">
        <v>2.2400000000000002</v>
      </c>
      <c r="K43" s="100">
        <v>227.41</v>
      </c>
      <c r="L43" s="100">
        <v>32</v>
      </c>
      <c r="M43" s="100">
        <v>55.86</v>
      </c>
      <c r="N43" s="100">
        <v>254.7</v>
      </c>
      <c r="O43" s="100">
        <v>0</v>
      </c>
      <c r="P43" s="100">
        <v>0.65</v>
      </c>
      <c r="Q43" s="100">
        <v>27.95</v>
      </c>
      <c r="R43" s="6"/>
      <c r="S43" s="6"/>
      <c r="T43" s="156"/>
      <c r="U43" s="6"/>
    </row>
    <row r="44" spans="1:21" customFormat="1">
      <c r="A44" s="163" t="s">
        <v>467</v>
      </c>
      <c r="B44" s="100">
        <v>8</v>
      </c>
      <c r="C44" s="100">
        <v>29.51</v>
      </c>
      <c r="D44" s="100">
        <v>22.51</v>
      </c>
      <c r="E44" s="100">
        <v>0.34</v>
      </c>
      <c r="F44" s="100">
        <v>4.93</v>
      </c>
      <c r="G44" s="100">
        <v>54.5</v>
      </c>
      <c r="H44" s="100">
        <v>27.13</v>
      </c>
      <c r="I44" s="100">
        <v>13.84</v>
      </c>
      <c r="J44" s="100">
        <v>1.82</v>
      </c>
      <c r="K44" s="100">
        <v>223.34</v>
      </c>
      <c r="L44" s="100">
        <v>32.58</v>
      </c>
      <c r="M44" s="100">
        <v>54.07</v>
      </c>
      <c r="N44" s="100">
        <v>252.4</v>
      </c>
      <c r="O44" s="100">
        <v>0</v>
      </c>
      <c r="P44" s="100">
        <v>0.64</v>
      </c>
      <c r="Q44" s="100">
        <v>28.04</v>
      </c>
      <c r="R44" s="6"/>
      <c r="S44" s="6"/>
      <c r="T44" s="156"/>
      <c r="U44" s="6"/>
    </row>
    <row r="45" spans="1:21" customFormat="1">
      <c r="A45" s="163" t="s">
        <v>468</v>
      </c>
      <c r="B45" s="100">
        <v>7.79</v>
      </c>
      <c r="C45" s="100">
        <v>29.45</v>
      </c>
      <c r="D45" s="100">
        <v>22.31</v>
      </c>
      <c r="E45" s="100">
        <v>1.19</v>
      </c>
      <c r="F45" s="100">
        <v>3.89</v>
      </c>
      <c r="G45" s="100">
        <v>50.2</v>
      </c>
      <c r="H45" s="100">
        <v>25.75</v>
      </c>
      <c r="I45" s="100">
        <v>13.4</v>
      </c>
      <c r="J45" s="100">
        <v>2.34</v>
      </c>
      <c r="K45" s="100">
        <v>224.71</v>
      </c>
      <c r="L45" s="100">
        <v>32.86</v>
      </c>
      <c r="M45" s="100">
        <v>52.78</v>
      </c>
      <c r="N45" s="100">
        <v>236.8</v>
      </c>
      <c r="O45" s="100">
        <v>0</v>
      </c>
      <c r="P45" s="100">
        <v>0.64</v>
      </c>
      <c r="Q45" s="100">
        <v>28.04</v>
      </c>
      <c r="R45" s="6"/>
      <c r="S45" s="6"/>
      <c r="T45" s="156"/>
      <c r="U45" s="6"/>
    </row>
    <row r="46" spans="1:21" customFormat="1">
      <c r="A46" s="163" t="s">
        <v>469</v>
      </c>
      <c r="B46" s="100">
        <v>7.38</v>
      </c>
      <c r="C46" s="100">
        <v>24.49</v>
      </c>
      <c r="D46" s="100">
        <v>19.39</v>
      </c>
      <c r="E46" s="100">
        <v>1.3</v>
      </c>
      <c r="F46" s="100">
        <v>5.04</v>
      </c>
      <c r="G46" s="100">
        <v>50.2</v>
      </c>
      <c r="H46" s="100">
        <v>25.75</v>
      </c>
      <c r="I46" s="100">
        <v>13.33</v>
      </c>
      <c r="J46" s="100">
        <v>2.2000000000000002</v>
      </c>
      <c r="K46" s="100">
        <v>230.45</v>
      </c>
      <c r="L46" s="100">
        <v>33.21</v>
      </c>
      <c r="M46" s="100">
        <v>51.39</v>
      </c>
      <c r="N46" s="100">
        <v>276.7</v>
      </c>
      <c r="O46" s="100">
        <v>0</v>
      </c>
      <c r="P46" s="100">
        <v>0.63</v>
      </c>
      <c r="Q46" s="100">
        <v>28.26</v>
      </c>
      <c r="R46" s="6"/>
      <c r="S46" s="6"/>
      <c r="T46" s="156"/>
      <c r="U46" s="6"/>
    </row>
    <row r="47" spans="1:21" customFormat="1">
      <c r="A47" s="163" t="s">
        <v>470</v>
      </c>
      <c r="B47" s="100">
        <v>6.86</v>
      </c>
      <c r="C47" s="100">
        <v>26.96</v>
      </c>
      <c r="D47" s="100">
        <v>20.260000000000002</v>
      </c>
      <c r="E47" s="100">
        <v>0.77</v>
      </c>
      <c r="F47" s="100">
        <v>5.66</v>
      </c>
      <c r="G47" s="100">
        <v>50.2</v>
      </c>
      <c r="H47" s="100">
        <v>25.75</v>
      </c>
      <c r="I47" s="100">
        <v>13.56</v>
      </c>
      <c r="J47" s="100">
        <v>2.31</v>
      </c>
      <c r="K47" s="100">
        <v>232.9</v>
      </c>
      <c r="L47" s="100">
        <v>33.590000000000003</v>
      </c>
      <c r="M47" s="100">
        <v>50.32</v>
      </c>
      <c r="N47" s="100">
        <v>535.29999999999995</v>
      </c>
      <c r="O47" s="100">
        <v>0</v>
      </c>
      <c r="P47" s="100">
        <v>0.64</v>
      </c>
      <c r="Q47" s="100">
        <v>28.27</v>
      </c>
      <c r="R47" s="6"/>
      <c r="S47" s="6"/>
      <c r="T47" s="156"/>
      <c r="U47" s="6"/>
    </row>
    <row r="48" spans="1:21" customFormat="1">
      <c r="A48" s="163" t="s">
        <v>471</v>
      </c>
      <c r="B48" s="100">
        <v>6.1</v>
      </c>
      <c r="C48" s="100">
        <v>25.38</v>
      </c>
      <c r="D48" s="100">
        <v>18.829999999999998</v>
      </c>
      <c r="E48" s="100">
        <v>0.65</v>
      </c>
      <c r="F48" s="100">
        <v>8.24</v>
      </c>
      <c r="G48" s="100">
        <v>49.53</v>
      </c>
      <c r="H48" s="100">
        <v>24.43</v>
      </c>
      <c r="I48" s="100">
        <v>13.64</v>
      </c>
      <c r="J48" s="100">
        <v>2.02</v>
      </c>
      <c r="K48" s="100">
        <v>230.63</v>
      </c>
      <c r="L48" s="100">
        <v>34.01</v>
      </c>
      <c r="M48" s="100">
        <v>48.82</v>
      </c>
      <c r="N48" s="100">
        <v>638.20000000000005</v>
      </c>
      <c r="O48" s="100">
        <v>0</v>
      </c>
      <c r="P48" s="100">
        <v>0.63</v>
      </c>
      <c r="Q48" s="100">
        <v>28.32</v>
      </c>
      <c r="R48" s="6"/>
      <c r="S48" s="6"/>
      <c r="T48" s="156"/>
      <c r="U48" s="6"/>
    </row>
    <row r="49" spans="1:21" customFormat="1">
      <c r="A49" s="163" t="s">
        <v>472</v>
      </c>
      <c r="B49" s="100">
        <v>5.19</v>
      </c>
      <c r="C49" s="100">
        <v>27.47</v>
      </c>
      <c r="D49" s="100">
        <v>19.190000000000001</v>
      </c>
      <c r="E49" s="100">
        <v>0.65</v>
      </c>
      <c r="F49" s="100">
        <v>5.61</v>
      </c>
      <c r="G49" s="100">
        <v>48.94</v>
      </c>
      <c r="H49" s="100">
        <v>23.28</v>
      </c>
      <c r="I49" s="100">
        <v>13.52</v>
      </c>
      <c r="J49" s="100">
        <v>2.0099999999999998</v>
      </c>
      <c r="K49" s="100">
        <v>236.99</v>
      </c>
      <c r="L49" s="100">
        <v>34.5</v>
      </c>
      <c r="M49" s="100">
        <v>47.46</v>
      </c>
      <c r="N49" s="100">
        <v>688.3</v>
      </c>
      <c r="O49" s="100">
        <v>0</v>
      </c>
      <c r="P49" s="100">
        <v>0.65</v>
      </c>
      <c r="Q49" s="100">
        <v>28.24</v>
      </c>
      <c r="R49" s="6"/>
      <c r="S49" s="6"/>
      <c r="T49" s="156"/>
      <c r="U49" s="6"/>
    </row>
    <row r="50" spans="1:21" customFormat="1">
      <c r="A50" s="163" t="s">
        <v>473</v>
      </c>
      <c r="B50" s="100">
        <v>4.3</v>
      </c>
      <c r="C50" s="100">
        <v>24.55</v>
      </c>
      <c r="D50" s="100">
        <v>16.95</v>
      </c>
      <c r="E50" s="100">
        <v>0.75</v>
      </c>
      <c r="F50" s="100">
        <v>9.1199999999999992</v>
      </c>
      <c r="G50" s="100">
        <v>48.94</v>
      </c>
      <c r="H50" s="100">
        <v>23.28</v>
      </c>
      <c r="I50" s="100">
        <v>13.65</v>
      </c>
      <c r="J50" s="100">
        <v>1.54</v>
      </c>
      <c r="K50" s="100">
        <v>220.46</v>
      </c>
      <c r="L50" s="100">
        <v>34.81</v>
      </c>
      <c r="M50" s="100">
        <v>46.82</v>
      </c>
      <c r="N50" s="100">
        <v>723.6</v>
      </c>
      <c r="O50" s="100">
        <v>0</v>
      </c>
      <c r="P50" s="100">
        <v>0.65</v>
      </c>
      <c r="Q50" s="100">
        <v>28.41</v>
      </c>
      <c r="R50" s="6"/>
      <c r="S50" s="6"/>
      <c r="T50" s="156"/>
      <c r="U50" s="6"/>
    </row>
    <row r="51" spans="1:21" customFormat="1">
      <c r="A51" s="163" t="s">
        <v>474</v>
      </c>
      <c r="B51" s="100">
        <v>3.56</v>
      </c>
      <c r="C51" s="100">
        <v>23.4</v>
      </c>
      <c r="D51" s="100">
        <v>15.75</v>
      </c>
      <c r="E51" s="100">
        <v>1.05</v>
      </c>
      <c r="F51" s="100">
        <v>11.46</v>
      </c>
      <c r="G51" s="100">
        <v>48.94</v>
      </c>
      <c r="H51" s="100">
        <v>23.28</v>
      </c>
      <c r="I51" s="100">
        <v>14.02</v>
      </c>
      <c r="J51" s="100">
        <v>1.73</v>
      </c>
      <c r="K51" s="100">
        <v>227</v>
      </c>
      <c r="L51" s="100">
        <v>35.74</v>
      </c>
      <c r="M51" s="100">
        <v>44.24</v>
      </c>
      <c r="N51" s="100">
        <v>757.1</v>
      </c>
      <c r="O51" s="100">
        <v>0</v>
      </c>
      <c r="P51" s="100">
        <v>0.65</v>
      </c>
      <c r="Q51" s="100">
        <v>28.52</v>
      </c>
      <c r="R51" s="6"/>
      <c r="S51" s="6"/>
      <c r="T51" s="156"/>
      <c r="U51" s="6"/>
    </row>
    <row r="52" spans="1:21" customFormat="1">
      <c r="A52" s="163" t="s">
        <v>475</v>
      </c>
      <c r="B52" s="100">
        <v>3.15</v>
      </c>
      <c r="C52" s="100">
        <v>23.2</v>
      </c>
      <c r="D52" s="100">
        <v>15.32</v>
      </c>
      <c r="E52" s="100">
        <v>0.75</v>
      </c>
      <c r="F52" s="100">
        <v>14.04</v>
      </c>
      <c r="G52" s="100">
        <v>47.55</v>
      </c>
      <c r="H52" s="100">
        <v>21.97</v>
      </c>
      <c r="I52" s="100">
        <v>14.19</v>
      </c>
      <c r="J52" s="100">
        <v>1.68</v>
      </c>
      <c r="K52" s="100">
        <v>203.53</v>
      </c>
      <c r="L52" s="100">
        <v>35.979999999999997</v>
      </c>
      <c r="M52" s="100">
        <v>42.83</v>
      </c>
      <c r="N52" s="100">
        <v>787.4</v>
      </c>
      <c r="O52" s="100">
        <v>0</v>
      </c>
      <c r="P52" s="100">
        <v>0.63</v>
      </c>
      <c r="Q52" s="100">
        <v>28.58</v>
      </c>
      <c r="R52" s="6"/>
      <c r="S52" s="6"/>
      <c r="T52" s="156"/>
      <c r="U52" s="6"/>
    </row>
    <row r="53" spans="1:21" customFormat="1">
      <c r="A53" s="163" t="s">
        <v>476</v>
      </c>
      <c r="B53" s="100">
        <v>2.79</v>
      </c>
      <c r="C53" s="100">
        <v>20.13</v>
      </c>
      <c r="D53" s="100">
        <v>13.43</v>
      </c>
      <c r="E53" s="100">
        <v>0.36</v>
      </c>
      <c r="F53" s="100">
        <v>14.86</v>
      </c>
      <c r="G53" s="100">
        <v>46.34</v>
      </c>
      <c r="H53" s="100">
        <v>20.82</v>
      </c>
      <c r="I53" s="100">
        <v>13.88</v>
      </c>
      <c r="J53" s="100">
        <v>1.6</v>
      </c>
      <c r="K53" s="100">
        <v>204.4</v>
      </c>
      <c r="L53" s="100">
        <v>36.72</v>
      </c>
      <c r="M53" s="100">
        <v>40.51</v>
      </c>
      <c r="N53" s="100">
        <v>805.9</v>
      </c>
      <c r="O53" s="100">
        <v>0</v>
      </c>
      <c r="P53" s="100">
        <v>0.57999999999999996</v>
      </c>
      <c r="Q53" s="100">
        <v>28.78</v>
      </c>
      <c r="R53" s="6"/>
      <c r="S53" s="6"/>
      <c r="T53" s="156"/>
      <c r="U53" s="6"/>
    </row>
    <row r="54" spans="1:21" customFormat="1">
      <c r="A54" s="163" t="s">
        <v>477</v>
      </c>
      <c r="B54" s="100">
        <v>2.74</v>
      </c>
      <c r="C54" s="100">
        <v>23.91</v>
      </c>
      <c r="D54" s="100">
        <v>15.37</v>
      </c>
      <c r="E54" s="100">
        <v>1.17</v>
      </c>
      <c r="F54" s="100">
        <v>9.08</v>
      </c>
      <c r="G54" s="100">
        <v>46.34</v>
      </c>
      <c r="H54" s="100">
        <v>20.82</v>
      </c>
      <c r="I54" s="100">
        <v>13.14</v>
      </c>
      <c r="J54" s="100">
        <v>2.02</v>
      </c>
      <c r="K54" s="100">
        <v>216.06</v>
      </c>
      <c r="L54" s="100">
        <v>36.82</v>
      </c>
      <c r="M54" s="100">
        <v>38.89</v>
      </c>
      <c r="N54" s="100">
        <v>806.3</v>
      </c>
      <c r="O54" s="100">
        <v>0</v>
      </c>
      <c r="P54" s="100">
        <v>0.63</v>
      </c>
      <c r="Q54" s="100">
        <v>28.66</v>
      </c>
      <c r="R54" s="6"/>
      <c r="S54" s="6"/>
      <c r="T54" s="156"/>
      <c r="U54" s="6"/>
    </row>
    <row r="55" spans="1:21" customFormat="1">
      <c r="A55" s="163" t="s">
        <v>478</v>
      </c>
      <c r="B55" s="100">
        <v>2.82</v>
      </c>
      <c r="C55" s="100">
        <v>27.17</v>
      </c>
      <c r="D55" s="100">
        <v>17.13</v>
      </c>
      <c r="E55" s="100">
        <v>1.64</v>
      </c>
      <c r="F55" s="100">
        <v>7.77</v>
      </c>
      <c r="G55" s="100">
        <v>46.34</v>
      </c>
      <c r="H55" s="100">
        <v>20.82</v>
      </c>
      <c r="I55" s="100">
        <v>13.03</v>
      </c>
      <c r="J55" s="100">
        <v>1.91</v>
      </c>
      <c r="K55" s="100">
        <v>202.9</v>
      </c>
      <c r="L55" s="100">
        <v>37.130000000000003</v>
      </c>
      <c r="M55" s="100">
        <v>38.409999999999997</v>
      </c>
      <c r="N55" s="100">
        <v>809.6</v>
      </c>
      <c r="O55" s="100">
        <v>0</v>
      </c>
      <c r="P55" s="100">
        <v>0.62</v>
      </c>
      <c r="Q55" s="100">
        <v>28.5</v>
      </c>
      <c r="R55" s="6"/>
      <c r="S55" s="6"/>
      <c r="T55" s="156"/>
      <c r="U55" s="6"/>
    </row>
    <row r="56" spans="1:21" customFormat="1">
      <c r="A56" s="163" t="s">
        <v>479</v>
      </c>
      <c r="B56" s="100">
        <v>2.5499999999999998</v>
      </c>
      <c r="C56" s="100">
        <v>23.83</v>
      </c>
      <c r="D56" s="100">
        <v>15.18</v>
      </c>
      <c r="E56" s="100">
        <v>1.77</v>
      </c>
      <c r="F56" s="100">
        <v>16.36</v>
      </c>
      <c r="G56" s="100">
        <v>45.91</v>
      </c>
      <c r="H56" s="100">
        <v>22.77</v>
      </c>
      <c r="I56" s="100">
        <v>13.83</v>
      </c>
      <c r="J56" s="100">
        <v>1.59</v>
      </c>
      <c r="K56" s="100">
        <v>199.89</v>
      </c>
      <c r="L56" s="100">
        <v>38.01</v>
      </c>
      <c r="M56" s="100">
        <v>36.79</v>
      </c>
      <c r="N56" s="100">
        <v>810.4</v>
      </c>
      <c r="O56" s="100">
        <v>0</v>
      </c>
      <c r="P56" s="100">
        <v>0.62</v>
      </c>
      <c r="Q56" s="100">
        <v>28.68</v>
      </c>
      <c r="R56" s="6"/>
      <c r="S56" s="6"/>
      <c r="T56" s="156"/>
      <c r="U56" s="6"/>
    </row>
    <row r="57" spans="1:21" customFormat="1">
      <c r="A57" s="163" t="s">
        <v>480</v>
      </c>
      <c r="B57" s="100">
        <v>2.52</v>
      </c>
      <c r="C57" s="100">
        <v>18.14</v>
      </c>
      <c r="D57" s="100">
        <v>12.17</v>
      </c>
      <c r="E57" s="100">
        <v>2.42</v>
      </c>
      <c r="F57" s="100">
        <v>16.510000000000002</v>
      </c>
      <c r="G57" s="100">
        <v>45.54</v>
      </c>
      <c r="H57" s="100">
        <v>24.48</v>
      </c>
      <c r="I57" s="100">
        <v>14.13</v>
      </c>
      <c r="J57" s="100">
        <v>1.45</v>
      </c>
      <c r="K57" s="100">
        <v>204.1</v>
      </c>
      <c r="L57" s="100">
        <v>38.450000000000003</v>
      </c>
      <c r="M57" s="100">
        <v>35.51</v>
      </c>
      <c r="N57" s="100">
        <v>663</v>
      </c>
      <c r="O57" s="100">
        <v>0</v>
      </c>
      <c r="P57" s="100">
        <v>0.64</v>
      </c>
      <c r="Q57" s="100">
        <v>28.83</v>
      </c>
      <c r="R57" s="6"/>
      <c r="S57" s="6"/>
      <c r="T57" s="156"/>
      <c r="U57" s="6"/>
    </row>
    <row r="58" spans="1:21" customFormat="1">
      <c r="A58" s="163" t="s">
        <v>481</v>
      </c>
      <c r="B58" s="100">
        <v>2.4700000000000002</v>
      </c>
      <c r="C58" s="100">
        <v>14.8</v>
      </c>
      <c r="D58" s="100">
        <v>10.39</v>
      </c>
      <c r="E58" s="100">
        <v>3.46</v>
      </c>
      <c r="F58" s="100">
        <v>18.63</v>
      </c>
      <c r="G58" s="100">
        <v>45.54</v>
      </c>
      <c r="H58" s="100">
        <v>24.48</v>
      </c>
      <c r="I58" s="100">
        <v>14.92</v>
      </c>
      <c r="J58" s="100">
        <v>1.64</v>
      </c>
      <c r="K58" s="100">
        <v>237.53</v>
      </c>
      <c r="L58" s="100">
        <v>37.97</v>
      </c>
      <c r="M58" s="100">
        <v>35.07</v>
      </c>
      <c r="N58" s="100">
        <v>459.9</v>
      </c>
      <c r="O58" s="100">
        <v>0</v>
      </c>
      <c r="P58" s="100">
        <v>0.67</v>
      </c>
      <c r="Q58" s="100">
        <v>29.11</v>
      </c>
      <c r="R58" s="6"/>
      <c r="S58" s="6"/>
      <c r="T58" s="156"/>
      <c r="U58" s="6"/>
    </row>
    <row r="59" spans="1:21" customFormat="1">
      <c r="A59" s="163" t="s">
        <v>482</v>
      </c>
      <c r="B59" s="100">
        <v>2.4700000000000002</v>
      </c>
      <c r="C59" s="100">
        <v>19.82</v>
      </c>
      <c r="D59" s="100">
        <v>13.01</v>
      </c>
      <c r="E59" s="100">
        <v>2.82</v>
      </c>
      <c r="F59" s="100">
        <v>12.71</v>
      </c>
      <c r="G59" s="100">
        <v>45.54</v>
      </c>
      <c r="H59" s="100">
        <v>24.48</v>
      </c>
      <c r="I59" s="100">
        <v>15.8</v>
      </c>
      <c r="J59" s="100">
        <v>1.72</v>
      </c>
      <c r="K59" s="100">
        <v>211.76</v>
      </c>
      <c r="L59" s="100">
        <v>38.31</v>
      </c>
      <c r="M59" s="100">
        <v>32.93</v>
      </c>
      <c r="N59" s="100">
        <v>713.9</v>
      </c>
      <c r="O59" s="100">
        <v>0</v>
      </c>
      <c r="P59" s="100">
        <v>0.66</v>
      </c>
      <c r="Q59" s="100">
        <v>28.82</v>
      </c>
      <c r="R59" s="6"/>
      <c r="S59" s="6"/>
      <c r="T59" s="156"/>
      <c r="U59" s="6"/>
    </row>
    <row r="60" spans="1:21" customFormat="1">
      <c r="A60" s="163" t="s">
        <v>483</v>
      </c>
      <c r="B60" s="100">
        <v>2.5099999999999998</v>
      </c>
      <c r="C60" s="100">
        <v>23.08</v>
      </c>
      <c r="D60" s="100">
        <v>14.74</v>
      </c>
      <c r="E60" s="100">
        <v>2.93</v>
      </c>
      <c r="F60" s="100">
        <v>15.4</v>
      </c>
      <c r="G60" s="100">
        <v>46.99</v>
      </c>
      <c r="H60" s="100">
        <v>23.77</v>
      </c>
      <c r="I60" s="100">
        <v>15.92</v>
      </c>
      <c r="J60" s="100">
        <v>2.08</v>
      </c>
      <c r="K60" s="100">
        <v>222.8</v>
      </c>
      <c r="L60" s="100">
        <v>38.47</v>
      </c>
      <c r="M60" s="100">
        <v>30.92</v>
      </c>
      <c r="N60" s="100">
        <v>712.5</v>
      </c>
      <c r="O60" s="100">
        <v>0</v>
      </c>
      <c r="P60" s="100">
        <v>0.65</v>
      </c>
      <c r="Q60" s="100">
        <v>28.7</v>
      </c>
      <c r="R60" s="6"/>
      <c r="S60" s="6"/>
      <c r="T60" s="156"/>
      <c r="U60" s="6"/>
    </row>
    <row r="61" spans="1:21" customFormat="1">
      <c r="A61" s="163" t="s">
        <v>484</v>
      </c>
      <c r="B61" s="100">
        <v>2.36</v>
      </c>
      <c r="C61" s="100">
        <v>20.69</v>
      </c>
      <c r="D61" s="100">
        <v>13.38</v>
      </c>
      <c r="E61" s="100">
        <v>2.83</v>
      </c>
      <c r="F61" s="100">
        <v>20.329999999999998</v>
      </c>
      <c r="G61" s="100">
        <v>48.25</v>
      </c>
      <c r="H61" s="100">
        <v>23.16</v>
      </c>
      <c r="I61" s="100">
        <v>16.37</v>
      </c>
      <c r="J61" s="100">
        <v>1.74</v>
      </c>
      <c r="K61" s="100">
        <v>213.93</v>
      </c>
      <c r="L61" s="100">
        <v>39.18</v>
      </c>
      <c r="M61" s="100">
        <v>29.29</v>
      </c>
      <c r="N61" s="100">
        <v>766.8</v>
      </c>
      <c r="O61" s="100">
        <v>0</v>
      </c>
      <c r="P61" s="100">
        <v>0.62</v>
      </c>
      <c r="Q61" s="100">
        <v>28.79</v>
      </c>
      <c r="R61" s="6"/>
      <c r="S61" s="6"/>
      <c r="T61" s="156"/>
      <c r="U61" s="6"/>
    </row>
    <row r="62" spans="1:21" customFormat="1">
      <c r="A62" s="163" t="s">
        <v>485</v>
      </c>
      <c r="B62" s="100">
        <v>2.21</v>
      </c>
      <c r="C62" s="100">
        <v>19.559999999999999</v>
      </c>
      <c r="D62" s="100">
        <v>12.67</v>
      </c>
      <c r="E62" s="100">
        <v>2.4300000000000002</v>
      </c>
      <c r="F62" s="100">
        <v>16.93</v>
      </c>
      <c r="G62" s="100">
        <v>48.25</v>
      </c>
      <c r="H62" s="100">
        <v>23.16</v>
      </c>
      <c r="I62" s="100">
        <v>16.34</v>
      </c>
      <c r="J62" s="100">
        <v>2.12</v>
      </c>
      <c r="K62" s="100">
        <v>226.78</v>
      </c>
      <c r="L62" s="100">
        <v>39.26</v>
      </c>
      <c r="M62" s="100">
        <v>28.78</v>
      </c>
      <c r="N62" s="100">
        <v>818.3</v>
      </c>
      <c r="O62" s="100">
        <v>0</v>
      </c>
      <c r="P62" s="100">
        <v>0.63</v>
      </c>
      <c r="Q62" s="100">
        <v>28.87</v>
      </c>
      <c r="R62" s="6"/>
      <c r="S62" s="6"/>
      <c r="T62" s="156"/>
      <c r="U62" s="6"/>
    </row>
    <row r="63" spans="1:21" customFormat="1">
      <c r="A63" s="163" t="s">
        <v>486</v>
      </c>
      <c r="B63" s="100">
        <v>2.2000000000000002</v>
      </c>
      <c r="C63" s="100">
        <v>18.68</v>
      </c>
      <c r="D63" s="100">
        <v>12.2</v>
      </c>
      <c r="E63" s="100">
        <v>1.26</v>
      </c>
      <c r="F63" s="100">
        <v>18.3</v>
      </c>
      <c r="G63" s="100">
        <v>48.25</v>
      </c>
      <c r="H63" s="100">
        <v>23.16</v>
      </c>
      <c r="I63" s="100">
        <v>15.45</v>
      </c>
      <c r="J63" s="100">
        <v>2.15</v>
      </c>
      <c r="K63" s="100">
        <v>229.38</v>
      </c>
      <c r="L63" s="100">
        <v>39.31</v>
      </c>
      <c r="M63" s="100">
        <v>29.25</v>
      </c>
      <c r="N63" s="100">
        <v>793.9</v>
      </c>
      <c r="O63" s="100">
        <v>0</v>
      </c>
      <c r="P63" s="100">
        <v>0.62</v>
      </c>
      <c r="Q63" s="100">
        <v>28.86</v>
      </c>
      <c r="R63" s="6"/>
      <c r="S63" s="6"/>
      <c r="T63" s="156"/>
      <c r="U63" s="6"/>
    </row>
    <row r="64" spans="1:21" customFormat="1">
      <c r="A64" s="163" t="s">
        <v>487</v>
      </c>
      <c r="B64" s="100">
        <v>2.52</v>
      </c>
      <c r="C64" s="100">
        <v>18.02</v>
      </c>
      <c r="D64" s="100">
        <v>12.11</v>
      </c>
      <c r="E64" s="100">
        <v>1.4</v>
      </c>
      <c r="F64" s="100">
        <v>14.85</v>
      </c>
      <c r="G64" s="100">
        <v>48.06</v>
      </c>
      <c r="H64" s="100">
        <v>21.23</v>
      </c>
      <c r="I64" s="100">
        <v>15.11</v>
      </c>
      <c r="J64" s="100">
        <v>1.92</v>
      </c>
      <c r="K64" s="100">
        <v>225.31</v>
      </c>
      <c r="L64" s="100">
        <v>39.369999999999997</v>
      </c>
      <c r="M64" s="100">
        <v>28.7</v>
      </c>
      <c r="N64" s="100">
        <v>419.6</v>
      </c>
      <c r="O64" s="100">
        <v>0</v>
      </c>
      <c r="P64" s="100">
        <v>0.61</v>
      </c>
      <c r="Q64" s="100">
        <v>28.89</v>
      </c>
      <c r="R64" s="6"/>
      <c r="S64" s="6"/>
      <c r="T64" s="156"/>
      <c r="U64" s="6"/>
    </row>
    <row r="65" spans="1:21" customFormat="1">
      <c r="A65" s="163" t="s">
        <v>488</v>
      </c>
      <c r="B65" s="100">
        <v>2.42</v>
      </c>
      <c r="C65" s="100">
        <v>17.43</v>
      </c>
      <c r="D65" s="100">
        <v>11.72</v>
      </c>
      <c r="E65" s="100">
        <v>1.92</v>
      </c>
      <c r="F65" s="100">
        <v>23.69</v>
      </c>
      <c r="G65" s="100">
        <v>47.9</v>
      </c>
      <c r="H65" s="100">
        <v>19.53</v>
      </c>
      <c r="I65" s="100">
        <v>14.01</v>
      </c>
      <c r="J65" s="100">
        <v>1.52</v>
      </c>
      <c r="K65" s="100">
        <v>214.86</v>
      </c>
      <c r="L65" s="100">
        <v>38.58</v>
      </c>
      <c r="M65" s="100">
        <v>29.9</v>
      </c>
      <c r="N65" s="100">
        <v>160.19999999999999</v>
      </c>
      <c r="O65" s="100">
        <v>0</v>
      </c>
      <c r="P65" s="100">
        <v>0.59</v>
      </c>
      <c r="Q65" s="100">
        <v>28.91</v>
      </c>
      <c r="R65" s="6"/>
      <c r="S65" s="6"/>
      <c r="T65" s="156"/>
      <c r="U65" s="6"/>
    </row>
    <row r="66" spans="1:21" customFormat="1">
      <c r="A66" s="163" t="s">
        <v>489</v>
      </c>
      <c r="B66" s="100">
        <v>2.2200000000000002</v>
      </c>
      <c r="C66" s="100">
        <v>16.45</v>
      </c>
      <c r="D66" s="100">
        <v>11.05</v>
      </c>
      <c r="E66" s="100">
        <v>1.35</v>
      </c>
      <c r="F66" s="100">
        <v>18.73</v>
      </c>
      <c r="G66" s="100">
        <v>47.9</v>
      </c>
      <c r="H66" s="100">
        <v>19.53</v>
      </c>
      <c r="I66" s="100">
        <v>13.34</v>
      </c>
      <c r="J66" s="100">
        <v>1.95</v>
      </c>
      <c r="K66" s="100">
        <v>227.06</v>
      </c>
      <c r="L66" s="100">
        <v>38.26</v>
      </c>
      <c r="M66" s="100">
        <v>28.44</v>
      </c>
      <c r="N66" s="100">
        <v>140.1</v>
      </c>
      <c r="O66" s="100">
        <v>0</v>
      </c>
      <c r="P66" s="100">
        <v>0.57999999999999996</v>
      </c>
      <c r="Q66" s="100">
        <v>28.98</v>
      </c>
      <c r="R66" s="6"/>
      <c r="S66" s="6"/>
      <c r="T66" s="156"/>
      <c r="U66" s="6"/>
    </row>
    <row r="67" spans="1:21" customFormat="1">
      <c r="A67" s="163" t="s">
        <v>490</v>
      </c>
      <c r="B67" s="100">
        <v>2.15</v>
      </c>
      <c r="C67" s="100">
        <v>17.12</v>
      </c>
      <c r="D67" s="100">
        <v>11.35</v>
      </c>
      <c r="E67" s="100">
        <v>1.17</v>
      </c>
      <c r="F67" s="100">
        <v>17.670000000000002</v>
      </c>
      <c r="G67" s="100">
        <v>47.9</v>
      </c>
      <c r="H67" s="100">
        <v>19.53</v>
      </c>
      <c r="I67" s="100">
        <v>12.76</v>
      </c>
      <c r="J67" s="100">
        <v>1.0900000000000001</v>
      </c>
      <c r="K67" s="100">
        <v>261.22000000000003</v>
      </c>
      <c r="L67" s="100">
        <v>37.83</v>
      </c>
      <c r="M67" s="100">
        <v>29.9</v>
      </c>
      <c r="N67" s="100">
        <v>82.4</v>
      </c>
      <c r="O67" s="100">
        <v>0</v>
      </c>
      <c r="P67" s="100">
        <v>0.56999999999999995</v>
      </c>
      <c r="Q67" s="100">
        <v>29</v>
      </c>
      <c r="R67" s="6"/>
      <c r="S67" s="6"/>
      <c r="T67" s="156"/>
      <c r="U67" s="6"/>
    </row>
    <row r="68" spans="1:21" customFormat="1">
      <c r="A68" s="163" t="s">
        <v>491</v>
      </c>
      <c r="B68" s="100">
        <v>3.78</v>
      </c>
      <c r="C68" s="100">
        <v>19.32</v>
      </c>
      <c r="D68" s="100">
        <v>13.8</v>
      </c>
      <c r="E68" s="100">
        <v>1.92</v>
      </c>
      <c r="F68" s="100">
        <v>35.79</v>
      </c>
      <c r="G68" s="100">
        <v>47.66</v>
      </c>
      <c r="H68" s="100">
        <v>20.53</v>
      </c>
      <c r="I68" s="100">
        <v>12.12</v>
      </c>
      <c r="J68" s="100">
        <v>0.74</v>
      </c>
      <c r="K68" s="100">
        <v>258.47000000000003</v>
      </c>
      <c r="L68" s="100">
        <v>37.659999999999997</v>
      </c>
      <c r="M68" s="100">
        <v>30.71</v>
      </c>
      <c r="N68" s="100">
        <v>34.4</v>
      </c>
      <c r="O68" s="100">
        <v>0</v>
      </c>
      <c r="P68" s="100">
        <v>0.52</v>
      </c>
      <c r="Q68" s="100">
        <v>28.91</v>
      </c>
      <c r="R68" s="6"/>
      <c r="S68" s="6"/>
      <c r="T68" s="156"/>
      <c r="U68" s="6"/>
    </row>
    <row r="69" spans="1:21" customFormat="1">
      <c r="A69" s="163" t="s">
        <v>492</v>
      </c>
      <c r="B69" s="100">
        <v>2.52</v>
      </c>
      <c r="C69" s="100">
        <v>15.5</v>
      </c>
      <c r="D69" s="100">
        <v>10.8</v>
      </c>
      <c r="E69" s="100">
        <v>2.41</v>
      </c>
      <c r="F69" s="100">
        <v>10.3</v>
      </c>
      <c r="G69" s="100">
        <v>47.45</v>
      </c>
      <c r="H69" s="100">
        <v>21.39</v>
      </c>
      <c r="I69" s="100">
        <v>11.76</v>
      </c>
      <c r="J69" s="100">
        <v>3.58</v>
      </c>
      <c r="K69" s="100">
        <v>248.4</v>
      </c>
      <c r="L69" s="100">
        <v>31.49</v>
      </c>
      <c r="M69" s="100">
        <v>56.17</v>
      </c>
      <c r="N69" s="100">
        <v>51.7</v>
      </c>
      <c r="O69" s="100">
        <v>4.4000000000000004</v>
      </c>
      <c r="P69" s="100">
        <v>0.54</v>
      </c>
      <c r="Q69" s="100">
        <v>29.08</v>
      </c>
      <c r="R69" s="6"/>
      <c r="S69" s="6"/>
      <c r="T69" s="156"/>
      <c r="U69" s="6"/>
    </row>
    <row r="70" spans="1:21" customFormat="1">
      <c r="A70" s="163" t="s">
        <v>493</v>
      </c>
      <c r="B70" s="100">
        <v>1.98</v>
      </c>
      <c r="C70" s="100">
        <v>15.21</v>
      </c>
      <c r="D70" s="100">
        <v>10.210000000000001</v>
      </c>
      <c r="E70" s="100">
        <v>2.11</v>
      </c>
      <c r="F70" s="100">
        <v>9.7799999999999994</v>
      </c>
      <c r="G70" s="100">
        <v>47.45</v>
      </c>
      <c r="H70" s="100">
        <v>21.39</v>
      </c>
      <c r="I70" s="100">
        <v>11.18</v>
      </c>
      <c r="J70" s="100">
        <v>3.43</v>
      </c>
      <c r="K70" s="100">
        <v>225.62</v>
      </c>
      <c r="L70" s="100">
        <v>23.92</v>
      </c>
      <c r="M70" s="100">
        <v>80.819999999999993</v>
      </c>
      <c r="N70" s="100">
        <v>30</v>
      </c>
      <c r="O70" s="100">
        <v>10.6</v>
      </c>
      <c r="P70" s="100">
        <v>0.51</v>
      </c>
      <c r="Q70" s="100">
        <v>29.15</v>
      </c>
      <c r="R70" s="6"/>
      <c r="S70" s="6"/>
      <c r="T70" s="156"/>
      <c r="U70" s="6"/>
    </row>
    <row r="71" spans="1:21" customFormat="1">
      <c r="A71" s="163" t="s">
        <v>494</v>
      </c>
      <c r="B71" s="100">
        <v>1.75</v>
      </c>
      <c r="C71" s="100">
        <v>16.579999999999998</v>
      </c>
      <c r="D71" s="100">
        <v>10.74</v>
      </c>
      <c r="E71" s="100">
        <v>2.3199999999999998</v>
      </c>
      <c r="F71" s="100">
        <v>8.7899999999999991</v>
      </c>
      <c r="G71" s="100">
        <v>47.45</v>
      </c>
      <c r="H71" s="100">
        <v>21.39</v>
      </c>
      <c r="I71" s="100">
        <v>11.86</v>
      </c>
      <c r="J71" s="100">
        <v>2.29</v>
      </c>
      <c r="K71" s="100">
        <v>218.86</v>
      </c>
      <c r="L71" s="100">
        <v>20.43</v>
      </c>
      <c r="M71" s="100">
        <v>94.08</v>
      </c>
      <c r="N71" s="100">
        <v>27.6</v>
      </c>
      <c r="O71" s="100">
        <v>20.399999999999999</v>
      </c>
      <c r="P71" s="100">
        <v>0.47</v>
      </c>
      <c r="Q71" s="100">
        <v>29.06</v>
      </c>
      <c r="R71" s="6"/>
      <c r="S71" s="6"/>
      <c r="T71" s="156"/>
      <c r="U71" s="6"/>
    </row>
    <row r="72" spans="1:21" customFormat="1">
      <c r="A72" s="163" t="s">
        <v>495</v>
      </c>
      <c r="B72" s="100">
        <v>1.85</v>
      </c>
      <c r="C72" s="100">
        <v>17.14</v>
      </c>
      <c r="D72" s="100">
        <v>11.11</v>
      </c>
      <c r="E72" s="100">
        <v>1.6</v>
      </c>
      <c r="F72" s="100">
        <v>6.1</v>
      </c>
      <c r="G72" s="100">
        <v>39.880000000000003</v>
      </c>
      <c r="H72" s="100">
        <v>19.989999999999998</v>
      </c>
      <c r="I72" s="100">
        <v>11.24</v>
      </c>
      <c r="J72" s="100">
        <v>0.4</v>
      </c>
      <c r="K72" s="100">
        <v>145.37</v>
      </c>
      <c r="L72" s="100">
        <v>20.87</v>
      </c>
      <c r="M72" s="100">
        <v>96.93</v>
      </c>
      <c r="N72" s="100">
        <v>39</v>
      </c>
      <c r="O72" s="100">
        <v>4</v>
      </c>
      <c r="P72" s="100">
        <v>0.46</v>
      </c>
      <c r="Q72" s="100">
        <v>29.07</v>
      </c>
      <c r="R72" s="6"/>
      <c r="S72" s="6"/>
      <c r="T72" s="156"/>
      <c r="U72" s="6"/>
    </row>
    <row r="73" spans="1:21" customFormat="1">
      <c r="A73" s="163" t="s">
        <v>496</v>
      </c>
      <c r="B73" s="100">
        <v>2.35</v>
      </c>
      <c r="C73" s="100">
        <v>20.81</v>
      </c>
      <c r="D73" s="100">
        <v>13.43</v>
      </c>
      <c r="E73" s="100">
        <v>1.6</v>
      </c>
      <c r="F73" s="100">
        <v>7.83</v>
      </c>
      <c r="G73" s="100">
        <v>33.26</v>
      </c>
      <c r="H73" s="100">
        <v>18.760000000000002</v>
      </c>
      <c r="I73" s="100">
        <v>10.51</v>
      </c>
      <c r="J73" s="100">
        <v>1.76</v>
      </c>
      <c r="K73" s="100">
        <v>25.86</v>
      </c>
      <c r="L73" s="100">
        <v>21.25</v>
      </c>
      <c r="M73" s="100">
        <v>96.97</v>
      </c>
      <c r="N73" s="100">
        <v>27.1</v>
      </c>
      <c r="O73" s="100">
        <v>0</v>
      </c>
      <c r="P73" s="100">
        <v>0.45</v>
      </c>
      <c r="Q73" s="100">
        <v>28.87</v>
      </c>
      <c r="R73" s="6"/>
      <c r="S73" s="6"/>
      <c r="T73" s="156"/>
      <c r="U73" s="6"/>
    </row>
    <row r="74" spans="1:21" customFormat="1">
      <c r="A74" s="163" t="s">
        <v>497</v>
      </c>
      <c r="B74" s="100">
        <v>2.76</v>
      </c>
      <c r="C74" s="100">
        <v>24.97</v>
      </c>
      <c r="D74" s="100">
        <v>15.94</v>
      </c>
      <c r="E74" s="100">
        <v>1.35</v>
      </c>
      <c r="F74" s="100">
        <v>12.97</v>
      </c>
      <c r="G74" s="100">
        <v>33.26</v>
      </c>
      <c r="H74" s="100">
        <v>18.760000000000002</v>
      </c>
      <c r="I74" s="100">
        <v>10.210000000000001</v>
      </c>
      <c r="J74" s="100">
        <v>2.91</v>
      </c>
      <c r="K74" s="100">
        <v>1.92</v>
      </c>
      <c r="L74" s="100">
        <v>21.97</v>
      </c>
      <c r="M74" s="100">
        <v>96.98</v>
      </c>
      <c r="N74" s="100">
        <v>26.5</v>
      </c>
      <c r="O74" s="100">
        <v>0.8</v>
      </c>
      <c r="P74" s="100">
        <v>0.42</v>
      </c>
      <c r="Q74" s="100">
        <v>28.58</v>
      </c>
      <c r="R74" s="6"/>
      <c r="S74" s="6"/>
      <c r="T74" s="156"/>
      <c r="U74" s="6"/>
    </row>
    <row r="75" spans="1:21" customFormat="1">
      <c r="A75" s="163" t="s">
        <v>498</v>
      </c>
      <c r="B75" s="100">
        <v>2.64</v>
      </c>
      <c r="C75" s="100">
        <v>27.73</v>
      </c>
      <c r="D75" s="100">
        <v>17.28</v>
      </c>
      <c r="E75" s="100">
        <v>1.1000000000000001</v>
      </c>
      <c r="F75" s="100">
        <v>8.6300000000000008</v>
      </c>
      <c r="G75" s="100">
        <v>33.26</v>
      </c>
      <c r="H75" s="100">
        <v>18.760000000000002</v>
      </c>
      <c r="I75" s="100">
        <v>9.7200000000000006</v>
      </c>
      <c r="J75" s="100">
        <v>2.21</v>
      </c>
      <c r="K75" s="100">
        <v>8.82</v>
      </c>
      <c r="L75" s="100">
        <v>22.02</v>
      </c>
      <c r="M75" s="100">
        <v>96.9</v>
      </c>
      <c r="N75" s="100">
        <v>27.2</v>
      </c>
      <c r="O75" s="100">
        <v>0.2</v>
      </c>
      <c r="P75" s="100">
        <v>0.43</v>
      </c>
      <c r="Q75" s="100">
        <v>28.38</v>
      </c>
      <c r="R75" s="6"/>
      <c r="S75" s="6"/>
      <c r="T75" s="156"/>
      <c r="U75" s="6"/>
    </row>
    <row r="76" spans="1:21" customFormat="1">
      <c r="A76" s="163" t="s">
        <v>499</v>
      </c>
      <c r="B76" s="100">
        <v>2.73</v>
      </c>
      <c r="C76" s="100">
        <v>28.72</v>
      </c>
      <c r="D76" s="100">
        <v>17.87</v>
      </c>
      <c r="E76" s="100">
        <v>1.1299999999999999</v>
      </c>
      <c r="F76" s="100">
        <v>8.4700000000000006</v>
      </c>
      <c r="G76" s="100">
        <v>29.97</v>
      </c>
      <c r="H76" s="100">
        <v>15.99</v>
      </c>
      <c r="I76" s="100">
        <v>8.9499999999999993</v>
      </c>
      <c r="J76" s="100">
        <v>1.62</v>
      </c>
      <c r="K76" s="100">
        <v>43.27</v>
      </c>
      <c r="L76" s="100">
        <v>22.5</v>
      </c>
      <c r="M76" s="100">
        <v>87.92</v>
      </c>
      <c r="N76" s="100">
        <v>28.8</v>
      </c>
      <c r="O76" s="100">
        <v>0.6</v>
      </c>
      <c r="P76" s="100">
        <v>0.43</v>
      </c>
      <c r="Q76" s="100">
        <v>28.31</v>
      </c>
      <c r="R76" s="6"/>
      <c r="S76" s="6"/>
      <c r="T76" s="156"/>
      <c r="U76" s="6"/>
    </row>
    <row r="77" spans="1:21" customFormat="1">
      <c r="A77" s="163" t="s">
        <v>500</v>
      </c>
      <c r="B77" s="100">
        <v>2.8</v>
      </c>
      <c r="C77" s="100">
        <v>29.72</v>
      </c>
      <c r="D77" s="100">
        <v>18.45</v>
      </c>
      <c r="E77" s="100">
        <v>0.76</v>
      </c>
      <c r="F77" s="100">
        <v>6.8</v>
      </c>
      <c r="G77" s="100">
        <v>27.1</v>
      </c>
      <c r="H77" s="100">
        <v>13.57</v>
      </c>
      <c r="I77" s="100">
        <v>8.81</v>
      </c>
      <c r="J77" s="100">
        <v>1.62</v>
      </c>
      <c r="K77" s="100">
        <v>62.13</v>
      </c>
      <c r="L77" s="100">
        <v>22.51</v>
      </c>
      <c r="M77" s="100">
        <v>89.06</v>
      </c>
      <c r="N77" s="100">
        <v>30.5</v>
      </c>
      <c r="O77" s="100">
        <v>0.4</v>
      </c>
      <c r="P77" s="100">
        <v>0.41</v>
      </c>
      <c r="Q77" s="100">
        <v>28.27</v>
      </c>
      <c r="R77" s="6"/>
      <c r="S77" s="6"/>
      <c r="T77" s="156"/>
      <c r="U77" s="6"/>
    </row>
    <row r="78" spans="1:21" customFormat="1">
      <c r="A78" s="163" t="s">
        <v>501</v>
      </c>
      <c r="B78" s="100">
        <v>3.25</v>
      </c>
      <c r="C78" s="100">
        <v>30.61</v>
      </c>
      <c r="D78" s="100">
        <v>19.27</v>
      </c>
      <c r="E78" s="100">
        <v>1.49</v>
      </c>
      <c r="F78" s="100">
        <v>4.87</v>
      </c>
      <c r="G78" s="100">
        <v>27.1</v>
      </c>
      <c r="H78" s="100">
        <v>13.57</v>
      </c>
      <c r="I78" s="100">
        <v>8.74</v>
      </c>
      <c r="J78" s="100">
        <v>1.01</v>
      </c>
      <c r="K78" s="100">
        <v>71.989999999999995</v>
      </c>
      <c r="L78" s="100">
        <v>22.17</v>
      </c>
      <c r="M78" s="100">
        <v>93.04</v>
      </c>
      <c r="N78" s="100">
        <v>29.3</v>
      </c>
      <c r="O78" s="100">
        <v>0.8</v>
      </c>
      <c r="P78" s="100">
        <v>0.45</v>
      </c>
      <c r="Q78" s="100">
        <v>28.19</v>
      </c>
      <c r="R78" s="6"/>
      <c r="S78" s="6"/>
      <c r="T78" s="156"/>
      <c r="U78" s="6"/>
    </row>
    <row r="79" spans="1:21" customFormat="1">
      <c r="A79" s="163" t="s">
        <v>502</v>
      </c>
      <c r="B79" s="100">
        <v>3.93</v>
      </c>
      <c r="C79" s="100">
        <v>30.6</v>
      </c>
      <c r="D79" s="100">
        <v>19.809999999999999</v>
      </c>
      <c r="E79" s="100">
        <v>1.42</v>
      </c>
      <c r="F79" s="100">
        <v>3.66</v>
      </c>
      <c r="G79" s="100">
        <v>27.1</v>
      </c>
      <c r="H79" s="100">
        <v>13.57</v>
      </c>
      <c r="I79" s="100">
        <v>8.68</v>
      </c>
      <c r="J79" s="100">
        <v>0.83</v>
      </c>
      <c r="K79" s="100">
        <v>144.1</v>
      </c>
      <c r="L79" s="100">
        <v>22.07</v>
      </c>
      <c r="M79" s="100">
        <v>95.75</v>
      </c>
      <c r="N79" s="100">
        <v>28.9</v>
      </c>
      <c r="O79" s="100">
        <v>0</v>
      </c>
      <c r="P79" s="100">
        <v>0.46</v>
      </c>
      <c r="Q79" s="100">
        <v>28.11</v>
      </c>
      <c r="R79" s="6"/>
      <c r="S79" s="6"/>
      <c r="T79" s="156"/>
      <c r="U79" s="6"/>
    </row>
    <row r="80" spans="1:21" customFormat="1">
      <c r="A80" s="163" t="s">
        <v>503</v>
      </c>
      <c r="B80" s="100">
        <v>4.49</v>
      </c>
      <c r="C80" s="100">
        <v>30.71</v>
      </c>
      <c r="D80" s="100">
        <v>20.32</v>
      </c>
      <c r="E80" s="100">
        <v>1.27</v>
      </c>
      <c r="F80" s="100">
        <v>3.09</v>
      </c>
      <c r="G80" s="100">
        <v>28.33</v>
      </c>
      <c r="H80" s="100">
        <v>14.88</v>
      </c>
      <c r="I80" s="100">
        <v>8.7899999999999991</v>
      </c>
      <c r="J80" s="100">
        <v>0.51</v>
      </c>
      <c r="K80" s="100">
        <v>69.75</v>
      </c>
      <c r="L80" s="100">
        <v>21.98</v>
      </c>
      <c r="M80" s="100">
        <v>94.32</v>
      </c>
      <c r="N80" s="100">
        <v>28</v>
      </c>
      <c r="O80" s="100">
        <v>0.2</v>
      </c>
      <c r="P80" s="100">
        <v>0.46</v>
      </c>
      <c r="Q80" s="100">
        <v>28.08</v>
      </c>
      <c r="R80" s="6"/>
      <c r="S80" s="6"/>
      <c r="T80" s="156"/>
      <c r="U80" s="6"/>
    </row>
    <row r="81" spans="1:21" customFormat="1">
      <c r="A81" s="163" t="s">
        <v>504</v>
      </c>
      <c r="B81" s="100">
        <v>5.2</v>
      </c>
      <c r="C81" s="100">
        <v>29.35</v>
      </c>
      <c r="D81" s="100">
        <v>20.18</v>
      </c>
      <c r="E81" s="100">
        <v>1.22</v>
      </c>
      <c r="F81" s="100">
        <v>3.08</v>
      </c>
      <c r="G81" s="100">
        <v>29.41</v>
      </c>
      <c r="H81" s="100">
        <v>16.02</v>
      </c>
      <c r="I81" s="100">
        <v>8.94</v>
      </c>
      <c r="J81" s="100">
        <v>0.65</v>
      </c>
      <c r="K81" s="100">
        <v>136.82</v>
      </c>
      <c r="L81" s="100">
        <v>22.51</v>
      </c>
      <c r="M81" s="100">
        <v>95.81</v>
      </c>
      <c r="N81" s="100">
        <v>26.6</v>
      </c>
      <c r="O81" s="100">
        <v>0</v>
      </c>
      <c r="P81" s="100">
        <v>0.46</v>
      </c>
      <c r="Q81" s="100">
        <v>28.1</v>
      </c>
      <c r="R81" s="6"/>
      <c r="S81" s="6"/>
      <c r="T81" s="156"/>
      <c r="U81" s="6"/>
    </row>
    <row r="82" spans="1:21" customFormat="1">
      <c r="A82" s="163" t="s">
        <v>505</v>
      </c>
      <c r="B82" s="100">
        <v>6.29</v>
      </c>
      <c r="C82" s="100">
        <v>30.48</v>
      </c>
      <c r="D82" s="100">
        <v>21.65</v>
      </c>
      <c r="E82" s="100">
        <v>1.52</v>
      </c>
      <c r="F82" s="100">
        <v>2.5499999999999998</v>
      </c>
      <c r="G82" s="100">
        <v>29.41</v>
      </c>
      <c r="H82" s="100">
        <v>16.02</v>
      </c>
      <c r="I82" s="100">
        <v>9.0500000000000007</v>
      </c>
      <c r="J82" s="100">
        <v>0.84</v>
      </c>
      <c r="K82" s="100">
        <v>155.55000000000001</v>
      </c>
      <c r="L82" s="100">
        <v>25.03</v>
      </c>
      <c r="M82" s="100">
        <v>93.61</v>
      </c>
      <c r="N82" s="100">
        <v>24.7</v>
      </c>
      <c r="O82" s="100">
        <v>0</v>
      </c>
      <c r="P82" s="100">
        <v>0.47</v>
      </c>
      <c r="Q82" s="100">
        <v>27.98</v>
      </c>
      <c r="R82" s="6"/>
      <c r="S82" s="6"/>
      <c r="T82" s="156"/>
      <c r="U82" s="6"/>
    </row>
    <row r="83" spans="1:21" customFormat="1">
      <c r="A83" s="163" t="s">
        <v>506</v>
      </c>
      <c r="B83" s="100">
        <v>7.34</v>
      </c>
      <c r="C83" s="100">
        <v>30.34</v>
      </c>
      <c r="D83" s="100">
        <v>22.41</v>
      </c>
      <c r="E83" s="100">
        <v>2.29</v>
      </c>
      <c r="F83" s="100">
        <v>3.09</v>
      </c>
      <c r="G83" s="100">
        <v>29.41</v>
      </c>
      <c r="H83" s="100">
        <v>16.02</v>
      </c>
      <c r="I83" s="100">
        <v>9.08</v>
      </c>
      <c r="J83" s="100">
        <v>1.1200000000000001</v>
      </c>
      <c r="K83" s="100">
        <v>55.92</v>
      </c>
      <c r="L83" s="100">
        <v>25.07</v>
      </c>
      <c r="M83" s="100">
        <v>88.32</v>
      </c>
      <c r="N83" s="100">
        <v>24.8</v>
      </c>
      <c r="O83" s="100">
        <v>0</v>
      </c>
      <c r="P83" s="100">
        <v>0.47</v>
      </c>
      <c r="Q83" s="100">
        <v>27.97</v>
      </c>
      <c r="R83" s="6"/>
      <c r="S83" s="6"/>
      <c r="T83" s="156"/>
      <c r="U83" s="6"/>
    </row>
    <row r="84" spans="1:21" customFormat="1">
      <c r="A84" s="163" t="s">
        <v>507</v>
      </c>
      <c r="B84" s="100">
        <v>8.48</v>
      </c>
      <c r="C84" s="100">
        <v>28.02</v>
      </c>
      <c r="D84" s="100">
        <v>22.12</v>
      </c>
      <c r="E84" s="100">
        <v>2.2599999999999998</v>
      </c>
      <c r="F84" s="100">
        <v>3.43</v>
      </c>
      <c r="G84" s="100">
        <v>28.62</v>
      </c>
      <c r="H84" s="100">
        <v>14.4</v>
      </c>
      <c r="I84" s="100">
        <v>9.25</v>
      </c>
      <c r="J84" s="100">
        <v>0.55000000000000004</v>
      </c>
      <c r="K84" s="100">
        <v>67.64</v>
      </c>
      <c r="L84" s="100">
        <v>23.8</v>
      </c>
      <c r="M84" s="100">
        <v>85.25</v>
      </c>
      <c r="N84" s="100">
        <v>25</v>
      </c>
      <c r="O84" s="100">
        <v>0</v>
      </c>
      <c r="P84" s="100">
        <v>0.47</v>
      </c>
      <c r="Q84" s="100">
        <v>28</v>
      </c>
      <c r="R84" s="6"/>
      <c r="S84" s="6"/>
      <c r="T84" s="156"/>
      <c r="U84" s="6"/>
    </row>
    <row r="85" spans="1:21" customFormat="1">
      <c r="A85" s="163" t="s">
        <v>508</v>
      </c>
      <c r="B85" s="100">
        <v>9.5500000000000007</v>
      </c>
      <c r="C85" s="100">
        <v>28.5</v>
      </c>
      <c r="D85" s="100">
        <v>23.23</v>
      </c>
      <c r="E85" s="100">
        <v>1.64</v>
      </c>
      <c r="F85" s="100">
        <v>2.93</v>
      </c>
      <c r="G85" s="100">
        <v>27.93</v>
      </c>
      <c r="H85" s="100">
        <v>12.98</v>
      </c>
      <c r="I85" s="100">
        <v>9.44</v>
      </c>
      <c r="J85" s="100">
        <v>0.37</v>
      </c>
      <c r="K85" s="100">
        <v>127.39</v>
      </c>
      <c r="L85" s="100">
        <v>23.55</v>
      </c>
      <c r="M85" s="100">
        <v>86.52</v>
      </c>
      <c r="N85" s="100">
        <v>24.5</v>
      </c>
      <c r="O85" s="100">
        <v>0</v>
      </c>
      <c r="P85" s="100">
        <v>0.5</v>
      </c>
      <c r="Q85" s="100">
        <v>27.91</v>
      </c>
      <c r="R85" s="6"/>
      <c r="S85" s="6"/>
      <c r="T85" s="156"/>
      <c r="U85" s="6"/>
    </row>
    <row r="86" spans="1:21" customFormat="1">
      <c r="A86" s="163" t="s">
        <v>509</v>
      </c>
      <c r="B86" s="100">
        <v>10.76</v>
      </c>
      <c r="C86" s="100">
        <v>30.75</v>
      </c>
      <c r="D86" s="100">
        <v>25.37</v>
      </c>
      <c r="E86" s="100">
        <v>1.91</v>
      </c>
      <c r="F86" s="100">
        <v>2.4900000000000002</v>
      </c>
      <c r="G86" s="100">
        <v>27.93</v>
      </c>
      <c r="H86" s="100">
        <v>12.98</v>
      </c>
      <c r="I86" s="100">
        <v>9.51</v>
      </c>
      <c r="J86" s="100">
        <v>0.85</v>
      </c>
      <c r="K86" s="100">
        <v>200.01</v>
      </c>
      <c r="L86" s="100">
        <v>23.96</v>
      </c>
      <c r="M86" s="100">
        <v>80.239999999999995</v>
      </c>
      <c r="N86" s="100">
        <v>25</v>
      </c>
      <c r="O86" s="100">
        <v>0</v>
      </c>
      <c r="P86" s="100">
        <v>0.5</v>
      </c>
      <c r="Q86" s="100">
        <v>27.71</v>
      </c>
      <c r="R86" s="6"/>
      <c r="S86" s="6"/>
      <c r="T86" s="156"/>
      <c r="U86" s="6"/>
    </row>
    <row r="87" spans="1:21" customFormat="1">
      <c r="A87" s="163" t="s">
        <v>510</v>
      </c>
      <c r="B87" s="100">
        <v>11.47</v>
      </c>
      <c r="C87" s="100">
        <v>29.5</v>
      </c>
      <c r="D87" s="100">
        <v>25.29</v>
      </c>
      <c r="E87" s="100">
        <v>2.02</v>
      </c>
      <c r="F87" s="100">
        <v>2.61</v>
      </c>
      <c r="G87" s="100">
        <v>27.93</v>
      </c>
      <c r="H87" s="100">
        <v>12.98</v>
      </c>
      <c r="I87" s="100">
        <v>9.74</v>
      </c>
      <c r="J87" s="100">
        <v>0.83</v>
      </c>
      <c r="K87" s="100">
        <v>230</v>
      </c>
      <c r="L87" s="100">
        <v>24.32</v>
      </c>
      <c r="M87" s="100">
        <v>77.680000000000007</v>
      </c>
      <c r="N87" s="100">
        <v>25</v>
      </c>
      <c r="O87" s="100">
        <v>0</v>
      </c>
      <c r="P87" s="100">
        <v>0.49</v>
      </c>
      <c r="Q87" s="100">
        <v>27.71</v>
      </c>
      <c r="R87" s="6"/>
      <c r="S87" s="6"/>
      <c r="T87" s="156"/>
      <c r="U87" s="6"/>
    </row>
    <row r="88" spans="1:21" customFormat="1">
      <c r="A88" s="163" t="s">
        <v>511</v>
      </c>
      <c r="B88" s="100">
        <v>11.83</v>
      </c>
      <c r="C88" s="100">
        <v>26.44</v>
      </c>
      <c r="D88" s="100">
        <v>23.98</v>
      </c>
      <c r="E88" s="100">
        <v>1.19</v>
      </c>
      <c r="F88" s="100">
        <v>2.57</v>
      </c>
      <c r="G88" s="100">
        <v>29.58</v>
      </c>
      <c r="H88" s="100">
        <v>14.17</v>
      </c>
      <c r="I88" s="100">
        <v>9.93</v>
      </c>
      <c r="J88" s="100">
        <v>1.44</v>
      </c>
      <c r="K88" s="100">
        <v>216.62</v>
      </c>
      <c r="L88" s="100">
        <v>24.26</v>
      </c>
      <c r="M88" s="100">
        <v>78.72</v>
      </c>
      <c r="N88" s="100">
        <v>24.5</v>
      </c>
      <c r="O88" s="100">
        <v>0</v>
      </c>
      <c r="P88" s="100">
        <v>0.51</v>
      </c>
      <c r="Q88" s="100">
        <v>27.82</v>
      </c>
      <c r="R88" s="6"/>
      <c r="S88" s="6"/>
      <c r="T88" s="156"/>
      <c r="U88" s="6"/>
    </row>
    <row r="89" spans="1:21" customFormat="1">
      <c r="A89" s="163" t="s">
        <v>512</v>
      </c>
      <c r="B89" s="100">
        <v>12.03</v>
      </c>
      <c r="C89" s="100">
        <v>27.87</v>
      </c>
      <c r="D89" s="100">
        <v>24.88</v>
      </c>
      <c r="E89" s="100">
        <v>0.96</v>
      </c>
      <c r="F89" s="100">
        <v>2.56</v>
      </c>
      <c r="G89" s="100">
        <v>31.02</v>
      </c>
      <c r="H89" s="100">
        <v>15.22</v>
      </c>
      <c r="I89" s="100">
        <v>9.9700000000000006</v>
      </c>
      <c r="J89" s="100">
        <v>1.24</v>
      </c>
      <c r="K89" s="100">
        <v>199.42</v>
      </c>
      <c r="L89" s="100">
        <v>24.29</v>
      </c>
      <c r="M89" s="100">
        <v>79.37</v>
      </c>
      <c r="N89" s="100">
        <v>24.3</v>
      </c>
      <c r="O89" s="100">
        <v>0</v>
      </c>
      <c r="P89" s="100">
        <v>0.51</v>
      </c>
      <c r="Q89" s="100">
        <v>27.69</v>
      </c>
      <c r="R89" s="6"/>
      <c r="S89" s="6"/>
      <c r="T89" s="156"/>
      <c r="U89" s="6"/>
    </row>
    <row r="90" spans="1:21" customFormat="1">
      <c r="A90" s="163" t="s">
        <v>513</v>
      </c>
      <c r="B90" s="100">
        <v>11.92</v>
      </c>
      <c r="C90" s="100">
        <v>28.06</v>
      </c>
      <c r="D90" s="100">
        <v>24.9</v>
      </c>
      <c r="E90" s="100">
        <v>1.1599999999999999</v>
      </c>
      <c r="F90" s="100">
        <v>2.4</v>
      </c>
      <c r="G90" s="100">
        <v>31.02</v>
      </c>
      <c r="H90" s="100">
        <v>15.22</v>
      </c>
      <c r="I90" s="100">
        <v>10.029999999999999</v>
      </c>
      <c r="J90" s="100">
        <v>1.19</v>
      </c>
      <c r="K90" s="100">
        <v>198.83</v>
      </c>
      <c r="L90" s="100">
        <v>24.23</v>
      </c>
      <c r="M90" s="100">
        <v>79.349999999999994</v>
      </c>
      <c r="N90" s="100">
        <v>23.9</v>
      </c>
      <c r="O90" s="100">
        <v>0</v>
      </c>
      <c r="P90" s="100">
        <v>0.52</v>
      </c>
      <c r="Q90" s="100">
        <v>27.85</v>
      </c>
      <c r="R90" s="6"/>
      <c r="S90" s="6"/>
      <c r="T90" s="156"/>
      <c r="U90" s="6"/>
    </row>
    <row r="91" spans="1:21" customFormat="1">
      <c r="A91" s="163" t="s">
        <v>514</v>
      </c>
      <c r="B91" s="100">
        <v>11.89</v>
      </c>
      <c r="C91" s="100">
        <v>28.24</v>
      </c>
      <c r="D91" s="100">
        <v>24.96</v>
      </c>
      <c r="E91" s="100">
        <v>1.02</v>
      </c>
      <c r="F91" s="100">
        <v>2.57</v>
      </c>
      <c r="G91" s="100">
        <v>31.02</v>
      </c>
      <c r="H91" s="100">
        <v>15.22</v>
      </c>
      <c r="I91" s="100">
        <v>10.039999999999999</v>
      </c>
      <c r="J91" s="100">
        <v>0.49</v>
      </c>
      <c r="K91" s="100">
        <v>182.76</v>
      </c>
      <c r="L91" s="100">
        <v>24.19</v>
      </c>
      <c r="M91" s="100">
        <v>79.64</v>
      </c>
      <c r="N91" s="100">
        <v>24</v>
      </c>
      <c r="O91" s="100">
        <v>0</v>
      </c>
      <c r="P91" s="100">
        <v>0.53</v>
      </c>
      <c r="Q91" s="100">
        <v>27.8</v>
      </c>
      <c r="R91" s="6"/>
      <c r="S91" s="6"/>
      <c r="T91" s="156"/>
      <c r="U91" s="6"/>
    </row>
    <row r="92" spans="1:21" customFormat="1">
      <c r="A92" s="163" t="s">
        <v>515</v>
      </c>
      <c r="B92" s="100">
        <v>12.08</v>
      </c>
      <c r="C92" s="100">
        <v>29.26</v>
      </c>
      <c r="D92" s="100">
        <v>25.65</v>
      </c>
      <c r="E92" s="100">
        <v>1.3</v>
      </c>
      <c r="F92" s="100">
        <v>2.48</v>
      </c>
      <c r="G92" s="100">
        <v>28.74</v>
      </c>
      <c r="H92" s="100">
        <v>12.96</v>
      </c>
      <c r="I92" s="100">
        <v>9.98</v>
      </c>
      <c r="J92" s="100">
        <v>0.64</v>
      </c>
      <c r="K92" s="100">
        <v>91.35</v>
      </c>
      <c r="L92" s="100">
        <v>23.87</v>
      </c>
      <c r="M92" s="100">
        <v>79.400000000000006</v>
      </c>
      <c r="N92" s="100">
        <v>24</v>
      </c>
      <c r="O92" s="100">
        <v>0</v>
      </c>
      <c r="P92" s="100">
        <v>0.53</v>
      </c>
      <c r="Q92" s="100">
        <v>27.72</v>
      </c>
      <c r="R92" s="6"/>
      <c r="S92" s="6"/>
      <c r="T92" s="156"/>
      <c r="U92" s="6"/>
    </row>
    <row r="93" spans="1:21" customFormat="1">
      <c r="A93" s="163" t="s">
        <v>516</v>
      </c>
      <c r="B93" s="100">
        <v>12.42</v>
      </c>
      <c r="C93" s="100">
        <v>29.84</v>
      </c>
      <c r="D93" s="100">
        <v>26.23</v>
      </c>
      <c r="E93" s="100">
        <v>1.41</v>
      </c>
      <c r="F93" s="100">
        <v>2.59</v>
      </c>
      <c r="G93" s="100">
        <v>26.74</v>
      </c>
      <c r="H93" s="100">
        <v>10.98</v>
      </c>
      <c r="I93" s="100">
        <v>9.93</v>
      </c>
      <c r="J93" s="100">
        <v>0.76</v>
      </c>
      <c r="K93" s="100">
        <v>98.41</v>
      </c>
      <c r="L93" s="100">
        <v>23.73</v>
      </c>
      <c r="M93" s="100">
        <v>81.27</v>
      </c>
      <c r="N93" s="100">
        <v>23.8</v>
      </c>
      <c r="O93" s="100">
        <v>0</v>
      </c>
      <c r="P93" s="100">
        <v>0.54</v>
      </c>
      <c r="Q93" s="100">
        <v>27.67</v>
      </c>
      <c r="R93" s="6"/>
      <c r="S93" s="6"/>
      <c r="T93" s="156"/>
      <c r="U93" s="6"/>
    </row>
    <row r="94" spans="1:21" customFormat="1">
      <c r="A94" s="163" t="s">
        <v>517</v>
      </c>
      <c r="B94" s="100">
        <v>13.25</v>
      </c>
      <c r="C94" s="100">
        <v>34.840000000000003</v>
      </c>
      <c r="D94" s="100">
        <v>29.51</v>
      </c>
      <c r="E94" s="100">
        <v>0.76</v>
      </c>
      <c r="F94" s="100">
        <v>2.62</v>
      </c>
      <c r="G94" s="100">
        <v>26.74</v>
      </c>
      <c r="H94" s="100">
        <v>10.98</v>
      </c>
      <c r="I94" s="100">
        <v>9.9700000000000006</v>
      </c>
      <c r="J94" s="100">
        <v>0.84</v>
      </c>
      <c r="K94" s="100">
        <v>63.6</v>
      </c>
      <c r="L94" s="100">
        <v>23.99</v>
      </c>
      <c r="M94" s="100">
        <v>82.33</v>
      </c>
      <c r="N94" s="100">
        <v>23.3</v>
      </c>
      <c r="O94" s="100">
        <v>0</v>
      </c>
      <c r="P94" s="100">
        <v>0.56000000000000005</v>
      </c>
      <c r="Q94" s="100">
        <v>27.39</v>
      </c>
      <c r="R94" s="6"/>
      <c r="S94" s="6"/>
      <c r="T94" s="156"/>
      <c r="U94" s="6"/>
    </row>
    <row r="95" spans="1:21" customFormat="1">
      <c r="A95" s="163" t="s">
        <v>518</v>
      </c>
      <c r="B95" s="100">
        <v>14.24</v>
      </c>
      <c r="C95" s="100">
        <v>45.32</v>
      </c>
      <c r="D95" s="100">
        <v>35.78</v>
      </c>
      <c r="E95" s="100">
        <v>1.43</v>
      </c>
      <c r="F95" s="100">
        <v>2.67</v>
      </c>
      <c r="G95" s="100">
        <v>26.74</v>
      </c>
      <c r="H95" s="100">
        <v>10.98</v>
      </c>
      <c r="I95" s="100">
        <v>10.15</v>
      </c>
      <c r="J95" s="100">
        <v>0.99</v>
      </c>
      <c r="K95" s="100">
        <v>24.06</v>
      </c>
      <c r="L95" s="100">
        <v>24.12</v>
      </c>
      <c r="M95" s="100">
        <v>82</v>
      </c>
      <c r="N95" s="100">
        <v>22.8</v>
      </c>
      <c r="O95" s="100">
        <v>0</v>
      </c>
      <c r="P95" s="100">
        <v>0.56000000000000005</v>
      </c>
      <c r="Q95" s="100">
        <v>26.88</v>
      </c>
      <c r="R95" s="6"/>
      <c r="S95" s="6"/>
      <c r="T95" s="156"/>
      <c r="U95" s="6"/>
    </row>
    <row r="96" spans="1:21" customFormat="1">
      <c r="A96" s="163" t="s">
        <v>519</v>
      </c>
      <c r="B96" s="100">
        <v>15.23</v>
      </c>
      <c r="C96" s="100">
        <v>46.01</v>
      </c>
      <c r="D96" s="100">
        <v>36.92</v>
      </c>
      <c r="E96" s="100">
        <v>1.34</v>
      </c>
      <c r="F96" s="100">
        <v>2.73</v>
      </c>
      <c r="G96" s="100">
        <v>32.6</v>
      </c>
      <c r="H96" s="100">
        <v>14.26</v>
      </c>
      <c r="I96" s="100">
        <v>10.39</v>
      </c>
      <c r="J96" s="100">
        <v>1.34</v>
      </c>
      <c r="K96" s="100">
        <v>35.96</v>
      </c>
      <c r="L96" s="100">
        <v>23.94</v>
      </c>
      <c r="M96" s="100">
        <v>80.680000000000007</v>
      </c>
      <c r="N96" s="100">
        <v>23.6</v>
      </c>
      <c r="O96" s="100">
        <v>0</v>
      </c>
      <c r="P96" s="100">
        <v>0.57999999999999996</v>
      </c>
      <c r="Q96" s="100">
        <v>26.76</v>
      </c>
      <c r="R96" s="6"/>
      <c r="S96" s="6"/>
      <c r="T96" s="156"/>
      <c r="U96" s="6"/>
    </row>
    <row r="97" spans="1:28" customFormat="1">
      <c r="A97" s="163" t="s">
        <v>520</v>
      </c>
      <c r="B97" s="100">
        <v>16.43</v>
      </c>
      <c r="C97" s="100">
        <v>45.01</v>
      </c>
      <c r="D97" s="100">
        <v>37.36</v>
      </c>
      <c r="E97" s="100">
        <v>2.1</v>
      </c>
      <c r="F97" s="100">
        <v>2.56</v>
      </c>
      <c r="G97" s="100">
        <v>37.729999999999997</v>
      </c>
      <c r="H97" s="100">
        <v>17.14</v>
      </c>
      <c r="I97" s="100">
        <v>10.57</v>
      </c>
      <c r="J97" s="100">
        <v>0.56999999999999995</v>
      </c>
      <c r="K97" s="100">
        <v>340.56</v>
      </c>
      <c r="L97" s="100">
        <v>23.84</v>
      </c>
      <c r="M97" s="100">
        <v>81.08</v>
      </c>
      <c r="N97" s="100">
        <v>23.3</v>
      </c>
      <c r="O97" s="100">
        <v>0</v>
      </c>
      <c r="P97" s="100">
        <v>0.57999999999999996</v>
      </c>
      <c r="Q97" s="100">
        <v>26.73</v>
      </c>
      <c r="R97" s="6"/>
      <c r="S97" s="6"/>
      <c r="T97" s="156"/>
      <c r="U97" s="6"/>
    </row>
    <row r="98" spans="1:28" customFormat="1">
      <c r="A98" s="163" t="s">
        <v>521</v>
      </c>
      <c r="B98" s="100">
        <v>17.55</v>
      </c>
      <c r="C98" s="100">
        <v>43.64</v>
      </c>
      <c r="D98" s="100">
        <v>37.549999999999997</v>
      </c>
      <c r="E98" s="100">
        <v>1.71</v>
      </c>
      <c r="F98" s="100">
        <v>2.5</v>
      </c>
      <c r="G98" s="100">
        <v>37.729999999999997</v>
      </c>
      <c r="H98" s="100">
        <v>17.14</v>
      </c>
      <c r="I98" s="100">
        <v>10.8</v>
      </c>
      <c r="J98" s="100">
        <v>0.73</v>
      </c>
      <c r="K98" s="100">
        <v>358.24</v>
      </c>
      <c r="L98" s="100">
        <v>23.69</v>
      </c>
      <c r="M98" s="100">
        <v>81.84</v>
      </c>
      <c r="N98" s="100">
        <v>23.1</v>
      </c>
      <c r="O98" s="100">
        <v>0</v>
      </c>
      <c r="P98" s="100">
        <v>0.56999999999999995</v>
      </c>
      <c r="Q98" s="100">
        <v>26.72</v>
      </c>
      <c r="R98" s="6"/>
      <c r="S98" s="6"/>
      <c r="T98" s="156"/>
      <c r="U98" s="6"/>
    </row>
    <row r="99" spans="1:28" customFormat="1">
      <c r="A99" s="163" t="s">
        <v>522</v>
      </c>
      <c r="B99" s="100">
        <v>18.45</v>
      </c>
      <c r="C99" s="100">
        <v>42.71</v>
      </c>
      <c r="D99" s="100">
        <v>37.79</v>
      </c>
      <c r="E99" s="100">
        <v>2.16</v>
      </c>
      <c r="F99" s="100">
        <v>2.48</v>
      </c>
      <c r="G99" s="100">
        <v>37.729999999999997</v>
      </c>
      <c r="H99" s="100">
        <v>17.14</v>
      </c>
      <c r="I99" s="100">
        <v>10.91</v>
      </c>
      <c r="J99" s="100">
        <v>0.43</v>
      </c>
      <c r="K99" s="100">
        <v>24.83</v>
      </c>
      <c r="L99" s="100">
        <v>23.47</v>
      </c>
      <c r="M99" s="100">
        <v>82.32</v>
      </c>
      <c r="N99" s="100">
        <v>23.1</v>
      </c>
      <c r="O99" s="100">
        <v>0</v>
      </c>
      <c r="P99" s="100">
        <v>0.56999999999999995</v>
      </c>
      <c r="Q99" s="100">
        <v>26.68</v>
      </c>
      <c r="R99" s="6"/>
      <c r="S99" s="6"/>
      <c r="T99" s="156"/>
      <c r="U99" s="6"/>
    </row>
    <row r="100" spans="1:28" customFormat="1">
      <c r="A100" s="163" t="s">
        <v>523</v>
      </c>
      <c r="B100" s="100">
        <v>19.12</v>
      </c>
      <c r="C100" s="100">
        <v>37.22</v>
      </c>
      <c r="D100" s="100">
        <v>35.450000000000003</v>
      </c>
      <c r="E100" s="100">
        <v>1.94</v>
      </c>
      <c r="F100" s="100">
        <v>2.34</v>
      </c>
      <c r="G100" s="100">
        <v>40.090000000000003</v>
      </c>
      <c r="H100" s="100">
        <v>18</v>
      </c>
      <c r="I100" s="100">
        <v>10.88</v>
      </c>
      <c r="J100" s="100">
        <v>0.31</v>
      </c>
      <c r="K100" s="100">
        <v>216.86</v>
      </c>
      <c r="L100" s="100">
        <v>23.34</v>
      </c>
      <c r="M100" s="100">
        <v>82.52</v>
      </c>
      <c r="N100" s="100">
        <v>23</v>
      </c>
      <c r="O100" s="100">
        <v>0</v>
      </c>
      <c r="P100" s="100">
        <v>0.55000000000000004</v>
      </c>
      <c r="Q100" s="100">
        <v>26.85</v>
      </c>
      <c r="R100" s="6"/>
      <c r="S100" s="6"/>
      <c r="T100" s="156"/>
      <c r="U100" s="6"/>
      <c r="AB100" s="161"/>
    </row>
    <row r="101" spans="1:28" customFormat="1">
      <c r="A101" s="163" t="s">
        <v>524</v>
      </c>
      <c r="B101" s="100">
        <v>19.309999999999999</v>
      </c>
      <c r="C101" s="100">
        <v>32.82</v>
      </c>
      <c r="D101" s="100">
        <v>33.31</v>
      </c>
      <c r="E101" s="100">
        <v>0.37</v>
      </c>
      <c r="F101" s="100">
        <v>2.2799999999999998</v>
      </c>
      <c r="G101" s="100">
        <v>42.16</v>
      </c>
      <c r="H101" s="100">
        <v>18.760000000000002</v>
      </c>
      <c r="I101" s="100">
        <v>10.88</v>
      </c>
      <c r="J101" s="100">
        <v>1.02</v>
      </c>
      <c r="K101" s="100">
        <v>43.46</v>
      </c>
      <c r="L101" s="100">
        <v>23.31</v>
      </c>
      <c r="M101" s="100">
        <v>82.77</v>
      </c>
      <c r="N101" s="100">
        <v>22.9</v>
      </c>
      <c r="O101" s="100">
        <v>0</v>
      </c>
      <c r="P101" s="100">
        <v>0.55000000000000004</v>
      </c>
      <c r="Q101" s="100">
        <v>27.02</v>
      </c>
      <c r="R101" s="6"/>
      <c r="S101" s="6"/>
      <c r="T101" s="156"/>
      <c r="U101" s="6"/>
    </row>
    <row r="102" spans="1:28" customFormat="1">
      <c r="A102" s="163" t="s">
        <v>525</v>
      </c>
      <c r="B102" s="100">
        <v>18.850000000000001</v>
      </c>
      <c r="C102" s="100">
        <v>31.42</v>
      </c>
      <c r="D102" s="100">
        <v>32.200000000000003</v>
      </c>
      <c r="E102" s="100">
        <v>0.8</v>
      </c>
      <c r="F102" s="100">
        <v>2.8</v>
      </c>
      <c r="G102" s="100">
        <v>42.16</v>
      </c>
      <c r="H102" s="100">
        <v>18.760000000000002</v>
      </c>
      <c r="I102" s="100">
        <v>10.75</v>
      </c>
      <c r="J102" s="100">
        <v>1.31</v>
      </c>
      <c r="K102" s="100">
        <v>5.79</v>
      </c>
      <c r="L102" s="100">
        <v>23.32</v>
      </c>
      <c r="M102" s="100">
        <v>82.18</v>
      </c>
      <c r="N102" s="100">
        <v>22.9</v>
      </c>
      <c r="O102" s="100">
        <v>0</v>
      </c>
      <c r="P102" s="100">
        <v>0.55000000000000004</v>
      </c>
      <c r="Q102" s="100">
        <v>27.11</v>
      </c>
      <c r="R102" s="6"/>
      <c r="S102" s="6"/>
      <c r="T102" s="156"/>
      <c r="U102" s="6"/>
    </row>
    <row r="103" spans="1:28" customFormat="1">
      <c r="A103" s="163" t="s">
        <v>526</v>
      </c>
      <c r="B103" s="100">
        <v>18.559999999999999</v>
      </c>
      <c r="C103" s="100">
        <v>31.31</v>
      </c>
      <c r="D103" s="100">
        <v>31.92</v>
      </c>
      <c r="E103" s="100">
        <v>0.94</v>
      </c>
      <c r="F103" s="100">
        <v>2.93</v>
      </c>
      <c r="G103" s="100">
        <v>42.16</v>
      </c>
      <c r="H103" s="100">
        <v>18.760000000000002</v>
      </c>
      <c r="I103" s="100">
        <v>10.6</v>
      </c>
      <c r="J103" s="100">
        <v>0.42</v>
      </c>
      <c r="K103" s="100">
        <v>24.93</v>
      </c>
      <c r="L103" s="100">
        <v>23.26</v>
      </c>
      <c r="M103" s="100">
        <v>82.14</v>
      </c>
      <c r="N103" s="100">
        <v>23.1</v>
      </c>
      <c r="O103" s="100">
        <v>0</v>
      </c>
      <c r="P103" s="100">
        <v>0.56000000000000005</v>
      </c>
      <c r="Q103" s="100">
        <v>27.11</v>
      </c>
      <c r="R103" s="6"/>
      <c r="S103" s="6"/>
      <c r="T103" s="156"/>
      <c r="U103" s="6"/>
    </row>
    <row r="104" spans="1:28" customFormat="1">
      <c r="A104" s="163" t="s">
        <v>527</v>
      </c>
      <c r="B104" s="100">
        <v>18.7</v>
      </c>
      <c r="C104" s="100">
        <v>32.46</v>
      </c>
      <c r="D104" s="100">
        <v>32.630000000000003</v>
      </c>
      <c r="E104" s="100">
        <v>0.83</v>
      </c>
      <c r="F104" s="100">
        <v>2.61</v>
      </c>
      <c r="G104" s="100">
        <v>40.630000000000003</v>
      </c>
      <c r="H104" s="100">
        <v>18.440000000000001</v>
      </c>
      <c r="I104" s="100">
        <v>10.34</v>
      </c>
      <c r="J104" s="100">
        <v>0.59</v>
      </c>
      <c r="K104" s="100">
        <v>171.28</v>
      </c>
      <c r="L104" s="100">
        <v>23.26</v>
      </c>
      <c r="M104" s="100">
        <v>82.56</v>
      </c>
      <c r="N104" s="100">
        <v>23.2</v>
      </c>
      <c r="O104" s="100">
        <v>0</v>
      </c>
      <c r="P104" s="100">
        <v>0.55000000000000004</v>
      </c>
      <c r="Q104" s="100">
        <v>26.93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1.75</v>
      </c>
      <c r="C106" s="158">
        <f>MIN(C9:C104)</f>
        <v>14.8</v>
      </c>
      <c r="D106" s="158">
        <f t="shared" ref="D106:Q106" si="0">MIN(D9:D104)</f>
        <v>10.210000000000001</v>
      </c>
      <c r="E106" s="158">
        <f t="shared" si="0"/>
        <v>0.11</v>
      </c>
      <c r="F106" s="158">
        <f t="shared" si="0"/>
        <v>2.2799999999999998</v>
      </c>
      <c r="G106" s="158">
        <f t="shared" si="0"/>
        <v>26.74</v>
      </c>
      <c r="H106" s="158">
        <f t="shared" si="0"/>
        <v>10.98</v>
      </c>
      <c r="I106" s="158">
        <f t="shared" si="0"/>
        <v>8.68</v>
      </c>
      <c r="J106" s="158">
        <f t="shared" si="0"/>
        <v>0.17</v>
      </c>
      <c r="K106" s="158">
        <f t="shared" si="0"/>
        <v>1.92</v>
      </c>
      <c r="L106" s="158">
        <f t="shared" si="0"/>
        <v>20.43</v>
      </c>
      <c r="M106" s="158">
        <f t="shared" si="0"/>
        <v>28.44</v>
      </c>
      <c r="N106" s="158">
        <f t="shared" si="0"/>
        <v>22.4</v>
      </c>
      <c r="O106" s="158">
        <f t="shared" si="0"/>
        <v>0</v>
      </c>
      <c r="P106" s="158">
        <f t="shared" si="0"/>
        <v>0.41</v>
      </c>
      <c r="Q106" s="158">
        <f t="shared" si="0"/>
        <v>26.68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19.309999999999999</v>
      </c>
      <c r="C107" s="157">
        <f t="shared" ref="C107:Q107" si="1">MAX(C9:C104)</f>
        <v>46.01</v>
      </c>
      <c r="D107" s="157">
        <f t="shared" si="1"/>
        <v>37.79</v>
      </c>
      <c r="E107" s="157">
        <f t="shared" si="1"/>
        <v>3.46</v>
      </c>
      <c r="F107" s="157">
        <f t="shared" si="1"/>
        <v>35.79</v>
      </c>
      <c r="G107" s="157">
        <f t="shared" si="1"/>
        <v>59.42</v>
      </c>
      <c r="H107" s="157">
        <f t="shared" si="1"/>
        <v>28.71</v>
      </c>
      <c r="I107" s="157">
        <f t="shared" si="1"/>
        <v>16.37</v>
      </c>
      <c r="J107" s="157">
        <f t="shared" si="1"/>
        <v>3.58</v>
      </c>
      <c r="K107" s="157">
        <f t="shared" si="1"/>
        <v>358.24</v>
      </c>
      <c r="L107" s="157">
        <f t="shared" si="1"/>
        <v>39.369999999999997</v>
      </c>
      <c r="M107" s="157">
        <f t="shared" si="1"/>
        <v>96.98</v>
      </c>
      <c r="N107" s="157">
        <f t="shared" si="1"/>
        <v>818.3</v>
      </c>
      <c r="O107" s="157">
        <f t="shared" si="1"/>
        <v>20.399999999999999</v>
      </c>
      <c r="P107" s="157">
        <f t="shared" si="1"/>
        <v>0.76</v>
      </c>
      <c r="Q107" s="157">
        <f t="shared" si="1"/>
        <v>29.15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8.1062499999999993</v>
      </c>
      <c r="C108" s="158">
        <f t="shared" ref="C108:Q108" si="2">AVERAGE(C9:C104)</f>
        <v>28.265520833333341</v>
      </c>
      <c r="D108" s="158">
        <f t="shared" si="2"/>
        <v>21.944479166666671</v>
      </c>
      <c r="E108" s="158">
        <f t="shared" si="2"/>
        <v>1.2864583333333326</v>
      </c>
      <c r="F108" s="158">
        <f t="shared" si="2"/>
        <v>7.2064583333333312</v>
      </c>
      <c r="G108" s="158">
        <f t="shared" si="2"/>
        <v>39.250937499999971</v>
      </c>
      <c r="H108" s="158">
        <f t="shared" si="2"/>
        <v>19.089895833333347</v>
      </c>
      <c r="I108" s="158">
        <f t="shared" si="2"/>
        <v>11.610937499999999</v>
      </c>
      <c r="J108" s="158">
        <f t="shared" si="2"/>
        <v>1.3089583333333339</v>
      </c>
      <c r="K108" s="158">
        <f t="shared" si="2"/>
        <v>175.16468749999993</v>
      </c>
      <c r="L108" s="158">
        <f t="shared" si="2"/>
        <v>28.909375000000015</v>
      </c>
      <c r="M108" s="158">
        <f t="shared" si="2"/>
        <v>62.83156250000004</v>
      </c>
      <c r="N108" s="158">
        <f t="shared" si="2"/>
        <v>180.25937499999989</v>
      </c>
      <c r="O108" s="158">
        <f t="shared" si="2"/>
        <v>0.44166666666666665</v>
      </c>
      <c r="P108" s="158">
        <f t="shared" si="2"/>
        <v>0.56124999999999992</v>
      </c>
      <c r="Q108" s="158">
        <f t="shared" si="2"/>
        <v>28.039895833333329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4.9520431190198266</v>
      </c>
      <c r="C109" s="158">
        <f t="shared" ref="C109:Q109" si="3">STDEV(C9:C104)</f>
        <v>6.8237924121247753</v>
      </c>
      <c r="D109" s="158">
        <f t="shared" si="3"/>
        <v>6.9363343678573592</v>
      </c>
      <c r="E109" s="158">
        <f t="shared" si="3"/>
        <v>0.65940320572416089</v>
      </c>
      <c r="F109" s="158">
        <f t="shared" si="3"/>
        <v>6.07497038834744</v>
      </c>
      <c r="G109" s="158">
        <f t="shared" si="3"/>
        <v>8.9115615121890546</v>
      </c>
      <c r="H109" s="158">
        <f t="shared" si="3"/>
        <v>4.5668534589310577</v>
      </c>
      <c r="I109" s="158">
        <f t="shared" si="3"/>
        <v>1.912871128421209</v>
      </c>
      <c r="J109" s="158">
        <f t="shared" si="3"/>
        <v>0.71448984990273601</v>
      </c>
      <c r="K109" s="158">
        <f t="shared" si="3"/>
        <v>78.966026271837336</v>
      </c>
      <c r="L109" s="158">
        <f t="shared" si="3"/>
        <v>5.4944572669094471</v>
      </c>
      <c r="M109" s="158">
        <f t="shared" si="3"/>
        <v>20.277512788833658</v>
      </c>
      <c r="N109" s="158">
        <f t="shared" si="3"/>
        <v>269.15340277799521</v>
      </c>
      <c r="O109" s="158">
        <f t="shared" si="3"/>
        <v>2.3996344750888805</v>
      </c>
      <c r="P109" s="158">
        <f t="shared" si="3"/>
        <v>6.7765074065907885E-2</v>
      </c>
      <c r="Q109" s="158">
        <f t="shared" si="3"/>
        <v>0.60645214119615676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0" sqref="G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528</v>
      </c>
      <c r="B9" s="100">
        <v>18.13</v>
      </c>
      <c r="C9" s="100">
        <v>34.85</v>
      </c>
      <c r="D9" s="100">
        <v>33.42</v>
      </c>
      <c r="E9" s="100">
        <v>0.59</v>
      </c>
      <c r="F9" s="100">
        <v>2.38</v>
      </c>
      <c r="G9" s="100">
        <v>39.28</v>
      </c>
      <c r="H9" s="100">
        <v>18.149999999999999</v>
      </c>
      <c r="I9" s="100">
        <v>10.18</v>
      </c>
      <c r="J9" s="100">
        <v>0.73</v>
      </c>
      <c r="K9" s="100">
        <v>154.76</v>
      </c>
      <c r="L9" s="100">
        <v>23.2</v>
      </c>
      <c r="M9" s="100">
        <v>85.05</v>
      </c>
      <c r="N9" s="100">
        <v>23</v>
      </c>
      <c r="O9" s="100">
        <v>0</v>
      </c>
      <c r="P9" s="100">
        <v>0.54</v>
      </c>
      <c r="Q9" s="100">
        <v>26.76</v>
      </c>
      <c r="R9" s="6"/>
      <c r="S9" s="6"/>
      <c r="T9" s="156"/>
      <c r="U9" s="6"/>
    </row>
    <row r="10" spans="1:21" customFormat="1">
      <c r="A10" s="163" t="s">
        <v>529</v>
      </c>
      <c r="B10" s="100">
        <v>17.96</v>
      </c>
      <c r="C10" s="100">
        <v>33.5</v>
      </c>
      <c r="D10" s="100">
        <v>32.58</v>
      </c>
      <c r="E10" s="100">
        <v>1.1200000000000001</v>
      </c>
      <c r="F10" s="100">
        <v>2.4</v>
      </c>
      <c r="G10" s="100">
        <v>39.28</v>
      </c>
      <c r="H10" s="100">
        <v>18.149999999999999</v>
      </c>
      <c r="I10" s="100">
        <v>10.09</v>
      </c>
      <c r="J10" s="100">
        <v>0.77</v>
      </c>
      <c r="K10" s="100">
        <v>123.57</v>
      </c>
      <c r="L10" s="100">
        <v>23.13</v>
      </c>
      <c r="M10" s="100">
        <v>85.31</v>
      </c>
      <c r="N10" s="100">
        <v>23.1</v>
      </c>
      <c r="O10" s="100">
        <v>0</v>
      </c>
      <c r="P10" s="100">
        <v>0.53</v>
      </c>
      <c r="Q10" s="100">
        <v>26.78</v>
      </c>
      <c r="R10" s="6"/>
      <c r="S10" s="6"/>
      <c r="T10" s="156"/>
      <c r="U10" s="6"/>
    </row>
    <row r="11" spans="1:21" customFormat="1">
      <c r="A11" s="163" t="s">
        <v>530</v>
      </c>
      <c r="B11" s="100">
        <v>17.88</v>
      </c>
      <c r="C11" s="100">
        <v>36.85</v>
      </c>
      <c r="D11" s="100">
        <v>34.26</v>
      </c>
      <c r="E11" s="100">
        <v>0.87</v>
      </c>
      <c r="F11" s="100">
        <v>2.4700000000000002</v>
      </c>
      <c r="G11" s="100">
        <v>39.28</v>
      </c>
      <c r="H11" s="100">
        <v>18.149999999999999</v>
      </c>
      <c r="I11" s="100">
        <v>10.02</v>
      </c>
      <c r="J11" s="100">
        <v>0.72</v>
      </c>
      <c r="K11" s="100">
        <v>198.48</v>
      </c>
      <c r="L11" s="100">
        <v>23.33</v>
      </c>
      <c r="M11" s="100">
        <v>84.84</v>
      </c>
      <c r="N11" s="100">
        <v>22.6</v>
      </c>
      <c r="O11" s="100">
        <v>0</v>
      </c>
      <c r="P11" s="100">
        <v>0.53</v>
      </c>
      <c r="Q11" s="100">
        <v>26.68</v>
      </c>
      <c r="R11" s="6"/>
      <c r="S11" s="6"/>
      <c r="T11" s="156"/>
      <c r="U11" s="6"/>
    </row>
    <row r="12" spans="1:21" customFormat="1">
      <c r="A12" s="163" t="s">
        <v>531</v>
      </c>
      <c r="B12" s="100">
        <v>18.29</v>
      </c>
      <c r="C12" s="100">
        <v>45.14</v>
      </c>
      <c r="D12" s="100">
        <v>38.93</v>
      </c>
      <c r="E12" s="100">
        <v>0.71</v>
      </c>
      <c r="F12" s="100">
        <v>2.52</v>
      </c>
      <c r="G12" s="100">
        <v>39.03</v>
      </c>
      <c r="H12" s="100">
        <v>18.190000000000001</v>
      </c>
      <c r="I12" s="100">
        <v>9.8699999999999992</v>
      </c>
      <c r="J12" s="100">
        <v>0.9</v>
      </c>
      <c r="K12" s="100">
        <v>199.36</v>
      </c>
      <c r="L12" s="100">
        <v>23.36</v>
      </c>
      <c r="M12" s="100">
        <v>84.12</v>
      </c>
      <c r="N12" s="100">
        <v>22.6</v>
      </c>
      <c r="O12" s="100">
        <v>0</v>
      </c>
      <c r="P12" s="100">
        <v>0.52</v>
      </c>
      <c r="Q12" s="100">
        <v>26.28</v>
      </c>
      <c r="R12" s="6"/>
      <c r="S12" s="6"/>
      <c r="T12" s="156"/>
      <c r="U12" s="6"/>
    </row>
    <row r="13" spans="1:21" customFormat="1">
      <c r="A13" s="163" t="s">
        <v>532</v>
      </c>
      <c r="B13" s="100">
        <v>19.07</v>
      </c>
      <c r="C13" s="100">
        <v>45.29</v>
      </c>
      <c r="D13" s="100">
        <v>39.630000000000003</v>
      </c>
      <c r="E13" s="100">
        <v>0.74</v>
      </c>
      <c r="F13" s="100">
        <v>2.42</v>
      </c>
      <c r="G13" s="100">
        <v>38.81</v>
      </c>
      <c r="H13" s="100">
        <v>18.22</v>
      </c>
      <c r="I13" s="100">
        <v>9.74</v>
      </c>
      <c r="J13" s="100">
        <v>1.05</v>
      </c>
      <c r="K13" s="100">
        <v>204.31</v>
      </c>
      <c r="L13" s="100">
        <v>23.31</v>
      </c>
      <c r="M13" s="100">
        <v>84.81</v>
      </c>
      <c r="N13" s="100">
        <v>22.9</v>
      </c>
      <c r="O13" s="100">
        <v>0</v>
      </c>
      <c r="P13" s="100">
        <v>0.52</v>
      </c>
      <c r="Q13" s="100">
        <v>26.17</v>
      </c>
      <c r="R13" s="6"/>
      <c r="S13" s="6"/>
      <c r="T13" s="156"/>
      <c r="U13" s="6"/>
    </row>
    <row r="14" spans="1:21" customFormat="1">
      <c r="A14" s="163" t="s">
        <v>533</v>
      </c>
      <c r="B14" s="100">
        <v>19.809999999999999</v>
      </c>
      <c r="C14" s="100">
        <v>43.14</v>
      </c>
      <c r="D14" s="100">
        <v>39.1</v>
      </c>
      <c r="E14" s="100">
        <v>0.37</v>
      </c>
      <c r="F14" s="100">
        <v>2.46</v>
      </c>
      <c r="G14" s="100">
        <v>38.81</v>
      </c>
      <c r="H14" s="100">
        <v>18.22</v>
      </c>
      <c r="I14" s="100">
        <v>9.85</v>
      </c>
      <c r="J14" s="100">
        <v>0.93</v>
      </c>
      <c r="K14" s="100">
        <v>207.51</v>
      </c>
      <c r="L14" s="100">
        <v>23.24</v>
      </c>
      <c r="M14" s="100">
        <v>86.15</v>
      </c>
      <c r="N14" s="100">
        <v>22.9</v>
      </c>
      <c r="O14" s="100">
        <v>0</v>
      </c>
      <c r="P14" s="100">
        <v>0.51</v>
      </c>
      <c r="Q14" s="100">
        <v>26.26</v>
      </c>
      <c r="R14" s="6"/>
      <c r="S14" s="6"/>
      <c r="T14" s="156"/>
      <c r="U14" s="6"/>
    </row>
    <row r="15" spans="1:21" customFormat="1">
      <c r="A15" s="163" t="s">
        <v>534</v>
      </c>
      <c r="B15" s="100">
        <v>20.57</v>
      </c>
      <c r="C15" s="100">
        <v>42.83</v>
      </c>
      <c r="D15" s="100">
        <v>39.549999999999997</v>
      </c>
      <c r="E15" s="100">
        <v>0.56999999999999995</v>
      </c>
      <c r="F15" s="100">
        <v>2.57</v>
      </c>
      <c r="G15" s="100">
        <v>38.81</v>
      </c>
      <c r="H15" s="100">
        <v>18.22</v>
      </c>
      <c r="I15" s="100">
        <v>9.9</v>
      </c>
      <c r="J15" s="100">
        <v>1.43</v>
      </c>
      <c r="K15" s="100">
        <v>216.63</v>
      </c>
      <c r="L15" s="100">
        <v>23.11</v>
      </c>
      <c r="M15" s="100">
        <v>86.66</v>
      </c>
      <c r="N15" s="100">
        <v>22.9</v>
      </c>
      <c r="O15" s="100">
        <v>0</v>
      </c>
      <c r="P15" s="100">
        <v>0.51</v>
      </c>
      <c r="Q15" s="100">
        <v>26.22</v>
      </c>
      <c r="R15" s="6"/>
      <c r="S15" s="6"/>
      <c r="T15" s="156"/>
      <c r="U15" s="6"/>
    </row>
    <row r="16" spans="1:21" customFormat="1">
      <c r="A16" s="163" t="s">
        <v>535</v>
      </c>
      <c r="B16" s="100">
        <v>21.27</v>
      </c>
      <c r="C16" s="100">
        <v>40.18</v>
      </c>
      <c r="D16" s="100">
        <v>38.729999999999997</v>
      </c>
      <c r="E16" s="100">
        <v>0.88</v>
      </c>
      <c r="F16" s="100">
        <v>2.44</v>
      </c>
      <c r="G16" s="100">
        <v>43.84</v>
      </c>
      <c r="H16" s="100">
        <v>18.68</v>
      </c>
      <c r="I16" s="100">
        <v>9.89</v>
      </c>
      <c r="J16" s="100">
        <v>1.75</v>
      </c>
      <c r="K16" s="100">
        <v>217.03</v>
      </c>
      <c r="L16" s="100">
        <v>22.97</v>
      </c>
      <c r="M16" s="100">
        <v>87.4</v>
      </c>
      <c r="N16" s="100">
        <v>23.1</v>
      </c>
      <c r="O16" s="100">
        <v>0</v>
      </c>
      <c r="P16" s="100">
        <v>0.51</v>
      </c>
      <c r="Q16" s="100">
        <v>26.28</v>
      </c>
      <c r="R16" s="6"/>
      <c r="S16" s="6"/>
      <c r="T16" s="156"/>
      <c r="U16" s="6"/>
    </row>
    <row r="17" spans="1:21" customFormat="1">
      <c r="A17" s="163" t="s">
        <v>536</v>
      </c>
      <c r="B17" s="100">
        <v>21.39</v>
      </c>
      <c r="C17" s="100">
        <v>37.99</v>
      </c>
      <c r="D17" s="100">
        <v>37.68</v>
      </c>
      <c r="E17" s="100">
        <v>0.44</v>
      </c>
      <c r="F17" s="100">
        <v>2.31</v>
      </c>
      <c r="G17" s="100">
        <v>48.24</v>
      </c>
      <c r="H17" s="100">
        <v>19.079999999999998</v>
      </c>
      <c r="I17" s="100">
        <v>9.93</v>
      </c>
      <c r="J17" s="100">
        <v>1.83</v>
      </c>
      <c r="K17" s="100">
        <v>220.18</v>
      </c>
      <c r="L17" s="100">
        <v>22.8</v>
      </c>
      <c r="M17" s="100">
        <v>86.96</v>
      </c>
      <c r="N17" s="100">
        <v>23.1</v>
      </c>
      <c r="O17" s="100">
        <v>0</v>
      </c>
      <c r="P17" s="100">
        <v>0.5</v>
      </c>
      <c r="Q17" s="100">
        <v>26.36</v>
      </c>
      <c r="R17" s="6"/>
      <c r="S17" s="6"/>
      <c r="T17" s="156"/>
      <c r="U17" s="6"/>
    </row>
    <row r="18" spans="1:21" customFormat="1">
      <c r="A18" s="163" t="s">
        <v>537</v>
      </c>
      <c r="B18" s="100">
        <v>21.13</v>
      </c>
      <c r="C18" s="100">
        <v>31.55</v>
      </c>
      <c r="D18" s="100">
        <v>34.11</v>
      </c>
      <c r="E18" s="100">
        <v>0.18</v>
      </c>
      <c r="F18" s="100">
        <v>2.38</v>
      </c>
      <c r="G18" s="100">
        <v>48.24</v>
      </c>
      <c r="H18" s="100">
        <v>19.079999999999998</v>
      </c>
      <c r="I18" s="100">
        <v>10.050000000000001</v>
      </c>
      <c r="J18" s="100">
        <v>2.04</v>
      </c>
      <c r="K18" s="100">
        <v>215.85</v>
      </c>
      <c r="L18" s="100">
        <v>22.9</v>
      </c>
      <c r="M18" s="100">
        <v>84.9</v>
      </c>
      <c r="N18" s="100">
        <v>23</v>
      </c>
      <c r="O18" s="100">
        <v>0</v>
      </c>
      <c r="P18" s="100">
        <v>0.51</v>
      </c>
      <c r="Q18" s="100">
        <v>26.73</v>
      </c>
      <c r="R18" s="6"/>
      <c r="S18" s="6"/>
      <c r="T18" s="156"/>
      <c r="U18" s="6"/>
    </row>
    <row r="19" spans="1:21" customFormat="1">
      <c r="A19" s="163" t="s">
        <v>538</v>
      </c>
      <c r="B19" s="100">
        <v>19.96</v>
      </c>
      <c r="C19" s="100">
        <v>30.55</v>
      </c>
      <c r="D19" s="100">
        <v>32.64</v>
      </c>
      <c r="E19" s="100">
        <v>0.16</v>
      </c>
      <c r="F19" s="100">
        <v>2.5299999999999998</v>
      </c>
      <c r="G19" s="100">
        <v>48.24</v>
      </c>
      <c r="H19" s="100">
        <v>19.079999999999998</v>
      </c>
      <c r="I19" s="100">
        <v>10.119999999999999</v>
      </c>
      <c r="J19" s="100">
        <v>1.69</v>
      </c>
      <c r="K19" s="100">
        <v>191.94</v>
      </c>
      <c r="L19" s="100">
        <v>22.83</v>
      </c>
      <c r="M19" s="100">
        <v>84.76</v>
      </c>
      <c r="N19" s="100">
        <v>23.4</v>
      </c>
      <c r="O19" s="100">
        <v>0</v>
      </c>
      <c r="P19" s="100">
        <v>0.51</v>
      </c>
      <c r="Q19" s="100">
        <v>26.88</v>
      </c>
      <c r="R19" s="6"/>
      <c r="S19" s="6"/>
      <c r="T19" s="156"/>
      <c r="U19" s="6"/>
    </row>
    <row r="20" spans="1:21" customFormat="1">
      <c r="A20" s="163" t="s">
        <v>539</v>
      </c>
      <c r="B20" s="100">
        <v>19.03</v>
      </c>
      <c r="C20" s="100">
        <v>31.07</v>
      </c>
      <c r="D20" s="100">
        <v>32.17</v>
      </c>
      <c r="E20" s="100">
        <v>0.17</v>
      </c>
      <c r="F20" s="100">
        <v>2.63</v>
      </c>
      <c r="G20" s="100">
        <v>44.26</v>
      </c>
      <c r="H20" s="100">
        <v>20.62</v>
      </c>
      <c r="I20" s="100">
        <v>9.9499999999999993</v>
      </c>
      <c r="J20" s="100">
        <v>1.78</v>
      </c>
      <c r="K20" s="100">
        <v>210.32</v>
      </c>
      <c r="L20" s="100">
        <v>22.93</v>
      </c>
      <c r="M20" s="100">
        <v>82.93</v>
      </c>
      <c r="N20" s="100">
        <v>23.1</v>
      </c>
      <c r="O20" s="100">
        <v>0</v>
      </c>
      <c r="P20" s="100">
        <v>0.5</v>
      </c>
      <c r="Q20" s="100">
        <v>26.94</v>
      </c>
      <c r="R20" s="6"/>
      <c r="S20" s="6"/>
      <c r="T20" s="156"/>
      <c r="U20" s="6"/>
    </row>
    <row r="21" spans="1:21" customFormat="1">
      <c r="A21" s="163" t="s">
        <v>540</v>
      </c>
      <c r="B21" s="100">
        <v>18.329999999999998</v>
      </c>
      <c r="C21" s="100">
        <v>31.06</v>
      </c>
      <c r="D21" s="100">
        <v>31.6</v>
      </c>
      <c r="E21" s="100">
        <v>0.1</v>
      </c>
      <c r="F21" s="100">
        <v>2.48</v>
      </c>
      <c r="G21" s="100">
        <v>40.770000000000003</v>
      </c>
      <c r="H21" s="100">
        <v>21.97</v>
      </c>
      <c r="I21" s="100">
        <v>9.77</v>
      </c>
      <c r="J21" s="100">
        <v>1.6</v>
      </c>
      <c r="K21" s="100">
        <v>201.04</v>
      </c>
      <c r="L21" s="100">
        <v>23.06</v>
      </c>
      <c r="M21" s="100">
        <v>82.45</v>
      </c>
      <c r="N21" s="100">
        <v>23.3</v>
      </c>
      <c r="O21" s="100">
        <v>0</v>
      </c>
      <c r="P21" s="100">
        <v>0.5</v>
      </c>
      <c r="Q21" s="100">
        <v>26.97</v>
      </c>
      <c r="R21" s="6"/>
      <c r="S21" s="6"/>
      <c r="T21" s="156"/>
      <c r="U21" s="6"/>
    </row>
    <row r="22" spans="1:21" customFormat="1">
      <c r="A22" s="163" t="s">
        <v>541</v>
      </c>
      <c r="B22" s="100">
        <v>17.690000000000001</v>
      </c>
      <c r="C22" s="100">
        <v>30.85</v>
      </c>
      <c r="D22" s="100">
        <v>30.98</v>
      </c>
      <c r="E22" s="100">
        <v>0.04</v>
      </c>
      <c r="F22" s="100">
        <v>2.41</v>
      </c>
      <c r="G22" s="100">
        <v>40.770000000000003</v>
      </c>
      <c r="H22" s="100">
        <v>21.97</v>
      </c>
      <c r="I22" s="100">
        <v>9.64</v>
      </c>
      <c r="J22" s="100">
        <v>1.5</v>
      </c>
      <c r="K22" s="100">
        <v>204.28</v>
      </c>
      <c r="L22" s="100">
        <v>22.99</v>
      </c>
      <c r="M22" s="100">
        <v>83.85</v>
      </c>
      <c r="N22" s="100">
        <v>23.4</v>
      </c>
      <c r="O22" s="100">
        <v>0</v>
      </c>
      <c r="P22" s="100">
        <v>0.5</v>
      </c>
      <c r="Q22" s="100">
        <v>27.01</v>
      </c>
      <c r="R22" s="6"/>
      <c r="S22" s="6"/>
      <c r="T22" s="156"/>
      <c r="U22" s="6"/>
    </row>
    <row r="23" spans="1:21" customFormat="1">
      <c r="A23" s="163" t="s">
        <v>542</v>
      </c>
      <c r="B23" s="100">
        <v>16.87</v>
      </c>
      <c r="C23" s="100">
        <v>30.63</v>
      </c>
      <c r="D23" s="100">
        <v>30.21</v>
      </c>
      <c r="E23" s="100">
        <v>0.31</v>
      </c>
      <c r="F23" s="100">
        <v>2.41</v>
      </c>
      <c r="G23" s="100">
        <v>40.770000000000003</v>
      </c>
      <c r="H23" s="100">
        <v>21.97</v>
      </c>
      <c r="I23" s="100">
        <v>9.48</v>
      </c>
      <c r="J23" s="100">
        <v>2.1800000000000002</v>
      </c>
      <c r="K23" s="100">
        <v>240.05</v>
      </c>
      <c r="L23" s="100">
        <v>23.03</v>
      </c>
      <c r="M23" s="100">
        <v>84.28</v>
      </c>
      <c r="N23" s="100">
        <v>23.2</v>
      </c>
      <c r="O23" s="100">
        <v>0</v>
      </c>
      <c r="P23" s="100">
        <v>0.48</v>
      </c>
      <c r="Q23" s="100">
        <v>27.09</v>
      </c>
      <c r="R23" s="6"/>
      <c r="S23" s="6"/>
      <c r="T23" s="156"/>
      <c r="U23" s="6"/>
    </row>
    <row r="24" spans="1:21" customFormat="1">
      <c r="A24" s="163" t="s">
        <v>543</v>
      </c>
      <c r="B24" s="100">
        <v>15.92</v>
      </c>
      <c r="C24" s="100">
        <v>31.46</v>
      </c>
      <c r="D24" s="100">
        <v>29.87</v>
      </c>
      <c r="E24" s="100">
        <v>0.24</v>
      </c>
      <c r="F24" s="100">
        <v>2.57</v>
      </c>
      <c r="G24" s="100">
        <v>37.69</v>
      </c>
      <c r="H24" s="100">
        <v>20.54</v>
      </c>
      <c r="I24" s="100">
        <v>9.33</v>
      </c>
      <c r="J24" s="100">
        <v>0.8</v>
      </c>
      <c r="K24" s="100">
        <v>246.77</v>
      </c>
      <c r="L24" s="100">
        <v>23.23</v>
      </c>
      <c r="M24" s="100">
        <v>83.11</v>
      </c>
      <c r="N24" s="100">
        <v>23.3</v>
      </c>
      <c r="O24" s="100">
        <v>0</v>
      </c>
      <c r="P24" s="100">
        <v>0.48</v>
      </c>
      <c r="Q24" s="100">
        <v>27.14</v>
      </c>
      <c r="R24" s="6"/>
      <c r="S24" s="6"/>
      <c r="T24" s="156"/>
      <c r="U24" s="6"/>
    </row>
    <row r="25" spans="1:21" customFormat="1">
      <c r="A25" s="163" t="s">
        <v>544</v>
      </c>
      <c r="B25" s="100">
        <v>16.059999999999999</v>
      </c>
      <c r="C25" s="100">
        <v>36.43</v>
      </c>
      <c r="D25" s="100">
        <v>32.590000000000003</v>
      </c>
      <c r="E25" s="100">
        <v>0.14000000000000001</v>
      </c>
      <c r="F25" s="100">
        <v>2.4900000000000002</v>
      </c>
      <c r="G25" s="100">
        <v>35</v>
      </c>
      <c r="H25" s="100">
        <v>19.29</v>
      </c>
      <c r="I25" s="100">
        <v>9.15</v>
      </c>
      <c r="J25" s="100">
        <v>0.66</v>
      </c>
      <c r="K25" s="100">
        <v>124.26</v>
      </c>
      <c r="L25" s="100">
        <v>23.29</v>
      </c>
      <c r="M25" s="100">
        <v>83.36</v>
      </c>
      <c r="N25" s="100">
        <v>23.4</v>
      </c>
      <c r="O25" s="100">
        <v>0</v>
      </c>
      <c r="P25" s="100">
        <v>0.46</v>
      </c>
      <c r="Q25" s="100">
        <v>26.95</v>
      </c>
      <c r="R25" s="6"/>
      <c r="S25" s="6"/>
      <c r="T25" s="156"/>
      <c r="U25" s="6"/>
    </row>
    <row r="26" spans="1:21" customFormat="1">
      <c r="A26" s="163" t="s">
        <v>545</v>
      </c>
      <c r="B26" s="100">
        <v>16.54</v>
      </c>
      <c r="C26" s="100">
        <v>37.729999999999997</v>
      </c>
      <c r="D26" s="100">
        <v>33.65</v>
      </c>
      <c r="E26" s="100">
        <v>0.55000000000000004</v>
      </c>
      <c r="F26" s="100">
        <v>2.4500000000000002</v>
      </c>
      <c r="G26" s="100">
        <v>35</v>
      </c>
      <c r="H26" s="100">
        <v>19.29</v>
      </c>
      <c r="I26" s="100">
        <v>9</v>
      </c>
      <c r="J26" s="100">
        <v>0.67</v>
      </c>
      <c r="K26" s="100">
        <v>124.18</v>
      </c>
      <c r="L26" s="100">
        <v>23.25</v>
      </c>
      <c r="M26" s="100">
        <v>85.24</v>
      </c>
      <c r="N26" s="100">
        <v>23.3</v>
      </c>
      <c r="O26" s="100">
        <v>0</v>
      </c>
      <c r="P26" s="100">
        <v>0.45</v>
      </c>
      <c r="Q26" s="100">
        <v>26.94</v>
      </c>
      <c r="R26" s="6"/>
      <c r="S26" s="6"/>
      <c r="T26" s="156"/>
      <c r="U26" s="6"/>
    </row>
    <row r="27" spans="1:21" customFormat="1">
      <c r="A27" s="163" t="s">
        <v>546</v>
      </c>
      <c r="B27" s="100">
        <v>17.11</v>
      </c>
      <c r="C27" s="100">
        <v>37.93</v>
      </c>
      <c r="D27" s="100">
        <v>34.22</v>
      </c>
      <c r="E27" s="100">
        <v>0.71</v>
      </c>
      <c r="F27" s="100">
        <v>2.48</v>
      </c>
      <c r="G27" s="100">
        <v>35</v>
      </c>
      <c r="H27" s="100">
        <v>19.29</v>
      </c>
      <c r="I27" s="100">
        <v>9.0399999999999991</v>
      </c>
      <c r="J27" s="100">
        <v>0.27</v>
      </c>
      <c r="K27" s="100">
        <v>126.75</v>
      </c>
      <c r="L27" s="100">
        <v>23.31</v>
      </c>
      <c r="M27" s="100">
        <v>84.81</v>
      </c>
      <c r="N27" s="100">
        <v>23.3</v>
      </c>
      <c r="O27" s="100">
        <v>0</v>
      </c>
      <c r="P27" s="100">
        <v>0.45</v>
      </c>
      <c r="Q27" s="100">
        <v>26.85</v>
      </c>
      <c r="R27" s="6"/>
      <c r="S27" s="6"/>
      <c r="T27" s="156"/>
      <c r="U27" s="6"/>
    </row>
    <row r="28" spans="1:21" customFormat="1">
      <c r="A28" s="163" t="s">
        <v>547</v>
      </c>
      <c r="B28" s="100">
        <v>17.79</v>
      </c>
      <c r="C28" s="100">
        <v>37.94</v>
      </c>
      <c r="D28" s="100">
        <v>34.770000000000003</v>
      </c>
      <c r="E28" s="100">
        <v>0.41</v>
      </c>
      <c r="F28" s="100">
        <v>2.4700000000000002</v>
      </c>
      <c r="G28" s="100">
        <v>31.68</v>
      </c>
      <c r="H28" s="100">
        <v>17.059999999999999</v>
      </c>
      <c r="I28" s="100">
        <v>9.16</v>
      </c>
      <c r="J28" s="100">
        <v>0.62</v>
      </c>
      <c r="K28" s="100">
        <v>137.4</v>
      </c>
      <c r="L28" s="100">
        <v>23.3</v>
      </c>
      <c r="M28" s="100">
        <v>84.32</v>
      </c>
      <c r="N28" s="100">
        <v>23.1</v>
      </c>
      <c r="O28" s="100">
        <v>0</v>
      </c>
      <c r="P28" s="100">
        <v>0.45</v>
      </c>
      <c r="Q28" s="100">
        <v>26.77</v>
      </c>
      <c r="R28" s="6"/>
      <c r="S28" s="6"/>
      <c r="T28" s="156"/>
      <c r="U28" s="6"/>
    </row>
    <row r="29" spans="1:21" customFormat="1">
      <c r="A29" s="163" t="s">
        <v>548</v>
      </c>
      <c r="B29" s="100">
        <v>18.649999999999999</v>
      </c>
      <c r="C29" s="100">
        <v>38.549999999999997</v>
      </c>
      <c r="D29" s="100">
        <v>35.770000000000003</v>
      </c>
      <c r="E29" s="100">
        <v>0.17</v>
      </c>
      <c r="F29" s="100">
        <v>2.54</v>
      </c>
      <c r="G29" s="100">
        <v>28.78</v>
      </c>
      <c r="H29" s="100">
        <v>15.11</v>
      </c>
      <c r="I29" s="100">
        <v>9.4700000000000006</v>
      </c>
      <c r="J29" s="100">
        <v>0.73</v>
      </c>
      <c r="K29" s="100">
        <v>142.59</v>
      </c>
      <c r="L29" s="100">
        <v>23.43</v>
      </c>
      <c r="M29" s="100">
        <v>83.78</v>
      </c>
      <c r="N29" s="100">
        <v>23</v>
      </c>
      <c r="O29" s="100">
        <v>0</v>
      </c>
      <c r="P29" s="100">
        <v>0.44</v>
      </c>
      <c r="Q29" s="100">
        <v>26.68</v>
      </c>
      <c r="R29" s="6"/>
      <c r="S29" s="6"/>
      <c r="T29" s="156"/>
      <c r="U29" s="6"/>
    </row>
    <row r="30" spans="1:21" customFormat="1">
      <c r="A30" s="163" t="s">
        <v>549</v>
      </c>
      <c r="B30" s="100">
        <v>19.36</v>
      </c>
      <c r="C30" s="100">
        <v>37.69</v>
      </c>
      <c r="D30" s="100">
        <v>35.89</v>
      </c>
      <c r="E30" s="100">
        <v>1.1399999999999999</v>
      </c>
      <c r="F30" s="100">
        <v>2.61</v>
      </c>
      <c r="G30" s="100">
        <v>28.78</v>
      </c>
      <c r="H30" s="100">
        <v>15.11</v>
      </c>
      <c r="I30" s="100">
        <v>9.93</v>
      </c>
      <c r="J30" s="100">
        <v>1.0900000000000001</v>
      </c>
      <c r="K30" s="100">
        <v>212.19</v>
      </c>
      <c r="L30" s="100">
        <v>23.62</v>
      </c>
      <c r="M30" s="100">
        <v>81.84</v>
      </c>
      <c r="N30" s="100">
        <v>26</v>
      </c>
      <c r="O30" s="100">
        <v>0</v>
      </c>
      <c r="P30" s="100">
        <v>0.44</v>
      </c>
      <c r="Q30" s="100">
        <v>26.66</v>
      </c>
      <c r="R30" s="6"/>
      <c r="S30" s="6"/>
      <c r="T30" s="156"/>
      <c r="U30" s="6"/>
    </row>
    <row r="31" spans="1:21" customFormat="1">
      <c r="A31" s="163" t="s">
        <v>550</v>
      </c>
      <c r="B31" s="100">
        <v>19.47</v>
      </c>
      <c r="C31" s="100">
        <v>32.5</v>
      </c>
      <c r="D31" s="100">
        <v>33.26</v>
      </c>
      <c r="E31" s="100">
        <v>0.42</v>
      </c>
      <c r="F31" s="100">
        <v>2.65</v>
      </c>
      <c r="G31" s="100">
        <v>28.78</v>
      </c>
      <c r="H31" s="100">
        <v>15.11</v>
      </c>
      <c r="I31" s="100">
        <v>10.45</v>
      </c>
      <c r="J31" s="100">
        <v>1.74</v>
      </c>
      <c r="K31" s="100">
        <v>239.68</v>
      </c>
      <c r="L31" s="100">
        <v>23.48</v>
      </c>
      <c r="M31" s="100">
        <v>82.94</v>
      </c>
      <c r="N31" s="100">
        <v>35.799999999999997</v>
      </c>
      <c r="O31" s="100">
        <v>0</v>
      </c>
      <c r="P31" s="100">
        <v>0.46</v>
      </c>
      <c r="Q31" s="100">
        <v>26.88</v>
      </c>
      <c r="R31" s="6"/>
      <c r="S31" s="6"/>
      <c r="T31" s="156"/>
      <c r="U31" s="6"/>
    </row>
    <row r="32" spans="1:21" customFormat="1">
      <c r="A32" s="163" t="s">
        <v>551</v>
      </c>
      <c r="B32" s="100">
        <v>19.39</v>
      </c>
      <c r="C32" s="100">
        <v>33.33</v>
      </c>
      <c r="D32" s="100">
        <v>33.64</v>
      </c>
      <c r="E32" s="100">
        <v>0.41</v>
      </c>
      <c r="F32" s="100">
        <v>2.5</v>
      </c>
      <c r="G32" s="100">
        <v>29.09</v>
      </c>
      <c r="H32" s="100">
        <v>15.83</v>
      </c>
      <c r="I32" s="100">
        <v>11</v>
      </c>
      <c r="J32" s="100">
        <v>0.77</v>
      </c>
      <c r="K32" s="100">
        <v>163.69999999999999</v>
      </c>
      <c r="L32" s="100">
        <v>23.12</v>
      </c>
      <c r="M32" s="100">
        <v>86.77</v>
      </c>
      <c r="N32" s="100">
        <v>57</v>
      </c>
      <c r="O32" s="100">
        <v>0</v>
      </c>
      <c r="P32" s="100">
        <v>0.47</v>
      </c>
      <c r="Q32" s="100">
        <v>26.83</v>
      </c>
      <c r="R32" s="6"/>
      <c r="S32" s="6"/>
      <c r="T32" s="156"/>
      <c r="U32" s="6"/>
    </row>
    <row r="33" spans="1:21" customFormat="1">
      <c r="A33" s="163" t="s">
        <v>552</v>
      </c>
      <c r="B33" s="100">
        <v>19.420000000000002</v>
      </c>
      <c r="C33" s="100">
        <v>34.5</v>
      </c>
      <c r="D33" s="100">
        <v>34.28</v>
      </c>
      <c r="E33" s="100">
        <v>0.45</v>
      </c>
      <c r="F33" s="100">
        <v>2.42</v>
      </c>
      <c r="G33" s="100">
        <v>29.36</v>
      </c>
      <c r="H33" s="100">
        <v>16.48</v>
      </c>
      <c r="I33" s="100">
        <v>11.45</v>
      </c>
      <c r="J33" s="100">
        <v>0.01</v>
      </c>
      <c r="K33" s="100">
        <v>184.89</v>
      </c>
      <c r="L33" s="100">
        <v>23.47</v>
      </c>
      <c r="M33" s="100">
        <v>85.73</v>
      </c>
      <c r="N33" s="100">
        <v>77.5</v>
      </c>
      <c r="O33" s="100">
        <v>0</v>
      </c>
      <c r="P33" s="100">
        <v>0.47</v>
      </c>
      <c r="Q33" s="100">
        <v>26.79</v>
      </c>
      <c r="R33" s="6"/>
      <c r="S33" s="6"/>
      <c r="T33" s="156"/>
      <c r="U33" s="6"/>
    </row>
    <row r="34" spans="1:21" customFormat="1">
      <c r="A34" s="163" t="s">
        <v>553</v>
      </c>
      <c r="B34" s="100">
        <v>19.46</v>
      </c>
      <c r="C34" s="100">
        <v>34.409999999999997</v>
      </c>
      <c r="D34" s="100">
        <v>34.26</v>
      </c>
      <c r="E34" s="100">
        <v>0.51</v>
      </c>
      <c r="F34" s="100">
        <v>2.48</v>
      </c>
      <c r="G34" s="100">
        <v>29.36</v>
      </c>
      <c r="H34" s="100">
        <v>16.48</v>
      </c>
      <c r="I34" s="100">
        <v>11.75</v>
      </c>
      <c r="J34" s="100">
        <v>0.71</v>
      </c>
      <c r="K34" s="100">
        <v>139.44999999999999</v>
      </c>
      <c r="L34" s="100">
        <v>23.96</v>
      </c>
      <c r="M34" s="100">
        <v>83.14</v>
      </c>
      <c r="N34" s="100">
        <v>67</v>
      </c>
      <c r="O34" s="100">
        <v>0</v>
      </c>
      <c r="P34" s="100">
        <v>0.47</v>
      </c>
      <c r="Q34" s="100">
        <v>26.8</v>
      </c>
      <c r="R34" s="6"/>
      <c r="S34" s="6"/>
      <c r="T34" s="156"/>
      <c r="U34" s="6"/>
    </row>
    <row r="35" spans="1:21" customFormat="1">
      <c r="A35" s="163" t="s">
        <v>554</v>
      </c>
      <c r="B35" s="100">
        <v>19.399999999999999</v>
      </c>
      <c r="C35" s="100">
        <v>33.94</v>
      </c>
      <c r="D35" s="100">
        <v>33.97</v>
      </c>
      <c r="E35" s="100">
        <v>0.33</v>
      </c>
      <c r="F35" s="100">
        <v>2.36</v>
      </c>
      <c r="G35" s="100">
        <v>29.36</v>
      </c>
      <c r="H35" s="100">
        <v>16.48</v>
      </c>
      <c r="I35" s="100">
        <v>11.74</v>
      </c>
      <c r="J35" s="100">
        <v>0.69</v>
      </c>
      <c r="K35" s="100">
        <v>103.08</v>
      </c>
      <c r="L35" s="100">
        <v>24.06</v>
      </c>
      <c r="M35" s="100">
        <v>83.47</v>
      </c>
      <c r="N35" s="100">
        <v>78.3</v>
      </c>
      <c r="O35" s="100">
        <v>0</v>
      </c>
      <c r="P35" s="100">
        <v>0.47</v>
      </c>
      <c r="Q35" s="100">
        <v>26.81</v>
      </c>
      <c r="R35" s="6"/>
      <c r="S35" s="6"/>
      <c r="T35" s="156"/>
      <c r="U35" s="6"/>
    </row>
    <row r="36" spans="1:21" customFormat="1">
      <c r="A36" s="163" t="s">
        <v>555</v>
      </c>
      <c r="B36" s="100">
        <v>19.37</v>
      </c>
      <c r="C36" s="100">
        <v>34.380000000000003</v>
      </c>
      <c r="D36" s="100">
        <v>34.17</v>
      </c>
      <c r="E36" s="100">
        <v>0.69</v>
      </c>
      <c r="F36" s="100">
        <v>2.38</v>
      </c>
      <c r="G36" s="100">
        <v>29.03</v>
      </c>
      <c r="H36" s="100">
        <v>15.11</v>
      </c>
      <c r="I36" s="100">
        <v>11.57</v>
      </c>
      <c r="J36" s="100">
        <v>0.65</v>
      </c>
      <c r="K36" s="100">
        <v>85.18</v>
      </c>
      <c r="L36" s="100">
        <v>24.33</v>
      </c>
      <c r="M36" s="100">
        <v>82.67</v>
      </c>
      <c r="N36" s="100">
        <v>93.9</v>
      </c>
      <c r="O36" s="100">
        <v>0</v>
      </c>
      <c r="P36" s="100">
        <v>0.48</v>
      </c>
      <c r="Q36" s="100">
        <v>26.87</v>
      </c>
      <c r="R36" s="6"/>
      <c r="S36" s="6"/>
      <c r="T36" s="156"/>
      <c r="U36" s="6"/>
    </row>
    <row r="37" spans="1:21" customFormat="1">
      <c r="A37" s="163" t="s">
        <v>556</v>
      </c>
      <c r="B37" s="100">
        <v>19.71</v>
      </c>
      <c r="C37" s="100">
        <v>34.979999999999997</v>
      </c>
      <c r="D37" s="100">
        <v>34.76</v>
      </c>
      <c r="E37" s="100">
        <v>0.53</v>
      </c>
      <c r="F37" s="100">
        <v>2.4500000000000002</v>
      </c>
      <c r="G37" s="100">
        <v>28.75</v>
      </c>
      <c r="H37" s="100">
        <v>13.91</v>
      </c>
      <c r="I37" s="100">
        <v>11.43</v>
      </c>
      <c r="J37" s="100">
        <v>0.75</v>
      </c>
      <c r="K37" s="100">
        <v>74.569999999999993</v>
      </c>
      <c r="L37" s="100">
        <v>24.56</v>
      </c>
      <c r="M37" s="100">
        <v>81.63</v>
      </c>
      <c r="N37" s="100">
        <v>82.4</v>
      </c>
      <c r="O37" s="100">
        <v>0</v>
      </c>
      <c r="P37" s="100">
        <v>0.48</v>
      </c>
      <c r="Q37" s="100">
        <v>26.77</v>
      </c>
      <c r="R37" s="6"/>
      <c r="S37" s="6"/>
      <c r="T37" s="156"/>
      <c r="U37" s="6"/>
    </row>
    <row r="38" spans="1:21" customFormat="1">
      <c r="A38" s="163" t="s">
        <v>557</v>
      </c>
      <c r="B38" s="100">
        <v>20.190000000000001</v>
      </c>
      <c r="C38" s="100">
        <v>39.630000000000003</v>
      </c>
      <c r="D38" s="100">
        <v>37.58</v>
      </c>
      <c r="E38" s="100">
        <v>0.37</v>
      </c>
      <c r="F38" s="100">
        <v>2.5499999999999998</v>
      </c>
      <c r="G38" s="100">
        <v>28.75</v>
      </c>
      <c r="H38" s="100">
        <v>13.91</v>
      </c>
      <c r="I38" s="100">
        <v>11.28</v>
      </c>
      <c r="J38" s="100">
        <v>0.74</v>
      </c>
      <c r="K38" s="100">
        <v>62.65</v>
      </c>
      <c r="L38" s="100">
        <v>24.75</v>
      </c>
      <c r="M38" s="100">
        <v>80.66</v>
      </c>
      <c r="N38" s="100">
        <v>127.5</v>
      </c>
      <c r="O38" s="100">
        <v>0</v>
      </c>
      <c r="P38" s="100">
        <v>0.47</v>
      </c>
      <c r="Q38" s="100">
        <v>26.54</v>
      </c>
      <c r="R38" s="6"/>
      <c r="S38" s="6"/>
      <c r="T38" s="156"/>
      <c r="U38" s="6"/>
    </row>
    <row r="39" spans="1:21" customFormat="1">
      <c r="A39" s="163" t="s">
        <v>558</v>
      </c>
      <c r="B39" s="100">
        <v>20.69</v>
      </c>
      <c r="C39" s="100">
        <v>39.340000000000003</v>
      </c>
      <c r="D39" s="100">
        <v>37.83</v>
      </c>
      <c r="E39" s="100">
        <v>0.42</v>
      </c>
      <c r="F39" s="100">
        <v>2.59</v>
      </c>
      <c r="G39" s="100">
        <v>28.75</v>
      </c>
      <c r="H39" s="100">
        <v>13.91</v>
      </c>
      <c r="I39" s="100">
        <v>11.17</v>
      </c>
      <c r="J39" s="100">
        <v>1.08</v>
      </c>
      <c r="K39" s="100">
        <v>19.13</v>
      </c>
      <c r="L39" s="100">
        <v>25.44</v>
      </c>
      <c r="M39" s="100">
        <v>76.47</v>
      </c>
      <c r="N39" s="100">
        <v>128.4</v>
      </c>
      <c r="O39" s="100">
        <v>0</v>
      </c>
      <c r="P39" s="100">
        <v>0.47</v>
      </c>
      <c r="Q39" s="100">
        <v>26.52</v>
      </c>
      <c r="R39" s="6"/>
      <c r="S39" s="6"/>
      <c r="T39" s="156"/>
      <c r="U39" s="6"/>
    </row>
    <row r="40" spans="1:21" customFormat="1">
      <c r="A40" s="163" t="s">
        <v>559</v>
      </c>
      <c r="B40" s="100">
        <v>21.22</v>
      </c>
      <c r="C40" s="100">
        <v>39.11</v>
      </c>
      <c r="D40" s="100">
        <v>38.119999999999997</v>
      </c>
      <c r="E40" s="100">
        <v>0.46</v>
      </c>
      <c r="F40" s="100">
        <v>2.63</v>
      </c>
      <c r="G40" s="100">
        <v>31.25</v>
      </c>
      <c r="H40" s="100">
        <v>16.170000000000002</v>
      </c>
      <c r="I40" s="100">
        <v>11.17</v>
      </c>
      <c r="J40" s="100">
        <v>0.42</v>
      </c>
      <c r="K40" s="100">
        <v>105.29</v>
      </c>
      <c r="L40" s="100">
        <v>25.79</v>
      </c>
      <c r="M40" s="100">
        <v>75.83</v>
      </c>
      <c r="N40" s="100">
        <v>160.19999999999999</v>
      </c>
      <c r="O40" s="100">
        <v>0</v>
      </c>
      <c r="P40" s="100">
        <v>0.47</v>
      </c>
      <c r="Q40" s="100">
        <v>26.46</v>
      </c>
      <c r="R40" s="6"/>
      <c r="S40" s="6"/>
      <c r="T40" s="156"/>
      <c r="U40" s="6"/>
    </row>
    <row r="41" spans="1:21" customFormat="1">
      <c r="A41" s="163" t="s">
        <v>560</v>
      </c>
      <c r="B41" s="100">
        <v>21.88</v>
      </c>
      <c r="C41" s="100">
        <v>39.03</v>
      </c>
      <c r="D41" s="100">
        <v>38.61</v>
      </c>
      <c r="E41" s="100">
        <v>0.28999999999999998</v>
      </c>
      <c r="F41" s="100">
        <v>2.39</v>
      </c>
      <c r="G41" s="100">
        <v>33.44</v>
      </c>
      <c r="H41" s="100">
        <v>18.149999999999999</v>
      </c>
      <c r="I41" s="100">
        <v>11.25</v>
      </c>
      <c r="J41" s="100">
        <v>0.41</v>
      </c>
      <c r="K41" s="100">
        <v>21</v>
      </c>
      <c r="L41" s="100">
        <v>26.3</v>
      </c>
      <c r="M41" s="100">
        <v>73.260000000000005</v>
      </c>
      <c r="N41" s="100">
        <v>388.6</v>
      </c>
      <c r="O41" s="100">
        <v>0</v>
      </c>
      <c r="P41" s="100">
        <v>0.49</v>
      </c>
      <c r="Q41" s="100">
        <v>26.37</v>
      </c>
      <c r="R41" s="6"/>
      <c r="S41" s="6"/>
      <c r="T41" s="156"/>
      <c r="U41" s="6"/>
    </row>
    <row r="42" spans="1:21" customFormat="1">
      <c r="A42" s="163" t="s">
        <v>561</v>
      </c>
      <c r="B42" s="100">
        <v>22.16</v>
      </c>
      <c r="C42" s="100">
        <v>38.85</v>
      </c>
      <c r="D42" s="100">
        <v>38.74</v>
      </c>
      <c r="E42" s="100">
        <v>0.02</v>
      </c>
      <c r="F42" s="100">
        <v>2.33</v>
      </c>
      <c r="G42" s="100">
        <v>33.44</v>
      </c>
      <c r="H42" s="100">
        <v>18.149999999999999</v>
      </c>
      <c r="I42" s="100">
        <v>11.48</v>
      </c>
      <c r="J42" s="100">
        <v>0.5</v>
      </c>
      <c r="K42" s="100">
        <v>13.54</v>
      </c>
      <c r="L42" s="100">
        <v>26.99</v>
      </c>
      <c r="M42" s="100">
        <v>69.400000000000006</v>
      </c>
      <c r="N42" s="100">
        <v>417.4</v>
      </c>
      <c r="O42" s="100">
        <v>0</v>
      </c>
      <c r="P42" s="100">
        <v>0.5</v>
      </c>
      <c r="Q42" s="100">
        <v>26.35</v>
      </c>
      <c r="R42" s="6"/>
      <c r="S42" s="6"/>
      <c r="T42" s="156"/>
      <c r="U42" s="6"/>
    </row>
    <row r="43" spans="1:21" customFormat="1">
      <c r="A43" s="163" t="s">
        <v>562</v>
      </c>
      <c r="B43" s="100">
        <v>22.07</v>
      </c>
      <c r="C43" s="100">
        <v>39.26</v>
      </c>
      <c r="D43" s="100">
        <v>38.880000000000003</v>
      </c>
      <c r="E43" s="100">
        <v>0.13</v>
      </c>
      <c r="F43" s="100">
        <v>3.4</v>
      </c>
      <c r="G43" s="100">
        <v>33.44</v>
      </c>
      <c r="H43" s="100">
        <v>18.149999999999999</v>
      </c>
      <c r="I43" s="100">
        <v>11.65</v>
      </c>
      <c r="J43" s="100">
        <v>0.57999999999999996</v>
      </c>
      <c r="K43" s="100">
        <v>226.63</v>
      </c>
      <c r="L43" s="100">
        <v>27.36</v>
      </c>
      <c r="M43" s="100">
        <v>65.58</v>
      </c>
      <c r="N43" s="100">
        <v>236</v>
      </c>
      <c r="O43" s="100">
        <v>0</v>
      </c>
      <c r="P43" s="100">
        <v>0.49</v>
      </c>
      <c r="Q43" s="100">
        <v>26.35</v>
      </c>
      <c r="R43" s="6"/>
      <c r="S43" s="6"/>
      <c r="T43" s="156"/>
      <c r="U43" s="6"/>
    </row>
    <row r="44" spans="1:21" customFormat="1">
      <c r="A44" s="163" t="s">
        <v>563</v>
      </c>
      <c r="B44" s="100">
        <v>21.29</v>
      </c>
      <c r="C44" s="100">
        <v>33.299999999999997</v>
      </c>
      <c r="D44" s="100">
        <v>35.15</v>
      </c>
      <c r="E44" s="100">
        <v>7.0000000000000007E-2</v>
      </c>
      <c r="F44" s="100">
        <v>3.04</v>
      </c>
      <c r="G44" s="100">
        <v>38.24</v>
      </c>
      <c r="H44" s="100">
        <v>18.39</v>
      </c>
      <c r="I44" s="100">
        <v>11.76</v>
      </c>
      <c r="J44" s="100">
        <v>1.19</v>
      </c>
      <c r="K44" s="100">
        <v>254.64</v>
      </c>
      <c r="L44" s="100">
        <v>27.47</v>
      </c>
      <c r="M44" s="100">
        <v>63.56</v>
      </c>
      <c r="N44" s="100">
        <v>171.7</v>
      </c>
      <c r="O44" s="100">
        <v>0</v>
      </c>
      <c r="P44" s="100">
        <v>0.5</v>
      </c>
      <c r="Q44" s="100">
        <v>26.7</v>
      </c>
      <c r="R44" s="6"/>
      <c r="S44" s="6"/>
      <c r="T44" s="156"/>
      <c r="U44" s="6"/>
    </row>
    <row r="45" spans="1:21" customFormat="1">
      <c r="A45" s="163" t="s">
        <v>564</v>
      </c>
      <c r="B45" s="100">
        <v>19.89</v>
      </c>
      <c r="C45" s="100">
        <v>32</v>
      </c>
      <c r="D45" s="100">
        <v>33.340000000000003</v>
      </c>
      <c r="E45" s="100">
        <v>0.06</v>
      </c>
      <c r="F45" s="100">
        <v>2.94</v>
      </c>
      <c r="G45" s="100">
        <v>42.45</v>
      </c>
      <c r="H45" s="100">
        <v>18.600000000000001</v>
      </c>
      <c r="I45" s="100">
        <v>11.74</v>
      </c>
      <c r="J45" s="100">
        <v>0.91</v>
      </c>
      <c r="K45" s="100">
        <v>219.99</v>
      </c>
      <c r="L45" s="100">
        <v>28.04</v>
      </c>
      <c r="M45" s="100">
        <v>61.14</v>
      </c>
      <c r="N45" s="100">
        <v>200.9</v>
      </c>
      <c r="O45" s="100">
        <v>0</v>
      </c>
      <c r="P45" s="100">
        <v>0.51</v>
      </c>
      <c r="Q45" s="100">
        <v>26.83</v>
      </c>
      <c r="R45" s="6"/>
      <c r="S45" s="6"/>
      <c r="T45" s="156"/>
      <c r="U45" s="6"/>
    </row>
    <row r="46" spans="1:21" customFormat="1">
      <c r="A46" s="163" t="s">
        <v>565</v>
      </c>
      <c r="B46" s="100">
        <v>18.239999999999998</v>
      </c>
      <c r="C46" s="100">
        <v>31.91</v>
      </c>
      <c r="D46" s="100">
        <v>31.98</v>
      </c>
      <c r="E46" s="100">
        <v>0.22</v>
      </c>
      <c r="F46" s="100">
        <v>2.9</v>
      </c>
      <c r="G46" s="100">
        <v>42.45</v>
      </c>
      <c r="H46" s="100">
        <v>18.600000000000001</v>
      </c>
      <c r="I46" s="100">
        <v>11.69</v>
      </c>
      <c r="J46" s="100">
        <v>1.1299999999999999</v>
      </c>
      <c r="K46" s="100">
        <v>237.48</v>
      </c>
      <c r="L46" s="100">
        <v>28.74</v>
      </c>
      <c r="M46" s="100">
        <v>57.89</v>
      </c>
      <c r="N46" s="100">
        <v>270.39999999999998</v>
      </c>
      <c r="O46" s="100">
        <v>0</v>
      </c>
      <c r="P46" s="100">
        <v>0.51</v>
      </c>
      <c r="Q46" s="100">
        <v>26.91</v>
      </c>
      <c r="R46" s="6"/>
      <c r="S46" s="6"/>
      <c r="T46" s="156"/>
      <c r="U46" s="6"/>
    </row>
    <row r="47" spans="1:21" customFormat="1">
      <c r="A47" s="163" t="s">
        <v>566</v>
      </c>
      <c r="B47" s="100">
        <v>16.510000000000002</v>
      </c>
      <c r="C47" s="100">
        <v>31.5</v>
      </c>
      <c r="D47" s="100">
        <v>30.37</v>
      </c>
      <c r="E47" s="100">
        <v>7.0000000000000007E-2</v>
      </c>
      <c r="F47" s="100">
        <v>3.89</v>
      </c>
      <c r="G47" s="100">
        <v>42.45</v>
      </c>
      <c r="H47" s="100">
        <v>18.600000000000001</v>
      </c>
      <c r="I47" s="100">
        <v>11.59</v>
      </c>
      <c r="J47" s="100">
        <v>0.89</v>
      </c>
      <c r="K47" s="100">
        <v>276.39</v>
      </c>
      <c r="L47" s="100">
        <v>28.94</v>
      </c>
      <c r="M47" s="100">
        <v>56.17</v>
      </c>
      <c r="N47" s="100">
        <v>584.6</v>
      </c>
      <c r="O47" s="100">
        <v>0</v>
      </c>
      <c r="P47" s="100">
        <v>0.51</v>
      </c>
      <c r="Q47" s="100">
        <v>27.03</v>
      </c>
      <c r="R47" s="6"/>
      <c r="S47" s="6"/>
      <c r="T47" s="156"/>
      <c r="U47" s="6"/>
    </row>
    <row r="48" spans="1:21" customFormat="1">
      <c r="A48" s="163" t="s">
        <v>567</v>
      </c>
      <c r="B48" s="100">
        <v>14.8</v>
      </c>
      <c r="C48" s="100">
        <v>31.69</v>
      </c>
      <c r="D48" s="100">
        <v>29.1</v>
      </c>
      <c r="E48" s="100">
        <v>0.34</v>
      </c>
      <c r="F48" s="100">
        <v>3.92</v>
      </c>
      <c r="G48" s="100">
        <v>40.57</v>
      </c>
      <c r="H48" s="100">
        <v>18.739999999999998</v>
      </c>
      <c r="I48" s="100">
        <v>11.4</v>
      </c>
      <c r="J48" s="100">
        <v>1.53</v>
      </c>
      <c r="K48" s="100">
        <v>229.82</v>
      </c>
      <c r="L48" s="100">
        <v>29.29</v>
      </c>
      <c r="M48" s="100">
        <v>53.23</v>
      </c>
      <c r="N48" s="100">
        <v>748.9</v>
      </c>
      <c r="O48" s="100">
        <v>0</v>
      </c>
      <c r="P48" s="100">
        <v>0.51</v>
      </c>
      <c r="Q48" s="100">
        <v>27.16</v>
      </c>
      <c r="R48" s="6"/>
      <c r="S48" s="6"/>
      <c r="T48" s="156"/>
      <c r="U48" s="6"/>
    </row>
    <row r="49" spans="1:21" customFormat="1">
      <c r="A49" s="163" t="s">
        <v>568</v>
      </c>
      <c r="B49" s="100">
        <v>13.17</v>
      </c>
      <c r="C49" s="100">
        <v>31.3</v>
      </c>
      <c r="D49" s="100">
        <v>27.59</v>
      </c>
      <c r="E49" s="100">
        <v>0.36</v>
      </c>
      <c r="F49" s="100">
        <v>6.01</v>
      </c>
      <c r="G49" s="100">
        <v>38.93</v>
      </c>
      <c r="H49" s="100">
        <v>18.86</v>
      </c>
      <c r="I49" s="100">
        <v>11.21</v>
      </c>
      <c r="J49" s="100">
        <v>0.28999999999999998</v>
      </c>
      <c r="K49" s="100">
        <v>102.61</v>
      </c>
      <c r="L49" s="100">
        <v>30.35</v>
      </c>
      <c r="M49" s="100">
        <v>53.92</v>
      </c>
      <c r="N49" s="100">
        <v>756.7</v>
      </c>
      <c r="O49" s="100">
        <v>0</v>
      </c>
      <c r="P49" s="100">
        <v>0.51</v>
      </c>
      <c r="Q49" s="100">
        <v>27.32</v>
      </c>
      <c r="R49" s="6"/>
      <c r="S49" s="6"/>
      <c r="T49" s="156"/>
      <c r="U49" s="6"/>
    </row>
    <row r="50" spans="1:21" customFormat="1">
      <c r="A50" s="163" t="s">
        <v>569</v>
      </c>
      <c r="B50" s="100">
        <v>11.72</v>
      </c>
      <c r="C50" s="100">
        <v>31.82</v>
      </c>
      <c r="D50" s="100">
        <v>26.7</v>
      </c>
      <c r="E50" s="100">
        <v>0.43</v>
      </c>
      <c r="F50" s="100">
        <v>5.44</v>
      </c>
      <c r="G50" s="100">
        <v>38.93</v>
      </c>
      <c r="H50" s="100">
        <v>18.86</v>
      </c>
      <c r="I50" s="100">
        <v>11.03</v>
      </c>
      <c r="J50" s="100">
        <v>1.43</v>
      </c>
      <c r="K50" s="100">
        <v>47.43</v>
      </c>
      <c r="L50" s="100">
        <v>30.39</v>
      </c>
      <c r="M50" s="100">
        <v>54.54</v>
      </c>
      <c r="N50" s="100">
        <v>775.3</v>
      </c>
      <c r="O50" s="100">
        <v>0</v>
      </c>
      <c r="P50" s="100">
        <v>0.52</v>
      </c>
      <c r="Q50" s="100">
        <v>27.41</v>
      </c>
      <c r="R50" s="6"/>
      <c r="S50" s="6"/>
      <c r="T50" s="156"/>
      <c r="U50" s="6"/>
    </row>
    <row r="51" spans="1:21" customFormat="1">
      <c r="A51" s="163" t="s">
        <v>570</v>
      </c>
      <c r="B51" s="100">
        <v>11.11</v>
      </c>
      <c r="C51" s="100">
        <v>39.51</v>
      </c>
      <c r="D51" s="100">
        <v>30.22</v>
      </c>
      <c r="E51" s="100">
        <v>0.52</v>
      </c>
      <c r="F51" s="100">
        <v>5.04</v>
      </c>
      <c r="G51" s="100">
        <v>38.93</v>
      </c>
      <c r="H51" s="100">
        <v>18.86</v>
      </c>
      <c r="I51" s="100">
        <v>10.85</v>
      </c>
      <c r="J51" s="100">
        <v>1.04</v>
      </c>
      <c r="K51" s="100">
        <v>13.43</v>
      </c>
      <c r="L51" s="100">
        <v>30.78</v>
      </c>
      <c r="M51" s="100">
        <v>52.1</v>
      </c>
      <c r="N51" s="100">
        <v>808.5</v>
      </c>
      <c r="O51" s="100">
        <v>0</v>
      </c>
      <c r="P51" s="100">
        <v>0.54</v>
      </c>
      <c r="Q51" s="100">
        <v>27.05</v>
      </c>
      <c r="R51" s="6"/>
      <c r="S51" s="6"/>
      <c r="T51" s="156"/>
      <c r="U51" s="6"/>
    </row>
    <row r="52" spans="1:21" customFormat="1">
      <c r="A52" s="163" t="s">
        <v>571</v>
      </c>
      <c r="B52" s="100">
        <v>10.8</v>
      </c>
      <c r="C52" s="100">
        <v>37.86</v>
      </c>
      <c r="D52" s="100">
        <v>29.11</v>
      </c>
      <c r="E52" s="100">
        <v>0.49</v>
      </c>
      <c r="F52" s="100">
        <v>4.0999999999999996</v>
      </c>
      <c r="G52" s="100">
        <v>48.56</v>
      </c>
      <c r="H52" s="100">
        <v>23.55</v>
      </c>
      <c r="I52" s="100">
        <v>10.92</v>
      </c>
      <c r="J52" s="100">
        <v>0.57999999999999996</v>
      </c>
      <c r="K52" s="100">
        <v>0.43</v>
      </c>
      <c r="L52" s="100">
        <v>31.62</v>
      </c>
      <c r="M52" s="100">
        <v>50.58</v>
      </c>
      <c r="N52" s="100">
        <v>825.2</v>
      </c>
      <c r="O52" s="100">
        <v>0</v>
      </c>
      <c r="P52" s="100">
        <v>0.56000000000000005</v>
      </c>
      <c r="Q52" s="100">
        <v>27.1</v>
      </c>
      <c r="R52" s="6"/>
      <c r="S52" s="6"/>
      <c r="T52" s="156"/>
      <c r="U52" s="6"/>
    </row>
    <row r="53" spans="1:21" customFormat="1">
      <c r="A53" s="163" t="s">
        <v>572</v>
      </c>
      <c r="B53" s="100">
        <v>10.64</v>
      </c>
      <c r="C53" s="100">
        <v>37.04</v>
      </c>
      <c r="D53" s="100">
        <v>28.56</v>
      </c>
      <c r="E53" s="100">
        <v>0.84</v>
      </c>
      <c r="F53" s="100">
        <v>4.3099999999999996</v>
      </c>
      <c r="G53" s="100">
        <v>56.99</v>
      </c>
      <c r="H53" s="100">
        <v>27.65</v>
      </c>
      <c r="I53" s="100">
        <v>11.46</v>
      </c>
      <c r="J53" s="100">
        <v>0.57999999999999996</v>
      </c>
      <c r="K53" s="100">
        <v>29.52</v>
      </c>
      <c r="L53" s="100">
        <v>32.119999999999997</v>
      </c>
      <c r="M53" s="100">
        <v>49.07</v>
      </c>
      <c r="N53" s="100">
        <v>856.3</v>
      </c>
      <c r="O53" s="100">
        <v>0</v>
      </c>
      <c r="P53" s="100">
        <v>0.56999999999999995</v>
      </c>
      <c r="Q53" s="100">
        <v>27.19</v>
      </c>
      <c r="R53" s="6"/>
      <c r="S53" s="6"/>
      <c r="T53" s="156"/>
      <c r="U53" s="6"/>
    </row>
    <row r="54" spans="1:21" customFormat="1">
      <c r="A54" s="163" t="s">
        <v>573</v>
      </c>
      <c r="B54" s="100">
        <v>9.86</v>
      </c>
      <c r="C54" s="100">
        <v>33.78</v>
      </c>
      <c r="D54" s="100">
        <v>26.24</v>
      </c>
      <c r="E54" s="100">
        <v>1.9</v>
      </c>
      <c r="F54" s="100">
        <v>6.62</v>
      </c>
      <c r="G54" s="100">
        <v>56.99</v>
      </c>
      <c r="H54" s="100">
        <v>27.65</v>
      </c>
      <c r="I54" s="100">
        <v>11.97</v>
      </c>
      <c r="J54" s="100">
        <v>0.45</v>
      </c>
      <c r="K54" s="100">
        <v>347.56</v>
      </c>
      <c r="L54" s="100">
        <v>32.700000000000003</v>
      </c>
      <c r="M54" s="100">
        <v>46.22</v>
      </c>
      <c r="N54" s="100">
        <v>890.5</v>
      </c>
      <c r="O54" s="100">
        <v>0</v>
      </c>
      <c r="P54" s="100">
        <v>0.61</v>
      </c>
      <c r="Q54" s="100">
        <v>27.36</v>
      </c>
      <c r="R54" s="6"/>
      <c r="S54" s="6"/>
      <c r="T54" s="156"/>
      <c r="U54" s="6"/>
    </row>
    <row r="55" spans="1:21" customFormat="1">
      <c r="A55" s="163" t="s">
        <v>574</v>
      </c>
      <c r="B55" s="100">
        <v>9.35</v>
      </c>
      <c r="C55" s="100">
        <v>32.200000000000003</v>
      </c>
      <c r="D55" s="100">
        <v>25</v>
      </c>
      <c r="E55" s="100">
        <v>1.66</v>
      </c>
      <c r="F55" s="100">
        <v>8.4600000000000009</v>
      </c>
      <c r="G55" s="100">
        <v>56.99</v>
      </c>
      <c r="H55" s="100">
        <v>27.65</v>
      </c>
      <c r="I55" s="100">
        <v>12.45</v>
      </c>
      <c r="J55" s="100">
        <v>0.77</v>
      </c>
      <c r="K55" s="100">
        <v>13.34</v>
      </c>
      <c r="L55" s="100">
        <v>33.33</v>
      </c>
      <c r="M55" s="100">
        <v>44.17</v>
      </c>
      <c r="N55" s="100">
        <v>914.5</v>
      </c>
      <c r="O55" s="100">
        <v>0</v>
      </c>
      <c r="P55" s="100">
        <v>0.61</v>
      </c>
      <c r="Q55" s="100">
        <v>27.52</v>
      </c>
      <c r="R55" s="6"/>
      <c r="S55" s="6"/>
      <c r="T55" s="156"/>
      <c r="U55" s="6"/>
    </row>
    <row r="56" spans="1:21" customFormat="1">
      <c r="A56" s="163" t="s">
        <v>575</v>
      </c>
      <c r="B56" s="100">
        <v>8.43</v>
      </c>
      <c r="C56" s="100">
        <v>28.05</v>
      </c>
      <c r="D56" s="100">
        <v>22.09</v>
      </c>
      <c r="E56" s="100">
        <v>2.52</v>
      </c>
      <c r="F56" s="100">
        <v>17.36</v>
      </c>
      <c r="G56" s="100">
        <v>58.55</v>
      </c>
      <c r="H56" s="100">
        <v>29.65</v>
      </c>
      <c r="I56" s="100">
        <v>12.95</v>
      </c>
      <c r="J56" s="100">
        <v>0.77</v>
      </c>
      <c r="K56" s="100">
        <v>14.97</v>
      </c>
      <c r="L56" s="100">
        <v>33.630000000000003</v>
      </c>
      <c r="M56" s="100">
        <v>41.86</v>
      </c>
      <c r="N56" s="100">
        <v>921.9</v>
      </c>
      <c r="O56" s="100">
        <v>0</v>
      </c>
      <c r="P56" s="100">
        <v>0.57999999999999996</v>
      </c>
      <c r="Q56" s="100">
        <v>27.82</v>
      </c>
      <c r="R56" s="6"/>
      <c r="S56" s="6"/>
      <c r="T56" s="156"/>
      <c r="U56" s="6"/>
    </row>
    <row r="57" spans="1:21" customFormat="1">
      <c r="A57" s="163" t="s">
        <v>576</v>
      </c>
      <c r="B57" s="100">
        <v>7.65</v>
      </c>
      <c r="C57" s="100">
        <v>29.29</v>
      </c>
      <c r="D57" s="100">
        <v>22.12</v>
      </c>
      <c r="E57" s="100">
        <v>2.4500000000000002</v>
      </c>
      <c r="F57" s="100">
        <v>10.42</v>
      </c>
      <c r="G57" s="100">
        <v>59.92</v>
      </c>
      <c r="H57" s="100">
        <v>31.41</v>
      </c>
      <c r="I57" s="100">
        <v>12.76</v>
      </c>
      <c r="J57" s="100">
        <v>0.76</v>
      </c>
      <c r="K57" s="100">
        <v>270.22000000000003</v>
      </c>
      <c r="L57" s="100">
        <v>33.92</v>
      </c>
      <c r="M57" s="100">
        <v>37.81</v>
      </c>
      <c r="N57" s="100">
        <v>925.4</v>
      </c>
      <c r="O57" s="100">
        <v>0</v>
      </c>
      <c r="P57" s="100">
        <v>0.59</v>
      </c>
      <c r="Q57" s="100">
        <v>27.86</v>
      </c>
      <c r="R57" s="6"/>
      <c r="S57" s="6"/>
      <c r="T57" s="156"/>
      <c r="U57" s="6"/>
    </row>
    <row r="58" spans="1:21" customFormat="1">
      <c r="A58" s="163" t="s">
        <v>577</v>
      </c>
      <c r="B58" s="100">
        <v>6.28</v>
      </c>
      <c r="C58" s="100">
        <v>28.51</v>
      </c>
      <c r="D58" s="100">
        <v>20.61</v>
      </c>
      <c r="E58" s="100">
        <v>2.13</v>
      </c>
      <c r="F58" s="100">
        <v>15.31</v>
      </c>
      <c r="G58" s="100">
        <v>59.92</v>
      </c>
      <c r="H58" s="100">
        <v>31.41</v>
      </c>
      <c r="I58" s="100">
        <v>12.39</v>
      </c>
      <c r="J58" s="100">
        <v>0.81</v>
      </c>
      <c r="K58" s="100">
        <v>347.48</v>
      </c>
      <c r="L58" s="100">
        <v>34.56</v>
      </c>
      <c r="M58" s="100">
        <v>38.92</v>
      </c>
      <c r="N58" s="100">
        <v>919.7</v>
      </c>
      <c r="O58" s="100">
        <v>0</v>
      </c>
      <c r="P58" s="100">
        <v>0.59</v>
      </c>
      <c r="Q58" s="100">
        <v>27.99</v>
      </c>
      <c r="R58" s="6"/>
      <c r="S58" s="6"/>
      <c r="T58" s="156"/>
      <c r="U58" s="6"/>
    </row>
    <row r="59" spans="1:21" customFormat="1">
      <c r="A59" s="163" t="s">
        <v>578</v>
      </c>
      <c r="B59" s="100">
        <v>5.15</v>
      </c>
      <c r="C59" s="100">
        <v>28.17</v>
      </c>
      <c r="D59" s="100">
        <v>19.53</v>
      </c>
      <c r="E59" s="100">
        <v>1.9</v>
      </c>
      <c r="F59" s="100">
        <v>21.29</v>
      </c>
      <c r="G59" s="100">
        <v>59.92</v>
      </c>
      <c r="H59" s="100">
        <v>31.41</v>
      </c>
      <c r="I59" s="100">
        <v>12.16</v>
      </c>
      <c r="J59" s="100">
        <v>0.55000000000000004</v>
      </c>
      <c r="K59" s="100">
        <v>351.53</v>
      </c>
      <c r="L59" s="100">
        <v>34.74</v>
      </c>
      <c r="M59" s="100">
        <v>37.36</v>
      </c>
      <c r="N59" s="100">
        <v>923.3</v>
      </c>
      <c r="O59" s="100">
        <v>0</v>
      </c>
      <c r="P59" s="100">
        <v>0.59</v>
      </c>
      <c r="Q59" s="100">
        <v>28</v>
      </c>
      <c r="R59" s="6"/>
      <c r="S59" s="6"/>
      <c r="T59" s="156"/>
      <c r="U59" s="6"/>
    </row>
    <row r="60" spans="1:21" customFormat="1">
      <c r="A60" s="163" t="s">
        <v>579</v>
      </c>
      <c r="B60" s="100">
        <v>4.0999999999999996</v>
      </c>
      <c r="C60" s="100">
        <v>27.46</v>
      </c>
      <c r="D60" s="100">
        <v>18.309999999999999</v>
      </c>
      <c r="E60" s="100">
        <v>1.69</v>
      </c>
      <c r="F60" s="100">
        <v>18.8</v>
      </c>
      <c r="G60" s="100">
        <v>56.33</v>
      </c>
      <c r="H60" s="100">
        <v>27.05</v>
      </c>
      <c r="I60" s="100">
        <v>11.84</v>
      </c>
      <c r="J60" s="100">
        <v>0.56999999999999995</v>
      </c>
      <c r="K60" s="100">
        <v>258.66000000000003</v>
      </c>
      <c r="L60" s="100">
        <v>35.29</v>
      </c>
      <c r="M60" s="100">
        <v>35.29</v>
      </c>
      <c r="N60" s="100">
        <v>916.3</v>
      </c>
      <c r="O60" s="100">
        <v>0</v>
      </c>
      <c r="P60" s="100">
        <v>0.56999999999999995</v>
      </c>
      <c r="Q60" s="100">
        <v>28.11</v>
      </c>
      <c r="R60" s="6"/>
      <c r="S60" s="6"/>
      <c r="T60" s="156"/>
      <c r="U60" s="6"/>
    </row>
    <row r="61" spans="1:21" customFormat="1">
      <c r="A61" s="163" t="s">
        <v>580</v>
      </c>
      <c r="B61" s="100">
        <v>3.3</v>
      </c>
      <c r="C61" s="100">
        <v>25.33</v>
      </c>
      <c r="D61" s="100">
        <v>16.559999999999999</v>
      </c>
      <c r="E61" s="100">
        <v>1.73</v>
      </c>
      <c r="F61" s="100">
        <v>18.03</v>
      </c>
      <c r="G61" s="100">
        <v>53.19</v>
      </c>
      <c r="H61" s="100">
        <v>23.24</v>
      </c>
      <c r="I61" s="100">
        <v>11.51</v>
      </c>
      <c r="J61" s="100">
        <v>0.83</v>
      </c>
      <c r="K61" s="100">
        <v>235.18</v>
      </c>
      <c r="L61" s="100">
        <v>35.35</v>
      </c>
      <c r="M61" s="100">
        <v>35.299999999999997</v>
      </c>
      <c r="N61" s="100">
        <v>897.8</v>
      </c>
      <c r="O61" s="100">
        <v>0</v>
      </c>
      <c r="P61" s="100">
        <v>0.56999999999999995</v>
      </c>
      <c r="Q61" s="100">
        <v>28.22</v>
      </c>
      <c r="R61" s="6"/>
      <c r="S61" s="6"/>
      <c r="T61" s="156"/>
      <c r="U61" s="6"/>
    </row>
    <row r="62" spans="1:21" customFormat="1">
      <c r="A62" s="163" t="s">
        <v>581</v>
      </c>
      <c r="B62" s="100">
        <v>2.89</v>
      </c>
      <c r="C62" s="100">
        <v>25.26</v>
      </c>
      <c r="D62" s="100">
        <v>16.190000000000001</v>
      </c>
      <c r="E62" s="100">
        <v>2.0499999999999998</v>
      </c>
      <c r="F62" s="100">
        <v>16.579999999999998</v>
      </c>
      <c r="G62" s="100">
        <v>53.19</v>
      </c>
      <c r="H62" s="100">
        <v>23.24</v>
      </c>
      <c r="I62" s="100">
        <v>11.09</v>
      </c>
      <c r="J62" s="100">
        <v>0.7</v>
      </c>
      <c r="K62" s="100">
        <v>281.08999999999997</v>
      </c>
      <c r="L62" s="100">
        <v>36.08</v>
      </c>
      <c r="M62" s="100">
        <v>32.130000000000003</v>
      </c>
      <c r="N62" s="100">
        <v>875.4</v>
      </c>
      <c r="O62" s="100">
        <v>0</v>
      </c>
      <c r="P62" s="100">
        <v>0.56000000000000005</v>
      </c>
      <c r="Q62" s="100">
        <v>28.34</v>
      </c>
      <c r="R62" s="6"/>
      <c r="S62" s="6"/>
      <c r="T62" s="156"/>
      <c r="U62" s="6"/>
    </row>
    <row r="63" spans="1:21" customFormat="1">
      <c r="A63" s="163" t="s">
        <v>582</v>
      </c>
      <c r="B63" s="100">
        <v>2.56</v>
      </c>
      <c r="C63" s="100">
        <v>26.63</v>
      </c>
      <c r="D63" s="100">
        <v>16.64</v>
      </c>
      <c r="E63" s="100">
        <v>1.5</v>
      </c>
      <c r="F63" s="100">
        <v>6.24</v>
      </c>
      <c r="G63" s="100">
        <v>53.19</v>
      </c>
      <c r="H63" s="100">
        <v>23.24</v>
      </c>
      <c r="I63" s="100">
        <v>11.1</v>
      </c>
      <c r="J63" s="100">
        <v>1.6</v>
      </c>
      <c r="K63" s="100">
        <v>244.91</v>
      </c>
      <c r="L63" s="100">
        <v>36.18</v>
      </c>
      <c r="M63" s="100">
        <v>29.9</v>
      </c>
      <c r="N63" s="100">
        <v>850.5</v>
      </c>
      <c r="O63" s="100">
        <v>0</v>
      </c>
      <c r="P63" s="100">
        <v>0.56999999999999995</v>
      </c>
      <c r="Q63" s="100">
        <v>28.31</v>
      </c>
      <c r="R63" s="6"/>
      <c r="S63" s="6"/>
      <c r="T63" s="156"/>
      <c r="U63" s="6"/>
    </row>
    <row r="64" spans="1:21" customFormat="1">
      <c r="A64" s="163" t="s">
        <v>583</v>
      </c>
      <c r="B64" s="100">
        <v>2.46</v>
      </c>
      <c r="C64" s="100">
        <v>32.32</v>
      </c>
      <c r="D64" s="100">
        <v>19.54</v>
      </c>
      <c r="E64" s="100">
        <v>1.55</v>
      </c>
      <c r="F64" s="100">
        <v>7.78</v>
      </c>
      <c r="G64" s="100">
        <v>46.95</v>
      </c>
      <c r="H64" s="100">
        <v>22.24</v>
      </c>
      <c r="I64" s="100">
        <v>10.83</v>
      </c>
      <c r="J64" s="100">
        <v>1.17</v>
      </c>
      <c r="K64" s="100">
        <v>256.74</v>
      </c>
      <c r="L64" s="100">
        <v>37.08</v>
      </c>
      <c r="M64" s="100">
        <v>28.68</v>
      </c>
      <c r="N64" s="100">
        <v>814.4</v>
      </c>
      <c r="O64" s="100">
        <v>0</v>
      </c>
      <c r="P64" s="100">
        <v>0.55000000000000004</v>
      </c>
      <c r="Q64" s="100">
        <v>28.07</v>
      </c>
      <c r="R64" s="6"/>
      <c r="S64" s="6"/>
      <c r="T64" s="156"/>
      <c r="U64" s="6"/>
    </row>
    <row r="65" spans="1:21" customFormat="1">
      <c r="A65" s="163" t="s">
        <v>584</v>
      </c>
      <c r="B65" s="100">
        <v>2.44</v>
      </c>
      <c r="C65" s="100">
        <v>30.71</v>
      </c>
      <c r="D65" s="100">
        <v>18.68</v>
      </c>
      <c r="E65" s="100">
        <v>1.78</v>
      </c>
      <c r="F65" s="100">
        <v>5.86</v>
      </c>
      <c r="G65" s="100">
        <v>41.49</v>
      </c>
      <c r="H65" s="100">
        <v>21.37</v>
      </c>
      <c r="I65" s="100">
        <v>10.9</v>
      </c>
      <c r="J65" s="100">
        <v>2.13</v>
      </c>
      <c r="K65" s="100">
        <v>232.43</v>
      </c>
      <c r="L65" s="100">
        <v>36.770000000000003</v>
      </c>
      <c r="M65" s="100">
        <v>27.83</v>
      </c>
      <c r="N65" s="100">
        <v>782.7</v>
      </c>
      <c r="O65" s="100">
        <v>0</v>
      </c>
      <c r="P65" s="100">
        <v>0.54</v>
      </c>
      <c r="Q65" s="100">
        <v>28.18</v>
      </c>
      <c r="R65" s="6"/>
      <c r="S65" s="6"/>
      <c r="T65" s="156"/>
      <c r="U65" s="6"/>
    </row>
    <row r="66" spans="1:21" customFormat="1">
      <c r="A66" s="163" t="s">
        <v>585</v>
      </c>
      <c r="B66" s="100">
        <v>2.42</v>
      </c>
      <c r="C66" s="100">
        <v>23.36</v>
      </c>
      <c r="D66" s="100">
        <v>14.82</v>
      </c>
      <c r="E66" s="100">
        <v>1.95</v>
      </c>
      <c r="F66" s="100">
        <v>7.54</v>
      </c>
      <c r="G66" s="100">
        <v>41.49</v>
      </c>
      <c r="H66" s="100">
        <v>21.37</v>
      </c>
      <c r="I66" s="100">
        <v>11.01</v>
      </c>
      <c r="J66" s="100">
        <v>0.81</v>
      </c>
      <c r="K66" s="100">
        <v>216.53</v>
      </c>
      <c r="L66" s="100">
        <v>37.68</v>
      </c>
      <c r="M66" s="100">
        <v>27.65</v>
      </c>
      <c r="N66" s="100">
        <v>737.4</v>
      </c>
      <c r="O66" s="100">
        <v>0</v>
      </c>
      <c r="P66" s="100">
        <v>0.52</v>
      </c>
      <c r="Q66" s="100">
        <v>28.61</v>
      </c>
      <c r="R66" s="6"/>
      <c r="S66" s="6"/>
      <c r="T66" s="156"/>
      <c r="U66" s="6"/>
    </row>
    <row r="67" spans="1:21" customFormat="1">
      <c r="A67" s="163" t="s">
        <v>586</v>
      </c>
      <c r="B67" s="100">
        <v>2.27</v>
      </c>
      <c r="C67" s="100">
        <v>23.49</v>
      </c>
      <c r="D67" s="100">
        <v>14.77</v>
      </c>
      <c r="E67" s="100">
        <v>1.97</v>
      </c>
      <c r="F67" s="100">
        <v>10.039999999999999</v>
      </c>
      <c r="G67" s="100">
        <v>41.49</v>
      </c>
      <c r="H67" s="100">
        <v>21.37</v>
      </c>
      <c r="I67" s="100">
        <v>10.91</v>
      </c>
      <c r="J67" s="100">
        <v>1.49</v>
      </c>
      <c r="K67" s="100">
        <v>227.18</v>
      </c>
      <c r="L67" s="100">
        <v>37.6</v>
      </c>
      <c r="M67" s="100">
        <v>26.61</v>
      </c>
      <c r="N67" s="100">
        <v>703.7</v>
      </c>
      <c r="O67" s="100">
        <v>0</v>
      </c>
      <c r="P67" s="100">
        <v>0.5</v>
      </c>
      <c r="Q67" s="100">
        <v>28.63</v>
      </c>
      <c r="R67" s="6"/>
      <c r="S67" s="6"/>
      <c r="T67" s="156"/>
      <c r="U67" s="6"/>
    </row>
    <row r="68" spans="1:21" customFormat="1">
      <c r="A68" s="163" t="s">
        <v>587</v>
      </c>
      <c r="B68" s="100">
        <v>1.83</v>
      </c>
      <c r="C68" s="100">
        <v>17.03</v>
      </c>
      <c r="D68" s="100">
        <v>11.04</v>
      </c>
      <c r="E68" s="100">
        <v>2.14</v>
      </c>
      <c r="F68" s="100">
        <v>21.08</v>
      </c>
      <c r="G68" s="100">
        <v>39.880000000000003</v>
      </c>
      <c r="H68" s="100">
        <v>18.329999999999998</v>
      </c>
      <c r="I68" s="100">
        <v>10.66</v>
      </c>
      <c r="J68" s="100">
        <v>0.56999999999999995</v>
      </c>
      <c r="K68" s="100">
        <v>353.06</v>
      </c>
      <c r="L68" s="100">
        <v>39.33</v>
      </c>
      <c r="M68" s="100">
        <v>24.5</v>
      </c>
      <c r="N68" s="100">
        <v>644.6</v>
      </c>
      <c r="O68" s="100">
        <v>0</v>
      </c>
      <c r="P68" s="100">
        <v>0.46</v>
      </c>
      <c r="Q68" s="100">
        <v>28.98</v>
      </c>
      <c r="R68" s="6"/>
      <c r="S68" s="6"/>
      <c r="T68" s="156"/>
      <c r="U68" s="6"/>
    </row>
    <row r="69" spans="1:21" customFormat="1">
      <c r="A69" s="163" t="s">
        <v>588</v>
      </c>
      <c r="B69" s="100">
        <v>1.81</v>
      </c>
      <c r="C69" s="100">
        <v>18.75</v>
      </c>
      <c r="D69" s="100">
        <v>11.92</v>
      </c>
      <c r="E69" s="100">
        <v>2.13</v>
      </c>
      <c r="F69" s="100">
        <v>14.32</v>
      </c>
      <c r="G69" s="100">
        <v>38.47</v>
      </c>
      <c r="H69" s="100">
        <v>15.68</v>
      </c>
      <c r="I69" s="100">
        <v>10.36</v>
      </c>
      <c r="J69" s="100">
        <v>0.55000000000000004</v>
      </c>
      <c r="K69" s="100">
        <v>32.29</v>
      </c>
      <c r="L69" s="100">
        <v>39.15</v>
      </c>
      <c r="M69" s="100">
        <v>24.14</v>
      </c>
      <c r="N69" s="100">
        <v>608.70000000000005</v>
      </c>
      <c r="O69" s="100">
        <v>0</v>
      </c>
      <c r="P69" s="100">
        <v>0.48</v>
      </c>
      <c r="Q69" s="100">
        <v>28.96</v>
      </c>
      <c r="R69" s="6"/>
      <c r="S69" s="6"/>
      <c r="T69" s="156"/>
      <c r="U69" s="6"/>
    </row>
    <row r="70" spans="1:21" customFormat="1">
      <c r="A70" s="163" t="s">
        <v>589</v>
      </c>
      <c r="B70" s="100">
        <v>1.86</v>
      </c>
      <c r="C70" s="100">
        <v>22.96</v>
      </c>
      <c r="D70" s="100">
        <v>14.16</v>
      </c>
      <c r="E70" s="100">
        <v>2.25</v>
      </c>
      <c r="F70" s="100">
        <v>12.09</v>
      </c>
      <c r="G70" s="100">
        <v>38.47</v>
      </c>
      <c r="H70" s="100">
        <v>15.68</v>
      </c>
      <c r="I70" s="100">
        <v>9.7799999999999994</v>
      </c>
      <c r="J70" s="100">
        <v>1.81</v>
      </c>
      <c r="K70" s="100">
        <v>234.89</v>
      </c>
      <c r="L70" s="100">
        <v>38.01</v>
      </c>
      <c r="M70" s="100">
        <v>24.81</v>
      </c>
      <c r="N70" s="100">
        <v>564.5</v>
      </c>
      <c r="O70" s="100">
        <v>0</v>
      </c>
      <c r="P70" s="100">
        <v>0.47</v>
      </c>
      <c r="Q70" s="100">
        <v>28.74</v>
      </c>
      <c r="R70" s="6"/>
      <c r="S70" s="6"/>
      <c r="T70" s="156"/>
      <c r="U70" s="6"/>
    </row>
    <row r="71" spans="1:21" customFormat="1">
      <c r="A71" s="163" t="s">
        <v>590</v>
      </c>
      <c r="B71" s="100">
        <v>1.72</v>
      </c>
      <c r="C71" s="100">
        <v>21</v>
      </c>
      <c r="D71" s="100">
        <v>13.03</v>
      </c>
      <c r="E71" s="100">
        <v>1.44</v>
      </c>
      <c r="F71" s="100">
        <v>26.02</v>
      </c>
      <c r="G71" s="100">
        <v>38.47</v>
      </c>
      <c r="H71" s="100">
        <v>15.68</v>
      </c>
      <c r="I71" s="100">
        <v>9.9600000000000009</v>
      </c>
      <c r="J71" s="100">
        <v>0.35</v>
      </c>
      <c r="K71" s="100">
        <v>286.10000000000002</v>
      </c>
      <c r="L71" s="100">
        <v>38.69</v>
      </c>
      <c r="M71" s="100">
        <v>22.84</v>
      </c>
      <c r="N71" s="100">
        <v>502.4</v>
      </c>
      <c r="O71" s="100">
        <v>0</v>
      </c>
      <c r="P71" s="100">
        <v>0.46</v>
      </c>
      <c r="Q71" s="100">
        <v>28.83</v>
      </c>
      <c r="R71" s="6"/>
      <c r="S71" s="6"/>
      <c r="T71" s="156"/>
      <c r="U71" s="6"/>
    </row>
    <row r="72" spans="1:21" customFormat="1">
      <c r="A72" s="163" t="s">
        <v>591</v>
      </c>
      <c r="B72" s="100">
        <v>1.61</v>
      </c>
      <c r="C72" s="100">
        <v>19.690000000000001</v>
      </c>
      <c r="D72" s="100">
        <v>12.26</v>
      </c>
      <c r="E72" s="100">
        <v>1.46</v>
      </c>
      <c r="F72" s="100">
        <v>28.59</v>
      </c>
      <c r="G72" s="100">
        <v>36.29</v>
      </c>
      <c r="H72" s="100">
        <v>15.39</v>
      </c>
      <c r="I72" s="100">
        <v>9.6</v>
      </c>
      <c r="J72" s="100">
        <v>0.41</v>
      </c>
      <c r="K72" s="100">
        <v>327.25</v>
      </c>
      <c r="L72" s="100">
        <v>39.4</v>
      </c>
      <c r="M72" s="100">
        <v>22.19</v>
      </c>
      <c r="N72" s="100">
        <v>443.3</v>
      </c>
      <c r="O72" s="100">
        <v>0</v>
      </c>
      <c r="P72" s="100">
        <v>0.46</v>
      </c>
      <c r="Q72" s="100">
        <v>28.9</v>
      </c>
      <c r="R72" s="6"/>
      <c r="S72" s="6"/>
      <c r="T72" s="156"/>
      <c r="U72" s="6"/>
    </row>
    <row r="73" spans="1:21" customFormat="1">
      <c r="A73" s="163" t="s">
        <v>592</v>
      </c>
      <c r="B73" s="100">
        <v>1.88</v>
      </c>
      <c r="C73" s="100">
        <v>22.5</v>
      </c>
      <c r="D73" s="100">
        <v>13.94</v>
      </c>
      <c r="E73" s="100">
        <v>1.67</v>
      </c>
      <c r="F73" s="100">
        <v>20.9</v>
      </c>
      <c r="G73" s="100">
        <v>34.369999999999997</v>
      </c>
      <c r="H73" s="100">
        <v>15.14</v>
      </c>
      <c r="I73" s="100">
        <v>8.85</v>
      </c>
      <c r="J73" s="100">
        <v>0.11</v>
      </c>
      <c r="K73" s="100">
        <v>25.89</v>
      </c>
      <c r="L73" s="100">
        <v>40.1</v>
      </c>
      <c r="M73" s="100">
        <v>22.28</v>
      </c>
      <c r="N73" s="100">
        <v>386.7</v>
      </c>
      <c r="O73" s="100">
        <v>0</v>
      </c>
      <c r="P73" s="100">
        <v>0.5</v>
      </c>
      <c r="Q73" s="100">
        <v>28.68</v>
      </c>
      <c r="R73" s="6"/>
      <c r="S73" s="6"/>
      <c r="T73" s="156"/>
      <c r="U73" s="6"/>
    </row>
    <row r="74" spans="1:21" customFormat="1">
      <c r="A74" s="163" t="s">
        <v>593</v>
      </c>
      <c r="B74" s="100">
        <v>1.79</v>
      </c>
      <c r="C74" s="100">
        <v>20.76</v>
      </c>
      <c r="D74" s="100">
        <v>12.95</v>
      </c>
      <c r="E74" s="100">
        <v>1.1499999999999999</v>
      </c>
      <c r="F74" s="100">
        <v>18.54</v>
      </c>
      <c r="G74" s="100">
        <v>34.369999999999997</v>
      </c>
      <c r="H74" s="100">
        <v>15.14</v>
      </c>
      <c r="I74" s="100">
        <v>8.8000000000000007</v>
      </c>
      <c r="J74" s="100">
        <v>1.29</v>
      </c>
      <c r="K74" s="100">
        <v>204.93</v>
      </c>
      <c r="L74" s="100">
        <v>39.85</v>
      </c>
      <c r="M74" s="100">
        <v>20.95</v>
      </c>
      <c r="N74" s="100">
        <v>340.6</v>
      </c>
      <c r="O74" s="100">
        <v>0</v>
      </c>
      <c r="P74" s="100">
        <v>0.46</v>
      </c>
      <c r="Q74" s="100">
        <v>28.77</v>
      </c>
      <c r="R74" s="6"/>
      <c r="S74" s="6"/>
      <c r="T74" s="156"/>
      <c r="U74" s="6"/>
    </row>
    <row r="75" spans="1:21" customFormat="1">
      <c r="A75" s="163" t="s">
        <v>594</v>
      </c>
      <c r="B75" s="100">
        <v>1.66</v>
      </c>
      <c r="C75" s="100">
        <v>19.260000000000002</v>
      </c>
      <c r="D75" s="100">
        <v>12.07</v>
      </c>
      <c r="E75" s="100">
        <v>0.74</v>
      </c>
      <c r="F75" s="100">
        <v>19.11</v>
      </c>
      <c r="G75" s="100">
        <v>34.369999999999997</v>
      </c>
      <c r="H75" s="100">
        <v>15.14</v>
      </c>
      <c r="I75" s="100">
        <v>9.23</v>
      </c>
      <c r="J75" s="100">
        <v>1.1299999999999999</v>
      </c>
      <c r="K75" s="100">
        <v>211.31</v>
      </c>
      <c r="L75" s="100">
        <v>39.229999999999997</v>
      </c>
      <c r="M75" s="100">
        <v>22.15</v>
      </c>
      <c r="N75" s="100">
        <v>288.60000000000002</v>
      </c>
      <c r="O75" s="100">
        <v>0</v>
      </c>
      <c r="P75" s="100">
        <v>0.46</v>
      </c>
      <c r="Q75" s="100">
        <v>28.87</v>
      </c>
      <c r="R75" s="6"/>
      <c r="S75" s="6"/>
      <c r="T75" s="156"/>
      <c r="U75" s="6"/>
    </row>
    <row r="76" spans="1:21" customFormat="1">
      <c r="A76" s="163" t="s">
        <v>595</v>
      </c>
      <c r="B76" s="100">
        <v>1.73</v>
      </c>
      <c r="C76" s="100">
        <v>19.45</v>
      </c>
      <c r="D76" s="100">
        <v>12.23</v>
      </c>
      <c r="E76" s="100">
        <v>1.38</v>
      </c>
      <c r="F76" s="100">
        <v>18.79</v>
      </c>
      <c r="G76" s="100">
        <v>32.42</v>
      </c>
      <c r="H76" s="100">
        <v>13.13</v>
      </c>
      <c r="I76" s="100">
        <v>8.77</v>
      </c>
      <c r="J76" s="100">
        <v>0.91</v>
      </c>
      <c r="K76" s="100">
        <v>164.69</v>
      </c>
      <c r="L76" s="100">
        <v>39.020000000000003</v>
      </c>
      <c r="M76" s="100">
        <v>24.53</v>
      </c>
      <c r="N76" s="100">
        <v>227.5</v>
      </c>
      <c r="O76" s="100">
        <v>0</v>
      </c>
      <c r="P76" s="100">
        <v>0.45</v>
      </c>
      <c r="Q76" s="100">
        <v>28.88</v>
      </c>
      <c r="R76" s="6"/>
      <c r="S76" s="6"/>
      <c r="T76" s="156"/>
      <c r="U76" s="6"/>
    </row>
    <row r="77" spans="1:21" customFormat="1">
      <c r="A77" s="163" t="s">
        <v>596</v>
      </c>
      <c r="B77" s="100">
        <v>1.82</v>
      </c>
      <c r="C77" s="100">
        <v>24.49</v>
      </c>
      <c r="D77" s="100">
        <v>14.93</v>
      </c>
      <c r="E77" s="100">
        <v>0.81</v>
      </c>
      <c r="F77" s="100">
        <v>9.9499999999999993</v>
      </c>
      <c r="G77" s="100">
        <v>30.71</v>
      </c>
      <c r="H77" s="100">
        <v>11.38</v>
      </c>
      <c r="I77" s="100">
        <v>8.35</v>
      </c>
      <c r="J77" s="100">
        <v>1.02</v>
      </c>
      <c r="K77" s="100">
        <v>151.13999999999999</v>
      </c>
      <c r="L77" s="100">
        <v>39.18</v>
      </c>
      <c r="M77" s="100">
        <v>24.87</v>
      </c>
      <c r="N77" s="100">
        <v>171.6</v>
      </c>
      <c r="O77" s="100">
        <v>0</v>
      </c>
      <c r="P77" s="100">
        <v>0.44</v>
      </c>
      <c r="Q77" s="100">
        <v>28.65</v>
      </c>
      <c r="R77" s="6"/>
      <c r="S77" s="6"/>
      <c r="T77" s="156"/>
      <c r="U77" s="6"/>
    </row>
    <row r="78" spans="1:21" customFormat="1">
      <c r="A78" s="163" t="s">
        <v>597</v>
      </c>
      <c r="B78" s="100">
        <v>1.81</v>
      </c>
      <c r="C78" s="100">
        <v>22.65</v>
      </c>
      <c r="D78" s="100">
        <v>13.96</v>
      </c>
      <c r="E78" s="100">
        <v>2</v>
      </c>
      <c r="F78" s="100">
        <v>16.829999999999998</v>
      </c>
      <c r="G78" s="100">
        <v>30.71</v>
      </c>
      <c r="H78" s="100">
        <v>11.38</v>
      </c>
      <c r="I78" s="100">
        <v>8.36</v>
      </c>
      <c r="J78" s="100">
        <v>0.95</v>
      </c>
      <c r="K78" s="100">
        <v>129.12</v>
      </c>
      <c r="L78" s="100">
        <v>37.799999999999997</v>
      </c>
      <c r="M78" s="100">
        <v>25.77</v>
      </c>
      <c r="N78" s="100">
        <v>96.1</v>
      </c>
      <c r="O78" s="100">
        <v>0</v>
      </c>
      <c r="P78" s="100">
        <v>0.43</v>
      </c>
      <c r="Q78" s="100">
        <v>28.72</v>
      </c>
      <c r="R78" s="6"/>
      <c r="S78" s="6"/>
      <c r="T78" s="156"/>
      <c r="U78" s="6"/>
    </row>
    <row r="79" spans="1:21" customFormat="1">
      <c r="A79" s="163" t="s">
        <v>598</v>
      </c>
      <c r="B79" s="100">
        <v>1.53</v>
      </c>
      <c r="C79" s="100">
        <v>16.63</v>
      </c>
      <c r="D79" s="100">
        <v>10.59</v>
      </c>
      <c r="E79" s="100">
        <v>2.5499999999999998</v>
      </c>
      <c r="F79" s="100">
        <v>29.6</v>
      </c>
      <c r="G79" s="100">
        <v>30.71</v>
      </c>
      <c r="H79" s="100">
        <v>11.38</v>
      </c>
      <c r="I79" s="100">
        <v>8.65</v>
      </c>
      <c r="J79" s="100">
        <v>0.93</v>
      </c>
      <c r="K79" s="100">
        <v>142.82</v>
      </c>
      <c r="L79" s="100">
        <v>36.619999999999997</v>
      </c>
      <c r="M79" s="100">
        <v>28.07</v>
      </c>
      <c r="N79" s="100">
        <v>56.7</v>
      </c>
      <c r="O79" s="100">
        <v>0</v>
      </c>
      <c r="P79" s="100">
        <v>0.41</v>
      </c>
      <c r="Q79" s="100">
        <v>29.04</v>
      </c>
      <c r="R79" s="6"/>
      <c r="S79" s="6"/>
      <c r="T79" s="156"/>
      <c r="U79" s="6"/>
    </row>
    <row r="80" spans="1:21" customFormat="1">
      <c r="A80" s="163" t="s">
        <v>599</v>
      </c>
      <c r="B80" s="100">
        <v>1.39</v>
      </c>
      <c r="C80" s="100">
        <v>14.51</v>
      </c>
      <c r="D80" s="100">
        <v>9.3699999999999992</v>
      </c>
      <c r="E80" s="100">
        <v>2.52</v>
      </c>
      <c r="F80" s="100">
        <v>24.37</v>
      </c>
      <c r="G80" s="100">
        <v>31.17</v>
      </c>
      <c r="H80" s="100">
        <v>12.63</v>
      </c>
      <c r="I80" s="100">
        <v>8.43</v>
      </c>
      <c r="J80" s="100">
        <v>0.84</v>
      </c>
      <c r="K80" s="100">
        <v>125.48</v>
      </c>
      <c r="L80" s="100">
        <v>35.729999999999997</v>
      </c>
      <c r="M80" s="100">
        <v>28.96</v>
      </c>
      <c r="N80" s="100">
        <v>48</v>
      </c>
      <c r="O80" s="100">
        <v>0</v>
      </c>
      <c r="P80" s="100">
        <v>0.42</v>
      </c>
      <c r="Q80" s="100">
        <v>29.19</v>
      </c>
      <c r="R80" s="6"/>
      <c r="S80" s="6"/>
      <c r="T80" s="156"/>
      <c r="U80" s="6"/>
    </row>
    <row r="81" spans="1:21" customFormat="1">
      <c r="A81" s="163" t="s">
        <v>600</v>
      </c>
      <c r="B81" s="100">
        <v>1.57</v>
      </c>
      <c r="C81" s="100">
        <v>19.690000000000001</v>
      </c>
      <c r="D81" s="100">
        <v>12.23</v>
      </c>
      <c r="E81" s="100">
        <v>2.02</v>
      </c>
      <c r="F81" s="100">
        <v>25.01</v>
      </c>
      <c r="G81" s="100">
        <v>31.56</v>
      </c>
      <c r="H81" s="100">
        <v>13.72</v>
      </c>
      <c r="I81" s="100">
        <v>8.15</v>
      </c>
      <c r="J81" s="100">
        <v>0.94</v>
      </c>
      <c r="K81" s="100">
        <v>147.94999999999999</v>
      </c>
      <c r="L81" s="100">
        <v>34.880000000000003</v>
      </c>
      <c r="M81" s="100">
        <v>31.07</v>
      </c>
      <c r="N81" s="100">
        <v>35.200000000000003</v>
      </c>
      <c r="O81" s="100">
        <v>0</v>
      </c>
      <c r="P81" s="100">
        <v>0.45</v>
      </c>
      <c r="Q81" s="100">
        <v>28.9</v>
      </c>
      <c r="R81" s="6"/>
      <c r="S81" s="6"/>
      <c r="T81" s="156"/>
      <c r="U81" s="6"/>
    </row>
    <row r="82" spans="1:21" customFormat="1">
      <c r="A82" s="163" t="s">
        <v>601</v>
      </c>
      <c r="B82" s="100">
        <v>1.64</v>
      </c>
      <c r="C82" s="100">
        <v>17.29</v>
      </c>
      <c r="D82" s="100">
        <v>11.03</v>
      </c>
      <c r="E82" s="100">
        <v>3.92</v>
      </c>
      <c r="F82" s="100">
        <v>29.58</v>
      </c>
      <c r="G82" s="100">
        <v>31.56</v>
      </c>
      <c r="H82" s="100">
        <v>13.72</v>
      </c>
      <c r="I82" s="100">
        <v>8.4700000000000006</v>
      </c>
      <c r="J82" s="100">
        <v>0.86</v>
      </c>
      <c r="K82" s="100">
        <v>132.37</v>
      </c>
      <c r="L82" s="100">
        <v>34.57</v>
      </c>
      <c r="M82" s="100">
        <v>31.84</v>
      </c>
      <c r="N82" s="100">
        <v>25.9</v>
      </c>
      <c r="O82" s="100">
        <v>0</v>
      </c>
      <c r="P82" s="100">
        <v>0.51</v>
      </c>
      <c r="Q82" s="100">
        <v>29.01</v>
      </c>
      <c r="R82" s="6"/>
      <c r="S82" s="6"/>
      <c r="T82" s="156"/>
      <c r="U82" s="6"/>
    </row>
    <row r="83" spans="1:21" customFormat="1">
      <c r="A83" s="163" t="s">
        <v>602</v>
      </c>
      <c r="B83" s="100">
        <v>4.26</v>
      </c>
      <c r="C83" s="100">
        <v>37.840000000000003</v>
      </c>
      <c r="D83" s="100">
        <v>23.87</v>
      </c>
      <c r="E83" s="100">
        <v>4.1399999999999997</v>
      </c>
      <c r="F83" s="100">
        <v>15.98</v>
      </c>
      <c r="G83" s="100">
        <v>31.56</v>
      </c>
      <c r="H83" s="100">
        <v>13.72</v>
      </c>
      <c r="I83" s="100">
        <v>8.9700000000000006</v>
      </c>
      <c r="J83" s="100">
        <v>0.97</v>
      </c>
      <c r="K83" s="100">
        <v>120.21</v>
      </c>
      <c r="L83" s="100">
        <v>33.729999999999997</v>
      </c>
      <c r="M83" s="100">
        <v>35.42</v>
      </c>
      <c r="N83" s="100">
        <v>23.5</v>
      </c>
      <c r="O83" s="100">
        <v>0</v>
      </c>
      <c r="P83" s="100">
        <v>1</v>
      </c>
      <c r="Q83" s="100">
        <v>26.95</v>
      </c>
      <c r="R83" s="6"/>
      <c r="S83" s="6"/>
      <c r="T83" s="156"/>
      <c r="U83" s="6"/>
    </row>
    <row r="84" spans="1:21" customFormat="1">
      <c r="A84" s="163" t="s">
        <v>603</v>
      </c>
      <c r="B84" s="100">
        <v>5.83</v>
      </c>
      <c r="C84" s="100">
        <v>42.48</v>
      </c>
      <c r="D84" s="100">
        <v>27.54</v>
      </c>
      <c r="E84" s="100">
        <v>3.59</v>
      </c>
      <c r="F84" s="100">
        <v>12.14</v>
      </c>
      <c r="G84" s="100">
        <v>33.03</v>
      </c>
      <c r="H84" s="100">
        <v>20.12</v>
      </c>
      <c r="I84" s="100">
        <v>11.02</v>
      </c>
      <c r="J84" s="100">
        <v>0.84</v>
      </c>
      <c r="K84" s="100">
        <v>116.48</v>
      </c>
      <c r="L84" s="100">
        <v>33.08</v>
      </c>
      <c r="M84" s="100">
        <v>37.1</v>
      </c>
      <c r="N84" s="100">
        <v>23.1</v>
      </c>
      <c r="O84" s="100">
        <v>0</v>
      </c>
      <c r="P84" s="100">
        <v>1.0900000000000001</v>
      </c>
      <c r="Q84" s="100">
        <v>26.53</v>
      </c>
      <c r="R84" s="6"/>
      <c r="S84" s="6"/>
      <c r="T84" s="156"/>
      <c r="U84" s="6"/>
    </row>
    <row r="85" spans="1:21" customFormat="1">
      <c r="A85" s="163" t="s">
        <v>604</v>
      </c>
      <c r="B85" s="100">
        <v>4.7699999999999996</v>
      </c>
      <c r="C85" s="100">
        <v>40.229999999999997</v>
      </c>
      <c r="D85" s="100">
        <v>25.52</v>
      </c>
      <c r="E85" s="100">
        <v>3.81</v>
      </c>
      <c r="F85" s="100">
        <v>17.03</v>
      </c>
      <c r="G85" s="100">
        <v>34.31</v>
      </c>
      <c r="H85" s="100">
        <v>25.73</v>
      </c>
      <c r="I85" s="100">
        <v>16.170000000000002</v>
      </c>
      <c r="J85" s="100">
        <v>0.88</v>
      </c>
      <c r="K85" s="100">
        <v>126.87</v>
      </c>
      <c r="L85" s="100">
        <v>33.03</v>
      </c>
      <c r="M85" s="100">
        <v>36.159999999999997</v>
      </c>
      <c r="N85" s="100">
        <v>22.8</v>
      </c>
      <c r="O85" s="100">
        <v>0</v>
      </c>
      <c r="P85" s="100">
        <v>0.93</v>
      </c>
      <c r="Q85" s="100">
        <v>26.67</v>
      </c>
      <c r="R85" s="6"/>
      <c r="S85" s="6"/>
      <c r="T85" s="156"/>
      <c r="U85" s="6"/>
    </row>
    <row r="86" spans="1:21" customFormat="1">
      <c r="A86" s="163" t="s">
        <v>605</v>
      </c>
      <c r="B86" s="100">
        <v>3.67</v>
      </c>
      <c r="C86" s="100">
        <v>35.85</v>
      </c>
      <c r="D86" s="100">
        <v>22.35</v>
      </c>
      <c r="E86" s="100">
        <v>3.55</v>
      </c>
      <c r="F86" s="100">
        <v>21.84</v>
      </c>
      <c r="G86" s="100">
        <v>34.31</v>
      </c>
      <c r="H86" s="100">
        <v>25.73</v>
      </c>
      <c r="I86" s="100">
        <v>17.75</v>
      </c>
      <c r="J86" s="100">
        <v>0.81</v>
      </c>
      <c r="K86" s="100">
        <v>118.04</v>
      </c>
      <c r="L86" s="100">
        <v>32.9</v>
      </c>
      <c r="M86" s="100">
        <v>36.43</v>
      </c>
      <c r="N86" s="100">
        <v>22.7</v>
      </c>
      <c r="O86" s="100">
        <v>0</v>
      </c>
      <c r="P86" s="100">
        <v>0.86</v>
      </c>
      <c r="Q86" s="100">
        <v>27.31</v>
      </c>
      <c r="R86" s="6"/>
      <c r="S86" s="6"/>
      <c r="T86" s="156"/>
      <c r="U86" s="6"/>
    </row>
    <row r="87" spans="1:21" customFormat="1">
      <c r="A87" s="163" t="s">
        <v>606</v>
      </c>
      <c r="B87" s="100">
        <v>3.3</v>
      </c>
      <c r="C87" s="100">
        <v>34.090000000000003</v>
      </c>
      <c r="D87" s="100">
        <v>21.14</v>
      </c>
      <c r="E87" s="100">
        <v>3.46</v>
      </c>
      <c r="F87" s="100">
        <v>22.66</v>
      </c>
      <c r="G87" s="100">
        <v>34.31</v>
      </c>
      <c r="H87" s="100">
        <v>25.73</v>
      </c>
      <c r="I87" s="100">
        <v>17.239999999999998</v>
      </c>
      <c r="J87" s="100">
        <v>0.51</v>
      </c>
      <c r="K87" s="100">
        <v>101.25</v>
      </c>
      <c r="L87" s="100">
        <v>32.9</v>
      </c>
      <c r="M87" s="100">
        <v>38.630000000000003</v>
      </c>
      <c r="N87" s="100">
        <v>22.8</v>
      </c>
      <c r="O87" s="100">
        <v>0</v>
      </c>
      <c r="P87" s="100">
        <v>0.85</v>
      </c>
      <c r="Q87" s="100">
        <v>27.52</v>
      </c>
      <c r="R87" s="6"/>
      <c r="S87" s="6"/>
      <c r="T87" s="156"/>
      <c r="U87" s="6"/>
    </row>
    <row r="88" spans="1:21" customFormat="1">
      <c r="A88" s="163" t="s">
        <v>607</v>
      </c>
      <c r="B88" s="100">
        <v>3.06</v>
      </c>
      <c r="C88" s="100">
        <v>31.22</v>
      </c>
      <c r="D88" s="100">
        <v>19.440000000000001</v>
      </c>
      <c r="E88" s="100">
        <v>3.05</v>
      </c>
      <c r="F88" s="100">
        <v>30.43</v>
      </c>
      <c r="G88" s="100">
        <v>38.1</v>
      </c>
      <c r="H88" s="100">
        <v>25.36</v>
      </c>
      <c r="I88" s="100">
        <v>15.49</v>
      </c>
      <c r="J88" s="100">
        <v>0.53</v>
      </c>
      <c r="K88" s="100">
        <v>100.32</v>
      </c>
      <c r="L88" s="100">
        <v>32.729999999999997</v>
      </c>
      <c r="M88" s="100">
        <v>41.85</v>
      </c>
      <c r="N88" s="100">
        <v>22.6</v>
      </c>
      <c r="O88" s="100">
        <v>0</v>
      </c>
      <c r="P88" s="100">
        <v>0.75</v>
      </c>
      <c r="Q88" s="100">
        <v>27.79</v>
      </c>
      <c r="R88" s="6"/>
      <c r="S88" s="6"/>
      <c r="T88" s="156"/>
      <c r="U88" s="6"/>
    </row>
    <row r="89" spans="1:21" customFormat="1">
      <c r="A89" s="163" t="s">
        <v>608</v>
      </c>
      <c r="B89" s="100">
        <v>3.26</v>
      </c>
      <c r="C89" s="100">
        <v>32.71</v>
      </c>
      <c r="D89" s="100">
        <v>20.38</v>
      </c>
      <c r="E89" s="100">
        <v>3.18</v>
      </c>
      <c r="F89" s="100">
        <v>21.53</v>
      </c>
      <c r="G89" s="100">
        <v>41.41</v>
      </c>
      <c r="H89" s="100">
        <v>25.04</v>
      </c>
      <c r="I89" s="100">
        <v>15.17</v>
      </c>
      <c r="J89" s="100">
        <v>0.55000000000000004</v>
      </c>
      <c r="K89" s="100">
        <v>98.94</v>
      </c>
      <c r="L89" s="100">
        <v>32.35</v>
      </c>
      <c r="M89" s="100">
        <v>44.84</v>
      </c>
      <c r="N89" s="100">
        <v>22.9</v>
      </c>
      <c r="O89" s="100">
        <v>0</v>
      </c>
      <c r="P89" s="100">
        <v>0.8</v>
      </c>
      <c r="Q89" s="100">
        <v>27.88</v>
      </c>
      <c r="R89" s="6"/>
      <c r="S89" s="6"/>
      <c r="T89" s="156"/>
      <c r="U89" s="6"/>
    </row>
    <row r="90" spans="1:21" customFormat="1">
      <c r="A90" s="163" t="s">
        <v>609</v>
      </c>
      <c r="B90" s="100">
        <v>3.96</v>
      </c>
      <c r="C90" s="100">
        <v>35.33</v>
      </c>
      <c r="D90" s="100">
        <v>22.31</v>
      </c>
      <c r="E90" s="100">
        <v>2.74</v>
      </c>
      <c r="F90" s="100">
        <v>7.49</v>
      </c>
      <c r="G90" s="100">
        <v>41.41</v>
      </c>
      <c r="H90" s="100">
        <v>25.04</v>
      </c>
      <c r="I90" s="100">
        <v>14</v>
      </c>
      <c r="J90" s="100">
        <v>0.77</v>
      </c>
      <c r="K90" s="100">
        <v>109.27</v>
      </c>
      <c r="L90" s="100">
        <v>32.049999999999997</v>
      </c>
      <c r="M90" s="100">
        <v>46.08</v>
      </c>
      <c r="N90" s="100">
        <v>22.8</v>
      </c>
      <c r="O90" s="100">
        <v>0</v>
      </c>
      <c r="P90" s="100">
        <v>0.77</v>
      </c>
      <c r="Q90" s="100">
        <v>27.65</v>
      </c>
      <c r="R90" s="6"/>
      <c r="S90" s="6"/>
      <c r="T90" s="156"/>
      <c r="U90" s="6"/>
    </row>
    <row r="91" spans="1:21" customFormat="1">
      <c r="A91" s="163" t="s">
        <v>610</v>
      </c>
      <c r="B91" s="100">
        <v>4.22</v>
      </c>
      <c r="C91" s="100">
        <v>36.47</v>
      </c>
      <c r="D91" s="100">
        <v>23.12</v>
      </c>
      <c r="E91" s="100">
        <v>2.76</v>
      </c>
      <c r="F91" s="100">
        <v>7.69</v>
      </c>
      <c r="G91" s="100">
        <v>41.41</v>
      </c>
      <c r="H91" s="100">
        <v>25.04</v>
      </c>
      <c r="I91" s="100">
        <v>14.08</v>
      </c>
      <c r="J91" s="100">
        <v>0.77</v>
      </c>
      <c r="K91" s="100">
        <v>136.26</v>
      </c>
      <c r="L91" s="100">
        <v>32.01</v>
      </c>
      <c r="M91" s="100">
        <v>46.48</v>
      </c>
      <c r="N91" s="100">
        <v>22.8</v>
      </c>
      <c r="O91" s="100">
        <v>0</v>
      </c>
      <c r="P91" s="100">
        <v>0.81</v>
      </c>
      <c r="Q91" s="100">
        <v>27.56</v>
      </c>
      <c r="R91" s="6"/>
      <c r="S91" s="6"/>
      <c r="T91" s="156"/>
      <c r="U91" s="6"/>
    </row>
    <row r="92" spans="1:21" customFormat="1">
      <c r="A92" s="163" t="s">
        <v>611</v>
      </c>
      <c r="B92" s="100">
        <v>3.96</v>
      </c>
      <c r="C92" s="100">
        <v>32.409999999999997</v>
      </c>
      <c r="D92" s="100">
        <v>20.78</v>
      </c>
      <c r="E92" s="100">
        <v>3.17</v>
      </c>
      <c r="F92" s="100">
        <v>16.600000000000001</v>
      </c>
      <c r="G92" s="100">
        <v>41.37</v>
      </c>
      <c r="H92" s="100">
        <v>23.69</v>
      </c>
      <c r="I92" s="100">
        <v>14</v>
      </c>
      <c r="J92" s="100">
        <v>1.02</v>
      </c>
      <c r="K92" s="100">
        <v>145.5</v>
      </c>
      <c r="L92" s="100">
        <v>31.9</v>
      </c>
      <c r="M92" s="100">
        <v>47.21</v>
      </c>
      <c r="N92" s="100">
        <v>22.5</v>
      </c>
      <c r="O92" s="100">
        <v>0</v>
      </c>
      <c r="P92" s="100">
        <v>0.76</v>
      </c>
      <c r="Q92" s="100">
        <v>27.83</v>
      </c>
      <c r="R92" s="6"/>
      <c r="S92" s="6"/>
      <c r="T92" s="156"/>
      <c r="U92" s="6"/>
    </row>
    <row r="93" spans="1:21" customFormat="1">
      <c r="A93" s="163" t="s">
        <v>612</v>
      </c>
      <c r="B93" s="100">
        <v>3.82</v>
      </c>
      <c r="C93" s="100">
        <v>25.16</v>
      </c>
      <c r="D93" s="100">
        <v>16.89</v>
      </c>
      <c r="E93" s="100">
        <v>3.1</v>
      </c>
      <c r="F93" s="100">
        <v>9.16</v>
      </c>
      <c r="G93" s="100">
        <v>41.34</v>
      </c>
      <c r="H93" s="100">
        <v>22.5</v>
      </c>
      <c r="I93" s="100">
        <v>14.24</v>
      </c>
      <c r="J93" s="100">
        <v>1.04</v>
      </c>
      <c r="K93" s="100">
        <v>196.74</v>
      </c>
      <c r="L93" s="100">
        <v>32.22</v>
      </c>
      <c r="M93" s="100">
        <v>46.8</v>
      </c>
      <c r="N93" s="100">
        <v>22.3</v>
      </c>
      <c r="O93" s="100">
        <v>0</v>
      </c>
      <c r="P93" s="100">
        <v>0.75</v>
      </c>
      <c r="Q93" s="100">
        <v>28.25</v>
      </c>
      <c r="R93" s="6"/>
      <c r="S93" s="6"/>
      <c r="T93" s="156"/>
      <c r="U93" s="6"/>
    </row>
    <row r="94" spans="1:21" customFormat="1">
      <c r="A94" s="163" t="s">
        <v>613</v>
      </c>
      <c r="B94" s="100">
        <v>4.5999999999999996</v>
      </c>
      <c r="C94" s="100">
        <v>29.78</v>
      </c>
      <c r="D94" s="100">
        <v>19.920000000000002</v>
      </c>
      <c r="E94" s="100">
        <v>2.77</v>
      </c>
      <c r="F94" s="100">
        <v>4.4800000000000004</v>
      </c>
      <c r="G94" s="100">
        <v>41.34</v>
      </c>
      <c r="H94" s="100">
        <v>22.5</v>
      </c>
      <c r="I94" s="100">
        <v>13.95</v>
      </c>
      <c r="J94" s="100">
        <v>1.23</v>
      </c>
      <c r="K94" s="100">
        <v>223.33</v>
      </c>
      <c r="L94" s="100">
        <v>31.91</v>
      </c>
      <c r="M94" s="100">
        <v>49.33</v>
      </c>
      <c r="N94" s="100">
        <v>22.8</v>
      </c>
      <c r="O94" s="100">
        <v>0</v>
      </c>
      <c r="P94" s="100">
        <v>0.76</v>
      </c>
      <c r="Q94" s="100">
        <v>28</v>
      </c>
      <c r="R94" s="6"/>
      <c r="S94" s="6"/>
      <c r="T94" s="156"/>
      <c r="U94" s="6"/>
    </row>
    <row r="95" spans="1:21" customFormat="1">
      <c r="A95" s="163" t="s">
        <v>614</v>
      </c>
      <c r="B95" s="100">
        <v>4.84</v>
      </c>
      <c r="C95" s="100">
        <v>29.35</v>
      </c>
      <c r="D95" s="100">
        <v>19.89</v>
      </c>
      <c r="E95" s="100">
        <v>2.5099999999999998</v>
      </c>
      <c r="F95" s="100">
        <v>5.61</v>
      </c>
      <c r="G95" s="100">
        <v>41.34</v>
      </c>
      <c r="H95" s="100">
        <v>22.5</v>
      </c>
      <c r="I95" s="100">
        <v>13.86</v>
      </c>
      <c r="J95" s="100">
        <v>1.26</v>
      </c>
      <c r="K95" s="100">
        <v>212.09</v>
      </c>
      <c r="L95" s="100">
        <v>31.58</v>
      </c>
      <c r="M95" s="100">
        <v>51.19</v>
      </c>
      <c r="N95" s="100">
        <v>23</v>
      </c>
      <c r="O95" s="100">
        <v>0</v>
      </c>
      <c r="P95" s="100">
        <v>0.74</v>
      </c>
      <c r="Q95" s="100">
        <v>28.08</v>
      </c>
      <c r="R95" s="6"/>
      <c r="S95" s="6"/>
      <c r="T95" s="156"/>
      <c r="U95" s="6"/>
    </row>
    <row r="96" spans="1:21" customFormat="1">
      <c r="A96" s="163" t="s">
        <v>615</v>
      </c>
      <c r="B96" s="100">
        <v>5.09</v>
      </c>
      <c r="C96" s="100">
        <v>28.25</v>
      </c>
      <c r="D96" s="100">
        <v>19.52</v>
      </c>
      <c r="E96" s="100">
        <v>2.99</v>
      </c>
      <c r="F96" s="100">
        <v>9.2899999999999991</v>
      </c>
      <c r="G96" s="100">
        <v>48.72</v>
      </c>
      <c r="H96" s="100">
        <v>22.87</v>
      </c>
      <c r="I96" s="100">
        <v>13.85</v>
      </c>
      <c r="J96" s="100">
        <v>1.43</v>
      </c>
      <c r="K96" s="100">
        <v>218.03</v>
      </c>
      <c r="L96" s="100">
        <v>31.35</v>
      </c>
      <c r="M96" s="100">
        <v>51.23</v>
      </c>
      <c r="N96" s="100">
        <v>23.1</v>
      </c>
      <c r="O96" s="100">
        <v>0</v>
      </c>
      <c r="P96" s="100">
        <v>0.71</v>
      </c>
      <c r="Q96" s="100">
        <v>28.12</v>
      </c>
      <c r="R96" s="6"/>
      <c r="S96" s="6"/>
      <c r="T96" s="156"/>
      <c r="U96" s="6"/>
    </row>
    <row r="97" spans="1:28" customFormat="1">
      <c r="A97" s="163" t="s">
        <v>616</v>
      </c>
      <c r="B97" s="100">
        <v>4.78</v>
      </c>
      <c r="C97" s="100">
        <v>24.21</v>
      </c>
      <c r="D97" s="100">
        <v>17.149999999999999</v>
      </c>
      <c r="E97" s="100">
        <v>2.42</v>
      </c>
      <c r="F97" s="100">
        <v>10.220000000000001</v>
      </c>
      <c r="G97" s="100">
        <v>55.18</v>
      </c>
      <c r="H97" s="100">
        <v>23.19</v>
      </c>
      <c r="I97" s="100">
        <v>13.72</v>
      </c>
      <c r="J97" s="100">
        <v>1.07</v>
      </c>
      <c r="K97" s="100">
        <v>202.93</v>
      </c>
      <c r="L97" s="100">
        <v>31.24</v>
      </c>
      <c r="M97" s="100">
        <v>51.08</v>
      </c>
      <c r="N97" s="100">
        <v>23</v>
      </c>
      <c r="O97" s="100">
        <v>0</v>
      </c>
      <c r="P97" s="100">
        <v>0.69</v>
      </c>
      <c r="Q97" s="100">
        <v>28.31</v>
      </c>
      <c r="R97" s="6"/>
      <c r="S97" s="6"/>
      <c r="T97" s="156"/>
      <c r="U97" s="6"/>
    </row>
    <row r="98" spans="1:28" customFormat="1">
      <c r="A98" s="163" t="s">
        <v>617</v>
      </c>
      <c r="B98" s="100">
        <v>4.7</v>
      </c>
      <c r="C98" s="100">
        <v>24.76</v>
      </c>
      <c r="D98" s="100">
        <v>17.38</v>
      </c>
      <c r="E98" s="100">
        <v>2.09</v>
      </c>
      <c r="F98" s="100">
        <v>9.8000000000000007</v>
      </c>
      <c r="G98" s="100">
        <v>55.18</v>
      </c>
      <c r="H98" s="100">
        <v>23.19</v>
      </c>
      <c r="I98" s="100">
        <v>13.37</v>
      </c>
      <c r="J98" s="100">
        <v>1.45</v>
      </c>
      <c r="K98" s="100">
        <v>227.21</v>
      </c>
      <c r="L98" s="100">
        <v>31.36</v>
      </c>
      <c r="M98" s="100">
        <v>49.74</v>
      </c>
      <c r="N98" s="100">
        <v>22.7</v>
      </c>
      <c r="O98" s="100">
        <v>0</v>
      </c>
      <c r="P98" s="100">
        <v>0.69</v>
      </c>
      <c r="Q98" s="100">
        <v>28.29</v>
      </c>
      <c r="R98" s="6"/>
      <c r="S98" s="6"/>
      <c r="T98" s="156"/>
      <c r="U98" s="6"/>
    </row>
    <row r="99" spans="1:28" customFormat="1">
      <c r="A99" s="163" t="s">
        <v>618</v>
      </c>
      <c r="B99" s="100">
        <v>4.79</v>
      </c>
      <c r="C99" s="100">
        <v>26.41</v>
      </c>
      <c r="D99" s="100">
        <v>18.32</v>
      </c>
      <c r="E99" s="100">
        <v>2.0699999999999998</v>
      </c>
      <c r="F99" s="100">
        <v>7.54</v>
      </c>
      <c r="G99" s="100">
        <v>55.18</v>
      </c>
      <c r="H99" s="100">
        <v>23.19</v>
      </c>
      <c r="I99" s="100">
        <v>12.93</v>
      </c>
      <c r="J99" s="100">
        <v>1.63</v>
      </c>
      <c r="K99" s="100">
        <v>226.47</v>
      </c>
      <c r="L99" s="100">
        <v>31.29</v>
      </c>
      <c r="M99" s="100">
        <v>50.32</v>
      </c>
      <c r="N99" s="100">
        <v>23</v>
      </c>
      <c r="O99" s="100">
        <v>0</v>
      </c>
      <c r="P99" s="100">
        <v>0.69</v>
      </c>
      <c r="Q99" s="100">
        <v>28.25</v>
      </c>
      <c r="R99" s="6"/>
      <c r="S99" s="6"/>
      <c r="T99" s="156"/>
      <c r="U99" s="6"/>
    </row>
    <row r="100" spans="1:28" customFormat="1">
      <c r="A100" s="163" t="s">
        <v>619</v>
      </c>
      <c r="B100" s="100">
        <v>4.67</v>
      </c>
      <c r="C100" s="100">
        <v>27.22</v>
      </c>
      <c r="D100" s="100">
        <v>18.64</v>
      </c>
      <c r="E100" s="100">
        <v>1.34</v>
      </c>
      <c r="F100" s="100">
        <v>6.36</v>
      </c>
      <c r="G100" s="100">
        <v>46.65</v>
      </c>
      <c r="H100" s="100">
        <v>23.96</v>
      </c>
      <c r="I100" s="100">
        <v>12.7</v>
      </c>
      <c r="J100" s="100">
        <v>1.8</v>
      </c>
      <c r="K100" s="100">
        <v>219.91</v>
      </c>
      <c r="L100" s="100">
        <v>31.03</v>
      </c>
      <c r="M100" s="100">
        <v>51.14</v>
      </c>
      <c r="N100" s="100">
        <v>23</v>
      </c>
      <c r="O100" s="100">
        <v>0</v>
      </c>
      <c r="P100" s="100">
        <v>0.69</v>
      </c>
      <c r="Q100" s="100">
        <v>28.22</v>
      </c>
      <c r="R100" s="6"/>
      <c r="S100" s="6"/>
      <c r="T100" s="156"/>
      <c r="U100" s="6"/>
      <c r="AB100" s="161"/>
    </row>
    <row r="101" spans="1:28" customFormat="1">
      <c r="A101" s="163" t="s">
        <v>620</v>
      </c>
      <c r="B101" s="100">
        <v>4.3499999999999996</v>
      </c>
      <c r="C101" s="100">
        <v>27.29</v>
      </c>
      <c r="D101" s="100">
        <v>18.420000000000002</v>
      </c>
      <c r="E101" s="100">
        <v>0.36</v>
      </c>
      <c r="F101" s="100">
        <v>7.49</v>
      </c>
      <c r="G101" s="100">
        <v>39.19</v>
      </c>
      <c r="H101" s="100">
        <v>24.62</v>
      </c>
      <c r="I101" s="100">
        <v>12.69</v>
      </c>
      <c r="J101" s="100">
        <v>1.5</v>
      </c>
      <c r="K101" s="100">
        <v>210.84</v>
      </c>
      <c r="L101" s="100">
        <v>31.17</v>
      </c>
      <c r="M101" s="100">
        <v>50.44</v>
      </c>
      <c r="N101" s="100">
        <v>22.8</v>
      </c>
      <c r="O101" s="100">
        <v>0</v>
      </c>
      <c r="P101" s="100">
        <v>0.65</v>
      </c>
      <c r="Q101" s="100">
        <v>28.23</v>
      </c>
      <c r="R101" s="6"/>
      <c r="S101" s="6"/>
      <c r="T101" s="156"/>
      <c r="U101" s="6"/>
    </row>
    <row r="102" spans="1:28" customFormat="1">
      <c r="A102" s="163" t="s">
        <v>621</v>
      </c>
      <c r="B102" s="100">
        <v>4.0999999999999996</v>
      </c>
      <c r="C102" s="100">
        <v>27.22</v>
      </c>
      <c r="D102" s="100">
        <v>18.18</v>
      </c>
      <c r="E102" s="100">
        <v>0.78</v>
      </c>
      <c r="F102" s="100">
        <v>5.22</v>
      </c>
      <c r="G102" s="100">
        <v>39.19</v>
      </c>
      <c r="H102" s="100">
        <v>24.62</v>
      </c>
      <c r="I102" s="100">
        <v>12.48</v>
      </c>
      <c r="J102" s="100">
        <v>3.25</v>
      </c>
      <c r="K102" s="100">
        <v>245.38</v>
      </c>
      <c r="L102" s="100">
        <v>31.14</v>
      </c>
      <c r="M102" s="100">
        <v>47.69</v>
      </c>
      <c r="N102" s="100">
        <v>23.3</v>
      </c>
      <c r="O102" s="100">
        <v>0</v>
      </c>
      <c r="P102" s="100">
        <v>0.67</v>
      </c>
      <c r="Q102" s="100">
        <v>28.27</v>
      </c>
      <c r="R102" s="6"/>
      <c r="S102" s="6"/>
      <c r="T102" s="156"/>
      <c r="U102" s="6"/>
    </row>
    <row r="103" spans="1:28" customFormat="1">
      <c r="A103" s="163" t="s">
        <v>622</v>
      </c>
      <c r="B103" s="100">
        <v>3.43</v>
      </c>
      <c r="C103" s="100">
        <v>27.92</v>
      </c>
      <c r="D103" s="100">
        <v>18.02</v>
      </c>
      <c r="E103" s="100">
        <v>0.71</v>
      </c>
      <c r="F103" s="100">
        <v>4.46</v>
      </c>
      <c r="G103" s="100">
        <v>39.19</v>
      </c>
      <c r="H103" s="100">
        <v>24.62</v>
      </c>
      <c r="I103" s="100">
        <v>12.17</v>
      </c>
      <c r="J103" s="100">
        <v>2.99</v>
      </c>
      <c r="K103" s="100">
        <v>243.77</v>
      </c>
      <c r="L103" s="100">
        <v>30.03</v>
      </c>
      <c r="M103" s="100">
        <v>43.71</v>
      </c>
      <c r="N103" s="100">
        <v>24.9</v>
      </c>
      <c r="O103" s="100">
        <v>0</v>
      </c>
      <c r="P103" s="100">
        <v>0.63</v>
      </c>
      <c r="Q103" s="100">
        <v>28.3</v>
      </c>
      <c r="R103" s="6"/>
      <c r="S103" s="6"/>
      <c r="T103" s="156"/>
      <c r="U103" s="6"/>
    </row>
    <row r="104" spans="1:28" customFormat="1">
      <c r="A104" s="163" t="s">
        <v>623</v>
      </c>
      <c r="B104" s="100">
        <v>2.78</v>
      </c>
      <c r="C104" s="100">
        <v>37.96</v>
      </c>
      <c r="D104" s="100">
        <v>22.74</v>
      </c>
      <c r="E104" s="100">
        <v>1.18</v>
      </c>
      <c r="F104" s="100">
        <v>4.99</v>
      </c>
      <c r="G104" s="100">
        <v>41.65</v>
      </c>
      <c r="H104" s="100">
        <v>20.03</v>
      </c>
      <c r="I104" s="100">
        <v>11.95</v>
      </c>
      <c r="J104" s="100">
        <v>1.21</v>
      </c>
      <c r="K104" s="100">
        <v>238.22</v>
      </c>
      <c r="L104" s="100">
        <v>29.07</v>
      </c>
      <c r="M104" s="100">
        <v>47.32</v>
      </c>
      <c r="N104" s="100">
        <v>24.1</v>
      </c>
      <c r="O104" s="100">
        <v>0</v>
      </c>
      <c r="P104" s="100">
        <v>0.6</v>
      </c>
      <c r="Q104" s="100">
        <v>27.89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1.39</v>
      </c>
      <c r="C106" s="158">
        <f>MIN(C9:C104)</f>
        <v>14.51</v>
      </c>
      <c r="D106" s="158">
        <f t="shared" ref="D106:Q106" si="0">MIN(D9:D104)</f>
        <v>9.3699999999999992</v>
      </c>
      <c r="E106" s="158">
        <f t="shared" si="0"/>
        <v>0.02</v>
      </c>
      <c r="F106" s="158">
        <f t="shared" si="0"/>
        <v>2.31</v>
      </c>
      <c r="G106" s="158">
        <f t="shared" si="0"/>
        <v>28.75</v>
      </c>
      <c r="H106" s="158">
        <f t="shared" si="0"/>
        <v>11.38</v>
      </c>
      <c r="I106" s="158">
        <f t="shared" si="0"/>
        <v>8.15</v>
      </c>
      <c r="J106" s="158">
        <f t="shared" si="0"/>
        <v>0.01</v>
      </c>
      <c r="K106" s="158">
        <f t="shared" si="0"/>
        <v>0.43</v>
      </c>
      <c r="L106" s="158">
        <f t="shared" si="0"/>
        <v>22.8</v>
      </c>
      <c r="M106" s="158">
        <f t="shared" si="0"/>
        <v>20.95</v>
      </c>
      <c r="N106" s="158">
        <f t="shared" si="0"/>
        <v>22.3</v>
      </c>
      <c r="O106" s="158">
        <f t="shared" si="0"/>
        <v>0</v>
      </c>
      <c r="P106" s="158">
        <f t="shared" si="0"/>
        <v>0.41</v>
      </c>
      <c r="Q106" s="158">
        <f t="shared" si="0"/>
        <v>26.17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22.16</v>
      </c>
      <c r="C107" s="157">
        <f t="shared" ref="C107:Q107" si="1">MAX(C9:C104)</f>
        <v>45.29</v>
      </c>
      <c r="D107" s="157">
        <f t="shared" si="1"/>
        <v>39.630000000000003</v>
      </c>
      <c r="E107" s="157">
        <f t="shared" si="1"/>
        <v>4.1399999999999997</v>
      </c>
      <c r="F107" s="157">
        <f t="shared" si="1"/>
        <v>30.43</v>
      </c>
      <c r="G107" s="157">
        <f t="shared" si="1"/>
        <v>59.92</v>
      </c>
      <c r="H107" s="157">
        <f t="shared" si="1"/>
        <v>31.41</v>
      </c>
      <c r="I107" s="157">
        <f t="shared" si="1"/>
        <v>17.75</v>
      </c>
      <c r="J107" s="157">
        <f t="shared" si="1"/>
        <v>3.25</v>
      </c>
      <c r="K107" s="157">
        <f t="shared" si="1"/>
        <v>353.06</v>
      </c>
      <c r="L107" s="157">
        <f t="shared" si="1"/>
        <v>40.1</v>
      </c>
      <c r="M107" s="157">
        <f t="shared" si="1"/>
        <v>87.4</v>
      </c>
      <c r="N107" s="157">
        <f t="shared" si="1"/>
        <v>925.4</v>
      </c>
      <c r="O107" s="157">
        <f t="shared" si="1"/>
        <v>0</v>
      </c>
      <c r="P107" s="157">
        <f t="shared" si="1"/>
        <v>1.0900000000000001</v>
      </c>
      <c r="Q107" s="157">
        <f t="shared" si="1"/>
        <v>29.19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10.504791666666666</v>
      </c>
      <c r="C108" s="158">
        <f t="shared" ref="C108:Q108" si="2">AVERAGE(C9:C104)</f>
        <v>31.247708333333325</v>
      </c>
      <c r="D108" s="158">
        <f t="shared" si="2"/>
        <v>25.426041666666652</v>
      </c>
      <c r="E108" s="158">
        <f t="shared" si="2"/>
        <v>1.3517708333333331</v>
      </c>
      <c r="F108" s="158">
        <f t="shared" si="2"/>
        <v>9.0860416666666666</v>
      </c>
      <c r="G108" s="158">
        <f t="shared" si="2"/>
        <v>40.105937499999989</v>
      </c>
      <c r="H108" s="158">
        <f t="shared" si="2"/>
        <v>19.925000000000001</v>
      </c>
      <c r="I108" s="158">
        <f t="shared" si="2"/>
        <v>11.215520833333334</v>
      </c>
      <c r="J108" s="158">
        <f t="shared" si="2"/>
        <v>1.0203125</v>
      </c>
      <c r="K108" s="158">
        <f t="shared" si="2"/>
        <v>174.74114583333338</v>
      </c>
      <c r="L108" s="158">
        <f t="shared" si="2"/>
        <v>30.182395833333342</v>
      </c>
      <c r="M108" s="158">
        <f t="shared" si="2"/>
        <v>55.308020833333309</v>
      </c>
      <c r="N108" s="158">
        <f t="shared" si="2"/>
        <v>265.41562499999992</v>
      </c>
      <c r="O108" s="158">
        <f t="shared" si="2"/>
        <v>0</v>
      </c>
      <c r="P108" s="158">
        <f t="shared" si="2"/>
        <v>0.56218750000000006</v>
      </c>
      <c r="Q108" s="158">
        <f t="shared" si="2"/>
        <v>27.525833333333328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7.7308611870206585</v>
      </c>
      <c r="C109" s="158">
        <f t="shared" ref="C109:Q109" si="3">STDEV(C9:C104)</f>
        <v>6.9791862712476966</v>
      </c>
      <c r="D109" s="158">
        <f t="shared" si="3"/>
        <v>9.0848569758654243</v>
      </c>
      <c r="E109" s="158">
        <f t="shared" si="3"/>
        <v>1.1026188870537816</v>
      </c>
      <c r="F109" s="158">
        <f t="shared" si="3"/>
        <v>8.0712033250337001</v>
      </c>
      <c r="G109" s="158">
        <f t="shared" si="3"/>
        <v>8.5720050566242119</v>
      </c>
      <c r="H109" s="158">
        <f t="shared" si="3"/>
        <v>4.658051094610256</v>
      </c>
      <c r="I109" s="158">
        <f t="shared" si="3"/>
        <v>1.9490304579141813</v>
      </c>
      <c r="J109" s="158">
        <f t="shared" si="3"/>
        <v>0.55035577607867248</v>
      </c>
      <c r="K109" s="158">
        <f t="shared" si="3"/>
        <v>83.787544343382478</v>
      </c>
      <c r="L109" s="158">
        <f t="shared" si="3"/>
        <v>5.5924456084768384</v>
      </c>
      <c r="M109" s="158">
        <f t="shared" si="3"/>
        <v>22.870579290746054</v>
      </c>
      <c r="N109" s="158">
        <f t="shared" si="3"/>
        <v>332.5872853626073</v>
      </c>
      <c r="O109" s="158">
        <f t="shared" si="3"/>
        <v>0</v>
      </c>
      <c r="P109" s="158">
        <f t="shared" si="3"/>
        <v>0.13235679947936546</v>
      </c>
      <c r="Q109" s="158">
        <f t="shared" si="3"/>
        <v>0.86714979786068336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09" sqref="J10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624</v>
      </c>
      <c r="B9" s="100">
        <v>3.27</v>
      </c>
      <c r="C9" s="100">
        <v>37.82</v>
      </c>
      <c r="D9" s="100">
        <v>23.06</v>
      </c>
      <c r="E9" s="100">
        <v>1.66</v>
      </c>
      <c r="F9" s="100">
        <v>7.89</v>
      </c>
      <c r="G9" s="100">
        <v>43.81</v>
      </c>
      <c r="H9" s="100">
        <v>16</v>
      </c>
      <c r="I9" s="100">
        <v>11.44</v>
      </c>
      <c r="J9" s="100">
        <v>1.08</v>
      </c>
      <c r="K9" s="100">
        <v>17.829999999999998</v>
      </c>
      <c r="L9" s="100">
        <v>29.02</v>
      </c>
      <c r="M9" s="100">
        <v>46.4</v>
      </c>
      <c r="N9" s="100">
        <v>23</v>
      </c>
      <c r="O9" s="100">
        <v>0</v>
      </c>
      <c r="P9" s="100">
        <v>0.56000000000000005</v>
      </c>
      <c r="Q9" s="100">
        <v>27.79</v>
      </c>
      <c r="R9" s="6"/>
      <c r="S9" s="6"/>
      <c r="T9" s="156"/>
      <c r="U9" s="6"/>
    </row>
    <row r="10" spans="1:21" customFormat="1">
      <c r="A10" s="163" t="s">
        <v>625</v>
      </c>
      <c r="B10" s="100">
        <v>3.5</v>
      </c>
      <c r="C10" s="100">
        <v>25.69</v>
      </c>
      <c r="D10" s="100">
        <v>16.899999999999999</v>
      </c>
      <c r="E10" s="100">
        <v>1.58</v>
      </c>
      <c r="F10" s="100">
        <v>6.97</v>
      </c>
      <c r="G10" s="100">
        <v>43.81</v>
      </c>
      <c r="H10" s="100">
        <v>16</v>
      </c>
      <c r="I10" s="100">
        <v>11.12</v>
      </c>
      <c r="J10" s="100">
        <v>1.2</v>
      </c>
      <c r="K10" s="100">
        <v>45.99</v>
      </c>
      <c r="L10" s="100">
        <v>29.48</v>
      </c>
      <c r="M10" s="100">
        <v>40.83</v>
      </c>
      <c r="N10" s="100">
        <v>22.9</v>
      </c>
      <c r="O10" s="100">
        <v>0</v>
      </c>
      <c r="P10" s="100">
        <v>0.54</v>
      </c>
      <c r="Q10" s="100">
        <v>28.26</v>
      </c>
      <c r="R10" s="6"/>
      <c r="S10" s="6"/>
      <c r="T10" s="156"/>
      <c r="U10" s="6"/>
    </row>
    <row r="11" spans="1:21" customFormat="1">
      <c r="A11" s="163" t="s">
        <v>626</v>
      </c>
      <c r="B11" s="100">
        <v>4.0999999999999996</v>
      </c>
      <c r="C11" s="100">
        <v>36.799999999999997</v>
      </c>
      <c r="D11" s="100">
        <v>23.19</v>
      </c>
      <c r="E11" s="100">
        <v>1.39</v>
      </c>
      <c r="F11" s="100">
        <v>4.37</v>
      </c>
      <c r="G11" s="100">
        <v>43.81</v>
      </c>
      <c r="H11" s="100">
        <v>16</v>
      </c>
      <c r="I11" s="100">
        <v>10.74</v>
      </c>
      <c r="J11" s="100">
        <v>1.0900000000000001</v>
      </c>
      <c r="K11" s="100">
        <v>96.21</v>
      </c>
      <c r="L11" s="100">
        <v>29.45</v>
      </c>
      <c r="M11" s="100">
        <v>39.82</v>
      </c>
      <c r="N11" s="100">
        <v>23.1</v>
      </c>
      <c r="O11" s="100">
        <v>0</v>
      </c>
      <c r="P11" s="100">
        <v>0.54</v>
      </c>
      <c r="Q11" s="100">
        <v>27.86</v>
      </c>
      <c r="R11" s="6"/>
      <c r="S11" s="6"/>
      <c r="T11" s="156"/>
      <c r="U11" s="6"/>
    </row>
    <row r="12" spans="1:21" customFormat="1">
      <c r="A12" s="163" t="s">
        <v>627</v>
      </c>
      <c r="B12" s="100">
        <v>4.5999999999999996</v>
      </c>
      <c r="C12" s="100">
        <v>29.34</v>
      </c>
      <c r="D12" s="100">
        <v>19.7</v>
      </c>
      <c r="E12" s="100">
        <v>1.32</v>
      </c>
      <c r="F12" s="100">
        <v>5.93</v>
      </c>
      <c r="G12" s="100">
        <v>38.17</v>
      </c>
      <c r="H12" s="100">
        <v>13.19</v>
      </c>
      <c r="I12" s="100">
        <v>10.37</v>
      </c>
      <c r="J12" s="100">
        <v>0.98</v>
      </c>
      <c r="K12" s="100">
        <v>106.18</v>
      </c>
      <c r="L12" s="100">
        <v>29.48</v>
      </c>
      <c r="M12" s="100">
        <v>39.74</v>
      </c>
      <c r="N12" s="100">
        <v>23.2</v>
      </c>
      <c r="O12" s="100">
        <v>0</v>
      </c>
      <c r="P12" s="100">
        <v>0.52</v>
      </c>
      <c r="Q12" s="100">
        <v>28.19</v>
      </c>
      <c r="R12" s="6"/>
      <c r="S12" s="6"/>
      <c r="T12" s="156"/>
      <c r="U12" s="6"/>
    </row>
    <row r="13" spans="1:21" customFormat="1">
      <c r="A13" s="163" t="s">
        <v>628</v>
      </c>
      <c r="B13" s="100">
        <v>4.92</v>
      </c>
      <c r="C13" s="100">
        <v>30.79</v>
      </c>
      <c r="D13" s="100">
        <v>20.71</v>
      </c>
      <c r="E13" s="100">
        <v>1.59</v>
      </c>
      <c r="F13" s="100">
        <v>8.42</v>
      </c>
      <c r="G13" s="100">
        <v>33.229999999999997</v>
      </c>
      <c r="H13" s="100">
        <v>10.72</v>
      </c>
      <c r="I13" s="100">
        <v>10.48</v>
      </c>
      <c r="J13" s="100">
        <v>0.95</v>
      </c>
      <c r="K13" s="100">
        <v>76.63</v>
      </c>
      <c r="L13" s="100">
        <v>29.3</v>
      </c>
      <c r="M13" s="100">
        <v>39.409999999999997</v>
      </c>
      <c r="N13" s="100">
        <v>23.2</v>
      </c>
      <c r="O13" s="100">
        <v>0</v>
      </c>
      <c r="P13" s="100">
        <v>0.5</v>
      </c>
      <c r="Q13" s="100">
        <v>28.07</v>
      </c>
      <c r="R13" s="6"/>
      <c r="S13" s="6"/>
      <c r="T13" s="156"/>
      <c r="U13" s="6"/>
    </row>
    <row r="14" spans="1:21" customFormat="1">
      <c r="A14" s="163" t="s">
        <v>629</v>
      </c>
      <c r="B14" s="100">
        <v>5.31</v>
      </c>
      <c r="C14" s="100">
        <v>26.86</v>
      </c>
      <c r="D14" s="100">
        <v>18.97</v>
      </c>
      <c r="E14" s="100">
        <v>1.71</v>
      </c>
      <c r="F14" s="100">
        <v>6.09</v>
      </c>
      <c r="G14" s="100">
        <v>33.229999999999997</v>
      </c>
      <c r="H14" s="100">
        <v>10.72</v>
      </c>
      <c r="I14" s="100">
        <v>10.08</v>
      </c>
      <c r="J14" s="100">
        <v>1.0900000000000001</v>
      </c>
      <c r="K14" s="100">
        <v>86.15</v>
      </c>
      <c r="L14" s="100">
        <v>29.02</v>
      </c>
      <c r="M14" s="100">
        <v>42.21</v>
      </c>
      <c r="N14" s="100">
        <v>23.4</v>
      </c>
      <c r="O14" s="100">
        <v>0</v>
      </c>
      <c r="P14" s="100">
        <v>0.53</v>
      </c>
      <c r="Q14" s="100">
        <v>28.17</v>
      </c>
      <c r="R14" s="6"/>
      <c r="S14" s="6"/>
      <c r="T14" s="156"/>
      <c r="U14" s="6"/>
    </row>
    <row r="15" spans="1:21" customFormat="1">
      <c r="A15" s="163" t="s">
        <v>630</v>
      </c>
      <c r="B15" s="100">
        <v>5.69</v>
      </c>
      <c r="C15" s="100">
        <v>26.88</v>
      </c>
      <c r="D15" s="100">
        <v>19.29</v>
      </c>
      <c r="E15" s="100">
        <v>1.58</v>
      </c>
      <c r="F15" s="100">
        <v>4.9400000000000004</v>
      </c>
      <c r="G15" s="100">
        <v>33.229999999999997</v>
      </c>
      <c r="H15" s="100">
        <v>10.72</v>
      </c>
      <c r="I15" s="100">
        <v>10.01</v>
      </c>
      <c r="J15" s="100">
        <v>0.73</v>
      </c>
      <c r="K15" s="100">
        <v>79.099999999999994</v>
      </c>
      <c r="L15" s="100">
        <v>28.83</v>
      </c>
      <c r="M15" s="100">
        <v>43.47</v>
      </c>
      <c r="N15" s="100">
        <v>23.3</v>
      </c>
      <c r="O15" s="100">
        <v>0</v>
      </c>
      <c r="P15" s="100">
        <v>0.53</v>
      </c>
      <c r="Q15" s="100">
        <v>28.14</v>
      </c>
      <c r="R15" s="6"/>
      <c r="S15" s="6"/>
      <c r="T15" s="156"/>
      <c r="U15" s="6"/>
    </row>
    <row r="16" spans="1:21" customFormat="1">
      <c r="A16" s="163" t="s">
        <v>631</v>
      </c>
      <c r="B16" s="100">
        <v>6.1</v>
      </c>
      <c r="C16" s="100">
        <v>28.05</v>
      </c>
      <c r="D16" s="100">
        <v>20.22</v>
      </c>
      <c r="E16" s="100">
        <v>1.8</v>
      </c>
      <c r="F16" s="100">
        <v>5.07</v>
      </c>
      <c r="G16" s="100">
        <v>39.659999999999997</v>
      </c>
      <c r="H16" s="100">
        <v>12.19</v>
      </c>
      <c r="I16" s="100">
        <v>10.01</v>
      </c>
      <c r="J16" s="100">
        <v>1.48</v>
      </c>
      <c r="K16" s="100">
        <v>223.56</v>
      </c>
      <c r="L16" s="100">
        <v>29.19</v>
      </c>
      <c r="M16" s="100">
        <v>41.98</v>
      </c>
      <c r="N16" s="100">
        <v>22.9</v>
      </c>
      <c r="O16" s="100">
        <v>0</v>
      </c>
      <c r="P16" s="100">
        <v>0.53</v>
      </c>
      <c r="Q16" s="100">
        <v>28.06</v>
      </c>
      <c r="R16" s="6"/>
      <c r="S16" s="6"/>
      <c r="T16" s="156"/>
      <c r="U16" s="6"/>
    </row>
    <row r="17" spans="1:21" customFormat="1">
      <c r="A17" s="163" t="s">
        <v>632</v>
      </c>
      <c r="B17" s="100">
        <v>6.39</v>
      </c>
      <c r="C17" s="100">
        <v>28.76</v>
      </c>
      <c r="D17" s="100">
        <v>20.83</v>
      </c>
      <c r="E17" s="100">
        <v>1.4</v>
      </c>
      <c r="F17" s="100">
        <v>3.9</v>
      </c>
      <c r="G17" s="100">
        <v>45.29</v>
      </c>
      <c r="H17" s="100">
        <v>13.48</v>
      </c>
      <c r="I17" s="100">
        <v>9.9600000000000009</v>
      </c>
      <c r="J17" s="100">
        <v>1.3</v>
      </c>
      <c r="K17" s="100">
        <v>199.62</v>
      </c>
      <c r="L17" s="100">
        <v>28.82</v>
      </c>
      <c r="M17" s="100">
        <v>46.16</v>
      </c>
      <c r="N17" s="100">
        <v>23.7</v>
      </c>
      <c r="O17" s="100">
        <v>0</v>
      </c>
      <c r="P17" s="100">
        <v>0.53</v>
      </c>
      <c r="Q17" s="100">
        <v>28.01</v>
      </c>
      <c r="R17" s="6"/>
      <c r="S17" s="6"/>
      <c r="T17" s="156"/>
      <c r="U17" s="6"/>
    </row>
    <row r="18" spans="1:21" customFormat="1">
      <c r="A18" s="163" t="s">
        <v>633</v>
      </c>
      <c r="B18" s="100">
        <v>6.27</v>
      </c>
      <c r="C18" s="100">
        <v>28.52</v>
      </c>
      <c r="D18" s="100">
        <v>20.61</v>
      </c>
      <c r="E18" s="100">
        <v>1.66</v>
      </c>
      <c r="F18" s="100">
        <v>4.8899999999999997</v>
      </c>
      <c r="G18" s="100">
        <v>45.29</v>
      </c>
      <c r="H18" s="100">
        <v>13.48</v>
      </c>
      <c r="I18" s="100">
        <v>9.84</v>
      </c>
      <c r="J18" s="100">
        <v>0.69</v>
      </c>
      <c r="K18" s="100">
        <v>102.19</v>
      </c>
      <c r="L18" s="100">
        <v>28.04</v>
      </c>
      <c r="M18" s="100">
        <v>51.92</v>
      </c>
      <c r="N18" s="100">
        <v>23.6</v>
      </c>
      <c r="O18" s="100">
        <v>0</v>
      </c>
      <c r="P18" s="100">
        <v>0.51</v>
      </c>
      <c r="Q18" s="100">
        <v>28.02</v>
      </c>
      <c r="R18" s="6"/>
      <c r="S18" s="6"/>
      <c r="T18" s="156"/>
      <c r="U18" s="6"/>
    </row>
    <row r="19" spans="1:21" customFormat="1">
      <c r="A19" s="163" t="s">
        <v>634</v>
      </c>
      <c r="B19" s="100">
        <v>6.39</v>
      </c>
      <c r="C19" s="100">
        <v>28.59</v>
      </c>
      <c r="D19" s="100">
        <v>20.74</v>
      </c>
      <c r="E19" s="100">
        <v>1.33</v>
      </c>
      <c r="F19" s="100">
        <v>4.63</v>
      </c>
      <c r="G19" s="100">
        <v>45.29</v>
      </c>
      <c r="H19" s="100">
        <v>13.48</v>
      </c>
      <c r="I19" s="100">
        <v>9.67</v>
      </c>
      <c r="J19" s="100">
        <v>0.18</v>
      </c>
      <c r="K19" s="100">
        <v>326.27</v>
      </c>
      <c r="L19" s="100">
        <v>27.73</v>
      </c>
      <c r="M19" s="100">
        <v>52.48</v>
      </c>
      <c r="N19" s="100">
        <v>23.1</v>
      </c>
      <c r="O19" s="100">
        <v>0</v>
      </c>
      <c r="P19" s="100">
        <v>0.51</v>
      </c>
      <c r="Q19" s="100">
        <v>28.03</v>
      </c>
      <c r="R19" s="6"/>
      <c r="S19" s="6"/>
      <c r="T19" s="156"/>
      <c r="U19" s="6"/>
    </row>
    <row r="20" spans="1:21" customFormat="1">
      <c r="A20" s="163" t="s">
        <v>635</v>
      </c>
      <c r="B20" s="100">
        <v>6.82</v>
      </c>
      <c r="C20" s="100">
        <v>32.799999999999997</v>
      </c>
      <c r="D20" s="100">
        <v>23.28</v>
      </c>
      <c r="E20" s="100">
        <v>1.03</v>
      </c>
      <c r="F20" s="100">
        <v>4.1900000000000004</v>
      </c>
      <c r="G20" s="100">
        <v>43.19</v>
      </c>
      <c r="H20" s="100">
        <v>13.07</v>
      </c>
      <c r="I20" s="100">
        <v>9.41</v>
      </c>
      <c r="J20" s="100">
        <v>1.03</v>
      </c>
      <c r="K20" s="100">
        <v>253.01</v>
      </c>
      <c r="L20" s="100">
        <v>27.78</v>
      </c>
      <c r="M20" s="100">
        <v>52.5</v>
      </c>
      <c r="N20" s="100">
        <v>22.6</v>
      </c>
      <c r="O20" s="100">
        <v>0</v>
      </c>
      <c r="P20" s="100">
        <v>0.49</v>
      </c>
      <c r="Q20" s="100">
        <v>27.78</v>
      </c>
      <c r="R20" s="6"/>
      <c r="S20" s="6"/>
      <c r="T20" s="156"/>
      <c r="U20" s="6"/>
    </row>
    <row r="21" spans="1:21" customFormat="1">
      <c r="A21" s="163" t="s">
        <v>636</v>
      </c>
      <c r="B21" s="100">
        <v>7.52</v>
      </c>
      <c r="C21" s="100">
        <v>47.81</v>
      </c>
      <c r="D21" s="100">
        <v>31.68</v>
      </c>
      <c r="E21" s="100">
        <v>1.35</v>
      </c>
      <c r="F21" s="100">
        <v>2.98</v>
      </c>
      <c r="G21" s="100">
        <v>41.36</v>
      </c>
      <c r="H21" s="100">
        <v>12.71</v>
      </c>
      <c r="I21" s="100">
        <v>9.24</v>
      </c>
      <c r="J21" s="100">
        <v>1.98</v>
      </c>
      <c r="K21" s="100">
        <v>244.75</v>
      </c>
      <c r="L21" s="100">
        <v>27.39</v>
      </c>
      <c r="M21" s="100">
        <v>55.67</v>
      </c>
      <c r="N21" s="100">
        <v>23.3</v>
      </c>
      <c r="O21" s="100">
        <v>0</v>
      </c>
      <c r="P21" s="100">
        <v>0.49</v>
      </c>
      <c r="Q21" s="100">
        <v>27.09</v>
      </c>
      <c r="R21" s="6"/>
      <c r="S21" s="6"/>
      <c r="T21" s="156"/>
      <c r="U21" s="6"/>
    </row>
    <row r="22" spans="1:21" customFormat="1">
      <c r="A22" s="163" t="s">
        <v>637</v>
      </c>
      <c r="B22" s="100">
        <v>7.92</v>
      </c>
      <c r="C22" s="100">
        <v>45.34</v>
      </c>
      <c r="D22" s="100">
        <v>30.72</v>
      </c>
      <c r="E22" s="100">
        <v>1.58</v>
      </c>
      <c r="F22" s="100">
        <v>2.7</v>
      </c>
      <c r="G22" s="100">
        <v>41.36</v>
      </c>
      <c r="H22" s="100">
        <v>12.71</v>
      </c>
      <c r="I22" s="100">
        <v>9.15</v>
      </c>
      <c r="J22" s="100">
        <v>1.41</v>
      </c>
      <c r="K22" s="100">
        <v>234.8</v>
      </c>
      <c r="L22" s="100">
        <v>27.1</v>
      </c>
      <c r="M22" s="100">
        <v>56.47</v>
      </c>
      <c r="N22" s="100">
        <v>23.1</v>
      </c>
      <c r="O22" s="100">
        <v>0</v>
      </c>
      <c r="P22" s="100">
        <v>0.46</v>
      </c>
      <c r="Q22" s="100">
        <v>27.15</v>
      </c>
      <c r="R22" s="6"/>
      <c r="S22" s="6"/>
      <c r="T22" s="156"/>
      <c r="U22" s="6"/>
    </row>
    <row r="23" spans="1:21" customFormat="1">
      <c r="A23" s="163" t="s">
        <v>638</v>
      </c>
      <c r="B23" s="100">
        <v>8.31</v>
      </c>
      <c r="C23" s="100">
        <v>37.14</v>
      </c>
      <c r="D23" s="100">
        <v>26.74</v>
      </c>
      <c r="E23" s="100">
        <v>1.07</v>
      </c>
      <c r="F23" s="100">
        <v>2.69</v>
      </c>
      <c r="G23" s="100">
        <v>41.36</v>
      </c>
      <c r="H23" s="100">
        <v>12.71</v>
      </c>
      <c r="I23" s="100">
        <v>9.2799999999999994</v>
      </c>
      <c r="J23" s="100">
        <v>1.05</v>
      </c>
      <c r="K23" s="100">
        <v>242.23</v>
      </c>
      <c r="L23" s="100">
        <v>27.12</v>
      </c>
      <c r="M23" s="100">
        <v>55.67</v>
      </c>
      <c r="N23" s="100">
        <v>22.6</v>
      </c>
      <c r="O23" s="100">
        <v>0</v>
      </c>
      <c r="P23" s="100">
        <v>0.45</v>
      </c>
      <c r="Q23" s="100">
        <v>27.61</v>
      </c>
      <c r="R23" s="6"/>
      <c r="S23" s="6"/>
      <c r="T23" s="156"/>
      <c r="U23" s="6"/>
    </row>
    <row r="24" spans="1:21" customFormat="1">
      <c r="A24" s="163" t="s">
        <v>639</v>
      </c>
      <c r="B24" s="100">
        <v>8.9</v>
      </c>
      <c r="C24" s="100">
        <v>46.46</v>
      </c>
      <c r="D24" s="100">
        <v>32.090000000000003</v>
      </c>
      <c r="E24" s="100">
        <v>1.33</v>
      </c>
      <c r="F24" s="100">
        <v>2.5299999999999998</v>
      </c>
      <c r="G24" s="100">
        <v>40.28</v>
      </c>
      <c r="H24" s="100">
        <v>14.26</v>
      </c>
      <c r="I24" s="100">
        <v>9.2100000000000009</v>
      </c>
      <c r="J24" s="100">
        <v>0.8</v>
      </c>
      <c r="K24" s="100">
        <v>259.41000000000003</v>
      </c>
      <c r="L24" s="100">
        <v>27.35</v>
      </c>
      <c r="M24" s="100">
        <v>54.54</v>
      </c>
      <c r="N24" s="100">
        <v>22.7</v>
      </c>
      <c r="O24" s="100">
        <v>0</v>
      </c>
      <c r="P24" s="100">
        <v>0.46</v>
      </c>
      <c r="Q24" s="100">
        <v>27.15</v>
      </c>
      <c r="R24" s="6"/>
      <c r="S24" s="6"/>
      <c r="T24" s="156"/>
      <c r="U24" s="6"/>
    </row>
    <row r="25" spans="1:21" customFormat="1">
      <c r="A25" s="163" t="s">
        <v>640</v>
      </c>
      <c r="B25" s="100">
        <v>9.5500000000000007</v>
      </c>
      <c r="C25" s="100">
        <v>46.19</v>
      </c>
      <c r="D25" s="100">
        <v>32.47</v>
      </c>
      <c r="E25" s="100">
        <v>1.26</v>
      </c>
      <c r="F25" s="100">
        <v>2.77</v>
      </c>
      <c r="G25" s="100">
        <v>39.33</v>
      </c>
      <c r="H25" s="100">
        <v>15.61</v>
      </c>
      <c r="I25" s="100">
        <v>9.1</v>
      </c>
      <c r="J25" s="100">
        <v>2.2000000000000002</v>
      </c>
      <c r="K25" s="100">
        <v>242.47</v>
      </c>
      <c r="L25" s="100">
        <v>27.23</v>
      </c>
      <c r="M25" s="100">
        <v>54.76</v>
      </c>
      <c r="N25" s="100">
        <v>22.8</v>
      </c>
      <c r="O25" s="100">
        <v>0</v>
      </c>
      <c r="P25" s="100">
        <v>0.45</v>
      </c>
      <c r="Q25" s="100">
        <v>27.02</v>
      </c>
      <c r="R25" s="6"/>
      <c r="S25" s="6"/>
      <c r="T25" s="156"/>
      <c r="U25" s="6"/>
    </row>
    <row r="26" spans="1:21" customFormat="1">
      <c r="A26" s="163" t="s">
        <v>641</v>
      </c>
      <c r="B26" s="100">
        <v>9.8000000000000007</v>
      </c>
      <c r="C26" s="100">
        <v>41.04</v>
      </c>
      <c r="D26" s="100">
        <v>29.97</v>
      </c>
      <c r="E26" s="100">
        <v>1.74</v>
      </c>
      <c r="F26" s="100">
        <v>2.87</v>
      </c>
      <c r="G26" s="100">
        <v>39.33</v>
      </c>
      <c r="H26" s="100">
        <v>15.61</v>
      </c>
      <c r="I26" s="100">
        <v>9.17</v>
      </c>
      <c r="J26" s="100">
        <v>1.19</v>
      </c>
      <c r="K26" s="100">
        <v>230.86</v>
      </c>
      <c r="L26" s="100">
        <v>27.06</v>
      </c>
      <c r="M26" s="100">
        <v>55.34</v>
      </c>
      <c r="N26" s="100">
        <v>23.2</v>
      </c>
      <c r="O26" s="100">
        <v>0</v>
      </c>
      <c r="P26" s="100">
        <v>0.45</v>
      </c>
      <c r="Q26" s="100">
        <v>27.38</v>
      </c>
      <c r="R26" s="6"/>
      <c r="S26" s="6"/>
      <c r="T26" s="156"/>
      <c r="U26" s="6"/>
    </row>
    <row r="27" spans="1:21" customFormat="1">
      <c r="A27" s="163" t="s">
        <v>642</v>
      </c>
      <c r="B27" s="100">
        <v>10.06</v>
      </c>
      <c r="C27" s="100">
        <v>30.68</v>
      </c>
      <c r="D27" s="100">
        <v>24.77</v>
      </c>
      <c r="E27" s="100">
        <v>0.98</v>
      </c>
      <c r="F27" s="100">
        <v>2.92</v>
      </c>
      <c r="G27" s="100">
        <v>39.33</v>
      </c>
      <c r="H27" s="100">
        <v>15.61</v>
      </c>
      <c r="I27" s="100">
        <v>9.18</v>
      </c>
      <c r="J27" s="100">
        <v>1.1000000000000001</v>
      </c>
      <c r="K27" s="100">
        <v>252.59</v>
      </c>
      <c r="L27" s="100">
        <v>27.28</v>
      </c>
      <c r="M27" s="100">
        <v>52.81</v>
      </c>
      <c r="N27" s="100">
        <v>22.5</v>
      </c>
      <c r="O27" s="100">
        <v>0</v>
      </c>
      <c r="P27" s="100">
        <v>0.46</v>
      </c>
      <c r="Q27" s="100">
        <v>27.77</v>
      </c>
      <c r="R27" s="6"/>
      <c r="S27" s="6"/>
      <c r="T27" s="156"/>
      <c r="U27" s="6"/>
    </row>
    <row r="28" spans="1:21" customFormat="1">
      <c r="A28" s="163" t="s">
        <v>643</v>
      </c>
      <c r="B28" s="100">
        <v>10.31</v>
      </c>
      <c r="C28" s="100">
        <v>29.13</v>
      </c>
      <c r="D28" s="100">
        <v>24.17</v>
      </c>
      <c r="E28" s="100">
        <v>1.1399999999999999</v>
      </c>
      <c r="F28" s="100">
        <v>3.26</v>
      </c>
      <c r="G28" s="100">
        <v>39.090000000000003</v>
      </c>
      <c r="H28" s="100">
        <v>14.64</v>
      </c>
      <c r="I28" s="100">
        <v>9.67</v>
      </c>
      <c r="J28" s="100">
        <v>0.57999999999999996</v>
      </c>
      <c r="K28" s="100">
        <v>91.6</v>
      </c>
      <c r="L28" s="100">
        <v>26.92</v>
      </c>
      <c r="M28" s="100">
        <v>54.75</v>
      </c>
      <c r="N28" s="100">
        <v>23.1</v>
      </c>
      <c r="O28" s="100">
        <v>0</v>
      </c>
      <c r="P28" s="100">
        <v>0.49</v>
      </c>
      <c r="Q28" s="100">
        <v>27.79</v>
      </c>
      <c r="R28" s="6"/>
      <c r="S28" s="6"/>
      <c r="T28" s="156"/>
      <c r="U28" s="6"/>
    </row>
    <row r="29" spans="1:21" customFormat="1">
      <c r="A29" s="163" t="s">
        <v>644</v>
      </c>
      <c r="B29" s="100">
        <v>10.7</v>
      </c>
      <c r="C29" s="100">
        <v>30.35</v>
      </c>
      <c r="D29" s="100">
        <v>25.11</v>
      </c>
      <c r="E29" s="100">
        <v>0.81</v>
      </c>
      <c r="F29" s="100">
        <v>3.16</v>
      </c>
      <c r="G29" s="100">
        <v>38.880000000000003</v>
      </c>
      <c r="H29" s="100">
        <v>13.8</v>
      </c>
      <c r="I29" s="100">
        <v>10.59</v>
      </c>
      <c r="J29" s="100">
        <v>1.1200000000000001</v>
      </c>
      <c r="K29" s="100">
        <v>248.53</v>
      </c>
      <c r="L29" s="100">
        <v>27.05</v>
      </c>
      <c r="M29" s="100">
        <v>52.16</v>
      </c>
      <c r="N29" s="100">
        <v>22.7</v>
      </c>
      <c r="O29" s="100">
        <v>0</v>
      </c>
      <c r="P29" s="100">
        <v>0.47</v>
      </c>
      <c r="Q29" s="100">
        <v>27.69</v>
      </c>
      <c r="R29" s="6"/>
      <c r="S29" s="6"/>
      <c r="T29" s="156"/>
      <c r="U29" s="6"/>
    </row>
    <row r="30" spans="1:21" customFormat="1">
      <c r="A30" s="163" t="s">
        <v>645</v>
      </c>
      <c r="B30" s="100">
        <v>10.78</v>
      </c>
      <c r="C30" s="100">
        <v>30.87</v>
      </c>
      <c r="D30" s="100">
        <v>25.45</v>
      </c>
      <c r="E30" s="100">
        <v>1.53</v>
      </c>
      <c r="F30" s="100">
        <v>2.99</v>
      </c>
      <c r="G30" s="100">
        <v>38.880000000000003</v>
      </c>
      <c r="H30" s="100">
        <v>13.8</v>
      </c>
      <c r="I30" s="100">
        <v>11.12</v>
      </c>
      <c r="J30" s="100">
        <v>0.5</v>
      </c>
      <c r="K30" s="100">
        <v>290.83</v>
      </c>
      <c r="L30" s="100">
        <v>27.07</v>
      </c>
      <c r="M30" s="100">
        <v>51.62</v>
      </c>
      <c r="N30" s="100">
        <v>24.6</v>
      </c>
      <c r="O30" s="100">
        <v>0</v>
      </c>
      <c r="P30" s="100">
        <v>0.49</v>
      </c>
      <c r="Q30" s="100">
        <v>27.62</v>
      </c>
      <c r="R30" s="6"/>
      <c r="S30" s="6"/>
      <c r="T30" s="156"/>
      <c r="U30" s="6"/>
    </row>
    <row r="31" spans="1:21" customFormat="1">
      <c r="A31" s="163" t="s">
        <v>646</v>
      </c>
      <c r="B31" s="100">
        <v>10.93</v>
      </c>
      <c r="C31" s="100">
        <v>30.83</v>
      </c>
      <c r="D31" s="100">
        <v>25.55</v>
      </c>
      <c r="E31" s="100">
        <v>1.46</v>
      </c>
      <c r="F31" s="100">
        <v>3.27</v>
      </c>
      <c r="G31" s="100">
        <v>38.880000000000003</v>
      </c>
      <c r="H31" s="100">
        <v>13.8</v>
      </c>
      <c r="I31" s="100">
        <v>11.23</v>
      </c>
      <c r="J31" s="100">
        <v>0.36</v>
      </c>
      <c r="K31" s="100">
        <v>319.72000000000003</v>
      </c>
      <c r="L31" s="100">
        <v>26.9</v>
      </c>
      <c r="M31" s="100">
        <v>52.7</v>
      </c>
      <c r="N31" s="100">
        <v>35.6</v>
      </c>
      <c r="O31" s="100">
        <v>0</v>
      </c>
      <c r="P31" s="100">
        <v>0.49</v>
      </c>
      <c r="Q31" s="100">
        <v>27.6</v>
      </c>
      <c r="R31" s="6"/>
      <c r="S31" s="6"/>
      <c r="T31" s="156"/>
      <c r="U31" s="6"/>
    </row>
    <row r="32" spans="1:21" customFormat="1">
      <c r="A32" s="163" t="s">
        <v>647</v>
      </c>
      <c r="B32" s="100">
        <v>11.02</v>
      </c>
      <c r="C32" s="100">
        <v>31.52</v>
      </c>
      <c r="D32" s="100">
        <v>25.98</v>
      </c>
      <c r="E32" s="100">
        <v>1.44</v>
      </c>
      <c r="F32" s="100">
        <v>3.53</v>
      </c>
      <c r="G32" s="100">
        <v>39.19</v>
      </c>
      <c r="H32" s="100">
        <v>14.64</v>
      </c>
      <c r="I32" s="100">
        <v>11.24</v>
      </c>
      <c r="J32" s="100">
        <v>0.49</v>
      </c>
      <c r="K32" s="100">
        <v>45.17</v>
      </c>
      <c r="L32" s="100">
        <v>26.86</v>
      </c>
      <c r="M32" s="100">
        <v>54</v>
      </c>
      <c r="N32" s="100">
        <v>47.3</v>
      </c>
      <c r="O32" s="100">
        <v>0</v>
      </c>
      <c r="P32" s="100">
        <v>0.49</v>
      </c>
      <c r="Q32" s="100">
        <v>27.57</v>
      </c>
      <c r="R32" s="6"/>
      <c r="S32" s="6"/>
      <c r="T32" s="156"/>
      <c r="U32" s="6"/>
    </row>
    <row r="33" spans="1:21" customFormat="1">
      <c r="A33" s="163" t="s">
        <v>648</v>
      </c>
      <c r="B33" s="100">
        <v>11.36</v>
      </c>
      <c r="C33" s="100">
        <v>35.07</v>
      </c>
      <c r="D33" s="100">
        <v>28.11</v>
      </c>
      <c r="E33" s="100">
        <v>1.43</v>
      </c>
      <c r="F33" s="100">
        <v>3.57</v>
      </c>
      <c r="G33" s="100">
        <v>39.46</v>
      </c>
      <c r="H33" s="100">
        <v>15.37</v>
      </c>
      <c r="I33" s="100">
        <v>11.19</v>
      </c>
      <c r="J33" s="100">
        <v>1.29</v>
      </c>
      <c r="K33" s="100">
        <v>66.650000000000006</v>
      </c>
      <c r="L33" s="100">
        <v>26.91</v>
      </c>
      <c r="M33" s="100">
        <v>53.78</v>
      </c>
      <c r="N33" s="100">
        <v>60.1</v>
      </c>
      <c r="O33" s="100">
        <v>0</v>
      </c>
      <c r="P33" s="100">
        <v>0.48</v>
      </c>
      <c r="Q33" s="100">
        <v>27.42</v>
      </c>
      <c r="R33" s="6"/>
      <c r="S33" s="6"/>
      <c r="T33" s="156"/>
      <c r="U33" s="6"/>
    </row>
    <row r="34" spans="1:21" customFormat="1">
      <c r="A34" s="163" t="s">
        <v>649</v>
      </c>
      <c r="B34" s="100">
        <v>12.03</v>
      </c>
      <c r="C34" s="100">
        <v>42.99</v>
      </c>
      <c r="D34" s="100">
        <v>32.79</v>
      </c>
      <c r="E34" s="100">
        <v>0.93</v>
      </c>
      <c r="F34" s="100">
        <v>3.03</v>
      </c>
      <c r="G34" s="100">
        <v>39.46</v>
      </c>
      <c r="H34" s="100">
        <v>15.37</v>
      </c>
      <c r="I34" s="100">
        <v>11.09</v>
      </c>
      <c r="J34" s="100">
        <v>1.1499999999999999</v>
      </c>
      <c r="K34" s="100">
        <v>94.1</v>
      </c>
      <c r="L34" s="100">
        <v>27.01</v>
      </c>
      <c r="M34" s="100">
        <v>55.44</v>
      </c>
      <c r="N34" s="100">
        <v>102</v>
      </c>
      <c r="O34" s="100">
        <v>0</v>
      </c>
      <c r="P34" s="100">
        <v>0.47</v>
      </c>
      <c r="Q34" s="100">
        <v>27.03</v>
      </c>
      <c r="R34" s="6"/>
      <c r="S34" s="6"/>
      <c r="T34" s="156"/>
      <c r="U34" s="6"/>
    </row>
    <row r="35" spans="1:21" customFormat="1">
      <c r="A35" s="163" t="s">
        <v>650</v>
      </c>
      <c r="B35" s="100">
        <v>12.54</v>
      </c>
      <c r="C35" s="100">
        <v>44.09</v>
      </c>
      <c r="D35" s="100">
        <v>33.770000000000003</v>
      </c>
      <c r="E35" s="100">
        <v>0.77</v>
      </c>
      <c r="F35" s="100">
        <v>2.69</v>
      </c>
      <c r="G35" s="100">
        <v>39.46</v>
      </c>
      <c r="H35" s="100">
        <v>15.37</v>
      </c>
      <c r="I35" s="100">
        <v>11.08</v>
      </c>
      <c r="J35" s="100">
        <v>1.17</v>
      </c>
      <c r="K35" s="100">
        <v>83.97</v>
      </c>
      <c r="L35" s="100">
        <v>27.9</v>
      </c>
      <c r="M35" s="100">
        <v>52.29</v>
      </c>
      <c r="N35" s="100">
        <v>123.9</v>
      </c>
      <c r="O35" s="100">
        <v>0</v>
      </c>
      <c r="P35" s="100">
        <v>0.46</v>
      </c>
      <c r="Q35" s="100">
        <v>26.89</v>
      </c>
      <c r="R35" s="6"/>
      <c r="S35" s="6"/>
      <c r="T35" s="156"/>
      <c r="U35" s="6"/>
    </row>
    <row r="36" spans="1:21" customFormat="1">
      <c r="A36" s="163" t="s">
        <v>651</v>
      </c>
      <c r="B36" s="100">
        <v>13.23</v>
      </c>
      <c r="C36" s="100">
        <v>43.99</v>
      </c>
      <c r="D36" s="100">
        <v>34.26</v>
      </c>
      <c r="E36" s="100">
        <v>1.27</v>
      </c>
      <c r="F36" s="100">
        <v>2.65</v>
      </c>
      <c r="G36" s="100">
        <v>42.73</v>
      </c>
      <c r="H36" s="100">
        <v>16.29</v>
      </c>
      <c r="I36" s="100">
        <v>11.11</v>
      </c>
      <c r="J36" s="100">
        <v>1.34</v>
      </c>
      <c r="K36" s="100">
        <v>59.58</v>
      </c>
      <c r="L36" s="100">
        <v>28.55</v>
      </c>
      <c r="M36" s="100">
        <v>49.26</v>
      </c>
      <c r="N36" s="100">
        <v>125.3</v>
      </c>
      <c r="O36" s="100">
        <v>0</v>
      </c>
      <c r="P36" s="100">
        <v>0.46</v>
      </c>
      <c r="Q36" s="100">
        <v>26.84</v>
      </c>
      <c r="R36" s="6"/>
      <c r="S36" s="6"/>
      <c r="T36" s="156"/>
      <c r="U36" s="6"/>
    </row>
    <row r="37" spans="1:21" customFormat="1">
      <c r="A37" s="163" t="s">
        <v>652</v>
      </c>
      <c r="B37" s="100">
        <v>14</v>
      </c>
      <c r="C37" s="100">
        <v>42.46</v>
      </c>
      <c r="D37" s="100">
        <v>34.090000000000003</v>
      </c>
      <c r="E37" s="100">
        <v>1.37</v>
      </c>
      <c r="F37" s="100">
        <v>2.4500000000000002</v>
      </c>
      <c r="G37" s="100">
        <v>45.6</v>
      </c>
      <c r="H37" s="100">
        <v>17.09</v>
      </c>
      <c r="I37" s="100">
        <v>11.12</v>
      </c>
      <c r="J37" s="100">
        <v>0.89</v>
      </c>
      <c r="K37" s="100">
        <v>90.52</v>
      </c>
      <c r="L37" s="100">
        <v>29.12</v>
      </c>
      <c r="M37" s="100">
        <v>48.72</v>
      </c>
      <c r="N37" s="100">
        <v>161.6</v>
      </c>
      <c r="O37" s="100">
        <v>0</v>
      </c>
      <c r="P37" s="100">
        <v>0.47</v>
      </c>
      <c r="Q37" s="100">
        <v>26.8</v>
      </c>
      <c r="R37" s="6"/>
      <c r="S37" s="6"/>
      <c r="T37" s="156"/>
      <c r="U37" s="6"/>
    </row>
    <row r="38" spans="1:21" customFormat="1">
      <c r="A38" s="163" t="s">
        <v>653</v>
      </c>
      <c r="B38" s="100">
        <v>14.76</v>
      </c>
      <c r="C38" s="100">
        <v>41.97</v>
      </c>
      <c r="D38" s="100">
        <v>34.44</v>
      </c>
      <c r="E38" s="100">
        <v>1.36</v>
      </c>
      <c r="F38" s="100">
        <v>2.48</v>
      </c>
      <c r="G38" s="100">
        <v>45.6</v>
      </c>
      <c r="H38" s="100">
        <v>17.09</v>
      </c>
      <c r="I38" s="100">
        <v>11.07</v>
      </c>
      <c r="J38" s="100">
        <v>0.91</v>
      </c>
      <c r="K38" s="100">
        <v>93.25</v>
      </c>
      <c r="L38" s="100">
        <v>30.04</v>
      </c>
      <c r="M38" s="100">
        <v>45.06</v>
      </c>
      <c r="N38" s="100">
        <v>215.5</v>
      </c>
      <c r="O38" s="100">
        <v>0</v>
      </c>
      <c r="P38" s="100">
        <v>0.48</v>
      </c>
      <c r="Q38" s="100">
        <v>26.8</v>
      </c>
      <c r="R38" s="6"/>
      <c r="S38" s="6"/>
      <c r="T38" s="156"/>
      <c r="U38" s="6"/>
    </row>
    <row r="39" spans="1:21" customFormat="1">
      <c r="A39" s="163" t="s">
        <v>654</v>
      </c>
      <c r="B39" s="100">
        <v>14.95</v>
      </c>
      <c r="C39" s="100">
        <v>40.18</v>
      </c>
      <c r="D39" s="100">
        <v>33.659999999999997</v>
      </c>
      <c r="E39" s="100">
        <v>1.52</v>
      </c>
      <c r="F39" s="100">
        <v>3.29</v>
      </c>
      <c r="G39" s="100">
        <v>45.6</v>
      </c>
      <c r="H39" s="100">
        <v>17.09</v>
      </c>
      <c r="I39" s="100">
        <v>11.15</v>
      </c>
      <c r="J39" s="100">
        <v>0.79</v>
      </c>
      <c r="K39" s="100">
        <v>150.09</v>
      </c>
      <c r="L39" s="100">
        <v>30.43</v>
      </c>
      <c r="M39" s="100">
        <v>44.5</v>
      </c>
      <c r="N39" s="100">
        <v>148.6</v>
      </c>
      <c r="O39" s="100">
        <v>0</v>
      </c>
      <c r="P39" s="100">
        <v>0.5</v>
      </c>
      <c r="Q39" s="100">
        <v>26.86</v>
      </c>
      <c r="R39" s="6"/>
      <c r="S39" s="6"/>
      <c r="T39" s="156"/>
      <c r="U39" s="6"/>
    </row>
    <row r="40" spans="1:21" customFormat="1">
      <c r="A40" s="163" t="s">
        <v>655</v>
      </c>
      <c r="B40" s="100">
        <v>15.15</v>
      </c>
      <c r="C40" s="100">
        <v>33.380000000000003</v>
      </c>
      <c r="D40" s="100">
        <v>30.26</v>
      </c>
      <c r="E40" s="100">
        <v>2.5499999999999998</v>
      </c>
      <c r="F40" s="100">
        <v>6.18</v>
      </c>
      <c r="G40" s="100">
        <v>61.07</v>
      </c>
      <c r="H40" s="100">
        <v>23.1</v>
      </c>
      <c r="I40" s="100">
        <v>11.25</v>
      </c>
      <c r="J40" s="100">
        <v>0.54</v>
      </c>
      <c r="K40" s="100">
        <v>118.23</v>
      </c>
      <c r="L40" s="100">
        <v>30.78</v>
      </c>
      <c r="M40" s="100">
        <v>42.19</v>
      </c>
      <c r="N40" s="100">
        <v>177.8</v>
      </c>
      <c r="O40" s="100">
        <v>0</v>
      </c>
      <c r="P40" s="100">
        <v>0.55000000000000004</v>
      </c>
      <c r="Q40" s="100">
        <v>27.06</v>
      </c>
      <c r="R40" s="6"/>
      <c r="S40" s="6"/>
      <c r="T40" s="156"/>
      <c r="U40" s="6"/>
    </row>
    <row r="41" spans="1:21" customFormat="1">
      <c r="A41" s="163" t="s">
        <v>656</v>
      </c>
      <c r="B41" s="100">
        <v>15</v>
      </c>
      <c r="C41" s="100">
        <v>30.49</v>
      </c>
      <c r="D41" s="100">
        <v>28.63</v>
      </c>
      <c r="E41" s="100">
        <v>2.2599999999999998</v>
      </c>
      <c r="F41" s="100">
        <v>5.96</v>
      </c>
      <c r="G41" s="100">
        <v>74.61</v>
      </c>
      <c r="H41" s="100">
        <v>28.36</v>
      </c>
      <c r="I41" s="100">
        <v>11.46</v>
      </c>
      <c r="J41" s="100">
        <v>1.21</v>
      </c>
      <c r="K41" s="100">
        <v>213.11</v>
      </c>
      <c r="L41" s="100">
        <v>31.24</v>
      </c>
      <c r="M41" s="100">
        <v>39.729999999999997</v>
      </c>
      <c r="N41" s="100">
        <v>371.8</v>
      </c>
      <c r="O41" s="100">
        <v>0</v>
      </c>
      <c r="P41" s="100">
        <v>0.54</v>
      </c>
      <c r="Q41" s="100">
        <v>27.22</v>
      </c>
      <c r="R41" s="6"/>
      <c r="S41" s="6"/>
      <c r="T41" s="156"/>
      <c r="U41" s="6"/>
    </row>
    <row r="42" spans="1:21" customFormat="1">
      <c r="A42" s="163" t="s">
        <v>657</v>
      </c>
      <c r="B42" s="100">
        <v>15.07</v>
      </c>
      <c r="C42" s="100">
        <v>29.99</v>
      </c>
      <c r="D42" s="100">
        <v>28.43</v>
      </c>
      <c r="E42" s="100">
        <v>2.19</v>
      </c>
      <c r="F42" s="100">
        <v>5.03</v>
      </c>
      <c r="G42" s="100">
        <v>74.61</v>
      </c>
      <c r="H42" s="100">
        <v>28.36</v>
      </c>
      <c r="I42" s="100">
        <v>11.8</v>
      </c>
      <c r="J42" s="100">
        <v>1.46</v>
      </c>
      <c r="K42" s="100">
        <v>197.42</v>
      </c>
      <c r="L42" s="100">
        <v>31.82</v>
      </c>
      <c r="M42" s="100">
        <v>38.369999999999997</v>
      </c>
      <c r="N42" s="100">
        <v>401</v>
      </c>
      <c r="O42" s="100">
        <v>0</v>
      </c>
      <c r="P42" s="100">
        <v>0.56000000000000005</v>
      </c>
      <c r="Q42" s="100">
        <v>27.28</v>
      </c>
      <c r="R42" s="6"/>
      <c r="S42" s="6"/>
      <c r="T42" s="156"/>
      <c r="U42" s="6"/>
    </row>
    <row r="43" spans="1:21" customFormat="1">
      <c r="A43" s="163" t="s">
        <v>658</v>
      </c>
      <c r="B43" s="100">
        <v>14.57</v>
      </c>
      <c r="C43" s="100">
        <v>30.27</v>
      </c>
      <c r="D43" s="100">
        <v>28.17</v>
      </c>
      <c r="E43" s="100">
        <v>1.72</v>
      </c>
      <c r="F43" s="100">
        <v>4.8899999999999997</v>
      </c>
      <c r="G43" s="100">
        <v>74.61</v>
      </c>
      <c r="H43" s="100">
        <v>28.36</v>
      </c>
      <c r="I43" s="100">
        <v>11.72</v>
      </c>
      <c r="J43" s="100">
        <v>1.69</v>
      </c>
      <c r="K43" s="100">
        <v>240.78</v>
      </c>
      <c r="L43" s="100">
        <v>32.17</v>
      </c>
      <c r="M43" s="100">
        <v>36.56</v>
      </c>
      <c r="N43" s="100">
        <v>232.8</v>
      </c>
      <c r="O43" s="100">
        <v>0</v>
      </c>
      <c r="P43" s="100">
        <v>0.59</v>
      </c>
      <c r="Q43" s="100">
        <v>27.3</v>
      </c>
      <c r="R43" s="6"/>
      <c r="S43" s="6"/>
      <c r="T43" s="156"/>
      <c r="U43" s="6"/>
    </row>
    <row r="44" spans="1:21" customFormat="1">
      <c r="A44" s="163" t="s">
        <v>659</v>
      </c>
      <c r="B44" s="100">
        <v>14.35</v>
      </c>
      <c r="C44" s="100">
        <v>31.64</v>
      </c>
      <c r="D44" s="100">
        <v>28.71</v>
      </c>
      <c r="E44" s="100">
        <v>1.81</v>
      </c>
      <c r="F44" s="100">
        <v>4.55</v>
      </c>
      <c r="G44" s="100">
        <v>84.16</v>
      </c>
      <c r="H44" s="100">
        <v>28.5</v>
      </c>
      <c r="I44" s="100">
        <v>11.77</v>
      </c>
      <c r="J44" s="100">
        <v>1.76</v>
      </c>
      <c r="K44" s="100">
        <v>238.43</v>
      </c>
      <c r="L44" s="100">
        <v>32.22</v>
      </c>
      <c r="M44" s="100">
        <v>35.869999999999997</v>
      </c>
      <c r="N44" s="100">
        <v>226.2</v>
      </c>
      <c r="O44" s="100">
        <v>0</v>
      </c>
      <c r="P44" s="100">
        <v>0.6</v>
      </c>
      <c r="Q44" s="100">
        <v>27.31</v>
      </c>
      <c r="R44" s="6"/>
      <c r="S44" s="6"/>
      <c r="T44" s="156"/>
      <c r="U44" s="6"/>
    </row>
    <row r="45" spans="1:21" customFormat="1">
      <c r="A45" s="163" t="s">
        <v>660</v>
      </c>
      <c r="B45" s="100">
        <v>13.63</v>
      </c>
      <c r="C45" s="100">
        <v>31.2</v>
      </c>
      <c r="D45" s="100">
        <v>27.9</v>
      </c>
      <c r="E45" s="100">
        <v>1.94</v>
      </c>
      <c r="F45" s="100">
        <v>8.5399999999999991</v>
      </c>
      <c r="G45" s="100">
        <v>92.51</v>
      </c>
      <c r="H45" s="100">
        <v>28.62</v>
      </c>
      <c r="I45" s="100">
        <v>12.01</v>
      </c>
      <c r="J45" s="100">
        <v>0.94</v>
      </c>
      <c r="K45" s="100">
        <v>195.16</v>
      </c>
      <c r="L45" s="100">
        <v>32.44</v>
      </c>
      <c r="M45" s="100">
        <v>35.979999999999997</v>
      </c>
      <c r="N45" s="100">
        <v>203.5</v>
      </c>
      <c r="O45" s="100">
        <v>0</v>
      </c>
      <c r="P45" s="100">
        <v>0.6</v>
      </c>
      <c r="Q45" s="100">
        <v>27.37</v>
      </c>
      <c r="R45" s="6"/>
      <c r="S45" s="6"/>
      <c r="T45" s="156"/>
      <c r="U45" s="6"/>
    </row>
    <row r="46" spans="1:21" customFormat="1">
      <c r="A46" s="163" t="s">
        <v>661</v>
      </c>
      <c r="B46" s="100">
        <v>12.17</v>
      </c>
      <c r="C46" s="100">
        <v>31.11</v>
      </c>
      <c r="D46" s="100">
        <v>26.69</v>
      </c>
      <c r="E46" s="100">
        <v>1.87</v>
      </c>
      <c r="F46" s="100">
        <v>6.55</v>
      </c>
      <c r="G46" s="100">
        <v>92.51</v>
      </c>
      <c r="H46" s="100">
        <v>28.62</v>
      </c>
      <c r="I46" s="100">
        <v>12.01</v>
      </c>
      <c r="J46" s="100">
        <v>1.06</v>
      </c>
      <c r="K46" s="100">
        <v>166.98</v>
      </c>
      <c r="L46" s="100">
        <v>32.07</v>
      </c>
      <c r="M46" s="100">
        <v>39.97</v>
      </c>
      <c r="N46" s="100">
        <v>163.4</v>
      </c>
      <c r="O46" s="100">
        <v>0</v>
      </c>
      <c r="P46" s="100">
        <v>0.6</v>
      </c>
      <c r="Q46" s="100">
        <v>27.4</v>
      </c>
      <c r="R46" s="6"/>
      <c r="S46" s="6"/>
      <c r="T46" s="156"/>
      <c r="U46" s="6"/>
    </row>
    <row r="47" spans="1:21" customFormat="1">
      <c r="A47" s="163" t="s">
        <v>662</v>
      </c>
      <c r="B47" s="100">
        <v>12.26</v>
      </c>
      <c r="C47" s="100">
        <v>34.24</v>
      </c>
      <c r="D47" s="100">
        <v>28.4</v>
      </c>
      <c r="E47" s="100">
        <v>2.85</v>
      </c>
      <c r="F47" s="100">
        <v>5.18</v>
      </c>
      <c r="G47" s="100">
        <v>92.51</v>
      </c>
      <c r="H47" s="100">
        <v>28.62</v>
      </c>
      <c r="I47" s="100">
        <v>11.8</v>
      </c>
      <c r="J47" s="100">
        <v>1.29</v>
      </c>
      <c r="K47" s="100">
        <v>213.11</v>
      </c>
      <c r="L47" s="100">
        <v>32.200000000000003</v>
      </c>
      <c r="M47" s="100">
        <v>38.17</v>
      </c>
      <c r="N47" s="100">
        <v>380</v>
      </c>
      <c r="O47" s="100">
        <v>0</v>
      </c>
      <c r="P47" s="100">
        <v>0.59</v>
      </c>
      <c r="Q47" s="100">
        <v>27.33</v>
      </c>
      <c r="R47" s="6"/>
      <c r="S47" s="6"/>
      <c r="T47" s="156"/>
      <c r="U47" s="6"/>
    </row>
    <row r="48" spans="1:21" customFormat="1">
      <c r="A48" s="163" t="s">
        <v>663</v>
      </c>
      <c r="B48" s="100">
        <v>11.85</v>
      </c>
      <c r="C48" s="100">
        <v>35.54</v>
      </c>
      <c r="D48" s="100">
        <v>28.74</v>
      </c>
      <c r="E48" s="100">
        <v>2.77</v>
      </c>
      <c r="F48" s="100">
        <v>4.3600000000000003</v>
      </c>
      <c r="G48" s="100">
        <v>84.33</v>
      </c>
      <c r="H48" s="100">
        <v>29.08</v>
      </c>
      <c r="I48" s="100">
        <v>11.75</v>
      </c>
      <c r="J48" s="100">
        <v>0.77</v>
      </c>
      <c r="K48" s="100">
        <v>210.15</v>
      </c>
      <c r="L48" s="100">
        <v>33.06</v>
      </c>
      <c r="M48" s="100">
        <v>36.1</v>
      </c>
      <c r="N48" s="100">
        <v>805.3</v>
      </c>
      <c r="O48" s="100">
        <v>0</v>
      </c>
      <c r="P48" s="100">
        <v>0.57999999999999996</v>
      </c>
      <c r="Q48" s="100">
        <v>27.34</v>
      </c>
      <c r="R48" s="6"/>
      <c r="S48" s="6"/>
      <c r="T48" s="156"/>
      <c r="U48" s="6"/>
    </row>
    <row r="49" spans="1:21" customFormat="1">
      <c r="A49" s="163" t="s">
        <v>664</v>
      </c>
      <c r="B49" s="100">
        <v>11.03</v>
      </c>
      <c r="C49" s="100">
        <v>35.46</v>
      </c>
      <c r="D49" s="100">
        <v>28.05</v>
      </c>
      <c r="E49" s="100">
        <v>2.52</v>
      </c>
      <c r="F49" s="100">
        <v>4.6500000000000004</v>
      </c>
      <c r="G49" s="100">
        <v>77.17</v>
      </c>
      <c r="H49" s="100">
        <v>29.48</v>
      </c>
      <c r="I49" s="100">
        <v>11.81</v>
      </c>
      <c r="J49" s="100">
        <v>1.07</v>
      </c>
      <c r="K49" s="100">
        <v>216.56</v>
      </c>
      <c r="L49" s="100">
        <v>33.94</v>
      </c>
      <c r="M49" s="100">
        <v>31.03</v>
      </c>
      <c r="N49" s="100">
        <v>781.9</v>
      </c>
      <c r="O49" s="100">
        <v>0</v>
      </c>
      <c r="P49" s="100">
        <v>0.56999999999999995</v>
      </c>
      <c r="Q49" s="100">
        <v>27.43</v>
      </c>
      <c r="R49" s="6"/>
      <c r="S49" s="6"/>
      <c r="T49" s="156"/>
      <c r="U49" s="6"/>
    </row>
    <row r="50" spans="1:21" customFormat="1">
      <c r="A50" s="163" t="s">
        <v>665</v>
      </c>
      <c r="B50" s="100">
        <v>9.98</v>
      </c>
      <c r="C50" s="100">
        <v>34.22</v>
      </c>
      <c r="D50" s="100">
        <v>26.56</v>
      </c>
      <c r="E50" s="100">
        <v>2.54</v>
      </c>
      <c r="F50" s="100">
        <v>5.3</v>
      </c>
      <c r="G50" s="100">
        <v>77.17</v>
      </c>
      <c r="H50" s="100">
        <v>29.48</v>
      </c>
      <c r="I50" s="100">
        <v>11.85</v>
      </c>
      <c r="J50" s="100">
        <v>0.91</v>
      </c>
      <c r="K50" s="100">
        <v>180.9</v>
      </c>
      <c r="L50" s="100">
        <v>34.729999999999997</v>
      </c>
      <c r="M50" s="100">
        <v>30.16</v>
      </c>
      <c r="N50" s="100">
        <v>684.1</v>
      </c>
      <c r="O50" s="100">
        <v>0</v>
      </c>
      <c r="P50" s="100">
        <v>0.57999999999999996</v>
      </c>
      <c r="Q50" s="100">
        <v>27.53</v>
      </c>
      <c r="R50" s="6"/>
      <c r="S50" s="6"/>
      <c r="T50" s="156"/>
      <c r="U50" s="6"/>
    </row>
    <row r="51" spans="1:21" customFormat="1">
      <c r="A51" s="163" t="s">
        <v>666</v>
      </c>
      <c r="B51" s="100">
        <v>8.83</v>
      </c>
      <c r="C51" s="100">
        <v>33.57</v>
      </c>
      <c r="D51" s="100">
        <v>25.3</v>
      </c>
      <c r="E51" s="100">
        <v>2.31</v>
      </c>
      <c r="F51" s="100">
        <v>6.95</v>
      </c>
      <c r="G51" s="100">
        <v>77.17</v>
      </c>
      <c r="H51" s="100">
        <v>29.48</v>
      </c>
      <c r="I51" s="100">
        <v>11.91</v>
      </c>
      <c r="J51" s="100">
        <v>0.6</v>
      </c>
      <c r="K51" s="100">
        <v>192.92</v>
      </c>
      <c r="L51" s="100">
        <v>35</v>
      </c>
      <c r="M51" s="100">
        <v>31.41</v>
      </c>
      <c r="N51" s="100">
        <v>618.20000000000005</v>
      </c>
      <c r="O51" s="100">
        <v>0</v>
      </c>
      <c r="P51" s="100">
        <v>0.6</v>
      </c>
      <c r="Q51" s="100">
        <v>27.62</v>
      </c>
      <c r="R51" s="6"/>
      <c r="S51" s="6"/>
      <c r="T51" s="156"/>
      <c r="U51" s="6"/>
    </row>
    <row r="52" spans="1:21" customFormat="1">
      <c r="A52" s="163" t="s">
        <v>667</v>
      </c>
      <c r="B52" s="100">
        <v>7.02</v>
      </c>
      <c r="C52" s="100">
        <v>36.72</v>
      </c>
      <c r="D52" s="100">
        <v>25.5</v>
      </c>
      <c r="E52" s="100">
        <v>0</v>
      </c>
      <c r="F52" s="100">
        <v>12.92</v>
      </c>
      <c r="G52" s="100">
        <v>64.8</v>
      </c>
      <c r="H52" s="100">
        <v>27.74</v>
      </c>
      <c r="I52" s="100">
        <v>12.02</v>
      </c>
      <c r="J52" s="100">
        <v>0.99</v>
      </c>
      <c r="K52" s="100">
        <v>340.7</v>
      </c>
      <c r="L52" s="100">
        <v>35.020000000000003</v>
      </c>
      <c r="M52" s="100">
        <v>29.73</v>
      </c>
      <c r="N52" s="100">
        <v>376.6</v>
      </c>
      <c r="O52" s="100">
        <v>0</v>
      </c>
      <c r="P52" s="100">
        <v>0.64</v>
      </c>
      <c r="Q52" s="100">
        <v>27.66</v>
      </c>
      <c r="R52" s="6"/>
      <c r="S52" s="6"/>
      <c r="T52" s="156"/>
      <c r="U52" s="6"/>
    </row>
    <row r="53" spans="1:21" customFormat="1">
      <c r="A53" s="163" t="s">
        <v>668</v>
      </c>
      <c r="B53" s="100">
        <v>6.32</v>
      </c>
      <c r="C53" s="100">
        <v>38.549999999999997</v>
      </c>
      <c r="D53" s="100">
        <v>25.88</v>
      </c>
      <c r="E53" s="100">
        <v>2.4500000000000002</v>
      </c>
      <c r="F53" s="100">
        <v>18.97</v>
      </c>
      <c r="G53" s="100">
        <v>51.12</v>
      </c>
      <c r="H53" s="100">
        <v>25.77</v>
      </c>
      <c r="I53" s="100">
        <v>12.23</v>
      </c>
      <c r="J53" s="100">
        <v>0.56999999999999995</v>
      </c>
      <c r="K53" s="100">
        <v>210.29</v>
      </c>
      <c r="L53" s="100">
        <v>35.130000000000003</v>
      </c>
      <c r="M53" s="100">
        <v>29.4</v>
      </c>
      <c r="N53" s="100">
        <v>643.79999999999995</v>
      </c>
      <c r="O53" s="100">
        <v>0</v>
      </c>
      <c r="P53" s="100">
        <v>0.59</v>
      </c>
      <c r="Q53" s="100">
        <v>27.73</v>
      </c>
      <c r="R53" s="6"/>
      <c r="S53" s="6"/>
      <c r="T53" s="156"/>
      <c r="U53" s="6"/>
    </row>
    <row r="54" spans="1:21" customFormat="1">
      <c r="A54" s="163" t="s">
        <v>669</v>
      </c>
      <c r="B54" s="100">
        <v>0.23</v>
      </c>
      <c r="C54" s="100">
        <v>3.82</v>
      </c>
      <c r="D54" s="100">
        <v>2.73</v>
      </c>
      <c r="E54" s="100">
        <v>5.51</v>
      </c>
      <c r="F54" s="100">
        <v>33.75</v>
      </c>
      <c r="G54" s="100">
        <v>51.12</v>
      </c>
      <c r="H54" s="100">
        <v>25.77</v>
      </c>
      <c r="I54" s="100">
        <v>12.49</v>
      </c>
      <c r="J54" s="100">
        <v>1.04</v>
      </c>
      <c r="K54" s="100">
        <v>285.8</v>
      </c>
      <c r="L54" s="100">
        <v>36.369999999999997</v>
      </c>
      <c r="M54" s="100">
        <v>26.79</v>
      </c>
      <c r="N54" s="100">
        <v>950.5</v>
      </c>
      <c r="O54" s="100">
        <v>0</v>
      </c>
      <c r="P54" s="100">
        <v>0.64</v>
      </c>
      <c r="Q54" s="100">
        <v>28.13</v>
      </c>
      <c r="R54" s="6"/>
      <c r="S54" s="6"/>
      <c r="T54" s="156"/>
      <c r="U54" s="6"/>
    </row>
    <row r="55" spans="1:21" customFormat="1">
      <c r="A55" s="163" t="s">
        <v>670</v>
      </c>
      <c r="B55" s="100">
        <v>-0.3</v>
      </c>
      <c r="C55" s="100">
        <v>3.84</v>
      </c>
      <c r="D55" s="100">
        <v>1.77</v>
      </c>
      <c r="E55" s="100">
        <v>4.74</v>
      </c>
      <c r="F55" s="100">
        <v>23.53</v>
      </c>
      <c r="G55" s="100">
        <v>51.12</v>
      </c>
      <c r="H55" s="100">
        <v>25.77</v>
      </c>
      <c r="I55" s="100">
        <v>12.56</v>
      </c>
      <c r="J55" s="100">
        <v>2.37</v>
      </c>
      <c r="K55" s="100">
        <v>225.23</v>
      </c>
      <c r="L55" s="100">
        <v>36.76</v>
      </c>
      <c r="M55" s="100">
        <v>26.26</v>
      </c>
      <c r="N55" s="100">
        <v>891.9</v>
      </c>
      <c r="O55" s="100">
        <v>0</v>
      </c>
      <c r="P55" s="100">
        <v>0.66</v>
      </c>
      <c r="Q55" s="100">
        <v>28.26</v>
      </c>
      <c r="R55" s="6"/>
      <c r="S55" s="6"/>
      <c r="T55" s="156"/>
      <c r="U55" s="6"/>
    </row>
    <row r="56" spans="1:21" customFormat="1">
      <c r="A56" s="163" t="s">
        <v>671</v>
      </c>
      <c r="B56" s="100">
        <v>163.74</v>
      </c>
      <c r="C56" s="100">
        <v>-6.44</v>
      </c>
      <c r="D56" s="100">
        <v>127.94</v>
      </c>
      <c r="E56" s="100">
        <v>2.73</v>
      </c>
      <c r="F56" s="100">
        <v>28.47</v>
      </c>
      <c r="G56" s="100">
        <v>51.12</v>
      </c>
      <c r="H56" s="100">
        <v>25.77</v>
      </c>
      <c r="I56" s="100">
        <v>12.66</v>
      </c>
      <c r="J56" s="100">
        <v>1.18</v>
      </c>
      <c r="K56" s="100">
        <v>226.6</v>
      </c>
      <c r="L56" s="100">
        <v>36.630000000000003</v>
      </c>
      <c r="M56" s="100">
        <v>26.79</v>
      </c>
      <c r="N56" s="100">
        <v>881.6</v>
      </c>
      <c r="O56" s="100">
        <v>0</v>
      </c>
      <c r="P56" s="100">
        <v>0.66</v>
      </c>
      <c r="Q56" s="100">
        <v>28.18</v>
      </c>
      <c r="R56" s="6"/>
      <c r="S56" s="6"/>
      <c r="T56" s="156"/>
      <c r="U56" s="6"/>
    </row>
    <row r="57" spans="1:21" customFormat="1">
      <c r="A57" s="163" t="s">
        <v>672</v>
      </c>
      <c r="B57" s="100">
        <v>217.09</v>
      </c>
      <c r="C57" s="100">
        <v>-9.93</v>
      </c>
      <c r="D57" s="100">
        <v>182.99</v>
      </c>
      <c r="E57" s="100">
        <v>2.99</v>
      </c>
      <c r="F57" s="100">
        <v>22.76</v>
      </c>
      <c r="G57" s="100">
        <v>51.12</v>
      </c>
      <c r="H57" s="100">
        <v>25.77</v>
      </c>
      <c r="I57" s="100">
        <v>12.87</v>
      </c>
      <c r="J57" s="100">
        <v>2.2000000000000002</v>
      </c>
      <c r="K57" s="100">
        <v>235.78</v>
      </c>
      <c r="L57" s="100">
        <v>37.090000000000003</v>
      </c>
      <c r="M57" s="100">
        <v>27.72</v>
      </c>
      <c r="N57" s="100">
        <v>914.1</v>
      </c>
      <c r="O57" s="100">
        <v>0</v>
      </c>
      <c r="P57" s="100">
        <v>0.68</v>
      </c>
      <c r="Q57" s="100">
        <v>28.4</v>
      </c>
      <c r="R57" s="6"/>
      <c r="S57" s="6"/>
      <c r="T57" s="156"/>
      <c r="U57" s="6"/>
    </row>
    <row r="58" spans="1:21" customFormat="1">
      <c r="A58" s="163" t="s">
        <v>673</v>
      </c>
      <c r="B58" s="100">
        <v>1.1399999999999999</v>
      </c>
      <c r="C58" s="100">
        <v>27.08</v>
      </c>
      <c r="D58" s="100">
        <v>15.06</v>
      </c>
      <c r="E58" s="100">
        <v>2.97</v>
      </c>
      <c r="F58" s="100">
        <v>28.63</v>
      </c>
      <c r="G58" s="100">
        <v>51.12</v>
      </c>
      <c r="H58" s="100">
        <v>25.77</v>
      </c>
      <c r="I58" s="100">
        <v>13.95</v>
      </c>
      <c r="J58" s="100">
        <v>1.9</v>
      </c>
      <c r="K58" s="100">
        <v>207.2</v>
      </c>
      <c r="L58" s="100">
        <v>37.130000000000003</v>
      </c>
      <c r="M58" s="100">
        <v>27.68</v>
      </c>
      <c r="N58" s="100">
        <v>916.3</v>
      </c>
      <c r="O58" s="100">
        <v>0</v>
      </c>
      <c r="P58" s="100">
        <v>0.65</v>
      </c>
      <c r="Q58" s="100">
        <v>28.41</v>
      </c>
      <c r="R58" s="6"/>
      <c r="S58" s="6"/>
      <c r="T58" s="156"/>
      <c r="U58" s="6"/>
    </row>
    <row r="59" spans="1:21" customFormat="1">
      <c r="A59" s="163" t="s">
        <v>674</v>
      </c>
      <c r="B59" s="100">
        <v>1.07</v>
      </c>
      <c r="C59" s="100">
        <v>24.11</v>
      </c>
      <c r="D59" s="100">
        <v>13.46</v>
      </c>
      <c r="E59" s="100">
        <v>2.14</v>
      </c>
      <c r="F59" s="100">
        <v>40.25</v>
      </c>
      <c r="G59" s="100">
        <v>51.12</v>
      </c>
      <c r="H59" s="100">
        <v>25.77</v>
      </c>
      <c r="I59" s="100">
        <v>15.4</v>
      </c>
      <c r="J59" s="100">
        <v>1.03</v>
      </c>
      <c r="K59" s="100">
        <v>156.03</v>
      </c>
      <c r="L59" s="100">
        <v>37.619999999999997</v>
      </c>
      <c r="M59" s="100">
        <v>27.56</v>
      </c>
      <c r="N59" s="100">
        <v>901.2</v>
      </c>
      <c r="O59" s="100">
        <v>0</v>
      </c>
      <c r="P59" s="100">
        <v>0.65</v>
      </c>
      <c r="Q59" s="100">
        <v>28.48</v>
      </c>
      <c r="R59" s="6"/>
      <c r="S59" s="6"/>
      <c r="T59" s="156"/>
      <c r="U59" s="6"/>
    </row>
    <row r="60" spans="1:21" customFormat="1">
      <c r="A60" s="163" t="s">
        <v>675</v>
      </c>
      <c r="B60" s="100">
        <v>1.59</v>
      </c>
      <c r="C60" s="100">
        <v>23.4</v>
      </c>
      <c r="D60" s="100">
        <v>13.5</v>
      </c>
      <c r="E60" s="100">
        <v>1.38</v>
      </c>
      <c r="F60" s="100">
        <v>19.760000000000002</v>
      </c>
      <c r="G60" s="100">
        <v>51.12</v>
      </c>
      <c r="H60" s="100">
        <v>25.77</v>
      </c>
      <c r="I60" s="100">
        <v>15.76</v>
      </c>
      <c r="J60" s="100">
        <v>3.12</v>
      </c>
      <c r="K60" s="100">
        <v>207.29</v>
      </c>
      <c r="L60" s="100">
        <v>37.94</v>
      </c>
      <c r="M60" s="100">
        <v>26.55</v>
      </c>
      <c r="N60" s="100">
        <v>896.1</v>
      </c>
      <c r="O60" s="100">
        <v>0</v>
      </c>
      <c r="P60" s="100">
        <v>0.67</v>
      </c>
      <c r="Q60" s="100">
        <v>28.45</v>
      </c>
      <c r="R60" s="6"/>
      <c r="S60" s="6"/>
      <c r="T60" s="156"/>
      <c r="U60" s="6"/>
    </row>
    <row r="61" spans="1:21" customFormat="1">
      <c r="A61" s="163" t="s">
        <v>676</v>
      </c>
      <c r="B61" s="100">
        <v>1.47</v>
      </c>
      <c r="C61" s="100">
        <v>24.84</v>
      </c>
      <c r="D61" s="100">
        <v>14.15</v>
      </c>
      <c r="E61" s="100">
        <v>19.600000000000001</v>
      </c>
      <c r="F61" s="100">
        <v>27.88</v>
      </c>
      <c r="G61" s="100">
        <v>51.12</v>
      </c>
      <c r="H61" s="100">
        <v>25.77</v>
      </c>
      <c r="I61" s="100">
        <v>15.96</v>
      </c>
      <c r="J61" s="100">
        <v>2.44</v>
      </c>
      <c r="K61" s="100">
        <v>242.48</v>
      </c>
      <c r="L61" s="100">
        <v>37.85</v>
      </c>
      <c r="M61" s="100">
        <v>24.89</v>
      </c>
      <c r="N61" s="100">
        <v>887.9</v>
      </c>
      <c r="O61" s="100">
        <v>0</v>
      </c>
      <c r="P61" s="100">
        <v>0.63</v>
      </c>
      <c r="Q61" s="100">
        <v>28.32</v>
      </c>
      <c r="R61" s="6"/>
      <c r="S61" s="6"/>
      <c r="T61" s="156"/>
      <c r="U61" s="6"/>
    </row>
    <row r="62" spans="1:21" customFormat="1">
      <c r="A62" s="163" t="s">
        <v>677</v>
      </c>
      <c r="B62" s="100">
        <v>0.74</v>
      </c>
      <c r="C62" s="100">
        <v>23.2</v>
      </c>
      <c r="D62" s="100">
        <v>12.71</v>
      </c>
      <c r="E62" s="100">
        <v>0.26</v>
      </c>
      <c r="F62" s="100">
        <v>33.97</v>
      </c>
      <c r="G62" s="135" t="s">
        <v>12</v>
      </c>
      <c r="H62" s="135" t="s">
        <v>12</v>
      </c>
      <c r="I62" s="100">
        <v>16.920000000000002</v>
      </c>
      <c r="J62" s="100">
        <v>1.27</v>
      </c>
      <c r="K62" s="100">
        <v>249.87</v>
      </c>
      <c r="L62" s="100">
        <v>37.83</v>
      </c>
      <c r="M62" s="100">
        <v>23.63</v>
      </c>
      <c r="N62" s="100">
        <v>865.2</v>
      </c>
      <c r="O62" s="100">
        <v>0</v>
      </c>
      <c r="P62" s="100">
        <v>0.6</v>
      </c>
      <c r="Q62" s="100">
        <v>28.45</v>
      </c>
      <c r="R62" s="6"/>
      <c r="S62" s="6"/>
      <c r="T62" s="156"/>
      <c r="U62" s="6"/>
    </row>
    <row r="63" spans="1:21" customFormat="1">
      <c r="A63" s="163" t="s">
        <v>678</v>
      </c>
      <c r="B63" s="100">
        <v>0.49</v>
      </c>
      <c r="C63" s="100">
        <v>24.6</v>
      </c>
      <c r="D63" s="100">
        <v>13.25</v>
      </c>
      <c r="E63" s="100">
        <v>2.52</v>
      </c>
      <c r="F63" s="100">
        <v>29.15</v>
      </c>
      <c r="G63" s="135" t="s">
        <v>12</v>
      </c>
      <c r="H63" s="135" t="s">
        <v>12</v>
      </c>
      <c r="I63" s="100">
        <v>17.38</v>
      </c>
      <c r="J63" s="100">
        <v>1.88</v>
      </c>
      <c r="K63" s="100">
        <v>235.8</v>
      </c>
      <c r="L63" s="100">
        <v>38.22</v>
      </c>
      <c r="M63" s="100">
        <v>22.18</v>
      </c>
      <c r="N63" s="100">
        <v>834.9</v>
      </c>
      <c r="O63" s="100">
        <v>0</v>
      </c>
      <c r="P63" s="100">
        <v>0.56000000000000005</v>
      </c>
      <c r="Q63" s="100">
        <v>28.46</v>
      </c>
      <c r="R63" s="6"/>
      <c r="S63" s="6"/>
      <c r="T63" s="156"/>
      <c r="U63" s="6"/>
    </row>
    <row r="64" spans="1:21" customFormat="1">
      <c r="A64" s="163" t="s">
        <v>679</v>
      </c>
      <c r="B64" s="100">
        <v>0.49</v>
      </c>
      <c r="C64" s="100">
        <v>24.16</v>
      </c>
      <c r="D64" s="100">
        <v>13.02</v>
      </c>
      <c r="E64" s="100">
        <v>3.97</v>
      </c>
      <c r="F64" s="100">
        <v>16.27</v>
      </c>
      <c r="G64" s="135" t="s">
        <v>12</v>
      </c>
      <c r="H64" s="135" t="s">
        <v>12</v>
      </c>
      <c r="I64" s="100">
        <v>15.45</v>
      </c>
      <c r="J64" s="100">
        <v>1.33</v>
      </c>
      <c r="K64" s="100">
        <v>212.51</v>
      </c>
      <c r="L64" s="100">
        <v>39.22</v>
      </c>
      <c r="M64" s="100">
        <v>21.37</v>
      </c>
      <c r="N64" s="100">
        <v>795.6</v>
      </c>
      <c r="O64" s="100">
        <v>0</v>
      </c>
      <c r="P64" s="100">
        <v>0.55000000000000004</v>
      </c>
      <c r="Q64" s="100">
        <v>28.51</v>
      </c>
      <c r="R64" s="6"/>
      <c r="S64" s="6"/>
      <c r="T64" s="156"/>
      <c r="U64" s="6"/>
    </row>
    <row r="65" spans="1:21" customFormat="1">
      <c r="A65" s="163" t="s">
        <v>680</v>
      </c>
      <c r="B65" s="100">
        <v>0.63</v>
      </c>
      <c r="C65" s="100">
        <v>26.75</v>
      </c>
      <c r="D65" s="100">
        <v>14.48</v>
      </c>
      <c r="E65" s="100">
        <v>7.54</v>
      </c>
      <c r="F65" s="100">
        <v>13.46</v>
      </c>
      <c r="G65" s="135" t="s">
        <v>12</v>
      </c>
      <c r="H65" s="135" t="s">
        <v>12</v>
      </c>
      <c r="I65" s="100">
        <v>14.45</v>
      </c>
      <c r="J65" s="100">
        <v>1.8</v>
      </c>
      <c r="K65" s="100">
        <v>205.74</v>
      </c>
      <c r="L65" s="100">
        <v>38.799999999999997</v>
      </c>
      <c r="M65" s="100">
        <v>21.87</v>
      </c>
      <c r="N65" s="100">
        <v>761</v>
      </c>
      <c r="O65" s="100">
        <v>0</v>
      </c>
      <c r="P65" s="100">
        <v>0.55000000000000004</v>
      </c>
      <c r="Q65" s="100">
        <v>28.45</v>
      </c>
      <c r="R65" s="6"/>
      <c r="S65" s="6"/>
      <c r="T65" s="156"/>
      <c r="U65" s="6"/>
    </row>
    <row r="66" spans="1:21" customFormat="1">
      <c r="A66" s="163" t="s">
        <v>681</v>
      </c>
      <c r="B66" s="100">
        <v>0.89</v>
      </c>
      <c r="C66" s="100">
        <v>27.14</v>
      </c>
      <c r="D66" s="100">
        <v>14.89</v>
      </c>
      <c r="E66" s="100">
        <v>8.2100000000000009</v>
      </c>
      <c r="F66" s="100">
        <v>18.82</v>
      </c>
      <c r="G66" s="100">
        <v>13.28</v>
      </c>
      <c r="H66" s="100">
        <v>0.47</v>
      </c>
      <c r="I66" s="100">
        <v>14.14</v>
      </c>
      <c r="J66" s="100">
        <v>1.4</v>
      </c>
      <c r="K66" s="100">
        <v>194.31</v>
      </c>
      <c r="L66" s="100">
        <v>39.5</v>
      </c>
      <c r="M66" s="100">
        <v>20.63</v>
      </c>
      <c r="N66" s="100">
        <v>721.5</v>
      </c>
      <c r="O66" s="100">
        <v>0</v>
      </c>
      <c r="P66" s="100">
        <v>0.51</v>
      </c>
      <c r="Q66" s="100">
        <v>28.4</v>
      </c>
      <c r="R66" s="6"/>
      <c r="S66" s="6"/>
      <c r="T66" s="156"/>
      <c r="U66" s="6"/>
    </row>
    <row r="67" spans="1:21" customFormat="1">
      <c r="A67" s="163" t="s">
        <v>682</v>
      </c>
      <c r="B67" s="100">
        <v>1.03</v>
      </c>
      <c r="C67" s="100">
        <v>22.92</v>
      </c>
      <c r="D67" s="100">
        <v>12.8</v>
      </c>
      <c r="E67" s="100">
        <v>7.57</v>
      </c>
      <c r="F67" s="100">
        <v>20.079999999999998</v>
      </c>
      <c r="G67" s="100">
        <v>35.15</v>
      </c>
      <c r="H67" s="100">
        <v>1.25</v>
      </c>
      <c r="I67" s="100">
        <v>13.95</v>
      </c>
      <c r="J67" s="100">
        <v>0.26</v>
      </c>
      <c r="K67" s="100">
        <v>215.97</v>
      </c>
      <c r="L67" s="100">
        <v>39.33</v>
      </c>
      <c r="M67" s="100">
        <v>20.04</v>
      </c>
      <c r="N67" s="100">
        <v>672.9</v>
      </c>
      <c r="O67" s="100">
        <v>0</v>
      </c>
      <c r="P67" s="100">
        <v>0.52</v>
      </c>
      <c r="Q67" s="100">
        <v>28.6</v>
      </c>
      <c r="R67" s="6"/>
      <c r="S67" s="6"/>
      <c r="T67" s="156"/>
      <c r="U67" s="6"/>
    </row>
    <row r="68" spans="1:21" customFormat="1">
      <c r="A68" s="163" t="s">
        <v>683</v>
      </c>
      <c r="B68" s="100">
        <v>0.98</v>
      </c>
      <c r="C68" s="100">
        <v>22.53</v>
      </c>
      <c r="D68" s="100">
        <v>12.56</v>
      </c>
      <c r="E68" s="100">
        <v>6.99</v>
      </c>
      <c r="F68" s="100">
        <v>12.71</v>
      </c>
      <c r="G68" s="100">
        <v>35.15</v>
      </c>
      <c r="H68" s="100">
        <v>1.25</v>
      </c>
      <c r="I68" s="100">
        <v>13.18</v>
      </c>
      <c r="J68" s="100">
        <v>2.11</v>
      </c>
      <c r="K68" s="100">
        <v>241.04</v>
      </c>
      <c r="L68" s="100">
        <v>38.729999999999997</v>
      </c>
      <c r="M68" s="100">
        <v>19.82</v>
      </c>
      <c r="N68" s="100">
        <v>639.29999999999995</v>
      </c>
      <c r="O68" s="100">
        <v>0</v>
      </c>
      <c r="P68" s="100">
        <v>0.53</v>
      </c>
      <c r="Q68" s="100">
        <v>28.59</v>
      </c>
      <c r="R68" s="6"/>
      <c r="S68" s="6"/>
      <c r="T68" s="156"/>
      <c r="U68" s="6"/>
    </row>
    <row r="69" spans="1:21" customFormat="1">
      <c r="A69" s="163" t="s">
        <v>684</v>
      </c>
      <c r="B69" s="100">
        <v>1</v>
      </c>
      <c r="C69" s="100">
        <v>22.6</v>
      </c>
      <c r="D69" s="100">
        <v>12.61</v>
      </c>
      <c r="E69" s="100">
        <v>6.94</v>
      </c>
      <c r="F69" s="100">
        <v>19.829999999999998</v>
      </c>
      <c r="G69" s="100">
        <v>35.15</v>
      </c>
      <c r="H69" s="100">
        <v>1.25</v>
      </c>
      <c r="I69" s="100">
        <v>12.97</v>
      </c>
      <c r="J69" s="100">
        <v>0.43</v>
      </c>
      <c r="K69" s="100">
        <v>290.36</v>
      </c>
      <c r="L69" s="100">
        <v>38.729999999999997</v>
      </c>
      <c r="M69" s="100">
        <v>20.89</v>
      </c>
      <c r="N69" s="100">
        <v>578.6</v>
      </c>
      <c r="O69" s="100">
        <v>0</v>
      </c>
      <c r="P69" s="100">
        <v>0.54</v>
      </c>
      <c r="Q69" s="100">
        <v>28.6</v>
      </c>
      <c r="R69" s="6"/>
      <c r="S69" s="6"/>
      <c r="T69" s="156"/>
      <c r="U69" s="6"/>
    </row>
    <row r="70" spans="1:21" customFormat="1">
      <c r="A70" s="163" t="s">
        <v>685</v>
      </c>
      <c r="B70" s="100">
        <v>1.04</v>
      </c>
      <c r="C70" s="100">
        <v>20.75</v>
      </c>
      <c r="D70" s="100">
        <v>11.68</v>
      </c>
      <c r="E70" s="100">
        <v>7.46</v>
      </c>
      <c r="F70" s="100">
        <v>20.97</v>
      </c>
      <c r="G70" s="100">
        <v>34.71</v>
      </c>
      <c r="H70" s="100">
        <v>1.73</v>
      </c>
      <c r="I70" s="100">
        <v>12.77</v>
      </c>
      <c r="J70" s="100">
        <v>1.23</v>
      </c>
      <c r="K70" s="100">
        <v>238.28</v>
      </c>
      <c r="L70" s="100">
        <v>39.51</v>
      </c>
      <c r="M70" s="100">
        <v>20.190000000000001</v>
      </c>
      <c r="N70" s="100">
        <v>515.20000000000005</v>
      </c>
      <c r="O70" s="100">
        <v>0</v>
      </c>
      <c r="P70" s="100">
        <v>0.52</v>
      </c>
      <c r="Q70" s="100">
        <v>28.7</v>
      </c>
      <c r="R70" s="6"/>
      <c r="S70" s="6"/>
      <c r="T70" s="156"/>
      <c r="U70" s="6"/>
    </row>
    <row r="71" spans="1:21" customFormat="1">
      <c r="A71" s="163" t="s">
        <v>686</v>
      </c>
      <c r="B71" s="100">
        <v>1.0900000000000001</v>
      </c>
      <c r="C71" s="100">
        <v>20.69</v>
      </c>
      <c r="D71" s="100">
        <v>11.68</v>
      </c>
      <c r="E71" s="100">
        <v>6.75</v>
      </c>
      <c r="F71" s="100">
        <v>16.809999999999999</v>
      </c>
      <c r="G71" s="100">
        <v>33.97</v>
      </c>
      <c r="H71" s="100">
        <v>2.5099999999999998</v>
      </c>
      <c r="I71" s="100">
        <v>12.44</v>
      </c>
      <c r="J71" s="100">
        <v>1.52</v>
      </c>
      <c r="K71" s="100">
        <v>239.4</v>
      </c>
      <c r="L71" s="100">
        <v>39.08</v>
      </c>
      <c r="M71" s="100">
        <v>18.73</v>
      </c>
      <c r="N71" s="100">
        <v>469.5</v>
      </c>
      <c r="O71" s="100">
        <v>0</v>
      </c>
      <c r="P71" s="100">
        <v>0.52</v>
      </c>
      <c r="Q71" s="100">
        <v>28.72</v>
      </c>
      <c r="R71" s="6"/>
      <c r="S71" s="6"/>
      <c r="T71" s="156"/>
      <c r="U71" s="6"/>
    </row>
    <row r="72" spans="1:21" customFormat="1">
      <c r="A72" s="163" t="s">
        <v>687</v>
      </c>
      <c r="B72" s="100">
        <v>2.5499999999999998</v>
      </c>
      <c r="C72" s="100">
        <v>20.81</v>
      </c>
      <c r="D72" s="100">
        <v>12.92</v>
      </c>
      <c r="E72" s="100">
        <v>6.81</v>
      </c>
      <c r="F72" s="100">
        <v>14.53</v>
      </c>
      <c r="G72" s="100">
        <v>33.97</v>
      </c>
      <c r="H72" s="100">
        <v>2.5099999999999998</v>
      </c>
      <c r="I72" s="100">
        <v>11.85</v>
      </c>
      <c r="J72" s="100">
        <v>1.73</v>
      </c>
      <c r="K72" s="100">
        <v>249.83</v>
      </c>
      <c r="L72" s="100">
        <v>39.15</v>
      </c>
      <c r="M72" s="100">
        <v>18.920000000000002</v>
      </c>
      <c r="N72" s="100">
        <v>418.2</v>
      </c>
      <c r="O72" s="100">
        <v>0</v>
      </c>
      <c r="P72" s="100">
        <v>0.52</v>
      </c>
      <c r="Q72" s="100">
        <v>28.7</v>
      </c>
      <c r="R72" s="6"/>
      <c r="S72" s="6"/>
      <c r="T72" s="156"/>
      <c r="U72" s="6"/>
    </row>
    <row r="73" spans="1:21" customFormat="1">
      <c r="A73" s="163" t="s">
        <v>688</v>
      </c>
      <c r="B73" s="100">
        <v>1.53</v>
      </c>
      <c r="C73" s="100">
        <v>23.68</v>
      </c>
      <c r="D73" s="100">
        <v>13.6</v>
      </c>
      <c r="E73" s="100">
        <v>6.73</v>
      </c>
      <c r="F73" s="100">
        <v>10.31</v>
      </c>
      <c r="G73" s="100">
        <v>33.97</v>
      </c>
      <c r="H73" s="100">
        <v>2.5099999999999998</v>
      </c>
      <c r="I73" s="100">
        <v>11.92</v>
      </c>
      <c r="J73" s="100">
        <v>2.37</v>
      </c>
      <c r="K73" s="100">
        <v>218.14</v>
      </c>
      <c r="L73" s="100">
        <v>38.68</v>
      </c>
      <c r="M73" s="100">
        <v>18.46</v>
      </c>
      <c r="N73" s="100">
        <v>365.8</v>
      </c>
      <c r="O73" s="100">
        <v>0</v>
      </c>
      <c r="P73" s="100">
        <v>0.53</v>
      </c>
      <c r="Q73" s="100">
        <v>28.55</v>
      </c>
      <c r="R73" s="6"/>
      <c r="S73" s="6"/>
      <c r="T73" s="156"/>
      <c r="U73" s="6"/>
    </row>
    <row r="74" spans="1:21" customFormat="1">
      <c r="A74" s="163" t="s">
        <v>689</v>
      </c>
      <c r="B74" s="100">
        <v>1.35</v>
      </c>
      <c r="C74" s="100">
        <v>25.23</v>
      </c>
      <c r="D74" s="100">
        <v>14.27</v>
      </c>
      <c r="E74" s="100">
        <v>6.98</v>
      </c>
      <c r="F74" s="100">
        <v>6.51</v>
      </c>
      <c r="G74" s="100">
        <v>34.25</v>
      </c>
      <c r="H74" s="100">
        <v>3.36</v>
      </c>
      <c r="I74" s="100">
        <v>11.82</v>
      </c>
      <c r="J74" s="100">
        <v>2.62</v>
      </c>
      <c r="K74" s="100">
        <v>241.99</v>
      </c>
      <c r="L74" s="100">
        <v>38.74</v>
      </c>
      <c r="M74" s="100">
        <v>17.62</v>
      </c>
      <c r="N74" s="100">
        <v>313.39999999999998</v>
      </c>
      <c r="O74" s="100">
        <v>0</v>
      </c>
      <c r="P74" s="100">
        <v>0.55000000000000004</v>
      </c>
      <c r="Q74" s="100">
        <v>28.48</v>
      </c>
      <c r="R74" s="6"/>
      <c r="S74" s="6"/>
      <c r="T74" s="156"/>
      <c r="U74" s="6"/>
    </row>
    <row r="75" spans="1:21" customFormat="1">
      <c r="A75" s="163" t="s">
        <v>690</v>
      </c>
      <c r="B75" s="100">
        <v>1.38</v>
      </c>
      <c r="C75" s="100">
        <v>24.3</v>
      </c>
      <c r="D75" s="100">
        <v>13.8</v>
      </c>
      <c r="E75" s="100">
        <v>7.37</v>
      </c>
      <c r="F75" s="100">
        <v>10.95</v>
      </c>
      <c r="G75" s="100">
        <v>34.68</v>
      </c>
      <c r="H75" s="100">
        <v>4.75</v>
      </c>
      <c r="I75" s="100">
        <v>12.26</v>
      </c>
      <c r="J75" s="100">
        <v>2.39</v>
      </c>
      <c r="K75" s="100">
        <v>233.57</v>
      </c>
      <c r="L75" s="100">
        <v>38.840000000000003</v>
      </c>
      <c r="M75" s="100">
        <v>17.77</v>
      </c>
      <c r="N75" s="100">
        <v>250.6</v>
      </c>
      <c r="O75" s="100">
        <v>0</v>
      </c>
      <c r="P75" s="100">
        <v>0.52</v>
      </c>
      <c r="Q75" s="100">
        <v>28.53</v>
      </c>
      <c r="R75" s="6"/>
      <c r="S75" s="6"/>
      <c r="T75" s="156"/>
      <c r="U75" s="6"/>
    </row>
    <row r="76" spans="1:21" customFormat="1">
      <c r="A76" s="163" t="s">
        <v>691</v>
      </c>
      <c r="B76" s="100">
        <v>1.49</v>
      </c>
      <c r="C76" s="100">
        <v>18.739999999999998</v>
      </c>
      <c r="D76" s="100">
        <v>10.99</v>
      </c>
      <c r="E76" s="100">
        <v>6.97</v>
      </c>
      <c r="F76" s="100">
        <v>10.28</v>
      </c>
      <c r="G76" s="100">
        <v>34.68</v>
      </c>
      <c r="H76" s="100">
        <v>4.75</v>
      </c>
      <c r="I76" s="100">
        <v>12.46</v>
      </c>
      <c r="J76" s="100">
        <v>2.66</v>
      </c>
      <c r="K76" s="100">
        <v>215.36</v>
      </c>
      <c r="L76" s="100">
        <v>38.46</v>
      </c>
      <c r="M76" s="100">
        <v>18.82</v>
      </c>
      <c r="N76" s="100">
        <v>216.3</v>
      </c>
      <c r="O76" s="100">
        <v>0</v>
      </c>
      <c r="P76" s="100">
        <v>0.51</v>
      </c>
      <c r="Q76" s="100">
        <v>28.8</v>
      </c>
      <c r="R76" s="6"/>
      <c r="S76" s="6"/>
      <c r="T76" s="156"/>
      <c r="U76" s="6"/>
    </row>
    <row r="77" spans="1:21" customFormat="1">
      <c r="A77" s="163" t="s">
        <v>692</v>
      </c>
      <c r="B77" s="100">
        <v>1.71</v>
      </c>
      <c r="C77" s="100">
        <v>21.68</v>
      </c>
      <c r="D77" s="100">
        <v>12.7</v>
      </c>
      <c r="E77" s="100">
        <v>1.3</v>
      </c>
      <c r="F77" s="100">
        <v>7.63</v>
      </c>
      <c r="G77" s="100">
        <v>34.68</v>
      </c>
      <c r="H77" s="100">
        <v>4.75</v>
      </c>
      <c r="I77" s="100">
        <v>12.26</v>
      </c>
      <c r="J77" s="100">
        <v>2.2599999999999998</v>
      </c>
      <c r="K77" s="100">
        <v>232.27</v>
      </c>
      <c r="L77" s="100">
        <v>38.15</v>
      </c>
      <c r="M77" s="100">
        <v>20.21</v>
      </c>
      <c r="N77" s="100">
        <v>158.80000000000001</v>
      </c>
      <c r="O77" s="100">
        <v>0</v>
      </c>
      <c r="P77" s="100">
        <v>0.5</v>
      </c>
      <c r="Q77" s="100">
        <v>28.64</v>
      </c>
      <c r="R77" s="6"/>
      <c r="S77" s="6"/>
      <c r="T77" s="156"/>
      <c r="U77" s="6"/>
    </row>
    <row r="78" spans="1:21" customFormat="1">
      <c r="A78" s="163" t="s">
        <v>693</v>
      </c>
      <c r="B78" s="100">
        <v>1.97</v>
      </c>
      <c r="C78" s="100">
        <v>25.13</v>
      </c>
      <c r="D78" s="100">
        <v>14.71</v>
      </c>
      <c r="E78" s="100">
        <v>2.9</v>
      </c>
      <c r="F78" s="100">
        <v>13.14</v>
      </c>
      <c r="G78" s="100">
        <v>34.9</v>
      </c>
      <c r="H78" s="100">
        <v>6.98</v>
      </c>
      <c r="I78" s="100">
        <v>12.16</v>
      </c>
      <c r="J78" s="100">
        <v>4.3</v>
      </c>
      <c r="K78" s="100">
        <v>243.39</v>
      </c>
      <c r="L78" s="100">
        <v>37.6</v>
      </c>
      <c r="M78" s="100">
        <v>21.62</v>
      </c>
      <c r="N78" s="100">
        <v>98.7</v>
      </c>
      <c r="O78" s="100">
        <v>0</v>
      </c>
      <c r="P78" s="100">
        <v>0.51</v>
      </c>
      <c r="Q78" s="100">
        <v>28.48</v>
      </c>
      <c r="R78" s="6"/>
      <c r="S78" s="6"/>
      <c r="T78" s="156"/>
      <c r="U78" s="6"/>
    </row>
    <row r="79" spans="1:21" customFormat="1">
      <c r="A79" s="163" t="s">
        <v>694</v>
      </c>
      <c r="B79" s="100">
        <v>2.02</v>
      </c>
      <c r="C79" s="100">
        <v>30.89</v>
      </c>
      <c r="D79" s="100">
        <v>17.760000000000002</v>
      </c>
      <c r="E79" s="100">
        <v>4.25</v>
      </c>
      <c r="F79" s="100">
        <v>22.37</v>
      </c>
      <c r="G79" s="100">
        <v>35.24</v>
      </c>
      <c r="H79" s="100">
        <v>10.47</v>
      </c>
      <c r="I79" s="100">
        <v>12.05</v>
      </c>
      <c r="J79" s="100">
        <v>4.08</v>
      </c>
      <c r="K79" s="100">
        <v>252.5</v>
      </c>
      <c r="L79" s="100">
        <v>37.07</v>
      </c>
      <c r="M79" s="100">
        <v>22.04</v>
      </c>
      <c r="N79" s="100">
        <v>70.900000000000006</v>
      </c>
      <c r="O79" s="100">
        <v>0</v>
      </c>
      <c r="P79" s="100">
        <v>0.48</v>
      </c>
      <c r="Q79" s="100">
        <v>28.31</v>
      </c>
      <c r="R79" s="6"/>
      <c r="S79" s="6"/>
      <c r="T79" s="156"/>
      <c r="U79" s="6"/>
    </row>
    <row r="80" spans="1:21" customFormat="1">
      <c r="A80" s="163" t="s">
        <v>695</v>
      </c>
      <c r="B80" s="100">
        <v>1.72</v>
      </c>
      <c r="C80" s="100">
        <v>22.19</v>
      </c>
      <c r="D80" s="100">
        <v>12.97</v>
      </c>
      <c r="E80" s="100">
        <v>3.86</v>
      </c>
      <c r="F80" s="100">
        <v>36.81</v>
      </c>
      <c r="G80" s="100">
        <v>35.24</v>
      </c>
      <c r="H80" s="100">
        <v>10.47</v>
      </c>
      <c r="I80" s="100">
        <v>11.73</v>
      </c>
      <c r="J80" s="100">
        <v>3.17</v>
      </c>
      <c r="K80" s="100">
        <v>116.95</v>
      </c>
      <c r="L80" s="100">
        <v>36.119999999999997</v>
      </c>
      <c r="M80" s="100">
        <v>25.89</v>
      </c>
      <c r="N80" s="100">
        <v>51.8</v>
      </c>
      <c r="O80" s="100">
        <v>0</v>
      </c>
      <c r="P80" s="100">
        <v>0.43</v>
      </c>
      <c r="Q80" s="100">
        <v>28.57</v>
      </c>
      <c r="R80" s="6"/>
      <c r="S80" s="6"/>
      <c r="T80" s="156"/>
      <c r="U80" s="6"/>
    </row>
    <row r="81" spans="1:21" customFormat="1">
      <c r="A81" s="163" t="s">
        <v>696</v>
      </c>
      <c r="B81" s="100">
        <v>1.69</v>
      </c>
      <c r="C81" s="100">
        <v>22.13</v>
      </c>
      <c r="D81" s="100">
        <v>12.91</v>
      </c>
      <c r="E81" s="100">
        <v>3.67</v>
      </c>
      <c r="F81" s="100">
        <v>32.17</v>
      </c>
      <c r="G81" s="100">
        <v>35.24</v>
      </c>
      <c r="H81" s="100">
        <v>10.47</v>
      </c>
      <c r="I81" s="100">
        <v>10.85</v>
      </c>
      <c r="J81" s="100">
        <v>2.98</v>
      </c>
      <c r="K81" s="100">
        <v>133.69</v>
      </c>
      <c r="L81" s="100">
        <v>35.200000000000003</v>
      </c>
      <c r="M81" s="100">
        <v>26.94</v>
      </c>
      <c r="N81" s="100">
        <v>33.6</v>
      </c>
      <c r="O81" s="100">
        <v>0</v>
      </c>
      <c r="P81" s="100">
        <v>0.47</v>
      </c>
      <c r="Q81" s="100">
        <v>28.51</v>
      </c>
      <c r="R81" s="6"/>
      <c r="S81" s="6"/>
      <c r="T81" s="156"/>
      <c r="U81" s="6"/>
    </row>
    <row r="82" spans="1:21" customFormat="1">
      <c r="A82" s="163" t="s">
        <v>697</v>
      </c>
      <c r="B82" s="100">
        <v>2.4700000000000002</v>
      </c>
      <c r="C82" s="100">
        <v>25.71</v>
      </c>
      <c r="D82" s="100">
        <v>15.42</v>
      </c>
      <c r="E82" s="100">
        <v>3.66</v>
      </c>
      <c r="F82" s="100">
        <v>33.229999999999997</v>
      </c>
      <c r="G82" s="100">
        <v>34.35</v>
      </c>
      <c r="H82" s="100">
        <v>9.8699999999999992</v>
      </c>
      <c r="I82" s="100">
        <v>9.43</v>
      </c>
      <c r="J82" s="100">
        <v>3.95</v>
      </c>
      <c r="K82" s="100">
        <v>116.42</v>
      </c>
      <c r="L82" s="100">
        <v>34.71</v>
      </c>
      <c r="M82" s="100">
        <v>27.73</v>
      </c>
      <c r="N82" s="100">
        <v>25.5</v>
      </c>
      <c r="O82" s="100">
        <v>0</v>
      </c>
      <c r="P82" s="100">
        <v>0.57999999999999996</v>
      </c>
      <c r="Q82" s="100">
        <v>28.28</v>
      </c>
      <c r="R82" s="6"/>
      <c r="S82" s="6"/>
      <c r="T82" s="156"/>
      <c r="U82" s="6"/>
    </row>
    <row r="83" spans="1:21" customFormat="1">
      <c r="A83" s="163" t="s">
        <v>698</v>
      </c>
      <c r="B83" s="100">
        <v>3.22</v>
      </c>
      <c r="C83" s="100">
        <v>32.619999999999997</v>
      </c>
      <c r="D83" s="100">
        <v>19.62</v>
      </c>
      <c r="E83" s="100">
        <v>4.0599999999999996</v>
      </c>
      <c r="F83" s="100">
        <v>18.43</v>
      </c>
      <c r="G83" s="100">
        <v>32.93</v>
      </c>
      <c r="H83" s="100">
        <v>8.94</v>
      </c>
      <c r="I83" s="100">
        <v>9.26</v>
      </c>
      <c r="J83" s="100">
        <v>3.76</v>
      </c>
      <c r="K83" s="100">
        <v>128.33000000000001</v>
      </c>
      <c r="L83" s="100">
        <v>34.18</v>
      </c>
      <c r="M83" s="100">
        <v>29.35</v>
      </c>
      <c r="N83" s="100">
        <v>23.2</v>
      </c>
      <c r="O83" s="100">
        <v>0</v>
      </c>
      <c r="P83" s="100">
        <v>0.69</v>
      </c>
      <c r="Q83" s="100">
        <v>26.88</v>
      </c>
      <c r="R83" s="6"/>
      <c r="S83" s="6"/>
      <c r="T83" s="156"/>
      <c r="U83" s="6"/>
    </row>
    <row r="84" spans="1:21" customFormat="1">
      <c r="A84" s="163" t="s">
        <v>699</v>
      </c>
      <c r="B84" s="100">
        <v>2.34</v>
      </c>
      <c r="C84" s="100">
        <v>26.8</v>
      </c>
      <c r="D84" s="100">
        <v>15.88</v>
      </c>
      <c r="E84" s="100">
        <v>3.89</v>
      </c>
      <c r="F84" s="100">
        <v>31.23</v>
      </c>
      <c r="G84" s="100">
        <v>32.93</v>
      </c>
      <c r="H84" s="100">
        <v>8.94</v>
      </c>
      <c r="I84" s="100">
        <v>10.98</v>
      </c>
      <c r="J84" s="100">
        <v>3.87</v>
      </c>
      <c r="K84" s="100">
        <v>118.08</v>
      </c>
      <c r="L84" s="100">
        <v>33.81</v>
      </c>
      <c r="M84" s="100">
        <v>29.86</v>
      </c>
      <c r="N84" s="100">
        <v>22.7</v>
      </c>
      <c r="O84" s="100">
        <v>0</v>
      </c>
      <c r="P84" s="100">
        <v>0.5</v>
      </c>
      <c r="Q84" s="100">
        <v>27.88</v>
      </c>
      <c r="R84" s="6"/>
      <c r="S84" s="6"/>
      <c r="T84" s="156"/>
      <c r="U84" s="6"/>
    </row>
    <row r="85" spans="1:21" customFormat="1">
      <c r="A85" s="163" t="s">
        <v>700</v>
      </c>
      <c r="B85" s="100">
        <v>2</v>
      </c>
      <c r="C85" s="100">
        <v>23.41</v>
      </c>
      <c r="D85" s="100">
        <v>13.84</v>
      </c>
      <c r="E85" s="100">
        <v>4.09</v>
      </c>
      <c r="F85" s="100">
        <v>31.16</v>
      </c>
      <c r="G85" s="100">
        <v>32.93</v>
      </c>
      <c r="H85" s="100">
        <v>8.94</v>
      </c>
      <c r="I85" s="100">
        <v>13.6</v>
      </c>
      <c r="J85" s="100">
        <v>4.1500000000000004</v>
      </c>
      <c r="K85" s="100">
        <v>128.88</v>
      </c>
      <c r="L85" s="100">
        <v>33.799999999999997</v>
      </c>
      <c r="M85" s="100">
        <v>29.54</v>
      </c>
      <c r="N85" s="100">
        <v>22.5</v>
      </c>
      <c r="O85" s="100">
        <v>0</v>
      </c>
      <c r="P85" s="100">
        <v>0.51</v>
      </c>
      <c r="Q85" s="100">
        <v>28.31</v>
      </c>
      <c r="R85" s="6"/>
      <c r="S85" s="6"/>
      <c r="T85" s="156"/>
      <c r="U85" s="6"/>
    </row>
    <row r="86" spans="1:21" customFormat="1">
      <c r="A86" s="163" t="s">
        <v>701</v>
      </c>
      <c r="B86" s="100">
        <v>2.09</v>
      </c>
      <c r="C86" s="100">
        <v>27.55</v>
      </c>
      <c r="D86" s="100">
        <v>16.07</v>
      </c>
      <c r="E86" s="100">
        <v>4.1399999999999997</v>
      </c>
      <c r="F86" s="100">
        <v>22.92</v>
      </c>
      <c r="G86" s="100">
        <v>31.65</v>
      </c>
      <c r="H86" s="100">
        <v>10.56</v>
      </c>
      <c r="I86" s="100">
        <v>10.56</v>
      </c>
      <c r="J86" s="100">
        <v>4.7</v>
      </c>
      <c r="K86" s="100">
        <v>120.89</v>
      </c>
      <c r="L86" s="100">
        <v>33.659999999999997</v>
      </c>
      <c r="M86" s="100">
        <v>30.02</v>
      </c>
      <c r="N86" s="100">
        <v>22.5</v>
      </c>
      <c r="O86" s="100">
        <v>0</v>
      </c>
      <c r="P86" s="100">
        <v>0.52</v>
      </c>
      <c r="Q86" s="100">
        <v>28.22</v>
      </c>
      <c r="R86" s="6"/>
      <c r="S86" s="6"/>
      <c r="T86" s="156"/>
      <c r="U86" s="6"/>
    </row>
    <row r="87" spans="1:21" customFormat="1">
      <c r="A87" s="163" t="s">
        <v>702</v>
      </c>
      <c r="B87" s="100">
        <v>2.17</v>
      </c>
      <c r="C87" s="100">
        <v>30.95</v>
      </c>
      <c r="D87" s="100">
        <v>17.91</v>
      </c>
      <c r="E87" s="100">
        <v>4.1500000000000004</v>
      </c>
      <c r="F87" s="100">
        <v>21.02</v>
      </c>
      <c r="G87" s="100">
        <v>29.54</v>
      </c>
      <c r="H87" s="100">
        <v>13.24</v>
      </c>
      <c r="I87" s="100">
        <v>10.52</v>
      </c>
      <c r="J87" s="100">
        <v>5.07</v>
      </c>
      <c r="K87" s="100">
        <v>138.75</v>
      </c>
      <c r="L87" s="100">
        <v>33.479999999999997</v>
      </c>
      <c r="M87" s="100">
        <v>31.1</v>
      </c>
      <c r="N87" s="100">
        <v>22.6</v>
      </c>
      <c r="O87" s="100">
        <v>0</v>
      </c>
      <c r="P87" s="100">
        <v>0.49</v>
      </c>
      <c r="Q87" s="100">
        <v>28.05</v>
      </c>
      <c r="R87" s="6"/>
      <c r="S87" s="6"/>
      <c r="T87" s="156"/>
      <c r="U87" s="6"/>
    </row>
    <row r="88" spans="1:21" customFormat="1">
      <c r="A88" s="163" t="s">
        <v>703</v>
      </c>
      <c r="B88" s="100">
        <v>2.2000000000000002</v>
      </c>
      <c r="C88" s="100">
        <v>30.87</v>
      </c>
      <c r="D88" s="100">
        <v>17.899999999999999</v>
      </c>
      <c r="E88" s="100">
        <v>3.9</v>
      </c>
      <c r="F88" s="100">
        <v>17.13</v>
      </c>
      <c r="G88" s="100">
        <v>29.54</v>
      </c>
      <c r="H88" s="100">
        <v>13.24</v>
      </c>
      <c r="I88" s="100">
        <v>10.56</v>
      </c>
      <c r="J88" s="100">
        <v>3.88</v>
      </c>
      <c r="K88" s="100">
        <v>149.46</v>
      </c>
      <c r="L88" s="100">
        <v>33.49</v>
      </c>
      <c r="M88" s="100">
        <v>31.62</v>
      </c>
      <c r="N88" s="100">
        <v>22.6</v>
      </c>
      <c r="O88" s="100">
        <v>0</v>
      </c>
      <c r="P88" s="100">
        <v>0.49</v>
      </c>
      <c r="Q88" s="100">
        <v>28.06</v>
      </c>
      <c r="R88" s="6"/>
      <c r="S88" s="6"/>
      <c r="T88" s="156"/>
      <c r="U88" s="6"/>
    </row>
    <row r="89" spans="1:21" customFormat="1">
      <c r="A89" s="163" t="s">
        <v>704</v>
      </c>
      <c r="B89" s="100">
        <v>2.2400000000000002</v>
      </c>
      <c r="C89" s="100">
        <v>31.19</v>
      </c>
      <c r="D89" s="100">
        <v>18.100000000000001</v>
      </c>
      <c r="E89" s="100">
        <v>3.84</v>
      </c>
      <c r="F89" s="100">
        <v>12.66</v>
      </c>
      <c r="G89" s="100">
        <v>29.54</v>
      </c>
      <c r="H89" s="100">
        <v>13.24</v>
      </c>
      <c r="I89" s="100">
        <v>10.54</v>
      </c>
      <c r="J89" s="100">
        <v>3.85</v>
      </c>
      <c r="K89" s="100">
        <v>123.49</v>
      </c>
      <c r="L89" s="100">
        <v>33.53</v>
      </c>
      <c r="M89" s="100">
        <v>32.68</v>
      </c>
      <c r="N89" s="100">
        <v>22.5</v>
      </c>
      <c r="O89" s="100">
        <v>0</v>
      </c>
      <c r="P89" s="100">
        <v>0.55000000000000004</v>
      </c>
      <c r="Q89" s="100">
        <v>28.1</v>
      </c>
      <c r="R89" s="6"/>
      <c r="S89" s="6"/>
      <c r="T89" s="156"/>
      <c r="U89" s="6"/>
    </row>
    <row r="90" spans="1:21" customFormat="1">
      <c r="A90" s="163" t="s">
        <v>705</v>
      </c>
      <c r="B90" s="100">
        <v>3.18</v>
      </c>
      <c r="C90" s="100">
        <v>34.450000000000003</v>
      </c>
      <c r="D90" s="100">
        <v>20.55</v>
      </c>
      <c r="E90" s="100">
        <v>4.13</v>
      </c>
      <c r="F90" s="100">
        <v>5.93</v>
      </c>
      <c r="G90" s="100">
        <v>32.11</v>
      </c>
      <c r="H90" s="100">
        <v>13.83</v>
      </c>
      <c r="I90" s="100">
        <v>10.88</v>
      </c>
      <c r="J90" s="100">
        <v>3.65</v>
      </c>
      <c r="K90" s="100">
        <v>126.49</v>
      </c>
      <c r="L90" s="100">
        <v>33.53</v>
      </c>
      <c r="M90" s="100">
        <v>34.76</v>
      </c>
      <c r="N90" s="100">
        <v>22.5</v>
      </c>
      <c r="O90" s="100">
        <v>0</v>
      </c>
      <c r="P90" s="100">
        <v>0.7</v>
      </c>
      <c r="Q90" s="100">
        <v>27.65</v>
      </c>
      <c r="R90" s="6"/>
      <c r="S90" s="6"/>
      <c r="T90" s="156"/>
      <c r="U90" s="6"/>
    </row>
    <row r="91" spans="1:21" customFormat="1">
      <c r="A91" s="163" t="s">
        <v>706</v>
      </c>
      <c r="B91" s="100">
        <v>3.78</v>
      </c>
      <c r="C91" s="100">
        <v>34.770000000000003</v>
      </c>
      <c r="D91" s="100">
        <v>21.19</v>
      </c>
      <c r="E91" s="100">
        <v>4.1500000000000004</v>
      </c>
      <c r="F91" s="100">
        <v>7.88</v>
      </c>
      <c r="G91" s="100">
        <v>36.33</v>
      </c>
      <c r="H91" s="100">
        <v>14.81</v>
      </c>
      <c r="I91" s="100">
        <v>12.25</v>
      </c>
      <c r="J91" s="100">
        <v>3.2</v>
      </c>
      <c r="K91" s="100">
        <v>114.79</v>
      </c>
      <c r="L91" s="100">
        <v>33.479999999999997</v>
      </c>
      <c r="M91" s="100">
        <v>34.71</v>
      </c>
      <c r="N91" s="100">
        <v>22.5</v>
      </c>
      <c r="O91" s="100">
        <v>0</v>
      </c>
      <c r="P91" s="100">
        <v>0.76</v>
      </c>
      <c r="Q91" s="100">
        <v>27.52</v>
      </c>
      <c r="R91" s="6"/>
      <c r="S91" s="6"/>
      <c r="T91" s="156"/>
      <c r="U91" s="6"/>
    </row>
    <row r="92" spans="1:21" customFormat="1">
      <c r="A92" s="163" t="s">
        <v>707</v>
      </c>
      <c r="B92" s="100">
        <v>8.43</v>
      </c>
      <c r="C92" s="100">
        <v>42.93</v>
      </c>
      <c r="D92" s="100">
        <v>29.19</v>
      </c>
      <c r="E92" s="100">
        <v>4.66</v>
      </c>
      <c r="F92" s="100">
        <v>5.6</v>
      </c>
      <c r="G92" s="100">
        <v>36.33</v>
      </c>
      <c r="H92" s="100">
        <v>14.81</v>
      </c>
      <c r="I92" s="100">
        <v>14.63</v>
      </c>
      <c r="J92" s="100">
        <v>3.45</v>
      </c>
      <c r="K92" s="100">
        <v>100.41</v>
      </c>
      <c r="L92" s="100">
        <v>33.01</v>
      </c>
      <c r="M92" s="100">
        <v>36.340000000000003</v>
      </c>
      <c r="N92" s="100">
        <v>22.8</v>
      </c>
      <c r="O92" s="100">
        <v>0</v>
      </c>
      <c r="P92" s="100">
        <v>1.06</v>
      </c>
      <c r="Q92" s="100">
        <v>26.84</v>
      </c>
      <c r="R92" s="6"/>
      <c r="S92" s="6"/>
      <c r="T92" s="156"/>
      <c r="U92" s="6"/>
    </row>
    <row r="93" spans="1:21" customFormat="1">
      <c r="A93" s="163" t="s">
        <v>708</v>
      </c>
      <c r="B93" s="100">
        <v>8.57</v>
      </c>
      <c r="C93" s="100">
        <v>40.81</v>
      </c>
      <c r="D93" s="100">
        <v>28.2</v>
      </c>
      <c r="E93" s="100">
        <v>4.05</v>
      </c>
      <c r="F93" s="100">
        <v>6.77</v>
      </c>
      <c r="G93" s="100">
        <v>36.33</v>
      </c>
      <c r="H93" s="100">
        <v>14.81</v>
      </c>
      <c r="I93" s="100">
        <v>17.28</v>
      </c>
      <c r="J93" s="100">
        <v>3.43</v>
      </c>
      <c r="K93" s="100">
        <v>122.22</v>
      </c>
      <c r="L93" s="100">
        <v>32.75</v>
      </c>
      <c r="M93" s="100">
        <v>35.97</v>
      </c>
      <c r="N93" s="100">
        <v>22.7</v>
      </c>
      <c r="O93" s="100">
        <v>0</v>
      </c>
      <c r="P93" s="100">
        <v>1</v>
      </c>
      <c r="Q93" s="100">
        <v>26.83</v>
      </c>
      <c r="R93" s="6"/>
      <c r="S93" s="6"/>
      <c r="T93" s="156"/>
      <c r="U93" s="6"/>
    </row>
    <row r="94" spans="1:21" customFormat="1">
      <c r="A94" s="163" t="s">
        <v>709</v>
      </c>
      <c r="B94" s="100">
        <v>6.14</v>
      </c>
      <c r="C94" s="100">
        <v>35.97</v>
      </c>
      <c r="D94" s="100">
        <v>23.72</v>
      </c>
      <c r="E94" s="100">
        <v>3.6</v>
      </c>
      <c r="F94" s="100">
        <v>8.8000000000000007</v>
      </c>
      <c r="G94" s="100">
        <v>40.869999999999997</v>
      </c>
      <c r="H94" s="100">
        <v>18.649999999999999</v>
      </c>
      <c r="I94" s="100">
        <v>20.69</v>
      </c>
      <c r="J94" s="100">
        <v>3.44</v>
      </c>
      <c r="K94" s="100">
        <v>150.55000000000001</v>
      </c>
      <c r="L94" s="100">
        <v>32.659999999999997</v>
      </c>
      <c r="M94" s="100">
        <v>35.71</v>
      </c>
      <c r="N94" s="100">
        <v>22.8</v>
      </c>
      <c r="O94" s="100">
        <v>0</v>
      </c>
      <c r="P94" s="100">
        <v>0.98</v>
      </c>
      <c r="Q94" s="100">
        <v>26.97</v>
      </c>
      <c r="R94" s="6"/>
      <c r="S94" s="6"/>
      <c r="T94" s="156"/>
      <c r="U94" s="6"/>
    </row>
    <row r="95" spans="1:21" customFormat="1">
      <c r="A95" s="163" t="s">
        <v>710</v>
      </c>
      <c r="B95" s="100">
        <v>6.91</v>
      </c>
      <c r="C95" s="100">
        <v>38.06</v>
      </c>
      <c r="D95" s="100">
        <v>25.43</v>
      </c>
      <c r="E95" s="100">
        <v>3.96</v>
      </c>
      <c r="F95" s="100">
        <v>6.19</v>
      </c>
      <c r="G95" s="100">
        <v>48</v>
      </c>
      <c r="H95" s="100">
        <v>24.96</v>
      </c>
      <c r="I95" s="100">
        <v>20.94</v>
      </c>
      <c r="J95" s="100">
        <v>2.88</v>
      </c>
      <c r="K95" s="100">
        <v>187.23</v>
      </c>
      <c r="L95" s="100">
        <v>32.81</v>
      </c>
      <c r="M95" s="100">
        <v>36.57</v>
      </c>
      <c r="N95" s="100">
        <v>22.5</v>
      </c>
      <c r="O95" s="100">
        <v>0</v>
      </c>
      <c r="P95" s="100">
        <v>0.99</v>
      </c>
      <c r="Q95" s="100">
        <v>26.86</v>
      </c>
      <c r="R95" s="6"/>
      <c r="S95" s="6"/>
      <c r="T95" s="156"/>
      <c r="U95" s="6"/>
    </row>
    <row r="96" spans="1:21" customFormat="1">
      <c r="A96" s="163" t="s">
        <v>711</v>
      </c>
      <c r="B96" s="100">
        <v>9.18</v>
      </c>
      <c r="C96" s="100">
        <v>36.89</v>
      </c>
      <c r="D96" s="100">
        <v>26.63</v>
      </c>
      <c r="E96" s="100">
        <v>3.83</v>
      </c>
      <c r="F96" s="100">
        <v>5.78</v>
      </c>
      <c r="G96" s="100">
        <v>48</v>
      </c>
      <c r="H96" s="100">
        <v>24.96</v>
      </c>
      <c r="I96" s="100">
        <v>21.18</v>
      </c>
      <c r="J96" s="100">
        <v>3.25</v>
      </c>
      <c r="K96" s="100">
        <v>216.3</v>
      </c>
      <c r="L96" s="100">
        <v>32.96</v>
      </c>
      <c r="M96" s="100">
        <v>36.99</v>
      </c>
      <c r="N96" s="100">
        <v>22.5</v>
      </c>
      <c r="O96" s="100">
        <v>0</v>
      </c>
      <c r="P96" s="100">
        <v>0.88</v>
      </c>
      <c r="Q96" s="100">
        <v>26.78</v>
      </c>
      <c r="R96" s="6"/>
      <c r="S96" s="6"/>
      <c r="T96" s="156"/>
      <c r="U96" s="6"/>
    </row>
    <row r="97" spans="1:28" customFormat="1">
      <c r="A97" s="163" t="s">
        <v>712</v>
      </c>
      <c r="B97" s="100">
        <v>9.73</v>
      </c>
      <c r="C97" s="100">
        <v>33.71</v>
      </c>
      <c r="D97" s="100">
        <v>25.42</v>
      </c>
      <c r="E97" s="100">
        <v>3.48</v>
      </c>
      <c r="F97" s="100">
        <v>10.24</v>
      </c>
      <c r="G97" s="100">
        <v>48</v>
      </c>
      <c r="H97" s="100">
        <v>24.96</v>
      </c>
      <c r="I97" s="100">
        <v>20.67</v>
      </c>
      <c r="J97" s="100">
        <v>4.54</v>
      </c>
      <c r="K97" s="100">
        <v>17.3</v>
      </c>
      <c r="L97" s="100">
        <v>32.369999999999997</v>
      </c>
      <c r="M97" s="100">
        <v>39.19</v>
      </c>
      <c r="N97" s="100">
        <v>23.3</v>
      </c>
      <c r="O97" s="100">
        <v>0</v>
      </c>
      <c r="P97" s="100">
        <v>0.86</v>
      </c>
      <c r="Q97" s="100">
        <v>27.12</v>
      </c>
      <c r="R97" s="6"/>
      <c r="S97" s="6"/>
      <c r="T97" s="156"/>
      <c r="U97" s="6"/>
    </row>
    <row r="98" spans="1:28" customFormat="1">
      <c r="A98" s="163" t="s">
        <v>713</v>
      </c>
      <c r="B98" s="100">
        <v>8.08</v>
      </c>
      <c r="C98" s="100">
        <v>29.99</v>
      </c>
      <c r="D98" s="100">
        <v>22.15</v>
      </c>
      <c r="E98" s="100">
        <v>3.5</v>
      </c>
      <c r="F98" s="100">
        <v>15.31</v>
      </c>
      <c r="G98" s="100">
        <v>52.37</v>
      </c>
      <c r="H98" s="100">
        <v>24.75</v>
      </c>
      <c r="I98" s="100">
        <v>18.32</v>
      </c>
      <c r="J98" s="100">
        <v>4.3099999999999996</v>
      </c>
      <c r="K98" s="100">
        <v>28.85</v>
      </c>
      <c r="L98" s="100">
        <v>31.41</v>
      </c>
      <c r="M98" s="100">
        <v>39.65</v>
      </c>
      <c r="N98" s="100">
        <v>24.6</v>
      </c>
      <c r="O98" s="100">
        <v>0</v>
      </c>
      <c r="P98" s="100">
        <v>0.76</v>
      </c>
      <c r="Q98" s="100">
        <v>27.42</v>
      </c>
      <c r="R98" s="6"/>
      <c r="S98" s="6"/>
      <c r="T98" s="156"/>
      <c r="U98" s="6"/>
    </row>
    <row r="99" spans="1:28" customFormat="1">
      <c r="A99" s="163" t="s">
        <v>714</v>
      </c>
      <c r="B99" s="100">
        <v>7.59</v>
      </c>
      <c r="C99" s="100">
        <v>31.55</v>
      </c>
      <c r="D99" s="100">
        <v>22.57</v>
      </c>
      <c r="E99" s="100">
        <v>3.42</v>
      </c>
      <c r="F99" s="100">
        <v>9.69</v>
      </c>
      <c r="G99" s="100">
        <v>59.23</v>
      </c>
      <c r="H99" s="100">
        <v>24.39</v>
      </c>
      <c r="I99" s="100">
        <v>16.73</v>
      </c>
      <c r="J99" s="100">
        <v>2.9</v>
      </c>
      <c r="K99" s="100">
        <v>6</v>
      </c>
      <c r="L99" s="100">
        <v>30.17</v>
      </c>
      <c r="M99" s="100">
        <v>46.68</v>
      </c>
      <c r="N99" s="100">
        <v>26.1</v>
      </c>
      <c r="O99" s="100">
        <v>0</v>
      </c>
      <c r="P99" s="100">
        <v>0.76</v>
      </c>
      <c r="Q99" s="100">
        <v>27.4</v>
      </c>
      <c r="R99" s="6"/>
      <c r="S99" s="6"/>
      <c r="T99" s="156"/>
      <c r="U99" s="6"/>
    </row>
    <row r="100" spans="1:28" customFormat="1">
      <c r="A100" s="163" t="s">
        <v>715</v>
      </c>
      <c r="B100" s="100">
        <v>6.86</v>
      </c>
      <c r="C100" s="100">
        <v>35.15</v>
      </c>
      <c r="D100" s="100">
        <v>23.87</v>
      </c>
      <c r="E100" s="100">
        <v>2.89</v>
      </c>
      <c r="F100" s="100">
        <v>6.89</v>
      </c>
      <c r="G100" s="100">
        <v>59.23</v>
      </c>
      <c r="H100" s="100">
        <v>24.39</v>
      </c>
      <c r="I100" s="100">
        <v>15.34</v>
      </c>
      <c r="J100" s="100">
        <v>4.33</v>
      </c>
      <c r="K100" s="100">
        <v>19.41</v>
      </c>
      <c r="L100" s="100">
        <v>28.84</v>
      </c>
      <c r="M100" s="100">
        <v>51.34</v>
      </c>
      <c r="N100" s="100">
        <v>23.3</v>
      </c>
      <c r="O100" s="100">
        <v>0</v>
      </c>
      <c r="P100" s="100">
        <v>0.74</v>
      </c>
      <c r="Q100" s="100">
        <v>27.37</v>
      </c>
      <c r="R100" s="6"/>
      <c r="S100" s="6"/>
      <c r="T100" s="156"/>
      <c r="U100" s="6"/>
      <c r="AB100" s="161"/>
    </row>
    <row r="101" spans="1:28" customFormat="1">
      <c r="A101" s="163" t="s">
        <v>716</v>
      </c>
      <c r="B101" s="100">
        <v>6.11</v>
      </c>
      <c r="C101" s="100">
        <v>36.31</v>
      </c>
      <c r="D101" s="100">
        <v>23.87</v>
      </c>
      <c r="E101" s="100">
        <v>0.96</v>
      </c>
      <c r="F101" s="100">
        <v>7.06</v>
      </c>
      <c r="G101" s="100">
        <v>59.23</v>
      </c>
      <c r="H101" s="100">
        <v>24.39</v>
      </c>
      <c r="I101" s="100">
        <v>15.39</v>
      </c>
      <c r="J101" s="100">
        <v>4.32</v>
      </c>
      <c r="K101" s="100">
        <v>17.73</v>
      </c>
      <c r="L101" s="100">
        <v>28.84</v>
      </c>
      <c r="M101" s="100">
        <v>50.19</v>
      </c>
      <c r="N101" s="100">
        <v>23.2</v>
      </c>
      <c r="O101" s="100">
        <v>0</v>
      </c>
      <c r="P101" s="100">
        <v>0.7</v>
      </c>
      <c r="Q101" s="100">
        <v>27.4</v>
      </c>
      <c r="R101" s="6"/>
      <c r="S101" s="6"/>
      <c r="T101" s="156"/>
      <c r="U101" s="6"/>
    </row>
    <row r="102" spans="1:28" customFormat="1">
      <c r="A102" s="163" t="s">
        <v>717</v>
      </c>
      <c r="B102" s="100">
        <v>5.45</v>
      </c>
      <c r="C102" s="100">
        <v>35.44</v>
      </c>
      <c r="D102" s="100">
        <v>22.89</v>
      </c>
      <c r="E102" s="100">
        <v>1.98</v>
      </c>
      <c r="F102" s="100">
        <v>7.76</v>
      </c>
      <c r="G102" s="100">
        <v>56.45</v>
      </c>
      <c r="H102" s="100">
        <v>24.33</v>
      </c>
      <c r="I102" s="100">
        <v>15.23</v>
      </c>
      <c r="J102" s="100">
        <v>4.0599999999999996</v>
      </c>
      <c r="K102" s="100">
        <v>24.18</v>
      </c>
      <c r="L102" s="100">
        <v>28.58</v>
      </c>
      <c r="M102" s="100">
        <v>51.17</v>
      </c>
      <c r="N102" s="100">
        <v>23.3</v>
      </c>
      <c r="O102" s="100">
        <v>0</v>
      </c>
      <c r="P102" s="100">
        <v>0.68</v>
      </c>
      <c r="Q102" s="100">
        <v>27.5</v>
      </c>
      <c r="R102" s="6"/>
      <c r="S102" s="6"/>
      <c r="T102" s="156"/>
      <c r="U102" s="6"/>
    </row>
    <row r="103" spans="1:28" customFormat="1">
      <c r="A103" s="163" t="s">
        <v>718</v>
      </c>
      <c r="B103" s="100">
        <v>5.19</v>
      </c>
      <c r="C103" s="100">
        <v>36.4</v>
      </c>
      <c r="D103" s="100">
        <v>23.18</v>
      </c>
      <c r="E103" s="100">
        <v>2.13</v>
      </c>
      <c r="F103" s="100">
        <v>4.87</v>
      </c>
      <c r="G103" s="100">
        <v>52.07</v>
      </c>
      <c r="H103" s="100">
        <v>24.24</v>
      </c>
      <c r="I103" s="100">
        <v>14.79</v>
      </c>
      <c r="J103" s="100">
        <v>3.08</v>
      </c>
      <c r="K103" s="100">
        <v>82.56</v>
      </c>
      <c r="L103" s="100">
        <v>28.42</v>
      </c>
      <c r="M103" s="100">
        <v>52.21</v>
      </c>
      <c r="N103" s="100">
        <v>23.5</v>
      </c>
      <c r="O103" s="100">
        <v>0</v>
      </c>
      <c r="P103" s="100">
        <v>0.68</v>
      </c>
      <c r="Q103" s="100">
        <v>27.44</v>
      </c>
      <c r="R103" s="6"/>
      <c r="S103" s="6"/>
      <c r="T103" s="156"/>
      <c r="U103" s="6"/>
    </row>
    <row r="104" spans="1:28" customFormat="1">
      <c r="A104" s="163" t="s">
        <v>719</v>
      </c>
      <c r="B104" s="100">
        <v>5.4</v>
      </c>
      <c r="C104" s="100">
        <v>36.82</v>
      </c>
      <c r="D104" s="100">
        <v>23.57</v>
      </c>
      <c r="E104" s="100">
        <v>1.63</v>
      </c>
      <c r="F104" s="100">
        <v>3.85</v>
      </c>
      <c r="G104" s="100">
        <v>52.07</v>
      </c>
      <c r="H104" s="100">
        <v>24.24</v>
      </c>
      <c r="I104" s="100">
        <v>14.26</v>
      </c>
      <c r="J104" s="100">
        <v>2.25</v>
      </c>
      <c r="K104" s="100">
        <v>142.96</v>
      </c>
      <c r="L104" s="100">
        <v>28.47</v>
      </c>
      <c r="M104" s="100">
        <v>52.62</v>
      </c>
      <c r="N104" s="100">
        <v>22.6</v>
      </c>
      <c r="O104" s="100">
        <v>0</v>
      </c>
      <c r="P104" s="100">
        <v>0.66</v>
      </c>
      <c r="Q104" s="100">
        <v>27.43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-0.3</v>
      </c>
      <c r="C106" s="158">
        <f>MIN(C9:C104)</f>
        <v>-9.93</v>
      </c>
      <c r="D106" s="158">
        <f t="shared" ref="D106:Q106" si="0">MIN(D9:D104)</f>
        <v>1.77</v>
      </c>
      <c r="E106" s="158">
        <f t="shared" si="0"/>
        <v>0</v>
      </c>
      <c r="F106" s="158">
        <f t="shared" si="0"/>
        <v>2.4500000000000002</v>
      </c>
      <c r="G106" s="158">
        <f t="shared" si="0"/>
        <v>13.28</v>
      </c>
      <c r="H106" s="158">
        <f t="shared" si="0"/>
        <v>0.47</v>
      </c>
      <c r="I106" s="158">
        <f t="shared" si="0"/>
        <v>9.1</v>
      </c>
      <c r="J106" s="158">
        <f t="shared" si="0"/>
        <v>0.18</v>
      </c>
      <c r="K106" s="158">
        <f t="shared" si="0"/>
        <v>6</v>
      </c>
      <c r="L106" s="158">
        <f t="shared" si="0"/>
        <v>26.86</v>
      </c>
      <c r="M106" s="158">
        <f t="shared" si="0"/>
        <v>17.62</v>
      </c>
      <c r="N106" s="158">
        <f t="shared" si="0"/>
        <v>22.5</v>
      </c>
      <c r="O106" s="158">
        <f t="shared" si="0"/>
        <v>0</v>
      </c>
      <c r="P106" s="158">
        <f t="shared" si="0"/>
        <v>0.43</v>
      </c>
      <c r="Q106" s="158">
        <f t="shared" si="0"/>
        <v>26.78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217.09</v>
      </c>
      <c r="C107" s="157">
        <f t="shared" ref="C107:Q107" si="1">MAX(C9:C104)</f>
        <v>47.81</v>
      </c>
      <c r="D107" s="157">
        <f t="shared" si="1"/>
        <v>182.99</v>
      </c>
      <c r="E107" s="157">
        <f t="shared" si="1"/>
        <v>19.600000000000001</v>
      </c>
      <c r="F107" s="157">
        <f t="shared" si="1"/>
        <v>40.25</v>
      </c>
      <c r="G107" s="157">
        <f t="shared" si="1"/>
        <v>92.51</v>
      </c>
      <c r="H107" s="157">
        <f t="shared" si="1"/>
        <v>29.48</v>
      </c>
      <c r="I107" s="157">
        <f t="shared" si="1"/>
        <v>21.18</v>
      </c>
      <c r="J107" s="157">
        <f t="shared" si="1"/>
        <v>5.07</v>
      </c>
      <c r="K107" s="157">
        <f t="shared" si="1"/>
        <v>340.7</v>
      </c>
      <c r="L107" s="157">
        <f t="shared" si="1"/>
        <v>39.51</v>
      </c>
      <c r="M107" s="157">
        <f t="shared" si="1"/>
        <v>56.47</v>
      </c>
      <c r="N107" s="157">
        <f t="shared" si="1"/>
        <v>950.5</v>
      </c>
      <c r="O107" s="157">
        <f t="shared" si="1"/>
        <v>0</v>
      </c>
      <c r="P107" s="157">
        <f t="shared" si="1"/>
        <v>1.06</v>
      </c>
      <c r="Q107" s="157">
        <f t="shared" si="1"/>
        <v>28.8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10.108437500000004</v>
      </c>
      <c r="C108" s="158">
        <f t="shared" ref="C108:Q108" si="2">AVERAGE(C9:C104)</f>
        <v>30.151874999999993</v>
      </c>
      <c r="D108" s="158">
        <f t="shared" si="2"/>
        <v>24.329374999999999</v>
      </c>
      <c r="E108" s="158">
        <f t="shared" si="2"/>
        <v>3.1602083333333337</v>
      </c>
      <c r="F108" s="158">
        <f t="shared" si="2"/>
        <v>11.618229166666666</v>
      </c>
      <c r="G108" s="158">
        <f t="shared" si="2"/>
        <v>46.247717391304306</v>
      </c>
      <c r="H108" s="158">
        <f t="shared" si="2"/>
        <v>16.536086956521743</v>
      </c>
      <c r="I108" s="158">
        <f t="shared" si="2"/>
        <v>12.429166666666667</v>
      </c>
      <c r="J108" s="158">
        <f t="shared" si="2"/>
        <v>1.9830208333333337</v>
      </c>
      <c r="K108" s="158">
        <f t="shared" si="2"/>
        <v>172.05479166666666</v>
      </c>
      <c r="L108" s="158">
        <f t="shared" si="2"/>
        <v>32.672499999999992</v>
      </c>
      <c r="M108" s="158">
        <f t="shared" si="2"/>
        <v>36.864687499999995</v>
      </c>
      <c r="N108" s="158">
        <f t="shared" si="2"/>
        <v>252.06874999999991</v>
      </c>
      <c r="O108" s="158">
        <f t="shared" si="2"/>
        <v>0</v>
      </c>
      <c r="P108" s="158">
        <f t="shared" si="2"/>
        <v>0.57968750000000013</v>
      </c>
      <c r="Q108" s="158">
        <f t="shared" si="2"/>
        <v>27.791979166666668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27.10363499910066</v>
      </c>
      <c r="C109" s="158">
        <f t="shared" ref="C109:Q109" si="3">STDEV(C9:C104)</f>
        <v>9.6313544232530646</v>
      </c>
      <c r="D109" s="158">
        <f t="shared" si="3"/>
        <v>20.910858564895229</v>
      </c>
      <c r="E109" s="158">
        <f t="shared" si="3"/>
        <v>2.5953545459721381</v>
      </c>
      <c r="F109" s="158">
        <f t="shared" si="3"/>
        <v>9.7992439015296853</v>
      </c>
      <c r="G109" s="158">
        <f t="shared" si="3"/>
        <v>15.805381967167062</v>
      </c>
      <c r="H109" s="158">
        <f t="shared" si="3"/>
        <v>8.3649220428862456</v>
      </c>
      <c r="I109" s="158">
        <f t="shared" si="3"/>
        <v>2.735152325852074</v>
      </c>
      <c r="J109" s="158">
        <f t="shared" si="3"/>
        <v>1.2720850019526919</v>
      </c>
      <c r="K109" s="158">
        <f t="shared" si="3"/>
        <v>80.111761236270326</v>
      </c>
      <c r="L109" s="158">
        <f t="shared" si="3"/>
        <v>4.1650793888939566</v>
      </c>
      <c r="M109" s="158">
        <f t="shared" si="3"/>
        <v>12.066187463375343</v>
      </c>
      <c r="N109" s="158">
        <f t="shared" si="3"/>
        <v>313.85658552325435</v>
      </c>
      <c r="O109" s="158">
        <f t="shared" si="3"/>
        <v>0</v>
      </c>
      <c r="P109" s="158">
        <f t="shared" si="3"/>
        <v>0.12739869556466682</v>
      </c>
      <c r="Q109" s="158">
        <f t="shared" si="3"/>
        <v>0.58940044432620675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2" sqref="H12: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720</v>
      </c>
      <c r="B9" s="100">
        <v>5.44</v>
      </c>
      <c r="C9" s="100">
        <v>45.72</v>
      </c>
      <c r="D9" s="100">
        <v>28.25</v>
      </c>
      <c r="E9" s="100">
        <v>1.69</v>
      </c>
      <c r="F9" s="100">
        <v>4.62</v>
      </c>
      <c r="G9" s="100">
        <v>52.07</v>
      </c>
      <c r="H9" s="100">
        <v>24.24</v>
      </c>
      <c r="I9" s="100">
        <v>14.18</v>
      </c>
      <c r="J9" s="100">
        <v>1.35</v>
      </c>
      <c r="K9" s="100">
        <v>113.94</v>
      </c>
      <c r="L9" s="100">
        <v>28.42</v>
      </c>
      <c r="M9" s="100">
        <v>52.78</v>
      </c>
      <c r="N9" s="100">
        <v>22.8</v>
      </c>
      <c r="O9" s="100">
        <v>0</v>
      </c>
      <c r="P9" s="100">
        <v>0.64</v>
      </c>
      <c r="Q9" s="100">
        <v>27.25</v>
      </c>
      <c r="R9" s="6"/>
      <c r="S9" s="6"/>
      <c r="T9" s="156"/>
      <c r="U9" s="6"/>
    </row>
    <row r="10" spans="1:21" customFormat="1">
      <c r="A10" s="163" t="s">
        <v>721</v>
      </c>
      <c r="B10" s="100">
        <v>5.43</v>
      </c>
      <c r="C10" s="100">
        <v>33.409999999999997</v>
      </c>
      <c r="D10" s="100">
        <v>21.81</v>
      </c>
      <c r="E10" s="100">
        <v>1.62</v>
      </c>
      <c r="F10" s="100">
        <v>5.67</v>
      </c>
      <c r="G10" s="100">
        <v>51.66</v>
      </c>
      <c r="H10" s="100">
        <v>23.89</v>
      </c>
      <c r="I10" s="100">
        <v>14.08</v>
      </c>
      <c r="J10" s="100">
        <v>2.02</v>
      </c>
      <c r="K10" s="100">
        <v>116.14</v>
      </c>
      <c r="L10" s="100">
        <v>28.15</v>
      </c>
      <c r="M10" s="100">
        <v>54.57</v>
      </c>
      <c r="N10" s="100">
        <v>22.7</v>
      </c>
      <c r="O10" s="100">
        <v>0</v>
      </c>
      <c r="P10" s="100">
        <v>0.63</v>
      </c>
      <c r="Q10" s="100">
        <v>27.6</v>
      </c>
      <c r="R10" s="6"/>
      <c r="S10" s="6"/>
      <c r="T10" s="156"/>
      <c r="U10" s="6"/>
    </row>
    <row r="11" spans="1:21" customFormat="1">
      <c r="A11" s="163" t="s">
        <v>722</v>
      </c>
      <c r="B11" s="100">
        <v>5.4</v>
      </c>
      <c r="C11" s="100">
        <v>31.56</v>
      </c>
      <c r="D11" s="100">
        <v>20.82</v>
      </c>
      <c r="E11" s="100">
        <v>1.38</v>
      </c>
      <c r="F11" s="100">
        <v>4.51</v>
      </c>
      <c r="G11" s="100">
        <v>51.02</v>
      </c>
      <c r="H11" s="100">
        <v>23.36</v>
      </c>
      <c r="I11" s="100">
        <v>13.81</v>
      </c>
      <c r="J11" s="100">
        <v>1.34</v>
      </c>
      <c r="K11" s="100">
        <v>123.16</v>
      </c>
      <c r="L11" s="100">
        <v>28.23</v>
      </c>
      <c r="M11" s="100">
        <v>53.67</v>
      </c>
      <c r="N11" s="100">
        <v>22.5</v>
      </c>
      <c r="O11" s="100">
        <v>0</v>
      </c>
      <c r="P11" s="100">
        <v>0.64</v>
      </c>
      <c r="Q11" s="100">
        <v>27.7</v>
      </c>
      <c r="R11" s="6"/>
      <c r="S11" s="6"/>
      <c r="T11" s="156"/>
      <c r="U11" s="6"/>
    </row>
    <row r="12" spans="1:21" customFormat="1">
      <c r="A12" s="163" t="s">
        <v>723</v>
      </c>
      <c r="B12" s="100">
        <v>5.39</v>
      </c>
      <c r="C12" s="100">
        <v>32.28</v>
      </c>
      <c r="D12" s="100">
        <v>21.19</v>
      </c>
      <c r="E12" s="100">
        <v>1.74</v>
      </c>
      <c r="F12" s="100">
        <v>4.3099999999999996</v>
      </c>
      <c r="G12" s="100">
        <v>51.02</v>
      </c>
      <c r="H12" s="100">
        <v>23.36</v>
      </c>
      <c r="I12" s="100">
        <v>13.29</v>
      </c>
      <c r="J12" s="100">
        <v>1.7</v>
      </c>
      <c r="K12" s="100">
        <v>56.54</v>
      </c>
      <c r="L12" s="100">
        <v>28.16</v>
      </c>
      <c r="M12" s="100">
        <v>54.66</v>
      </c>
      <c r="N12" s="100">
        <v>22.6</v>
      </c>
      <c r="O12" s="100">
        <v>0</v>
      </c>
      <c r="P12" s="100">
        <v>0.64</v>
      </c>
      <c r="Q12" s="100">
        <v>27.65</v>
      </c>
      <c r="R12" s="6"/>
      <c r="S12" s="6"/>
      <c r="T12" s="156"/>
      <c r="U12" s="6"/>
    </row>
    <row r="13" spans="1:21" customFormat="1">
      <c r="A13" s="163" t="s">
        <v>724</v>
      </c>
      <c r="B13" s="100">
        <v>5.45</v>
      </c>
      <c r="C13" s="100">
        <v>33.31</v>
      </c>
      <c r="D13" s="100">
        <v>21.77</v>
      </c>
      <c r="E13" s="100">
        <v>1.88</v>
      </c>
      <c r="F13" s="100">
        <v>4.84</v>
      </c>
      <c r="G13" s="100">
        <v>51.02</v>
      </c>
      <c r="H13" s="100">
        <v>23.36</v>
      </c>
      <c r="I13" s="100">
        <v>13.13</v>
      </c>
      <c r="J13" s="100">
        <v>1.01</v>
      </c>
      <c r="K13" s="100">
        <v>61.66</v>
      </c>
      <c r="L13" s="100">
        <v>28.04</v>
      </c>
      <c r="M13" s="100">
        <v>54.28</v>
      </c>
      <c r="N13" s="100">
        <v>22.7</v>
      </c>
      <c r="O13" s="100">
        <v>0</v>
      </c>
      <c r="P13" s="100">
        <v>0.63</v>
      </c>
      <c r="Q13" s="100">
        <v>27.62</v>
      </c>
      <c r="R13" s="6"/>
      <c r="S13" s="6"/>
      <c r="T13" s="156"/>
      <c r="U13" s="6"/>
    </row>
    <row r="14" spans="1:21" customFormat="1">
      <c r="A14" s="163" t="s">
        <v>725</v>
      </c>
      <c r="B14" s="100">
        <v>5.53</v>
      </c>
      <c r="C14" s="100">
        <v>34.03</v>
      </c>
      <c r="D14" s="100">
        <v>22.21</v>
      </c>
      <c r="E14" s="100">
        <v>1.9</v>
      </c>
      <c r="F14" s="100">
        <v>6.25</v>
      </c>
      <c r="G14" s="100">
        <v>51.17</v>
      </c>
      <c r="H14" s="100">
        <v>24</v>
      </c>
      <c r="I14" s="100">
        <v>12.89</v>
      </c>
      <c r="J14" s="100">
        <v>1.52</v>
      </c>
      <c r="K14" s="100">
        <v>75.47</v>
      </c>
      <c r="L14" s="100">
        <v>27.94</v>
      </c>
      <c r="M14" s="100">
        <v>54.01</v>
      </c>
      <c r="N14" s="100">
        <v>22.7</v>
      </c>
      <c r="O14" s="100">
        <v>0</v>
      </c>
      <c r="P14" s="100">
        <v>0.61</v>
      </c>
      <c r="Q14" s="100">
        <v>27.58</v>
      </c>
      <c r="R14" s="6"/>
      <c r="S14" s="6"/>
      <c r="T14" s="156"/>
      <c r="U14" s="6"/>
    </row>
    <row r="15" spans="1:21" customFormat="1">
      <c r="A15" s="163" t="s">
        <v>726</v>
      </c>
      <c r="B15" s="100">
        <v>5.64</v>
      </c>
      <c r="C15" s="100">
        <v>35.69</v>
      </c>
      <c r="D15" s="100">
        <v>23.17</v>
      </c>
      <c r="E15" s="100">
        <v>2.15</v>
      </c>
      <c r="F15" s="100">
        <v>5.7</v>
      </c>
      <c r="G15" s="100">
        <v>51.43</v>
      </c>
      <c r="H15" s="100">
        <v>25.05</v>
      </c>
      <c r="I15" s="100">
        <v>12.54</v>
      </c>
      <c r="J15" s="100">
        <v>1.8</v>
      </c>
      <c r="K15" s="100">
        <v>89.24</v>
      </c>
      <c r="L15" s="100">
        <v>28</v>
      </c>
      <c r="M15" s="100">
        <v>53.23</v>
      </c>
      <c r="N15" s="100">
        <v>22.8</v>
      </c>
      <c r="O15" s="100">
        <v>0</v>
      </c>
      <c r="P15" s="100">
        <v>0.6</v>
      </c>
      <c r="Q15" s="100">
        <v>27.51</v>
      </c>
      <c r="R15" s="6"/>
      <c r="S15" s="6"/>
      <c r="T15" s="156"/>
      <c r="U15" s="6"/>
    </row>
    <row r="16" spans="1:21" customFormat="1">
      <c r="A16" s="163" t="s">
        <v>727</v>
      </c>
      <c r="B16" s="100">
        <v>6.08</v>
      </c>
      <c r="C16" s="100">
        <v>38.020000000000003</v>
      </c>
      <c r="D16" s="100">
        <v>24.74</v>
      </c>
      <c r="E16" s="100">
        <v>1.69</v>
      </c>
      <c r="F16" s="100">
        <v>4.38</v>
      </c>
      <c r="G16" s="100">
        <v>51.43</v>
      </c>
      <c r="H16" s="100">
        <v>25.05</v>
      </c>
      <c r="I16" s="100">
        <v>12.13</v>
      </c>
      <c r="J16" s="100">
        <v>1.89</v>
      </c>
      <c r="K16" s="100">
        <v>48.73</v>
      </c>
      <c r="L16" s="100">
        <v>28.05</v>
      </c>
      <c r="M16" s="100">
        <v>53.7</v>
      </c>
      <c r="N16" s="100">
        <v>22.6</v>
      </c>
      <c r="O16" s="100">
        <v>0</v>
      </c>
      <c r="P16" s="100">
        <v>0.61</v>
      </c>
      <c r="Q16" s="100">
        <v>27.39</v>
      </c>
      <c r="R16" s="6"/>
      <c r="S16" s="6"/>
      <c r="T16" s="156"/>
      <c r="U16" s="6"/>
    </row>
    <row r="17" spans="1:21" customFormat="1">
      <c r="A17" s="163" t="s">
        <v>728</v>
      </c>
      <c r="B17" s="100">
        <v>6.69</v>
      </c>
      <c r="C17" s="100">
        <v>40.369999999999997</v>
      </c>
      <c r="D17" s="100">
        <v>26.46</v>
      </c>
      <c r="E17" s="100">
        <v>2.3199999999999998</v>
      </c>
      <c r="F17" s="100">
        <v>3.17</v>
      </c>
      <c r="G17" s="100">
        <v>51.43</v>
      </c>
      <c r="H17" s="100">
        <v>25.05</v>
      </c>
      <c r="I17" s="100">
        <v>11.94</v>
      </c>
      <c r="J17" s="100">
        <v>2.75</v>
      </c>
      <c r="K17" s="100">
        <v>157.74</v>
      </c>
      <c r="L17" s="100">
        <v>28.07</v>
      </c>
      <c r="M17" s="100">
        <v>55.03</v>
      </c>
      <c r="N17" s="100">
        <v>22.9</v>
      </c>
      <c r="O17" s="100">
        <v>0</v>
      </c>
      <c r="P17" s="100">
        <v>0.6</v>
      </c>
      <c r="Q17" s="100">
        <v>27.22</v>
      </c>
      <c r="R17" s="6"/>
      <c r="S17" s="6"/>
      <c r="T17" s="156"/>
      <c r="U17" s="6"/>
    </row>
    <row r="18" spans="1:21" customFormat="1">
      <c r="A18" s="163" t="s">
        <v>729</v>
      </c>
      <c r="B18" s="100">
        <v>7.36</v>
      </c>
      <c r="C18" s="100">
        <v>39.6</v>
      </c>
      <c r="D18" s="100">
        <v>26.59</v>
      </c>
      <c r="E18" s="100">
        <v>2.5</v>
      </c>
      <c r="F18" s="100">
        <v>2.72</v>
      </c>
      <c r="G18" s="100">
        <v>52.99</v>
      </c>
      <c r="H18" s="100">
        <v>25.42</v>
      </c>
      <c r="I18" s="100">
        <v>12.06</v>
      </c>
      <c r="J18" s="100">
        <v>1.81</v>
      </c>
      <c r="K18" s="100">
        <v>252.35</v>
      </c>
      <c r="L18" s="100">
        <v>28.23</v>
      </c>
      <c r="M18" s="100">
        <v>53.58</v>
      </c>
      <c r="N18" s="100">
        <v>22.4</v>
      </c>
      <c r="O18" s="100">
        <v>0</v>
      </c>
      <c r="P18" s="100">
        <v>0.6</v>
      </c>
      <c r="Q18" s="100">
        <v>27.21</v>
      </c>
      <c r="R18" s="6"/>
      <c r="S18" s="6"/>
      <c r="T18" s="156"/>
      <c r="U18" s="6"/>
    </row>
    <row r="19" spans="1:21" customFormat="1">
      <c r="A19" s="163" t="s">
        <v>730</v>
      </c>
      <c r="B19" s="100">
        <v>8.16</v>
      </c>
      <c r="C19" s="100">
        <v>39.04</v>
      </c>
      <c r="D19" s="100">
        <v>26.94</v>
      </c>
      <c r="E19" s="100">
        <v>2.33</v>
      </c>
      <c r="F19" s="100">
        <v>2.61</v>
      </c>
      <c r="G19" s="100">
        <v>55.55</v>
      </c>
      <c r="H19" s="100">
        <v>26.03</v>
      </c>
      <c r="I19" s="100">
        <v>12.15</v>
      </c>
      <c r="J19" s="100">
        <v>4.74</v>
      </c>
      <c r="K19" s="100">
        <v>250.18</v>
      </c>
      <c r="L19" s="100">
        <v>28.11</v>
      </c>
      <c r="M19" s="100">
        <v>55.85</v>
      </c>
      <c r="N19" s="100">
        <v>23.3</v>
      </c>
      <c r="O19" s="100">
        <v>0</v>
      </c>
      <c r="P19" s="100">
        <v>0.59</v>
      </c>
      <c r="Q19" s="100">
        <v>27.2</v>
      </c>
      <c r="R19" s="6"/>
      <c r="S19" s="6"/>
      <c r="T19" s="156"/>
      <c r="U19" s="6"/>
    </row>
    <row r="20" spans="1:21" customFormat="1">
      <c r="A20" s="163" t="s">
        <v>731</v>
      </c>
      <c r="B20" s="100">
        <v>8.27</v>
      </c>
      <c r="C20" s="100">
        <v>38.32</v>
      </c>
      <c r="D20" s="100">
        <v>26.65</v>
      </c>
      <c r="E20" s="100">
        <v>2.88</v>
      </c>
      <c r="F20" s="100">
        <v>2.82</v>
      </c>
      <c r="G20" s="100">
        <v>55.55</v>
      </c>
      <c r="H20" s="100">
        <v>26.03</v>
      </c>
      <c r="I20" s="100">
        <v>12.14</v>
      </c>
      <c r="J20" s="100">
        <v>5.22</v>
      </c>
      <c r="K20" s="100">
        <v>237.86</v>
      </c>
      <c r="L20" s="100">
        <v>27.23</v>
      </c>
      <c r="M20" s="100">
        <v>58.5</v>
      </c>
      <c r="N20" s="100">
        <v>24</v>
      </c>
      <c r="O20" s="100">
        <v>0</v>
      </c>
      <c r="P20" s="100">
        <v>0.56999999999999995</v>
      </c>
      <c r="Q20" s="100">
        <v>27.23</v>
      </c>
      <c r="R20" s="6"/>
      <c r="S20" s="6"/>
      <c r="T20" s="156"/>
      <c r="U20" s="6"/>
    </row>
    <row r="21" spans="1:21" customFormat="1">
      <c r="A21" s="163" t="s">
        <v>732</v>
      </c>
      <c r="B21" s="100">
        <v>7.55</v>
      </c>
      <c r="C21" s="100">
        <v>37.51</v>
      </c>
      <c r="D21" s="100">
        <v>25.65</v>
      </c>
      <c r="E21" s="100">
        <v>2.4</v>
      </c>
      <c r="F21" s="100">
        <v>2.94</v>
      </c>
      <c r="G21" s="100">
        <v>55.55</v>
      </c>
      <c r="H21" s="100">
        <v>26.03</v>
      </c>
      <c r="I21" s="100">
        <v>12.07</v>
      </c>
      <c r="J21" s="100">
        <v>3.73</v>
      </c>
      <c r="K21" s="100">
        <v>202.95</v>
      </c>
      <c r="L21" s="100">
        <v>27.59</v>
      </c>
      <c r="M21" s="100">
        <v>52.04</v>
      </c>
      <c r="N21" s="100">
        <v>22.9</v>
      </c>
      <c r="O21" s="100">
        <v>0</v>
      </c>
      <c r="P21" s="100">
        <v>0.54</v>
      </c>
      <c r="Q21" s="100">
        <v>27.29</v>
      </c>
      <c r="R21" s="6"/>
      <c r="S21" s="6"/>
      <c r="T21" s="156"/>
      <c r="U21" s="6"/>
    </row>
    <row r="22" spans="1:21" customFormat="1">
      <c r="A22" s="163" t="s">
        <v>733</v>
      </c>
      <c r="B22" s="100">
        <v>7.45</v>
      </c>
      <c r="C22" s="100">
        <v>42.93</v>
      </c>
      <c r="D22" s="100">
        <v>28.4</v>
      </c>
      <c r="E22" s="100">
        <v>2.72</v>
      </c>
      <c r="F22" s="100">
        <v>2.87</v>
      </c>
      <c r="G22" s="100">
        <v>55.07</v>
      </c>
      <c r="H22" s="100">
        <v>25.08</v>
      </c>
      <c r="I22" s="100">
        <v>11.78</v>
      </c>
      <c r="J22" s="100">
        <v>3.55</v>
      </c>
      <c r="K22" s="100">
        <v>209.84</v>
      </c>
      <c r="L22" s="100">
        <v>27.77</v>
      </c>
      <c r="M22" s="100">
        <v>48.29</v>
      </c>
      <c r="N22" s="100">
        <v>22.8</v>
      </c>
      <c r="O22" s="100">
        <v>0</v>
      </c>
      <c r="P22" s="100">
        <v>0.52</v>
      </c>
      <c r="Q22" s="100">
        <v>27.16</v>
      </c>
      <c r="R22" s="6"/>
      <c r="S22" s="6"/>
      <c r="T22" s="156"/>
      <c r="U22" s="6"/>
    </row>
    <row r="23" spans="1:21" customFormat="1">
      <c r="A23" s="163" t="s">
        <v>734</v>
      </c>
      <c r="B23" s="100">
        <v>7.48</v>
      </c>
      <c r="C23" s="100">
        <v>34.17</v>
      </c>
      <c r="D23" s="100">
        <v>23.85</v>
      </c>
      <c r="E23" s="100">
        <v>2.63</v>
      </c>
      <c r="F23" s="100">
        <v>2.94</v>
      </c>
      <c r="G23" s="100">
        <v>54.26</v>
      </c>
      <c r="H23" s="100">
        <v>23.51</v>
      </c>
      <c r="I23" s="100">
        <v>11.46</v>
      </c>
      <c r="J23" s="100">
        <v>3.41</v>
      </c>
      <c r="K23" s="100">
        <v>207.37</v>
      </c>
      <c r="L23" s="100">
        <v>27.81</v>
      </c>
      <c r="M23" s="100">
        <v>46.7</v>
      </c>
      <c r="N23" s="100">
        <v>22.9</v>
      </c>
      <c r="O23" s="100">
        <v>0</v>
      </c>
      <c r="P23" s="100">
        <v>0.51</v>
      </c>
      <c r="Q23" s="100">
        <v>27.5</v>
      </c>
      <c r="R23" s="6"/>
      <c r="S23" s="6"/>
      <c r="T23" s="156"/>
      <c r="U23" s="6"/>
    </row>
    <row r="24" spans="1:21" customFormat="1">
      <c r="A24" s="163" t="s">
        <v>735</v>
      </c>
      <c r="B24" s="100">
        <v>7.26</v>
      </c>
      <c r="C24" s="100">
        <v>29.8</v>
      </c>
      <c r="D24" s="100">
        <v>21.39</v>
      </c>
      <c r="E24" s="100">
        <v>1.69</v>
      </c>
      <c r="F24" s="100">
        <v>3.13</v>
      </c>
      <c r="G24" s="100">
        <v>54.26</v>
      </c>
      <c r="H24" s="100">
        <v>23.51</v>
      </c>
      <c r="I24" s="100">
        <v>11.35</v>
      </c>
      <c r="J24" s="100">
        <v>3.14</v>
      </c>
      <c r="K24" s="100">
        <v>197.34</v>
      </c>
      <c r="L24" s="100">
        <v>27.86</v>
      </c>
      <c r="M24" s="100">
        <v>45.83</v>
      </c>
      <c r="N24" s="100">
        <v>22.9</v>
      </c>
      <c r="O24" s="100">
        <v>0</v>
      </c>
      <c r="P24" s="100">
        <v>0.51</v>
      </c>
      <c r="Q24" s="100">
        <v>27.76</v>
      </c>
      <c r="R24" s="6"/>
      <c r="S24" s="6"/>
      <c r="T24" s="156"/>
      <c r="U24" s="6"/>
    </row>
    <row r="25" spans="1:21" customFormat="1">
      <c r="A25" s="163" t="s">
        <v>736</v>
      </c>
      <c r="B25" s="100">
        <v>7.07</v>
      </c>
      <c r="C25" s="100">
        <v>31.27</v>
      </c>
      <c r="D25" s="100">
        <v>22.01</v>
      </c>
      <c r="E25" s="100">
        <v>1.83</v>
      </c>
      <c r="F25" s="100">
        <v>3.14</v>
      </c>
      <c r="G25" s="100">
        <v>54.26</v>
      </c>
      <c r="H25" s="100">
        <v>23.51</v>
      </c>
      <c r="I25" s="100">
        <v>11.1</v>
      </c>
      <c r="J25" s="100">
        <v>2.39</v>
      </c>
      <c r="K25" s="100">
        <v>132.97</v>
      </c>
      <c r="L25" s="100">
        <v>27.51</v>
      </c>
      <c r="M25" s="100">
        <v>47.33</v>
      </c>
      <c r="N25" s="100">
        <v>23.2</v>
      </c>
      <c r="O25" s="100">
        <v>0</v>
      </c>
      <c r="P25" s="100">
        <v>0.5</v>
      </c>
      <c r="Q25" s="100">
        <v>27.84</v>
      </c>
      <c r="R25" s="6"/>
      <c r="S25" s="6"/>
      <c r="T25" s="156"/>
      <c r="U25" s="6"/>
    </row>
    <row r="26" spans="1:21" customFormat="1">
      <c r="A26" s="163" t="s">
        <v>737</v>
      </c>
      <c r="B26" s="100">
        <v>6.8</v>
      </c>
      <c r="C26" s="100">
        <v>33.130000000000003</v>
      </c>
      <c r="D26" s="100">
        <v>22.76</v>
      </c>
      <c r="E26" s="100">
        <v>1.77</v>
      </c>
      <c r="F26" s="100">
        <v>5.04</v>
      </c>
      <c r="G26" s="100">
        <v>49.95</v>
      </c>
      <c r="H26" s="100">
        <v>21.85</v>
      </c>
      <c r="I26" s="100">
        <v>10.81</v>
      </c>
      <c r="J26" s="100">
        <v>2.58</v>
      </c>
      <c r="K26" s="100">
        <v>104.78</v>
      </c>
      <c r="L26" s="100">
        <v>27.15</v>
      </c>
      <c r="M26" s="100">
        <v>49.33</v>
      </c>
      <c r="N26" s="100">
        <v>23.2</v>
      </c>
      <c r="O26" s="100">
        <v>0</v>
      </c>
      <c r="P26" s="100">
        <v>0.49</v>
      </c>
      <c r="Q26" s="100">
        <v>27.9</v>
      </c>
      <c r="R26" s="6"/>
      <c r="S26" s="6"/>
      <c r="T26" s="156"/>
      <c r="U26" s="6"/>
    </row>
    <row r="27" spans="1:21" customFormat="1">
      <c r="A27" s="163" t="s">
        <v>738</v>
      </c>
      <c r="B27" s="100">
        <v>6.92</v>
      </c>
      <c r="C27" s="100">
        <v>35.28</v>
      </c>
      <c r="D27" s="100">
        <v>23.98</v>
      </c>
      <c r="E27" s="100">
        <v>1.55</v>
      </c>
      <c r="F27" s="100">
        <v>3.75</v>
      </c>
      <c r="G27" s="100">
        <v>42.85</v>
      </c>
      <c r="H27" s="100">
        <v>19.13</v>
      </c>
      <c r="I27" s="100">
        <v>10.5</v>
      </c>
      <c r="J27" s="100">
        <v>2.84</v>
      </c>
      <c r="K27" s="100">
        <v>97.77</v>
      </c>
      <c r="L27" s="100">
        <v>27.05</v>
      </c>
      <c r="M27" s="100">
        <v>49.69</v>
      </c>
      <c r="N27" s="100">
        <v>23</v>
      </c>
      <c r="O27" s="100">
        <v>0</v>
      </c>
      <c r="P27" s="100">
        <v>0.48</v>
      </c>
      <c r="Q27" s="100">
        <v>27.64</v>
      </c>
      <c r="R27" s="6"/>
      <c r="S27" s="6"/>
      <c r="T27" s="156"/>
      <c r="U27" s="6"/>
    </row>
    <row r="28" spans="1:21" customFormat="1">
      <c r="A28" s="163" t="s">
        <v>739</v>
      </c>
      <c r="B28" s="100">
        <v>7.22</v>
      </c>
      <c r="C28" s="100">
        <v>35.44</v>
      </c>
      <c r="D28" s="100">
        <v>24.31</v>
      </c>
      <c r="E28" s="100">
        <v>1.47</v>
      </c>
      <c r="F28" s="100">
        <v>3.36</v>
      </c>
      <c r="G28" s="100">
        <v>42.85</v>
      </c>
      <c r="H28" s="100">
        <v>19.13</v>
      </c>
      <c r="I28" s="100">
        <v>10.130000000000001</v>
      </c>
      <c r="J28" s="100">
        <v>2.68</v>
      </c>
      <c r="K28" s="100">
        <v>69.67</v>
      </c>
      <c r="L28" s="100">
        <v>27.03</v>
      </c>
      <c r="M28" s="100">
        <v>50.32</v>
      </c>
      <c r="N28" s="100">
        <v>22.9</v>
      </c>
      <c r="O28" s="100">
        <v>0</v>
      </c>
      <c r="P28" s="100">
        <v>0.48</v>
      </c>
      <c r="Q28" s="100">
        <v>27.56</v>
      </c>
      <c r="R28" s="6"/>
      <c r="S28" s="6"/>
      <c r="T28" s="156"/>
      <c r="U28" s="6"/>
    </row>
    <row r="29" spans="1:21" customFormat="1">
      <c r="A29" s="163" t="s">
        <v>740</v>
      </c>
      <c r="B29" s="100">
        <v>8.1</v>
      </c>
      <c r="C29" s="100">
        <v>36.26</v>
      </c>
      <c r="D29" s="100">
        <v>25.44</v>
      </c>
      <c r="E29" s="100">
        <v>0.59</v>
      </c>
      <c r="F29" s="100">
        <v>3.35</v>
      </c>
      <c r="G29" s="100">
        <v>42.85</v>
      </c>
      <c r="H29" s="100">
        <v>19.13</v>
      </c>
      <c r="I29" s="100">
        <v>9.9700000000000006</v>
      </c>
      <c r="J29" s="100">
        <v>2.56</v>
      </c>
      <c r="K29" s="100">
        <v>84.29</v>
      </c>
      <c r="L29" s="100">
        <v>27.05</v>
      </c>
      <c r="M29" s="100">
        <v>49.81</v>
      </c>
      <c r="N29" s="100">
        <v>23.1</v>
      </c>
      <c r="O29" s="100">
        <v>0</v>
      </c>
      <c r="P29" s="100">
        <v>0.46</v>
      </c>
      <c r="Q29" s="100">
        <v>27.5</v>
      </c>
      <c r="R29" s="6"/>
      <c r="S29" s="6"/>
      <c r="T29" s="156"/>
      <c r="U29" s="6"/>
    </row>
    <row r="30" spans="1:21" customFormat="1">
      <c r="A30" s="163" t="s">
        <v>741</v>
      </c>
      <c r="B30" s="100">
        <v>8.5299999999999994</v>
      </c>
      <c r="C30" s="100">
        <v>35.880000000000003</v>
      </c>
      <c r="D30" s="100">
        <v>25.58</v>
      </c>
      <c r="E30" s="100">
        <v>1.51</v>
      </c>
      <c r="F30" s="100">
        <v>3.62</v>
      </c>
      <c r="G30" s="100">
        <v>41.83</v>
      </c>
      <c r="H30" s="100">
        <v>18.09</v>
      </c>
      <c r="I30" s="100">
        <v>9.94</v>
      </c>
      <c r="J30" s="100">
        <v>1.92</v>
      </c>
      <c r="K30" s="100">
        <v>120.2</v>
      </c>
      <c r="L30" s="100">
        <v>27.17</v>
      </c>
      <c r="M30" s="100">
        <v>49.89</v>
      </c>
      <c r="N30" s="100">
        <v>24.6</v>
      </c>
      <c r="O30" s="100">
        <v>0</v>
      </c>
      <c r="P30" s="100">
        <v>0.45</v>
      </c>
      <c r="Q30" s="100">
        <v>27.51</v>
      </c>
      <c r="R30" s="6"/>
      <c r="S30" s="6"/>
      <c r="T30" s="156"/>
      <c r="U30" s="6"/>
    </row>
    <row r="31" spans="1:21" customFormat="1">
      <c r="A31" s="163" t="s">
        <v>742</v>
      </c>
      <c r="B31" s="100">
        <v>8.86</v>
      </c>
      <c r="C31" s="100">
        <v>35.19</v>
      </c>
      <c r="D31" s="100">
        <v>25.49</v>
      </c>
      <c r="E31" s="100">
        <v>1.34</v>
      </c>
      <c r="F31" s="100">
        <v>3.72</v>
      </c>
      <c r="G31" s="100">
        <v>40.14</v>
      </c>
      <c r="H31" s="100">
        <v>16.37</v>
      </c>
      <c r="I31" s="100">
        <v>9.84</v>
      </c>
      <c r="J31" s="100">
        <v>2.0099999999999998</v>
      </c>
      <c r="K31" s="100">
        <v>194.31</v>
      </c>
      <c r="L31" s="100">
        <v>27.62</v>
      </c>
      <c r="M31" s="100">
        <v>48.91</v>
      </c>
      <c r="N31" s="100">
        <v>29.2</v>
      </c>
      <c r="O31" s="100">
        <v>0</v>
      </c>
      <c r="P31" s="100">
        <v>0.44</v>
      </c>
      <c r="Q31" s="100">
        <v>27.56</v>
      </c>
      <c r="R31" s="6"/>
      <c r="S31" s="6"/>
      <c r="T31" s="156"/>
      <c r="U31" s="6"/>
    </row>
    <row r="32" spans="1:21" customFormat="1">
      <c r="A32" s="163" t="s">
        <v>743</v>
      </c>
      <c r="B32" s="100">
        <v>9.3000000000000007</v>
      </c>
      <c r="C32" s="100">
        <v>35.6</v>
      </c>
      <c r="D32" s="100">
        <v>26.06</v>
      </c>
      <c r="E32" s="100">
        <v>1.63</v>
      </c>
      <c r="F32" s="100">
        <v>2.7</v>
      </c>
      <c r="G32" s="100">
        <v>40.14</v>
      </c>
      <c r="H32" s="100">
        <v>16.37</v>
      </c>
      <c r="I32" s="100">
        <v>9.7899999999999991</v>
      </c>
      <c r="J32" s="100">
        <v>3.87</v>
      </c>
      <c r="K32" s="100">
        <v>246.85</v>
      </c>
      <c r="L32" s="100">
        <v>28.14</v>
      </c>
      <c r="M32" s="100">
        <v>46.79</v>
      </c>
      <c r="N32" s="100">
        <v>37.700000000000003</v>
      </c>
      <c r="O32" s="100">
        <v>0</v>
      </c>
      <c r="P32" s="100">
        <v>0.43</v>
      </c>
      <c r="Q32" s="100">
        <v>27.51</v>
      </c>
      <c r="R32" s="6"/>
      <c r="S32" s="6"/>
      <c r="T32" s="156"/>
      <c r="U32" s="6"/>
    </row>
    <row r="33" spans="1:21" customFormat="1">
      <c r="A33" s="163" t="s">
        <v>744</v>
      </c>
      <c r="B33" s="100">
        <v>9.6199999999999992</v>
      </c>
      <c r="C33" s="100">
        <v>35.6</v>
      </c>
      <c r="D33" s="100">
        <v>26.31</v>
      </c>
      <c r="E33" s="100">
        <v>1.93</v>
      </c>
      <c r="F33" s="100">
        <v>2.68</v>
      </c>
      <c r="G33" s="100">
        <v>40.14</v>
      </c>
      <c r="H33" s="100">
        <v>16.37</v>
      </c>
      <c r="I33" s="100">
        <v>9.68</v>
      </c>
      <c r="J33" s="100">
        <v>4.34</v>
      </c>
      <c r="K33" s="100">
        <v>232.82</v>
      </c>
      <c r="L33" s="100">
        <v>27.59</v>
      </c>
      <c r="M33" s="100">
        <v>50.44</v>
      </c>
      <c r="N33" s="100">
        <v>43.1</v>
      </c>
      <c r="O33" s="100">
        <v>0</v>
      </c>
      <c r="P33" s="100">
        <v>0.42</v>
      </c>
      <c r="Q33" s="100">
        <v>27.46</v>
      </c>
      <c r="R33" s="6"/>
      <c r="S33" s="6"/>
      <c r="T33" s="156"/>
      <c r="U33" s="6"/>
    </row>
    <row r="34" spans="1:21" customFormat="1">
      <c r="A34" s="163" t="s">
        <v>745</v>
      </c>
      <c r="B34" s="100">
        <v>9.8800000000000008</v>
      </c>
      <c r="C34" s="100">
        <v>35.26</v>
      </c>
      <c r="D34" s="100">
        <v>26.35</v>
      </c>
      <c r="E34" s="100">
        <v>1.91</v>
      </c>
      <c r="F34" s="100">
        <v>2.59</v>
      </c>
      <c r="G34" s="100">
        <v>39.380000000000003</v>
      </c>
      <c r="H34" s="100">
        <v>14.66</v>
      </c>
      <c r="I34" s="100">
        <v>9.73</v>
      </c>
      <c r="J34" s="100">
        <v>3.96</v>
      </c>
      <c r="K34" s="100">
        <v>238.56</v>
      </c>
      <c r="L34" s="100">
        <v>27.27</v>
      </c>
      <c r="M34" s="100">
        <v>52.37</v>
      </c>
      <c r="N34" s="100">
        <v>48</v>
      </c>
      <c r="O34" s="100">
        <v>0</v>
      </c>
      <c r="P34" s="100">
        <v>0.42</v>
      </c>
      <c r="Q34" s="100">
        <v>27.47</v>
      </c>
      <c r="R34" s="6"/>
      <c r="S34" s="6"/>
      <c r="T34" s="156"/>
      <c r="U34" s="6"/>
    </row>
    <row r="35" spans="1:21" customFormat="1">
      <c r="A35" s="163" t="s">
        <v>746</v>
      </c>
      <c r="B35" s="100">
        <v>10.25</v>
      </c>
      <c r="C35" s="100">
        <v>37.99</v>
      </c>
      <c r="D35" s="100">
        <v>28.06</v>
      </c>
      <c r="E35" s="100">
        <v>1.87</v>
      </c>
      <c r="F35" s="100">
        <v>2.44</v>
      </c>
      <c r="G35" s="100">
        <v>38.14</v>
      </c>
      <c r="H35" s="100">
        <v>11.84</v>
      </c>
      <c r="I35" s="100">
        <v>9.7100000000000009</v>
      </c>
      <c r="J35" s="100">
        <v>2.98</v>
      </c>
      <c r="K35" s="100">
        <v>230.59</v>
      </c>
      <c r="L35" s="100">
        <v>27.17</v>
      </c>
      <c r="M35" s="100">
        <v>53.35</v>
      </c>
      <c r="N35" s="100">
        <v>63.3</v>
      </c>
      <c r="O35" s="100">
        <v>0</v>
      </c>
      <c r="P35" s="100">
        <v>0.41</v>
      </c>
      <c r="Q35" s="100">
        <v>27.37</v>
      </c>
      <c r="R35" s="6"/>
      <c r="S35" s="6"/>
      <c r="T35" s="156"/>
      <c r="U35" s="6"/>
    </row>
    <row r="36" spans="1:21" customFormat="1">
      <c r="A36" s="163" t="s">
        <v>747</v>
      </c>
      <c r="B36" s="100">
        <v>10.83</v>
      </c>
      <c r="C36" s="100">
        <v>34.4</v>
      </c>
      <c r="D36" s="100">
        <v>26.65</v>
      </c>
      <c r="E36" s="100">
        <v>1.61</v>
      </c>
      <c r="F36" s="100">
        <v>2.69</v>
      </c>
      <c r="G36" s="100">
        <v>38.14</v>
      </c>
      <c r="H36" s="100">
        <v>11.84</v>
      </c>
      <c r="I36" s="100">
        <v>9.57</v>
      </c>
      <c r="J36" s="100">
        <v>2.5</v>
      </c>
      <c r="K36" s="100">
        <v>238.56</v>
      </c>
      <c r="L36" s="100">
        <v>27.3</v>
      </c>
      <c r="M36" s="100">
        <v>52.77</v>
      </c>
      <c r="N36" s="100">
        <v>80.8</v>
      </c>
      <c r="O36" s="100">
        <v>0</v>
      </c>
      <c r="P36" s="100">
        <v>0.4</v>
      </c>
      <c r="Q36" s="100">
        <v>27.47</v>
      </c>
      <c r="R36" s="6"/>
      <c r="S36" s="6"/>
      <c r="T36" s="156"/>
      <c r="U36" s="6"/>
    </row>
    <row r="37" spans="1:21" customFormat="1">
      <c r="A37" s="163" t="s">
        <v>748</v>
      </c>
      <c r="B37" s="100">
        <v>11.41</v>
      </c>
      <c r="C37" s="100">
        <v>31.12</v>
      </c>
      <c r="D37" s="100">
        <v>25.41</v>
      </c>
      <c r="E37" s="100">
        <v>1.1499999999999999</v>
      </c>
      <c r="F37" s="100">
        <v>2.52</v>
      </c>
      <c r="G37" s="100">
        <v>38.14</v>
      </c>
      <c r="H37" s="100">
        <v>11.84</v>
      </c>
      <c r="I37" s="100">
        <v>9.59</v>
      </c>
      <c r="J37" s="100">
        <v>0.64</v>
      </c>
      <c r="K37" s="100">
        <v>203.4</v>
      </c>
      <c r="L37" s="100">
        <v>27.74</v>
      </c>
      <c r="M37" s="100">
        <v>51.12</v>
      </c>
      <c r="N37" s="100">
        <v>116.5</v>
      </c>
      <c r="O37" s="100">
        <v>0</v>
      </c>
      <c r="P37" s="100">
        <v>0.42</v>
      </c>
      <c r="Q37" s="100">
        <v>27.57</v>
      </c>
      <c r="R37" s="6"/>
      <c r="S37" s="6"/>
      <c r="T37" s="156"/>
      <c r="U37" s="6"/>
    </row>
    <row r="38" spans="1:21" customFormat="1">
      <c r="A38" s="163" t="s">
        <v>749</v>
      </c>
      <c r="B38" s="100">
        <v>11.94</v>
      </c>
      <c r="C38" s="100">
        <v>32.479999999999997</v>
      </c>
      <c r="D38" s="100">
        <v>26.54</v>
      </c>
      <c r="E38" s="100">
        <v>1.21</v>
      </c>
      <c r="F38" s="100">
        <v>2.68</v>
      </c>
      <c r="G38" s="100">
        <v>38.97</v>
      </c>
      <c r="H38" s="100">
        <v>12.51</v>
      </c>
      <c r="I38" s="100">
        <v>9.51</v>
      </c>
      <c r="J38" s="100">
        <v>2.89</v>
      </c>
      <c r="K38" s="100">
        <v>265.72000000000003</v>
      </c>
      <c r="L38" s="100">
        <v>27.97</v>
      </c>
      <c r="M38" s="100">
        <v>48.98</v>
      </c>
      <c r="N38" s="100">
        <v>129.30000000000001</v>
      </c>
      <c r="O38" s="100">
        <v>0</v>
      </c>
      <c r="P38" s="100">
        <v>0.43</v>
      </c>
      <c r="Q38" s="100">
        <v>27.42</v>
      </c>
      <c r="R38" s="6"/>
      <c r="S38" s="6"/>
      <c r="T38" s="156"/>
      <c r="U38" s="6"/>
    </row>
    <row r="39" spans="1:21" customFormat="1">
      <c r="A39" s="163" t="s">
        <v>750</v>
      </c>
      <c r="B39" s="100">
        <v>12.16</v>
      </c>
      <c r="C39" s="100">
        <v>35.06</v>
      </c>
      <c r="D39" s="100">
        <v>28.07</v>
      </c>
      <c r="E39" s="100">
        <v>1.34</v>
      </c>
      <c r="F39" s="100">
        <v>3.02</v>
      </c>
      <c r="G39" s="100">
        <v>40.35</v>
      </c>
      <c r="H39" s="100">
        <v>13.61</v>
      </c>
      <c r="I39" s="100">
        <v>9.66</v>
      </c>
      <c r="J39" s="100">
        <v>0.89</v>
      </c>
      <c r="K39" s="100">
        <v>41</v>
      </c>
      <c r="L39" s="100">
        <v>28.3</v>
      </c>
      <c r="M39" s="100">
        <v>49.36</v>
      </c>
      <c r="N39" s="100">
        <v>114.2</v>
      </c>
      <c r="O39" s="100">
        <v>0</v>
      </c>
      <c r="P39" s="100">
        <v>0.45</v>
      </c>
      <c r="Q39" s="100">
        <v>27.28</v>
      </c>
      <c r="R39" s="6"/>
      <c r="S39" s="6"/>
      <c r="T39" s="156"/>
      <c r="U39" s="6"/>
    </row>
    <row r="40" spans="1:21" customFormat="1">
      <c r="A40" s="163" t="s">
        <v>751</v>
      </c>
      <c r="B40" s="100">
        <v>12.44</v>
      </c>
      <c r="C40" s="100">
        <v>35.840000000000003</v>
      </c>
      <c r="D40" s="100">
        <v>28.7</v>
      </c>
      <c r="E40" s="100">
        <v>0.99</v>
      </c>
      <c r="F40" s="100">
        <v>3.66</v>
      </c>
      <c r="G40" s="100">
        <v>40.35</v>
      </c>
      <c r="H40" s="100">
        <v>13.61</v>
      </c>
      <c r="I40" s="100">
        <v>9.8000000000000007</v>
      </c>
      <c r="J40" s="100">
        <v>2.0499999999999998</v>
      </c>
      <c r="K40" s="100">
        <v>29.23</v>
      </c>
      <c r="L40" s="100">
        <v>28.39</v>
      </c>
      <c r="M40" s="100">
        <v>47.42</v>
      </c>
      <c r="N40" s="100">
        <v>210.3</v>
      </c>
      <c r="O40" s="100">
        <v>0</v>
      </c>
      <c r="P40" s="100">
        <v>0.46</v>
      </c>
      <c r="Q40" s="100">
        <v>27.18</v>
      </c>
      <c r="R40" s="6"/>
      <c r="S40" s="6"/>
      <c r="T40" s="156"/>
      <c r="U40" s="6"/>
    </row>
    <row r="41" spans="1:21" customFormat="1">
      <c r="A41" s="163" t="s">
        <v>752</v>
      </c>
      <c r="B41" s="100">
        <v>12.55</v>
      </c>
      <c r="C41" s="100">
        <v>35.58</v>
      </c>
      <c r="D41" s="100">
        <v>28.66</v>
      </c>
      <c r="E41" s="100">
        <v>0.82</v>
      </c>
      <c r="F41" s="100">
        <v>3.46</v>
      </c>
      <c r="G41" s="100">
        <v>40.35</v>
      </c>
      <c r="H41" s="100">
        <v>13.61</v>
      </c>
      <c r="I41" s="100">
        <v>9.9700000000000006</v>
      </c>
      <c r="J41" s="100">
        <v>0.2</v>
      </c>
      <c r="K41" s="100">
        <v>14.8</v>
      </c>
      <c r="L41" s="100">
        <v>29.11</v>
      </c>
      <c r="M41" s="100">
        <v>45.72</v>
      </c>
      <c r="N41" s="100">
        <v>314.60000000000002</v>
      </c>
      <c r="O41" s="100">
        <v>0</v>
      </c>
      <c r="P41" s="100">
        <v>0.46</v>
      </c>
      <c r="Q41" s="100">
        <v>27.18</v>
      </c>
      <c r="R41" s="6"/>
      <c r="S41" s="6"/>
      <c r="T41" s="156"/>
      <c r="U41" s="6"/>
    </row>
    <row r="42" spans="1:21" customFormat="1">
      <c r="A42" s="163" t="s">
        <v>753</v>
      </c>
      <c r="B42" s="100">
        <v>12.35</v>
      </c>
      <c r="C42" s="100">
        <v>35.130000000000003</v>
      </c>
      <c r="D42" s="100">
        <v>28.26</v>
      </c>
      <c r="E42" s="100">
        <v>1.25</v>
      </c>
      <c r="F42" s="100">
        <v>3.61</v>
      </c>
      <c r="G42" s="100">
        <v>44.96</v>
      </c>
      <c r="H42" s="100">
        <v>15.57</v>
      </c>
      <c r="I42" s="100">
        <v>10.11</v>
      </c>
      <c r="J42" s="100">
        <v>1.57</v>
      </c>
      <c r="K42" s="100">
        <v>264.57</v>
      </c>
      <c r="L42" s="100">
        <v>29.72</v>
      </c>
      <c r="M42" s="100">
        <v>43.59</v>
      </c>
      <c r="N42" s="100">
        <v>300.10000000000002</v>
      </c>
      <c r="O42" s="100">
        <v>0</v>
      </c>
      <c r="P42" s="100">
        <v>0.46</v>
      </c>
      <c r="Q42" s="100">
        <v>27.21</v>
      </c>
      <c r="R42" s="6"/>
      <c r="S42" s="6"/>
      <c r="T42" s="156"/>
      <c r="U42" s="6"/>
    </row>
    <row r="43" spans="1:21" customFormat="1">
      <c r="A43" s="163" t="s">
        <v>754</v>
      </c>
      <c r="B43" s="100">
        <v>12.34</v>
      </c>
      <c r="C43" s="100">
        <v>34.68</v>
      </c>
      <c r="D43" s="100">
        <v>28.02</v>
      </c>
      <c r="E43" s="100">
        <v>1.26</v>
      </c>
      <c r="F43" s="100">
        <v>3.3</v>
      </c>
      <c r="G43" s="100">
        <v>52.55</v>
      </c>
      <c r="H43" s="100">
        <v>18.809999999999999</v>
      </c>
      <c r="I43" s="100">
        <v>10.06</v>
      </c>
      <c r="J43" s="100">
        <v>1.63</v>
      </c>
      <c r="K43" s="100">
        <v>343.35</v>
      </c>
      <c r="L43" s="100">
        <v>30.24</v>
      </c>
      <c r="M43" s="100">
        <v>42.79</v>
      </c>
      <c r="N43" s="100">
        <v>315.5</v>
      </c>
      <c r="O43" s="100">
        <v>0</v>
      </c>
      <c r="P43" s="100">
        <v>0.45</v>
      </c>
      <c r="Q43" s="100">
        <v>27.27</v>
      </c>
      <c r="R43" s="6"/>
      <c r="S43" s="6"/>
      <c r="T43" s="156"/>
      <c r="U43" s="6"/>
    </row>
    <row r="44" spans="1:21" customFormat="1">
      <c r="A44" s="163" t="s">
        <v>755</v>
      </c>
      <c r="B44" s="100">
        <v>12.15</v>
      </c>
      <c r="C44" s="100">
        <v>34.83</v>
      </c>
      <c r="D44" s="100">
        <v>27.94</v>
      </c>
      <c r="E44" s="100">
        <v>1.37</v>
      </c>
      <c r="F44" s="100">
        <v>3.2</v>
      </c>
      <c r="G44" s="100">
        <v>52.55</v>
      </c>
      <c r="H44" s="100">
        <v>18.809999999999999</v>
      </c>
      <c r="I44" s="100">
        <v>10.039999999999999</v>
      </c>
      <c r="J44" s="100">
        <v>2.9</v>
      </c>
      <c r="K44" s="100">
        <v>257.48</v>
      </c>
      <c r="L44" s="100">
        <v>30.43</v>
      </c>
      <c r="M44" s="100">
        <v>41.55</v>
      </c>
      <c r="N44" s="100">
        <v>199.6</v>
      </c>
      <c r="O44" s="100">
        <v>0</v>
      </c>
      <c r="P44" s="100">
        <v>0.45</v>
      </c>
      <c r="Q44" s="100">
        <v>27.3</v>
      </c>
      <c r="R44" s="6"/>
      <c r="S44" s="6"/>
      <c r="T44" s="156"/>
      <c r="U44" s="6"/>
    </row>
    <row r="45" spans="1:21" customFormat="1">
      <c r="A45" s="163" t="s">
        <v>756</v>
      </c>
      <c r="B45" s="100">
        <v>11.86</v>
      </c>
      <c r="C45" s="100">
        <v>35.03</v>
      </c>
      <c r="D45" s="100">
        <v>27.81</v>
      </c>
      <c r="E45" s="100">
        <v>1.67</v>
      </c>
      <c r="F45" s="100">
        <v>3.17</v>
      </c>
      <c r="G45" s="100">
        <v>52.55</v>
      </c>
      <c r="H45" s="100">
        <v>18.809999999999999</v>
      </c>
      <c r="I45" s="100">
        <v>10.16</v>
      </c>
      <c r="J45" s="100">
        <v>2.92</v>
      </c>
      <c r="K45" s="100">
        <v>230.02</v>
      </c>
      <c r="L45" s="100">
        <v>31.29</v>
      </c>
      <c r="M45" s="100">
        <v>38.57</v>
      </c>
      <c r="N45" s="100">
        <v>228.3</v>
      </c>
      <c r="O45" s="100">
        <v>0</v>
      </c>
      <c r="P45" s="100">
        <v>0.45</v>
      </c>
      <c r="Q45" s="100">
        <v>27.32</v>
      </c>
      <c r="R45" s="6"/>
      <c r="S45" s="6"/>
      <c r="T45" s="156"/>
      <c r="U45" s="6"/>
    </row>
    <row r="46" spans="1:21" customFormat="1">
      <c r="A46" s="163" t="s">
        <v>757</v>
      </c>
      <c r="B46" s="100">
        <v>11.35</v>
      </c>
      <c r="C46" s="100">
        <v>35.35</v>
      </c>
      <c r="D46" s="100">
        <v>27.57</v>
      </c>
      <c r="E46" s="100">
        <v>1.33</v>
      </c>
      <c r="F46" s="100">
        <v>3.52</v>
      </c>
      <c r="G46" s="100">
        <v>53.09</v>
      </c>
      <c r="H46" s="100">
        <v>19.010000000000002</v>
      </c>
      <c r="I46" s="100">
        <v>10.18</v>
      </c>
      <c r="J46" s="100">
        <v>3.85</v>
      </c>
      <c r="K46" s="100">
        <v>245.77</v>
      </c>
      <c r="L46" s="100">
        <v>32.049999999999997</v>
      </c>
      <c r="M46" s="100">
        <v>33.06</v>
      </c>
      <c r="N46" s="100">
        <v>385.4</v>
      </c>
      <c r="O46" s="100">
        <v>0</v>
      </c>
      <c r="P46" s="100">
        <v>0.45</v>
      </c>
      <c r="Q46" s="100">
        <v>27.34</v>
      </c>
      <c r="R46" s="6"/>
      <c r="S46" s="6"/>
      <c r="T46" s="156"/>
      <c r="U46" s="6"/>
    </row>
    <row r="47" spans="1:21" customFormat="1">
      <c r="A47" s="163" t="s">
        <v>758</v>
      </c>
      <c r="B47" s="100">
        <v>10.63</v>
      </c>
      <c r="C47" s="100">
        <v>35.11</v>
      </c>
      <c r="D47" s="100">
        <v>26.87</v>
      </c>
      <c r="E47" s="100">
        <v>1.49</v>
      </c>
      <c r="F47" s="100">
        <v>4.4400000000000004</v>
      </c>
      <c r="G47" s="100">
        <v>53.99</v>
      </c>
      <c r="H47" s="100">
        <v>19.34</v>
      </c>
      <c r="I47" s="100">
        <v>10.28</v>
      </c>
      <c r="J47" s="100">
        <v>1.1299999999999999</v>
      </c>
      <c r="K47" s="100">
        <v>269.27999999999997</v>
      </c>
      <c r="L47" s="100">
        <v>32.31</v>
      </c>
      <c r="M47" s="100">
        <v>31.42</v>
      </c>
      <c r="N47" s="100">
        <v>638.79999999999995</v>
      </c>
      <c r="O47" s="100">
        <v>0</v>
      </c>
      <c r="P47" s="100">
        <v>0.45</v>
      </c>
      <c r="Q47" s="100">
        <v>27.37</v>
      </c>
      <c r="R47" s="6"/>
      <c r="S47" s="6"/>
      <c r="T47" s="156"/>
      <c r="U47" s="6"/>
    </row>
    <row r="48" spans="1:21" customFormat="1">
      <c r="A48" s="163" t="s">
        <v>759</v>
      </c>
      <c r="B48" s="100">
        <v>9.81</v>
      </c>
      <c r="C48" s="100">
        <v>36.86</v>
      </c>
      <c r="D48" s="100">
        <v>27.12</v>
      </c>
      <c r="E48" s="100">
        <v>1.57</v>
      </c>
      <c r="F48" s="100">
        <v>4.32</v>
      </c>
      <c r="G48" s="100">
        <v>53.99</v>
      </c>
      <c r="H48" s="100">
        <v>19.34</v>
      </c>
      <c r="I48" s="100">
        <v>10.32</v>
      </c>
      <c r="J48" s="100">
        <v>3</v>
      </c>
      <c r="K48" s="100">
        <v>241.28</v>
      </c>
      <c r="L48" s="100">
        <v>33.1</v>
      </c>
      <c r="M48" s="100">
        <v>29.86</v>
      </c>
      <c r="N48" s="100">
        <v>774.2</v>
      </c>
      <c r="O48" s="100">
        <v>0</v>
      </c>
      <c r="P48" s="100">
        <v>0.44</v>
      </c>
      <c r="Q48" s="100">
        <v>27.46</v>
      </c>
      <c r="R48" s="6"/>
      <c r="S48" s="6"/>
      <c r="T48" s="156"/>
      <c r="U48" s="6"/>
    </row>
    <row r="49" spans="1:21" customFormat="1">
      <c r="A49" s="163" t="s">
        <v>760</v>
      </c>
      <c r="B49" s="100">
        <v>10.47</v>
      </c>
      <c r="C49" s="100">
        <v>33.4</v>
      </c>
      <c r="D49" s="100">
        <v>25.85</v>
      </c>
      <c r="E49" s="100">
        <v>2.0099999999999998</v>
      </c>
      <c r="F49" s="100">
        <v>8.2899999999999991</v>
      </c>
      <c r="G49" s="100">
        <v>53.99</v>
      </c>
      <c r="H49" s="100">
        <v>19.34</v>
      </c>
      <c r="I49" s="100">
        <v>10.27</v>
      </c>
      <c r="J49" s="100">
        <v>2.31</v>
      </c>
      <c r="K49" s="100">
        <v>210.29</v>
      </c>
      <c r="L49" s="100">
        <v>33.82</v>
      </c>
      <c r="M49" s="100">
        <v>29.91</v>
      </c>
      <c r="N49" s="100">
        <v>800.5</v>
      </c>
      <c r="O49" s="100">
        <v>0</v>
      </c>
      <c r="P49" s="100">
        <v>0.43</v>
      </c>
      <c r="Q49" s="100">
        <v>27.42</v>
      </c>
      <c r="R49" s="6"/>
      <c r="S49" s="6"/>
      <c r="T49" s="156"/>
      <c r="U49" s="6"/>
    </row>
    <row r="50" spans="1:21" customFormat="1">
      <c r="A50" s="163" t="s">
        <v>761</v>
      </c>
      <c r="B50" s="100">
        <v>8.6199999999999992</v>
      </c>
      <c r="C50" s="100">
        <v>31.67</v>
      </c>
      <c r="D50" s="100">
        <v>23.46</v>
      </c>
      <c r="E50" s="100">
        <v>1.35</v>
      </c>
      <c r="F50" s="100">
        <v>6.87</v>
      </c>
      <c r="G50" s="100">
        <v>51.02</v>
      </c>
      <c r="H50" s="100">
        <v>17.89</v>
      </c>
      <c r="I50" s="100">
        <v>10.199999999999999</v>
      </c>
      <c r="J50" s="100">
        <v>3.43</v>
      </c>
      <c r="K50" s="100">
        <v>237.52</v>
      </c>
      <c r="L50" s="100">
        <v>34.11</v>
      </c>
      <c r="M50" s="100">
        <v>28.76</v>
      </c>
      <c r="N50" s="100">
        <v>825.8</v>
      </c>
      <c r="O50" s="100">
        <v>0</v>
      </c>
      <c r="P50" s="100">
        <v>0.45</v>
      </c>
      <c r="Q50" s="100">
        <v>27.6</v>
      </c>
      <c r="R50" s="6"/>
      <c r="S50" s="6"/>
      <c r="T50" s="156"/>
      <c r="U50" s="6"/>
    </row>
    <row r="51" spans="1:21" customFormat="1">
      <c r="A51" s="163" t="s">
        <v>762</v>
      </c>
      <c r="B51" s="100">
        <v>6.91</v>
      </c>
      <c r="C51" s="100">
        <v>30.05</v>
      </c>
      <c r="D51" s="100">
        <v>21.24</v>
      </c>
      <c r="E51" s="100">
        <v>0.94</v>
      </c>
      <c r="F51" s="100">
        <v>28.59</v>
      </c>
      <c r="G51" s="100">
        <v>46.13</v>
      </c>
      <c r="H51" s="100">
        <v>15.5</v>
      </c>
      <c r="I51" s="100">
        <v>10.15</v>
      </c>
      <c r="J51" s="100">
        <v>3.43</v>
      </c>
      <c r="K51" s="100">
        <v>188.84</v>
      </c>
      <c r="L51" s="100">
        <v>34.880000000000003</v>
      </c>
      <c r="M51" s="100">
        <v>28.54</v>
      </c>
      <c r="N51" s="100">
        <v>838.9</v>
      </c>
      <c r="O51" s="100">
        <v>0</v>
      </c>
      <c r="P51" s="100">
        <v>0.62</v>
      </c>
      <c r="Q51" s="100">
        <v>27.73</v>
      </c>
      <c r="R51" s="6"/>
      <c r="S51" s="6"/>
      <c r="T51" s="156"/>
      <c r="U51" s="6"/>
    </row>
    <row r="52" spans="1:21" customFormat="1">
      <c r="A52" s="163" t="s">
        <v>763</v>
      </c>
      <c r="B52" s="100">
        <v>2.97</v>
      </c>
      <c r="C52" s="100">
        <v>33.61</v>
      </c>
      <c r="D52" s="100">
        <v>19.940000000000001</v>
      </c>
      <c r="E52" s="100">
        <v>0.02</v>
      </c>
      <c r="F52" s="100">
        <v>27</v>
      </c>
      <c r="G52" s="100">
        <v>46.13</v>
      </c>
      <c r="H52" s="100">
        <v>15.5</v>
      </c>
      <c r="I52" s="100">
        <v>10.55</v>
      </c>
      <c r="J52" s="100">
        <v>4.91</v>
      </c>
      <c r="K52" s="100">
        <v>221.49</v>
      </c>
      <c r="L52" s="100">
        <v>34.85</v>
      </c>
      <c r="M52" s="100">
        <v>28.01</v>
      </c>
      <c r="N52" s="100">
        <v>864.9</v>
      </c>
      <c r="O52" s="100">
        <v>0</v>
      </c>
      <c r="P52" s="100">
        <v>0.82</v>
      </c>
      <c r="Q52" s="100">
        <v>27.68</v>
      </c>
      <c r="R52" s="6"/>
      <c r="S52" s="6"/>
      <c r="T52" s="156"/>
      <c r="U52" s="6"/>
    </row>
    <row r="53" spans="1:21" customFormat="1">
      <c r="A53" s="163" t="s">
        <v>764</v>
      </c>
      <c r="B53" s="100">
        <v>1.69</v>
      </c>
      <c r="C53" s="100">
        <v>29.07</v>
      </c>
      <c r="D53" s="100">
        <v>16.54</v>
      </c>
      <c r="E53" s="100">
        <v>1.38</v>
      </c>
      <c r="F53" s="100">
        <v>37.159999999999997</v>
      </c>
      <c r="G53" s="100">
        <v>46.13</v>
      </c>
      <c r="H53" s="100">
        <v>15.5</v>
      </c>
      <c r="I53" s="100">
        <v>12.99</v>
      </c>
      <c r="J53" s="100">
        <v>4.67</v>
      </c>
      <c r="K53" s="100">
        <v>189.76</v>
      </c>
      <c r="L53" s="100">
        <v>35.67</v>
      </c>
      <c r="M53" s="100">
        <v>26.55</v>
      </c>
      <c r="N53" s="100">
        <v>891</v>
      </c>
      <c r="O53" s="100">
        <v>0</v>
      </c>
      <c r="P53" s="100">
        <v>0.71</v>
      </c>
      <c r="Q53" s="100">
        <v>27.9</v>
      </c>
      <c r="R53" s="6"/>
      <c r="S53" s="6"/>
      <c r="T53" s="156"/>
      <c r="U53" s="6"/>
    </row>
    <row r="54" spans="1:21" customFormat="1">
      <c r="A54" s="163" t="s">
        <v>765</v>
      </c>
      <c r="B54" s="100">
        <v>1.46</v>
      </c>
      <c r="C54" s="100">
        <v>27.93</v>
      </c>
      <c r="D54" s="100">
        <v>15.77</v>
      </c>
      <c r="E54" s="100">
        <v>1.78</v>
      </c>
      <c r="F54" s="100">
        <v>24.01</v>
      </c>
      <c r="G54" s="100">
        <v>44.65</v>
      </c>
      <c r="H54" s="100">
        <v>16.510000000000002</v>
      </c>
      <c r="I54" s="100">
        <v>16.100000000000001</v>
      </c>
      <c r="J54" s="100">
        <v>4.88</v>
      </c>
      <c r="K54" s="100">
        <v>238.66</v>
      </c>
      <c r="L54" s="100">
        <v>35.54</v>
      </c>
      <c r="M54" s="100">
        <v>26.42</v>
      </c>
      <c r="N54" s="100">
        <v>893</v>
      </c>
      <c r="O54" s="100">
        <v>0</v>
      </c>
      <c r="P54" s="100">
        <v>0.73</v>
      </c>
      <c r="Q54" s="100">
        <v>28.17</v>
      </c>
      <c r="R54" s="6"/>
      <c r="S54" s="6"/>
      <c r="T54" s="156"/>
      <c r="U54" s="6"/>
    </row>
    <row r="55" spans="1:21" customFormat="1">
      <c r="A55" s="163" t="s">
        <v>766</v>
      </c>
      <c r="B55" s="100">
        <v>1.45</v>
      </c>
      <c r="C55" s="100">
        <v>28.58</v>
      </c>
      <c r="D55" s="100">
        <v>16.100000000000001</v>
      </c>
      <c r="E55" s="100">
        <v>3.18</v>
      </c>
      <c r="F55" s="100">
        <v>31.73</v>
      </c>
      <c r="G55" s="100">
        <v>42.32</v>
      </c>
      <c r="H55" s="100">
        <v>18.170000000000002</v>
      </c>
      <c r="I55" s="100">
        <v>15.23</v>
      </c>
      <c r="J55" s="100">
        <v>4.8099999999999996</v>
      </c>
      <c r="K55" s="100">
        <v>226.29</v>
      </c>
      <c r="L55" s="100">
        <v>35.57</v>
      </c>
      <c r="M55" s="100">
        <v>26.54</v>
      </c>
      <c r="N55" s="100">
        <v>889.7</v>
      </c>
      <c r="O55" s="100">
        <v>0</v>
      </c>
      <c r="P55" s="100">
        <v>0.83</v>
      </c>
      <c r="Q55" s="100">
        <v>28.14</v>
      </c>
      <c r="R55" s="6"/>
      <c r="S55" s="6"/>
      <c r="T55" s="156"/>
      <c r="U55" s="6"/>
    </row>
    <row r="56" spans="1:21" customFormat="1">
      <c r="A56" s="163" t="s">
        <v>767</v>
      </c>
      <c r="B56" s="100">
        <v>1.4</v>
      </c>
      <c r="C56" s="100">
        <v>26.27</v>
      </c>
      <c r="D56" s="100">
        <v>14.84</v>
      </c>
      <c r="E56" s="100">
        <v>1.18</v>
      </c>
      <c r="F56" s="100">
        <v>31.85</v>
      </c>
      <c r="G56" s="100">
        <v>42.32</v>
      </c>
      <c r="H56" s="100">
        <v>18.170000000000002</v>
      </c>
      <c r="I56" s="100">
        <v>15.87</v>
      </c>
      <c r="J56" s="100">
        <v>3.94</v>
      </c>
      <c r="K56" s="100">
        <v>204.37</v>
      </c>
      <c r="L56" s="100">
        <v>35.840000000000003</v>
      </c>
      <c r="M56" s="100">
        <v>26.07</v>
      </c>
      <c r="N56" s="100">
        <v>887.6</v>
      </c>
      <c r="O56" s="100">
        <v>0</v>
      </c>
      <c r="P56" s="100">
        <v>0.88</v>
      </c>
      <c r="Q56" s="100">
        <v>28.25</v>
      </c>
      <c r="R56" s="6"/>
      <c r="S56" s="6"/>
      <c r="T56" s="156"/>
      <c r="U56" s="6"/>
    </row>
    <row r="57" spans="1:21" customFormat="1">
      <c r="A57" s="163" t="s">
        <v>768</v>
      </c>
      <c r="B57" s="100">
        <v>1.35</v>
      </c>
      <c r="C57" s="100">
        <v>26.37</v>
      </c>
      <c r="D57" s="100">
        <v>14.86</v>
      </c>
      <c r="E57" s="100">
        <v>2.02</v>
      </c>
      <c r="F57" s="100">
        <v>17.7</v>
      </c>
      <c r="G57" s="100">
        <v>42.32</v>
      </c>
      <c r="H57" s="100">
        <v>18.170000000000002</v>
      </c>
      <c r="I57" s="100">
        <v>18.309999999999999</v>
      </c>
      <c r="J57" s="100">
        <v>4.12</v>
      </c>
      <c r="K57" s="100">
        <v>250.26</v>
      </c>
      <c r="L57" s="100">
        <v>36.299999999999997</v>
      </c>
      <c r="M57" s="100">
        <v>25.58</v>
      </c>
      <c r="N57" s="100">
        <v>887.8</v>
      </c>
      <c r="O57" s="100">
        <v>0</v>
      </c>
      <c r="P57" s="100">
        <v>0.89</v>
      </c>
      <c r="Q57" s="100">
        <v>28.46</v>
      </c>
      <c r="R57" s="6"/>
      <c r="S57" s="6"/>
      <c r="T57" s="156"/>
      <c r="U57" s="6"/>
    </row>
    <row r="58" spans="1:21" customFormat="1">
      <c r="A58" s="163" t="s">
        <v>769</v>
      </c>
      <c r="B58" s="100">
        <v>1.33</v>
      </c>
      <c r="C58" s="100">
        <v>22.07</v>
      </c>
      <c r="D58" s="100">
        <v>12.6</v>
      </c>
      <c r="E58" s="100">
        <v>12.61</v>
      </c>
      <c r="F58" s="100">
        <v>71.08</v>
      </c>
      <c r="G58" s="100">
        <v>43.92</v>
      </c>
      <c r="H58" s="100">
        <v>18.329999999999998</v>
      </c>
      <c r="I58" s="100">
        <v>18.89</v>
      </c>
      <c r="J58" s="100">
        <v>3.57</v>
      </c>
      <c r="K58" s="100">
        <v>227.36</v>
      </c>
      <c r="L58" s="100">
        <v>36.43</v>
      </c>
      <c r="M58" s="100">
        <v>25.18</v>
      </c>
      <c r="N58" s="100">
        <v>909.7</v>
      </c>
      <c r="O58" s="100">
        <v>0</v>
      </c>
      <c r="P58" s="100">
        <v>0.86</v>
      </c>
      <c r="Q58" s="100">
        <v>28.4</v>
      </c>
      <c r="R58" s="6"/>
      <c r="S58" s="6"/>
      <c r="T58" s="156"/>
      <c r="U58" s="6"/>
    </row>
    <row r="59" spans="1:21" customFormat="1">
      <c r="A59" s="163" t="s">
        <v>770</v>
      </c>
      <c r="B59" s="100">
        <v>0.91</v>
      </c>
      <c r="C59" s="100">
        <v>21.65</v>
      </c>
      <c r="D59" s="100">
        <v>12.04</v>
      </c>
      <c r="E59" s="100">
        <v>13.96</v>
      </c>
      <c r="F59" s="100">
        <v>49.67</v>
      </c>
      <c r="G59" s="100">
        <v>46.55</v>
      </c>
      <c r="H59" s="100">
        <v>18.59</v>
      </c>
      <c r="I59" s="100">
        <v>18.46</v>
      </c>
      <c r="J59" s="100">
        <v>1.36</v>
      </c>
      <c r="K59" s="100">
        <v>241.21</v>
      </c>
      <c r="L59" s="100">
        <v>37.15</v>
      </c>
      <c r="M59" s="100">
        <v>22.96</v>
      </c>
      <c r="N59" s="100">
        <v>915.8</v>
      </c>
      <c r="O59" s="100">
        <v>0</v>
      </c>
      <c r="P59" s="100">
        <v>0.76</v>
      </c>
      <c r="Q59" s="100">
        <v>28.48</v>
      </c>
      <c r="R59" s="6"/>
      <c r="S59" s="6"/>
      <c r="T59" s="156"/>
      <c r="U59" s="6"/>
    </row>
    <row r="60" spans="1:21" customFormat="1">
      <c r="A60" s="163" t="s">
        <v>771</v>
      </c>
      <c r="B60" s="100">
        <v>1.22</v>
      </c>
      <c r="C60" s="100">
        <v>23.29</v>
      </c>
      <c r="D60" s="100">
        <v>13.15</v>
      </c>
      <c r="E60" s="100">
        <v>10.86</v>
      </c>
      <c r="F60" s="100">
        <v>26.38</v>
      </c>
      <c r="G60" s="100">
        <v>46.55</v>
      </c>
      <c r="H60" s="100">
        <v>18.59</v>
      </c>
      <c r="I60" s="100">
        <v>16.47</v>
      </c>
      <c r="J60" s="100">
        <v>3.88</v>
      </c>
      <c r="K60" s="100">
        <v>256.64</v>
      </c>
      <c r="L60" s="100">
        <v>37.380000000000003</v>
      </c>
      <c r="M60" s="100">
        <v>21.98</v>
      </c>
      <c r="N60" s="100">
        <v>904.6</v>
      </c>
      <c r="O60" s="100">
        <v>0</v>
      </c>
      <c r="P60" s="100">
        <v>0.77</v>
      </c>
      <c r="Q60" s="100">
        <v>28.42</v>
      </c>
      <c r="R60" s="6"/>
      <c r="S60" s="6"/>
      <c r="T60" s="156"/>
      <c r="U60" s="6"/>
    </row>
    <row r="61" spans="1:21" customFormat="1">
      <c r="A61" s="163" t="s">
        <v>772</v>
      </c>
      <c r="B61" s="100">
        <v>1.1200000000000001</v>
      </c>
      <c r="C61" s="100">
        <v>29.53</v>
      </c>
      <c r="D61" s="100">
        <v>16.329999999999998</v>
      </c>
      <c r="E61" s="100">
        <v>9.6300000000000008</v>
      </c>
      <c r="F61" s="100">
        <v>15.31</v>
      </c>
      <c r="G61" s="100">
        <v>46.55</v>
      </c>
      <c r="H61" s="100">
        <v>18.59</v>
      </c>
      <c r="I61" s="100">
        <v>14.37</v>
      </c>
      <c r="J61" s="100">
        <v>3.39</v>
      </c>
      <c r="K61" s="100">
        <v>242.03</v>
      </c>
      <c r="L61" s="100">
        <v>37.78</v>
      </c>
      <c r="M61" s="100">
        <v>21.95</v>
      </c>
      <c r="N61" s="100">
        <v>877.7</v>
      </c>
      <c r="O61" s="100">
        <v>0</v>
      </c>
      <c r="P61" s="100">
        <v>0.76</v>
      </c>
      <c r="Q61" s="100">
        <v>28.24</v>
      </c>
      <c r="R61" s="6"/>
      <c r="S61" s="6"/>
      <c r="T61" s="156"/>
      <c r="U61" s="6"/>
    </row>
    <row r="62" spans="1:21" customFormat="1">
      <c r="A62" s="163" t="s">
        <v>773</v>
      </c>
      <c r="B62" s="100">
        <v>1.08</v>
      </c>
      <c r="C62" s="100">
        <v>39.29</v>
      </c>
      <c r="D62" s="100">
        <v>21.39</v>
      </c>
      <c r="E62" s="100">
        <v>9.11</v>
      </c>
      <c r="F62" s="100">
        <v>26.06</v>
      </c>
      <c r="G62" s="100">
        <v>47.35</v>
      </c>
      <c r="H62" s="100">
        <v>18.62</v>
      </c>
      <c r="I62" s="100">
        <v>14.57</v>
      </c>
      <c r="J62" s="100">
        <v>3.05</v>
      </c>
      <c r="K62" s="100">
        <v>190.17</v>
      </c>
      <c r="L62" s="100">
        <v>38.32</v>
      </c>
      <c r="M62" s="100">
        <v>21.96</v>
      </c>
      <c r="N62" s="100">
        <v>844.2</v>
      </c>
      <c r="O62" s="100">
        <v>0</v>
      </c>
      <c r="P62" s="100">
        <v>0.7</v>
      </c>
      <c r="Q62" s="100">
        <v>27.78</v>
      </c>
      <c r="R62" s="6"/>
      <c r="S62" s="6"/>
      <c r="T62" s="156"/>
      <c r="U62" s="6"/>
    </row>
    <row r="63" spans="1:21" customFormat="1">
      <c r="A63" s="163" t="s">
        <v>774</v>
      </c>
      <c r="B63" s="100">
        <v>1.42</v>
      </c>
      <c r="C63" s="100">
        <v>31.89</v>
      </c>
      <c r="D63" s="100">
        <v>17.809999999999999</v>
      </c>
      <c r="E63" s="100">
        <v>8.0500000000000007</v>
      </c>
      <c r="F63" s="100">
        <v>21.54</v>
      </c>
      <c r="G63" s="100">
        <v>48.66</v>
      </c>
      <c r="H63" s="100">
        <v>18.66</v>
      </c>
      <c r="I63" s="100">
        <v>14.36</v>
      </c>
      <c r="J63" s="100">
        <v>1.31</v>
      </c>
      <c r="K63" s="100">
        <v>299.33999999999997</v>
      </c>
      <c r="L63" s="100">
        <v>38.54</v>
      </c>
      <c r="M63" s="100">
        <v>21.61</v>
      </c>
      <c r="N63" s="100">
        <v>819.9</v>
      </c>
      <c r="O63" s="100">
        <v>0</v>
      </c>
      <c r="P63" s="100">
        <v>0.7</v>
      </c>
      <c r="Q63" s="100">
        <v>28.05</v>
      </c>
      <c r="R63" s="6"/>
      <c r="S63" s="6"/>
      <c r="T63" s="156"/>
      <c r="U63" s="6"/>
    </row>
    <row r="64" spans="1:21" customFormat="1">
      <c r="A64" s="163" t="s">
        <v>775</v>
      </c>
      <c r="B64" s="100">
        <v>1.61</v>
      </c>
      <c r="C64" s="100">
        <v>36.549999999999997</v>
      </c>
      <c r="D64" s="100">
        <v>20.39</v>
      </c>
      <c r="E64" s="100">
        <v>7.13</v>
      </c>
      <c r="F64" s="100">
        <v>15.21</v>
      </c>
      <c r="G64" s="100">
        <v>48.66</v>
      </c>
      <c r="H64" s="100">
        <v>18.66</v>
      </c>
      <c r="I64" s="100">
        <v>13.83</v>
      </c>
      <c r="J64" s="100">
        <v>4.12</v>
      </c>
      <c r="K64" s="100">
        <v>238.24</v>
      </c>
      <c r="L64" s="100">
        <v>38.43</v>
      </c>
      <c r="M64" s="100">
        <v>20.440000000000001</v>
      </c>
      <c r="N64" s="100">
        <v>794.2</v>
      </c>
      <c r="O64" s="100">
        <v>0</v>
      </c>
      <c r="P64" s="100">
        <v>0.7</v>
      </c>
      <c r="Q64" s="100">
        <v>27.81</v>
      </c>
      <c r="R64" s="6"/>
      <c r="S64" s="6"/>
      <c r="T64" s="156"/>
      <c r="U64" s="6"/>
    </row>
    <row r="65" spans="1:21" customFormat="1">
      <c r="A65" s="163" t="s">
        <v>776</v>
      </c>
      <c r="B65" s="100">
        <v>1.83</v>
      </c>
      <c r="C65" s="100">
        <v>37.979999999999997</v>
      </c>
      <c r="D65" s="100">
        <v>21.31</v>
      </c>
      <c r="E65" s="100">
        <v>7.25</v>
      </c>
      <c r="F65" s="100">
        <v>17.440000000000001</v>
      </c>
      <c r="G65" s="100">
        <v>48.66</v>
      </c>
      <c r="H65" s="100">
        <v>18.66</v>
      </c>
      <c r="I65" s="100">
        <v>13.53</v>
      </c>
      <c r="J65" s="100">
        <v>4.0599999999999996</v>
      </c>
      <c r="K65" s="100">
        <v>254.63</v>
      </c>
      <c r="L65" s="100">
        <v>39.28</v>
      </c>
      <c r="M65" s="100">
        <v>18.57</v>
      </c>
      <c r="N65" s="100">
        <v>761</v>
      </c>
      <c r="O65" s="100">
        <v>0</v>
      </c>
      <c r="P65" s="100">
        <v>0.7</v>
      </c>
      <c r="Q65" s="100">
        <v>27.77</v>
      </c>
      <c r="R65" s="6"/>
      <c r="S65" s="6"/>
      <c r="T65" s="156"/>
      <c r="U65" s="6"/>
    </row>
    <row r="66" spans="1:21" customFormat="1">
      <c r="A66" s="163" t="s">
        <v>777</v>
      </c>
      <c r="B66" s="100">
        <v>1.86</v>
      </c>
      <c r="C66" s="100">
        <v>40.479999999999997</v>
      </c>
      <c r="D66" s="100">
        <v>22.64</v>
      </c>
      <c r="E66" s="100">
        <v>7.47</v>
      </c>
      <c r="F66" s="100">
        <v>15.79</v>
      </c>
      <c r="G66" s="100">
        <v>47.92</v>
      </c>
      <c r="H66" s="100">
        <v>18.329999999999998</v>
      </c>
      <c r="I66" s="100">
        <v>13.47</v>
      </c>
      <c r="J66" s="100">
        <v>3.28</v>
      </c>
      <c r="K66" s="100">
        <v>240.57</v>
      </c>
      <c r="L66" s="100">
        <v>39.18</v>
      </c>
      <c r="M66" s="100">
        <v>17.22</v>
      </c>
      <c r="N66" s="100">
        <v>731.3</v>
      </c>
      <c r="O66" s="100">
        <v>0</v>
      </c>
      <c r="P66" s="100">
        <v>0.7</v>
      </c>
      <c r="Q66" s="100">
        <v>27.63</v>
      </c>
      <c r="R66" s="6"/>
      <c r="S66" s="6"/>
      <c r="T66" s="156"/>
      <c r="U66" s="6"/>
    </row>
    <row r="67" spans="1:21" customFormat="1">
      <c r="A67" s="163" t="s">
        <v>778</v>
      </c>
      <c r="B67" s="100">
        <v>1.48</v>
      </c>
      <c r="C67" s="100">
        <v>41.36</v>
      </c>
      <c r="D67" s="100">
        <v>22.8</v>
      </c>
      <c r="E67" s="100">
        <v>7.13</v>
      </c>
      <c r="F67" s="100">
        <v>11.45</v>
      </c>
      <c r="G67" s="100">
        <v>46.76</v>
      </c>
      <c r="H67" s="100">
        <v>17.79</v>
      </c>
      <c r="I67" s="100">
        <v>13.1</v>
      </c>
      <c r="J67" s="100">
        <v>4.5599999999999996</v>
      </c>
      <c r="K67" s="100">
        <v>246.64</v>
      </c>
      <c r="L67" s="100">
        <v>39.29</v>
      </c>
      <c r="M67" s="100">
        <v>17.59</v>
      </c>
      <c r="N67" s="100">
        <v>694.2</v>
      </c>
      <c r="O67" s="100">
        <v>0</v>
      </c>
      <c r="P67" s="100">
        <v>0.67</v>
      </c>
      <c r="Q67" s="100">
        <v>27.61</v>
      </c>
      <c r="R67" s="6"/>
      <c r="S67" s="6"/>
      <c r="T67" s="156"/>
      <c r="U67" s="6"/>
    </row>
    <row r="68" spans="1:21" customFormat="1">
      <c r="A68" s="163" t="s">
        <v>779</v>
      </c>
      <c r="B68" s="100">
        <v>1.44</v>
      </c>
      <c r="C68" s="100">
        <v>43.36</v>
      </c>
      <c r="D68" s="100">
        <v>23.81</v>
      </c>
      <c r="E68" s="100">
        <v>7.45</v>
      </c>
      <c r="F68" s="100">
        <v>11.35</v>
      </c>
      <c r="G68" s="100">
        <v>46.76</v>
      </c>
      <c r="H68" s="100">
        <v>17.79</v>
      </c>
      <c r="I68" s="100">
        <v>13.09</v>
      </c>
      <c r="J68" s="100">
        <v>5.15</v>
      </c>
      <c r="K68" s="100">
        <v>245.02</v>
      </c>
      <c r="L68" s="100">
        <v>39.44</v>
      </c>
      <c r="M68" s="100">
        <v>16.82</v>
      </c>
      <c r="N68" s="100">
        <v>650.5</v>
      </c>
      <c r="O68" s="100">
        <v>0</v>
      </c>
      <c r="P68" s="100">
        <v>0.65</v>
      </c>
      <c r="Q68" s="100">
        <v>27.51</v>
      </c>
      <c r="R68" s="6"/>
      <c r="S68" s="6"/>
      <c r="T68" s="156"/>
      <c r="U68" s="6"/>
    </row>
    <row r="69" spans="1:21" customFormat="1">
      <c r="A69" s="163" t="s">
        <v>780</v>
      </c>
      <c r="B69" s="100">
        <v>1.56</v>
      </c>
      <c r="C69" s="100">
        <v>41.22</v>
      </c>
      <c r="D69" s="100">
        <v>22.79</v>
      </c>
      <c r="E69" s="100">
        <v>7.63</v>
      </c>
      <c r="F69" s="100">
        <v>10.85</v>
      </c>
      <c r="G69" s="100">
        <v>46.76</v>
      </c>
      <c r="H69" s="100">
        <v>17.79</v>
      </c>
      <c r="I69" s="100">
        <v>12.7</v>
      </c>
      <c r="J69" s="100">
        <v>3.79</v>
      </c>
      <c r="K69" s="100">
        <v>247.44</v>
      </c>
      <c r="L69" s="100">
        <v>39.880000000000003</v>
      </c>
      <c r="M69" s="100">
        <v>16.809999999999999</v>
      </c>
      <c r="N69" s="100">
        <v>602</v>
      </c>
      <c r="O69" s="100">
        <v>0</v>
      </c>
      <c r="P69" s="100">
        <v>0.63</v>
      </c>
      <c r="Q69" s="100">
        <v>27.6</v>
      </c>
      <c r="R69" s="6"/>
      <c r="S69" s="6"/>
      <c r="T69" s="156"/>
      <c r="U69" s="6"/>
    </row>
    <row r="70" spans="1:21" customFormat="1">
      <c r="A70" s="163" t="s">
        <v>781</v>
      </c>
      <c r="B70" s="100">
        <v>1.52</v>
      </c>
      <c r="C70" s="100">
        <v>38.1</v>
      </c>
      <c r="D70" s="100">
        <v>21.13</v>
      </c>
      <c r="E70" s="100">
        <v>7.82</v>
      </c>
      <c r="F70" s="100">
        <v>9.24</v>
      </c>
      <c r="G70" s="100">
        <v>44.05</v>
      </c>
      <c r="H70" s="100">
        <v>17.95</v>
      </c>
      <c r="I70" s="100">
        <v>12.45</v>
      </c>
      <c r="J70" s="100">
        <v>4.79</v>
      </c>
      <c r="K70" s="100">
        <v>242.74</v>
      </c>
      <c r="L70" s="100">
        <v>39.58</v>
      </c>
      <c r="M70" s="100">
        <v>16.45</v>
      </c>
      <c r="N70" s="100">
        <v>561.5</v>
      </c>
      <c r="O70" s="100">
        <v>0</v>
      </c>
      <c r="P70" s="100">
        <v>0.61</v>
      </c>
      <c r="Q70" s="100">
        <v>27.84</v>
      </c>
      <c r="R70" s="6"/>
      <c r="S70" s="6"/>
      <c r="T70" s="156"/>
      <c r="U70" s="6"/>
    </row>
    <row r="71" spans="1:21" customFormat="1">
      <c r="A71" s="163" t="s">
        <v>782</v>
      </c>
      <c r="B71" s="100">
        <v>1.62</v>
      </c>
      <c r="C71" s="100">
        <v>33.42</v>
      </c>
      <c r="D71" s="100">
        <v>18.760000000000002</v>
      </c>
      <c r="E71" s="100">
        <v>8.1</v>
      </c>
      <c r="F71" s="100">
        <v>15.17</v>
      </c>
      <c r="G71" s="100">
        <v>39.78</v>
      </c>
      <c r="H71" s="100">
        <v>18.22</v>
      </c>
      <c r="I71" s="100">
        <v>12.16</v>
      </c>
      <c r="J71" s="100">
        <v>3.66</v>
      </c>
      <c r="K71" s="100">
        <v>250.43</v>
      </c>
      <c r="L71" s="100">
        <v>40.06</v>
      </c>
      <c r="M71" s="100">
        <v>16.239999999999998</v>
      </c>
      <c r="N71" s="100">
        <v>507.6</v>
      </c>
      <c r="O71" s="100">
        <v>0</v>
      </c>
      <c r="P71" s="100">
        <v>0.56000000000000005</v>
      </c>
      <c r="Q71" s="100">
        <v>28.06</v>
      </c>
      <c r="R71" s="6"/>
      <c r="S71" s="6"/>
      <c r="T71" s="156"/>
      <c r="U71" s="6"/>
    </row>
    <row r="72" spans="1:21" customFormat="1">
      <c r="A72" s="163" t="s">
        <v>783</v>
      </c>
      <c r="B72" s="100">
        <v>1.72</v>
      </c>
      <c r="C72" s="100">
        <v>32.590000000000003</v>
      </c>
      <c r="D72" s="100">
        <v>18.41</v>
      </c>
      <c r="E72" s="100">
        <v>7.85</v>
      </c>
      <c r="F72" s="100">
        <v>8.1999999999999993</v>
      </c>
      <c r="G72" s="100">
        <v>39.78</v>
      </c>
      <c r="H72" s="100">
        <v>18.22</v>
      </c>
      <c r="I72" s="100">
        <v>11.95</v>
      </c>
      <c r="J72" s="100">
        <v>4.97</v>
      </c>
      <c r="K72" s="100">
        <v>239.16</v>
      </c>
      <c r="L72" s="100">
        <v>39.21</v>
      </c>
      <c r="M72" s="100">
        <v>16.84</v>
      </c>
      <c r="N72" s="100">
        <v>459</v>
      </c>
      <c r="O72" s="100">
        <v>0</v>
      </c>
      <c r="P72" s="100">
        <v>0.56000000000000005</v>
      </c>
      <c r="Q72" s="100">
        <v>28.12</v>
      </c>
      <c r="R72" s="6"/>
      <c r="S72" s="6"/>
      <c r="T72" s="156"/>
      <c r="U72" s="6"/>
    </row>
    <row r="73" spans="1:21" customFormat="1">
      <c r="A73" s="163" t="s">
        <v>784</v>
      </c>
      <c r="B73" s="100">
        <v>1.78</v>
      </c>
      <c r="C73" s="100">
        <v>36.11</v>
      </c>
      <c r="D73" s="100">
        <v>20.29</v>
      </c>
      <c r="E73" s="100">
        <v>8.2799999999999994</v>
      </c>
      <c r="F73" s="100">
        <v>13.25</v>
      </c>
      <c r="G73" s="100">
        <v>39.78</v>
      </c>
      <c r="H73" s="100">
        <v>18.22</v>
      </c>
      <c r="I73" s="100">
        <v>11.54</v>
      </c>
      <c r="J73" s="100">
        <v>3.52</v>
      </c>
      <c r="K73" s="100">
        <v>235.31</v>
      </c>
      <c r="L73" s="100">
        <v>39.700000000000003</v>
      </c>
      <c r="M73" s="100">
        <v>16.95</v>
      </c>
      <c r="N73" s="100">
        <v>387.6</v>
      </c>
      <c r="O73" s="100">
        <v>0</v>
      </c>
      <c r="P73" s="100">
        <v>0.51</v>
      </c>
      <c r="Q73" s="100">
        <v>27.94</v>
      </c>
      <c r="R73" s="6"/>
      <c r="S73" s="6"/>
      <c r="T73" s="156"/>
      <c r="U73" s="6"/>
    </row>
    <row r="74" spans="1:21" customFormat="1">
      <c r="A74" s="163" t="s">
        <v>785</v>
      </c>
      <c r="B74" s="100">
        <v>1.87</v>
      </c>
      <c r="C74" s="100">
        <v>35.35</v>
      </c>
      <c r="D74" s="100">
        <v>19.97</v>
      </c>
      <c r="E74" s="100">
        <v>7.98</v>
      </c>
      <c r="F74" s="100">
        <v>11.45</v>
      </c>
      <c r="G74" s="100">
        <v>40.159999999999997</v>
      </c>
      <c r="H74" s="100">
        <v>17.75</v>
      </c>
      <c r="I74" s="100">
        <v>11.48</v>
      </c>
      <c r="J74" s="100">
        <v>4.25</v>
      </c>
      <c r="K74" s="100">
        <v>224.56</v>
      </c>
      <c r="L74" s="100">
        <v>39.29</v>
      </c>
      <c r="M74" s="100">
        <v>17.87</v>
      </c>
      <c r="N74" s="100">
        <v>327.5</v>
      </c>
      <c r="O74" s="100">
        <v>0</v>
      </c>
      <c r="P74" s="100">
        <v>0.53</v>
      </c>
      <c r="Q74" s="100">
        <v>27.98</v>
      </c>
      <c r="R74" s="6"/>
      <c r="S74" s="6"/>
      <c r="T74" s="156"/>
      <c r="U74" s="6"/>
    </row>
    <row r="75" spans="1:21" customFormat="1">
      <c r="A75" s="163" t="s">
        <v>786</v>
      </c>
      <c r="B75" s="100">
        <v>1.83</v>
      </c>
      <c r="C75" s="100">
        <v>31.5</v>
      </c>
      <c r="D75" s="100">
        <v>17.93</v>
      </c>
      <c r="E75" s="100">
        <v>8.6199999999999992</v>
      </c>
      <c r="F75" s="100">
        <v>23.34</v>
      </c>
      <c r="G75" s="100">
        <v>40.75</v>
      </c>
      <c r="H75" s="100">
        <v>17.02</v>
      </c>
      <c r="I75" s="100">
        <v>11.08</v>
      </c>
      <c r="J75" s="100">
        <v>3.03</v>
      </c>
      <c r="K75" s="100">
        <v>217.56</v>
      </c>
      <c r="L75" s="100">
        <v>40.04</v>
      </c>
      <c r="M75" s="100">
        <v>17.95</v>
      </c>
      <c r="N75" s="100">
        <v>277</v>
      </c>
      <c r="O75" s="100">
        <v>0</v>
      </c>
      <c r="P75" s="100">
        <v>0.51</v>
      </c>
      <c r="Q75" s="100">
        <v>28.19</v>
      </c>
      <c r="R75" s="6"/>
      <c r="S75" s="6"/>
      <c r="T75" s="156"/>
      <c r="U75" s="6"/>
    </row>
    <row r="76" spans="1:21" customFormat="1">
      <c r="A76" s="163" t="s">
        <v>787</v>
      </c>
      <c r="B76" s="100">
        <v>1.86</v>
      </c>
      <c r="C76" s="100">
        <v>31.31</v>
      </c>
      <c r="D76" s="100">
        <v>17.850000000000001</v>
      </c>
      <c r="E76" s="100">
        <v>8.08</v>
      </c>
      <c r="F76" s="100">
        <v>15.16</v>
      </c>
      <c r="G76" s="100">
        <v>40.75</v>
      </c>
      <c r="H76" s="100">
        <v>17.02</v>
      </c>
      <c r="I76" s="100">
        <v>11.27</v>
      </c>
      <c r="J76" s="100">
        <v>4.25</v>
      </c>
      <c r="K76" s="100">
        <v>228.25</v>
      </c>
      <c r="L76" s="100">
        <v>39.25</v>
      </c>
      <c r="M76" s="100">
        <v>18.86</v>
      </c>
      <c r="N76" s="100">
        <v>231.4</v>
      </c>
      <c r="O76" s="100">
        <v>0</v>
      </c>
      <c r="P76" s="100">
        <v>0.52</v>
      </c>
      <c r="Q76" s="100">
        <v>28.19</v>
      </c>
      <c r="R76" s="6"/>
      <c r="S76" s="6"/>
      <c r="T76" s="156"/>
      <c r="U76" s="6"/>
    </row>
    <row r="77" spans="1:21" customFormat="1">
      <c r="A77" s="163" t="s">
        <v>788</v>
      </c>
      <c r="B77" s="100">
        <v>1.91</v>
      </c>
      <c r="C77" s="100">
        <v>30.93</v>
      </c>
      <c r="D77" s="100">
        <v>17.690000000000001</v>
      </c>
      <c r="E77" s="100">
        <v>1.01</v>
      </c>
      <c r="F77" s="100">
        <v>15.91</v>
      </c>
      <c r="G77" s="100">
        <v>40.75</v>
      </c>
      <c r="H77" s="100">
        <v>17.02</v>
      </c>
      <c r="I77" s="100">
        <v>11.21</v>
      </c>
      <c r="J77" s="100">
        <v>3.93</v>
      </c>
      <c r="K77" s="100">
        <v>206.76</v>
      </c>
      <c r="L77" s="100">
        <v>39.130000000000003</v>
      </c>
      <c r="M77" s="100">
        <v>19.489999999999998</v>
      </c>
      <c r="N77" s="100">
        <v>173.5</v>
      </c>
      <c r="O77" s="100">
        <v>0</v>
      </c>
      <c r="P77" s="100">
        <v>0.51</v>
      </c>
      <c r="Q77" s="100">
        <v>28.16</v>
      </c>
      <c r="R77" s="6"/>
      <c r="S77" s="6"/>
      <c r="T77" s="156"/>
      <c r="U77" s="6"/>
    </row>
    <row r="78" spans="1:21" customFormat="1">
      <c r="A78" s="163" t="s">
        <v>789</v>
      </c>
      <c r="B78" s="100">
        <v>1.77</v>
      </c>
      <c r="C78" s="100">
        <v>34.409999999999997</v>
      </c>
      <c r="D78" s="100">
        <v>19.399999999999999</v>
      </c>
      <c r="E78" s="100">
        <v>1.7</v>
      </c>
      <c r="F78" s="100">
        <v>22.89</v>
      </c>
      <c r="G78" s="100">
        <v>41.21</v>
      </c>
      <c r="H78" s="100">
        <v>17.440000000000001</v>
      </c>
      <c r="I78" s="100">
        <v>11.21</v>
      </c>
      <c r="J78" s="100">
        <v>3.54</v>
      </c>
      <c r="K78" s="100">
        <v>207.42</v>
      </c>
      <c r="L78" s="100">
        <v>38.72</v>
      </c>
      <c r="M78" s="100">
        <v>20.27</v>
      </c>
      <c r="N78" s="100">
        <v>100.7</v>
      </c>
      <c r="O78" s="100">
        <v>0</v>
      </c>
      <c r="P78" s="100">
        <v>0.52</v>
      </c>
      <c r="Q78" s="100">
        <v>28.02</v>
      </c>
      <c r="R78" s="6"/>
      <c r="S78" s="6"/>
      <c r="T78" s="156"/>
      <c r="U78" s="6"/>
    </row>
    <row r="79" spans="1:21" customFormat="1">
      <c r="A79" s="163" t="s">
        <v>790</v>
      </c>
      <c r="B79" s="100">
        <v>1.94</v>
      </c>
      <c r="C79" s="100">
        <v>34.75</v>
      </c>
      <c r="D79" s="100">
        <v>19.71</v>
      </c>
      <c r="E79" s="100">
        <v>2.41</v>
      </c>
      <c r="F79" s="100">
        <v>22.28</v>
      </c>
      <c r="G79" s="100">
        <v>41.92</v>
      </c>
      <c r="H79" s="100">
        <v>18.14</v>
      </c>
      <c r="I79" s="100">
        <v>10.79</v>
      </c>
      <c r="J79" s="100">
        <v>3.76</v>
      </c>
      <c r="K79" s="100">
        <v>221.05</v>
      </c>
      <c r="L79" s="100">
        <v>38.24</v>
      </c>
      <c r="M79" s="100">
        <v>21.43</v>
      </c>
      <c r="N79" s="100">
        <v>70.900000000000006</v>
      </c>
      <c r="O79" s="100">
        <v>0</v>
      </c>
      <c r="P79" s="100">
        <v>0.52</v>
      </c>
      <c r="Q79" s="100">
        <v>27.92</v>
      </c>
      <c r="R79" s="6"/>
      <c r="S79" s="6"/>
      <c r="T79" s="156"/>
      <c r="U79" s="6"/>
    </row>
    <row r="80" spans="1:21" customFormat="1">
      <c r="A80" s="163" t="s">
        <v>791</v>
      </c>
      <c r="B80" s="100">
        <v>2.06</v>
      </c>
      <c r="C80" s="100">
        <v>33.9</v>
      </c>
      <c r="D80" s="100">
        <v>19.36</v>
      </c>
      <c r="E80" s="100">
        <v>2.75</v>
      </c>
      <c r="F80" s="100">
        <v>25.55</v>
      </c>
      <c r="G80" s="100">
        <v>41.92</v>
      </c>
      <c r="H80" s="100">
        <v>18.14</v>
      </c>
      <c r="I80" s="100">
        <v>10.62</v>
      </c>
      <c r="J80" s="100">
        <v>3.44</v>
      </c>
      <c r="K80" s="100">
        <v>199.05</v>
      </c>
      <c r="L80" s="100">
        <v>37.6</v>
      </c>
      <c r="M80" s="100">
        <v>22.61</v>
      </c>
      <c r="N80" s="100">
        <v>52.9</v>
      </c>
      <c r="O80" s="100">
        <v>0</v>
      </c>
      <c r="P80" s="100">
        <v>0.49</v>
      </c>
      <c r="Q80" s="100">
        <v>27.94</v>
      </c>
      <c r="R80" s="6"/>
      <c r="S80" s="6"/>
      <c r="T80" s="156"/>
      <c r="U80" s="6"/>
    </row>
    <row r="81" spans="1:21" customFormat="1">
      <c r="A81" s="163" t="s">
        <v>792</v>
      </c>
      <c r="B81" s="100">
        <v>2.2000000000000002</v>
      </c>
      <c r="C81" s="100">
        <v>31.99</v>
      </c>
      <c r="D81" s="100">
        <v>18.48</v>
      </c>
      <c r="E81" s="100">
        <v>2.87</v>
      </c>
      <c r="F81" s="100">
        <v>27.27</v>
      </c>
      <c r="G81" s="100">
        <v>41.92</v>
      </c>
      <c r="H81" s="100">
        <v>18.14</v>
      </c>
      <c r="I81" s="100">
        <v>10.62</v>
      </c>
      <c r="J81" s="100">
        <v>3.48</v>
      </c>
      <c r="K81" s="100">
        <v>207.37</v>
      </c>
      <c r="L81" s="100">
        <v>37.32</v>
      </c>
      <c r="M81" s="100">
        <v>23.05</v>
      </c>
      <c r="N81" s="100">
        <v>37.200000000000003</v>
      </c>
      <c r="O81" s="100">
        <v>0</v>
      </c>
      <c r="P81" s="100">
        <v>0.5</v>
      </c>
      <c r="Q81" s="100">
        <v>27.99</v>
      </c>
      <c r="R81" s="6"/>
      <c r="S81" s="6"/>
      <c r="T81" s="156"/>
      <c r="U81" s="6"/>
    </row>
    <row r="82" spans="1:21" customFormat="1">
      <c r="A82" s="163" t="s">
        <v>793</v>
      </c>
      <c r="B82" s="100">
        <v>2.4700000000000002</v>
      </c>
      <c r="C82" s="100">
        <v>31.41</v>
      </c>
      <c r="D82" s="100">
        <v>18.39</v>
      </c>
      <c r="E82" s="100">
        <v>3.45</v>
      </c>
      <c r="F82" s="100">
        <v>22.45</v>
      </c>
      <c r="G82" s="100">
        <v>39.9</v>
      </c>
      <c r="H82" s="100">
        <v>16.989999999999998</v>
      </c>
      <c r="I82" s="100">
        <v>10.14</v>
      </c>
      <c r="J82" s="100">
        <v>3.55</v>
      </c>
      <c r="K82" s="100">
        <v>201.31</v>
      </c>
      <c r="L82" s="100">
        <v>36.770000000000003</v>
      </c>
      <c r="M82" s="100">
        <v>24.76</v>
      </c>
      <c r="N82" s="100">
        <v>26.6</v>
      </c>
      <c r="O82" s="100">
        <v>0</v>
      </c>
      <c r="P82" s="100">
        <v>0.51</v>
      </c>
      <c r="Q82" s="100">
        <v>27.98</v>
      </c>
      <c r="R82" s="6"/>
      <c r="S82" s="6"/>
      <c r="T82" s="156"/>
      <c r="U82" s="6"/>
    </row>
    <row r="83" spans="1:21" customFormat="1">
      <c r="A83" s="163" t="s">
        <v>794</v>
      </c>
      <c r="B83" s="100">
        <v>2.5099999999999998</v>
      </c>
      <c r="C83" s="100">
        <v>30.52</v>
      </c>
      <c r="D83" s="100">
        <v>17.96</v>
      </c>
      <c r="E83" s="100">
        <v>3.93</v>
      </c>
      <c r="F83" s="100">
        <v>24.29</v>
      </c>
      <c r="G83" s="100">
        <v>36.72</v>
      </c>
      <c r="H83" s="100">
        <v>15.11</v>
      </c>
      <c r="I83" s="100">
        <v>10.25</v>
      </c>
      <c r="J83" s="100">
        <v>3.35</v>
      </c>
      <c r="K83" s="100">
        <v>180.44</v>
      </c>
      <c r="L83" s="100">
        <v>35.97</v>
      </c>
      <c r="M83" s="100">
        <v>27.23</v>
      </c>
      <c r="N83" s="100">
        <v>23.1</v>
      </c>
      <c r="O83" s="100">
        <v>0</v>
      </c>
      <c r="P83" s="100">
        <v>0.45</v>
      </c>
      <c r="Q83" s="100">
        <v>28.05</v>
      </c>
      <c r="R83" s="6"/>
      <c r="S83" s="6"/>
      <c r="T83" s="156"/>
      <c r="U83" s="6"/>
    </row>
    <row r="84" spans="1:21" customFormat="1">
      <c r="A84" s="163" t="s">
        <v>795</v>
      </c>
      <c r="B84" s="100">
        <v>2.61</v>
      </c>
      <c r="C84" s="100">
        <v>27.05</v>
      </c>
      <c r="D84" s="100">
        <v>16.23</v>
      </c>
      <c r="E84" s="100">
        <v>4.28</v>
      </c>
      <c r="F84" s="100">
        <v>23.12</v>
      </c>
      <c r="G84" s="100">
        <v>36.72</v>
      </c>
      <c r="H84" s="100">
        <v>15.11</v>
      </c>
      <c r="I84" s="100">
        <v>10.039999999999999</v>
      </c>
      <c r="J84" s="100">
        <v>3.29</v>
      </c>
      <c r="K84" s="100">
        <v>172.12</v>
      </c>
      <c r="L84" s="100">
        <v>35.700000000000003</v>
      </c>
      <c r="M84" s="100">
        <v>28.02</v>
      </c>
      <c r="N84" s="100">
        <v>22.6</v>
      </c>
      <c r="O84" s="100">
        <v>0</v>
      </c>
      <c r="P84" s="100">
        <v>0.45</v>
      </c>
      <c r="Q84" s="100">
        <v>28.21</v>
      </c>
      <c r="R84" s="6"/>
      <c r="S84" s="6"/>
      <c r="T84" s="156"/>
      <c r="U84" s="6"/>
    </row>
    <row r="85" spans="1:21" customFormat="1">
      <c r="A85" s="163" t="s">
        <v>796</v>
      </c>
      <c r="B85" s="100">
        <v>2.5499999999999998</v>
      </c>
      <c r="C85" s="100">
        <v>27.21</v>
      </c>
      <c r="D85" s="100">
        <v>16.260000000000002</v>
      </c>
      <c r="E85" s="100">
        <v>2.29</v>
      </c>
      <c r="F85" s="100">
        <v>25.51</v>
      </c>
      <c r="G85" s="100">
        <v>36.72</v>
      </c>
      <c r="H85" s="100">
        <v>15.11</v>
      </c>
      <c r="I85" s="100">
        <v>9.3800000000000008</v>
      </c>
      <c r="J85" s="100">
        <v>3.6</v>
      </c>
      <c r="K85" s="100">
        <v>150.61000000000001</v>
      </c>
      <c r="L85" s="100">
        <v>35.17</v>
      </c>
      <c r="M85" s="100">
        <v>29.28</v>
      </c>
      <c r="N85" s="100">
        <v>22.6</v>
      </c>
      <c r="O85" s="100">
        <v>0</v>
      </c>
      <c r="P85" s="100">
        <v>0.43</v>
      </c>
      <c r="Q85" s="100">
        <v>28.24</v>
      </c>
      <c r="R85" s="6"/>
      <c r="S85" s="6"/>
      <c r="T85" s="156"/>
      <c r="U85" s="6"/>
    </row>
    <row r="86" spans="1:21" customFormat="1">
      <c r="A86" s="163" t="s">
        <v>797</v>
      </c>
      <c r="B86" s="100">
        <v>2.5499999999999998</v>
      </c>
      <c r="C86" s="100">
        <v>29.21</v>
      </c>
      <c r="D86" s="100">
        <v>17.3</v>
      </c>
      <c r="E86" s="100">
        <v>3.76</v>
      </c>
      <c r="F86" s="100">
        <v>22.32</v>
      </c>
      <c r="G86" s="100">
        <v>35.86</v>
      </c>
      <c r="H86" s="100">
        <v>15.21</v>
      </c>
      <c r="I86" s="100">
        <v>9.2200000000000006</v>
      </c>
      <c r="J86" s="100">
        <v>3.78</v>
      </c>
      <c r="K86" s="100">
        <v>145.59</v>
      </c>
      <c r="L86" s="100">
        <v>34.75</v>
      </c>
      <c r="M86" s="100">
        <v>30.09</v>
      </c>
      <c r="N86" s="100">
        <v>22.6</v>
      </c>
      <c r="O86" s="100">
        <v>0</v>
      </c>
      <c r="P86" s="100">
        <v>0.44</v>
      </c>
      <c r="Q86" s="100">
        <v>28.12</v>
      </c>
      <c r="R86" s="6"/>
      <c r="S86" s="6"/>
      <c r="T86" s="156"/>
      <c r="U86" s="6"/>
    </row>
    <row r="87" spans="1:21" customFormat="1">
      <c r="A87" s="163" t="s">
        <v>798</v>
      </c>
      <c r="B87" s="100">
        <v>2.83</v>
      </c>
      <c r="C87" s="100">
        <v>31.21</v>
      </c>
      <c r="D87" s="100">
        <v>18.579999999999998</v>
      </c>
      <c r="E87" s="100">
        <v>3.87</v>
      </c>
      <c r="F87" s="100">
        <v>21.84</v>
      </c>
      <c r="G87" s="100">
        <v>34.43</v>
      </c>
      <c r="H87" s="100">
        <v>15.36</v>
      </c>
      <c r="I87" s="100">
        <v>9.06</v>
      </c>
      <c r="J87" s="100">
        <v>3.63</v>
      </c>
      <c r="K87" s="100">
        <v>149.28</v>
      </c>
      <c r="L87" s="100">
        <v>34.35</v>
      </c>
      <c r="M87" s="100">
        <v>31.05</v>
      </c>
      <c r="N87" s="100">
        <v>22.6</v>
      </c>
      <c r="O87" s="100">
        <v>0</v>
      </c>
      <c r="P87" s="100">
        <v>0.45</v>
      </c>
      <c r="Q87" s="100">
        <v>27.98</v>
      </c>
      <c r="R87" s="6"/>
      <c r="S87" s="6"/>
      <c r="T87" s="156"/>
      <c r="U87" s="6"/>
    </row>
    <row r="88" spans="1:21" customFormat="1">
      <c r="A88" s="163" t="s">
        <v>799</v>
      </c>
      <c r="B88" s="100">
        <v>2.95</v>
      </c>
      <c r="C88" s="100">
        <v>28.38</v>
      </c>
      <c r="D88" s="100">
        <v>17.190000000000001</v>
      </c>
      <c r="E88" s="100">
        <v>4.5</v>
      </c>
      <c r="F88" s="100">
        <v>20.32</v>
      </c>
      <c r="G88" s="100">
        <v>34.43</v>
      </c>
      <c r="H88" s="100">
        <v>15.36</v>
      </c>
      <c r="I88" s="100">
        <v>9.43</v>
      </c>
      <c r="J88" s="100">
        <v>3.68</v>
      </c>
      <c r="K88" s="100">
        <v>128.01</v>
      </c>
      <c r="L88" s="100">
        <v>34.06</v>
      </c>
      <c r="M88" s="100">
        <v>31.26</v>
      </c>
      <c r="N88" s="100">
        <v>22.5</v>
      </c>
      <c r="O88" s="100">
        <v>0</v>
      </c>
      <c r="P88" s="100">
        <v>0.46</v>
      </c>
      <c r="Q88" s="100">
        <v>28.03</v>
      </c>
      <c r="R88" s="6"/>
      <c r="S88" s="6"/>
      <c r="T88" s="156"/>
      <c r="U88" s="6"/>
    </row>
    <row r="89" spans="1:21" customFormat="1">
      <c r="A89" s="163" t="s">
        <v>800</v>
      </c>
      <c r="B89" s="100">
        <v>3.47</v>
      </c>
      <c r="C89" s="100">
        <v>31.19</v>
      </c>
      <c r="D89" s="100">
        <v>19.079999999999998</v>
      </c>
      <c r="E89" s="100">
        <v>3.58</v>
      </c>
      <c r="F89" s="100">
        <v>13.17</v>
      </c>
      <c r="G89" s="100">
        <v>34.43</v>
      </c>
      <c r="H89" s="100">
        <v>15.36</v>
      </c>
      <c r="I89" s="100">
        <v>9.8000000000000007</v>
      </c>
      <c r="J89" s="100">
        <v>3.16</v>
      </c>
      <c r="K89" s="100">
        <v>151.79</v>
      </c>
      <c r="L89" s="100">
        <v>33.57</v>
      </c>
      <c r="M89" s="100">
        <v>32.85</v>
      </c>
      <c r="N89" s="100">
        <v>22.5</v>
      </c>
      <c r="O89" s="100">
        <v>0</v>
      </c>
      <c r="P89" s="100">
        <v>0.53</v>
      </c>
      <c r="Q89" s="100">
        <v>27.93</v>
      </c>
      <c r="R89" s="6"/>
      <c r="S89" s="6"/>
      <c r="T89" s="156"/>
      <c r="U89" s="6"/>
    </row>
    <row r="90" spans="1:21" customFormat="1">
      <c r="A90" s="163" t="s">
        <v>801</v>
      </c>
      <c r="B90" s="100">
        <v>4.09</v>
      </c>
      <c r="C90" s="100">
        <v>33.85</v>
      </c>
      <c r="D90" s="100">
        <v>20.97</v>
      </c>
      <c r="E90" s="100">
        <v>3.42</v>
      </c>
      <c r="F90" s="100">
        <v>12.48</v>
      </c>
      <c r="G90" s="100">
        <v>38.53</v>
      </c>
      <c r="H90" s="100">
        <v>17.78</v>
      </c>
      <c r="I90" s="100">
        <v>10.64</v>
      </c>
      <c r="J90" s="100">
        <v>3.49</v>
      </c>
      <c r="K90" s="100">
        <v>152.44</v>
      </c>
      <c r="L90" s="100">
        <v>33.31</v>
      </c>
      <c r="M90" s="100">
        <v>33.380000000000003</v>
      </c>
      <c r="N90" s="100">
        <v>22.5</v>
      </c>
      <c r="O90" s="100">
        <v>0</v>
      </c>
      <c r="P90" s="100">
        <v>0.56999999999999995</v>
      </c>
      <c r="Q90" s="100">
        <v>27.44</v>
      </c>
      <c r="R90" s="6"/>
      <c r="S90" s="6"/>
      <c r="T90" s="156"/>
      <c r="U90" s="6"/>
    </row>
    <row r="91" spans="1:21" customFormat="1">
      <c r="A91" s="163" t="s">
        <v>802</v>
      </c>
      <c r="B91" s="100">
        <v>4.66</v>
      </c>
      <c r="C91" s="100">
        <v>34.4</v>
      </c>
      <c r="D91" s="100">
        <v>21.71</v>
      </c>
      <c r="E91" s="100">
        <v>3.05</v>
      </c>
      <c r="F91" s="100">
        <v>11.64</v>
      </c>
      <c r="G91" s="100">
        <v>44.98</v>
      </c>
      <c r="H91" s="100">
        <v>21.77</v>
      </c>
      <c r="I91" s="100">
        <v>12.06</v>
      </c>
      <c r="J91" s="100">
        <v>2.52</v>
      </c>
      <c r="K91" s="100">
        <v>148.30000000000001</v>
      </c>
      <c r="L91" s="100">
        <v>33.24</v>
      </c>
      <c r="M91" s="100">
        <v>33.78</v>
      </c>
      <c r="N91" s="100">
        <v>22.5</v>
      </c>
      <c r="O91" s="100">
        <v>0</v>
      </c>
      <c r="P91" s="100">
        <v>0.57999999999999996</v>
      </c>
      <c r="Q91" s="100">
        <v>27.38</v>
      </c>
      <c r="R91" s="6"/>
      <c r="S91" s="6"/>
      <c r="T91" s="156"/>
      <c r="U91" s="6"/>
    </row>
    <row r="92" spans="1:21" customFormat="1">
      <c r="A92" s="163" t="s">
        <v>803</v>
      </c>
      <c r="B92" s="100">
        <v>4.55</v>
      </c>
      <c r="C92" s="100">
        <v>30.84</v>
      </c>
      <c r="D92" s="100">
        <v>19.760000000000002</v>
      </c>
      <c r="E92" s="100">
        <v>3.27</v>
      </c>
      <c r="F92" s="100">
        <v>20.38</v>
      </c>
      <c r="G92" s="100">
        <v>44.98</v>
      </c>
      <c r="H92" s="100">
        <v>21.77</v>
      </c>
      <c r="I92" s="100">
        <v>12.35</v>
      </c>
      <c r="J92" s="100">
        <v>3.09</v>
      </c>
      <c r="K92" s="100">
        <v>116.69</v>
      </c>
      <c r="L92" s="100">
        <v>32.92</v>
      </c>
      <c r="M92" s="100">
        <v>34.18</v>
      </c>
      <c r="N92" s="100">
        <v>22.6</v>
      </c>
      <c r="O92" s="100">
        <v>0</v>
      </c>
      <c r="P92" s="100">
        <v>0.56000000000000005</v>
      </c>
      <c r="Q92" s="100">
        <v>27.73</v>
      </c>
      <c r="R92" s="6"/>
      <c r="S92" s="6"/>
      <c r="T92" s="156"/>
      <c r="U92" s="6"/>
    </row>
    <row r="93" spans="1:21" customFormat="1">
      <c r="A93" s="163" t="s">
        <v>804</v>
      </c>
      <c r="B93" s="100">
        <v>4.88</v>
      </c>
      <c r="C93" s="100">
        <v>30.03</v>
      </c>
      <c r="D93" s="100">
        <v>19.600000000000001</v>
      </c>
      <c r="E93" s="100">
        <v>3.04</v>
      </c>
      <c r="F93" s="100">
        <v>16.68</v>
      </c>
      <c r="G93" s="100">
        <v>44.98</v>
      </c>
      <c r="H93" s="100">
        <v>21.77</v>
      </c>
      <c r="I93" s="100">
        <v>12.32</v>
      </c>
      <c r="J93" s="100">
        <v>2.39</v>
      </c>
      <c r="K93" s="100">
        <v>176.47</v>
      </c>
      <c r="L93" s="100">
        <v>32.979999999999997</v>
      </c>
      <c r="M93" s="100">
        <v>34.869999999999997</v>
      </c>
      <c r="N93" s="100">
        <v>22.2</v>
      </c>
      <c r="O93" s="100">
        <v>0</v>
      </c>
      <c r="P93" s="100">
        <v>0.54</v>
      </c>
      <c r="Q93" s="100">
        <v>27.85</v>
      </c>
      <c r="R93" s="6"/>
      <c r="S93" s="6"/>
      <c r="T93" s="156"/>
      <c r="U93" s="6"/>
    </row>
    <row r="94" spans="1:21" customFormat="1">
      <c r="A94" s="163" t="s">
        <v>805</v>
      </c>
      <c r="B94" s="100">
        <v>5.21</v>
      </c>
      <c r="C94" s="100">
        <v>30.32</v>
      </c>
      <c r="D94" s="100">
        <v>20.02</v>
      </c>
      <c r="E94" s="100">
        <v>2.5099999999999998</v>
      </c>
      <c r="F94" s="100">
        <v>18.149999999999999</v>
      </c>
      <c r="G94" s="100">
        <v>46.06</v>
      </c>
      <c r="H94" s="100">
        <v>22.12</v>
      </c>
      <c r="I94" s="100">
        <v>11.81</v>
      </c>
      <c r="J94" s="100">
        <v>2.63</v>
      </c>
      <c r="K94" s="100">
        <v>187.89</v>
      </c>
      <c r="L94" s="100">
        <v>32.97</v>
      </c>
      <c r="M94" s="100">
        <v>35.770000000000003</v>
      </c>
      <c r="N94" s="100">
        <v>22.4</v>
      </c>
      <c r="O94" s="100">
        <v>0</v>
      </c>
      <c r="P94" s="100">
        <v>0.53</v>
      </c>
      <c r="Q94" s="100">
        <v>27.76</v>
      </c>
      <c r="R94" s="6"/>
      <c r="S94" s="6"/>
      <c r="T94" s="156"/>
      <c r="U94" s="6"/>
    </row>
    <row r="95" spans="1:21" customFormat="1">
      <c r="A95" s="163" t="s">
        <v>806</v>
      </c>
      <c r="B95" s="100">
        <v>5.91</v>
      </c>
      <c r="C95" s="100">
        <v>32.049999999999997</v>
      </c>
      <c r="D95" s="100">
        <v>21.49</v>
      </c>
      <c r="E95" s="100">
        <v>2.2000000000000002</v>
      </c>
      <c r="F95" s="100">
        <v>10.56</v>
      </c>
      <c r="G95" s="100">
        <v>47.77</v>
      </c>
      <c r="H95" s="100">
        <v>22.67</v>
      </c>
      <c r="I95" s="100">
        <v>11.4</v>
      </c>
      <c r="J95" s="100">
        <v>3.18</v>
      </c>
      <c r="K95" s="100">
        <v>179.6</v>
      </c>
      <c r="L95" s="100">
        <v>32.950000000000003</v>
      </c>
      <c r="M95" s="100">
        <v>35.86</v>
      </c>
      <c r="N95" s="100">
        <v>22.4</v>
      </c>
      <c r="O95" s="100">
        <v>0</v>
      </c>
      <c r="P95" s="100">
        <v>0.53</v>
      </c>
      <c r="Q95" s="100">
        <v>27.65</v>
      </c>
      <c r="R95" s="6"/>
      <c r="S95" s="6"/>
      <c r="T95" s="156"/>
      <c r="U95" s="6"/>
    </row>
    <row r="96" spans="1:21" customFormat="1">
      <c r="A96" s="163" t="s">
        <v>807</v>
      </c>
      <c r="B96" s="100">
        <v>6.4</v>
      </c>
      <c r="C96" s="100">
        <v>33.4</v>
      </c>
      <c r="D96" s="100">
        <v>22.59</v>
      </c>
      <c r="E96" s="100">
        <v>2.48</v>
      </c>
      <c r="F96" s="100">
        <v>7.9</v>
      </c>
      <c r="G96" s="100">
        <v>47.77</v>
      </c>
      <c r="H96" s="100">
        <v>22.67</v>
      </c>
      <c r="I96" s="100">
        <v>11.21</v>
      </c>
      <c r="J96" s="100">
        <v>3.6</v>
      </c>
      <c r="K96" s="100">
        <v>147.93</v>
      </c>
      <c r="L96" s="100">
        <v>32.17</v>
      </c>
      <c r="M96" s="100">
        <v>38.33</v>
      </c>
      <c r="N96" s="100">
        <v>22.8</v>
      </c>
      <c r="O96" s="100">
        <v>0</v>
      </c>
      <c r="P96" s="100">
        <v>0.51</v>
      </c>
      <c r="Q96" s="100">
        <v>27.64</v>
      </c>
      <c r="R96" s="6"/>
      <c r="S96" s="6"/>
      <c r="T96" s="156"/>
      <c r="U96" s="6"/>
    </row>
    <row r="97" spans="1:28" customFormat="1">
      <c r="A97" s="163" t="s">
        <v>808</v>
      </c>
      <c r="B97" s="100">
        <v>6.07</v>
      </c>
      <c r="C97" s="100">
        <v>31.88</v>
      </c>
      <c r="D97" s="100">
        <v>21.52</v>
      </c>
      <c r="E97" s="100">
        <v>2.39</v>
      </c>
      <c r="F97" s="100">
        <v>10.89</v>
      </c>
      <c r="G97" s="100">
        <v>47.77</v>
      </c>
      <c r="H97" s="100">
        <v>22.67</v>
      </c>
      <c r="I97" s="100">
        <v>11.04</v>
      </c>
      <c r="J97" s="100">
        <v>3.22</v>
      </c>
      <c r="K97" s="100">
        <v>167.83</v>
      </c>
      <c r="L97" s="100">
        <v>32.18</v>
      </c>
      <c r="M97" s="100">
        <v>38.07</v>
      </c>
      <c r="N97" s="100">
        <v>22.3</v>
      </c>
      <c r="O97" s="100">
        <v>0</v>
      </c>
      <c r="P97" s="100">
        <v>0.5</v>
      </c>
      <c r="Q97" s="100">
        <v>27.71</v>
      </c>
      <c r="R97" s="6"/>
      <c r="S97" s="6"/>
      <c r="T97" s="156"/>
      <c r="U97" s="6"/>
    </row>
    <row r="98" spans="1:28" customFormat="1">
      <c r="A98" s="163" t="s">
        <v>809</v>
      </c>
      <c r="B98" s="100">
        <v>6.24</v>
      </c>
      <c r="C98" s="100">
        <v>29.8</v>
      </c>
      <c r="D98" s="100">
        <v>20.58</v>
      </c>
      <c r="E98" s="100">
        <v>2.39</v>
      </c>
      <c r="F98" s="100">
        <v>9.67</v>
      </c>
      <c r="G98" s="100">
        <v>48.79</v>
      </c>
      <c r="H98" s="100">
        <v>21.85</v>
      </c>
      <c r="I98" s="100">
        <v>10.99</v>
      </c>
      <c r="J98" s="100">
        <v>4.09</v>
      </c>
      <c r="K98" s="100">
        <v>174.26</v>
      </c>
      <c r="L98" s="100">
        <v>32.29</v>
      </c>
      <c r="M98" s="100">
        <v>37.770000000000003</v>
      </c>
      <c r="N98" s="100">
        <v>22.3</v>
      </c>
      <c r="O98" s="100">
        <v>0</v>
      </c>
      <c r="P98" s="100">
        <v>0.48</v>
      </c>
      <c r="Q98" s="100">
        <v>27.88</v>
      </c>
      <c r="R98" s="6"/>
      <c r="S98" s="6"/>
      <c r="T98" s="156"/>
      <c r="U98" s="6"/>
    </row>
    <row r="99" spans="1:28" customFormat="1">
      <c r="A99" s="163" t="s">
        <v>810</v>
      </c>
      <c r="B99" s="100">
        <v>6.76</v>
      </c>
      <c r="C99" s="100">
        <v>31.09</v>
      </c>
      <c r="D99" s="100">
        <v>21.66</v>
      </c>
      <c r="E99" s="100">
        <v>2.2400000000000002</v>
      </c>
      <c r="F99" s="100">
        <v>7.23</v>
      </c>
      <c r="G99" s="100">
        <v>50.4</v>
      </c>
      <c r="H99" s="100">
        <v>20.55</v>
      </c>
      <c r="I99" s="100">
        <v>10.84</v>
      </c>
      <c r="J99" s="100">
        <v>3.84</v>
      </c>
      <c r="K99" s="100">
        <v>178.56</v>
      </c>
      <c r="L99" s="100">
        <v>32.03</v>
      </c>
      <c r="M99" s="100">
        <v>38.72</v>
      </c>
      <c r="N99" s="100">
        <v>22.5</v>
      </c>
      <c r="O99" s="100">
        <v>0</v>
      </c>
      <c r="P99" s="100">
        <v>0.5</v>
      </c>
      <c r="Q99" s="100">
        <v>27.81</v>
      </c>
      <c r="R99" s="6"/>
      <c r="S99" s="6"/>
      <c r="T99" s="156"/>
      <c r="U99" s="6"/>
    </row>
    <row r="100" spans="1:28" customFormat="1">
      <c r="A100" s="163" t="s">
        <v>811</v>
      </c>
      <c r="B100" s="100">
        <v>6.89</v>
      </c>
      <c r="C100" s="100">
        <v>29.87</v>
      </c>
      <c r="D100" s="100">
        <v>21.13</v>
      </c>
      <c r="E100" s="100">
        <v>2.04</v>
      </c>
      <c r="F100" s="100">
        <v>7.66</v>
      </c>
      <c r="G100" s="100">
        <v>50.4</v>
      </c>
      <c r="H100" s="100">
        <v>20.55</v>
      </c>
      <c r="I100" s="100">
        <v>10.74</v>
      </c>
      <c r="J100" s="100">
        <v>3.67</v>
      </c>
      <c r="K100" s="100">
        <v>176.52</v>
      </c>
      <c r="L100" s="100">
        <v>31.93</v>
      </c>
      <c r="M100" s="100">
        <v>39.450000000000003</v>
      </c>
      <c r="N100" s="100">
        <v>22.5</v>
      </c>
      <c r="O100" s="100">
        <v>0</v>
      </c>
      <c r="P100" s="100">
        <v>0.48</v>
      </c>
      <c r="Q100" s="100">
        <v>27.89</v>
      </c>
      <c r="R100" s="6"/>
      <c r="S100" s="6"/>
      <c r="T100" s="156"/>
      <c r="U100" s="6"/>
      <c r="AB100" s="161"/>
    </row>
    <row r="101" spans="1:28" customFormat="1">
      <c r="A101" s="163" t="s">
        <v>812</v>
      </c>
      <c r="B101" s="100">
        <v>7.08</v>
      </c>
      <c r="C101" s="100">
        <v>29.6</v>
      </c>
      <c r="D101" s="100">
        <v>21.14</v>
      </c>
      <c r="E101" s="100">
        <v>1.27</v>
      </c>
      <c r="F101" s="100">
        <v>8.5399999999999991</v>
      </c>
      <c r="G101" s="100">
        <v>50.4</v>
      </c>
      <c r="H101" s="100">
        <v>20.55</v>
      </c>
      <c r="I101" s="100">
        <v>10.76</v>
      </c>
      <c r="J101" s="100">
        <v>3.31</v>
      </c>
      <c r="K101" s="100">
        <v>174.82</v>
      </c>
      <c r="L101" s="100">
        <v>31.39</v>
      </c>
      <c r="M101" s="100">
        <v>41.25</v>
      </c>
      <c r="N101" s="100">
        <v>22.8</v>
      </c>
      <c r="O101" s="100">
        <v>0</v>
      </c>
      <c r="P101" s="100">
        <v>0.51</v>
      </c>
      <c r="Q101" s="100">
        <v>27.9</v>
      </c>
      <c r="R101" s="6"/>
      <c r="S101" s="6"/>
      <c r="T101" s="156"/>
      <c r="U101" s="6"/>
    </row>
    <row r="102" spans="1:28" customFormat="1">
      <c r="A102" s="163" t="s">
        <v>813</v>
      </c>
      <c r="B102" s="100">
        <v>7.09</v>
      </c>
      <c r="C102" s="100">
        <v>28.79</v>
      </c>
      <c r="D102" s="100">
        <v>20.73</v>
      </c>
      <c r="E102" s="100">
        <v>2.48</v>
      </c>
      <c r="F102" s="100">
        <v>8.82</v>
      </c>
      <c r="G102" s="100">
        <v>46.35</v>
      </c>
      <c r="H102" s="100">
        <v>20.52</v>
      </c>
      <c r="I102" s="100">
        <v>10.56</v>
      </c>
      <c r="J102" s="100">
        <v>3.18</v>
      </c>
      <c r="K102" s="100">
        <v>194.37</v>
      </c>
      <c r="L102" s="100">
        <v>31.23</v>
      </c>
      <c r="M102" s="100">
        <v>41.31</v>
      </c>
      <c r="N102" s="100">
        <v>22.5</v>
      </c>
      <c r="O102" s="100">
        <v>0</v>
      </c>
      <c r="P102" s="100">
        <v>0.53</v>
      </c>
      <c r="Q102" s="100">
        <v>27.92</v>
      </c>
      <c r="R102" s="6"/>
      <c r="S102" s="6"/>
      <c r="T102" s="156"/>
      <c r="U102" s="6"/>
    </row>
    <row r="103" spans="1:28" customFormat="1">
      <c r="A103" s="163" t="s">
        <v>814</v>
      </c>
      <c r="B103" s="100">
        <v>7.42</v>
      </c>
      <c r="C103" s="100">
        <v>29.42</v>
      </c>
      <c r="D103" s="100">
        <v>21.32</v>
      </c>
      <c r="E103" s="100">
        <v>2.21</v>
      </c>
      <c r="F103" s="100">
        <v>8.99</v>
      </c>
      <c r="G103" s="100">
        <v>39.979999999999997</v>
      </c>
      <c r="H103" s="100">
        <v>20.48</v>
      </c>
      <c r="I103" s="100">
        <v>10.54</v>
      </c>
      <c r="J103" s="100">
        <v>3.33</v>
      </c>
      <c r="K103" s="100">
        <v>200.18</v>
      </c>
      <c r="L103" s="100">
        <v>31.5</v>
      </c>
      <c r="M103" s="100">
        <v>40.700000000000003</v>
      </c>
      <c r="N103" s="100">
        <v>22.3</v>
      </c>
      <c r="O103" s="100">
        <v>0</v>
      </c>
      <c r="P103" s="100">
        <v>0.52</v>
      </c>
      <c r="Q103" s="100">
        <v>27.85</v>
      </c>
      <c r="R103" s="6"/>
      <c r="S103" s="6"/>
      <c r="T103" s="156"/>
      <c r="U103" s="6"/>
    </row>
    <row r="104" spans="1:28" customFormat="1">
      <c r="A104" s="163" t="s">
        <v>815</v>
      </c>
      <c r="B104" s="100">
        <v>7.37</v>
      </c>
      <c r="C104" s="100">
        <v>29.48</v>
      </c>
      <c r="D104" s="100">
        <v>21.32</v>
      </c>
      <c r="E104" s="100">
        <v>2.36</v>
      </c>
      <c r="F104" s="100">
        <v>8.51</v>
      </c>
      <c r="G104" s="100">
        <v>39.979999999999997</v>
      </c>
      <c r="H104" s="100">
        <v>20.48</v>
      </c>
      <c r="I104" s="100">
        <v>10.41</v>
      </c>
      <c r="J104" s="100">
        <v>3.37</v>
      </c>
      <c r="K104" s="100">
        <v>187.82</v>
      </c>
      <c r="L104" s="100">
        <v>31.2</v>
      </c>
      <c r="M104" s="100">
        <v>42.15</v>
      </c>
      <c r="N104" s="100">
        <v>22.6</v>
      </c>
      <c r="O104" s="100">
        <v>0</v>
      </c>
      <c r="P104" s="100">
        <v>0.52</v>
      </c>
      <c r="Q104" s="100">
        <v>27.9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0.91</v>
      </c>
      <c r="C106" s="158">
        <f>MIN(C9:C104)</f>
        <v>21.65</v>
      </c>
      <c r="D106" s="158">
        <f t="shared" ref="D106:Q106" si="0">MIN(D9:D104)</f>
        <v>12.04</v>
      </c>
      <c r="E106" s="158">
        <f t="shared" si="0"/>
        <v>0.02</v>
      </c>
      <c r="F106" s="158">
        <f t="shared" si="0"/>
        <v>2.44</v>
      </c>
      <c r="G106" s="158">
        <f t="shared" si="0"/>
        <v>34.43</v>
      </c>
      <c r="H106" s="158">
        <f t="shared" si="0"/>
        <v>11.84</v>
      </c>
      <c r="I106" s="158">
        <f t="shared" si="0"/>
        <v>9.06</v>
      </c>
      <c r="J106" s="158">
        <f t="shared" si="0"/>
        <v>0.2</v>
      </c>
      <c r="K106" s="158">
        <f t="shared" si="0"/>
        <v>14.8</v>
      </c>
      <c r="L106" s="158">
        <f t="shared" si="0"/>
        <v>27.03</v>
      </c>
      <c r="M106" s="158">
        <f t="shared" si="0"/>
        <v>16.239999999999998</v>
      </c>
      <c r="N106" s="158">
        <f t="shared" si="0"/>
        <v>22.2</v>
      </c>
      <c r="O106" s="158">
        <f t="shared" si="0"/>
        <v>0</v>
      </c>
      <c r="P106" s="158">
        <f t="shared" si="0"/>
        <v>0.4</v>
      </c>
      <c r="Q106" s="158">
        <f t="shared" si="0"/>
        <v>27.16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12.55</v>
      </c>
      <c r="C107" s="157">
        <f t="shared" ref="C107:Q107" si="1">MAX(C9:C104)</f>
        <v>45.72</v>
      </c>
      <c r="D107" s="157">
        <f t="shared" si="1"/>
        <v>28.7</v>
      </c>
      <c r="E107" s="157">
        <f t="shared" si="1"/>
        <v>13.96</v>
      </c>
      <c r="F107" s="157">
        <f t="shared" si="1"/>
        <v>71.08</v>
      </c>
      <c r="G107" s="157">
        <f t="shared" si="1"/>
        <v>55.55</v>
      </c>
      <c r="H107" s="157">
        <f t="shared" si="1"/>
        <v>26.03</v>
      </c>
      <c r="I107" s="157">
        <f t="shared" si="1"/>
        <v>18.89</v>
      </c>
      <c r="J107" s="157">
        <f t="shared" si="1"/>
        <v>5.22</v>
      </c>
      <c r="K107" s="157">
        <f t="shared" si="1"/>
        <v>343.35</v>
      </c>
      <c r="L107" s="157">
        <f t="shared" si="1"/>
        <v>40.06</v>
      </c>
      <c r="M107" s="157">
        <f t="shared" si="1"/>
        <v>58.5</v>
      </c>
      <c r="N107" s="157">
        <f t="shared" si="1"/>
        <v>915.8</v>
      </c>
      <c r="O107" s="157">
        <f t="shared" si="1"/>
        <v>0</v>
      </c>
      <c r="P107" s="157">
        <f t="shared" si="1"/>
        <v>0.89</v>
      </c>
      <c r="Q107" s="157">
        <f t="shared" si="1"/>
        <v>28.48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5.591354166666668</v>
      </c>
      <c r="C108" s="158">
        <f t="shared" ref="C108:Q108" si="2">AVERAGE(C9:C104)</f>
        <v>33.386562500000004</v>
      </c>
      <c r="D108" s="158">
        <f t="shared" si="2"/>
        <v>21.927395833333335</v>
      </c>
      <c r="E108" s="158">
        <f t="shared" si="2"/>
        <v>3.3812499999999992</v>
      </c>
      <c r="F108" s="158">
        <f t="shared" si="2"/>
        <v>12.496041666666676</v>
      </c>
      <c r="G108" s="158">
        <f t="shared" si="2"/>
        <v>45.512708333333336</v>
      </c>
      <c r="H108" s="158">
        <f t="shared" si="2"/>
        <v>19.024687499999995</v>
      </c>
      <c r="I108" s="158">
        <f t="shared" si="2"/>
        <v>11.659687499999999</v>
      </c>
      <c r="J108" s="158">
        <f t="shared" si="2"/>
        <v>3.1340624999999993</v>
      </c>
      <c r="K108" s="158">
        <f t="shared" si="2"/>
        <v>189.76083333333335</v>
      </c>
      <c r="L108" s="158">
        <f t="shared" si="2"/>
        <v>32.779270833333314</v>
      </c>
      <c r="M108" s="158">
        <f t="shared" si="2"/>
        <v>36.133020833333333</v>
      </c>
      <c r="N108" s="158">
        <f t="shared" si="2"/>
        <v>265.91458333333327</v>
      </c>
      <c r="O108" s="158">
        <f t="shared" si="2"/>
        <v>0</v>
      </c>
      <c r="P108" s="158">
        <f t="shared" si="2"/>
        <v>0.55281250000000026</v>
      </c>
      <c r="Q108" s="158">
        <f t="shared" si="2"/>
        <v>27.723020833333337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3.5820190189602541</v>
      </c>
      <c r="C109" s="158">
        <f t="shared" ref="C109:Q109" si="3">STDEV(C9:C104)</f>
        <v>4.3514190856789066</v>
      </c>
      <c r="D109" s="158">
        <f t="shared" si="3"/>
        <v>4.0880627878563418</v>
      </c>
      <c r="E109" s="158">
        <f t="shared" si="3"/>
        <v>2.8786957024611723</v>
      </c>
      <c r="F109" s="158">
        <f t="shared" si="3"/>
        <v>11.405983700087711</v>
      </c>
      <c r="G109" s="158">
        <f t="shared" si="3"/>
        <v>5.781741220003517</v>
      </c>
      <c r="H109" s="158">
        <f t="shared" si="3"/>
        <v>3.476464009101639</v>
      </c>
      <c r="I109" s="158">
        <f t="shared" si="3"/>
        <v>2.0676920533850214</v>
      </c>
      <c r="J109" s="158">
        <f t="shared" si="3"/>
        <v>1.0863202766316475</v>
      </c>
      <c r="K109" s="158">
        <f t="shared" si="3"/>
        <v>64.076925162226757</v>
      </c>
      <c r="L109" s="158">
        <f t="shared" si="3"/>
        <v>4.3999799628233509</v>
      </c>
      <c r="M109" s="158">
        <f t="shared" si="3"/>
        <v>12.986544544241232</v>
      </c>
      <c r="N109" s="158">
        <f t="shared" si="3"/>
        <v>332.17929653764656</v>
      </c>
      <c r="O109" s="158">
        <f t="shared" si="3"/>
        <v>0</v>
      </c>
      <c r="P109" s="158">
        <f t="shared" si="3"/>
        <v>0.11550076896531312</v>
      </c>
      <c r="Q109" s="158">
        <f t="shared" si="3"/>
        <v>0.33520180815887984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7" sqref="H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816</v>
      </c>
      <c r="B9" s="100">
        <v>5.45</v>
      </c>
      <c r="C9" s="100">
        <v>30.27</v>
      </c>
      <c r="D9" s="100">
        <v>20.190000000000001</v>
      </c>
      <c r="E9" s="100">
        <v>2.5299999999999998</v>
      </c>
      <c r="F9" s="100">
        <v>8.73</v>
      </c>
      <c r="G9" s="100">
        <v>39.979999999999997</v>
      </c>
      <c r="H9" s="100">
        <v>20.48</v>
      </c>
      <c r="I9" s="100">
        <v>10.24</v>
      </c>
      <c r="J9" s="100">
        <v>2.56</v>
      </c>
      <c r="K9" s="100">
        <v>183.57</v>
      </c>
      <c r="L9" s="100">
        <v>30.96</v>
      </c>
      <c r="M9" s="100">
        <v>42.83</v>
      </c>
      <c r="N9" s="100">
        <v>22.6</v>
      </c>
      <c r="O9" s="100">
        <v>0</v>
      </c>
      <c r="P9" s="100">
        <v>0.51</v>
      </c>
      <c r="Q9" s="100">
        <v>27.88</v>
      </c>
      <c r="R9" s="6"/>
      <c r="S9" s="6"/>
      <c r="T9" s="156"/>
      <c r="U9" s="6"/>
    </row>
    <row r="10" spans="1:21" customFormat="1">
      <c r="A10" s="163" t="s">
        <v>817</v>
      </c>
      <c r="B10" s="100">
        <v>6.13</v>
      </c>
      <c r="C10" s="100">
        <v>30.22</v>
      </c>
      <c r="D10" s="100">
        <v>20.7</v>
      </c>
      <c r="E10" s="100">
        <v>1.9</v>
      </c>
      <c r="F10" s="100">
        <v>7.45</v>
      </c>
      <c r="G10" s="100">
        <v>40.799999999999997</v>
      </c>
      <c r="H10" s="100">
        <v>20.81</v>
      </c>
      <c r="I10" s="100">
        <v>9.91</v>
      </c>
      <c r="J10" s="100">
        <v>4.18</v>
      </c>
      <c r="K10" s="100">
        <v>186.28</v>
      </c>
      <c r="L10" s="100">
        <v>30.78</v>
      </c>
      <c r="M10" s="100">
        <v>44.31</v>
      </c>
      <c r="N10" s="100">
        <v>22.6</v>
      </c>
      <c r="O10" s="100">
        <v>0</v>
      </c>
      <c r="P10" s="100">
        <v>0.52</v>
      </c>
      <c r="Q10" s="100">
        <v>27.83</v>
      </c>
      <c r="R10" s="6"/>
      <c r="S10" s="6"/>
      <c r="T10" s="156"/>
      <c r="U10" s="6"/>
    </row>
    <row r="11" spans="1:21" customFormat="1">
      <c r="A11" s="163" t="s">
        <v>818</v>
      </c>
      <c r="B11" s="100">
        <v>6.16</v>
      </c>
      <c r="C11" s="100">
        <v>30.73</v>
      </c>
      <c r="D11" s="100">
        <v>21</v>
      </c>
      <c r="E11" s="100">
        <v>2.09</v>
      </c>
      <c r="F11" s="100">
        <v>7.33</v>
      </c>
      <c r="G11" s="100">
        <v>42.09</v>
      </c>
      <c r="H11" s="100">
        <v>21.33</v>
      </c>
      <c r="I11" s="100">
        <v>9.76</v>
      </c>
      <c r="J11" s="100">
        <v>3.54</v>
      </c>
      <c r="K11" s="100">
        <v>180.27</v>
      </c>
      <c r="L11" s="100">
        <v>30.44</v>
      </c>
      <c r="M11" s="100">
        <v>45.62</v>
      </c>
      <c r="N11" s="100">
        <v>22.8</v>
      </c>
      <c r="O11" s="100">
        <v>0</v>
      </c>
      <c r="P11" s="100">
        <v>0.51</v>
      </c>
      <c r="Q11" s="100">
        <v>27.84</v>
      </c>
      <c r="R11" s="6"/>
      <c r="S11" s="6"/>
      <c r="T11" s="156"/>
      <c r="U11" s="6"/>
    </row>
    <row r="12" spans="1:21" customFormat="1">
      <c r="A12" s="163" t="s">
        <v>819</v>
      </c>
      <c r="B12" s="100">
        <v>6.17</v>
      </c>
      <c r="C12" s="100">
        <v>31.34</v>
      </c>
      <c r="D12" s="100">
        <v>21.32</v>
      </c>
      <c r="E12" s="100">
        <v>1.74</v>
      </c>
      <c r="F12" s="100">
        <v>5.93</v>
      </c>
      <c r="G12" s="100">
        <v>42.09</v>
      </c>
      <c r="H12" s="100">
        <v>21.33</v>
      </c>
      <c r="I12" s="100">
        <v>9.65</v>
      </c>
      <c r="J12" s="100">
        <v>3.31</v>
      </c>
      <c r="K12" s="100">
        <v>159.80000000000001</v>
      </c>
      <c r="L12" s="100">
        <v>30.02</v>
      </c>
      <c r="M12" s="100">
        <v>47.17</v>
      </c>
      <c r="N12" s="100">
        <v>22.8</v>
      </c>
      <c r="O12" s="100">
        <v>0</v>
      </c>
      <c r="P12" s="100">
        <v>0.52</v>
      </c>
      <c r="Q12" s="100">
        <v>27.84</v>
      </c>
      <c r="R12" s="6"/>
      <c r="S12" s="6"/>
      <c r="T12" s="156"/>
      <c r="U12" s="6"/>
    </row>
    <row r="13" spans="1:21" customFormat="1">
      <c r="A13" s="163" t="s">
        <v>820</v>
      </c>
      <c r="B13" s="100">
        <v>6.62</v>
      </c>
      <c r="C13" s="100">
        <v>33.54</v>
      </c>
      <c r="D13" s="100">
        <v>22.83</v>
      </c>
      <c r="E13" s="100">
        <v>1.99</v>
      </c>
      <c r="F13" s="100">
        <v>5.29</v>
      </c>
      <c r="G13" s="100">
        <v>42.09</v>
      </c>
      <c r="H13" s="100">
        <v>21.33</v>
      </c>
      <c r="I13" s="100">
        <v>9.57</v>
      </c>
      <c r="J13" s="100">
        <v>3.83</v>
      </c>
      <c r="K13" s="100">
        <v>151.74</v>
      </c>
      <c r="L13" s="100">
        <v>29.77</v>
      </c>
      <c r="M13" s="100">
        <v>48.16</v>
      </c>
      <c r="N13" s="100">
        <v>22.7</v>
      </c>
      <c r="O13" s="100">
        <v>0</v>
      </c>
      <c r="P13" s="100">
        <v>0.5</v>
      </c>
      <c r="Q13" s="100">
        <v>27.69</v>
      </c>
      <c r="R13" s="6"/>
      <c r="S13" s="6"/>
      <c r="T13" s="156"/>
      <c r="U13" s="6"/>
    </row>
    <row r="14" spans="1:21" customFormat="1">
      <c r="A14" s="163" t="s">
        <v>821</v>
      </c>
      <c r="B14" s="100">
        <v>6.5</v>
      </c>
      <c r="C14" s="100">
        <v>32.79</v>
      </c>
      <c r="D14" s="100">
        <v>22.35</v>
      </c>
      <c r="E14" s="100">
        <v>2.2599999999999998</v>
      </c>
      <c r="F14" s="100">
        <v>7.64</v>
      </c>
      <c r="G14" s="100">
        <v>42.28</v>
      </c>
      <c r="H14" s="100">
        <v>20.46</v>
      </c>
      <c r="I14" s="100">
        <v>9.52</v>
      </c>
      <c r="J14" s="100">
        <v>2.0099999999999998</v>
      </c>
      <c r="K14" s="100">
        <v>121.32</v>
      </c>
      <c r="L14" s="100">
        <v>29.89</v>
      </c>
      <c r="M14" s="100">
        <v>47.66</v>
      </c>
      <c r="N14" s="100">
        <v>22.5</v>
      </c>
      <c r="O14" s="100">
        <v>0</v>
      </c>
      <c r="P14" s="100">
        <v>0.48</v>
      </c>
      <c r="Q14" s="100">
        <v>27.75</v>
      </c>
      <c r="R14" s="6"/>
      <c r="S14" s="6"/>
      <c r="T14" s="156"/>
      <c r="U14" s="6"/>
    </row>
    <row r="15" spans="1:21" customFormat="1">
      <c r="A15" s="163" t="s">
        <v>822</v>
      </c>
      <c r="B15" s="100">
        <v>6.82</v>
      </c>
      <c r="C15" s="100">
        <v>32.119999999999997</v>
      </c>
      <c r="D15" s="100">
        <v>22.25</v>
      </c>
      <c r="E15" s="100">
        <v>1.85</v>
      </c>
      <c r="F15" s="100">
        <v>5</v>
      </c>
      <c r="G15" s="100">
        <v>42.6</v>
      </c>
      <c r="H15" s="100">
        <v>19.010000000000002</v>
      </c>
      <c r="I15" s="100">
        <v>9.59</v>
      </c>
      <c r="J15" s="100">
        <v>4.1100000000000003</v>
      </c>
      <c r="K15" s="100">
        <v>113.38</v>
      </c>
      <c r="L15" s="100">
        <v>29.5</v>
      </c>
      <c r="M15" s="100">
        <v>49.76</v>
      </c>
      <c r="N15" s="100">
        <v>22.8</v>
      </c>
      <c r="O15" s="100">
        <v>0</v>
      </c>
      <c r="P15" s="100">
        <v>0.48</v>
      </c>
      <c r="Q15" s="100">
        <v>27.73</v>
      </c>
      <c r="R15" s="6"/>
      <c r="S15" s="6"/>
      <c r="T15" s="156"/>
      <c r="U15" s="6"/>
    </row>
    <row r="16" spans="1:21" customFormat="1">
      <c r="A16" s="163" t="s">
        <v>823</v>
      </c>
      <c r="B16" s="100">
        <v>7.16</v>
      </c>
      <c r="C16" s="100">
        <v>33.18</v>
      </c>
      <c r="D16" s="100">
        <v>23.08</v>
      </c>
      <c r="E16" s="100">
        <v>1.96</v>
      </c>
      <c r="F16" s="100">
        <v>5.71</v>
      </c>
      <c r="G16" s="100">
        <v>42.6</v>
      </c>
      <c r="H16" s="100">
        <v>19.010000000000002</v>
      </c>
      <c r="I16" s="100">
        <v>9.44</v>
      </c>
      <c r="J16" s="100">
        <v>4.17</v>
      </c>
      <c r="K16" s="100">
        <v>112.91</v>
      </c>
      <c r="L16" s="100">
        <v>29.48</v>
      </c>
      <c r="M16" s="100">
        <v>49.49</v>
      </c>
      <c r="N16" s="100">
        <v>22.5</v>
      </c>
      <c r="O16" s="100">
        <v>0</v>
      </c>
      <c r="P16" s="100">
        <v>0.47</v>
      </c>
      <c r="Q16" s="100">
        <v>27.64</v>
      </c>
      <c r="R16" s="6"/>
      <c r="S16" s="6"/>
      <c r="T16" s="156"/>
      <c r="U16" s="6"/>
    </row>
    <row r="17" spans="1:21" customFormat="1">
      <c r="A17" s="163" t="s">
        <v>824</v>
      </c>
      <c r="B17" s="100">
        <v>7.34</v>
      </c>
      <c r="C17" s="100">
        <v>33.25</v>
      </c>
      <c r="D17" s="100">
        <v>23.26</v>
      </c>
      <c r="E17" s="100">
        <v>1.98</v>
      </c>
      <c r="F17" s="100">
        <v>5.25</v>
      </c>
      <c r="G17" s="100">
        <v>42.6</v>
      </c>
      <c r="H17" s="100">
        <v>19.010000000000002</v>
      </c>
      <c r="I17" s="100">
        <v>9.3800000000000008</v>
      </c>
      <c r="J17" s="100">
        <v>4.0199999999999996</v>
      </c>
      <c r="K17" s="100">
        <v>108.79</v>
      </c>
      <c r="L17" s="100">
        <v>29.38</v>
      </c>
      <c r="M17" s="100">
        <v>50.2</v>
      </c>
      <c r="N17" s="100">
        <v>22.5</v>
      </c>
      <c r="O17" s="100">
        <v>0</v>
      </c>
      <c r="P17" s="100">
        <v>0.46</v>
      </c>
      <c r="Q17" s="100">
        <v>27.66</v>
      </c>
      <c r="R17" s="6"/>
      <c r="S17" s="6"/>
      <c r="T17" s="156"/>
      <c r="U17" s="6"/>
    </row>
    <row r="18" spans="1:21" customFormat="1">
      <c r="A18" s="163" t="s">
        <v>825</v>
      </c>
      <c r="B18" s="100">
        <v>7.22</v>
      </c>
      <c r="C18" s="100">
        <v>33.119999999999997</v>
      </c>
      <c r="D18" s="100">
        <v>23.1</v>
      </c>
      <c r="E18" s="100">
        <v>2.38</v>
      </c>
      <c r="F18" s="100">
        <v>5.61</v>
      </c>
      <c r="G18" s="100">
        <v>40.82</v>
      </c>
      <c r="H18" s="100">
        <v>17.940000000000001</v>
      </c>
      <c r="I18" s="100">
        <v>9.35</v>
      </c>
      <c r="J18" s="100">
        <v>3.48</v>
      </c>
      <c r="K18" s="100">
        <v>90.1</v>
      </c>
      <c r="L18" s="100">
        <v>29.15</v>
      </c>
      <c r="M18" s="100">
        <v>51.4</v>
      </c>
      <c r="N18" s="100">
        <v>22.5</v>
      </c>
      <c r="O18" s="100">
        <v>0</v>
      </c>
      <c r="P18" s="100">
        <v>0.45</v>
      </c>
      <c r="Q18" s="100">
        <v>27.64</v>
      </c>
      <c r="R18" s="6"/>
      <c r="S18" s="6"/>
      <c r="T18" s="156"/>
      <c r="U18" s="6"/>
    </row>
    <row r="19" spans="1:21" customFormat="1">
      <c r="A19" s="163" t="s">
        <v>826</v>
      </c>
      <c r="B19" s="100">
        <v>6.91</v>
      </c>
      <c r="C19" s="100">
        <v>27.38</v>
      </c>
      <c r="D19" s="100">
        <v>19.850000000000001</v>
      </c>
      <c r="E19" s="100">
        <v>1.95</v>
      </c>
      <c r="F19" s="100">
        <v>7.8</v>
      </c>
      <c r="G19" s="100">
        <v>37.9</v>
      </c>
      <c r="H19" s="100">
        <v>16.18</v>
      </c>
      <c r="I19" s="100">
        <v>9.23</v>
      </c>
      <c r="J19" s="100">
        <v>2.75</v>
      </c>
      <c r="K19" s="100">
        <v>84.34</v>
      </c>
      <c r="L19" s="100">
        <v>28.96</v>
      </c>
      <c r="M19" s="100">
        <v>51.78</v>
      </c>
      <c r="N19" s="100">
        <v>22.5</v>
      </c>
      <c r="O19" s="100">
        <v>0</v>
      </c>
      <c r="P19" s="100">
        <v>0.45</v>
      </c>
      <c r="Q19" s="100">
        <v>27.9</v>
      </c>
      <c r="R19" s="6"/>
      <c r="S19" s="6"/>
      <c r="T19" s="156"/>
      <c r="U19" s="6"/>
    </row>
    <row r="20" spans="1:21" customFormat="1">
      <c r="A20" s="163" t="s">
        <v>827</v>
      </c>
      <c r="B20" s="100">
        <v>6.99</v>
      </c>
      <c r="C20" s="100">
        <v>26.53</v>
      </c>
      <c r="D20" s="100">
        <v>19.47</v>
      </c>
      <c r="E20" s="100">
        <v>2.08</v>
      </c>
      <c r="F20" s="100">
        <v>6.5</v>
      </c>
      <c r="G20" s="100">
        <v>37.9</v>
      </c>
      <c r="H20" s="100">
        <v>16.18</v>
      </c>
      <c r="I20" s="100">
        <v>9.2200000000000006</v>
      </c>
      <c r="J20" s="100">
        <v>1.44</v>
      </c>
      <c r="K20" s="100">
        <v>114.87</v>
      </c>
      <c r="L20" s="100">
        <v>28.98</v>
      </c>
      <c r="M20" s="100">
        <v>52.27</v>
      </c>
      <c r="N20" s="100">
        <v>22.4</v>
      </c>
      <c r="O20" s="100">
        <v>0</v>
      </c>
      <c r="P20" s="100">
        <v>0.46</v>
      </c>
      <c r="Q20" s="100">
        <v>27.96</v>
      </c>
      <c r="R20" s="6"/>
      <c r="S20" s="6"/>
      <c r="T20" s="156"/>
      <c r="U20" s="6"/>
    </row>
    <row r="21" spans="1:21" customFormat="1">
      <c r="A21" s="163" t="s">
        <v>828</v>
      </c>
      <c r="B21" s="100">
        <v>7.71</v>
      </c>
      <c r="C21" s="100">
        <v>29.89</v>
      </c>
      <c r="D21" s="100">
        <v>21.8</v>
      </c>
      <c r="E21" s="100">
        <v>1.81</v>
      </c>
      <c r="F21" s="100">
        <v>4.12</v>
      </c>
      <c r="G21" s="100">
        <v>37.9</v>
      </c>
      <c r="H21" s="100">
        <v>16.18</v>
      </c>
      <c r="I21" s="100">
        <v>9.25</v>
      </c>
      <c r="J21" s="100">
        <v>3.3</v>
      </c>
      <c r="K21" s="100">
        <v>249.04</v>
      </c>
      <c r="L21" s="100">
        <v>29.25</v>
      </c>
      <c r="M21" s="100">
        <v>51.38</v>
      </c>
      <c r="N21" s="100">
        <v>22.3</v>
      </c>
      <c r="O21" s="100">
        <v>0</v>
      </c>
      <c r="P21" s="100">
        <v>0.48</v>
      </c>
      <c r="Q21" s="100">
        <v>27.73</v>
      </c>
      <c r="R21" s="6"/>
      <c r="S21" s="6"/>
      <c r="T21" s="156"/>
      <c r="U21" s="6"/>
    </row>
    <row r="22" spans="1:21" customFormat="1">
      <c r="A22" s="163" t="s">
        <v>829</v>
      </c>
      <c r="B22" s="100">
        <v>7.72</v>
      </c>
      <c r="C22" s="100">
        <v>30.98</v>
      </c>
      <c r="D22" s="100">
        <v>22.38</v>
      </c>
      <c r="E22" s="100">
        <v>1.73</v>
      </c>
      <c r="F22" s="100">
        <v>4.67</v>
      </c>
      <c r="G22" s="100">
        <v>39.1</v>
      </c>
      <c r="H22" s="100">
        <v>16.239999999999998</v>
      </c>
      <c r="I22" s="100">
        <v>9.7100000000000009</v>
      </c>
      <c r="J22" s="100">
        <v>0.6</v>
      </c>
      <c r="K22" s="100">
        <v>191.48</v>
      </c>
      <c r="L22" s="100">
        <v>28.73</v>
      </c>
      <c r="M22" s="100">
        <v>53.79</v>
      </c>
      <c r="N22" s="100">
        <v>23.1</v>
      </c>
      <c r="O22" s="100">
        <v>0</v>
      </c>
      <c r="P22" s="100">
        <v>0.47</v>
      </c>
      <c r="Q22" s="100">
        <v>27.69</v>
      </c>
      <c r="R22" s="6"/>
      <c r="S22" s="6"/>
      <c r="T22" s="156"/>
      <c r="U22" s="6"/>
    </row>
    <row r="23" spans="1:21" customFormat="1">
      <c r="A23" s="163" t="s">
        <v>830</v>
      </c>
      <c r="B23" s="100">
        <v>7.82</v>
      </c>
      <c r="C23" s="100">
        <v>31.53</v>
      </c>
      <c r="D23" s="100">
        <v>22.74</v>
      </c>
      <c r="E23" s="100">
        <v>2</v>
      </c>
      <c r="F23" s="100">
        <v>4.4400000000000004</v>
      </c>
      <c r="G23" s="100">
        <v>41.07</v>
      </c>
      <c r="H23" s="100">
        <v>16.329999999999998</v>
      </c>
      <c r="I23" s="100">
        <v>9.49</v>
      </c>
      <c r="J23" s="100">
        <v>2.44</v>
      </c>
      <c r="K23" s="100">
        <v>182.65</v>
      </c>
      <c r="L23" s="100">
        <v>28.65</v>
      </c>
      <c r="M23" s="100">
        <v>53.9</v>
      </c>
      <c r="N23" s="100">
        <v>22.7</v>
      </c>
      <c r="O23" s="100">
        <v>0</v>
      </c>
      <c r="P23" s="100">
        <v>0.47</v>
      </c>
      <c r="Q23" s="100">
        <v>27.65</v>
      </c>
      <c r="R23" s="6"/>
      <c r="S23" s="6"/>
      <c r="T23" s="156"/>
      <c r="U23" s="6"/>
    </row>
    <row r="24" spans="1:21" customFormat="1">
      <c r="A24" s="163" t="s">
        <v>831</v>
      </c>
      <c r="B24" s="100">
        <v>7.81</v>
      </c>
      <c r="C24" s="100">
        <v>31.01</v>
      </c>
      <c r="D24" s="100">
        <v>22.46</v>
      </c>
      <c r="E24" s="100">
        <v>1.52</v>
      </c>
      <c r="F24" s="100">
        <v>4.2</v>
      </c>
      <c r="G24" s="100">
        <v>41.07</v>
      </c>
      <c r="H24" s="100">
        <v>16.329999999999998</v>
      </c>
      <c r="I24" s="100">
        <v>9.36</v>
      </c>
      <c r="J24" s="100">
        <v>1.18</v>
      </c>
      <c r="K24" s="100">
        <v>150.22</v>
      </c>
      <c r="L24" s="100">
        <v>28.56</v>
      </c>
      <c r="M24" s="100">
        <v>54.2</v>
      </c>
      <c r="N24" s="100">
        <v>22.6</v>
      </c>
      <c r="O24" s="100">
        <v>0</v>
      </c>
      <c r="P24" s="100">
        <v>0.47</v>
      </c>
      <c r="Q24" s="100">
        <v>27.66</v>
      </c>
      <c r="R24" s="6"/>
      <c r="S24" s="6"/>
      <c r="T24" s="156"/>
      <c r="U24" s="6"/>
    </row>
    <row r="25" spans="1:21" customFormat="1">
      <c r="A25" s="163" t="s">
        <v>832</v>
      </c>
      <c r="B25" s="100">
        <v>8.08</v>
      </c>
      <c r="C25" s="100">
        <v>31.4</v>
      </c>
      <c r="D25" s="100">
        <v>22.88</v>
      </c>
      <c r="E25" s="100">
        <v>1.88</v>
      </c>
      <c r="F25" s="100">
        <v>3.85</v>
      </c>
      <c r="G25" s="100">
        <v>41.07</v>
      </c>
      <c r="H25" s="100">
        <v>16.329999999999998</v>
      </c>
      <c r="I25" s="100">
        <v>9.35</v>
      </c>
      <c r="J25" s="100">
        <v>3.57</v>
      </c>
      <c r="K25" s="100">
        <v>132.88999999999999</v>
      </c>
      <c r="L25" s="100">
        <v>28.1</v>
      </c>
      <c r="M25" s="100">
        <v>57.56</v>
      </c>
      <c r="N25" s="100">
        <v>23</v>
      </c>
      <c r="O25" s="100">
        <v>0</v>
      </c>
      <c r="P25" s="100">
        <v>0.47</v>
      </c>
      <c r="Q25" s="100">
        <v>27.62</v>
      </c>
      <c r="R25" s="6"/>
      <c r="S25" s="6"/>
      <c r="T25" s="156"/>
      <c r="U25" s="6"/>
    </row>
    <row r="26" spans="1:21" customFormat="1">
      <c r="A26" s="163" t="s">
        <v>833</v>
      </c>
      <c r="B26" s="100">
        <v>8.7100000000000009</v>
      </c>
      <c r="C26" s="100">
        <v>31.57</v>
      </c>
      <c r="D26" s="100">
        <v>23.48</v>
      </c>
      <c r="E26" s="100">
        <v>1.8</v>
      </c>
      <c r="F26" s="100">
        <v>3.1</v>
      </c>
      <c r="G26" s="100">
        <v>40.29</v>
      </c>
      <c r="H26" s="100">
        <v>16.059999999999999</v>
      </c>
      <c r="I26" s="100">
        <v>9.1999999999999993</v>
      </c>
      <c r="J26" s="100">
        <v>3.23</v>
      </c>
      <c r="K26" s="100">
        <v>132.4</v>
      </c>
      <c r="L26" s="100">
        <v>27.8</v>
      </c>
      <c r="M26" s="100">
        <v>58.53</v>
      </c>
      <c r="N26" s="100">
        <v>22.8</v>
      </c>
      <c r="O26" s="100">
        <v>0</v>
      </c>
      <c r="P26" s="100">
        <v>0.46</v>
      </c>
      <c r="Q26" s="100">
        <v>27.74</v>
      </c>
      <c r="R26" s="6"/>
      <c r="S26" s="6"/>
      <c r="T26" s="156"/>
      <c r="U26" s="6"/>
    </row>
    <row r="27" spans="1:21" customFormat="1">
      <c r="A27" s="163" t="s">
        <v>834</v>
      </c>
      <c r="B27" s="100">
        <v>9.2200000000000006</v>
      </c>
      <c r="C27" s="100">
        <v>31.66</v>
      </c>
      <c r="D27" s="100">
        <v>23.93</v>
      </c>
      <c r="E27" s="100">
        <v>1.93</v>
      </c>
      <c r="F27" s="100">
        <v>3.2</v>
      </c>
      <c r="G27" s="100">
        <v>38.99</v>
      </c>
      <c r="H27" s="100">
        <v>15.61</v>
      </c>
      <c r="I27" s="100">
        <v>9.2899999999999991</v>
      </c>
      <c r="J27" s="100">
        <v>2.71</v>
      </c>
      <c r="K27" s="100">
        <v>179.55</v>
      </c>
      <c r="L27" s="100">
        <v>28.24</v>
      </c>
      <c r="M27" s="100">
        <v>56.92</v>
      </c>
      <c r="N27" s="100">
        <v>22.4</v>
      </c>
      <c r="O27" s="100">
        <v>0</v>
      </c>
      <c r="P27" s="100">
        <v>0.45</v>
      </c>
      <c r="Q27" s="100">
        <v>27.63</v>
      </c>
      <c r="R27" s="6"/>
      <c r="S27" s="6"/>
      <c r="T27" s="156"/>
      <c r="U27" s="6"/>
    </row>
    <row r="28" spans="1:21" customFormat="1">
      <c r="A28" s="163" t="s">
        <v>835</v>
      </c>
      <c r="B28" s="100">
        <v>9.8800000000000008</v>
      </c>
      <c r="C28" s="100">
        <v>28.94</v>
      </c>
      <c r="D28" s="100">
        <v>23.04</v>
      </c>
      <c r="E28" s="100">
        <v>1.91</v>
      </c>
      <c r="F28" s="100">
        <v>2.81</v>
      </c>
      <c r="G28" s="100">
        <v>38.99</v>
      </c>
      <c r="H28" s="100">
        <v>15.61</v>
      </c>
      <c r="I28" s="100">
        <v>9.2799999999999994</v>
      </c>
      <c r="J28" s="100">
        <v>2.6</v>
      </c>
      <c r="K28" s="100">
        <v>196.72</v>
      </c>
      <c r="L28" s="100">
        <v>28.41</v>
      </c>
      <c r="M28" s="100">
        <v>55.29</v>
      </c>
      <c r="N28" s="100">
        <v>22.3</v>
      </c>
      <c r="O28" s="100">
        <v>0</v>
      </c>
      <c r="P28" s="100">
        <v>0.44</v>
      </c>
      <c r="Q28" s="100">
        <v>27.67</v>
      </c>
      <c r="R28" s="6"/>
      <c r="S28" s="6"/>
      <c r="T28" s="156"/>
      <c r="U28" s="6"/>
    </row>
    <row r="29" spans="1:21" customFormat="1">
      <c r="A29" s="163" t="s">
        <v>836</v>
      </c>
      <c r="B29" s="100">
        <v>10.46</v>
      </c>
      <c r="C29" s="100">
        <v>31.61</v>
      </c>
      <c r="D29" s="100">
        <v>24.9</v>
      </c>
      <c r="E29" s="100">
        <v>1.2</v>
      </c>
      <c r="F29" s="100">
        <v>2.72</v>
      </c>
      <c r="G29" s="100">
        <v>38.99</v>
      </c>
      <c r="H29" s="100">
        <v>15.61</v>
      </c>
      <c r="I29" s="100">
        <v>9.35</v>
      </c>
      <c r="J29" s="100">
        <v>2.23</v>
      </c>
      <c r="K29" s="100">
        <v>194.41</v>
      </c>
      <c r="L29" s="100">
        <v>28.31</v>
      </c>
      <c r="M29" s="100">
        <v>55.55</v>
      </c>
      <c r="N29" s="100">
        <v>22.8</v>
      </c>
      <c r="O29" s="100">
        <v>0</v>
      </c>
      <c r="P29" s="100">
        <v>0.43</v>
      </c>
      <c r="Q29" s="100">
        <v>27.55</v>
      </c>
      <c r="R29" s="6"/>
      <c r="S29" s="6"/>
      <c r="T29" s="156"/>
      <c r="U29" s="6"/>
    </row>
    <row r="30" spans="1:21" customFormat="1">
      <c r="A30" s="163" t="s">
        <v>837</v>
      </c>
      <c r="B30" s="100">
        <v>10.89</v>
      </c>
      <c r="C30" s="100">
        <v>32.869999999999997</v>
      </c>
      <c r="D30" s="100">
        <v>25.91</v>
      </c>
      <c r="E30" s="100">
        <v>1.95</v>
      </c>
      <c r="F30" s="100">
        <v>2.7</v>
      </c>
      <c r="G30" s="100">
        <v>37.770000000000003</v>
      </c>
      <c r="H30" s="100">
        <v>15.84</v>
      </c>
      <c r="I30" s="100">
        <v>9.39</v>
      </c>
      <c r="J30" s="100">
        <v>2.15</v>
      </c>
      <c r="K30" s="100">
        <v>180.71</v>
      </c>
      <c r="L30" s="100">
        <v>28.15</v>
      </c>
      <c r="M30" s="100">
        <v>55.72</v>
      </c>
      <c r="N30" s="100">
        <v>24.4</v>
      </c>
      <c r="O30" s="100">
        <v>0</v>
      </c>
      <c r="P30" s="100">
        <v>0.44</v>
      </c>
      <c r="Q30" s="100">
        <v>27.45</v>
      </c>
      <c r="R30" s="6"/>
      <c r="S30" s="6"/>
      <c r="T30" s="156"/>
      <c r="U30" s="6"/>
    </row>
    <row r="31" spans="1:21" customFormat="1">
      <c r="A31" s="163" t="s">
        <v>838</v>
      </c>
      <c r="B31" s="100">
        <v>11.44</v>
      </c>
      <c r="C31" s="100">
        <v>31.92</v>
      </c>
      <c r="D31" s="100">
        <v>25.86</v>
      </c>
      <c r="E31" s="100">
        <v>1.91</v>
      </c>
      <c r="F31" s="100">
        <v>2.71</v>
      </c>
      <c r="G31" s="100">
        <v>35.770000000000003</v>
      </c>
      <c r="H31" s="100">
        <v>16.2</v>
      </c>
      <c r="I31" s="100">
        <v>9.33</v>
      </c>
      <c r="J31" s="100">
        <v>3.54</v>
      </c>
      <c r="K31" s="100">
        <v>205.89</v>
      </c>
      <c r="L31" s="100">
        <v>28.08</v>
      </c>
      <c r="M31" s="100">
        <v>55.1</v>
      </c>
      <c r="N31" s="100">
        <v>31.7</v>
      </c>
      <c r="O31" s="100">
        <v>0</v>
      </c>
      <c r="P31" s="100">
        <v>0.44</v>
      </c>
      <c r="Q31" s="100">
        <v>27.42</v>
      </c>
      <c r="R31" s="6"/>
      <c r="S31" s="6"/>
      <c r="T31" s="156"/>
      <c r="U31" s="6"/>
    </row>
    <row r="32" spans="1:21" customFormat="1">
      <c r="A32" s="163" t="s">
        <v>839</v>
      </c>
      <c r="B32" s="100">
        <v>11.69</v>
      </c>
      <c r="C32" s="100">
        <v>28.28</v>
      </c>
      <c r="D32" s="100">
        <v>24.15</v>
      </c>
      <c r="E32" s="100">
        <v>1.88</v>
      </c>
      <c r="F32" s="100">
        <v>2.95</v>
      </c>
      <c r="G32" s="100">
        <v>35.770000000000003</v>
      </c>
      <c r="H32" s="100">
        <v>16.2</v>
      </c>
      <c r="I32" s="100">
        <v>9.39</v>
      </c>
      <c r="J32" s="100">
        <v>3.21</v>
      </c>
      <c r="K32" s="100">
        <v>206.28</v>
      </c>
      <c r="L32" s="100">
        <v>28.19</v>
      </c>
      <c r="M32" s="100">
        <v>54.73</v>
      </c>
      <c r="N32" s="100">
        <v>42.6</v>
      </c>
      <c r="O32" s="100">
        <v>0</v>
      </c>
      <c r="P32" s="100">
        <v>0.43</v>
      </c>
      <c r="Q32" s="100">
        <v>27.53</v>
      </c>
      <c r="R32" s="6"/>
      <c r="S32" s="6"/>
      <c r="T32" s="156"/>
      <c r="U32" s="6"/>
    </row>
    <row r="33" spans="1:21" customFormat="1">
      <c r="A33" s="163" t="s">
        <v>840</v>
      </c>
      <c r="B33" s="100">
        <v>11.71</v>
      </c>
      <c r="C33" s="100">
        <v>27.36</v>
      </c>
      <c r="D33" s="100">
        <v>23.69</v>
      </c>
      <c r="E33" s="100">
        <v>1.48</v>
      </c>
      <c r="F33" s="100">
        <v>2.87</v>
      </c>
      <c r="G33" s="100">
        <v>35.770000000000003</v>
      </c>
      <c r="H33" s="100">
        <v>16.2</v>
      </c>
      <c r="I33" s="100">
        <v>9.41</v>
      </c>
      <c r="J33" s="100">
        <v>3.61</v>
      </c>
      <c r="K33" s="100">
        <v>198.68</v>
      </c>
      <c r="L33" s="100">
        <v>28.19</v>
      </c>
      <c r="M33" s="100">
        <v>55.03</v>
      </c>
      <c r="N33" s="100">
        <v>54</v>
      </c>
      <c r="O33" s="100">
        <v>0</v>
      </c>
      <c r="P33" s="100">
        <v>0.45</v>
      </c>
      <c r="Q33" s="100">
        <v>27.59</v>
      </c>
      <c r="R33" s="6"/>
      <c r="S33" s="6"/>
      <c r="T33" s="156"/>
      <c r="U33" s="6"/>
    </row>
    <row r="34" spans="1:21" customFormat="1">
      <c r="A34" s="163" t="s">
        <v>841</v>
      </c>
      <c r="B34" s="100">
        <v>11.57</v>
      </c>
      <c r="C34" s="100">
        <v>28.71</v>
      </c>
      <c r="D34" s="100">
        <v>24.28</v>
      </c>
      <c r="E34" s="100">
        <v>1.34</v>
      </c>
      <c r="F34" s="100">
        <v>3.32</v>
      </c>
      <c r="G34" s="100">
        <v>35.46</v>
      </c>
      <c r="H34" s="100">
        <v>14.56</v>
      </c>
      <c r="I34" s="100">
        <v>9.35</v>
      </c>
      <c r="J34" s="100">
        <v>3.64</v>
      </c>
      <c r="K34" s="100">
        <v>214.69</v>
      </c>
      <c r="L34" s="100">
        <v>28.22</v>
      </c>
      <c r="M34" s="100">
        <v>54.48</v>
      </c>
      <c r="N34" s="100">
        <v>64.7</v>
      </c>
      <c r="O34" s="100">
        <v>0</v>
      </c>
      <c r="P34" s="100">
        <v>0.46</v>
      </c>
      <c r="Q34" s="100">
        <v>27.57</v>
      </c>
      <c r="R34" s="6"/>
      <c r="S34" s="6"/>
      <c r="T34" s="156"/>
      <c r="U34" s="6"/>
    </row>
    <row r="35" spans="1:21" customFormat="1">
      <c r="A35" s="163" t="s">
        <v>842</v>
      </c>
      <c r="B35" s="100">
        <v>11.27</v>
      </c>
      <c r="C35" s="100">
        <v>28.95</v>
      </c>
      <c r="D35" s="100">
        <v>24.16</v>
      </c>
      <c r="E35" s="100">
        <v>1.4</v>
      </c>
      <c r="F35" s="100">
        <v>3.85</v>
      </c>
      <c r="G35" s="100">
        <v>34.950000000000003</v>
      </c>
      <c r="H35" s="100">
        <v>11.86</v>
      </c>
      <c r="I35" s="100">
        <v>9.35</v>
      </c>
      <c r="J35" s="100">
        <v>3.63</v>
      </c>
      <c r="K35" s="100">
        <v>191.98</v>
      </c>
      <c r="L35" s="100">
        <v>28.47</v>
      </c>
      <c r="M35" s="100">
        <v>53.46</v>
      </c>
      <c r="N35" s="100">
        <v>76</v>
      </c>
      <c r="O35" s="100">
        <v>0</v>
      </c>
      <c r="P35" s="100">
        <v>0.46</v>
      </c>
      <c r="Q35" s="100">
        <v>27.53</v>
      </c>
      <c r="R35" s="6"/>
      <c r="S35" s="6"/>
      <c r="T35" s="156"/>
      <c r="U35" s="6"/>
    </row>
    <row r="36" spans="1:21" customFormat="1">
      <c r="A36" s="163" t="s">
        <v>843</v>
      </c>
      <c r="B36" s="100">
        <v>10.7</v>
      </c>
      <c r="C36" s="100">
        <v>29.74</v>
      </c>
      <c r="D36" s="100">
        <v>24.12</v>
      </c>
      <c r="E36" s="100">
        <v>0.99</v>
      </c>
      <c r="F36" s="100">
        <v>3.46</v>
      </c>
      <c r="G36" s="100">
        <v>34.950000000000003</v>
      </c>
      <c r="H36" s="100">
        <v>11.86</v>
      </c>
      <c r="I36" s="100">
        <v>9.27</v>
      </c>
      <c r="J36" s="100">
        <v>3.3</v>
      </c>
      <c r="K36" s="100">
        <v>206.78</v>
      </c>
      <c r="L36" s="100">
        <v>28.81</v>
      </c>
      <c r="M36" s="100">
        <v>52.04</v>
      </c>
      <c r="N36" s="100">
        <v>97</v>
      </c>
      <c r="O36" s="100">
        <v>0</v>
      </c>
      <c r="P36" s="100">
        <v>0.47</v>
      </c>
      <c r="Q36" s="100">
        <v>27.53</v>
      </c>
      <c r="R36" s="6"/>
      <c r="S36" s="6"/>
      <c r="T36" s="156"/>
      <c r="U36" s="6"/>
    </row>
    <row r="37" spans="1:21" customFormat="1">
      <c r="A37" s="163" t="s">
        <v>844</v>
      </c>
      <c r="B37" s="100">
        <v>10.25</v>
      </c>
      <c r="C37" s="100">
        <v>29.33</v>
      </c>
      <c r="D37" s="100">
        <v>23.54</v>
      </c>
      <c r="E37" s="100">
        <v>1.91</v>
      </c>
      <c r="F37" s="100">
        <v>3.15</v>
      </c>
      <c r="G37" s="100">
        <v>34.950000000000003</v>
      </c>
      <c r="H37" s="100">
        <v>11.86</v>
      </c>
      <c r="I37" s="100">
        <v>9.25</v>
      </c>
      <c r="J37" s="100">
        <v>3.1</v>
      </c>
      <c r="K37" s="100">
        <v>204.18</v>
      </c>
      <c r="L37" s="100">
        <v>29.08</v>
      </c>
      <c r="M37" s="100">
        <v>52.4</v>
      </c>
      <c r="N37" s="100">
        <v>110.4</v>
      </c>
      <c r="O37" s="100">
        <v>0</v>
      </c>
      <c r="P37" s="100">
        <v>0.47</v>
      </c>
      <c r="Q37" s="100">
        <v>27.58</v>
      </c>
      <c r="R37" s="6"/>
      <c r="S37" s="6"/>
      <c r="T37" s="156"/>
      <c r="U37" s="6"/>
    </row>
    <row r="38" spans="1:21" customFormat="1">
      <c r="A38" s="163" t="s">
        <v>845</v>
      </c>
      <c r="B38" s="100">
        <v>9.74</v>
      </c>
      <c r="C38" s="100">
        <v>29.81</v>
      </c>
      <c r="D38" s="100">
        <v>23.39</v>
      </c>
      <c r="E38" s="100">
        <v>1.62</v>
      </c>
      <c r="F38" s="100">
        <v>4.2</v>
      </c>
      <c r="G38" s="100">
        <v>36.78</v>
      </c>
      <c r="H38" s="100">
        <v>12.44</v>
      </c>
      <c r="I38" s="100">
        <v>9.34</v>
      </c>
      <c r="J38" s="100">
        <v>3.08</v>
      </c>
      <c r="K38" s="100">
        <v>222.23</v>
      </c>
      <c r="L38" s="100">
        <v>29.67</v>
      </c>
      <c r="M38" s="100">
        <v>50.35</v>
      </c>
      <c r="N38" s="100">
        <v>151.80000000000001</v>
      </c>
      <c r="O38" s="100">
        <v>0</v>
      </c>
      <c r="P38" s="100">
        <v>0.48</v>
      </c>
      <c r="Q38" s="100">
        <v>27.59</v>
      </c>
      <c r="R38" s="6"/>
      <c r="S38" s="6"/>
      <c r="T38" s="156"/>
      <c r="U38" s="6"/>
    </row>
    <row r="39" spans="1:21" customFormat="1">
      <c r="A39" s="163" t="s">
        <v>846</v>
      </c>
      <c r="B39" s="100">
        <v>9.51</v>
      </c>
      <c r="C39" s="100">
        <v>33.799999999999997</v>
      </c>
      <c r="D39" s="100">
        <v>25.28</v>
      </c>
      <c r="E39" s="100">
        <v>1.72</v>
      </c>
      <c r="F39" s="100">
        <v>3.51</v>
      </c>
      <c r="G39" s="100">
        <v>39.799999999999997</v>
      </c>
      <c r="H39" s="100">
        <v>13.41</v>
      </c>
      <c r="I39" s="100">
        <v>9.43</v>
      </c>
      <c r="J39" s="100">
        <v>3.21</v>
      </c>
      <c r="K39" s="100">
        <v>227.01</v>
      </c>
      <c r="L39" s="100">
        <v>30.25</v>
      </c>
      <c r="M39" s="100">
        <v>46.46</v>
      </c>
      <c r="N39" s="100">
        <v>126.9</v>
      </c>
      <c r="O39" s="100">
        <v>0</v>
      </c>
      <c r="P39" s="100">
        <v>0.48</v>
      </c>
      <c r="Q39" s="100">
        <v>27.43</v>
      </c>
      <c r="R39" s="6"/>
      <c r="S39" s="6"/>
      <c r="T39" s="156"/>
      <c r="U39" s="6"/>
    </row>
    <row r="40" spans="1:21" customFormat="1">
      <c r="A40" s="163" t="s">
        <v>847</v>
      </c>
      <c r="B40" s="100">
        <v>9.4</v>
      </c>
      <c r="C40" s="100">
        <v>31.63</v>
      </c>
      <c r="D40" s="100">
        <v>24.06</v>
      </c>
      <c r="E40" s="100">
        <v>1.55</v>
      </c>
      <c r="F40" s="100">
        <v>3.78</v>
      </c>
      <c r="G40" s="100">
        <v>39.799999999999997</v>
      </c>
      <c r="H40" s="100">
        <v>13.41</v>
      </c>
      <c r="I40" s="100">
        <v>9.58</v>
      </c>
      <c r="J40" s="100">
        <v>3.42</v>
      </c>
      <c r="K40" s="100">
        <v>245.52</v>
      </c>
      <c r="L40" s="100">
        <v>30.61</v>
      </c>
      <c r="M40" s="100">
        <v>44.98</v>
      </c>
      <c r="N40" s="100">
        <v>212.2</v>
      </c>
      <c r="O40" s="100">
        <v>0</v>
      </c>
      <c r="P40" s="100">
        <v>0.48</v>
      </c>
      <c r="Q40" s="100">
        <v>27.54</v>
      </c>
      <c r="R40" s="6"/>
      <c r="S40" s="6"/>
      <c r="T40" s="156"/>
      <c r="U40" s="6"/>
    </row>
    <row r="41" spans="1:21" customFormat="1">
      <c r="A41" s="163" t="s">
        <v>848</v>
      </c>
      <c r="B41" s="100">
        <v>9.27</v>
      </c>
      <c r="C41" s="100">
        <v>29.57</v>
      </c>
      <c r="D41" s="100">
        <v>22.88</v>
      </c>
      <c r="E41" s="100">
        <v>1.55</v>
      </c>
      <c r="F41" s="100">
        <v>3.76</v>
      </c>
      <c r="G41" s="100">
        <v>39.799999999999997</v>
      </c>
      <c r="H41" s="100">
        <v>13.41</v>
      </c>
      <c r="I41" s="100">
        <v>9.76</v>
      </c>
      <c r="J41" s="100">
        <v>3.34</v>
      </c>
      <c r="K41" s="100">
        <v>246.48</v>
      </c>
      <c r="L41" s="100">
        <v>31.12</v>
      </c>
      <c r="M41" s="100">
        <v>43.54</v>
      </c>
      <c r="N41" s="100">
        <v>403.9</v>
      </c>
      <c r="O41" s="100">
        <v>0</v>
      </c>
      <c r="P41" s="100">
        <v>0.49</v>
      </c>
      <c r="Q41" s="100">
        <v>27.67</v>
      </c>
      <c r="R41" s="6"/>
      <c r="S41" s="6"/>
      <c r="T41" s="156"/>
      <c r="U41" s="6"/>
    </row>
    <row r="42" spans="1:21" customFormat="1">
      <c r="A42" s="163" t="s">
        <v>849</v>
      </c>
      <c r="B42" s="100">
        <v>9</v>
      </c>
      <c r="C42" s="100">
        <v>30.39</v>
      </c>
      <c r="D42" s="100">
        <v>23.09</v>
      </c>
      <c r="E42" s="100">
        <v>1.68</v>
      </c>
      <c r="F42" s="100">
        <v>6.3</v>
      </c>
      <c r="G42" s="100">
        <v>41.54</v>
      </c>
      <c r="H42" s="100">
        <v>13.54</v>
      </c>
      <c r="I42" s="100">
        <v>10.01</v>
      </c>
      <c r="J42" s="100">
        <v>3.14</v>
      </c>
      <c r="K42" s="100">
        <v>256.36</v>
      </c>
      <c r="L42" s="100">
        <v>31.67</v>
      </c>
      <c r="M42" s="100">
        <v>42.01</v>
      </c>
      <c r="N42" s="100">
        <v>428.9</v>
      </c>
      <c r="O42" s="100">
        <v>0</v>
      </c>
      <c r="P42" s="100">
        <v>0.5</v>
      </c>
      <c r="Q42" s="100">
        <v>27.66</v>
      </c>
      <c r="R42" s="6"/>
      <c r="S42" s="6"/>
      <c r="T42" s="156"/>
      <c r="U42" s="6"/>
    </row>
    <row r="43" spans="1:21" customFormat="1">
      <c r="A43" s="163" t="s">
        <v>850</v>
      </c>
      <c r="B43" s="100">
        <v>8.74</v>
      </c>
      <c r="C43" s="100">
        <v>31.04</v>
      </c>
      <c r="D43" s="100">
        <v>23.23</v>
      </c>
      <c r="E43" s="100">
        <v>1.81</v>
      </c>
      <c r="F43" s="100">
        <v>5.86</v>
      </c>
      <c r="G43" s="100">
        <v>44.39</v>
      </c>
      <c r="H43" s="100">
        <v>13.74</v>
      </c>
      <c r="I43" s="100">
        <v>10.47</v>
      </c>
      <c r="J43" s="100">
        <v>1.74</v>
      </c>
      <c r="K43" s="100">
        <v>277.39999999999998</v>
      </c>
      <c r="L43" s="100">
        <v>32.36</v>
      </c>
      <c r="M43" s="100">
        <v>40.1</v>
      </c>
      <c r="N43" s="100">
        <v>247.6</v>
      </c>
      <c r="O43" s="100">
        <v>0</v>
      </c>
      <c r="P43" s="100">
        <v>0.52</v>
      </c>
      <c r="Q43" s="100">
        <v>27.67</v>
      </c>
      <c r="R43" s="6"/>
      <c r="S43" s="6"/>
      <c r="T43" s="156"/>
      <c r="U43" s="6"/>
    </row>
    <row r="44" spans="1:21" customFormat="1">
      <c r="A44" s="163" t="s">
        <v>851</v>
      </c>
      <c r="B44" s="100">
        <v>8.32</v>
      </c>
      <c r="C44" s="100">
        <v>31.17</v>
      </c>
      <c r="D44" s="100">
        <v>22.96</v>
      </c>
      <c r="E44" s="100">
        <v>1.21</v>
      </c>
      <c r="F44" s="100">
        <v>6.91</v>
      </c>
      <c r="G44" s="100">
        <v>44.39</v>
      </c>
      <c r="H44" s="100">
        <v>13.74</v>
      </c>
      <c r="I44" s="100">
        <v>10.89</v>
      </c>
      <c r="J44" s="100">
        <v>2.96</v>
      </c>
      <c r="K44" s="100">
        <v>246.31</v>
      </c>
      <c r="L44" s="100">
        <v>32.79</v>
      </c>
      <c r="M44" s="100">
        <v>38.17</v>
      </c>
      <c r="N44" s="100">
        <v>192.3</v>
      </c>
      <c r="O44" s="100">
        <v>0</v>
      </c>
      <c r="P44" s="100">
        <v>0.53</v>
      </c>
      <c r="Q44" s="100">
        <v>27.67</v>
      </c>
      <c r="R44" s="6"/>
      <c r="S44" s="6"/>
      <c r="T44" s="156"/>
      <c r="U44" s="6"/>
    </row>
    <row r="45" spans="1:21" customFormat="1">
      <c r="A45" s="163" t="s">
        <v>852</v>
      </c>
      <c r="B45" s="100">
        <v>7.55</v>
      </c>
      <c r="C45" s="100">
        <v>29.17</v>
      </c>
      <c r="D45" s="100">
        <v>21.3</v>
      </c>
      <c r="E45" s="100">
        <v>2.35</v>
      </c>
      <c r="F45" s="100">
        <v>8.85</v>
      </c>
      <c r="G45" s="100">
        <v>44.39</v>
      </c>
      <c r="H45" s="100">
        <v>13.74</v>
      </c>
      <c r="I45" s="100">
        <v>11</v>
      </c>
      <c r="J45" s="100">
        <v>3.04</v>
      </c>
      <c r="K45" s="100">
        <v>256.10000000000002</v>
      </c>
      <c r="L45" s="100">
        <v>33.369999999999997</v>
      </c>
      <c r="M45" s="100">
        <v>36.200000000000003</v>
      </c>
      <c r="N45" s="100">
        <v>211.2</v>
      </c>
      <c r="O45" s="100">
        <v>0</v>
      </c>
      <c r="P45" s="100">
        <v>0.52</v>
      </c>
      <c r="Q45" s="100">
        <v>27.81</v>
      </c>
      <c r="R45" s="6"/>
      <c r="S45" s="6"/>
      <c r="T45" s="156"/>
      <c r="U45" s="6"/>
    </row>
    <row r="46" spans="1:21" customFormat="1">
      <c r="A46" s="163" t="s">
        <v>853</v>
      </c>
      <c r="B46" s="100">
        <v>6.33</v>
      </c>
      <c r="C46" s="100">
        <v>29.61</v>
      </c>
      <c r="D46" s="100">
        <v>20.54</v>
      </c>
      <c r="E46" s="100">
        <v>1.85</v>
      </c>
      <c r="F46" s="100">
        <v>13.31</v>
      </c>
      <c r="G46" s="100">
        <v>47.04</v>
      </c>
      <c r="H46" s="100">
        <v>17.11</v>
      </c>
      <c r="I46" s="100">
        <v>11.06</v>
      </c>
      <c r="J46" s="100">
        <v>3.03</v>
      </c>
      <c r="K46" s="100">
        <v>232.93</v>
      </c>
      <c r="L46" s="100">
        <v>34.090000000000003</v>
      </c>
      <c r="M46" s="100">
        <v>34.81</v>
      </c>
      <c r="N46" s="100">
        <v>366</v>
      </c>
      <c r="O46" s="100">
        <v>0</v>
      </c>
      <c r="P46" s="100">
        <v>0.52</v>
      </c>
      <c r="Q46" s="100">
        <v>27.86</v>
      </c>
      <c r="R46" s="6"/>
      <c r="S46" s="6"/>
      <c r="T46" s="156"/>
      <c r="U46" s="6"/>
    </row>
    <row r="47" spans="1:21" customFormat="1">
      <c r="A47" s="163" t="s">
        <v>854</v>
      </c>
      <c r="B47" s="100">
        <v>5.31</v>
      </c>
      <c r="C47" s="100">
        <v>31.3</v>
      </c>
      <c r="D47" s="100">
        <v>20.61</v>
      </c>
      <c r="E47" s="100">
        <v>1.82</v>
      </c>
      <c r="F47" s="100">
        <v>5.83</v>
      </c>
      <c r="G47" s="100">
        <v>51.4</v>
      </c>
      <c r="H47" s="100">
        <v>22.66</v>
      </c>
      <c r="I47" s="100">
        <v>10.82</v>
      </c>
      <c r="J47" s="100">
        <v>4.37</v>
      </c>
      <c r="K47" s="100">
        <v>241.65</v>
      </c>
      <c r="L47" s="100">
        <v>34.1</v>
      </c>
      <c r="M47" s="100">
        <v>34.479999999999997</v>
      </c>
      <c r="N47" s="100">
        <v>575.20000000000005</v>
      </c>
      <c r="O47" s="100">
        <v>0</v>
      </c>
      <c r="P47" s="100">
        <v>0.54</v>
      </c>
      <c r="Q47" s="100">
        <v>27.85</v>
      </c>
      <c r="R47" s="6"/>
      <c r="S47" s="6"/>
      <c r="T47" s="156"/>
      <c r="U47" s="6"/>
    </row>
    <row r="48" spans="1:21" customFormat="1">
      <c r="A48" s="163" t="s">
        <v>855</v>
      </c>
      <c r="B48" s="100">
        <v>3.77</v>
      </c>
      <c r="C48" s="100">
        <v>32.08</v>
      </c>
      <c r="D48" s="100">
        <v>19.78</v>
      </c>
      <c r="E48" s="100">
        <v>1.64</v>
      </c>
      <c r="F48" s="100">
        <v>7.58</v>
      </c>
      <c r="G48" s="100">
        <v>51.4</v>
      </c>
      <c r="H48" s="100">
        <v>22.66</v>
      </c>
      <c r="I48" s="100">
        <v>10.72</v>
      </c>
      <c r="J48" s="100">
        <v>3.81</v>
      </c>
      <c r="K48" s="100">
        <v>248.87</v>
      </c>
      <c r="L48" s="100">
        <v>34.78</v>
      </c>
      <c r="M48" s="100">
        <v>33.409999999999997</v>
      </c>
      <c r="N48" s="100">
        <v>708.2</v>
      </c>
      <c r="O48" s="100">
        <v>0</v>
      </c>
      <c r="P48" s="100">
        <v>0.55000000000000004</v>
      </c>
      <c r="Q48" s="100">
        <v>27.89</v>
      </c>
      <c r="R48" s="6"/>
      <c r="S48" s="6"/>
      <c r="T48" s="156"/>
      <c r="U48" s="6"/>
    </row>
    <row r="49" spans="1:21" customFormat="1">
      <c r="A49" s="163" t="s">
        <v>856</v>
      </c>
      <c r="B49" s="100">
        <v>3.27</v>
      </c>
      <c r="C49" s="100">
        <v>32</v>
      </c>
      <c r="D49" s="100">
        <v>19.34</v>
      </c>
      <c r="E49" s="100">
        <v>1.58</v>
      </c>
      <c r="F49" s="100">
        <v>8.69</v>
      </c>
      <c r="G49" s="100">
        <v>51.4</v>
      </c>
      <c r="H49" s="100">
        <v>22.66</v>
      </c>
      <c r="I49" s="100">
        <v>10.8</v>
      </c>
      <c r="J49" s="100">
        <v>3.74</v>
      </c>
      <c r="K49" s="100">
        <v>248.25</v>
      </c>
      <c r="L49" s="100">
        <v>35.270000000000003</v>
      </c>
      <c r="M49" s="100">
        <v>32.15</v>
      </c>
      <c r="N49" s="100">
        <v>755.8</v>
      </c>
      <c r="O49" s="100">
        <v>0</v>
      </c>
      <c r="P49" s="100">
        <v>0.56999999999999995</v>
      </c>
      <c r="Q49" s="100">
        <v>27.9</v>
      </c>
      <c r="R49" s="6"/>
      <c r="S49" s="6"/>
      <c r="T49" s="156"/>
      <c r="U49" s="6"/>
    </row>
    <row r="50" spans="1:21" customFormat="1">
      <c r="A50" s="163" t="s">
        <v>857</v>
      </c>
      <c r="B50" s="100">
        <v>2.6</v>
      </c>
      <c r="C50" s="100">
        <v>32.35</v>
      </c>
      <c r="D50" s="100">
        <v>18.98</v>
      </c>
      <c r="E50" s="100">
        <v>1.56</v>
      </c>
      <c r="F50" s="100">
        <v>9.73</v>
      </c>
      <c r="G50" s="100">
        <v>49.09</v>
      </c>
      <c r="H50" s="100">
        <v>21.1</v>
      </c>
      <c r="I50" s="100">
        <v>10.83</v>
      </c>
      <c r="J50" s="100">
        <v>3.57</v>
      </c>
      <c r="K50" s="100">
        <v>264.64999999999998</v>
      </c>
      <c r="L50" s="100">
        <v>35.68</v>
      </c>
      <c r="M50" s="100">
        <v>30.59</v>
      </c>
      <c r="N50" s="100">
        <v>789.9</v>
      </c>
      <c r="O50" s="100">
        <v>0</v>
      </c>
      <c r="P50" s="100">
        <v>0.57999999999999996</v>
      </c>
      <c r="Q50" s="100">
        <v>27.93</v>
      </c>
      <c r="R50" s="6"/>
      <c r="S50" s="6"/>
      <c r="T50" s="156"/>
      <c r="U50" s="6"/>
    </row>
    <row r="51" spans="1:21" customFormat="1">
      <c r="A51" s="163" t="s">
        <v>858</v>
      </c>
      <c r="B51" s="100">
        <v>2</v>
      </c>
      <c r="C51" s="100">
        <v>31.41</v>
      </c>
      <c r="D51" s="100">
        <v>17.18</v>
      </c>
      <c r="E51" s="100">
        <v>0</v>
      </c>
      <c r="F51" s="100">
        <v>11.28</v>
      </c>
      <c r="G51" s="100">
        <v>44.98</v>
      </c>
      <c r="H51" s="100">
        <v>18.190000000000001</v>
      </c>
      <c r="I51" s="100">
        <v>11.01</v>
      </c>
      <c r="J51" s="100">
        <v>5.42</v>
      </c>
      <c r="K51" s="100">
        <v>249.89</v>
      </c>
      <c r="L51" s="100">
        <v>35.549999999999997</v>
      </c>
      <c r="M51" s="100">
        <v>29.73</v>
      </c>
      <c r="N51" s="100">
        <v>829</v>
      </c>
      <c r="O51" s="100">
        <v>0</v>
      </c>
      <c r="P51" s="100">
        <v>0.56999999999999995</v>
      </c>
      <c r="Q51" s="100">
        <v>28.02</v>
      </c>
      <c r="R51" s="6"/>
      <c r="S51" s="6"/>
      <c r="T51" s="156"/>
      <c r="U51" s="6"/>
    </row>
    <row r="52" spans="1:21" customFormat="1">
      <c r="A52" s="163" t="s">
        <v>859</v>
      </c>
      <c r="B52" s="100">
        <v>1.57</v>
      </c>
      <c r="C52" s="100">
        <v>29.83</v>
      </c>
      <c r="D52" s="100">
        <v>16.850000000000001</v>
      </c>
      <c r="E52" s="100">
        <v>0</v>
      </c>
      <c r="F52" s="100">
        <v>10.25</v>
      </c>
      <c r="G52" s="100">
        <v>44.98</v>
      </c>
      <c r="H52" s="100">
        <v>18.190000000000001</v>
      </c>
      <c r="I52" s="100">
        <v>11.17</v>
      </c>
      <c r="J52" s="100">
        <v>5.12</v>
      </c>
      <c r="K52" s="100">
        <v>233.34</v>
      </c>
      <c r="L52" s="100">
        <v>35.83</v>
      </c>
      <c r="M52" s="100">
        <v>29.96</v>
      </c>
      <c r="N52" s="100">
        <v>842.9</v>
      </c>
      <c r="O52" s="100">
        <v>0</v>
      </c>
      <c r="P52" s="100">
        <v>0.56999999999999995</v>
      </c>
      <c r="Q52" s="100">
        <v>28.19</v>
      </c>
      <c r="R52" s="6"/>
      <c r="S52" s="6"/>
      <c r="T52" s="156"/>
      <c r="U52" s="6"/>
    </row>
    <row r="53" spans="1:21" customFormat="1">
      <c r="A53" s="163" t="s">
        <v>860</v>
      </c>
      <c r="B53" s="100">
        <v>1.17</v>
      </c>
      <c r="C53" s="100">
        <v>25.62</v>
      </c>
      <c r="D53" s="100">
        <v>14.32</v>
      </c>
      <c r="E53" s="100">
        <v>1.03</v>
      </c>
      <c r="F53" s="100">
        <v>26.52</v>
      </c>
      <c r="G53" s="100">
        <v>44.98</v>
      </c>
      <c r="H53" s="100">
        <v>18.190000000000001</v>
      </c>
      <c r="I53" s="100">
        <v>11.36</v>
      </c>
      <c r="J53" s="100">
        <v>4.42</v>
      </c>
      <c r="K53" s="100">
        <v>233.31</v>
      </c>
      <c r="L53" s="100">
        <v>36.71</v>
      </c>
      <c r="M53" s="100">
        <v>28.17</v>
      </c>
      <c r="N53" s="100">
        <v>857</v>
      </c>
      <c r="O53" s="100">
        <v>0</v>
      </c>
      <c r="P53" s="100">
        <v>0.48</v>
      </c>
      <c r="Q53" s="100">
        <v>28.37</v>
      </c>
      <c r="R53" s="6"/>
      <c r="S53" s="6"/>
      <c r="T53" s="156"/>
      <c r="U53" s="6"/>
    </row>
    <row r="54" spans="1:21" customFormat="1">
      <c r="A54" s="163" t="s">
        <v>861</v>
      </c>
      <c r="B54" s="100">
        <v>0.87</v>
      </c>
      <c r="C54" s="100">
        <v>18.149999999999999</v>
      </c>
      <c r="D54" s="100">
        <v>10.18</v>
      </c>
      <c r="E54" s="100">
        <v>2.8</v>
      </c>
      <c r="F54" s="100">
        <v>18.32</v>
      </c>
      <c r="G54" s="100">
        <v>44.98</v>
      </c>
      <c r="H54" s="100">
        <v>18.190000000000001</v>
      </c>
      <c r="I54" s="100">
        <v>11.46</v>
      </c>
      <c r="J54" s="100">
        <v>6</v>
      </c>
      <c r="K54" s="100">
        <v>239.97</v>
      </c>
      <c r="L54" s="100">
        <v>36.53</v>
      </c>
      <c r="M54" s="100">
        <v>28.89</v>
      </c>
      <c r="N54" s="100">
        <v>873.9</v>
      </c>
      <c r="O54" s="100">
        <v>0</v>
      </c>
      <c r="P54" s="100">
        <v>0.54</v>
      </c>
      <c r="Q54" s="100">
        <v>28.74</v>
      </c>
      <c r="R54" s="6"/>
      <c r="S54" s="6"/>
      <c r="T54" s="156"/>
      <c r="U54" s="6"/>
    </row>
    <row r="55" spans="1:21" customFormat="1">
      <c r="A55" s="163" t="s">
        <v>862</v>
      </c>
      <c r="B55" s="100">
        <v>0.53</v>
      </c>
      <c r="C55" s="100">
        <v>26.51</v>
      </c>
      <c r="D55" s="100">
        <v>14.28</v>
      </c>
      <c r="E55" s="100">
        <v>6.66</v>
      </c>
      <c r="F55" s="100">
        <v>33.67</v>
      </c>
      <c r="G55" s="100">
        <v>44.98</v>
      </c>
      <c r="H55" s="100">
        <v>18.190000000000001</v>
      </c>
      <c r="I55" s="100">
        <v>12.01</v>
      </c>
      <c r="J55" s="100">
        <v>3.13</v>
      </c>
      <c r="K55" s="100">
        <v>254.63</v>
      </c>
      <c r="L55" s="100">
        <v>36.76</v>
      </c>
      <c r="M55" s="100">
        <v>28.89</v>
      </c>
      <c r="N55" s="100">
        <v>864.9</v>
      </c>
      <c r="O55" s="100">
        <v>0</v>
      </c>
      <c r="P55" s="100">
        <v>0.6</v>
      </c>
      <c r="Q55" s="100">
        <v>28.61</v>
      </c>
      <c r="R55" s="6"/>
      <c r="S55" s="6"/>
      <c r="T55" s="156"/>
      <c r="U55" s="6"/>
    </row>
    <row r="56" spans="1:21" customFormat="1">
      <c r="A56" s="163" t="s">
        <v>863</v>
      </c>
      <c r="B56" s="100">
        <v>0.53</v>
      </c>
      <c r="C56" s="100">
        <v>20.61</v>
      </c>
      <c r="D56" s="100">
        <v>11.19</v>
      </c>
      <c r="E56" s="100">
        <v>5.94</v>
      </c>
      <c r="F56" s="100">
        <v>43.27</v>
      </c>
      <c r="G56" s="100">
        <v>44.98</v>
      </c>
      <c r="H56" s="100">
        <v>18.190000000000001</v>
      </c>
      <c r="I56" s="100">
        <v>12.77</v>
      </c>
      <c r="J56" s="100">
        <v>2.75</v>
      </c>
      <c r="K56" s="100">
        <v>247.73</v>
      </c>
      <c r="L56" s="100">
        <v>37.130000000000003</v>
      </c>
      <c r="M56" s="100">
        <v>28.29</v>
      </c>
      <c r="N56" s="100">
        <v>865.9</v>
      </c>
      <c r="O56" s="100">
        <v>0</v>
      </c>
      <c r="P56" s="100">
        <v>0.64</v>
      </c>
      <c r="Q56" s="100">
        <v>28.73</v>
      </c>
      <c r="R56" s="6"/>
      <c r="S56" s="6"/>
      <c r="T56" s="156"/>
      <c r="U56" s="6"/>
    </row>
    <row r="57" spans="1:21" customFormat="1">
      <c r="A57" s="163" t="s">
        <v>864</v>
      </c>
      <c r="B57" s="100">
        <v>0.95</v>
      </c>
      <c r="C57" s="100">
        <v>17.14</v>
      </c>
      <c r="D57" s="100">
        <v>9.7200000000000006</v>
      </c>
      <c r="E57" s="100">
        <v>5.25</v>
      </c>
      <c r="F57" s="100">
        <v>30.21</v>
      </c>
      <c r="G57" s="100">
        <v>44.98</v>
      </c>
      <c r="H57" s="100">
        <v>18.190000000000001</v>
      </c>
      <c r="I57" s="100">
        <v>13.64</v>
      </c>
      <c r="J57" s="100">
        <v>4.8600000000000003</v>
      </c>
      <c r="K57" s="100">
        <v>221.34</v>
      </c>
      <c r="L57" s="100">
        <v>37.700000000000003</v>
      </c>
      <c r="M57" s="100">
        <v>27.42</v>
      </c>
      <c r="N57" s="100">
        <v>876.8</v>
      </c>
      <c r="O57" s="100">
        <v>0</v>
      </c>
      <c r="P57" s="100">
        <v>0.64</v>
      </c>
      <c r="Q57" s="100">
        <v>28.86</v>
      </c>
      <c r="R57" s="6"/>
      <c r="S57" s="6"/>
      <c r="T57" s="156"/>
      <c r="U57" s="6"/>
    </row>
    <row r="58" spans="1:21" customFormat="1">
      <c r="A58" s="163" t="s">
        <v>865</v>
      </c>
      <c r="B58" s="100">
        <v>0.59</v>
      </c>
      <c r="C58" s="100">
        <v>20.86</v>
      </c>
      <c r="D58" s="100">
        <v>11.37</v>
      </c>
      <c r="E58" s="100">
        <v>11.24</v>
      </c>
      <c r="F58" s="100">
        <v>50.63</v>
      </c>
      <c r="G58" s="100">
        <v>44.98</v>
      </c>
      <c r="H58" s="100">
        <v>18.190000000000001</v>
      </c>
      <c r="I58" s="100">
        <v>14.34</v>
      </c>
      <c r="J58" s="100">
        <v>5.09</v>
      </c>
      <c r="K58" s="100">
        <v>201.52</v>
      </c>
      <c r="L58" s="100">
        <v>38.700000000000003</v>
      </c>
      <c r="M58" s="100">
        <v>25.74</v>
      </c>
      <c r="N58" s="100">
        <v>908.3</v>
      </c>
      <c r="O58" s="100">
        <v>0</v>
      </c>
      <c r="P58" s="100">
        <v>0.59</v>
      </c>
      <c r="Q58" s="100">
        <v>28.64</v>
      </c>
      <c r="R58" s="6"/>
      <c r="S58" s="6"/>
      <c r="T58" s="156"/>
      <c r="U58" s="6"/>
    </row>
    <row r="59" spans="1:21" customFormat="1">
      <c r="A59" s="163" t="s">
        <v>866</v>
      </c>
      <c r="B59" s="100">
        <v>0.54</v>
      </c>
      <c r="C59" s="100">
        <v>16.79</v>
      </c>
      <c r="D59" s="100">
        <v>9.2100000000000009</v>
      </c>
      <c r="E59" s="100">
        <v>6.72</v>
      </c>
      <c r="F59" s="100">
        <v>39.56</v>
      </c>
      <c r="G59" s="100">
        <v>44.98</v>
      </c>
      <c r="H59" s="100">
        <v>18.190000000000001</v>
      </c>
      <c r="I59" s="100">
        <v>14.14</v>
      </c>
      <c r="J59" s="100">
        <v>4.25</v>
      </c>
      <c r="K59" s="100">
        <v>222.36</v>
      </c>
      <c r="L59" s="100">
        <v>38.520000000000003</v>
      </c>
      <c r="M59" s="100">
        <v>25.2</v>
      </c>
      <c r="N59" s="100">
        <v>898.2</v>
      </c>
      <c r="O59" s="100">
        <v>0</v>
      </c>
      <c r="P59" s="100">
        <v>0.52</v>
      </c>
      <c r="Q59" s="100">
        <v>28.81</v>
      </c>
      <c r="R59" s="6"/>
      <c r="S59" s="6"/>
      <c r="T59" s="156"/>
      <c r="U59" s="6"/>
    </row>
    <row r="60" spans="1:21" customFormat="1">
      <c r="A60" s="163" t="s">
        <v>867</v>
      </c>
      <c r="B60" s="100">
        <v>0.54</v>
      </c>
      <c r="C60" s="100">
        <v>16.96</v>
      </c>
      <c r="D60" s="100">
        <v>9.2899999999999991</v>
      </c>
      <c r="E60" s="100">
        <v>4.8600000000000003</v>
      </c>
      <c r="F60" s="100">
        <v>36.130000000000003</v>
      </c>
      <c r="G60" s="100">
        <v>0</v>
      </c>
      <c r="H60" s="100">
        <v>0</v>
      </c>
      <c r="I60" s="100">
        <v>13.16</v>
      </c>
      <c r="J60" s="100">
        <v>3.9</v>
      </c>
      <c r="K60" s="100">
        <v>253.4</v>
      </c>
      <c r="L60" s="100">
        <v>38.44</v>
      </c>
      <c r="M60" s="100">
        <v>25.52</v>
      </c>
      <c r="N60" s="100">
        <v>873.7</v>
      </c>
      <c r="O60" s="100">
        <v>0</v>
      </c>
      <c r="P60" s="100">
        <v>0.51</v>
      </c>
      <c r="Q60" s="100">
        <v>28.83</v>
      </c>
      <c r="R60" s="6"/>
      <c r="S60" s="6"/>
      <c r="T60" s="156"/>
      <c r="U60" s="6"/>
    </row>
    <row r="61" spans="1:21" customFormat="1">
      <c r="A61" s="163" t="s">
        <v>868</v>
      </c>
      <c r="B61" s="100">
        <v>0.62</v>
      </c>
      <c r="C61" s="100">
        <v>17.14</v>
      </c>
      <c r="D61" s="100">
        <v>9.4499999999999993</v>
      </c>
      <c r="E61" s="100">
        <v>7.99</v>
      </c>
      <c r="F61" s="100">
        <v>38.81</v>
      </c>
      <c r="G61" s="100">
        <v>0</v>
      </c>
      <c r="H61" s="100">
        <v>0</v>
      </c>
      <c r="I61" s="100">
        <v>11.24</v>
      </c>
      <c r="J61" s="100">
        <v>3.65</v>
      </c>
      <c r="K61" s="100">
        <v>250.35</v>
      </c>
      <c r="L61" s="100">
        <v>38.44</v>
      </c>
      <c r="M61" s="100">
        <v>25.34</v>
      </c>
      <c r="N61" s="100">
        <v>843.8</v>
      </c>
      <c r="O61" s="100">
        <v>0</v>
      </c>
      <c r="P61" s="100">
        <v>0.5</v>
      </c>
      <c r="Q61" s="100">
        <v>28.78</v>
      </c>
      <c r="R61" s="6"/>
      <c r="S61" s="6"/>
      <c r="T61" s="156"/>
      <c r="U61" s="6"/>
    </row>
    <row r="62" spans="1:21" customFormat="1">
      <c r="A62" s="163" t="s">
        <v>869</v>
      </c>
      <c r="B62" s="100">
        <v>0.57999999999999996</v>
      </c>
      <c r="C62" s="100">
        <v>14.84</v>
      </c>
      <c r="D62" s="100">
        <v>8.2200000000000006</v>
      </c>
      <c r="E62" s="100">
        <v>8.8800000000000008</v>
      </c>
      <c r="F62" s="100">
        <v>44.26</v>
      </c>
      <c r="G62" s="100">
        <v>0</v>
      </c>
      <c r="H62" s="100">
        <v>0</v>
      </c>
      <c r="I62" s="100">
        <v>10.61</v>
      </c>
      <c r="J62" s="100">
        <v>3.59</v>
      </c>
      <c r="K62" s="100">
        <v>224.56</v>
      </c>
      <c r="L62" s="100">
        <v>39.549999999999997</v>
      </c>
      <c r="M62" s="100">
        <v>22.96</v>
      </c>
      <c r="N62" s="100">
        <v>866.8</v>
      </c>
      <c r="O62" s="100">
        <v>0</v>
      </c>
      <c r="P62" s="100">
        <v>0.43</v>
      </c>
      <c r="Q62" s="100">
        <v>28.95</v>
      </c>
      <c r="R62" s="6"/>
      <c r="S62" s="6"/>
      <c r="T62" s="156"/>
      <c r="U62" s="6"/>
    </row>
    <row r="63" spans="1:21" customFormat="1">
      <c r="A63" s="163" t="s">
        <v>870</v>
      </c>
      <c r="B63" s="100">
        <v>0.65</v>
      </c>
      <c r="C63" s="100">
        <v>14.01</v>
      </c>
      <c r="D63" s="100">
        <v>7.84</v>
      </c>
      <c r="E63" s="100">
        <v>8.32</v>
      </c>
      <c r="F63" s="100">
        <v>43.55</v>
      </c>
      <c r="G63" s="100">
        <v>0</v>
      </c>
      <c r="H63" s="100">
        <v>0</v>
      </c>
      <c r="I63" s="100">
        <v>10.09</v>
      </c>
      <c r="J63" s="100">
        <v>2.52</v>
      </c>
      <c r="K63" s="100">
        <v>231.2</v>
      </c>
      <c r="L63" s="100">
        <v>39.89</v>
      </c>
      <c r="M63" s="100">
        <v>21.97</v>
      </c>
      <c r="N63" s="100">
        <v>859.3</v>
      </c>
      <c r="O63" s="100">
        <v>0</v>
      </c>
      <c r="P63" s="100">
        <v>0.44</v>
      </c>
      <c r="Q63" s="100">
        <v>28.99</v>
      </c>
      <c r="R63" s="6"/>
      <c r="S63" s="6"/>
      <c r="T63" s="156"/>
      <c r="U63" s="6"/>
    </row>
    <row r="64" spans="1:21" customFormat="1">
      <c r="A64" s="163" t="s">
        <v>871</v>
      </c>
      <c r="B64" s="100">
        <v>0.81</v>
      </c>
      <c r="C64" s="100">
        <v>14.45</v>
      </c>
      <c r="D64" s="100">
        <v>8.1999999999999993</v>
      </c>
      <c r="E64" s="100">
        <v>5.28</v>
      </c>
      <c r="F64" s="100">
        <v>44.49</v>
      </c>
      <c r="G64" s="100">
        <v>9.57</v>
      </c>
      <c r="H64" s="100">
        <v>0.55000000000000004</v>
      </c>
      <c r="I64" s="100">
        <v>8.5299999999999994</v>
      </c>
      <c r="J64" s="100">
        <v>2.84</v>
      </c>
      <c r="K64" s="100">
        <v>224.81</v>
      </c>
      <c r="L64" s="100">
        <v>39.979999999999997</v>
      </c>
      <c r="M64" s="100">
        <v>19.86</v>
      </c>
      <c r="N64" s="100">
        <v>820.7</v>
      </c>
      <c r="O64" s="100">
        <v>0</v>
      </c>
      <c r="P64" s="100">
        <v>0.44</v>
      </c>
      <c r="Q64" s="100">
        <v>28.92</v>
      </c>
      <c r="R64" s="6"/>
      <c r="S64" s="6"/>
      <c r="T64" s="156"/>
      <c r="U64" s="6"/>
    </row>
    <row r="65" spans="1:21" customFormat="1">
      <c r="A65" s="163" t="s">
        <v>872</v>
      </c>
      <c r="B65" s="100">
        <v>0.67</v>
      </c>
      <c r="C65" s="100">
        <v>17.510000000000002</v>
      </c>
      <c r="D65" s="100">
        <v>9.69</v>
      </c>
      <c r="E65" s="100">
        <v>4.09</v>
      </c>
      <c r="F65" s="100">
        <v>29.16</v>
      </c>
      <c r="G65" s="100">
        <v>45.35</v>
      </c>
      <c r="H65" s="100">
        <v>2.62</v>
      </c>
      <c r="I65" s="100">
        <v>8.5500000000000007</v>
      </c>
      <c r="J65" s="100">
        <v>3.91</v>
      </c>
      <c r="K65" s="100">
        <v>239.03</v>
      </c>
      <c r="L65" s="100">
        <v>39.89</v>
      </c>
      <c r="M65" s="100">
        <v>20.97</v>
      </c>
      <c r="N65" s="100">
        <v>726.2</v>
      </c>
      <c r="O65" s="100">
        <v>0</v>
      </c>
      <c r="P65" s="100">
        <v>0.42</v>
      </c>
      <c r="Q65" s="100">
        <v>28.83</v>
      </c>
      <c r="R65" s="6"/>
      <c r="S65" s="6"/>
      <c r="T65" s="156"/>
      <c r="U65" s="6"/>
    </row>
    <row r="66" spans="1:21" customFormat="1">
      <c r="A66" s="163" t="s">
        <v>873</v>
      </c>
      <c r="B66" s="100">
        <v>0.55000000000000004</v>
      </c>
      <c r="C66" s="100">
        <v>20.09</v>
      </c>
      <c r="D66" s="100">
        <v>10.94</v>
      </c>
      <c r="E66" s="100">
        <v>7.47</v>
      </c>
      <c r="F66" s="100">
        <v>21.31</v>
      </c>
      <c r="G66" s="100">
        <v>45.35</v>
      </c>
      <c r="H66" s="100">
        <v>2.62</v>
      </c>
      <c r="I66" s="100">
        <v>8.56</v>
      </c>
      <c r="J66" s="100">
        <v>3.44</v>
      </c>
      <c r="K66" s="100">
        <v>212.84</v>
      </c>
      <c r="L66" s="100">
        <v>39.909999999999997</v>
      </c>
      <c r="M66" s="100">
        <v>20.59</v>
      </c>
      <c r="N66" s="100">
        <v>765.8</v>
      </c>
      <c r="O66" s="100">
        <v>0</v>
      </c>
      <c r="P66" s="100">
        <v>0.42</v>
      </c>
      <c r="Q66" s="100">
        <v>28.67</v>
      </c>
      <c r="R66" s="6"/>
      <c r="S66" s="6"/>
      <c r="T66" s="156"/>
      <c r="U66" s="6"/>
    </row>
    <row r="67" spans="1:21" customFormat="1">
      <c r="A67" s="163" t="s">
        <v>874</v>
      </c>
      <c r="B67" s="100">
        <v>1.1299999999999999</v>
      </c>
      <c r="C67" s="100">
        <v>18.84</v>
      </c>
      <c r="D67" s="100">
        <v>10.75</v>
      </c>
      <c r="E67" s="100">
        <v>8.59</v>
      </c>
      <c r="F67" s="100">
        <v>13.7</v>
      </c>
      <c r="G67" s="100">
        <v>45.35</v>
      </c>
      <c r="H67" s="100">
        <v>2.62</v>
      </c>
      <c r="I67" s="100">
        <v>8.34</v>
      </c>
      <c r="J67" s="100">
        <v>3.16</v>
      </c>
      <c r="K67" s="100">
        <v>225.73</v>
      </c>
      <c r="L67" s="100">
        <v>40.090000000000003</v>
      </c>
      <c r="M67" s="100">
        <v>20.45</v>
      </c>
      <c r="N67" s="100">
        <v>695.6</v>
      </c>
      <c r="O67" s="100">
        <v>0</v>
      </c>
      <c r="P67" s="100">
        <v>0.42</v>
      </c>
      <c r="Q67" s="100">
        <v>28.76</v>
      </c>
      <c r="R67" s="6"/>
      <c r="S67" s="6"/>
      <c r="T67" s="156"/>
      <c r="U67" s="6"/>
    </row>
    <row r="68" spans="1:21" customFormat="1">
      <c r="A68" s="163" t="s">
        <v>875</v>
      </c>
      <c r="B68" s="100">
        <v>1.5</v>
      </c>
      <c r="C68" s="100">
        <v>17.07</v>
      </c>
      <c r="D68" s="100">
        <v>10.130000000000001</v>
      </c>
      <c r="E68" s="100">
        <v>8.01</v>
      </c>
      <c r="F68" s="100">
        <v>13.3</v>
      </c>
      <c r="G68" s="100">
        <v>44.15</v>
      </c>
      <c r="H68" s="100">
        <v>3.18</v>
      </c>
      <c r="I68" s="100">
        <v>8.56</v>
      </c>
      <c r="J68" s="100">
        <v>3.2</v>
      </c>
      <c r="K68" s="100">
        <v>254.34</v>
      </c>
      <c r="L68" s="100">
        <v>40.28</v>
      </c>
      <c r="M68" s="100">
        <v>19.71</v>
      </c>
      <c r="N68" s="100">
        <v>661.8</v>
      </c>
      <c r="O68" s="100">
        <v>0</v>
      </c>
      <c r="P68" s="100">
        <v>0.4</v>
      </c>
      <c r="Q68" s="100">
        <v>28.82</v>
      </c>
      <c r="R68" s="6"/>
      <c r="S68" s="6"/>
      <c r="T68" s="156"/>
      <c r="U68" s="6"/>
    </row>
    <row r="69" spans="1:21" customFormat="1">
      <c r="A69" s="163" t="s">
        <v>876</v>
      </c>
      <c r="B69" s="100">
        <v>0.71</v>
      </c>
      <c r="C69" s="100">
        <v>15.47</v>
      </c>
      <c r="D69" s="100">
        <v>8.65</v>
      </c>
      <c r="E69" s="100">
        <v>4.71</v>
      </c>
      <c r="F69" s="100">
        <v>35.11</v>
      </c>
      <c r="G69" s="100">
        <v>39.68</v>
      </c>
      <c r="H69" s="100">
        <v>5.29</v>
      </c>
      <c r="I69" s="100">
        <v>8.6999999999999993</v>
      </c>
      <c r="J69" s="100">
        <v>5.01</v>
      </c>
      <c r="K69" s="100">
        <v>244.8</v>
      </c>
      <c r="L69" s="100">
        <v>39.36</v>
      </c>
      <c r="M69" s="100">
        <v>20.92</v>
      </c>
      <c r="N69" s="100">
        <v>389.9</v>
      </c>
      <c r="O69" s="100">
        <v>0</v>
      </c>
      <c r="P69" s="100">
        <v>0.35</v>
      </c>
      <c r="Q69" s="100">
        <v>28.91</v>
      </c>
      <c r="R69" s="6"/>
      <c r="S69" s="6"/>
      <c r="T69" s="156"/>
      <c r="U69" s="6"/>
    </row>
    <row r="70" spans="1:21" customFormat="1">
      <c r="A70" s="163" t="s">
        <v>877</v>
      </c>
      <c r="B70" s="100">
        <v>0.28000000000000003</v>
      </c>
      <c r="C70" s="100">
        <v>15.25</v>
      </c>
      <c r="D70" s="100">
        <v>8.19</v>
      </c>
      <c r="E70" s="100">
        <v>4.55</v>
      </c>
      <c r="F70" s="100">
        <v>29.48</v>
      </c>
      <c r="G70" s="100">
        <v>39.68</v>
      </c>
      <c r="H70" s="100">
        <v>5.29</v>
      </c>
      <c r="I70" s="100">
        <v>8.34</v>
      </c>
      <c r="J70" s="100">
        <v>2.13</v>
      </c>
      <c r="K70" s="100">
        <v>299.17</v>
      </c>
      <c r="L70" s="100">
        <v>39.54</v>
      </c>
      <c r="M70" s="100">
        <v>20.100000000000001</v>
      </c>
      <c r="N70" s="100">
        <v>465.2</v>
      </c>
      <c r="O70" s="100">
        <v>0</v>
      </c>
      <c r="P70" s="100">
        <v>0.34</v>
      </c>
      <c r="Q70" s="100">
        <v>28.95</v>
      </c>
      <c r="R70" s="6"/>
      <c r="S70" s="6"/>
      <c r="T70" s="156"/>
      <c r="U70" s="6"/>
    </row>
    <row r="71" spans="1:21" customFormat="1">
      <c r="A71" s="163" t="s">
        <v>878</v>
      </c>
      <c r="B71" s="100">
        <v>0.47</v>
      </c>
      <c r="C71" s="100">
        <v>18.38</v>
      </c>
      <c r="D71" s="100">
        <v>9.98</v>
      </c>
      <c r="E71" s="100">
        <v>8.3699999999999992</v>
      </c>
      <c r="F71" s="100">
        <v>27.95</v>
      </c>
      <c r="G71" s="100">
        <v>39.68</v>
      </c>
      <c r="H71" s="100">
        <v>5.29</v>
      </c>
      <c r="I71" s="100">
        <v>7.52</v>
      </c>
      <c r="J71" s="100">
        <v>1.36</v>
      </c>
      <c r="K71" s="100">
        <v>295.72000000000003</v>
      </c>
      <c r="L71" s="100">
        <v>40.549999999999997</v>
      </c>
      <c r="M71" s="100">
        <v>17.27</v>
      </c>
      <c r="N71" s="100">
        <v>525.20000000000005</v>
      </c>
      <c r="O71" s="100">
        <v>0</v>
      </c>
      <c r="P71" s="100">
        <v>0.34</v>
      </c>
      <c r="Q71" s="100">
        <v>28.84</v>
      </c>
      <c r="R71" s="6"/>
      <c r="S71" s="6"/>
      <c r="T71" s="156"/>
      <c r="U71" s="6"/>
    </row>
    <row r="72" spans="1:21" customFormat="1">
      <c r="A72" s="163" t="s">
        <v>879</v>
      </c>
      <c r="B72" s="100">
        <v>0.66</v>
      </c>
      <c r="C72" s="100">
        <v>24.49</v>
      </c>
      <c r="D72" s="100">
        <v>13.33</v>
      </c>
      <c r="E72" s="100">
        <v>7.58</v>
      </c>
      <c r="F72" s="100">
        <v>15.63</v>
      </c>
      <c r="G72" s="100">
        <v>39.46</v>
      </c>
      <c r="H72" s="100">
        <v>6.36</v>
      </c>
      <c r="I72" s="100">
        <v>7.14</v>
      </c>
      <c r="J72" s="100">
        <v>4.1100000000000003</v>
      </c>
      <c r="K72" s="100">
        <v>245.55</v>
      </c>
      <c r="L72" s="100">
        <v>40.380000000000003</v>
      </c>
      <c r="M72" s="100">
        <v>17.05</v>
      </c>
      <c r="N72" s="100">
        <v>469.9</v>
      </c>
      <c r="O72" s="100">
        <v>0</v>
      </c>
      <c r="P72" s="100">
        <v>0.34</v>
      </c>
      <c r="Q72" s="100">
        <v>28.52</v>
      </c>
      <c r="R72" s="6"/>
      <c r="S72" s="6"/>
      <c r="T72" s="156"/>
      <c r="U72" s="6"/>
    </row>
    <row r="73" spans="1:21" customFormat="1">
      <c r="A73" s="163" t="s">
        <v>880</v>
      </c>
      <c r="B73" s="100">
        <v>0.98</v>
      </c>
      <c r="C73" s="100">
        <v>22.97</v>
      </c>
      <c r="D73" s="100">
        <v>12.78</v>
      </c>
      <c r="E73" s="100">
        <v>7.45</v>
      </c>
      <c r="F73" s="100">
        <v>12.87</v>
      </c>
      <c r="G73" s="100">
        <v>38.64</v>
      </c>
      <c r="H73" s="100">
        <v>10.36</v>
      </c>
      <c r="I73" s="100">
        <v>7.04</v>
      </c>
      <c r="J73" s="100">
        <v>4.16</v>
      </c>
      <c r="K73" s="100">
        <v>233.61</v>
      </c>
      <c r="L73" s="100">
        <v>40.03</v>
      </c>
      <c r="M73" s="100">
        <v>16.47</v>
      </c>
      <c r="N73" s="100">
        <v>418.3</v>
      </c>
      <c r="O73" s="100">
        <v>0</v>
      </c>
      <c r="P73" s="100">
        <v>0.36</v>
      </c>
      <c r="Q73" s="100">
        <v>28.55</v>
      </c>
      <c r="R73" s="6"/>
      <c r="S73" s="6"/>
      <c r="T73" s="156"/>
      <c r="U73" s="6"/>
    </row>
    <row r="74" spans="1:21" customFormat="1">
      <c r="A74" s="163" t="s">
        <v>881</v>
      </c>
      <c r="B74" s="100">
        <v>1.06</v>
      </c>
      <c r="C74" s="100">
        <v>24.25</v>
      </c>
      <c r="D74" s="100">
        <v>13.52</v>
      </c>
      <c r="E74" s="100">
        <v>6.77</v>
      </c>
      <c r="F74" s="100">
        <v>11.46</v>
      </c>
      <c r="G74" s="100">
        <v>38.64</v>
      </c>
      <c r="H74" s="100">
        <v>10.36</v>
      </c>
      <c r="I74" s="100">
        <v>7.48</v>
      </c>
      <c r="J74" s="100">
        <v>4.3899999999999997</v>
      </c>
      <c r="K74" s="100">
        <v>240.96</v>
      </c>
      <c r="L74" s="100">
        <v>39.93</v>
      </c>
      <c r="M74" s="100">
        <v>16.16</v>
      </c>
      <c r="N74" s="100">
        <v>357.7</v>
      </c>
      <c r="O74" s="100">
        <v>0</v>
      </c>
      <c r="P74" s="100">
        <v>0.35</v>
      </c>
      <c r="Q74" s="100">
        <v>28.45</v>
      </c>
      <c r="R74" s="6"/>
      <c r="S74" s="6"/>
      <c r="T74" s="156"/>
      <c r="U74" s="6"/>
    </row>
    <row r="75" spans="1:21" customFormat="1">
      <c r="A75" s="163" t="s">
        <v>882</v>
      </c>
      <c r="B75" s="100">
        <v>1.17</v>
      </c>
      <c r="C75" s="100">
        <v>20.190000000000001</v>
      </c>
      <c r="D75" s="100">
        <v>11.49</v>
      </c>
      <c r="E75" s="100">
        <v>6.53</v>
      </c>
      <c r="F75" s="100">
        <v>17.03</v>
      </c>
      <c r="G75" s="100">
        <v>38.64</v>
      </c>
      <c r="H75" s="100">
        <v>10.36</v>
      </c>
      <c r="I75" s="100">
        <v>7.39</v>
      </c>
      <c r="J75" s="100">
        <v>3.91</v>
      </c>
      <c r="K75" s="100">
        <v>230.69</v>
      </c>
      <c r="L75" s="100">
        <v>39.86</v>
      </c>
      <c r="M75" s="100">
        <v>17.36</v>
      </c>
      <c r="N75" s="100">
        <v>293.89999999999998</v>
      </c>
      <c r="O75" s="100">
        <v>0</v>
      </c>
      <c r="P75" s="100">
        <v>0.34</v>
      </c>
      <c r="Q75" s="100">
        <v>28.66</v>
      </c>
      <c r="R75" s="6"/>
      <c r="S75" s="6"/>
      <c r="T75" s="156"/>
      <c r="U75" s="6"/>
    </row>
    <row r="76" spans="1:21" customFormat="1">
      <c r="A76" s="163" t="s">
        <v>883</v>
      </c>
      <c r="B76" s="100">
        <v>1.35</v>
      </c>
      <c r="C76" s="100">
        <v>18.149999999999999</v>
      </c>
      <c r="D76" s="100">
        <v>10.56</v>
      </c>
      <c r="E76" s="100">
        <v>6.78</v>
      </c>
      <c r="F76" s="100">
        <v>14.37</v>
      </c>
      <c r="G76" s="100">
        <v>37.92</v>
      </c>
      <c r="H76" s="100">
        <v>9.9499999999999993</v>
      </c>
      <c r="I76" s="100">
        <v>7.42</v>
      </c>
      <c r="J76" s="100">
        <v>4.51</v>
      </c>
      <c r="K76" s="100">
        <v>230.53</v>
      </c>
      <c r="L76" s="100">
        <v>39.49</v>
      </c>
      <c r="M76" s="100">
        <v>18.39</v>
      </c>
      <c r="N76" s="100">
        <v>234.9</v>
      </c>
      <c r="O76" s="100">
        <v>0</v>
      </c>
      <c r="P76" s="100">
        <v>0.36</v>
      </c>
      <c r="Q76" s="100">
        <v>28.74</v>
      </c>
      <c r="R76" s="6"/>
      <c r="S76" s="6"/>
      <c r="T76" s="156"/>
      <c r="U76" s="6"/>
    </row>
    <row r="77" spans="1:21" customFormat="1">
      <c r="A77" s="163" t="s">
        <v>884</v>
      </c>
      <c r="B77" s="100">
        <v>1.9</v>
      </c>
      <c r="C77" s="100">
        <v>21.48</v>
      </c>
      <c r="D77" s="100">
        <v>12.75</v>
      </c>
      <c r="E77" s="100">
        <v>0.47</v>
      </c>
      <c r="F77" s="100">
        <v>21.44</v>
      </c>
      <c r="G77" s="100">
        <v>35.229999999999997</v>
      </c>
      <c r="H77" s="100">
        <v>8.43</v>
      </c>
      <c r="I77" s="100">
        <v>7.3</v>
      </c>
      <c r="J77" s="100">
        <v>3.63</v>
      </c>
      <c r="K77" s="100">
        <v>215.37</v>
      </c>
      <c r="L77" s="100">
        <v>40.369999999999997</v>
      </c>
      <c r="M77" s="100">
        <v>19.010000000000002</v>
      </c>
      <c r="N77" s="100">
        <v>171.2</v>
      </c>
      <c r="O77" s="100">
        <v>0</v>
      </c>
      <c r="P77" s="100">
        <v>0.35</v>
      </c>
      <c r="Q77" s="100">
        <v>28.57</v>
      </c>
      <c r="R77" s="6"/>
      <c r="S77" s="6"/>
      <c r="T77" s="156"/>
      <c r="U77" s="6"/>
    </row>
    <row r="78" spans="1:21" customFormat="1">
      <c r="A78" s="163" t="s">
        <v>885</v>
      </c>
      <c r="B78" s="100">
        <v>1.31</v>
      </c>
      <c r="C78" s="100">
        <v>24.84</v>
      </c>
      <c r="D78" s="100">
        <v>14.03</v>
      </c>
      <c r="E78" s="100">
        <v>1.3</v>
      </c>
      <c r="F78" s="100">
        <v>14.65</v>
      </c>
      <c r="G78" s="100">
        <v>35.229999999999997</v>
      </c>
      <c r="H78" s="100">
        <v>8.43</v>
      </c>
      <c r="I78" s="100">
        <v>7.13</v>
      </c>
      <c r="J78" s="100">
        <v>3.53</v>
      </c>
      <c r="K78" s="100">
        <v>223.46</v>
      </c>
      <c r="L78" s="100">
        <v>40.01</v>
      </c>
      <c r="M78" s="100">
        <v>21.05</v>
      </c>
      <c r="N78" s="100">
        <v>98.3</v>
      </c>
      <c r="O78" s="100">
        <v>0</v>
      </c>
      <c r="P78" s="100">
        <v>0.37</v>
      </c>
      <c r="Q78" s="100">
        <v>28.47</v>
      </c>
      <c r="R78" s="6"/>
      <c r="S78" s="6"/>
      <c r="T78" s="156"/>
      <c r="U78" s="6"/>
    </row>
    <row r="79" spans="1:21" customFormat="1">
      <c r="A79" s="163" t="s">
        <v>886</v>
      </c>
      <c r="B79" s="100">
        <v>1.34</v>
      </c>
      <c r="C79" s="100">
        <v>27.44</v>
      </c>
      <c r="D79" s="100">
        <v>15.41</v>
      </c>
      <c r="E79" s="100">
        <v>1.6</v>
      </c>
      <c r="F79" s="100">
        <v>12.87</v>
      </c>
      <c r="G79" s="100">
        <v>35.229999999999997</v>
      </c>
      <c r="H79" s="100">
        <v>8.43</v>
      </c>
      <c r="I79" s="100">
        <v>7.11</v>
      </c>
      <c r="J79" s="100">
        <v>3.59</v>
      </c>
      <c r="K79" s="100">
        <v>239.56</v>
      </c>
      <c r="L79" s="100">
        <v>39.36</v>
      </c>
      <c r="M79" s="100">
        <v>22.19</v>
      </c>
      <c r="N79" s="100">
        <v>72.5</v>
      </c>
      <c r="O79" s="100">
        <v>0</v>
      </c>
      <c r="P79" s="100">
        <v>0.38</v>
      </c>
      <c r="Q79" s="100">
        <v>28.33</v>
      </c>
      <c r="R79" s="6"/>
      <c r="S79" s="6"/>
      <c r="T79" s="156"/>
      <c r="U79" s="6"/>
    </row>
    <row r="80" spans="1:21" customFormat="1">
      <c r="A80" s="163" t="s">
        <v>887</v>
      </c>
      <c r="B80" s="100">
        <v>1.39</v>
      </c>
      <c r="C80" s="100">
        <v>20.32</v>
      </c>
      <c r="D80" s="100">
        <v>11.73</v>
      </c>
      <c r="E80" s="100">
        <v>2.4500000000000002</v>
      </c>
      <c r="F80" s="100">
        <v>24.99</v>
      </c>
      <c r="G80" s="100">
        <v>34.76</v>
      </c>
      <c r="H80" s="100">
        <v>8.4600000000000009</v>
      </c>
      <c r="I80" s="100">
        <v>7.17</v>
      </c>
      <c r="J80" s="100">
        <v>3.48</v>
      </c>
      <c r="K80" s="100">
        <v>242.03</v>
      </c>
      <c r="L80" s="100">
        <v>38.86</v>
      </c>
      <c r="M80" s="100">
        <v>23.08</v>
      </c>
      <c r="N80" s="100">
        <v>54.1</v>
      </c>
      <c r="O80" s="100">
        <v>0</v>
      </c>
      <c r="P80" s="100">
        <v>0.37</v>
      </c>
      <c r="Q80" s="100">
        <v>28.62</v>
      </c>
      <c r="R80" s="6"/>
      <c r="S80" s="6"/>
      <c r="T80" s="156"/>
      <c r="U80" s="6"/>
    </row>
    <row r="81" spans="1:21" customFormat="1">
      <c r="A81" s="163" t="s">
        <v>888</v>
      </c>
      <c r="B81" s="100">
        <v>1.45</v>
      </c>
      <c r="C81" s="100">
        <v>17.27</v>
      </c>
      <c r="D81" s="100">
        <v>10.19</v>
      </c>
      <c r="E81" s="100">
        <v>3.68</v>
      </c>
      <c r="F81" s="100">
        <v>26.99</v>
      </c>
      <c r="G81" s="100">
        <v>32.99</v>
      </c>
      <c r="H81" s="100">
        <v>8.58</v>
      </c>
      <c r="I81" s="100">
        <v>7.24</v>
      </c>
      <c r="J81" s="100">
        <v>3.27</v>
      </c>
      <c r="K81" s="100">
        <v>239.61</v>
      </c>
      <c r="L81" s="100">
        <v>38.5</v>
      </c>
      <c r="M81" s="100">
        <v>23.4</v>
      </c>
      <c r="N81" s="100">
        <v>37.5</v>
      </c>
      <c r="O81" s="100">
        <v>0</v>
      </c>
      <c r="P81" s="100">
        <v>0.38</v>
      </c>
      <c r="Q81" s="100">
        <v>28.75</v>
      </c>
      <c r="R81" s="6"/>
      <c r="S81" s="6"/>
      <c r="T81" s="156"/>
      <c r="U81" s="6"/>
    </row>
    <row r="82" spans="1:21" customFormat="1">
      <c r="A82" s="163" t="s">
        <v>889</v>
      </c>
      <c r="B82" s="100">
        <v>1.46</v>
      </c>
      <c r="C82" s="100">
        <v>17.98</v>
      </c>
      <c r="D82" s="100">
        <v>10.57</v>
      </c>
      <c r="E82" s="100">
        <v>4.5599999999999996</v>
      </c>
      <c r="F82" s="100">
        <v>26.57</v>
      </c>
      <c r="G82" s="100">
        <v>32.99</v>
      </c>
      <c r="H82" s="100">
        <v>8.58</v>
      </c>
      <c r="I82" s="100">
        <v>7.45</v>
      </c>
      <c r="J82" s="100">
        <v>3.48</v>
      </c>
      <c r="K82" s="100">
        <v>243.43</v>
      </c>
      <c r="L82" s="100">
        <v>38.299999999999997</v>
      </c>
      <c r="M82" s="100">
        <v>23.4</v>
      </c>
      <c r="N82" s="100">
        <v>26.4</v>
      </c>
      <c r="O82" s="100">
        <v>0</v>
      </c>
      <c r="P82" s="100">
        <v>0.39</v>
      </c>
      <c r="Q82" s="100">
        <v>28.67</v>
      </c>
      <c r="R82" s="6"/>
      <c r="S82" s="6"/>
      <c r="T82" s="156"/>
      <c r="U82" s="6"/>
    </row>
    <row r="83" spans="1:21" customFormat="1">
      <c r="A83" s="163" t="s">
        <v>890</v>
      </c>
      <c r="B83" s="100">
        <v>1.46</v>
      </c>
      <c r="C83" s="100">
        <v>18.71</v>
      </c>
      <c r="D83" s="100">
        <v>10.94</v>
      </c>
      <c r="E83" s="100">
        <v>3.41</v>
      </c>
      <c r="F83" s="100">
        <v>24.15</v>
      </c>
      <c r="G83" s="100">
        <v>32.99</v>
      </c>
      <c r="H83" s="100">
        <v>8.58</v>
      </c>
      <c r="I83" s="100">
        <v>7.91</v>
      </c>
      <c r="J83" s="100">
        <v>2.86</v>
      </c>
      <c r="K83" s="100">
        <v>246.47</v>
      </c>
      <c r="L83" s="100">
        <v>38.04</v>
      </c>
      <c r="M83" s="100">
        <v>23.8</v>
      </c>
      <c r="N83" s="100">
        <v>22.7</v>
      </c>
      <c r="O83" s="100">
        <v>0</v>
      </c>
      <c r="P83" s="100">
        <v>0.41</v>
      </c>
      <c r="Q83" s="100">
        <v>28.65</v>
      </c>
      <c r="R83" s="6"/>
      <c r="S83" s="6"/>
      <c r="T83" s="156"/>
      <c r="U83" s="6"/>
    </row>
    <row r="84" spans="1:21" customFormat="1">
      <c r="A84" s="163" t="s">
        <v>891</v>
      </c>
      <c r="B84" s="100">
        <v>1.83</v>
      </c>
      <c r="C84" s="100">
        <v>23.75</v>
      </c>
      <c r="D84" s="100">
        <v>13.87</v>
      </c>
      <c r="E84" s="100">
        <v>4.1100000000000003</v>
      </c>
      <c r="F84" s="100">
        <v>23.53</v>
      </c>
      <c r="G84" s="100">
        <v>33.65</v>
      </c>
      <c r="H84" s="100">
        <v>9.36</v>
      </c>
      <c r="I84" s="100">
        <v>8.27</v>
      </c>
      <c r="J84" s="100">
        <v>3.12</v>
      </c>
      <c r="K84" s="100">
        <v>244.04</v>
      </c>
      <c r="L84" s="100">
        <v>37.74</v>
      </c>
      <c r="M84" s="100">
        <v>23.92</v>
      </c>
      <c r="N84" s="100">
        <v>22.4</v>
      </c>
      <c r="O84" s="100">
        <v>0</v>
      </c>
      <c r="P84" s="100">
        <v>0.41</v>
      </c>
      <c r="Q84" s="100">
        <v>28.36</v>
      </c>
      <c r="R84" s="6"/>
      <c r="S84" s="6"/>
      <c r="T84" s="156"/>
      <c r="U84" s="6"/>
    </row>
    <row r="85" spans="1:21" customFormat="1">
      <c r="A85" s="163" t="s">
        <v>892</v>
      </c>
      <c r="B85" s="100">
        <v>1.96</v>
      </c>
      <c r="C85" s="100">
        <v>23.29</v>
      </c>
      <c r="D85" s="100">
        <v>13.74</v>
      </c>
      <c r="E85" s="100">
        <v>4.6100000000000003</v>
      </c>
      <c r="F85" s="100">
        <v>26.26</v>
      </c>
      <c r="G85" s="100">
        <v>36.119999999999997</v>
      </c>
      <c r="H85" s="100">
        <v>12.27</v>
      </c>
      <c r="I85" s="100">
        <v>7.87</v>
      </c>
      <c r="J85" s="100">
        <v>1.99</v>
      </c>
      <c r="K85" s="100">
        <v>244.18</v>
      </c>
      <c r="L85" s="100">
        <v>37.26</v>
      </c>
      <c r="M85" s="100">
        <v>25.23</v>
      </c>
      <c r="N85" s="100">
        <v>22.5</v>
      </c>
      <c r="O85" s="100">
        <v>0</v>
      </c>
      <c r="P85" s="100">
        <v>0.41</v>
      </c>
      <c r="Q85" s="100">
        <v>28.35</v>
      </c>
      <c r="R85" s="6"/>
      <c r="S85" s="6"/>
      <c r="T85" s="156"/>
      <c r="U85" s="6"/>
    </row>
    <row r="86" spans="1:21" customFormat="1">
      <c r="A86" s="163" t="s">
        <v>893</v>
      </c>
      <c r="B86" s="100">
        <v>2.33</v>
      </c>
      <c r="C86" s="100">
        <v>24.54</v>
      </c>
      <c r="D86" s="100">
        <v>14.68</v>
      </c>
      <c r="E86" s="100">
        <v>3.83</v>
      </c>
      <c r="F86" s="100">
        <v>25.35</v>
      </c>
      <c r="G86" s="100">
        <v>36.119999999999997</v>
      </c>
      <c r="H86" s="100">
        <v>12.27</v>
      </c>
      <c r="I86" s="100">
        <v>8.0500000000000007</v>
      </c>
      <c r="J86" s="100">
        <v>2.11</v>
      </c>
      <c r="K86" s="100">
        <v>261.25</v>
      </c>
      <c r="L86" s="100">
        <v>36.68</v>
      </c>
      <c r="M86" s="100">
        <v>26.09</v>
      </c>
      <c r="N86" s="100">
        <v>22.5</v>
      </c>
      <c r="O86" s="100">
        <v>0</v>
      </c>
      <c r="P86" s="100">
        <v>0.45</v>
      </c>
      <c r="Q86" s="100">
        <v>28.21</v>
      </c>
      <c r="R86" s="6"/>
      <c r="S86" s="6"/>
      <c r="T86" s="156"/>
      <c r="U86" s="6"/>
    </row>
    <row r="87" spans="1:21" customFormat="1">
      <c r="A87" s="163" t="s">
        <v>894</v>
      </c>
      <c r="B87" s="100">
        <v>2.29</v>
      </c>
      <c r="C87" s="100">
        <v>23.82</v>
      </c>
      <c r="D87" s="100">
        <v>14.28</v>
      </c>
      <c r="E87" s="100">
        <v>3.81</v>
      </c>
      <c r="F87" s="100">
        <v>30.41</v>
      </c>
      <c r="G87" s="100">
        <v>36.119999999999997</v>
      </c>
      <c r="H87" s="100">
        <v>12.27</v>
      </c>
      <c r="I87" s="100">
        <v>8.11</v>
      </c>
      <c r="J87" s="100">
        <v>2.83</v>
      </c>
      <c r="K87" s="100">
        <v>152.31</v>
      </c>
      <c r="L87" s="100">
        <v>35.57</v>
      </c>
      <c r="M87" s="100">
        <v>29.4</v>
      </c>
      <c r="N87" s="100">
        <v>23.1</v>
      </c>
      <c r="O87" s="100">
        <v>0</v>
      </c>
      <c r="P87" s="100">
        <v>0.37</v>
      </c>
      <c r="Q87" s="100">
        <v>28.25</v>
      </c>
      <c r="R87" s="6"/>
      <c r="S87" s="6"/>
      <c r="T87" s="156"/>
      <c r="U87" s="6"/>
    </row>
    <row r="88" spans="1:21" customFormat="1">
      <c r="A88" s="163" t="s">
        <v>895</v>
      </c>
      <c r="B88" s="100">
        <v>2.0499999999999998</v>
      </c>
      <c r="C88" s="100">
        <v>23.77</v>
      </c>
      <c r="D88" s="100">
        <v>14.06</v>
      </c>
      <c r="E88" s="100">
        <v>3.79</v>
      </c>
      <c r="F88" s="100">
        <v>24.94</v>
      </c>
      <c r="G88" s="100">
        <v>35.67</v>
      </c>
      <c r="H88" s="100">
        <v>13.3</v>
      </c>
      <c r="I88" s="100">
        <v>8.42</v>
      </c>
      <c r="J88" s="100">
        <v>2.81</v>
      </c>
      <c r="K88" s="100">
        <v>137.25</v>
      </c>
      <c r="L88" s="100">
        <v>34.75</v>
      </c>
      <c r="M88" s="100">
        <v>30.65</v>
      </c>
      <c r="N88" s="100">
        <v>22.7</v>
      </c>
      <c r="O88" s="100">
        <v>0</v>
      </c>
      <c r="P88" s="100">
        <v>0.39</v>
      </c>
      <c r="Q88" s="100">
        <v>28.32</v>
      </c>
      <c r="R88" s="6"/>
      <c r="S88" s="6"/>
      <c r="T88" s="156"/>
      <c r="U88" s="6"/>
    </row>
    <row r="89" spans="1:21" customFormat="1">
      <c r="A89" s="163" t="s">
        <v>896</v>
      </c>
      <c r="B89" s="100">
        <v>2.56</v>
      </c>
      <c r="C89" s="100">
        <v>27.27</v>
      </c>
      <c r="D89" s="100">
        <v>16.3</v>
      </c>
      <c r="E89" s="100">
        <v>3.67</v>
      </c>
      <c r="F89" s="100">
        <v>19.84</v>
      </c>
      <c r="G89" s="100">
        <v>33.97</v>
      </c>
      <c r="H89" s="100">
        <v>17.170000000000002</v>
      </c>
      <c r="I89" s="100">
        <v>7.67</v>
      </c>
      <c r="J89" s="100">
        <v>2.64</v>
      </c>
      <c r="K89" s="100">
        <v>160.6</v>
      </c>
      <c r="L89" s="100">
        <v>34.67</v>
      </c>
      <c r="M89" s="100">
        <v>30.28</v>
      </c>
      <c r="N89" s="100">
        <v>22.4</v>
      </c>
      <c r="O89" s="100">
        <v>0</v>
      </c>
      <c r="P89" s="100">
        <v>0.44</v>
      </c>
      <c r="Q89" s="100">
        <v>28.08</v>
      </c>
      <c r="R89" s="6"/>
      <c r="S89" s="6"/>
      <c r="T89" s="156"/>
      <c r="U89" s="6"/>
    </row>
    <row r="90" spans="1:21" customFormat="1">
      <c r="A90" s="163" t="s">
        <v>897</v>
      </c>
      <c r="B90" s="100">
        <v>3.63</v>
      </c>
      <c r="C90" s="100">
        <v>27.73</v>
      </c>
      <c r="D90" s="100">
        <v>17.399999999999999</v>
      </c>
      <c r="E90" s="100">
        <v>3.53</v>
      </c>
      <c r="F90" s="100">
        <v>17.079999999999998</v>
      </c>
      <c r="G90" s="100">
        <v>33.97</v>
      </c>
      <c r="H90" s="100">
        <v>17.170000000000002</v>
      </c>
      <c r="I90" s="100">
        <v>8.61</v>
      </c>
      <c r="J90" s="100">
        <v>2.93</v>
      </c>
      <c r="K90" s="100">
        <v>186.15</v>
      </c>
      <c r="L90" s="100">
        <v>34.729999999999997</v>
      </c>
      <c r="M90" s="100">
        <v>30.07</v>
      </c>
      <c r="N90" s="100">
        <v>22.2</v>
      </c>
      <c r="O90" s="100">
        <v>0</v>
      </c>
      <c r="P90" s="100">
        <v>0.45</v>
      </c>
      <c r="Q90" s="100">
        <v>27.94</v>
      </c>
      <c r="R90" s="6"/>
      <c r="S90" s="6"/>
      <c r="T90" s="156"/>
      <c r="U90" s="6"/>
    </row>
    <row r="91" spans="1:21" customFormat="1">
      <c r="A91" s="163" t="s">
        <v>898</v>
      </c>
      <c r="B91" s="100">
        <v>4.72</v>
      </c>
      <c r="C91" s="100">
        <v>30.15</v>
      </c>
      <c r="D91" s="100">
        <v>19.53</v>
      </c>
      <c r="E91" s="100">
        <v>2.79</v>
      </c>
      <c r="F91" s="100">
        <v>10.54</v>
      </c>
      <c r="G91" s="100">
        <v>33.97</v>
      </c>
      <c r="H91" s="100">
        <v>17.170000000000002</v>
      </c>
      <c r="I91" s="100">
        <v>10.43</v>
      </c>
      <c r="J91" s="100">
        <v>2.84</v>
      </c>
      <c r="K91" s="100">
        <v>195.61</v>
      </c>
      <c r="L91" s="100">
        <v>35.06</v>
      </c>
      <c r="M91" s="100">
        <v>29.08</v>
      </c>
      <c r="N91" s="100">
        <v>22.2</v>
      </c>
      <c r="O91" s="100">
        <v>0</v>
      </c>
      <c r="P91" s="100">
        <v>0.45</v>
      </c>
      <c r="Q91" s="100">
        <v>27.84</v>
      </c>
      <c r="R91" s="6"/>
      <c r="S91" s="6"/>
      <c r="T91" s="156"/>
      <c r="U91" s="6"/>
    </row>
    <row r="92" spans="1:21" customFormat="1">
      <c r="A92" s="163" t="s">
        <v>899</v>
      </c>
      <c r="B92" s="100">
        <v>4.2699999999999996</v>
      </c>
      <c r="C92" s="100">
        <v>38.72</v>
      </c>
      <c r="D92" s="100">
        <v>23.65</v>
      </c>
      <c r="E92" s="100">
        <v>2.79</v>
      </c>
      <c r="F92" s="100">
        <v>9.25</v>
      </c>
      <c r="G92" s="100">
        <v>37.17</v>
      </c>
      <c r="H92" s="100">
        <v>17.600000000000001</v>
      </c>
      <c r="I92" s="100">
        <v>9.44</v>
      </c>
      <c r="J92" s="100">
        <v>3.16</v>
      </c>
      <c r="K92" s="100">
        <v>189.33</v>
      </c>
      <c r="L92" s="100">
        <v>34.99</v>
      </c>
      <c r="M92" s="100">
        <v>29.28</v>
      </c>
      <c r="N92" s="100">
        <v>22.5</v>
      </c>
      <c r="O92" s="100">
        <v>0</v>
      </c>
      <c r="P92" s="100">
        <v>0.42</v>
      </c>
      <c r="Q92" s="100">
        <v>27.52</v>
      </c>
      <c r="R92" s="6"/>
      <c r="S92" s="6"/>
      <c r="T92" s="156"/>
      <c r="U92" s="6"/>
    </row>
    <row r="93" spans="1:21" customFormat="1">
      <c r="A93" s="163" t="s">
        <v>900</v>
      </c>
      <c r="B93" s="100">
        <v>4.2300000000000004</v>
      </c>
      <c r="C93" s="100">
        <v>39.6</v>
      </c>
      <c r="D93" s="100">
        <v>24.08</v>
      </c>
      <c r="E93" s="100">
        <v>2.5499999999999998</v>
      </c>
      <c r="F93" s="100">
        <v>10.61</v>
      </c>
      <c r="G93" s="100">
        <v>49.09</v>
      </c>
      <c r="H93" s="100">
        <v>19.239999999999998</v>
      </c>
      <c r="I93" s="100">
        <v>9.27</v>
      </c>
      <c r="J93" s="100">
        <v>3.13</v>
      </c>
      <c r="K93" s="100">
        <v>181.99</v>
      </c>
      <c r="L93" s="100">
        <v>34.630000000000003</v>
      </c>
      <c r="M93" s="100">
        <v>30.68</v>
      </c>
      <c r="N93" s="100">
        <v>22.5</v>
      </c>
      <c r="O93" s="100">
        <v>0</v>
      </c>
      <c r="P93" s="100">
        <v>0.41</v>
      </c>
      <c r="Q93" s="100">
        <v>27.47</v>
      </c>
      <c r="R93" s="6"/>
      <c r="S93" s="6"/>
      <c r="T93" s="156"/>
      <c r="U93" s="6"/>
    </row>
    <row r="94" spans="1:21" customFormat="1">
      <c r="A94" s="163" t="s">
        <v>901</v>
      </c>
      <c r="B94" s="100">
        <v>4.0199999999999996</v>
      </c>
      <c r="C94" s="100">
        <v>26.31</v>
      </c>
      <c r="D94" s="100">
        <v>16.97</v>
      </c>
      <c r="E94" s="100">
        <v>2.96</v>
      </c>
      <c r="F94" s="100">
        <v>14.09</v>
      </c>
      <c r="G94" s="100">
        <v>49.09</v>
      </c>
      <c r="H94" s="100">
        <v>19.239999999999998</v>
      </c>
      <c r="I94" s="100">
        <v>8.91</v>
      </c>
      <c r="J94" s="100">
        <v>2.89</v>
      </c>
      <c r="K94" s="100">
        <v>226.29</v>
      </c>
      <c r="L94" s="100">
        <v>34.950000000000003</v>
      </c>
      <c r="M94" s="100">
        <v>29.71</v>
      </c>
      <c r="N94" s="100">
        <v>21.8</v>
      </c>
      <c r="O94" s="100">
        <v>0</v>
      </c>
      <c r="P94" s="100">
        <v>0.41</v>
      </c>
      <c r="Q94" s="100">
        <v>28.1</v>
      </c>
      <c r="R94" s="6"/>
      <c r="S94" s="6"/>
      <c r="T94" s="156"/>
      <c r="U94" s="6"/>
    </row>
    <row r="95" spans="1:21" customFormat="1">
      <c r="A95" s="163" t="s">
        <v>902</v>
      </c>
      <c r="B95" s="100">
        <v>4.18</v>
      </c>
      <c r="C95" s="100">
        <v>33.340000000000003</v>
      </c>
      <c r="D95" s="100">
        <v>20.77</v>
      </c>
      <c r="E95" s="100">
        <v>2.61</v>
      </c>
      <c r="F95" s="100">
        <v>7.14</v>
      </c>
      <c r="G95" s="100">
        <v>49.09</v>
      </c>
      <c r="H95" s="100">
        <v>19.239999999999998</v>
      </c>
      <c r="I95" s="100">
        <v>8.74</v>
      </c>
      <c r="J95" s="100">
        <v>2.99</v>
      </c>
      <c r="K95" s="100">
        <v>213.12</v>
      </c>
      <c r="L95" s="100">
        <v>34.72</v>
      </c>
      <c r="M95" s="100">
        <v>30.81</v>
      </c>
      <c r="N95" s="100">
        <v>22.5</v>
      </c>
      <c r="O95" s="100">
        <v>0</v>
      </c>
      <c r="P95" s="100">
        <v>0.42</v>
      </c>
      <c r="Q95" s="100">
        <v>28.03</v>
      </c>
      <c r="R95" s="6"/>
      <c r="S95" s="6"/>
      <c r="T95" s="156"/>
      <c r="U95" s="6"/>
    </row>
    <row r="96" spans="1:21" customFormat="1">
      <c r="A96" s="163" t="s">
        <v>903</v>
      </c>
      <c r="B96" s="100">
        <v>4.2300000000000004</v>
      </c>
      <c r="C96" s="100">
        <v>37.08</v>
      </c>
      <c r="D96" s="100">
        <v>22.76</v>
      </c>
      <c r="E96" s="100">
        <v>2.25</v>
      </c>
      <c r="F96" s="100">
        <v>9.98</v>
      </c>
      <c r="G96" s="100">
        <v>47.65</v>
      </c>
      <c r="H96" s="100">
        <v>19.11</v>
      </c>
      <c r="I96" s="100">
        <v>8.6999999999999993</v>
      </c>
      <c r="J96" s="100">
        <v>2.93</v>
      </c>
      <c r="K96" s="100">
        <v>193.6</v>
      </c>
      <c r="L96" s="100">
        <v>34.46</v>
      </c>
      <c r="M96" s="100">
        <v>31.27</v>
      </c>
      <c r="N96" s="100">
        <v>22.5</v>
      </c>
      <c r="O96" s="100">
        <v>0</v>
      </c>
      <c r="P96" s="100">
        <v>0.42</v>
      </c>
      <c r="Q96" s="100">
        <v>27.66</v>
      </c>
      <c r="R96" s="6"/>
      <c r="S96" s="6"/>
      <c r="T96" s="156"/>
      <c r="U96" s="6"/>
    </row>
    <row r="97" spans="1:28" customFormat="1">
      <c r="A97" s="163" t="s">
        <v>904</v>
      </c>
      <c r="B97" s="100">
        <v>4.12</v>
      </c>
      <c r="C97" s="100">
        <v>25.98</v>
      </c>
      <c r="D97" s="100">
        <v>16.88</v>
      </c>
      <c r="E97" s="100">
        <v>2.72</v>
      </c>
      <c r="F97" s="100">
        <v>12.51</v>
      </c>
      <c r="G97" s="100">
        <v>42.26</v>
      </c>
      <c r="H97" s="100">
        <v>18.66</v>
      </c>
      <c r="I97" s="100">
        <v>8.69</v>
      </c>
      <c r="J97" s="100">
        <v>3.07</v>
      </c>
      <c r="K97" s="100">
        <v>184</v>
      </c>
      <c r="L97" s="100">
        <v>34.17</v>
      </c>
      <c r="M97" s="100">
        <v>32.28</v>
      </c>
      <c r="N97" s="100">
        <v>22.7</v>
      </c>
      <c r="O97" s="100">
        <v>0</v>
      </c>
      <c r="P97" s="100">
        <v>0.41</v>
      </c>
      <c r="Q97" s="100">
        <v>28.14</v>
      </c>
      <c r="R97" s="6"/>
      <c r="S97" s="6"/>
      <c r="T97" s="156"/>
      <c r="U97" s="6"/>
    </row>
    <row r="98" spans="1:28" customFormat="1">
      <c r="A98" s="163" t="s">
        <v>905</v>
      </c>
      <c r="B98" s="100">
        <v>3.74</v>
      </c>
      <c r="C98" s="100">
        <v>22.38</v>
      </c>
      <c r="D98" s="100">
        <v>14.69</v>
      </c>
      <c r="E98" s="100">
        <v>2.46</v>
      </c>
      <c r="F98" s="100">
        <v>15.47</v>
      </c>
      <c r="G98" s="100">
        <v>42.26</v>
      </c>
      <c r="H98" s="100">
        <v>18.66</v>
      </c>
      <c r="I98" s="100">
        <v>8.5500000000000007</v>
      </c>
      <c r="J98" s="100">
        <v>2.81</v>
      </c>
      <c r="K98" s="100">
        <v>173.97</v>
      </c>
      <c r="L98" s="100">
        <v>33.44</v>
      </c>
      <c r="M98" s="100">
        <v>34.299999999999997</v>
      </c>
      <c r="N98" s="100">
        <v>22.9</v>
      </c>
      <c r="O98" s="100">
        <v>0</v>
      </c>
      <c r="P98" s="100">
        <v>0.4</v>
      </c>
      <c r="Q98" s="100">
        <v>28.4</v>
      </c>
      <c r="R98" s="6"/>
      <c r="S98" s="6"/>
      <c r="T98" s="156"/>
      <c r="U98" s="6"/>
    </row>
    <row r="99" spans="1:28" customFormat="1">
      <c r="A99" s="163" t="s">
        <v>906</v>
      </c>
      <c r="B99" s="100">
        <v>3.46</v>
      </c>
      <c r="C99" s="100">
        <v>23.58</v>
      </c>
      <c r="D99" s="100">
        <v>15.09</v>
      </c>
      <c r="E99" s="100">
        <v>2.2200000000000002</v>
      </c>
      <c r="F99" s="100">
        <v>14.04</v>
      </c>
      <c r="G99" s="100">
        <v>42.26</v>
      </c>
      <c r="H99" s="100">
        <v>18.66</v>
      </c>
      <c r="I99" s="100">
        <v>8.4</v>
      </c>
      <c r="J99" s="100">
        <v>2.39</v>
      </c>
      <c r="K99" s="100">
        <v>163.32</v>
      </c>
      <c r="L99" s="100">
        <v>32.89</v>
      </c>
      <c r="M99" s="100">
        <v>35.369999999999997</v>
      </c>
      <c r="N99" s="100">
        <v>22.7</v>
      </c>
      <c r="O99" s="100">
        <v>0</v>
      </c>
      <c r="P99" s="100">
        <v>0.39</v>
      </c>
      <c r="Q99" s="100">
        <v>28.34</v>
      </c>
      <c r="R99" s="6"/>
      <c r="S99" s="6"/>
      <c r="T99" s="156"/>
      <c r="U99" s="6"/>
    </row>
    <row r="100" spans="1:28" customFormat="1">
      <c r="A100" s="163" t="s">
        <v>907</v>
      </c>
      <c r="B100" s="100">
        <v>3.64</v>
      </c>
      <c r="C100" s="100">
        <v>25.29</v>
      </c>
      <c r="D100" s="100">
        <v>16.13</v>
      </c>
      <c r="E100" s="100">
        <v>1.97</v>
      </c>
      <c r="F100" s="100">
        <v>13.86</v>
      </c>
      <c r="G100" s="100">
        <v>42.66</v>
      </c>
      <c r="H100" s="100">
        <v>18.489999999999998</v>
      </c>
      <c r="I100" s="100">
        <v>8.14</v>
      </c>
      <c r="J100" s="100">
        <v>2.5299999999999998</v>
      </c>
      <c r="K100" s="100">
        <v>169.58</v>
      </c>
      <c r="L100" s="100">
        <v>32.64</v>
      </c>
      <c r="M100" s="100">
        <v>36.03</v>
      </c>
      <c r="N100" s="100">
        <v>22.5</v>
      </c>
      <c r="O100" s="100">
        <v>0</v>
      </c>
      <c r="P100" s="100">
        <v>0.4</v>
      </c>
      <c r="Q100" s="100">
        <v>28.14</v>
      </c>
      <c r="R100" s="6"/>
      <c r="S100" s="6"/>
      <c r="T100" s="156"/>
      <c r="U100" s="6"/>
      <c r="AB100" s="161"/>
    </row>
    <row r="101" spans="1:28" customFormat="1">
      <c r="A101" s="163" t="s">
        <v>908</v>
      </c>
      <c r="B101" s="100">
        <v>3.86</v>
      </c>
      <c r="C101" s="100">
        <v>25.59</v>
      </c>
      <c r="D101" s="100">
        <v>16.47</v>
      </c>
      <c r="E101" s="100">
        <v>1.01</v>
      </c>
      <c r="F101" s="100">
        <v>14.79</v>
      </c>
      <c r="G101" s="100">
        <v>44.15</v>
      </c>
      <c r="H101" s="100">
        <v>17.88</v>
      </c>
      <c r="I101" s="100">
        <v>8.0500000000000007</v>
      </c>
      <c r="J101" s="100">
        <v>2.89</v>
      </c>
      <c r="K101" s="100">
        <v>182.34</v>
      </c>
      <c r="L101" s="100">
        <v>32.94</v>
      </c>
      <c r="M101" s="100">
        <v>34.5</v>
      </c>
      <c r="N101" s="100">
        <v>22.3</v>
      </c>
      <c r="O101" s="100">
        <v>0</v>
      </c>
      <c r="P101" s="100">
        <v>0.37</v>
      </c>
      <c r="Q101" s="100">
        <v>28.15</v>
      </c>
      <c r="R101" s="6"/>
      <c r="S101" s="6"/>
      <c r="T101" s="156"/>
      <c r="U101" s="6"/>
    </row>
    <row r="102" spans="1:28" customFormat="1">
      <c r="A102" s="163" t="s">
        <v>909</v>
      </c>
      <c r="B102" s="100">
        <v>4.12</v>
      </c>
      <c r="C102" s="100">
        <v>25.92</v>
      </c>
      <c r="D102" s="100">
        <v>16.850000000000001</v>
      </c>
      <c r="E102" s="100">
        <v>2.4700000000000002</v>
      </c>
      <c r="F102" s="100">
        <v>14.1</v>
      </c>
      <c r="G102" s="100">
        <v>44.15</v>
      </c>
      <c r="H102" s="100">
        <v>17.88</v>
      </c>
      <c r="I102" s="100">
        <v>7.89</v>
      </c>
      <c r="J102" s="100">
        <v>2.29</v>
      </c>
      <c r="K102" s="100">
        <v>198.94</v>
      </c>
      <c r="L102" s="100">
        <v>32.79</v>
      </c>
      <c r="M102" s="100">
        <v>35.15</v>
      </c>
      <c r="N102" s="100">
        <v>22.4</v>
      </c>
      <c r="O102" s="100">
        <v>0</v>
      </c>
      <c r="P102" s="100">
        <v>0.39</v>
      </c>
      <c r="Q102" s="100">
        <v>28.14</v>
      </c>
      <c r="R102" s="6"/>
      <c r="S102" s="6"/>
      <c r="T102" s="156"/>
      <c r="U102" s="6"/>
    </row>
    <row r="103" spans="1:28" customFormat="1">
      <c r="A103" s="163" t="s">
        <v>910</v>
      </c>
      <c r="B103" s="100">
        <v>4.4000000000000004</v>
      </c>
      <c r="C103" s="100">
        <v>26.24</v>
      </c>
      <c r="D103" s="100">
        <v>17.23</v>
      </c>
      <c r="E103" s="100">
        <v>2.4300000000000002</v>
      </c>
      <c r="F103" s="100">
        <v>13.73</v>
      </c>
      <c r="G103" s="100">
        <v>44.15</v>
      </c>
      <c r="H103" s="100">
        <v>17.88</v>
      </c>
      <c r="I103" s="100">
        <v>7.87</v>
      </c>
      <c r="J103" s="100">
        <v>3.04</v>
      </c>
      <c r="K103" s="100">
        <v>219</v>
      </c>
      <c r="L103" s="100">
        <v>33.28</v>
      </c>
      <c r="M103" s="100">
        <v>33.130000000000003</v>
      </c>
      <c r="N103" s="100">
        <v>21.8</v>
      </c>
      <c r="O103" s="100">
        <v>0</v>
      </c>
      <c r="P103" s="100">
        <v>0.39</v>
      </c>
      <c r="Q103" s="100">
        <v>28.12</v>
      </c>
      <c r="R103" s="6"/>
      <c r="S103" s="6"/>
      <c r="T103" s="156"/>
      <c r="U103" s="6"/>
    </row>
    <row r="104" spans="1:28" customFormat="1">
      <c r="A104" s="163" t="s">
        <v>911</v>
      </c>
      <c r="B104" s="100">
        <v>4.38</v>
      </c>
      <c r="C104" s="100">
        <v>27.31</v>
      </c>
      <c r="D104" s="100">
        <v>17.78</v>
      </c>
      <c r="E104" s="100">
        <v>2.5499999999999998</v>
      </c>
      <c r="F104" s="100">
        <v>11.02</v>
      </c>
      <c r="G104" s="100">
        <v>43.23</v>
      </c>
      <c r="H104" s="100">
        <v>17.91</v>
      </c>
      <c r="I104" s="100">
        <v>7.84</v>
      </c>
      <c r="J104" s="100">
        <v>3.19</v>
      </c>
      <c r="K104" s="100">
        <v>217.93</v>
      </c>
      <c r="L104" s="100">
        <v>33.04</v>
      </c>
      <c r="M104" s="100">
        <v>33.880000000000003</v>
      </c>
      <c r="N104" s="100">
        <v>22.4</v>
      </c>
      <c r="O104" s="100">
        <v>0</v>
      </c>
      <c r="P104" s="100">
        <v>0.38</v>
      </c>
      <c r="Q104" s="100">
        <v>28.12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0.28000000000000003</v>
      </c>
      <c r="C106" s="158">
        <f>MIN(C9:C104)</f>
        <v>14.01</v>
      </c>
      <c r="D106" s="158">
        <f t="shared" ref="D106:Q106" si="0">MIN(D9:D104)</f>
        <v>7.84</v>
      </c>
      <c r="E106" s="158">
        <f t="shared" si="0"/>
        <v>0</v>
      </c>
      <c r="F106" s="158">
        <f t="shared" si="0"/>
        <v>2.7</v>
      </c>
      <c r="G106" s="158">
        <f t="shared" si="0"/>
        <v>0</v>
      </c>
      <c r="H106" s="158">
        <f t="shared" si="0"/>
        <v>0</v>
      </c>
      <c r="I106" s="158">
        <f t="shared" si="0"/>
        <v>7.04</v>
      </c>
      <c r="J106" s="158">
        <f t="shared" si="0"/>
        <v>0.6</v>
      </c>
      <c r="K106" s="158">
        <f t="shared" si="0"/>
        <v>84.34</v>
      </c>
      <c r="L106" s="158">
        <f t="shared" si="0"/>
        <v>27.8</v>
      </c>
      <c r="M106" s="158">
        <f t="shared" si="0"/>
        <v>16.16</v>
      </c>
      <c r="N106" s="158">
        <f t="shared" si="0"/>
        <v>21.8</v>
      </c>
      <c r="O106" s="158">
        <f t="shared" si="0"/>
        <v>0</v>
      </c>
      <c r="P106" s="158">
        <f t="shared" si="0"/>
        <v>0.34</v>
      </c>
      <c r="Q106" s="158">
        <f t="shared" si="0"/>
        <v>27.42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11.71</v>
      </c>
      <c r="C107" s="157">
        <f t="shared" ref="C107:Q107" si="1">MAX(C9:C104)</f>
        <v>39.6</v>
      </c>
      <c r="D107" s="157">
        <f t="shared" si="1"/>
        <v>25.91</v>
      </c>
      <c r="E107" s="157">
        <f t="shared" si="1"/>
        <v>11.24</v>
      </c>
      <c r="F107" s="157">
        <f t="shared" si="1"/>
        <v>50.63</v>
      </c>
      <c r="G107" s="157">
        <f t="shared" si="1"/>
        <v>51.4</v>
      </c>
      <c r="H107" s="157">
        <f t="shared" si="1"/>
        <v>22.66</v>
      </c>
      <c r="I107" s="157">
        <f t="shared" si="1"/>
        <v>14.34</v>
      </c>
      <c r="J107" s="157">
        <f t="shared" si="1"/>
        <v>6</v>
      </c>
      <c r="K107" s="157">
        <f t="shared" si="1"/>
        <v>299.17</v>
      </c>
      <c r="L107" s="157">
        <f t="shared" si="1"/>
        <v>40.549999999999997</v>
      </c>
      <c r="M107" s="157">
        <f t="shared" si="1"/>
        <v>58.53</v>
      </c>
      <c r="N107" s="157">
        <f t="shared" si="1"/>
        <v>908.3</v>
      </c>
      <c r="O107" s="157">
        <f t="shared" si="1"/>
        <v>0</v>
      </c>
      <c r="P107" s="157">
        <f t="shared" si="1"/>
        <v>0.64</v>
      </c>
      <c r="Q107" s="157">
        <f t="shared" si="1"/>
        <v>28.99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4.6460416666666644</v>
      </c>
      <c r="C108" s="158">
        <f t="shared" ref="C108:Q108" si="2">AVERAGE(C9:C104)</f>
        <v>26.466874999999998</v>
      </c>
      <c r="D108" s="158">
        <f t="shared" si="2"/>
        <v>17.544791666666669</v>
      </c>
      <c r="E108" s="158">
        <f t="shared" si="2"/>
        <v>3.2266666666666679</v>
      </c>
      <c r="F108" s="158">
        <f t="shared" si="2"/>
        <v>14.866562499999993</v>
      </c>
      <c r="G108" s="158">
        <f t="shared" si="2"/>
        <v>38.760208333333331</v>
      </c>
      <c r="H108" s="158">
        <f t="shared" si="2"/>
        <v>14.115104166666676</v>
      </c>
      <c r="I108" s="158">
        <f t="shared" si="2"/>
        <v>9.3582291666666624</v>
      </c>
      <c r="J108" s="158">
        <f t="shared" si="2"/>
        <v>3.2618749999999994</v>
      </c>
      <c r="K108" s="158">
        <f t="shared" si="2"/>
        <v>208.60197916666667</v>
      </c>
      <c r="L108" s="158">
        <f t="shared" si="2"/>
        <v>34.106145833333336</v>
      </c>
      <c r="M108" s="158">
        <f t="shared" si="2"/>
        <v>35.608333333333348</v>
      </c>
      <c r="N108" s="158">
        <f t="shared" si="2"/>
        <v>262.35104166666679</v>
      </c>
      <c r="O108" s="158">
        <f t="shared" si="2"/>
        <v>0</v>
      </c>
      <c r="P108" s="158">
        <f t="shared" si="2"/>
        <v>0.45281250000000001</v>
      </c>
      <c r="Q108" s="158">
        <f t="shared" si="2"/>
        <v>28.113020833333326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3.548243295273898</v>
      </c>
      <c r="C109" s="158">
        <f t="shared" ref="C109:Q109" si="3">STDEV(C9:C104)</f>
        <v>6.0151932746653332</v>
      </c>
      <c r="D109" s="158">
        <f t="shared" si="3"/>
        <v>5.496736444026352</v>
      </c>
      <c r="E109" s="158">
        <f t="shared" si="3"/>
        <v>2.3167666518875487</v>
      </c>
      <c r="F109" s="158">
        <f t="shared" si="3"/>
        <v>11.937308947217378</v>
      </c>
      <c r="G109" s="158">
        <f t="shared" si="3"/>
        <v>9.8299179178633409</v>
      </c>
      <c r="H109" s="158">
        <f t="shared" si="3"/>
        <v>5.8581362214474559</v>
      </c>
      <c r="I109" s="158">
        <f t="shared" si="3"/>
        <v>1.5329084806627491</v>
      </c>
      <c r="J109" s="158">
        <f t="shared" si="3"/>
        <v>0.89182050648630007</v>
      </c>
      <c r="K109" s="158">
        <f t="shared" si="3"/>
        <v>44.869925893919991</v>
      </c>
      <c r="L109" s="158">
        <f t="shared" si="3"/>
        <v>4.2384399736327127</v>
      </c>
      <c r="M109" s="158">
        <f t="shared" si="3"/>
        <v>12.8210361406283</v>
      </c>
      <c r="N109" s="158">
        <f t="shared" si="3"/>
        <v>324.69101976293223</v>
      </c>
      <c r="O109" s="158">
        <f t="shared" si="3"/>
        <v>0</v>
      </c>
      <c r="P109" s="158">
        <f t="shared" si="3"/>
        <v>6.8236479285373963E-2</v>
      </c>
      <c r="Q109" s="158">
        <f t="shared" si="3"/>
        <v>0.4776039314650552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K15" sqref="K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912</v>
      </c>
      <c r="B9" s="100">
        <v>5.45</v>
      </c>
      <c r="C9" s="100">
        <v>42.34</v>
      </c>
      <c r="D9" s="100">
        <v>26.49</v>
      </c>
      <c r="E9" s="100">
        <v>2.5299999999999998</v>
      </c>
      <c r="F9" s="100">
        <v>6.24</v>
      </c>
      <c r="G9" s="100">
        <v>39.770000000000003</v>
      </c>
      <c r="H9" s="100">
        <v>18.059999999999999</v>
      </c>
      <c r="I9" s="100">
        <v>7.87</v>
      </c>
      <c r="J9" s="100">
        <v>2.79</v>
      </c>
      <c r="K9" s="100">
        <v>204.23</v>
      </c>
      <c r="L9" s="100">
        <v>32.74</v>
      </c>
      <c r="M9" s="100">
        <v>34.96</v>
      </c>
      <c r="N9" s="100">
        <v>22.7</v>
      </c>
      <c r="O9" s="100">
        <v>0</v>
      </c>
      <c r="P9" s="100">
        <v>0.41</v>
      </c>
      <c r="Q9" s="100">
        <v>27.57</v>
      </c>
      <c r="R9" s="6"/>
      <c r="S9" s="6"/>
      <c r="T9" s="156"/>
      <c r="U9" s="6"/>
    </row>
    <row r="10" spans="1:21" customFormat="1">
      <c r="A10" s="163" t="s">
        <v>913</v>
      </c>
      <c r="B10" s="100">
        <v>5.55</v>
      </c>
      <c r="C10" s="100">
        <v>38.6</v>
      </c>
      <c r="D10" s="100">
        <v>24.62</v>
      </c>
      <c r="E10" s="100">
        <v>2.6</v>
      </c>
      <c r="F10" s="100">
        <v>7.66</v>
      </c>
      <c r="G10" s="100">
        <v>39.770000000000003</v>
      </c>
      <c r="H10" s="100">
        <v>18.059999999999999</v>
      </c>
      <c r="I10" s="100">
        <v>7.7</v>
      </c>
      <c r="J10" s="100">
        <v>2.73</v>
      </c>
      <c r="K10" s="100">
        <v>198.91</v>
      </c>
      <c r="L10" s="100">
        <v>32.520000000000003</v>
      </c>
      <c r="M10" s="100">
        <v>35.79</v>
      </c>
      <c r="N10" s="100">
        <v>22.5</v>
      </c>
      <c r="O10" s="100">
        <v>0</v>
      </c>
      <c r="P10" s="100">
        <v>0.38</v>
      </c>
      <c r="Q10" s="100">
        <v>27.52</v>
      </c>
      <c r="R10" s="6"/>
      <c r="S10" s="6"/>
      <c r="T10" s="156"/>
      <c r="U10" s="6"/>
    </row>
    <row r="11" spans="1:21" customFormat="1">
      <c r="A11" s="163" t="s">
        <v>914</v>
      </c>
      <c r="B11" s="100">
        <v>5.75</v>
      </c>
      <c r="C11" s="100">
        <v>37.119999999999997</v>
      </c>
      <c r="D11" s="100">
        <v>24.01</v>
      </c>
      <c r="E11" s="100">
        <v>2.42</v>
      </c>
      <c r="F11" s="100">
        <v>5.67</v>
      </c>
      <c r="G11" s="100">
        <v>39.770000000000003</v>
      </c>
      <c r="H11" s="100">
        <v>18.059999999999999</v>
      </c>
      <c r="I11" s="100">
        <v>8.02</v>
      </c>
      <c r="J11" s="100">
        <v>3.06</v>
      </c>
      <c r="K11" s="100">
        <v>205.1</v>
      </c>
      <c r="L11" s="100">
        <v>32.270000000000003</v>
      </c>
      <c r="M11" s="100">
        <v>37.67</v>
      </c>
      <c r="N11" s="100">
        <v>22.7</v>
      </c>
      <c r="O11" s="100">
        <v>0</v>
      </c>
      <c r="P11" s="100">
        <v>0.39</v>
      </c>
      <c r="Q11" s="100">
        <v>27.6</v>
      </c>
      <c r="R11" s="6"/>
      <c r="S11" s="6"/>
      <c r="T11" s="156"/>
      <c r="U11" s="6"/>
    </row>
    <row r="12" spans="1:21" customFormat="1">
      <c r="A12" s="163" t="s">
        <v>915</v>
      </c>
      <c r="B12" s="100">
        <v>5.82</v>
      </c>
      <c r="C12" s="100">
        <v>33.61</v>
      </c>
      <c r="D12" s="100">
        <v>22.23</v>
      </c>
      <c r="E12" s="100">
        <v>2.67</v>
      </c>
      <c r="F12" s="100">
        <v>6.87</v>
      </c>
      <c r="G12" s="100">
        <v>39.409999999999997</v>
      </c>
      <c r="H12" s="100">
        <v>18.37</v>
      </c>
      <c r="I12" s="100">
        <v>7.94</v>
      </c>
      <c r="J12" s="100">
        <v>3.1</v>
      </c>
      <c r="K12" s="100">
        <v>211.23</v>
      </c>
      <c r="L12" s="100">
        <v>31.96</v>
      </c>
      <c r="M12" s="100">
        <v>39.51</v>
      </c>
      <c r="N12" s="100">
        <v>22.6</v>
      </c>
      <c r="O12" s="100">
        <v>0</v>
      </c>
      <c r="P12" s="100">
        <v>0.38</v>
      </c>
      <c r="Q12" s="100">
        <v>27.74</v>
      </c>
      <c r="R12" s="6"/>
      <c r="S12" s="6"/>
      <c r="T12" s="156"/>
      <c r="U12" s="6"/>
    </row>
    <row r="13" spans="1:21" customFormat="1">
      <c r="A13" s="163" t="s">
        <v>916</v>
      </c>
      <c r="B13" s="100">
        <v>5.87</v>
      </c>
      <c r="C13" s="100">
        <v>33.840000000000003</v>
      </c>
      <c r="D13" s="100">
        <v>22.39</v>
      </c>
      <c r="E13" s="100">
        <v>2.58</v>
      </c>
      <c r="F13" s="100">
        <v>5.98</v>
      </c>
      <c r="G13" s="100">
        <v>38.090000000000003</v>
      </c>
      <c r="H13" s="100">
        <v>19.54</v>
      </c>
      <c r="I13" s="100">
        <v>7.97</v>
      </c>
      <c r="J13" s="100">
        <v>2.7</v>
      </c>
      <c r="K13" s="100">
        <v>210.66</v>
      </c>
      <c r="L13" s="100">
        <v>31.7</v>
      </c>
      <c r="M13" s="100">
        <v>40.82</v>
      </c>
      <c r="N13" s="100">
        <v>22.5</v>
      </c>
      <c r="O13" s="100">
        <v>0</v>
      </c>
      <c r="P13" s="100">
        <v>0.37</v>
      </c>
      <c r="Q13" s="100">
        <v>27.77</v>
      </c>
      <c r="R13" s="6"/>
      <c r="S13" s="6"/>
      <c r="T13" s="156"/>
      <c r="U13" s="6"/>
    </row>
    <row r="14" spans="1:21" customFormat="1">
      <c r="A14" s="163" t="s">
        <v>917</v>
      </c>
      <c r="B14" s="100">
        <v>6.08</v>
      </c>
      <c r="C14" s="100">
        <v>34.58</v>
      </c>
      <c r="D14" s="100">
        <v>22.94</v>
      </c>
      <c r="E14" s="100">
        <v>2.29</v>
      </c>
      <c r="F14" s="100">
        <v>7.48</v>
      </c>
      <c r="G14" s="100">
        <v>38.090000000000003</v>
      </c>
      <c r="H14" s="100">
        <v>19.54</v>
      </c>
      <c r="I14" s="100">
        <v>7.93</v>
      </c>
      <c r="J14" s="100">
        <v>3.36</v>
      </c>
      <c r="K14" s="100">
        <v>231.99</v>
      </c>
      <c r="L14" s="100">
        <v>31.58</v>
      </c>
      <c r="M14" s="100">
        <v>41.04</v>
      </c>
      <c r="N14" s="100">
        <v>22.4</v>
      </c>
      <c r="O14" s="100">
        <v>0</v>
      </c>
      <c r="P14" s="100">
        <v>0.37</v>
      </c>
      <c r="Q14" s="100">
        <v>27.75</v>
      </c>
      <c r="R14" s="6"/>
      <c r="S14" s="6"/>
      <c r="T14" s="156"/>
      <c r="U14" s="6"/>
    </row>
    <row r="15" spans="1:21" customFormat="1">
      <c r="A15" s="163" t="s">
        <v>918</v>
      </c>
      <c r="B15" s="100">
        <v>5.72</v>
      </c>
      <c r="C15" s="100">
        <v>27.42</v>
      </c>
      <c r="D15" s="100">
        <v>18.91</v>
      </c>
      <c r="E15" s="100">
        <v>2.6</v>
      </c>
      <c r="F15" s="100">
        <v>10.61</v>
      </c>
      <c r="G15" s="100">
        <v>38.090000000000003</v>
      </c>
      <c r="H15" s="100">
        <v>19.54</v>
      </c>
      <c r="I15" s="100">
        <v>7.93</v>
      </c>
      <c r="J15" s="100">
        <v>2.85</v>
      </c>
      <c r="K15" s="100">
        <v>203.85</v>
      </c>
      <c r="L15" s="100">
        <v>30.85</v>
      </c>
      <c r="M15" s="100">
        <v>42.21</v>
      </c>
      <c r="N15" s="100">
        <v>22.8</v>
      </c>
      <c r="O15" s="100">
        <v>0</v>
      </c>
      <c r="P15" s="100">
        <v>0.35</v>
      </c>
      <c r="Q15" s="100">
        <v>28.06</v>
      </c>
      <c r="R15" s="6"/>
      <c r="S15" s="6"/>
      <c r="T15" s="156"/>
      <c r="U15" s="6"/>
    </row>
    <row r="16" spans="1:21" customFormat="1">
      <c r="A16" s="163" t="s">
        <v>919</v>
      </c>
      <c r="B16" s="100">
        <v>5.97</v>
      </c>
      <c r="C16" s="100">
        <v>25.28</v>
      </c>
      <c r="D16" s="100">
        <v>18</v>
      </c>
      <c r="E16" s="100">
        <v>2.0299999999999998</v>
      </c>
      <c r="F16" s="100">
        <v>10.42</v>
      </c>
      <c r="G16" s="100">
        <v>37.840000000000003</v>
      </c>
      <c r="H16" s="100">
        <v>19.14</v>
      </c>
      <c r="I16" s="100">
        <v>7.88</v>
      </c>
      <c r="J16" s="100">
        <v>3.28</v>
      </c>
      <c r="K16" s="100">
        <v>221.83</v>
      </c>
      <c r="L16" s="100">
        <v>30.71</v>
      </c>
      <c r="M16" s="100">
        <v>42.49</v>
      </c>
      <c r="N16" s="100">
        <v>22.5</v>
      </c>
      <c r="O16" s="100">
        <v>0</v>
      </c>
      <c r="P16" s="100">
        <v>0.36</v>
      </c>
      <c r="Q16" s="100">
        <v>28.19</v>
      </c>
      <c r="R16" s="6"/>
      <c r="S16" s="6"/>
      <c r="T16" s="156"/>
      <c r="U16" s="6"/>
    </row>
    <row r="17" spans="1:21" customFormat="1">
      <c r="A17" s="163" t="s">
        <v>920</v>
      </c>
      <c r="B17" s="100">
        <v>5.94</v>
      </c>
      <c r="C17" s="100">
        <v>26.61</v>
      </c>
      <c r="D17" s="100">
        <v>18.670000000000002</v>
      </c>
      <c r="E17" s="100">
        <v>2.35</v>
      </c>
      <c r="F17" s="100">
        <v>9.8800000000000008</v>
      </c>
      <c r="G17" s="100">
        <v>36.89</v>
      </c>
      <c r="H17" s="100">
        <v>17.63</v>
      </c>
      <c r="I17" s="100">
        <v>7.61</v>
      </c>
      <c r="J17" s="100">
        <v>2.96</v>
      </c>
      <c r="K17" s="100">
        <v>191.14</v>
      </c>
      <c r="L17" s="100">
        <v>30.48</v>
      </c>
      <c r="M17" s="100">
        <v>43.62</v>
      </c>
      <c r="N17" s="100">
        <v>22.8</v>
      </c>
      <c r="O17" s="100">
        <v>0</v>
      </c>
      <c r="P17" s="100">
        <v>0.36</v>
      </c>
      <c r="Q17" s="100">
        <v>28.13</v>
      </c>
      <c r="R17" s="6"/>
      <c r="S17" s="6"/>
      <c r="T17" s="156"/>
      <c r="U17" s="6"/>
    </row>
    <row r="18" spans="1:21" customFormat="1">
      <c r="A18" s="163" t="s">
        <v>921</v>
      </c>
      <c r="B18" s="100">
        <v>5.91</v>
      </c>
      <c r="C18" s="100">
        <v>28.11</v>
      </c>
      <c r="D18" s="100">
        <v>19.43</v>
      </c>
      <c r="E18" s="100">
        <v>2.15</v>
      </c>
      <c r="F18" s="100">
        <v>8.58</v>
      </c>
      <c r="G18" s="100">
        <v>36.89</v>
      </c>
      <c r="H18" s="100">
        <v>17.63</v>
      </c>
      <c r="I18" s="100">
        <v>7.62</v>
      </c>
      <c r="J18" s="100">
        <v>2.63</v>
      </c>
      <c r="K18" s="100">
        <v>190.7</v>
      </c>
      <c r="L18" s="100">
        <v>30.25</v>
      </c>
      <c r="M18" s="100">
        <v>44.97</v>
      </c>
      <c r="N18" s="100">
        <v>22.7</v>
      </c>
      <c r="O18" s="100">
        <v>0</v>
      </c>
      <c r="P18" s="100">
        <v>0.36</v>
      </c>
      <c r="Q18" s="100">
        <v>28.03</v>
      </c>
      <c r="R18" s="6"/>
      <c r="S18" s="6"/>
      <c r="T18" s="156"/>
      <c r="U18" s="6"/>
    </row>
    <row r="19" spans="1:21" customFormat="1">
      <c r="A19" s="163" t="s">
        <v>922</v>
      </c>
      <c r="B19" s="100">
        <v>5.63</v>
      </c>
      <c r="C19" s="100">
        <v>28.74</v>
      </c>
      <c r="D19" s="100">
        <v>19.53</v>
      </c>
      <c r="E19" s="100">
        <v>2.0699999999999998</v>
      </c>
      <c r="F19" s="100">
        <v>8.6199999999999992</v>
      </c>
      <c r="G19" s="100">
        <v>36.89</v>
      </c>
      <c r="H19" s="100">
        <v>17.63</v>
      </c>
      <c r="I19" s="100">
        <v>7.35</v>
      </c>
      <c r="J19" s="100">
        <v>3.02</v>
      </c>
      <c r="K19" s="100">
        <v>185.13</v>
      </c>
      <c r="L19" s="100">
        <v>29.94</v>
      </c>
      <c r="M19" s="100">
        <v>45.66</v>
      </c>
      <c r="N19" s="100">
        <v>22.9</v>
      </c>
      <c r="O19" s="100">
        <v>0</v>
      </c>
      <c r="P19" s="100">
        <v>0.36</v>
      </c>
      <c r="Q19" s="100">
        <v>28.02</v>
      </c>
      <c r="R19" s="6"/>
      <c r="S19" s="6"/>
      <c r="T19" s="156"/>
      <c r="U19" s="6"/>
    </row>
    <row r="20" spans="1:21" customFormat="1">
      <c r="A20" s="163" t="s">
        <v>923</v>
      </c>
      <c r="B20" s="100">
        <v>5.42</v>
      </c>
      <c r="C20" s="100">
        <v>28.54</v>
      </c>
      <c r="D20" s="100">
        <v>19.260000000000002</v>
      </c>
      <c r="E20" s="100">
        <v>2.0299999999999998</v>
      </c>
      <c r="F20" s="100">
        <v>9.3800000000000008</v>
      </c>
      <c r="G20" s="100">
        <v>36.520000000000003</v>
      </c>
      <c r="H20" s="100">
        <v>17.11</v>
      </c>
      <c r="I20" s="100">
        <v>7.38</v>
      </c>
      <c r="J20" s="100">
        <v>3.04</v>
      </c>
      <c r="K20" s="100">
        <v>204.12</v>
      </c>
      <c r="L20" s="100">
        <v>29.97</v>
      </c>
      <c r="M20" s="100">
        <v>45.94</v>
      </c>
      <c r="N20" s="100">
        <v>22.5</v>
      </c>
      <c r="O20" s="100">
        <v>0</v>
      </c>
      <c r="P20" s="100">
        <v>0.36</v>
      </c>
      <c r="Q20" s="100">
        <v>28.03</v>
      </c>
      <c r="R20" s="6"/>
      <c r="S20" s="6"/>
      <c r="T20" s="156"/>
      <c r="U20" s="6"/>
    </row>
    <row r="21" spans="1:21" customFormat="1">
      <c r="A21" s="163" t="s">
        <v>924</v>
      </c>
      <c r="B21" s="100">
        <v>5.56</v>
      </c>
      <c r="C21" s="100">
        <v>29.87</v>
      </c>
      <c r="D21" s="100">
        <v>20.059999999999999</v>
      </c>
      <c r="E21" s="100">
        <v>2.21</v>
      </c>
      <c r="F21" s="100">
        <v>6.81</v>
      </c>
      <c r="G21" s="100">
        <v>35.15</v>
      </c>
      <c r="H21" s="100">
        <v>15.16</v>
      </c>
      <c r="I21" s="100">
        <v>7.22</v>
      </c>
      <c r="J21" s="100">
        <v>3.11</v>
      </c>
      <c r="K21" s="100">
        <v>195.83</v>
      </c>
      <c r="L21" s="100">
        <v>30.07</v>
      </c>
      <c r="M21" s="100">
        <v>46.13</v>
      </c>
      <c r="N21" s="100">
        <v>22.6</v>
      </c>
      <c r="O21" s="100">
        <v>0</v>
      </c>
      <c r="P21" s="100">
        <v>0.36</v>
      </c>
      <c r="Q21" s="100">
        <v>27.98</v>
      </c>
      <c r="R21" s="6"/>
      <c r="S21" s="6"/>
      <c r="T21" s="156"/>
      <c r="U21" s="6"/>
    </row>
    <row r="22" spans="1:21" customFormat="1">
      <c r="A22" s="163" t="s">
        <v>925</v>
      </c>
      <c r="B22" s="100">
        <v>5.79</v>
      </c>
      <c r="C22" s="100">
        <v>33.450000000000003</v>
      </c>
      <c r="D22" s="100">
        <v>22.12</v>
      </c>
      <c r="E22" s="100">
        <v>1.99</v>
      </c>
      <c r="F22" s="100">
        <v>4.1399999999999997</v>
      </c>
      <c r="G22" s="100">
        <v>35.15</v>
      </c>
      <c r="H22" s="100">
        <v>15.16</v>
      </c>
      <c r="I22" s="100">
        <v>7.1</v>
      </c>
      <c r="J22" s="100">
        <v>2.97</v>
      </c>
      <c r="K22" s="100">
        <v>196.09</v>
      </c>
      <c r="L22" s="100">
        <v>29.9</v>
      </c>
      <c r="M22" s="100">
        <v>46.61</v>
      </c>
      <c r="N22" s="100">
        <v>22.7</v>
      </c>
      <c r="O22" s="100">
        <v>0</v>
      </c>
      <c r="P22" s="100">
        <v>0.36</v>
      </c>
      <c r="Q22" s="100">
        <v>27.79</v>
      </c>
      <c r="R22" s="6"/>
      <c r="S22" s="6"/>
      <c r="T22" s="156"/>
      <c r="U22" s="6"/>
    </row>
    <row r="23" spans="1:21" customFormat="1">
      <c r="A23" s="163" t="s">
        <v>926</v>
      </c>
      <c r="B23" s="100">
        <v>5.95</v>
      </c>
      <c r="C23" s="100">
        <v>28.05</v>
      </c>
      <c r="D23" s="100">
        <v>19.43</v>
      </c>
      <c r="E23" s="100">
        <v>2.38</v>
      </c>
      <c r="F23" s="100">
        <v>4.1399999999999997</v>
      </c>
      <c r="G23" s="100">
        <v>35.15</v>
      </c>
      <c r="H23" s="100">
        <v>15.16</v>
      </c>
      <c r="I23" s="100">
        <v>7.24</v>
      </c>
      <c r="J23" s="100">
        <v>3.34</v>
      </c>
      <c r="K23" s="100">
        <v>244.79</v>
      </c>
      <c r="L23" s="100">
        <v>29.76</v>
      </c>
      <c r="M23" s="100">
        <v>47.1</v>
      </c>
      <c r="N23" s="100">
        <v>22.5</v>
      </c>
      <c r="O23" s="100">
        <v>0</v>
      </c>
      <c r="P23" s="100">
        <v>0.34</v>
      </c>
      <c r="Q23" s="100">
        <v>28.01</v>
      </c>
      <c r="R23" s="6"/>
      <c r="S23" s="6"/>
      <c r="T23" s="156"/>
      <c r="U23" s="6"/>
    </row>
    <row r="24" spans="1:21" customFormat="1">
      <c r="A24" s="163" t="s">
        <v>927</v>
      </c>
      <c r="B24" s="100">
        <v>6.15</v>
      </c>
      <c r="C24" s="100">
        <v>24.82</v>
      </c>
      <c r="D24" s="100">
        <v>17.899999999999999</v>
      </c>
      <c r="E24" s="100">
        <v>2.16</v>
      </c>
      <c r="F24" s="100">
        <v>4.43</v>
      </c>
      <c r="G24" s="100">
        <v>34.31</v>
      </c>
      <c r="H24" s="100">
        <v>14.88</v>
      </c>
      <c r="I24" s="100">
        <v>7.31</v>
      </c>
      <c r="J24" s="100">
        <v>3.88</v>
      </c>
      <c r="K24" s="100">
        <v>252.56</v>
      </c>
      <c r="L24" s="100">
        <v>29.47</v>
      </c>
      <c r="M24" s="100">
        <v>47.77</v>
      </c>
      <c r="N24" s="100">
        <v>22.6</v>
      </c>
      <c r="O24" s="100">
        <v>0</v>
      </c>
      <c r="P24" s="100">
        <v>0.35</v>
      </c>
      <c r="Q24" s="100">
        <v>28.27</v>
      </c>
      <c r="R24" s="6"/>
      <c r="S24" s="6"/>
      <c r="T24" s="156"/>
      <c r="U24" s="6"/>
    </row>
    <row r="25" spans="1:21" customFormat="1">
      <c r="A25" s="163" t="s">
        <v>928</v>
      </c>
      <c r="B25" s="100">
        <v>6.53</v>
      </c>
      <c r="C25" s="100">
        <v>33.18</v>
      </c>
      <c r="D25" s="100">
        <v>22.58</v>
      </c>
      <c r="E25" s="100">
        <v>2.31</v>
      </c>
      <c r="F25" s="100">
        <v>3.25</v>
      </c>
      <c r="G25" s="100">
        <v>31.17</v>
      </c>
      <c r="H25" s="100">
        <v>13.81</v>
      </c>
      <c r="I25" s="100">
        <v>7.21</v>
      </c>
      <c r="J25" s="100">
        <v>3.13</v>
      </c>
      <c r="K25" s="100">
        <v>265.58</v>
      </c>
      <c r="L25" s="100">
        <v>29.34</v>
      </c>
      <c r="M25" s="100">
        <v>47.75</v>
      </c>
      <c r="N25" s="100">
        <v>22.6</v>
      </c>
      <c r="O25" s="100">
        <v>0</v>
      </c>
      <c r="P25" s="100">
        <v>0.35</v>
      </c>
      <c r="Q25" s="100">
        <v>27.87</v>
      </c>
      <c r="R25" s="6"/>
      <c r="S25" s="6"/>
      <c r="T25" s="156"/>
      <c r="U25" s="6"/>
    </row>
    <row r="26" spans="1:21" customFormat="1">
      <c r="A26" s="163" t="s">
        <v>929</v>
      </c>
      <c r="B26" s="100">
        <v>6.78</v>
      </c>
      <c r="C26" s="100">
        <v>32.96</v>
      </c>
      <c r="D26" s="100">
        <v>22.66</v>
      </c>
      <c r="E26" s="100">
        <v>2.17</v>
      </c>
      <c r="F26" s="100">
        <v>2.93</v>
      </c>
      <c r="G26" s="100">
        <v>31.17</v>
      </c>
      <c r="H26" s="100">
        <v>13.81</v>
      </c>
      <c r="I26" s="100">
        <v>7.25</v>
      </c>
      <c r="J26" s="100">
        <v>3.38</v>
      </c>
      <c r="K26" s="100">
        <v>228.52</v>
      </c>
      <c r="L26" s="100">
        <v>29.37</v>
      </c>
      <c r="M26" s="100">
        <v>46.68</v>
      </c>
      <c r="N26" s="100">
        <v>22.4</v>
      </c>
      <c r="O26" s="100">
        <v>0</v>
      </c>
      <c r="P26" s="100">
        <v>0.35</v>
      </c>
      <c r="Q26" s="100">
        <v>27.94</v>
      </c>
      <c r="R26" s="6"/>
      <c r="S26" s="6"/>
      <c r="T26" s="156"/>
      <c r="U26" s="6"/>
    </row>
    <row r="27" spans="1:21" customFormat="1">
      <c r="A27" s="163" t="s">
        <v>930</v>
      </c>
      <c r="B27" s="100">
        <v>7.04</v>
      </c>
      <c r="C27" s="100">
        <v>31.01</v>
      </c>
      <c r="D27" s="100">
        <v>21.85</v>
      </c>
      <c r="E27" s="100">
        <v>2.2799999999999998</v>
      </c>
      <c r="F27" s="100">
        <v>3.25</v>
      </c>
      <c r="G27" s="100">
        <v>31.17</v>
      </c>
      <c r="H27" s="100">
        <v>13.81</v>
      </c>
      <c r="I27" s="100">
        <v>7.28</v>
      </c>
      <c r="J27" s="100">
        <v>2.58</v>
      </c>
      <c r="K27" s="100">
        <v>224.16</v>
      </c>
      <c r="L27" s="100">
        <v>29.44</v>
      </c>
      <c r="M27" s="100">
        <v>47.44</v>
      </c>
      <c r="N27" s="100">
        <v>22.8</v>
      </c>
      <c r="O27" s="100">
        <v>0</v>
      </c>
      <c r="P27" s="100">
        <v>0.34</v>
      </c>
      <c r="Q27" s="100">
        <v>27.95</v>
      </c>
      <c r="R27" s="6"/>
      <c r="S27" s="6"/>
      <c r="T27" s="156"/>
      <c r="U27" s="6"/>
    </row>
    <row r="28" spans="1:21" customFormat="1">
      <c r="A28" s="163" t="s">
        <v>931</v>
      </c>
      <c r="B28" s="100">
        <v>6.97</v>
      </c>
      <c r="C28" s="100">
        <v>24.83</v>
      </c>
      <c r="D28" s="100">
        <v>18.559999999999999</v>
      </c>
      <c r="E28" s="100">
        <v>2.04</v>
      </c>
      <c r="F28" s="100">
        <v>5.0999999999999996</v>
      </c>
      <c r="G28" s="100">
        <v>31.45</v>
      </c>
      <c r="H28" s="100">
        <v>14.18</v>
      </c>
      <c r="I28" s="100">
        <v>7.31</v>
      </c>
      <c r="J28" s="100">
        <v>3.32</v>
      </c>
      <c r="K28" s="100">
        <v>243.31</v>
      </c>
      <c r="L28" s="100">
        <v>28.91</v>
      </c>
      <c r="M28" s="100">
        <v>48.72</v>
      </c>
      <c r="N28" s="100">
        <v>22.9</v>
      </c>
      <c r="O28" s="100">
        <v>0</v>
      </c>
      <c r="P28" s="100">
        <v>0.33</v>
      </c>
      <c r="Q28" s="100">
        <v>28.23</v>
      </c>
      <c r="R28" s="6"/>
      <c r="S28" s="6"/>
      <c r="T28" s="156"/>
      <c r="U28" s="6"/>
    </row>
    <row r="29" spans="1:21" customFormat="1">
      <c r="A29" s="163" t="s">
        <v>932</v>
      </c>
      <c r="B29" s="100">
        <v>6.91</v>
      </c>
      <c r="C29" s="100">
        <v>24.46</v>
      </c>
      <c r="D29" s="100">
        <v>18.32</v>
      </c>
      <c r="E29" s="100">
        <v>0.28999999999999998</v>
      </c>
      <c r="F29" s="100">
        <v>5.5</v>
      </c>
      <c r="G29" s="100">
        <v>32.47</v>
      </c>
      <c r="H29" s="100">
        <v>15.58</v>
      </c>
      <c r="I29" s="100">
        <v>7.29</v>
      </c>
      <c r="J29" s="100">
        <v>3.24</v>
      </c>
      <c r="K29" s="100">
        <v>172.12</v>
      </c>
      <c r="L29" s="100">
        <v>28.72</v>
      </c>
      <c r="M29" s="100">
        <v>50.63</v>
      </c>
      <c r="N29" s="100">
        <v>23.4</v>
      </c>
      <c r="O29" s="100">
        <v>0</v>
      </c>
      <c r="P29" s="100">
        <v>0.33</v>
      </c>
      <c r="Q29" s="100">
        <v>28.24</v>
      </c>
      <c r="R29" s="6"/>
      <c r="S29" s="6"/>
      <c r="T29" s="156"/>
      <c r="U29" s="6"/>
    </row>
    <row r="30" spans="1:21" customFormat="1">
      <c r="A30" s="163" t="s">
        <v>933</v>
      </c>
      <c r="B30" s="100">
        <v>6.86</v>
      </c>
      <c r="C30" s="100">
        <v>25.51</v>
      </c>
      <c r="D30" s="100">
        <v>18.829999999999998</v>
      </c>
      <c r="E30" s="100">
        <v>0.86</v>
      </c>
      <c r="F30" s="100">
        <v>6.26</v>
      </c>
      <c r="G30" s="100">
        <v>32.47</v>
      </c>
      <c r="H30" s="100">
        <v>15.58</v>
      </c>
      <c r="I30" s="100">
        <v>7.19</v>
      </c>
      <c r="J30" s="100">
        <v>3.01</v>
      </c>
      <c r="K30" s="100">
        <v>187.84</v>
      </c>
      <c r="L30" s="100">
        <v>28.47</v>
      </c>
      <c r="M30" s="100">
        <v>51.93</v>
      </c>
      <c r="N30" s="100">
        <v>25.2</v>
      </c>
      <c r="O30" s="100">
        <v>0</v>
      </c>
      <c r="P30" s="100">
        <v>0.34</v>
      </c>
      <c r="Q30" s="100">
        <v>28.18</v>
      </c>
      <c r="R30" s="6"/>
      <c r="S30" s="6"/>
      <c r="T30" s="156"/>
      <c r="U30" s="6"/>
    </row>
    <row r="31" spans="1:21" customFormat="1">
      <c r="A31" s="163" t="s">
        <v>934</v>
      </c>
      <c r="B31" s="100">
        <v>7.12</v>
      </c>
      <c r="C31" s="100">
        <v>26.15</v>
      </c>
      <c r="D31" s="100">
        <v>19.37</v>
      </c>
      <c r="E31" s="100">
        <v>0.57999999999999996</v>
      </c>
      <c r="F31" s="100">
        <v>4.59</v>
      </c>
      <c r="G31" s="100">
        <v>32.47</v>
      </c>
      <c r="H31" s="100">
        <v>15.58</v>
      </c>
      <c r="I31" s="100">
        <v>7.04</v>
      </c>
      <c r="J31" s="100">
        <v>3.18</v>
      </c>
      <c r="K31" s="100">
        <v>179.64</v>
      </c>
      <c r="L31" s="100">
        <v>28.44</v>
      </c>
      <c r="M31" s="100">
        <v>53.11</v>
      </c>
      <c r="N31" s="100">
        <v>32.1</v>
      </c>
      <c r="O31" s="100">
        <v>0</v>
      </c>
      <c r="P31" s="100">
        <v>0.34</v>
      </c>
      <c r="Q31" s="100">
        <v>28.11</v>
      </c>
      <c r="R31" s="6"/>
      <c r="S31" s="6"/>
      <c r="T31" s="156"/>
      <c r="U31" s="6"/>
    </row>
    <row r="32" spans="1:21" customFormat="1">
      <c r="A32" s="163" t="s">
        <v>935</v>
      </c>
      <c r="B32" s="100">
        <v>7.37</v>
      </c>
      <c r="C32" s="100">
        <v>27.45</v>
      </c>
      <c r="D32" s="100">
        <v>20.25</v>
      </c>
      <c r="E32" s="100">
        <v>0.57999999999999996</v>
      </c>
      <c r="F32" s="100">
        <v>3.84</v>
      </c>
      <c r="G32" s="100">
        <v>31.76</v>
      </c>
      <c r="H32" s="100">
        <v>14.81</v>
      </c>
      <c r="I32" s="100">
        <v>7.08</v>
      </c>
      <c r="J32" s="100">
        <v>3.22</v>
      </c>
      <c r="K32" s="100">
        <v>173.87</v>
      </c>
      <c r="L32" s="100">
        <v>28.6</v>
      </c>
      <c r="M32" s="100">
        <v>53.16</v>
      </c>
      <c r="N32" s="100">
        <v>42.5</v>
      </c>
      <c r="O32" s="100">
        <v>0</v>
      </c>
      <c r="P32" s="100">
        <v>0.35</v>
      </c>
      <c r="Q32" s="100">
        <v>27.97</v>
      </c>
      <c r="R32" s="6"/>
      <c r="S32" s="6"/>
      <c r="T32" s="156"/>
      <c r="U32" s="6"/>
    </row>
    <row r="33" spans="1:21" customFormat="1">
      <c r="A33" s="163" t="s">
        <v>936</v>
      </c>
      <c r="B33" s="100">
        <v>7.71</v>
      </c>
      <c r="C33" s="100">
        <v>28.23</v>
      </c>
      <c r="D33" s="100">
        <v>20.93</v>
      </c>
      <c r="E33" s="100">
        <v>0.78</v>
      </c>
      <c r="F33" s="100">
        <v>3.87</v>
      </c>
      <c r="G33" s="100">
        <v>29.1</v>
      </c>
      <c r="H33" s="100">
        <v>11.93</v>
      </c>
      <c r="I33" s="100">
        <v>7.08</v>
      </c>
      <c r="J33" s="100">
        <v>3.2</v>
      </c>
      <c r="K33" s="100">
        <v>195.66</v>
      </c>
      <c r="L33" s="100">
        <v>28.69</v>
      </c>
      <c r="M33" s="100">
        <v>52.78</v>
      </c>
      <c r="N33" s="100">
        <v>54.1</v>
      </c>
      <c r="O33" s="100">
        <v>0</v>
      </c>
      <c r="P33" s="100">
        <v>0.35</v>
      </c>
      <c r="Q33" s="100">
        <v>27.9</v>
      </c>
      <c r="R33" s="6"/>
      <c r="S33" s="6"/>
      <c r="T33" s="156"/>
      <c r="U33" s="6"/>
    </row>
    <row r="34" spans="1:21" customFormat="1">
      <c r="A34" s="163" t="s">
        <v>937</v>
      </c>
      <c r="B34" s="100">
        <v>7.87</v>
      </c>
      <c r="C34" s="100">
        <v>27.83</v>
      </c>
      <c r="D34" s="100">
        <v>20.85</v>
      </c>
      <c r="E34" s="100">
        <v>0.52</v>
      </c>
      <c r="F34" s="100">
        <v>4.2300000000000004</v>
      </c>
      <c r="G34" s="100">
        <v>29.1</v>
      </c>
      <c r="H34" s="100">
        <v>11.93</v>
      </c>
      <c r="I34" s="100">
        <v>7.15</v>
      </c>
      <c r="J34" s="100">
        <v>3.35</v>
      </c>
      <c r="K34" s="100">
        <v>182.81</v>
      </c>
      <c r="L34" s="100">
        <v>28.87</v>
      </c>
      <c r="M34" s="100">
        <v>52.74</v>
      </c>
      <c r="N34" s="100">
        <v>65.3</v>
      </c>
      <c r="O34" s="100">
        <v>0</v>
      </c>
      <c r="P34" s="100">
        <v>0.35</v>
      </c>
      <c r="Q34" s="100">
        <v>27.9</v>
      </c>
      <c r="R34" s="6"/>
      <c r="S34" s="6"/>
      <c r="T34" s="156"/>
      <c r="U34" s="6"/>
    </row>
    <row r="35" spans="1:21" customFormat="1">
      <c r="A35" s="163" t="s">
        <v>938</v>
      </c>
      <c r="B35" s="100">
        <v>8.3800000000000008</v>
      </c>
      <c r="C35" s="100">
        <v>33.46</v>
      </c>
      <c r="D35" s="100">
        <v>24.2</v>
      </c>
      <c r="E35" s="100">
        <v>0.59</v>
      </c>
      <c r="F35" s="100">
        <v>3.32</v>
      </c>
      <c r="G35" s="100">
        <v>29.1</v>
      </c>
      <c r="H35" s="100">
        <v>11.93</v>
      </c>
      <c r="I35" s="100">
        <v>7.25</v>
      </c>
      <c r="J35" s="100">
        <v>2.81</v>
      </c>
      <c r="K35" s="100">
        <v>202.99</v>
      </c>
      <c r="L35" s="100">
        <v>29.08</v>
      </c>
      <c r="M35" s="100">
        <v>52.4</v>
      </c>
      <c r="N35" s="100">
        <v>75.900000000000006</v>
      </c>
      <c r="O35" s="100">
        <v>0</v>
      </c>
      <c r="P35" s="100">
        <v>0.36</v>
      </c>
      <c r="Q35" s="100">
        <v>27.62</v>
      </c>
      <c r="R35" s="6"/>
      <c r="S35" s="6"/>
      <c r="T35" s="156"/>
      <c r="U35" s="6"/>
    </row>
    <row r="36" spans="1:21" customFormat="1">
      <c r="A36" s="163" t="s">
        <v>939</v>
      </c>
      <c r="B36" s="100">
        <v>8.74</v>
      </c>
      <c r="C36" s="100">
        <v>32.69</v>
      </c>
      <c r="D36" s="100">
        <v>24.09</v>
      </c>
      <c r="E36" s="100">
        <v>0.75</v>
      </c>
      <c r="F36" s="100">
        <v>3.93</v>
      </c>
      <c r="G36" s="100">
        <v>30.56</v>
      </c>
      <c r="H36" s="100">
        <v>12.97</v>
      </c>
      <c r="I36" s="100">
        <v>7.4</v>
      </c>
      <c r="J36" s="100">
        <v>3.43</v>
      </c>
      <c r="K36" s="100">
        <v>203.74</v>
      </c>
      <c r="L36" s="100">
        <v>29.43</v>
      </c>
      <c r="M36" s="100">
        <v>51.3</v>
      </c>
      <c r="N36" s="100">
        <v>103.3</v>
      </c>
      <c r="O36" s="100">
        <v>0</v>
      </c>
      <c r="P36" s="100">
        <v>0.36</v>
      </c>
      <c r="Q36" s="100">
        <v>27.62</v>
      </c>
      <c r="R36" s="6"/>
      <c r="S36" s="6"/>
      <c r="T36" s="156"/>
      <c r="U36" s="6"/>
    </row>
    <row r="37" spans="1:21" customFormat="1">
      <c r="A37" s="163" t="s">
        <v>940</v>
      </c>
      <c r="B37" s="100">
        <v>8.94</v>
      </c>
      <c r="C37" s="100">
        <v>28.02</v>
      </c>
      <c r="D37" s="100">
        <v>21.81</v>
      </c>
      <c r="E37" s="100">
        <v>0.96</v>
      </c>
      <c r="F37" s="100">
        <v>4.24</v>
      </c>
      <c r="G37" s="100">
        <v>36</v>
      </c>
      <c r="H37" s="100">
        <v>16.86</v>
      </c>
      <c r="I37" s="100">
        <v>7.49</v>
      </c>
      <c r="J37" s="100">
        <v>3.13</v>
      </c>
      <c r="K37" s="100">
        <v>196.73</v>
      </c>
      <c r="L37" s="100">
        <v>30.2</v>
      </c>
      <c r="M37" s="100">
        <v>49.61</v>
      </c>
      <c r="N37" s="100">
        <v>115.6</v>
      </c>
      <c r="O37" s="100">
        <v>0</v>
      </c>
      <c r="P37" s="100">
        <v>0.36</v>
      </c>
      <c r="Q37" s="100">
        <v>27.87</v>
      </c>
      <c r="R37" s="6"/>
      <c r="S37" s="6"/>
      <c r="T37" s="156"/>
      <c r="U37" s="6"/>
    </row>
    <row r="38" spans="1:21" customFormat="1">
      <c r="A38" s="163" t="s">
        <v>941</v>
      </c>
      <c r="B38" s="100">
        <v>9.1</v>
      </c>
      <c r="C38" s="100">
        <v>24.73</v>
      </c>
      <c r="D38" s="100">
        <v>20.21</v>
      </c>
      <c r="E38" s="100">
        <v>0.63</v>
      </c>
      <c r="F38" s="100">
        <v>4.71</v>
      </c>
      <c r="G38" s="100">
        <v>36</v>
      </c>
      <c r="H38" s="100">
        <v>16.86</v>
      </c>
      <c r="I38" s="100">
        <v>7.66</v>
      </c>
      <c r="J38" s="100">
        <v>3.27</v>
      </c>
      <c r="K38" s="100">
        <v>194.66</v>
      </c>
      <c r="L38" s="100">
        <v>30.62</v>
      </c>
      <c r="M38" s="100">
        <v>48.45</v>
      </c>
      <c r="N38" s="100">
        <v>137.5</v>
      </c>
      <c r="O38" s="100">
        <v>0</v>
      </c>
      <c r="P38" s="100">
        <v>0.36</v>
      </c>
      <c r="Q38" s="100">
        <v>28.06</v>
      </c>
      <c r="R38" s="6"/>
      <c r="S38" s="6"/>
      <c r="T38" s="156"/>
      <c r="U38" s="6"/>
    </row>
    <row r="39" spans="1:21" customFormat="1">
      <c r="A39" s="163" t="s">
        <v>942</v>
      </c>
      <c r="B39" s="100">
        <v>9.19</v>
      </c>
      <c r="C39" s="100">
        <v>26.74</v>
      </c>
      <c r="D39" s="100">
        <v>21.34</v>
      </c>
      <c r="E39" s="100">
        <v>0.67</v>
      </c>
      <c r="F39" s="100">
        <v>5.84</v>
      </c>
      <c r="G39" s="100">
        <v>36</v>
      </c>
      <c r="H39" s="100">
        <v>16.86</v>
      </c>
      <c r="I39" s="100">
        <v>7.71</v>
      </c>
      <c r="J39" s="100">
        <v>3.41</v>
      </c>
      <c r="K39" s="100">
        <v>182.14</v>
      </c>
      <c r="L39" s="100">
        <v>31.15</v>
      </c>
      <c r="M39" s="100">
        <v>47.83</v>
      </c>
      <c r="N39" s="100">
        <v>130.4</v>
      </c>
      <c r="O39" s="100">
        <v>0</v>
      </c>
      <c r="P39" s="100">
        <v>0.38</v>
      </c>
      <c r="Q39" s="100">
        <v>27.99</v>
      </c>
      <c r="R39" s="6"/>
      <c r="S39" s="6"/>
      <c r="T39" s="156"/>
      <c r="U39" s="6"/>
    </row>
    <row r="40" spans="1:21" customFormat="1">
      <c r="A40" s="163" t="s">
        <v>943</v>
      </c>
      <c r="B40" s="100">
        <v>9.1999999999999993</v>
      </c>
      <c r="C40" s="100">
        <v>25.75</v>
      </c>
      <c r="D40" s="100">
        <v>20.83</v>
      </c>
      <c r="E40" s="100">
        <v>0.53</v>
      </c>
      <c r="F40" s="100">
        <v>5.18</v>
      </c>
      <c r="G40" s="100">
        <v>36.590000000000003</v>
      </c>
      <c r="H40" s="100">
        <v>16.739999999999998</v>
      </c>
      <c r="I40" s="100">
        <v>7.7</v>
      </c>
      <c r="J40" s="100">
        <v>3.34</v>
      </c>
      <c r="K40" s="100">
        <v>233.45</v>
      </c>
      <c r="L40" s="100">
        <v>31.57</v>
      </c>
      <c r="M40" s="100">
        <v>47.05</v>
      </c>
      <c r="N40" s="100">
        <v>224.5</v>
      </c>
      <c r="O40" s="100">
        <v>0</v>
      </c>
      <c r="P40" s="100">
        <v>0.39</v>
      </c>
      <c r="Q40" s="100">
        <v>28.01</v>
      </c>
      <c r="R40" s="6"/>
      <c r="S40" s="6"/>
      <c r="T40" s="156"/>
      <c r="U40" s="6"/>
    </row>
    <row r="41" spans="1:21" customFormat="1">
      <c r="A41" s="163" t="s">
        <v>944</v>
      </c>
      <c r="B41" s="100">
        <v>8.98</v>
      </c>
      <c r="C41" s="100">
        <v>25.51</v>
      </c>
      <c r="D41" s="100">
        <v>20.53</v>
      </c>
      <c r="E41" s="100">
        <v>0.81</v>
      </c>
      <c r="F41" s="100">
        <v>5.61</v>
      </c>
      <c r="G41" s="100">
        <v>38.799999999999997</v>
      </c>
      <c r="H41" s="100">
        <v>16.28</v>
      </c>
      <c r="I41" s="100">
        <v>7.88</v>
      </c>
      <c r="J41" s="100">
        <v>3.66</v>
      </c>
      <c r="K41" s="100">
        <v>232.19</v>
      </c>
      <c r="L41" s="100">
        <v>32.1</v>
      </c>
      <c r="M41" s="100">
        <v>45.87</v>
      </c>
      <c r="N41" s="100">
        <v>402.1</v>
      </c>
      <c r="O41" s="100">
        <v>0</v>
      </c>
      <c r="P41" s="100">
        <v>0.39</v>
      </c>
      <c r="Q41" s="100">
        <v>28.04</v>
      </c>
      <c r="R41" s="6"/>
      <c r="S41" s="6"/>
      <c r="T41" s="156"/>
      <c r="U41" s="6"/>
    </row>
    <row r="42" spans="1:21" customFormat="1">
      <c r="A42" s="163" t="s">
        <v>945</v>
      </c>
      <c r="B42" s="100">
        <v>8.2100000000000009</v>
      </c>
      <c r="C42" s="100">
        <v>25.92</v>
      </c>
      <c r="D42" s="100">
        <v>20.12</v>
      </c>
      <c r="E42" s="100">
        <v>0.73</v>
      </c>
      <c r="F42" s="100">
        <v>5.27</v>
      </c>
      <c r="G42" s="100">
        <v>38.799999999999997</v>
      </c>
      <c r="H42" s="100">
        <v>16.28</v>
      </c>
      <c r="I42" s="100">
        <v>8.1300000000000008</v>
      </c>
      <c r="J42" s="100">
        <v>4.16</v>
      </c>
      <c r="K42" s="100">
        <v>241.46</v>
      </c>
      <c r="L42" s="100">
        <v>32.6</v>
      </c>
      <c r="M42" s="100">
        <v>44.71</v>
      </c>
      <c r="N42" s="100">
        <v>404.9</v>
      </c>
      <c r="O42" s="100">
        <v>0</v>
      </c>
      <c r="P42" s="100">
        <v>0.41</v>
      </c>
      <c r="Q42" s="100">
        <v>28</v>
      </c>
      <c r="R42" s="6"/>
      <c r="S42" s="6"/>
      <c r="T42" s="156"/>
      <c r="U42" s="6"/>
    </row>
    <row r="43" spans="1:21" customFormat="1">
      <c r="A43" s="163" t="s">
        <v>946</v>
      </c>
      <c r="B43" s="100">
        <v>7.28</v>
      </c>
      <c r="C43" s="100">
        <v>26.8</v>
      </c>
      <c r="D43" s="100">
        <v>19.84</v>
      </c>
      <c r="E43" s="100">
        <v>0.61</v>
      </c>
      <c r="F43" s="100">
        <v>4.17</v>
      </c>
      <c r="G43" s="100">
        <v>38.799999999999997</v>
      </c>
      <c r="H43" s="100">
        <v>16.28</v>
      </c>
      <c r="I43" s="100">
        <v>8.2899999999999991</v>
      </c>
      <c r="J43" s="100">
        <v>4.7300000000000004</v>
      </c>
      <c r="K43" s="100">
        <v>240.04</v>
      </c>
      <c r="L43" s="100">
        <v>33.29</v>
      </c>
      <c r="M43" s="100">
        <v>42.45</v>
      </c>
      <c r="N43" s="100">
        <v>261.3</v>
      </c>
      <c r="O43" s="100">
        <v>0</v>
      </c>
      <c r="P43" s="100">
        <v>0.42</v>
      </c>
      <c r="Q43" s="100">
        <v>27.99</v>
      </c>
      <c r="R43" s="6"/>
      <c r="S43" s="6"/>
      <c r="T43" s="156"/>
      <c r="U43" s="6"/>
    </row>
    <row r="44" spans="1:21" customFormat="1">
      <c r="A44" s="163" t="s">
        <v>947</v>
      </c>
      <c r="B44" s="100">
        <v>5.97</v>
      </c>
      <c r="C44" s="100">
        <v>26.7</v>
      </c>
      <c r="D44" s="100">
        <v>18.739999999999998</v>
      </c>
      <c r="E44" s="100">
        <v>0.53</v>
      </c>
      <c r="F44" s="100">
        <v>9.9700000000000006</v>
      </c>
      <c r="G44" s="100">
        <v>39.07</v>
      </c>
      <c r="H44" s="100">
        <v>16.78</v>
      </c>
      <c r="I44" s="100">
        <v>8.4600000000000009</v>
      </c>
      <c r="J44" s="100">
        <v>4.2699999999999996</v>
      </c>
      <c r="K44" s="100">
        <v>237.71</v>
      </c>
      <c r="L44" s="100">
        <v>34.090000000000003</v>
      </c>
      <c r="M44" s="100">
        <v>39.44</v>
      </c>
      <c r="N44" s="100">
        <v>205.7</v>
      </c>
      <c r="O44" s="100">
        <v>0</v>
      </c>
      <c r="P44" s="100">
        <v>0.41</v>
      </c>
      <c r="Q44" s="100">
        <v>28.05</v>
      </c>
      <c r="R44" s="6"/>
      <c r="S44" s="6"/>
      <c r="T44" s="156"/>
      <c r="U44" s="6"/>
    </row>
    <row r="45" spans="1:21" customFormat="1">
      <c r="A45" s="163" t="s">
        <v>948</v>
      </c>
      <c r="B45" s="100">
        <v>5.2</v>
      </c>
      <c r="C45" s="100">
        <v>28.07</v>
      </c>
      <c r="D45" s="100">
        <v>18.84</v>
      </c>
      <c r="E45" s="100">
        <v>0.89</v>
      </c>
      <c r="F45" s="100">
        <v>5.27</v>
      </c>
      <c r="G45" s="100">
        <v>40.11</v>
      </c>
      <c r="H45" s="100">
        <v>18.66</v>
      </c>
      <c r="I45" s="100">
        <v>8.57</v>
      </c>
      <c r="J45" s="100">
        <v>5.39</v>
      </c>
      <c r="K45" s="100">
        <v>240.18</v>
      </c>
      <c r="L45" s="100">
        <v>34.42</v>
      </c>
      <c r="M45" s="100">
        <v>37.93</v>
      </c>
      <c r="N45" s="100">
        <v>221.6</v>
      </c>
      <c r="O45" s="100">
        <v>0</v>
      </c>
      <c r="P45" s="100">
        <v>0.43</v>
      </c>
      <c r="Q45" s="100">
        <v>28</v>
      </c>
      <c r="R45" s="6"/>
      <c r="S45" s="6"/>
      <c r="T45" s="156"/>
      <c r="U45" s="6"/>
    </row>
    <row r="46" spans="1:21" customFormat="1">
      <c r="A46" s="163" t="s">
        <v>949</v>
      </c>
      <c r="B46" s="100">
        <v>4.16</v>
      </c>
      <c r="C46" s="100">
        <v>28.02</v>
      </c>
      <c r="D46" s="100">
        <v>17.97</v>
      </c>
      <c r="E46" s="100">
        <v>0.69</v>
      </c>
      <c r="F46" s="100">
        <v>8.82</v>
      </c>
      <c r="G46" s="100">
        <v>40.11</v>
      </c>
      <c r="H46" s="100">
        <v>18.66</v>
      </c>
      <c r="I46" s="100">
        <v>8.64</v>
      </c>
      <c r="J46" s="100">
        <v>5.32</v>
      </c>
      <c r="K46" s="100">
        <v>217.7</v>
      </c>
      <c r="L46" s="100">
        <v>34.78</v>
      </c>
      <c r="M46" s="100">
        <v>37.119999999999997</v>
      </c>
      <c r="N46" s="100">
        <v>373.9</v>
      </c>
      <c r="O46" s="100">
        <v>0</v>
      </c>
      <c r="P46" s="100">
        <v>0.44</v>
      </c>
      <c r="Q46" s="100">
        <v>28.08</v>
      </c>
      <c r="R46" s="6"/>
      <c r="S46" s="6"/>
      <c r="T46" s="156"/>
      <c r="U46" s="6"/>
    </row>
    <row r="47" spans="1:21" customFormat="1">
      <c r="A47" s="163" t="s">
        <v>950</v>
      </c>
      <c r="B47" s="100">
        <v>3.4</v>
      </c>
      <c r="C47" s="100">
        <v>27.79</v>
      </c>
      <c r="D47" s="100">
        <v>17.239999999999998</v>
      </c>
      <c r="E47" s="100">
        <v>0.42</v>
      </c>
      <c r="F47" s="100">
        <v>7.57</v>
      </c>
      <c r="G47" s="100">
        <v>40.11</v>
      </c>
      <c r="H47" s="100">
        <v>18.66</v>
      </c>
      <c r="I47" s="100">
        <v>8.8699999999999992</v>
      </c>
      <c r="J47" s="100">
        <v>6.14</v>
      </c>
      <c r="K47" s="100">
        <v>238.44</v>
      </c>
      <c r="L47" s="100">
        <v>35.17</v>
      </c>
      <c r="M47" s="100">
        <v>36.28</v>
      </c>
      <c r="N47" s="100">
        <v>620.6</v>
      </c>
      <c r="O47" s="100">
        <v>0</v>
      </c>
      <c r="P47" s="100">
        <v>0.45</v>
      </c>
      <c r="Q47" s="100">
        <v>28.19</v>
      </c>
      <c r="R47" s="6"/>
      <c r="S47" s="6"/>
      <c r="T47" s="156"/>
      <c r="U47" s="6"/>
    </row>
    <row r="48" spans="1:21" customFormat="1">
      <c r="A48" s="163" t="s">
        <v>951</v>
      </c>
      <c r="B48" s="100">
        <v>2.85</v>
      </c>
      <c r="C48" s="100">
        <v>28.36</v>
      </c>
      <c r="D48" s="100">
        <v>17.100000000000001</v>
      </c>
      <c r="E48" s="100">
        <v>0.55000000000000004</v>
      </c>
      <c r="F48" s="100">
        <v>6.6</v>
      </c>
      <c r="G48" s="100">
        <v>41.09</v>
      </c>
      <c r="H48" s="100">
        <v>18.29</v>
      </c>
      <c r="I48" s="100">
        <v>8.94</v>
      </c>
      <c r="J48" s="100">
        <v>6.16</v>
      </c>
      <c r="K48" s="100">
        <v>239.39</v>
      </c>
      <c r="L48" s="100">
        <v>35.42</v>
      </c>
      <c r="M48" s="100">
        <v>35.82</v>
      </c>
      <c r="N48" s="100">
        <v>692.6</v>
      </c>
      <c r="O48" s="100">
        <v>0</v>
      </c>
      <c r="P48" s="100">
        <v>0.47</v>
      </c>
      <c r="Q48" s="100">
        <v>28.2</v>
      </c>
      <c r="R48" s="6"/>
      <c r="S48" s="6"/>
      <c r="T48" s="156"/>
      <c r="U48" s="6"/>
    </row>
    <row r="49" spans="1:21" customFormat="1">
      <c r="A49" s="163" t="s">
        <v>952</v>
      </c>
      <c r="B49" s="100">
        <v>2.4300000000000002</v>
      </c>
      <c r="C49" s="100">
        <v>31.31</v>
      </c>
      <c r="D49" s="100">
        <v>18.309999999999999</v>
      </c>
      <c r="E49" s="100">
        <v>0.89</v>
      </c>
      <c r="F49" s="100">
        <v>6.33</v>
      </c>
      <c r="G49" s="100">
        <v>44.74</v>
      </c>
      <c r="H49" s="100">
        <v>16.91</v>
      </c>
      <c r="I49" s="100">
        <v>9.1300000000000008</v>
      </c>
      <c r="J49" s="100">
        <v>4.9400000000000004</v>
      </c>
      <c r="K49" s="100">
        <v>231.26</v>
      </c>
      <c r="L49" s="100">
        <v>35.840000000000003</v>
      </c>
      <c r="M49" s="100">
        <v>34.35</v>
      </c>
      <c r="N49" s="100">
        <v>719.8</v>
      </c>
      <c r="O49" s="100">
        <v>0</v>
      </c>
      <c r="P49" s="100">
        <v>0.48</v>
      </c>
      <c r="Q49" s="100">
        <v>28.08</v>
      </c>
      <c r="R49" s="6"/>
      <c r="S49" s="6"/>
      <c r="T49" s="156"/>
      <c r="U49" s="6"/>
    </row>
    <row r="50" spans="1:21" customFormat="1">
      <c r="A50" s="163" t="s">
        <v>953</v>
      </c>
      <c r="B50" s="100">
        <v>2.2200000000000002</v>
      </c>
      <c r="C50" s="100">
        <v>30.21</v>
      </c>
      <c r="D50" s="100">
        <v>17.57</v>
      </c>
      <c r="E50" s="100">
        <v>1.2</v>
      </c>
      <c r="F50" s="100">
        <v>7</v>
      </c>
      <c r="G50" s="100">
        <v>44.74</v>
      </c>
      <c r="H50" s="100">
        <v>16.91</v>
      </c>
      <c r="I50" s="100">
        <v>9.3699999999999992</v>
      </c>
      <c r="J50" s="100">
        <v>5.72</v>
      </c>
      <c r="K50" s="100">
        <v>242.32</v>
      </c>
      <c r="L50" s="100">
        <v>36.24</v>
      </c>
      <c r="M50" s="100">
        <v>33.58</v>
      </c>
      <c r="N50" s="100">
        <v>750.4</v>
      </c>
      <c r="O50" s="100">
        <v>0</v>
      </c>
      <c r="P50" s="100">
        <v>0.5</v>
      </c>
      <c r="Q50" s="100">
        <v>28.13</v>
      </c>
      <c r="R50" s="6"/>
      <c r="S50" s="6"/>
      <c r="T50" s="156"/>
      <c r="U50" s="6"/>
    </row>
    <row r="51" spans="1:21" customFormat="1">
      <c r="A51" s="163" t="s">
        <v>954</v>
      </c>
      <c r="B51" s="100">
        <v>2.29</v>
      </c>
      <c r="C51" s="100">
        <v>23.22</v>
      </c>
      <c r="D51" s="100">
        <v>13.97</v>
      </c>
      <c r="E51" s="100">
        <v>1.81</v>
      </c>
      <c r="F51" s="100">
        <v>12.05</v>
      </c>
      <c r="G51" s="100">
        <v>44.74</v>
      </c>
      <c r="H51" s="100">
        <v>16.91</v>
      </c>
      <c r="I51" s="100">
        <v>9.84</v>
      </c>
      <c r="J51" s="100">
        <v>4.8600000000000003</v>
      </c>
      <c r="K51" s="100">
        <v>219.47</v>
      </c>
      <c r="L51" s="100">
        <v>36.840000000000003</v>
      </c>
      <c r="M51" s="100">
        <v>32.18</v>
      </c>
      <c r="N51" s="100">
        <v>779.4</v>
      </c>
      <c r="O51" s="100">
        <v>0</v>
      </c>
      <c r="P51" s="100">
        <v>0.54</v>
      </c>
      <c r="Q51" s="100">
        <v>28.45</v>
      </c>
      <c r="R51" s="6"/>
      <c r="S51" s="6"/>
      <c r="T51" s="156"/>
      <c r="U51" s="6"/>
    </row>
    <row r="52" spans="1:21" customFormat="1">
      <c r="A52" s="163" t="s">
        <v>955</v>
      </c>
      <c r="B52" s="100">
        <v>2.5</v>
      </c>
      <c r="C52" s="100">
        <v>19.87</v>
      </c>
      <c r="D52" s="100">
        <v>12.39</v>
      </c>
      <c r="E52" s="100">
        <v>2.3199999999999998</v>
      </c>
      <c r="F52" s="100">
        <v>11.14</v>
      </c>
      <c r="G52" s="100">
        <v>45.13</v>
      </c>
      <c r="H52" s="100">
        <v>17.760000000000002</v>
      </c>
      <c r="I52" s="100">
        <v>10.25</v>
      </c>
      <c r="J52" s="100">
        <v>5.55</v>
      </c>
      <c r="K52" s="100">
        <v>245.29</v>
      </c>
      <c r="L52" s="100">
        <v>36.92</v>
      </c>
      <c r="M52" s="100">
        <v>31.83</v>
      </c>
      <c r="N52" s="100">
        <v>793</v>
      </c>
      <c r="O52" s="100">
        <v>0</v>
      </c>
      <c r="P52" s="100">
        <v>0.56000000000000005</v>
      </c>
      <c r="Q52" s="100">
        <v>28.57</v>
      </c>
      <c r="R52" s="6"/>
      <c r="S52" s="6"/>
      <c r="T52" s="156"/>
      <c r="U52" s="6"/>
    </row>
    <row r="53" spans="1:21" customFormat="1">
      <c r="A53" s="163" t="s">
        <v>956</v>
      </c>
      <c r="B53" s="100">
        <v>2.48</v>
      </c>
      <c r="C53" s="100">
        <v>22.68</v>
      </c>
      <c r="D53" s="100">
        <v>13.84</v>
      </c>
      <c r="E53" s="100">
        <v>0.96</v>
      </c>
      <c r="F53" s="100">
        <v>16.97</v>
      </c>
      <c r="G53" s="100">
        <v>46.59</v>
      </c>
      <c r="H53" s="100">
        <v>20.93</v>
      </c>
      <c r="I53" s="100">
        <v>10.87</v>
      </c>
      <c r="J53" s="100">
        <v>5.54</v>
      </c>
      <c r="K53" s="100">
        <v>243.42</v>
      </c>
      <c r="L53" s="100">
        <v>36.99</v>
      </c>
      <c r="M53" s="100">
        <v>31.89</v>
      </c>
      <c r="N53" s="100">
        <v>795.9</v>
      </c>
      <c r="O53" s="100">
        <v>0</v>
      </c>
      <c r="P53" s="100">
        <v>0.57999999999999996</v>
      </c>
      <c r="Q53" s="100">
        <v>28.45</v>
      </c>
      <c r="R53" s="6"/>
      <c r="S53" s="6"/>
      <c r="T53" s="156"/>
      <c r="U53" s="6"/>
    </row>
    <row r="54" spans="1:21" customFormat="1">
      <c r="A54" s="163" t="s">
        <v>957</v>
      </c>
      <c r="B54" s="100">
        <v>1.51</v>
      </c>
      <c r="C54" s="100">
        <v>25.53</v>
      </c>
      <c r="D54" s="100">
        <v>14.55</v>
      </c>
      <c r="E54" s="100">
        <v>1.86</v>
      </c>
      <c r="F54" s="100">
        <v>25.56</v>
      </c>
      <c r="G54" s="100">
        <v>46.59</v>
      </c>
      <c r="H54" s="100">
        <v>20.93</v>
      </c>
      <c r="I54" s="100">
        <v>11.31</v>
      </c>
      <c r="J54" s="100">
        <v>4.37</v>
      </c>
      <c r="K54" s="100">
        <v>221.26</v>
      </c>
      <c r="L54" s="100">
        <v>37.36</v>
      </c>
      <c r="M54" s="100">
        <v>31.16</v>
      </c>
      <c r="N54" s="100">
        <v>828.8</v>
      </c>
      <c r="O54" s="100">
        <v>0</v>
      </c>
      <c r="P54" s="100">
        <v>0.68</v>
      </c>
      <c r="Q54" s="100">
        <v>28.29</v>
      </c>
      <c r="R54" s="6"/>
      <c r="S54" s="6"/>
      <c r="T54" s="156"/>
      <c r="U54" s="6"/>
    </row>
    <row r="55" spans="1:21" customFormat="1">
      <c r="A55" s="163" t="s">
        <v>958</v>
      </c>
      <c r="B55" s="100">
        <v>1.37</v>
      </c>
      <c r="C55" s="100">
        <v>25.11</v>
      </c>
      <c r="D55" s="100">
        <v>14.21</v>
      </c>
      <c r="E55" s="100">
        <v>3.35</v>
      </c>
      <c r="F55" s="100">
        <v>22.17</v>
      </c>
      <c r="G55" s="100">
        <v>46.59</v>
      </c>
      <c r="H55" s="100">
        <v>20.93</v>
      </c>
      <c r="I55" s="100">
        <v>12.37</v>
      </c>
      <c r="J55" s="100">
        <v>3.83</v>
      </c>
      <c r="K55" s="100">
        <v>205.87</v>
      </c>
      <c r="L55" s="100">
        <v>38.1</v>
      </c>
      <c r="M55" s="100">
        <v>29.74</v>
      </c>
      <c r="N55" s="100">
        <v>819.5</v>
      </c>
      <c r="O55" s="100">
        <v>0</v>
      </c>
      <c r="P55" s="100">
        <v>0.68</v>
      </c>
      <c r="Q55" s="100">
        <v>28.38</v>
      </c>
      <c r="R55" s="6"/>
      <c r="S55" s="6"/>
      <c r="T55" s="156"/>
      <c r="U55" s="6"/>
    </row>
    <row r="56" spans="1:21" customFormat="1">
      <c r="A56" s="163" t="s">
        <v>959</v>
      </c>
      <c r="B56" s="100">
        <v>1.27</v>
      </c>
      <c r="C56" s="100">
        <v>22.79</v>
      </c>
      <c r="D56" s="100">
        <v>12.92</v>
      </c>
      <c r="E56" s="100">
        <v>5.0599999999999996</v>
      </c>
      <c r="F56" s="100">
        <v>21.2</v>
      </c>
      <c r="G56" s="100">
        <v>47.82</v>
      </c>
      <c r="H56" s="100">
        <v>21.19</v>
      </c>
      <c r="I56" s="100">
        <v>13.48</v>
      </c>
      <c r="J56" s="100">
        <v>4.2699999999999996</v>
      </c>
      <c r="K56" s="100">
        <v>225.44</v>
      </c>
      <c r="L56" s="100">
        <v>38.33</v>
      </c>
      <c r="M56" s="100">
        <v>28.61</v>
      </c>
      <c r="N56" s="100">
        <v>829.7</v>
      </c>
      <c r="O56" s="100">
        <v>0</v>
      </c>
      <c r="P56" s="100">
        <v>0.69</v>
      </c>
      <c r="Q56" s="100">
        <v>28.45</v>
      </c>
      <c r="R56" s="6"/>
      <c r="S56" s="6"/>
      <c r="T56" s="156"/>
      <c r="U56" s="6"/>
    </row>
    <row r="57" spans="1:21" customFormat="1">
      <c r="A57" s="163" t="s">
        <v>960</v>
      </c>
      <c r="B57" s="100">
        <v>1.37</v>
      </c>
      <c r="C57" s="100">
        <v>21.05</v>
      </c>
      <c r="D57" s="100">
        <v>12.1</v>
      </c>
      <c r="E57" s="100">
        <v>5.25</v>
      </c>
      <c r="F57" s="100">
        <v>17.850000000000001</v>
      </c>
      <c r="G57" s="100">
        <v>52.42</v>
      </c>
      <c r="H57" s="100">
        <v>22.17</v>
      </c>
      <c r="I57" s="100">
        <v>13.36</v>
      </c>
      <c r="J57" s="100">
        <v>4.33</v>
      </c>
      <c r="K57" s="100">
        <v>208.59</v>
      </c>
      <c r="L57" s="100">
        <v>38.79</v>
      </c>
      <c r="M57" s="100">
        <v>27.56</v>
      </c>
      <c r="N57" s="100">
        <v>853.8</v>
      </c>
      <c r="O57" s="100">
        <v>0</v>
      </c>
      <c r="P57" s="100">
        <v>0.69</v>
      </c>
      <c r="Q57" s="100">
        <v>28.5</v>
      </c>
      <c r="R57" s="6"/>
      <c r="S57" s="6"/>
      <c r="T57" s="156"/>
      <c r="U57" s="6"/>
    </row>
    <row r="58" spans="1:21" customFormat="1">
      <c r="A58" s="163" t="s">
        <v>961</v>
      </c>
      <c r="B58" s="100">
        <v>1.45</v>
      </c>
      <c r="C58" s="100">
        <v>19.21</v>
      </c>
      <c r="D58" s="100">
        <v>11.2</v>
      </c>
      <c r="E58" s="100">
        <v>0.32</v>
      </c>
      <c r="F58" s="100">
        <v>30.93</v>
      </c>
      <c r="G58" s="100">
        <v>52.42</v>
      </c>
      <c r="H58" s="100">
        <v>22.17</v>
      </c>
      <c r="I58" s="100">
        <v>13.33</v>
      </c>
      <c r="J58" s="100">
        <v>3.63</v>
      </c>
      <c r="K58" s="100">
        <v>227.93</v>
      </c>
      <c r="L58" s="100">
        <v>39.18</v>
      </c>
      <c r="M58" s="100">
        <v>26.06</v>
      </c>
      <c r="N58" s="100">
        <v>863.7</v>
      </c>
      <c r="O58" s="100">
        <v>0</v>
      </c>
      <c r="P58" s="100">
        <v>0.65</v>
      </c>
      <c r="Q58" s="100">
        <v>28.68</v>
      </c>
      <c r="R58" s="6"/>
      <c r="S58" s="6"/>
      <c r="T58" s="156"/>
      <c r="U58" s="6"/>
    </row>
    <row r="59" spans="1:21" customFormat="1">
      <c r="A59" s="163" t="s">
        <v>962</v>
      </c>
      <c r="B59" s="100">
        <v>2.2599999999999998</v>
      </c>
      <c r="C59" s="100">
        <v>18.579999999999998</v>
      </c>
      <c r="D59" s="100">
        <v>11.52</v>
      </c>
      <c r="E59" s="100">
        <v>2.5</v>
      </c>
      <c r="F59" s="100">
        <v>18.95</v>
      </c>
      <c r="G59" s="100">
        <v>52.42</v>
      </c>
      <c r="H59" s="100">
        <v>22.17</v>
      </c>
      <c r="I59" s="100">
        <v>13.1</v>
      </c>
      <c r="J59" s="100">
        <v>3.4</v>
      </c>
      <c r="K59" s="100">
        <v>256.14999999999998</v>
      </c>
      <c r="L59" s="100">
        <v>39.24</v>
      </c>
      <c r="M59" s="100">
        <v>24.5</v>
      </c>
      <c r="N59" s="100">
        <v>876.8</v>
      </c>
      <c r="O59" s="100">
        <v>0</v>
      </c>
      <c r="P59" s="100">
        <v>0.66</v>
      </c>
      <c r="Q59" s="100">
        <v>28.68</v>
      </c>
      <c r="R59" s="6"/>
      <c r="S59" s="6"/>
      <c r="T59" s="156"/>
      <c r="U59" s="6"/>
    </row>
    <row r="60" spans="1:21" customFormat="1">
      <c r="A60" s="163" t="s">
        <v>963</v>
      </c>
      <c r="B60" s="100">
        <v>1.63</v>
      </c>
      <c r="C60" s="100">
        <v>17.61</v>
      </c>
      <c r="D60" s="100">
        <v>10.51</v>
      </c>
      <c r="E60" s="100">
        <v>6.72</v>
      </c>
      <c r="F60" s="100">
        <v>27.2</v>
      </c>
      <c r="G60" s="100">
        <v>52.23</v>
      </c>
      <c r="H60" s="100">
        <v>23.02</v>
      </c>
      <c r="I60" s="100">
        <v>12.78</v>
      </c>
      <c r="J60" s="100">
        <v>2.2999999999999998</v>
      </c>
      <c r="K60" s="100">
        <v>203.45</v>
      </c>
      <c r="L60" s="100">
        <v>39.61</v>
      </c>
      <c r="M60" s="100">
        <v>23.96</v>
      </c>
      <c r="N60" s="100">
        <v>850.6</v>
      </c>
      <c r="O60" s="100">
        <v>0</v>
      </c>
      <c r="P60" s="100">
        <v>0.64</v>
      </c>
      <c r="Q60" s="100">
        <v>28.79</v>
      </c>
      <c r="R60" s="6"/>
      <c r="S60" s="6"/>
      <c r="T60" s="156"/>
      <c r="U60" s="6"/>
    </row>
    <row r="61" spans="1:21" customFormat="1">
      <c r="A61" s="163" t="s">
        <v>964</v>
      </c>
      <c r="B61" s="100">
        <v>1.68</v>
      </c>
      <c r="C61" s="100">
        <v>20.170000000000002</v>
      </c>
      <c r="D61" s="100">
        <v>11.88</v>
      </c>
      <c r="E61" s="100">
        <v>4.24</v>
      </c>
      <c r="F61" s="100">
        <v>22.56</v>
      </c>
      <c r="G61" s="100">
        <v>51.52</v>
      </c>
      <c r="H61" s="100">
        <v>26.21</v>
      </c>
      <c r="I61" s="100">
        <v>12.64</v>
      </c>
      <c r="J61" s="100">
        <v>2.42</v>
      </c>
      <c r="K61" s="100">
        <v>207.26</v>
      </c>
      <c r="L61" s="100">
        <v>40.67</v>
      </c>
      <c r="M61" s="100">
        <v>23.34</v>
      </c>
      <c r="N61" s="100">
        <v>785.8</v>
      </c>
      <c r="O61" s="100">
        <v>0</v>
      </c>
      <c r="P61" s="100">
        <v>0.62</v>
      </c>
      <c r="Q61" s="100">
        <v>28.72</v>
      </c>
      <c r="R61" s="6"/>
      <c r="S61" s="6"/>
      <c r="T61" s="156"/>
      <c r="U61" s="6"/>
    </row>
    <row r="62" spans="1:21" customFormat="1">
      <c r="A62" s="163" t="s">
        <v>965</v>
      </c>
      <c r="B62" s="100">
        <v>1.86</v>
      </c>
      <c r="C62" s="100">
        <v>21.84</v>
      </c>
      <c r="D62" s="100">
        <v>12.9</v>
      </c>
      <c r="E62" s="100">
        <v>3.01</v>
      </c>
      <c r="F62" s="100">
        <v>9.5500000000000007</v>
      </c>
      <c r="G62" s="100">
        <v>51.52</v>
      </c>
      <c r="H62" s="100">
        <v>26.21</v>
      </c>
      <c r="I62" s="100">
        <v>11.95</v>
      </c>
      <c r="J62" s="100">
        <v>5.01</v>
      </c>
      <c r="K62" s="100">
        <v>239.69</v>
      </c>
      <c r="L62" s="100">
        <v>40.61</v>
      </c>
      <c r="M62" s="100">
        <v>23.18</v>
      </c>
      <c r="N62" s="100">
        <v>849.3</v>
      </c>
      <c r="O62" s="100">
        <v>0</v>
      </c>
      <c r="P62" s="100">
        <v>0.63</v>
      </c>
      <c r="Q62" s="100">
        <v>28.57</v>
      </c>
      <c r="R62" s="6"/>
      <c r="S62" s="6"/>
      <c r="T62" s="156"/>
      <c r="U62" s="6"/>
    </row>
    <row r="63" spans="1:21" customFormat="1">
      <c r="A63" s="163" t="s">
        <v>966</v>
      </c>
      <c r="B63" s="100">
        <v>2.94</v>
      </c>
      <c r="C63" s="100">
        <v>17.48</v>
      </c>
      <c r="D63" s="100">
        <v>11.49</v>
      </c>
      <c r="E63" s="100">
        <v>6.72</v>
      </c>
      <c r="F63" s="100">
        <v>20.57</v>
      </c>
      <c r="G63" s="100">
        <v>51.52</v>
      </c>
      <c r="H63" s="100">
        <v>26.21</v>
      </c>
      <c r="I63" s="100">
        <v>12.12</v>
      </c>
      <c r="J63" s="100">
        <v>1.86</v>
      </c>
      <c r="K63" s="100">
        <v>193.47</v>
      </c>
      <c r="L63" s="100">
        <v>40.57</v>
      </c>
      <c r="M63" s="100">
        <v>23.23</v>
      </c>
      <c r="N63" s="100">
        <v>823.9</v>
      </c>
      <c r="O63" s="100">
        <v>0</v>
      </c>
      <c r="P63" s="100">
        <v>0.6</v>
      </c>
      <c r="Q63" s="100">
        <v>28.7</v>
      </c>
      <c r="R63" s="6"/>
      <c r="S63" s="6"/>
      <c r="T63" s="156"/>
      <c r="U63" s="6"/>
    </row>
    <row r="64" spans="1:21" customFormat="1">
      <c r="A64" s="163" t="s">
        <v>967</v>
      </c>
      <c r="B64" s="100">
        <v>3.07</v>
      </c>
      <c r="C64" s="100">
        <v>17.3</v>
      </c>
      <c r="D64" s="100">
        <v>11.5</v>
      </c>
      <c r="E64" s="100">
        <v>9.0299999999999994</v>
      </c>
      <c r="F64" s="100">
        <v>9.68</v>
      </c>
      <c r="G64" s="100">
        <v>52.79</v>
      </c>
      <c r="H64" s="100">
        <v>25.12</v>
      </c>
      <c r="I64" s="100">
        <v>12.19</v>
      </c>
      <c r="J64" s="100">
        <v>4.25</v>
      </c>
      <c r="K64" s="100">
        <v>253.61</v>
      </c>
      <c r="L64" s="100">
        <v>40.880000000000003</v>
      </c>
      <c r="M64" s="100">
        <v>22.66</v>
      </c>
      <c r="N64" s="100">
        <v>746.6</v>
      </c>
      <c r="O64" s="100">
        <v>0</v>
      </c>
      <c r="P64" s="100">
        <v>0.61</v>
      </c>
      <c r="Q64" s="100">
        <v>28.67</v>
      </c>
      <c r="R64" s="6"/>
      <c r="S64" s="6"/>
      <c r="T64" s="156"/>
      <c r="U64" s="6"/>
    </row>
    <row r="65" spans="1:21" customFormat="1">
      <c r="A65" s="163" t="s">
        <v>968</v>
      </c>
      <c r="B65" s="100">
        <v>2.68</v>
      </c>
      <c r="C65" s="100">
        <v>16.23</v>
      </c>
      <c r="D65" s="100">
        <v>10.63</v>
      </c>
      <c r="E65" s="100">
        <v>9.14</v>
      </c>
      <c r="F65" s="100">
        <v>18.62</v>
      </c>
      <c r="G65" s="100">
        <v>57.52</v>
      </c>
      <c r="H65" s="100">
        <v>21.03</v>
      </c>
      <c r="I65" s="100">
        <v>12.03</v>
      </c>
      <c r="J65" s="100">
        <v>2.81</v>
      </c>
      <c r="K65" s="100">
        <v>218.15</v>
      </c>
      <c r="L65" s="100">
        <v>40.51</v>
      </c>
      <c r="M65" s="100">
        <v>23.06</v>
      </c>
      <c r="N65" s="100">
        <v>552.4</v>
      </c>
      <c r="O65" s="100">
        <v>0</v>
      </c>
      <c r="P65" s="100">
        <v>0.56999999999999995</v>
      </c>
      <c r="Q65" s="100">
        <v>28.76</v>
      </c>
      <c r="R65" s="6"/>
      <c r="S65" s="6"/>
      <c r="T65" s="156"/>
      <c r="U65" s="6"/>
    </row>
    <row r="66" spans="1:21" customFormat="1">
      <c r="A66" s="163" t="s">
        <v>969</v>
      </c>
      <c r="B66" s="100">
        <v>2.1800000000000002</v>
      </c>
      <c r="C66" s="100">
        <v>15.09</v>
      </c>
      <c r="D66" s="100">
        <v>9.6300000000000008</v>
      </c>
      <c r="E66" s="100">
        <v>9.32</v>
      </c>
      <c r="F66" s="100">
        <v>19.13</v>
      </c>
      <c r="G66" s="100">
        <v>57.52</v>
      </c>
      <c r="H66" s="100">
        <v>21.03</v>
      </c>
      <c r="I66" s="100">
        <v>12.26</v>
      </c>
      <c r="J66" s="100">
        <v>3.48</v>
      </c>
      <c r="K66" s="100">
        <v>199.97</v>
      </c>
      <c r="L66" s="100">
        <v>41.2</v>
      </c>
      <c r="M66" s="100">
        <v>21.53</v>
      </c>
      <c r="N66" s="100">
        <v>467.4</v>
      </c>
      <c r="O66" s="100">
        <v>0</v>
      </c>
      <c r="P66" s="100">
        <v>0.56000000000000005</v>
      </c>
      <c r="Q66" s="100">
        <v>28.95</v>
      </c>
      <c r="R66" s="6"/>
      <c r="S66" s="6"/>
      <c r="T66" s="156"/>
      <c r="U66" s="6"/>
    </row>
    <row r="67" spans="1:21" customFormat="1">
      <c r="A67" s="163" t="s">
        <v>970</v>
      </c>
      <c r="B67" s="100">
        <v>2.97</v>
      </c>
      <c r="C67" s="100">
        <v>17.97</v>
      </c>
      <c r="D67" s="100">
        <v>11.77</v>
      </c>
      <c r="E67" s="100">
        <v>9.74</v>
      </c>
      <c r="F67" s="100">
        <v>26.98</v>
      </c>
      <c r="G67" s="100">
        <v>57.52</v>
      </c>
      <c r="H67" s="100">
        <v>21.03</v>
      </c>
      <c r="I67" s="100">
        <v>12.02</v>
      </c>
      <c r="J67" s="100">
        <v>0.65</v>
      </c>
      <c r="K67" s="100">
        <v>273.23</v>
      </c>
      <c r="L67" s="100">
        <v>40.76</v>
      </c>
      <c r="M67" s="100">
        <v>22.32</v>
      </c>
      <c r="N67" s="100">
        <v>474</v>
      </c>
      <c r="O67" s="100">
        <v>0</v>
      </c>
      <c r="P67" s="100">
        <v>0.54</v>
      </c>
      <c r="Q67" s="100">
        <v>28.78</v>
      </c>
      <c r="R67" s="6"/>
      <c r="S67" s="6"/>
      <c r="T67" s="156"/>
      <c r="U67" s="6"/>
    </row>
    <row r="68" spans="1:21" customFormat="1">
      <c r="A68" s="163" t="s">
        <v>971</v>
      </c>
      <c r="B68" s="100">
        <v>2.66</v>
      </c>
      <c r="C68" s="100">
        <v>18.93</v>
      </c>
      <c r="D68" s="100">
        <v>12.02</v>
      </c>
      <c r="E68" s="100">
        <v>9.42</v>
      </c>
      <c r="F68" s="100">
        <v>24.55</v>
      </c>
      <c r="G68" s="100">
        <v>56.22</v>
      </c>
      <c r="H68" s="100">
        <v>21.24</v>
      </c>
      <c r="I68" s="100">
        <v>11.32</v>
      </c>
      <c r="J68" s="100">
        <v>1.82</v>
      </c>
      <c r="K68" s="100">
        <v>257.61</v>
      </c>
      <c r="L68" s="100">
        <v>40.53</v>
      </c>
      <c r="M68" s="100">
        <v>21.77</v>
      </c>
      <c r="N68" s="100">
        <v>597.70000000000005</v>
      </c>
      <c r="O68" s="100">
        <v>0</v>
      </c>
      <c r="P68" s="100">
        <v>0.54</v>
      </c>
      <c r="Q68" s="100">
        <v>28.65</v>
      </c>
      <c r="R68" s="6"/>
      <c r="S68" s="6"/>
      <c r="T68" s="156"/>
      <c r="U68" s="6"/>
    </row>
    <row r="69" spans="1:21" customFormat="1">
      <c r="A69" s="163" t="s">
        <v>972</v>
      </c>
      <c r="B69" s="100">
        <v>2.15</v>
      </c>
      <c r="C69" s="100">
        <v>17.66</v>
      </c>
      <c r="D69" s="100">
        <v>10.95</v>
      </c>
      <c r="E69" s="100">
        <v>5.14</v>
      </c>
      <c r="F69" s="100">
        <v>16.239999999999998</v>
      </c>
      <c r="G69" s="100">
        <v>51.38</v>
      </c>
      <c r="H69" s="100">
        <v>22.04</v>
      </c>
      <c r="I69" s="100">
        <v>10.95</v>
      </c>
      <c r="J69" s="100">
        <v>3.44</v>
      </c>
      <c r="K69" s="100">
        <v>233.17</v>
      </c>
      <c r="L69" s="100">
        <v>40.15</v>
      </c>
      <c r="M69" s="100">
        <v>21.14</v>
      </c>
      <c r="N69" s="100">
        <v>545.79999999999995</v>
      </c>
      <c r="O69" s="100">
        <v>0</v>
      </c>
      <c r="P69" s="100">
        <v>0.54</v>
      </c>
      <c r="Q69" s="100">
        <v>28.79</v>
      </c>
      <c r="R69" s="6"/>
      <c r="S69" s="6"/>
      <c r="T69" s="156"/>
      <c r="U69" s="6"/>
    </row>
    <row r="70" spans="1:21" customFormat="1">
      <c r="A70" s="163" t="s">
        <v>973</v>
      </c>
      <c r="B70" s="100">
        <v>2.0499999999999998</v>
      </c>
      <c r="C70" s="100">
        <v>17.47</v>
      </c>
      <c r="D70" s="100">
        <v>10.77</v>
      </c>
      <c r="E70" s="100">
        <v>2.96</v>
      </c>
      <c r="F70" s="100">
        <v>14.85</v>
      </c>
      <c r="G70" s="100">
        <v>51.38</v>
      </c>
      <c r="H70" s="100">
        <v>22.04</v>
      </c>
      <c r="I70" s="100">
        <v>10.92</v>
      </c>
      <c r="J70" s="100">
        <v>3.98</v>
      </c>
      <c r="K70" s="100">
        <v>239.12</v>
      </c>
      <c r="L70" s="100">
        <v>39.130000000000003</v>
      </c>
      <c r="M70" s="100">
        <v>23.06</v>
      </c>
      <c r="N70" s="100">
        <v>417</v>
      </c>
      <c r="O70" s="100">
        <v>0</v>
      </c>
      <c r="P70" s="100">
        <v>0.55000000000000004</v>
      </c>
      <c r="Q70" s="100">
        <v>28.78</v>
      </c>
      <c r="R70" s="6"/>
      <c r="S70" s="6"/>
      <c r="T70" s="156"/>
      <c r="U70" s="6"/>
    </row>
    <row r="71" spans="1:21" customFormat="1">
      <c r="A71" s="163" t="s">
        <v>974</v>
      </c>
      <c r="B71" s="100">
        <v>1.89</v>
      </c>
      <c r="C71" s="100">
        <v>16</v>
      </c>
      <c r="D71" s="100">
        <v>9.8699999999999992</v>
      </c>
      <c r="E71" s="100">
        <v>7.62</v>
      </c>
      <c r="F71" s="100">
        <v>13.62</v>
      </c>
      <c r="G71" s="100">
        <v>51.38</v>
      </c>
      <c r="H71" s="100">
        <v>22.04</v>
      </c>
      <c r="I71" s="100">
        <v>10.97</v>
      </c>
      <c r="J71" s="100">
        <v>2.19</v>
      </c>
      <c r="K71" s="100">
        <v>214.24</v>
      </c>
      <c r="L71" s="100">
        <v>37.61</v>
      </c>
      <c r="M71" s="100">
        <v>30.75</v>
      </c>
      <c r="N71" s="100">
        <v>341.6</v>
      </c>
      <c r="O71" s="100">
        <v>0</v>
      </c>
      <c r="P71" s="100">
        <v>0.51</v>
      </c>
      <c r="Q71" s="100">
        <v>28.83</v>
      </c>
      <c r="R71" s="6"/>
      <c r="S71" s="6"/>
      <c r="T71" s="156"/>
      <c r="U71" s="6"/>
    </row>
    <row r="72" spans="1:21" customFormat="1">
      <c r="A72" s="163" t="s">
        <v>975</v>
      </c>
      <c r="B72" s="100">
        <v>1.87</v>
      </c>
      <c r="C72" s="100">
        <v>14.46</v>
      </c>
      <c r="D72" s="100">
        <v>9.06</v>
      </c>
      <c r="E72" s="100">
        <v>6.71</v>
      </c>
      <c r="F72" s="100">
        <v>15.51</v>
      </c>
      <c r="G72" s="100">
        <v>52.6</v>
      </c>
      <c r="H72" s="100">
        <v>23.79</v>
      </c>
      <c r="I72" s="100">
        <v>10.93</v>
      </c>
      <c r="J72" s="100">
        <v>2.06</v>
      </c>
      <c r="K72" s="100">
        <v>215.2</v>
      </c>
      <c r="L72" s="100">
        <v>36.08</v>
      </c>
      <c r="M72" s="100">
        <v>34.86</v>
      </c>
      <c r="N72" s="100">
        <v>233.5</v>
      </c>
      <c r="O72" s="100">
        <v>0</v>
      </c>
      <c r="P72" s="100">
        <v>0.5</v>
      </c>
      <c r="Q72" s="100">
        <v>28.94</v>
      </c>
      <c r="R72" s="6"/>
      <c r="S72" s="6"/>
      <c r="T72" s="156"/>
      <c r="U72" s="6"/>
    </row>
    <row r="73" spans="1:21" customFormat="1">
      <c r="A73" s="163" t="s">
        <v>976</v>
      </c>
      <c r="B73" s="100">
        <v>1.9</v>
      </c>
      <c r="C73" s="100">
        <v>14.41</v>
      </c>
      <c r="D73" s="100">
        <v>9.0500000000000007</v>
      </c>
      <c r="E73" s="100">
        <v>3.02</v>
      </c>
      <c r="F73" s="100">
        <v>13.44</v>
      </c>
      <c r="G73" s="100">
        <v>57.19</v>
      </c>
      <c r="H73" s="100">
        <v>30.32</v>
      </c>
      <c r="I73" s="100">
        <v>10.38</v>
      </c>
      <c r="J73" s="100">
        <v>2.2200000000000002</v>
      </c>
      <c r="K73" s="100">
        <v>227.77</v>
      </c>
      <c r="L73" s="100">
        <v>35.93</v>
      </c>
      <c r="M73" s="100">
        <v>35.049999999999997</v>
      </c>
      <c r="N73" s="100">
        <v>293.7</v>
      </c>
      <c r="O73" s="100">
        <v>0</v>
      </c>
      <c r="P73" s="100">
        <v>0.49</v>
      </c>
      <c r="Q73" s="100">
        <v>28.95</v>
      </c>
      <c r="R73" s="6"/>
      <c r="S73" s="6"/>
      <c r="T73" s="156"/>
      <c r="U73" s="6"/>
    </row>
    <row r="74" spans="1:21" customFormat="1">
      <c r="A74" s="163" t="s">
        <v>977</v>
      </c>
      <c r="B74" s="100">
        <v>2</v>
      </c>
      <c r="C74" s="100">
        <v>15.16</v>
      </c>
      <c r="D74" s="100">
        <v>9.5299999999999994</v>
      </c>
      <c r="E74" s="100">
        <v>3.4</v>
      </c>
      <c r="F74" s="100">
        <v>10.85</v>
      </c>
      <c r="G74" s="100">
        <v>57.19</v>
      </c>
      <c r="H74" s="100">
        <v>30.32</v>
      </c>
      <c r="I74" s="100">
        <v>10.039999999999999</v>
      </c>
      <c r="J74" s="100">
        <v>2.46</v>
      </c>
      <c r="K74" s="100">
        <v>221.94</v>
      </c>
      <c r="L74" s="100">
        <v>36.35</v>
      </c>
      <c r="M74" s="100">
        <v>30.53</v>
      </c>
      <c r="N74" s="100">
        <v>288.60000000000002</v>
      </c>
      <c r="O74" s="100">
        <v>0</v>
      </c>
      <c r="P74" s="100">
        <v>0.49</v>
      </c>
      <c r="Q74" s="100">
        <v>28.94</v>
      </c>
      <c r="R74" s="6"/>
      <c r="S74" s="6"/>
      <c r="T74" s="156"/>
      <c r="U74" s="6"/>
    </row>
    <row r="75" spans="1:21" customFormat="1">
      <c r="A75" s="163" t="s">
        <v>978</v>
      </c>
      <c r="B75" s="100">
        <v>2.2000000000000002</v>
      </c>
      <c r="C75" s="100">
        <v>17.86</v>
      </c>
      <c r="D75" s="100">
        <v>11.1</v>
      </c>
      <c r="E75" s="100">
        <v>6.88</v>
      </c>
      <c r="F75" s="100">
        <v>10.41</v>
      </c>
      <c r="G75" s="100">
        <v>57.19</v>
      </c>
      <c r="H75" s="100">
        <v>30.32</v>
      </c>
      <c r="I75" s="100">
        <v>9.7100000000000009</v>
      </c>
      <c r="J75" s="100">
        <v>2.72</v>
      </c>
      <c r="K75" s="100">
        <v>240.55</v>
      </c>
      <c r="L75" s="100">
        <v>35.619999999999997</v>
      </c>
      <c r="M75" s="100">
        <v>29.13</v>
      </c>
      <c r="N75" s="100">
        <v>232.5</v>
      </c>
      <c r="O75" s="100">
        <v>0</v>
      </c>
      <c r="P75" s="100">
        <v>0.48</v>
      </c>
      <c r="Q75" s="100">
        <v>28.8</v>
      </c>
      <c r="R75" s="6"/>
      <c r="S75" s="6"/>
      <c r="T75" s="156"/>
      <c r="U75" s="6"/>
    </row>
    <row r="76" spans="1:21" customFormat="1">
      <c r="A76" s="163" t="s">
        <v>979</v>
      </c>
      <c r="B76" s="100">
        <v>1.96</v>
      </c>
      <c r="C76" s="100">
        <v>14.26</v>
      </c>
      <c r="D76" s="100">
        <v>9.02</v>
      </c>
      <c r="E76" s="100">
        <v>3.69</v>
      </c>
      <c r="F76" s="100">
        <v>22.05</v>
      </c>
      <c r="G76" s="100">
        <v>56.66</v>
      </c>
      <c r="H76" s="100">
        <v>29.03</v>
      </c>
      <c r="I76" s="100">
        <v>9.56</v>
      </c>
      <c r="J76" s="100">
        <v>1.95</v>
      </c>
      <c r="K76" s="100">
        <v>213.91</v>
      </c>
      <c r="L76" s="100">
        <v>35.56</v>
      </c>
      <c r="M76" s="100">
        <v>30.45</v>
      </c>
      <c r="N76" s="100">
        <v>261.8</v>
      </c>
      <c r="O76" s="100">
        <v>0</v>
      </c>
      <c r="P76" s="100">
        <v>0.41</v>
      </c>
      <c r="Q76" s="100">
        <v>29.01</v>
      </c>
      <c r="R76" s="6"/>
      <c r="S76" s="6"/>
      <c r="T76" s="156"/>
      <c r="U76" s="6"/>
    </row>
    <row r="77" spans="1:21" customFormat="1">
      <c r="A77" s="163" t="s">
        <v>980</v>
      </c>
      <c r="B77" s="100">
        <v>1.51</v>
      </c>
      <c r="C77" s="100">
        <v>16.64</v>
      </c>
      <c r="D77" s="100">
        <v>9.9</v>
      </c>
      <c r="E77" s="100">
        <v>3.29</v>
      </c>
      <c r="F77" s="100">
        <v>11.36</v>
      </c>
      <c r="G77" s="100">
        <v>54.66</v>
      </c>
      <c r="H77" s="100">
        <v>24.21</v>
      </c>
      <c r="I77" s="100">
        <v>9.25</v>
      </c>
      <c r="J77" s="100">
        <v>3.78</v>
      </c>
      <c r="K77" s="100">
        <v>207.75</v>
      </c>
      <c r="L77" s="100">
        <v>36.32</v>
      </c>
      <c r="M77" s="100">
        <v>32.29</v>
      </c>
      <c r="N77" s="100">
        <v>208.5</v>
      </c>
      <c r="O77" s="100">
        <v>0</v>
      </c>
      <c r="P77" s="100">
        <v>0.39</v>
      </c>
      <c r="Q77" s="100">
        <v>28.9</v>
      </c>
      <c r="R77" s="6"/>
      <c r="S77" s="6"/>
      <c r="T77" s="156"/>
      <c r="U77" s="6"/>
    </row>
    <row r="78" spans="1:21" customFormat="1">
      <c r="A78" s="163" t="s">
        <v>981</v>
      </c>
      <c r="B78" s="100">
        <v>1.32</v>
      </c>
      <c r="C78" s="100">
        <v>17.260000000000002</v>
      </c>
      <c r="D78" s="100">
        <v>10.08</v>
      </c>
      <c r="E78" s="100">
        <v>6.8</v>
      </c>
      <c r="F78" s="100">
        <v>7.22</v>
      </c>
      <c r="G78" s="100">
        <v>54.66</v>
      </c>
      <c r="H78" s="100">
        <v>24.21</v>
      </c>
      <c r="I78" s="100">
        <v>8.5299999999999994</v>
      </c>
      <c r="J78" s="100">
        <v>4.33</v>
      </c>
      <c r="K78" s="100">
        <v>210.23</v>
      </c>
      <c r="L78" s="100">
        <v>36.11</v>
      </c>
      <c r="M78" s="100">
        <v>35.24</v>
      </c>
      <c r="N78" s="100">
        <v>160.1</v>
      </c>
      <c r="O78" s="100">
        <v>0</v>
      </c>
      <c r="P78" s="100">
        <v>0.41</v>
      </c>
      <c r="Q78" s="100">
        <v>28.87</v>
      </c>
      <c r="R78" s="6"/>
      <c r="S78" s="6"/>
      <c r="T78" s="156"/>
      <c r="U78" s="6"/>
    </row>
    <row r="79" spans="1:21" customFormat="1">
      <c r="A79" s="163" t="s">
        <v>982</v>
      </c>
      <c r="B79" s="100">
        <v>1.58</v>
      </c>
      <c r="C79" s="100">
        <v>16.79</v>
      </c>
      <c r="D79" s="100">
        <v>10.039999999999999</v>
      </c>
      <c r="E79" s="100">
        <v>7.2</v>
      </c>
      <c r="F79" s="100">
        <v>7.91</v>
      </c>
      <c r="G79" s="100">
        <v>54.66</v>
      </c>
      <c r="H79" s="100">
        <v>24.21</v>
      </c>
      <c r="I79" s="100">
        <v>8.4700000000000006</v>
      </c>
      <c r="J79" s="100">
        <v>4.5599999999999996</v>
      </c>
      <c r="K79" s="100">
        <v>209.51</v>
      </c>
      <c r="L79" s="100">
        <v>35.340000000000003</v>
      </c>
      <c r="M79" s="100">
        <v>36.83</v>
      </c>
      <c r="N79" s="100">
        <v>117.1</v>
      </c>
      <c r="O79" s="100">
        <v>0</v>
      </c>
      <c r="P79" s="100">
        <v>0.39</v>
      </c>
      <c r="Q79" s="100">
        <v>28.91</v>
      </c>
      <c r="R79" s="6"/>
      <c r="S79" s="6"/>
      <c r="T79" s="156"/>
      <c r="U79" s="6"/>
    </row>
    <row r="80" spans="1:21" customFormat="1">
      <c r="A80" s="163" t="s">
        <v>983</v>
      </c>
      <c r="B80" s="100">
        <v>1.66</v>
      </c>
      <c r="C80" s="100">
        <v>19.399999999999999</v>
      </c>
      <c r="D80" s="100">
        <v>11.47</v>
      </c>
      <c r="E80" s="100">
        <v>6.74</v>
      </c>
      <c r="F80" s="100">
        <v>9.6999999999999993</v>
      </c>
      <c r="G80" s="100">
        <v>53.93</v>
      </c>
      <c r="H80" s="100">
        <v>23.31</v>
      </c>
      <c r="I80" s="100">
        <v>8.34</v>
      </c>
      <c r="J80" s="100">
        <v>3.88</v>
      </c>
      <c r="K80" s="100">
        <v>209</v>
      </c>
      <c r="L80" s="100">
        <v>35.07</v>
      </c>
      <c r="M80" s="100">
        <v>37.979999999999997</v>
      </c>
      <c r="N80" s="100">
        <v>86.2</v>
      </c>
      <c r="O80" s="100">
        <v>0</v>
      </c>
      <c r="P80" s="100">
        <v>0.39</v>
      </c>
      <c r="Q80" s="100">
        <v>28.81</v>
      </c>
      <c r="R80" s="6"/>
      <c r="S80" s="6"/>
      <c r="T80" s="156"/>
      <c r="U80" s="6"/>
    </row>
    <row r="81" spans="1:21" customFormat="1">
      <c r="A81" s="163" t="s">
        <v>984</v>
      </c>
      <c r="B81" s="100">
        <v>1.8</v>
      </c>
      <c r="C81" s="100">
        <v>17.63</v>
      </c>
      <c r="D81" s="100">
        <v>10.65</v>
      </c>
      <c r="E81" s="100">
        <v>6.32</v>
      </c>
      <c r="F81" s="100">
        <v>12.79</v>
      </c>
      <c r="G81" s="100">
        <v>51.21</v>
      </c>
      <c r="H81" s="100">
        <v>19.920000000000002</v>
      </c>
      <c r="I81" s="100">
        <v>8.27</v>
      </c>
      <c r="J81" s="100">
        <v>4.45</v>
      </c>
      <c r="K81" s="100">
        <v>205.64</v>
      </c>
      <c r="L81" s="100">
        <v>34.590000000000003</v>
      </c>
      <c r="M81" s="100">
        <v>38.5</v>
      </c>
      <c r="N81" s="100">
        <v>57</v>
      </c>
      <c r="O81" s="100">
        <v>0</v>
      </c>
      <c r="P81" s="100">
        <v>0.37</v>
      </c>
      <c r="Q81" s="100">
        <v>28.86</v>
      </c>
      <c r="R81" s="6"/>
      <c r="S81" s="6"/>
      <c r="T81" s="156"/>
      <c r="U81" s="6"/>
    </row>
    <row r="82" spans="1:21" customFormat="1">
      <c r="A82" s="163" t="s">
        <v>985</v>
      </c>
      <c r="B82" s="100">
        <v>1.81</v>
      </c>
      <c r="C82" s="100">
        <v>18.43</v>
      </c>
      <c r="D82" s="100">
        <v>11.08</v>
      </c>
      <c r="E82" s="100">
        <v>6.26</v>
      </c>
      <c r="F82" s="100">
        <v>10.07</v>
      </c>
      <c r="G82" s="100">
        <v>51.21</v>
      </c>
      <c r="H82" s="100">
        <v>19.920000000000002</v>
      </c>
      <c r="I82" s="100">
        <v>8.15</v>
      </c>
      <c r="J82" s="100">
        <v>4.6399999999999997</v>
      </c>
      <c r="K82" s="100">
        <v>215.23</v>
      </c>
      <c r="L82" s="100">
        <v>33.1</v>
      </c>
      <c r="M82" s="100">
        <v>39.06</v>
      </c>
      <c r="N82" s="100">
        <v>35.200000000000003</v>
      </c>
      <c r="O82" s="100">
        <v>0</v>
      </c>
      <c r="P82" s="100">
        <v>0.38</v>
      </c>
      <c r="Q82" s="100">
        <v>28.8</v>
      </c>
      <c r="R82" s="6"/>
      <c r="S82" s="6"/>
      <c r="T82" s="156"/>
      <c r="U82" s="6"/>
    </row>
    <row r="83" spans="1:21" customFormat="1">
      <c r="A83" s="163" t="s">
        <v>986</v>
      </c>
      <c r="B83" s="100">
        <v>1.82</v>
      </c>
      <c r="C83" s="100">
        <v>18.38</v>
      </c>
      <c r="D83" s="100">
        <v>11.06</v>
      </c>
      <c r="E83" s="100">
        <v>6.39</v>
      </c>
      <c r="F83" s="100">
        <v>9.3800000000000008</v>
      </c>
      <c r="G83" s="100">
        <v>51.21</v>
      </c>
      <c r="H83" s="100">
        <v>19.920000000000002</v>
      </c>
      <c r="I83" s="100">
        <v>7.84</v>
      </c>
      <c r="J83" s="100">
        <v>4.84</v>
      </c>
      <c r="K83" s="100">
        <v>214.61</v>
      </c>
      <c r="L83" s="100">
        <v>32.69</v>
      </c>
      <c r="M83" s="100">
        <v>40.630000000000003</v>
      </c>
      <c r="N83" s="100">
        <v>23.9</v>
      </c>
      <c r="O83" s="100">
        <v>0</v>
      </c>
      <c r="P83" s="100">
        <v>0.38</v>
      </c>
      <c r="Q83" s="100">
        <v>28.84</v>
      </c>
      <c r="R83" s="6"/>
      <c r="S83" s="6"/>
      <c r="T83" s="156"/>
      <c r="U83" s="6"/>
    </row>
    <row r="84" spans="1:21" customFormat="1">
      <c r="A84" s="163" t="s">
        <v>987</v>
      </c>
      <c r="B84" s="100">
        <v>1.87</v>
      </c>
      <c r="C84" s="100">
        <v>18.190000000000001</v>
      </c>
      <c r="D84" s="100">
        <v>11</v>
      </c>
      <c r="E84" s="100">
        <v>6.24</v>
      </c>
      <c r="F84" s="100">
        <v>10.84</v>
      </c>
      <c r="G84" s="100">
        <v>47.79</v>
      </c>
      <c r="H84" s="100">
        <v>20.09</v>
      </c>
      <c r="I84" s="100">
        <v>7.87</v>
      </c>
      <c r="J84" s="100">
        <v>4.45</v>
      </c>
      <c r="K84" s="100">
        <v>205.54</v>
      </c>
      <c r="L84" s="100">
        <v>32.31</v>
      </c>
      <c r="M84" s="100">
        <v>41.85</v>
      </c>
      <c r="N84" s="100">
        <v>23.3</v>
      </c>
      <c r="O84" s="100">
        <v>0</v>
      </c>
      <c r="P84" s="100">
        <v>0.37</v>
      </c>
      <c r="Q84" s="100">
        <v>28.84</v>
      </c>
      <c r="R84" s="6"/>
      <c r="S84" s="6"/>
      <c r="T84" s="156"/>
      <c r="U84" s="6"/>
    </row>
    <row r="85" spans="1:21" customFormat="1">
      <c r="A85" s="163" t="s">
        <v>988</v>
      </c>
      <c r="B85" s="100">
        <v>1.93</v>
      </c>
      <c r="C85" s="100">
        <v>18.420000000000002</v>
      </c>
      <c r="D85" s="100">
        <v>11.17</v>
      </c>
      <c r="E85" s="100">
        <v>6.46</v>
      </c>
      <c r="F85" s="100">
        <v>11.42</v>
      </c>
      <c r="G85" s="100">
        <v>35.020000000000003</v>
      </c>
      <c r="H85" s="100">
        <v>20.71</v>
      </c>
      <c r="I85" s="100">
        <v>7.74</v>
      </c>
      <c r="J85" s="100">
        <v>3.43</v>
      </c>
      <c r="K85" s="100">
        <v>206.29</v>
      </c>
      <c r="L85" s="100">
        <v>32.159999999999997</v>
      </c>
      <c r="M85" s="100">
        <v>41.68</v>
      </c>
      <c r="N85" s="100">
        <v>22.9</v>
      </c>
      <c r="O85" s="100">
        <v>0</v>
      </c>
      <c r="P85" s="100">
        <v>0.37</v>
      </c>
      <c r="Q85" s="100">
        <v>28.81</v>
      </c>
      <c r="R85" s="6"/>
      <c r="S85" s="6"/>
      <c r="T85" s="156"/>
      <c r="U85" s="6"/>
    </row>
    <row r="86" spans="1:21" customFormat="1">
      <c r="A86" s="163" t="s">
        <v>989</v>
      </c>
      <c r="B86" s="100">
        <v>1.94</v>
      </c>
      <c r="C86" s="100">
        <v>18.53</v>
      </c>
      <c r="D86" s="100">
        <v>11.24</v>
      </c>
      <c r="E86" s="100">
        <v>6.44</v>
      </c>
      <c r="F86" s="100">
        <v>11.81</v>
      </c>
      <c r="G86" s="100">
        <v>35.020000000000003</v>
      </c>
      <c r="H86" s="100">
        <v>20.71</v>
      </c>
      <c r="I86" s="100">
        <v>7.57</v>
      </c>
      <c r="J86" s="100">
        <v>4.25</v>
      </c>
      <c r="K86" s="100">
        <v>217.09</v>
      </c>
      <c r="L86" s="100">
        <v>32.22</v>
      </c>
      <c r="M86" s="100">
        <v>40.61</v>
      </c>
      <c r="N86" s="100">
        <v>22.8</v>
      </c>
      <c r="O86" s="100">
        <v>0</v>
      </c>
      <c r="P86" s="100">
        <v>0.37</v>
      </c>
      <c r="Q86" s="100">
        <v>28.8</v>
      </c>
      <c r="R86" s="6"/>
      <c r="S86" s="6"/>
      <c r="T86" s="156"/>
      <c r="U86" s="6"/>
    </row>
    <row r="87" spans="1:21" customFormat="1">
      <c r="A87" s="163" t="s">
        <v>990</v>
      </c>
      <c r="B87" s="100">
        <v>1.9</v>
      </c>
      <c r="C87" s="100">
        <v>18.670000000000002</v>
      </c>
      <c r="D87" s="100">
        <v>11.28</v>
      </c>
      <c r="E87" s="100">
        <v>6.41</v>
      </c>
      <c r="F87" s="100">
        <v>10.29</v>
      </c>
      <c r="G87" s="100">
        <v>35.020000000000003</v>
      </c>
      <c r="H87" s="100">
        <v>20.71</v>
      </c>
      <c r="I87" s="100">
        <v>7.44</v>
      </c>
      <c r="J87" s="100">
        <v>4.13</v>
      </c>
      <c r="K87" s="100">
        <v>204.29</v>
      </c>
      <c r="L87" s="100">
        <v>32</v>
      </c>
      <c r="M87" s="100">
        <v>41.55</v>
      </c>
      <c r="N87" s="100">
        <v>23.2</v>
      </c>
      <c r="O87" s="100">
        <v>0</v>
      </c>
      <c r="P87" s="100">
        <v>0.37</v>
      </c>
      <c r="Q87" s="100">
        <v>28.77</v>
      </c>
      <c r="R87" s="6"/>
      <c r="S87" s="6"/>
      <c r="T87" s="156"/>
      <c r="U87" s="6"/>
    </row>
    <row r="88" spans="1:21" customFormat="1">
      <c r="A88" s="163" t="s">
        <v>991</v>
      </c>
      <c r="B88" s="100">
        <v>1.97</v>
      </c>
      <c r="C88" s="100">
        <v>27.9</v>
      </c>
      <c r="D88" s="100">
        <v>16.149999999999999</v>
      </c>
      <c r="E88" s="100">
        <v>6.16</v>
      </c>
      <c r="F88" s="100">
        <v>5.26</v>
      </c>
      <c r="G88" s="100">
        <v>35.409999999999997</v>
      </c>
      <c r="H88" s="100">
        <v>20.76</v>
      </c>
      <c r="I88" s="100">
        <v>7.33</v>
      </c>
      <c r="J88" s="100">
        <v>4.0199999999999996</v>
      </c>
      <c r="K88" s="100">
        <v>189.46</v>
      </c>
      <c r="L88" s="100">
        <v>31.97</v>
      </c>
      <c r="M88" s="100">
        <v>41.06</v>
      </c>
      <c r="N88" s="100">
        <v>23</v>
      </c>
      <c r="O88" s="100">
        <v>0</v>
      </c>
      <c r="P88" s="100">
        <v>0.38</v>
      </c>
      <c r="Q88" s="100">
        <v>28.36</v>
      </c>
      <c r="R88" s="6"/>
      <c r="S88" s="6"/>
      <c r="T88" s="156"/>
      <c r="U88" s="6"/>
    </row>
    <row r="89" spans="1:21" customFormat="1">
      <c r="A89" s="163" t="s">
        <v>992</v>
      </c>
      <c r="B89" s="100">
        <v>2.17</v>
      </c>
      <c r="C89" s="100">
        <v>28.05</v>
      </c>
      <c r="D89" s="100">
        <v>16.399999999999999</v>
      </c>
      <c r="E89" s="100">
        <v>6.37</v>
      </c>
      <c r="F89" s="100">
        <v>7.73</v>
      </c>
      <c r="G89" s="100">
        <v>36.869999999999997</v>
      </c>
      <c r="H89" s="100">
        <v>20.92</v>
      </c>
      <c r="I89" s="100">
        <v>7.29</v>
      </c>
      <c r="J89" s="100">
        <v>3.6</v>
      </c>
      <c r="K89" s="100">
        <v>201.89</v>
      </c>
      <c r="L89" s="100">
        <v>32.26</v>
      </c>
      <c r="M89" s="100">
        <v>38.64</v>
      </c>
      <c r="N89" s="100">
        <v>22.5</v>
      </c>
      <c r="O89" s="100">
        <v>0</v>
      </c>
      <c r="P89" s="100">
        <v>0.37</v>
      </c>
      <c r="Q89" s="100">
        <v>28.17</v>
      </c>
      <c r="R89" s="6"/>
      <c r="S89" s="6"/>
      <c r="T89" s="156"/>
      <c r="U89" s="6"/>
    </row>
    <row r="90" spans="1:21" customFormat="1">
      <c r="A90" s="163" t="s">
        <v>993</v>
      </c>
      <c r="B90" s="100">
        <v>2.4700000000000002</v>
      </c>
      <c r="C90" s="100">
        <v>23.69</v>
      </c>
      <c r="D90" s="100">
        <v>14.36</v>
      </c>
      <c r="E90" s="100">
        <v>6.43</v>
      </c>
      <c r="F90" s="100">
        <v>7.06</v>
      </c>
      <c r="G90" s="100">
        <v>36.869999999999997</v>
      </c>
      <c r="H90" s="100">
        <v>20.92</v>
      </c>
      <c r="I90" s="100">
        <v>7.51</v>
      </c>
      <c r="J90" s="100">
        <v>4.3899999999999997</v>
      </c>
      <c r="K90" s="100">
        <v>198.58</v>
      </c>
      <c r="L90" s="100">
        <v>32.54</v>
      </c>
      <c r="M90" s="100">
        <v>37.22</v>
      </c>
      <c r="N90" s="100">
        <v>22.7</v>
      </c>
      <c r="O90" s="100">
        <v>0</v>
      </c>
      <c r="P90" s="100">
        <v>0.37</v>
      </c>
      <c r="Q90" s="100">
        <v>28.62</v>
      </c>
      <c r="R90" s="6"/>
      <c r="S90" s="6"/>
      <c r="T90" s="156"/>
      <c r="U90" s="6"/>
    </row>
    <row r="91" spans="1:21" customFormat="1">
      <c r="A91" s="163" t="s">
        <v>994</v>
      </c>
      <c r="B91" s="100">
        <v>2.75</v>
      </c>
      <c r="C91" s="100">
        <v>20.85</v>
      </c>
      <c r="D91" s="100">
        <v>13.1</v>
      </c>
      <c r="E91" s="100">
        <v>6.49</v>
      </c>
      <c r="F91" s="100">
        <v>5.6</v>
      </c>
      <c r="G91" s="100">
        <v>36.869999999999997</v>
      </c>
      <c r="H91" s="100">
        <v>20.92</v>
      </c>
      <c r="I91" s="100">
        <v>7.44</v>
      </c>
      <c r="J91" s="100">
        <v>4.7699999999999996</v>
      </c>
      <c r="K91" s="100">
        <v>206.22</v>
      </c>
      <c r="L91" s="100">
        <v>32.29</v>
      </c>
      <c r="M91" s="100">
        <v>39.65</v>
      </c>
      <c r="N91" s="100">
        <v>23.2</v>
      </c>
      <c r="O91" s="100">
        <v>0</v>
      </c>
      <c r="P91" s="100">
        <v>0.37</v>
      </c>
      <c r="Q91" s="100">
        <v>28.74</v>
      </c>
      <c r="R91" s="6"/>
      <c r="S91" s="6"/>
      <c r="T91" s="156"/>
      <c r="U91" s="6"/>
    </row>
    <row r="92" spans="1:21" customFormat="1">
      <c r="A92" s="163" t="s">
        <v>995</v>
      </c>
      <c r="B92" s="100">
        <v>2.52</v>
      </c>
      <c r="C92" s="100">
        <v>21.1</v>
      </c>
      <c r="D92" s="100">
        <v>13.05</v>
      </c>
      <c r="E92" s="100">
        <v>6.66</v>
      </c>
      <c r="F92" s="100">
        <v>6.88</v>
      </c>
      <c r="G92" s="100">
        <v>36.130000000000003</v>
      </c>
      <c r="H92" s="100">
        <v>19.86</v>
      </c>
      <c r="I92" s="100">
        <v>7.49</v>
      </c>
      <c r="J92" s="100">
        <v>4.53</v>
      </c>
      <c r="K92" s="100">
        <v>215.19</v>
      </c>
      <c r="L92" s="100">
        <v>31.99</v>
      </c>
      <c r="M92" s="100">
        <v>42.27</v>
      </c>
      <c r="N92" s="100">
        <v>23.1</v>
      </c>
      <c r="O92" s="100">
        <v>0</v>
      </c>
      <c r="P92" s="100">
        <v>0.37</v>
      </c>
      <c r="Q92" s="100">
        <v>28.77</v>
      </c>
      <c r="R92" s="6"/>
      <c r="S92" s="6"/>
      <c r="T92" s="156"/>
      <c r="U92" s="6"/>
    </row>
    <row r="93" spans="1:21" customFormat="1">
      <c r="A93" s="163" t="s">
        <v>996</v>
      </c>
      <c r="B93" s="100">
        <v>2.37</v>
      </c>
      <c r="C93" s="100">
        <v>30.62</v>
      </c>
      <c r="D93" s="100">
        <v>17.89</v>
      </c>
      <c r="E93" s="100">
        <v>6.6</v>
      </c>
      <c r="F93" s="100">
        <v>6.17</v>
      </c>
      <c r="G93" s="100">
        <v>33.33</v>
      </c>
      <c r="H93" s="100">
        <v>15.92</v>
      </c>
      <c r="I93" s="100">
        <v>7.44</v>
      </c>
      <c r="J93" s="100">
        <v>4.16</v>
      </c>
      <c r="K93" s="100">
        <v>204.21</v>
      </c>
      <c r="L93" s="100">
        <v>31.78</v>
      </c>
      <c r="M93" s="100">
        <v>42.3</v>
      </c>
      <c r="N93" s="100">
        <v>23.1</v>
      </c>
      <c r="O93" s="100">
        <v>0</v>
      </c>
      <c r="P93" s="100">
        <v>0.37</v>
      </c>
      <c r="Q93" s="100">
        <v>28.31</v>
      </c>
      <c r="R93" s="6"/>
      <c r="S93" s="6"/>
      <c r="T93" s="156"/>
      <c r="U93" s="6"/>
    </row>
    <row r="94" spans="1:21" customFormat="1">
      <c r="A94" s="163" t="s">
        <v>997</v>
      </c>
      <c r="B94" s="100">
        <v>2.38</v>
      </c>
      <c r="C94" s="100">
        <v>25.1</v>
      </c>
      <c r="D94" s="100">
        <v>15.03</v>
      </c>
      <c r="E94" s="100">
        <v>6.42</v>
      </c>
      <c r="F94" s="100">
        <v>9.4</v>
      </c>
      <c r="G94" s="100">
        <v>33.33</v>
      </c>
      <c r="H94" s="100">
        <v>15.92</v>
      </c>
      <c r="I94" s="100">
        <v>7.32</v>
      </c>
      <c r="J94" s="100">
        <v>4.0199999999999996</v>
      </c>
      <c r="K94" s="100">
        <v>206.89</v>
      </c>
      <c r="L94" s="100">
        <v>31.36</v>
      </c>
      <c r="M94" s="100">
        <v>43.93</v>
      </c>
      <c r="N94" s="100">
        <v>23.3</v>
      </c>
      <c r="O94" s="100">
        <v>0</v>
      </c>
      <c r="P94" s="100">
        <v>0.35</v>
      </c>
      <c r="Q94" s="100">
        <v>28.52</v>
      </c>
      <c r="R94" s="6"/>
      <c r="S94" s="6"/>
      <c r="T94" s="156"/>
      <c r="U94" s="6"/>
    </row>
    <row r="95" spans="1:21" customFormat="1">
      <c r="A95" s="163" t="s">
        <v>998</v>
      </c>
      <c r="B95" s="100">
        <v>2.27</v>
      </c>
      <c r="C95" s="100">
        <v>19.36</v>
      </c>
      <c r="D95" s="100">
        <v>11.93</v>
      </c>
      <c r="E95" s="100">
        <v>6.11</v>
      </c>
      <c r="F95" s="100">
        <v>10.5</v>
      </c>
      <c r="G95" s="100">
        <v>33.33</v>
      </c>
      <c r="H95" s="100">
        <v>15.92</v>
      </c>
      <c r="I95" s="100">
        <v>7.28</v>
      </c>
      <c r="J95" s="100">
        <v>3.82</v>
      </c>
      <c r="K95" s="100">
        <v>201.78</v>
      </c>
      <c r="L95" s="100">
        <v>30.97</v>
      </c>
      <c r="M95" s="100">
        <v>45.8</v>
      </c>
      <c r="N95" s="100">
        <v>23</v>
      </c>
      <c r="O95" s="100">
        <v>0</v>
      </c>
      <c r="P95" s="100">
        <v>0.35</v>
      </c>
      <c r="Q95" s="100">
        <v>28.82</v>
      </c>
      <c r="R95" s="6"/>
      <c r="S95" s="6"/>
      <c r="T95" s="156"/>
      <c r="U95" s="6"/>
    </row>
    <row r="96" spans="1:21" customFormat="1">
      <c r="A96" s="163" t="s">
        <v>999</v>
      </c>
      <c r="B96" s="100">
        <v>2.16</v>
      </c>
      <c r="C96" s="100">
        <v>19.18</v>
      </c>
      <c r="D96" s="100">
        <v>11.75</v>
      </c>
      <c r="E96" s="100">
        <v>5.65</v>
      </c>
      <c r="F96" s="100">
        <v>11.71</v>
      </c>
      <c r="G96" s="100">
        <v>32.729999999999997</v>
      </c>
      <c r="H96" s="100">
        <v>14.94</v>
      </c>
      <c r="I96" s="100">
        <v>6.95</v>
      </c>
      <c r="J96" s="100">
        <v>3.6</v>
      </c>
      <c r="K96" s="100">
        <v>201.53</v>
      </c>
      <c r="L96" s="100">
        <v>30.73</v>
      </c>
      <c r="M96" s="100">
        <v>47.44</v>
      </c>
      <c r="N96" s="100">
        <v>22.9</v>
      </c>
      <c r="O96" s="100">
        <v>0</v>
      </c>
      <c r="P96" s="100">
        <v>0.35</v>
      </c>
      <c r="Q96" s="100">
        <v>28.86</v>
      </c>
      <c r="R96" s="6"/>
      <c r="S96" s="6"/>
      <c r="T96" s="156"/>
      <c r="U96" s="6"/>
    </row>
    <row r="97" spans="1:28" customFormat="1">
      <c r="A97" s="163" t="s">
        <v>1000</v>
      </c>
      <c r="B97" s="100">
        <v>2.36</v>
      </c>
      <c r="C97" s="100">
        <v>20.29</v>
      </c>
      <c r="D97" s="100">
        <v>12.49</v>
      </c>
      <c r="E97" s="100">
        <v>5.42</v>
      </c>
      <c r="F97" s="100">
        <v>9.1</v>
      </c>
      <c r="G97" s="100">
        <v>30.5</v>
      </c>
      <c r="H97" s="100">
        <v>11.29</v>
      </c>
      <c r="I97" s="100">
        <v>6.72</v>
      </c>
      <c r="J97" s="100">
        <v>3.85</v>
      </c>
      <c r="K97" s="100">
        <v>180.25</v>
      </c>
      <c r="L97" s="100">
        <v>30.69</v>
      </c>
      <c r="M97" s="100">
        <v>47.96</v>
      </c>
      <c r="N97" s="100">
        <v>22.7</v>
      </c>
      <c r="O97" s="100">
        <v>0</v>
      </c>
      <c r="P97" s="100">
        <v>0.35</v>
      </c>
      <c r="Q97" s="100">
        <v>28.78</v>
      </c>
      <c r="R97" s="6"/>
      <c r="S97" s="6"/>
      <c r="T97" s="156"/>
      <c r="U97" s="6"/>
    </row>
    <row r="98" spans="1:28" customFormat="1">
      <c r="A98" s="163" t="s">
        <v>1001</v>
      </c>
      <c r="B98" s="100">
        <v>2.36</v>
      </c>
      <c r="C98" s="100">
        <v>20.75</v>
      </c>
      <c r="D98" s="100">
        <v>12.74</v>
      </c>
      <c r="E98" s="100">
        <v>6.15</v>
      </c>
      <c r="F98" s="100">
        <v>9.65</v>
      </c>
      <c r="G98" s="100">
        <v>30.5</v>
      </c>
      <c r="H98" s="100">
        <v>11.29</v>
      </c>
      <c r="I98" s="100">
        <v>6.6</v>
      </c>
      <c r="J98" s="100">
        <v>3.84</v>
      </c>
      <c r="K98" s="100">
        <v>177.84</v>
      </c>
      <c r="L98" s="100">
        <v>30.6</v>
      </c>
      <c r="M98" s="100">
        <v>48.61</v>
      </c>
      <c r="N98" s="100">
        <v>22.7</v>
      </c>
      <c r="O98" s="100">
        <v>0</v>
      </c>
      <c r="P98" s="100">
        <v>0.35</v>
      </c>
      <c r="Q98" s="100">
        <v>28.72</v>
      </c>
      <c r="R98" s="6"/>
      <c r="S98" s="6"/>
      <c r="T98" s="156"/>
      <c r="U98" s="6"/>
    </row>
    <row r="99" spans="1:28" customFormat="1">
      <c r="A99" s="163" t="s">
        <v>1002</v>
      </c>
      <c r="B99" s="100">
        <v>2.4300000000000002</v>
      </c>
      <c r="C99" s="100">
        <v>21.04</v>
      </c>
      <c r="D99" s="100">
        <v>12.94</v>
      </c>
      <c r="E99" s="100">
        <v>6</v>
      </c>
      <c r="F99" s="100">
        <v>10.84</v>
      </c>
      <c r="G99" s="100">
        <v>30.5</v>
      </c>
      <c r="H99" s="100">
        <v>11.29</v>
      </c>
      <c r="I99" s="100">
        <v>6.65</v>
      </c>
      <c r="J99" s="100">
        <v>3.7</v>
      </c>
      <c r="K99" s="100">
        <v>203.21</v>
      </c>
      <c r="L99" s="100">
        <v>30.7</v>
      </c>
      <c r="M99" s="100">
        <v>48.2</v>
      </c>
      <c r="N99" s="100">
        <v>22.2</v>
      </c>
      <c r="O99" s="100">
        <v>0</v>
      </c>
      <c r="P99" s="100">
        <v>0.35</v>
      </c>
      <c r="Q99" s="100">
        <v>28.68</v>
      </c>
      <c r="R99" s="6"/>
      <c r="S99" s="6"/>
      <c r="T99" s="156"/>
      <c r="U99" s="6"/>
    </row>
    <row r="100" spans="1:28" customFormat="1">
      <c r="A100" s="163" t="s">
        <v>1003</v>
      </c>
      <c r="B100" s="100">
        <v>2.66</v>
      </c>
      <c r="C100" s="100">
        <v>21.44</v>
      </c>
      <c r="D100" s="100">
        <v>13.33</v>
      </c>
      <c r="E100" s="100">
        <v>6.06</v>
      </c>
      <c r="F100" s="100">
        <v>8.65</v>
      </c>
      <c r="G100" s="100">
        <v>29.49</v>
      </c>
      <c r="H100" s="100">
        <v>11.62</v>
      </c>
      <c r="I100" s="100">
        <v>6.65</v>
      </c>
      <c r="J100" s="100">
        <v>3.72</v>
      </c>
      <c r="K100" s="100">
        <v>200.07</v>
      </c>
      <c r="L100" s="100">
        <v>30.79</v>
      </c>
      <c r="M100" s="100">
        <v>47.82</v>
      </c>
      <c r="N100" s="100">
        <v>22.4</v>
      </c>
      <c r="O100" s="100">
        <v>0</v>
      </c>
      <c r="P100" s="100">
        <v>0.36</v>
      </c>
      <c r="Q100" s="100">
        <v>28.63</v>
      </c>
      <c r="R100" s="6"/>
      <c r="S100" s="6"/>
      <c r="T100" s="156"/>
      <c r="U100" s="6"/>
      <c r="AB100" s="161"/>
    </row>
    <row r="101" spans="1:28" customFormat="1">
      <c r="A101" s="163" t="s">
        <v>1004</v>
      </c>
      <c r="B101" s="100">
        <v>3.03</v>
      </c>
      <c r="C101" s="100">
        <v>28</v>
      </c>
      <c r="D101" s="100">
        <v>17.059999999999999</v>
      </c>
      <c r="E101" s="100">
        <v>0.28000000000000003</v>
      </c>
      <c r="F101" s="100">
        <v>4.5199999999999996</v>
      </c>
      <c r="G101" s="100">
        <v>25.73</v>
      </c>
      <c r="H101" s="100">
        <v>12.86</v>
      </c>
      <c r="I101" s="100">
        <v>6.67</v>
      </c>
      <c r="J101" s="100">
        <v>3.62</v>
      </c>
      <c r="K101" s="100">
        <v>200.24</v>
      </c>
      <c r="L101" s="100">
        <v>30.78</v>
      </c>
      <c r="M101" s="100">
        <v>46.95</v>
      </c>
      <c r="N101" s="100">
        <v>22.3</v>
      </c>
      <c r="O101" s="100">
        <v>0</v>
      </c>
      <c r="P101" s="100">
        <v>0.39</v>
      </c>
      <c r="Q101" s="100">
        <v>28.34</v>
      </c>
      <c r="R101" s="6"/>
      <c r="S101" s="6"/>
      <c r="T101" s="156"/>
      <c r="U101" s="6"/>
    </row>
    <row r="102" spans="1:28" customFormat="1">
      <c r="A102" s="163" t="s">
        <v>1005</v>
      </c>
      <c r="B102" s="100">
        <v>3.29</v>
      </c>
      <c r="C102" s="100">
        <v>31.72</v>
      </c>
      <c r="D102" s="100">
        <v>19.21</v>
      </c>
      <c r="E102" s="100">
        <v>1.0900000000000001</v>
      </c>
      <c r="F102" s="100">
        <v>5.13</v>
      </c>
      <c r="G102" s="100">
        <v>25.73</v>
      </c>
      <c r="H102" s="100">
        <v>12.86</v>
      </c>
      <c r="I102" s="100">
        <v>6.67</v>
      </c>
      <c r="J102" s="100">
        <v>3.9</v>
      </c>
      <c r="K102" s="100">
        <v>207.67</v>
      </c>
      <c r="L102" s="100">
        <v>30.88</v>
      </c>
      <c r="M102" s="100">
        <v>46.69</v>
      </c>
      <c r="N102" s="100">
        <v>22.5</v>
      </c>
      <c r="O102" s="100">
        <v>0</v>
      </c>
      <c r="P102" s="100">
        <v>0.4</v>
      </c>
      <c r="Q102" s="100">
        <v>28.12</v>
      </c>
      <c r="R102" s="6"/>
      <c r="S102" s="6"/>
      <c r="T102" s="156"/>
      <c r="U102" s="6"/>
    </row>
    <row r="103" spans="1:28" customFormat="1">
      <c r="A103" s="163" t="s">
        <v>1006</v>
      </c>
      <c r="B103" s="100">
        <v>3.52</v>
      </c>
      <c r="C103" s="100">
        <v>26.95</v>
      </c>
      <c r="D103" s="100">
        <v>16.899999999999999</v>
      </c>
      <c r="E103" s="100">
        <v>1.1100000000000001</v>
      </c>
      <c r="F103" s="100">
        <v>5.0199999999999996</v>
      </c>
      <c r="G103" s="100">
        <v>25.73</v>
      </c>
      <c r="H103" s="100">
        <v>12.86</v>
      </c>
      <c r="I103" s="100">
        <v>6.78</v>
      </c>
      <c r="J103" s="100">
        <v>4.04</v>
      </c>
      <c r="K103" s="100">
        <v>193.29</v>
      </c>
      <c r="L103" s="100">
        <v>30.62</v>
      </c>
      <c r="M103" s="100">
        <v>47.87</v>
      </c>
      <c r="N103" s="100">
        <v>23</v>
      </c>
      <c r="O103" s="100">
        <v>0</v>
      </c>
      <c r="P103" s="100">
        <v>0.39</v>
      </c>
      <c r="Q103" s="100">
        <v>28.39</v>
      </c>
      <c r="R103" s="6"/>
      <c r="S103" s="6"/>
      <c r="T103" s="156"/>
      <c r="U103" s="6"/>
    </row>
    <row r="104" spans="1:28" customFormat="1">
      <c r="A104" s="163" t="s">
        <v>1007</v>
      </c>
      <c r="B104" s="100">
        <v>3.81</v>
      </c>
      <c r="C104" s="100">
        <v>29.02</v>
      </c>
      <c r="D104" s="100">
        <v>18.22</v>
      </c>
      <c r="E104" s="100">
        <v>0.5</v>
      </c>
      <c r="F104" s="100">
        <v>4.43</v>
      </c>
      <c r="G104" s="100">
        <v>26.54</v>
      </c>
      <c r="H104" s="100">
        <v>13.54</v>
      </c>
      <c r="I104" s="100">
        <v>6.7</v>
      </c>
      <c r="J104" s="100">
        <v>4.38</v>
      </c>
      <c r="K104" s="100">
        <v>216.45</v>
      </c>
      <c r="L104" s="100">
        <v>30.09</v>
      </c>
      <c r="M104" s="100">
        <v>51.06</v>
      </c>
      <c r="N104" s="100">
        <v>23.2</v>
      </c>
      <c r="O104" s="100">
        <v>0</v>
      </c>
      <c r="P104" s="100">
        <v>0.39</v>
      </c>
      <c r="Q104" s="100">
        <v>28.27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1.27</v>
      </c>
      <c r="C106" s="158">
        <f>MIN(C9:C104)</f>
        <v>14.26</v>
      </c>
      <c r="D106" s="158">
        <f t="shared" ref="D106:Q106" si="0">MIN(D9:D104)</f>
        <v>9.02</v>
      </c>
      <c r="E106" s="158">
        <f t="shared" si="0"/>
        <v>0.28000000000000003</v>
      </c>
      <c r="F106" s="158">
        <f t="shared" si="0"/>
        <v>2.93</v>
      </c>
      <c r="G106" s="158">
        <f t="shared" si="0"/>
        <v>25.73</v>
      </c>
      <c r="H106" s="158">
        <f t="shared" si="0"/>
        <v>11.29</v>
      </c>
      <c r="I106" s="158">
        <f t="shared" si="0"/>
        <v>6.6</v>
      </c>
      <c r="J106" s="158">
        <f t="shared" si="0"/>
        <v>0.65</v>
      </c>
      <c r="K106" s="158">
        <f t="shared" si="0"/>
        <v>172.12</v>
      </c>
      <c r="L106" s="158">
        <f t="shared" si="0"/>
        <v>28.44</v>
      </c>
      <c r="M106" s="158">
        <f t="shared" si="0"/>
        <v>21.14</v>
      </c>
      <c r="N106" s="158">
        <f t="shared" si="0"/>
        <v>22.2</v>
      </c>
      <c r="O106" s="158">
        <f t="shared" si="0"/>
        <v>0</v>
      </c>
      <c r="P106" s="158">
        <f t="shared" si="0"/>
        <v>0.33</v>
      </c>
      <c r="Q106" s="158">
        <f t="shared" si="0"/>
        <v>27.52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9.1999999999999993</v>
      </c>
      <c r="C107" s="157">
        <f t="shared" ref="C107:Q107" si="1">MAX(C9:C104)</f>
        <v>42.34</v>
      </c>
      <c r="D107" s="157">
        <f t="shared" si="1"/>
        <v>26.49</v>
      </c>
      <c r="E107" s="157">
        <f t="shared" si="1"/>
        <v>9.74</v>
      </c>
      <c r="F107" s="157">
        <f t="shared" si="1"/>
        <v>30.93</v>
      </c>
      <c r="G107" s="157">
        <f t="shared" si="1"/>
        <v>57.52</v>
      </c>
      <c r="H107" s="157">
        <f t="shared" si="1"/>
        <v>30.32</v>
      </c>
      <c r="I107" s="157">
        <f t="shared" si="1"/>
        <v>13.48</v>
      </c>
      <c r="J107" s="157">
        <f t="shared" si="1"/>
        <v>6.16</v>
      </c>
      <c r="K107" s="157">
        <f t="shared" si="1"/>
        <v>273.23</v>
      </c>
      <c r="L107" s="157">
        <f t="shared" si="1"/>
        <v>41.2</v>
      </c>
      <c r="M107" s="157">
        <f t="shared" si="1"/>
        <v>53.16</v>
      </c>
      <c r="N107" s="157">
        <f t="shared" si="1"/>
        <v>876.8</v>
      </c>
      <c r="O107" s="157">
        <f t="shared" si="1"/>
        <v>0</v>
      </c>
      <c r="P107" s="157">
        <f t="shared" si="1"/>
        <v>0.69</v>
      </c>
      <c r="Q107" s="157">
        <f t="shared" si="1"/>
        <v>29.01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4.0189583333333347</v>
      </c>
      <c r="C108" s="158">
        <f t="shared" ref="C108:Q108" si="2">AVERAGE(C9:C104)</f>
        <v>24.312604166666663</v>
      </c>
      <c r="D108" s="158">
        <f t="shared" si="2"/>
        <v>15.925312500000004</v>
      </c>
      <c r="E108" s="158">
        <f t="shared" si="2"/>
        <v>3.5745833333333343</v>
      </c>
      <c r="F108" s="158">
        <f t="shared" si="2"/>
        <v>10.069062499999999</v>
      </c>
      <c r="G108" s="158">
        <f t="shared" si="2"/>
        <v>41.070416666666645</v>
      </c>
      <c r="H108" s="158">
        <f t="shared" si="2"/>
        <v>18.701979166666661</v>
      </c>
      <c r="I108" s="158">
        <f t="shared" si="2"/>
        <v>8.6987500000000022</v>
      </c>
      <c r="J108" s="158">
        <f t="shared" si="2"/>
        <v>3.6501041666666665</v>
      </c>
      <c r="K108" s="158">
        <f t="shared" si="2"/>
        <v>214.49770833333332</v>
      </c>
      <c r="L108" s="158">
        <f t="shared" si="2"/>
        <v>33.494687499999998</v>
      </c>
      <c r="M108" s="158">
        <f t="shared" si="2"/>
        <v>39.215208333333329</v>
      </c>
      <c r="N108" s="158">
        <f t="shared" si="2"/>
        <v>244.85625000000002</v>
      </c>
      <c r="O108" s="158">
        <f t="shared" si="2"/>
        <v>0</v>
      </c>
      <c r="P108" s="158">
        <f t="shared" si="2"/>
        <v>0.43083333333333318</v>
      </c>
      <c r="Q108" s="158">
        <f t="shared" si="2"/>
        <v>28.365312500000012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2.4224239618359897</v>
      </c>
      <c r="C109" s="158">
        <f t="shared" ref="C109:Q109" si="3">STDEV(C9:C104)</f>
        <v>6.1002887325612853</v>
      </c>
      <c r="D109" s="158">
        <f t="shared" si="3"/>
        <v>4.6433592542978532</v>
      </c>
      <c r="E109" s="158">
        <f t="shared" si="3"/>
        <v>2.6905518575648397</v>
      </c>
      <c r="F109" s="158">
        <f t="shared" si="3"/>
        <v>6.2462475603778564</v>
      </c>
      <c r="G109" s="158">
        <f t="shared" si="3"/>
        <v>9.3116548268305888</v>
      </c>
      <c r="H109" s="158">
        <f t="shared" si="3"/>
        <v>4.3855148217961171</v>
      </c>
      <c r="I109" s="158">
        <f t="shared" si="3"/>
        <v>1.9403484494448786</v>
      </c>
      <c r="J109" s="158">
        <f t="shared" si="3"/>
        <v>0.97915161429266517</v>
      </c>
      <c r="K109" s="158">
        <f t="shared" si="3"/>
        <v>21.481289654471357</v>
      </c>
      <c r="L109" s="158">
        <f t="shared" si="3"/>
        <v>3.7282875857917079</v>
      </c>
      <c r="M109" s="158">
        <f t="shared" si="3"/>
        <v>9.0743601751153964</v>
      </c>
      <c r="N109" s="158">
        <f t="shared" si="3"/>
        <v>300.15755294862271</v>
      </c>
      <c r="O109" s="158">
        <f t="shared" si="3"/>
        <v>0</v>
      </c>
      <c r="P109" s="158">
        <f t="shared" si="3"/>
        <v>0.10167716368012671</v>
      </c>
      <c r="Q109" s="158">
        <f t="shared" si="3"/>
        <v>0.40755484777802414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3" sqref="I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1008</v>
      </c>
      <c r="B9" s="100">
        <v>3.54</v>
      </c>
      <c r="C9" s="100">
        <v>29.11</v>
      </c>
      <c r="D9" s="100">
        <v>18.05</v>
      </c>
      <c r="E9" s="100">
        <v>0.71</v>
      </c>
      <c r="F9" s="100">
        <v>3.87</v>
      </c>
      <c r="G9" s="100">
        <v>29.56</v>
      </c>
      <c r="H9" s="100">
        <v>16.09</v>
      </c>
      <c r="I9" s="100">
        <v>6.68</v>
      </c>
      <c r="J9" s="100">
        <v>4.3600000000000003</v>
      </c>
      <c r="K9" s="100">
        <v>216.26</v>
      </c>
      <c r="L9" s="100">
        <v>29.88</v>
      </c>
      <c r="M9" s="100">
        <v>53.08</v>
      </c>
      <c r="N9" s="100">
        <v>23.2</v>
      </c>
      <c r="O9" s="100">
        <v>0</v>
      </c>
      <c r="P9" s="100">
        <v>0.39</v>
      </c>
      <c r="Q9" s="100">
        <v>28.38</v>
      </c>
      <c r="R9" s="6"/>
      <c r="S9" s="6"/>
      <c r="T9" s="156"/>
      <c r="U9" s="6"/>
    </row>
    <row r="10" spans="1:21" customFormat="1">
      <c r="A10" s="163" t="s">
        <v>1009</v>
      </c>
      <c r="B10" s="100">
        <v>3.55</v>
      </c>
      <c r="C10" s="100">
        <v>30.59</v>
      </c>
      <c r="D10" s="100">
        <v>18.829999999999998</v>
      </c>
      <c r="E10" s="100">
        <v>0.7</v>
      </c>
      <c r="F10" s="100">
        <v>3.63</v>
      </c>
      <c r="G10" s="100">
        <v>29.56</v>
      </c>
      <c r="H10" s="100">
        <v>16.09</v>
      </c>
      <c r="I10" s="100">
        <v>6.67</v>
      </c>
      <c r="J10" s="100">
        <v>4.0199999999999996</v>
      </c>
      <c r="K10" s="100">
        <v>202.56</v>
      </c>
      <c r="L10" s="100">
        <v>29.68</v>
      </c>
      <c r="M10" s="100">
        <v>54.7</v>
      </c>
      <c r="N10" s="100">
        <v>23.1</v>
      </c>
      <c r="O10" s="100">
        <v>0</v>
      </c>
      <c r="P10" s="100">
        <v>0.39</v>
      </c>
      <c r="Q10" s="100">
        <v>28.22</v>
      </c>
      <c r="R10" s="6"/>
      <c r="S10" s="6"/>
      <c r="T10" s="156"/>
      <c r="U10" s="6"/>
    </row>
    <row r="11" spans="1:21" customFormat="1">
      <c r="A11" s="163" t="s">
        <v>1010</v>
      </c>
      <c r="B11" s="100">
        <v>3.59</v>
      </c>
      <c r="C11" s="100">
        <v>26.19</v>
      </c>
      <c r="D11" s="100">
        <v>16.57</v>
      </c>
      <c r="E11" s="100">
        <v>0.81</v>
      </c>
      <c r="F11" s="100">
        <v>4.3899999999999997</v>
      </c>
      <c r="G11" s="100">
        <v>29.56</v>
      </c>
      <c r="H11" s="100">
        <v>16.09</v>
      </c>
      <c r="I11" s="100">
        <v>6.65</v>
      </c>
      <c r="J11" s="100">
        <v>4.47</v>
      </c>
      <c r="K11" s="100">
        <v>220.67</v>
      </c>
      <c r="L11" s="100">
        <v>29.3</v>
      </c>
      <c r="M11" s="100">
        <v>56.46</v>
      </c>
      <c r="N11" s="100">
        <v>23.1</v>
      </c>
      <c r="O11" s="100">
        <v>0</v>
      </c>
      <c r="P11" s="100">
        <v>0.37</v>
      </c>
      <c r="Q11" s="100">
        <v>28.37</v>
      </c>
      <c r="R11" s="6"/>
      <c r="S11" s="6"/>
      <c r="T11" s="156"/>
      <c r="U11" s="6"/>
    </row>
    <row r="12" spans="1:21" customFormat="1">
      <c r="A12" s="163" t="s">
        <v>1011</v>
      </c>
      <c r="B12" s="100">
        <v>3.37</v>
      </c>
      <c r="C12" s="100">
        <v>22.8</v>
      </c>
      <c r="D12" s="100">
        <v>14.62</v>
      </c>
      <c r="E12" s="100">
        <v>0.87</v>
      </c>
      <c r="F12" s="100">
        <v>5.36</v>
      </c>
      <c r="G12" s="100">
        <v>28.99</v>
      </c>
      <c r="H12" s="100">
        <v>15.48</v>
      </c>
      <c r="I12" s="100">
        <v>6.63</v>
      </c>
      <c r="J12" s="100">
        <v>4.1399999999999997</v>
      </c>
      <c r="K12" s="100">
        <v>195.98</v>
      </c>
      <c r="L12" s="100">
        <v>29.06</v>
      </c>
      <c r="M12" s="100">
        <v>57.48</v>
      </c>
      <c r="N12" s="100">
        <v>23.2</v>
      </c>
      <c r="O12" s="100">
        <v>0</v>
      </c>
      <c r="P12" s="100">
        <v>0.37</v>
      </c>
      <c r="Q12" s="100">
        <v>28.58</v>
      </c>
      <c r="R12" s="6"/>
      <c r="S12" s="6"/>
      <c r="T12" s="156"/>
      <c r="U12" s="6"/>
    </row>
    <row r="13" spans="1:21" customFormat="1">
      <c r="A13" s="163" t="s">
        <v>1012</v>
      </c>
      <c r="B13" s="100">
        <v>3.27</v>
      </c>
      <c r="C13" s="100">
        <v>23.47</v>
      </c>
      <c r="D13" s="100">
        <v>14.89</v>
      </c>
      <c r="E13" s="100">
        <v>0.73</v>
      </c>
      <c r="F13" s="100">
        <v>6.55</v>
      </c>
      <c r="G13" s="100">
        <v>26.87</v>
      </c>
      <c r="H13" s="100">
        <v>13.19</v>
      </c>
      <c r="I13" s="100">
        <v>6.5</v>
      </c>
      <c r="J13" s="100">
        <v>4.12</v>
      </c>
      <c r="K13" s="100">
        <v>179.24</v>
      </c>
      <c r="L13" s="100">
        <v>28.91</v>
      </c>
      <c r="M13" s="100">
        <v>58.39</v>
      </c>
      <c r="N13" s="100">
        <v>23.2</v>
      </c>
      <c r="O13" s="100">
        <v>0</v>
      </c>
      <c r="P13" s="100">
        <v>0.37</v>
      </c>
      <c r="Q13" s="100">
        <v>28.51</v>
      </c>
      <c r="R13" s="6"/>
      <c r="S13" s="6"/>
      <c r="T13" s="156"/>
      <c r="U13" s="6"/>
    </row>
    <row r="14" spans="1:21" customFormat="1">
      <c r="A14" s="163" t="s">
        <v>1013</v>
      </c>
      <c r="B14" s="100">
        <v>3.21</v>
      </c>
      <c r="C14" s="100">
        <v>23.56</v>
      </c>
      <c r="D14" s="100">
        <v>14.89</v>
      </c>
      <c r="E14" s="100">
        <v>0.61</v>
      </c>
      <c r="F14" s="100">
        <v>5.72</v>
      </c>
      <c r="G14" s="100">
        <v>26.87</v>
      </c>
      <c r="H14" s="100">
        <v>13.19</v>
      </c>
      <c r="I14" s="100">
        <v>6.3</v>
      </c>
      <c r="J14" s="100">
        <v>3.69</v>
      </c>
      <c r="K14" s="100">
        <v>182.75</v>
      </c>
      <c r="L14" s="100">
        <v>28.75</v>
      </c>
      <c r="M14" s="100">
        <v>58.89</v>
      </c>
      <c r="N14" s="100">
        <v>22.8</v>
      </c>
      <c r="O14" s="100">
        <v>0</v>
      </c>
      <c r="P14" s="100">
        <v>0.38</v>
      </c>
      <c r="Q14" s="100">
        <v>28.5</v>
      </c>
      <c r="R14" s="6"/>
      <c r="S14" s="6"/>
      <c r="T14" s="156"/>
      <c r="U14" s="6"/>
    </row>
    <row r="15" spans="1:21" customFormat="1">
      <c r="A15" s="163" t="s">
        <v>1014</v>
      </c>
      <c r="B15" s="100">
        <v>3.15</v>
      </c>
      <c r="C15" s="100">
        <v>23.61</v>
      </c>
      <c r="D15" s="100">
        <v>14.86</v>
      </c>
      <c r="E15" s="100">
        <v>0.87</v>
      </c>
      <c r="F15" s="100">
        <v>5.39</v>
      </c>
      <c r="G15" s="100">
        <v>26.87</v>
      </c>
      <c r="H15" s="100">
        <v>13.19</v>
      </c>
      <c r="I15" s="100">
        <v>6.24</v>
      </c>
      <c r="J15" s="100">
        <v>3.52</v>
      </c>
      <c r="K15" s="100">
        <v>205.59</v>
      </c>
      <c r="L15" s="100">
        <v>28.78</v>
      </c>
      <c r="M15" s="100">
        <v>58.04</v>
      </c>
      <c r="N15" s="100">
        <v>22.5</v>
      </c>
      <c r="O15" s="100">
        <v>0</v>
      </c>
      <c r="P15" s="100">
        <v>0.38</v>
      </c>
      <c r="Q15" s="100">
        <v>28.49</v>
      </c>
      <c r="R15" s="6"/>
      <c r="S15" s="6"/>
      <c r="T15" s="156"/>
      <c r="U15" s="6"/>
    </row>
    <row r="16" spans="1:21" customFormat="1">
      <c r="A16" s="163" t="s">
        <v>1015</v>
      </c>
      <c r="B16" s="100">
        <v>3.28</v>
      </c>
      <c r="C16" s="100">
        <v>23.73</v>
      </c>
      <c r="D16" s="100">
        <v>15.03</v>
      </c>
      <c r="E16" s="100">
        <v>0.65</v>
      </c>
      <c r="F16" s="100">
        <v>4.22</v>
      </c>
      <c r="G16" s="100">
        <v>26.32</v>
      </c>
      <c r="H16" s="100">
        <v>12.42</v>
      </c>
      <c r="I16" s="100">
        <v>6.07</v>
      </c>
      <c r="J16" s="100">
        <v>3.38</v>
      </c>
      <c r="K16" s="100">
        <v>263.73</v>
      </c>
      <c r="L16" s="100">
        <v>28.74</v>
      </c>
      <c r="M16" s="100">
        <v>57.84</v>
      </c>
      <c r="N16" s="100">
        <v>22.5</v>
      </c>
      <c r="O16" s="100">
        <v>0</v>
      </c>
      <c r="P16" s="100">
        <v>0.37</v>
      </c>
      <c r="Q16" s="100">
        <v>28.49</v>
      </c>
      <c r="R16" s="6"/>
      <c r="S16" s="6"/>
      <c r="T16" s="156"/>
      <c r="U16" s="6"/>
    </row>
    <row r="17" spans="1:21" customFormat="1">
      <c r="A17" s="163" t="s">
        <v>1016</v>
      </c>
      <c r="B17" s="100">
        <v>3.2</v>
      </c>
      <c r="C17" s="100">
        <v>24.53</v>
      </c>
      <c r="D17" s="100">
        <v>15.38</v>
      </c>
      <c r="E17" s="100">
        <v>0.56999999999999995</v>
      </c>
      <c r="F17" s="100">
        <v>6.07</v>
      </c>
      <c r="G17" s="100">
        <v>24.25</v>
      </c>
      <c r="H17" s="100">
        <v>9.52</v>
      </c>
      <c r="I17" s="100">
        <v>5.93</v>
      </c>
      <c r="J17" s="100">
        <v>2.79</v>
      </c>
      <c r="K17" s="100">
        <v>3.48</v>
      </c>
      <c r="L17" s="100">
        <v>28.63</v>
      </c>
      <c r="M17" s="100">
        <v>58.71</v>
      </c>
      <c r="N17" s="100">
        <v>22.6</v>
      </c>
      <c r="O17" s="100">
        <v>0</v>
      </c>
      <c r="P17" s="100">
        <v>0.37</v>
      </c>
      <c r="Q17" s="100">
        <v>28.43</v>
      </c>
      <c r="R17" s="6"/>
      <c r="S17" s="6"/>
      <c r="T17" s="156"/>
      <c r="U17" s="6"/>
    </row>
    <row r="18" spans="1:21" customFormat="1">
      <c r="A18" s="163" t="s">
        <v>1017</v>
      </c>
      <c r="B18" s="100">
        <v>3.64</v>
      </c>
      <c r="C18" s="100">
        <v>28.73</v>
      </c>
      <c r="D18" s="100">
        <v>17.93</v>
      </c>
      <c r="E18" s="100">
        <v>0.79</v>
      </c>
      <c r="F18" s="100">
        <v>3.89</v>
      </c>
      <c r="G18" s="100">
        <v>24.25</v>
      </c>
      <c r="H18" s="100">
        <v>9.52</v>
      </c>
      <c r="I18" s="100">
        <v>5.9</v>
      </c>
      <c r="J18" s="100">
        <v>2.34</v>
      </c>
      <c r="K18" s="100">
        <v>42.29</v>
      </c>
      <c r="L18" s="100">
        <v>28.5</v>
      </c>
      <c r="M18" s="100">
        <v>58.54</v>
      </c>
      <c r="N18" s="100">
        <v>22.7</v>
      </c>
      <c r="O18" s="100">
        <v>0</v>
      </c>
      <c r="P18" s="100">
        <v>0.37</v>
      </c>
      <c r="Q18" s="100">
        <v>28.21</v>
      </c>
      <c r="R18" s="6"/>
      <c r="S18" s="6"/>
      <c r="T18" s="156"/>
      <c r="U18" s="6"/>
    </row>
    <row r="19" spans="1:21" customFormat="1">
      <c r="A19" s="163" t="s">
        <v>1018</v>
      </c>
      <c r="B19" s="100">
        <v>3.96</v>
      </c>
      <c r="C19" s="100">
        <v>29.5</v>
      </c>
      <c r="D19" s="100">
        <v>18.579999999999998</v>
      </c>
      <c r="E19" s="100">
        <v>0.76</v>
      </c>
      <c r="F19" s="100">
        <v>3.21</v>
      </c>
      <c r="G19" s="100">
        <v>24.25</v>
      </c>
      <c r="H19" s="100">
        <v>9.52</v>
      </c>
      <c r="I19" s="100">
        <v>5.82</v>
      </c>
      <c r="J19" s="100">
        <v>2.29</v>
      </c>
      <c r="K19" s="100">
        <v>161.52000000000001</v>
      </c>
      <c r="L19" s="100">
        <v>28.47</v>
      </c>
      <c r="M19" s="100">
        <v>58.02</v>
      </c>
      <c r="N19" s="100">
        <v>22.5</v>
      </c>
      <c r="O19" s="100">
        <v>0</v>
      </c>
      <c r="P19" s="100">
        <v>0.36</v>
      </c>
      <c r="Q19" s="100">
        <v>28.1</v>
      </c>
      <c r="R19" s="6"/>
      <c r="S19" s="6"/>
      <c r="T19" s="156"/>
      <c r="U19" s="6"/>
    </row>
    <row r="20" spans="1:21" customFormat="1">
      <c r="A20" s="163" t="s">
        <v>1019</v>
      </c>
      <c r="B20" s="100">
        <v>4.3499999999999996</v>
      </c>
      <c r="C20" s="100">
        <v>25.23</v>
      </c>
      <c r="D20" s="100">
        <v>16.670000000000002</v>
      </c>
      <c r="E20" s="100">
        <v>0.65</v>
      </c>
      <c r="F20" s="100">
        <v>3.69</v>
      </c>
      <c r="G20" s="100">
        <v>23.67</v>
      </c>
      <c r="H20" s="100">
        <v>9.57</v>
      </c>
      <c r="I20" s="100">
        <v>5.89</v>
      </c>
      <c r="J20" s="100">
        <v>1.1499999999999999</v>
      </c>
      <c r="K20" s="100">
        <v>95.87</v>
      </c>
      <c r="L20" s="100">
        <v>28.78</v>
      </c>
      <c r="M20" s="100">
        <v>56.21</v>
      </c>
      <c r="N20" s="100">
        <v>22.2</v>
      </c>
      <c r="O20" s="100">
        <v>0</v>
      </c>
      <c r="P20" s="100">
        <v>0.35</v>
      </c>
      <c r="Q20" s="100">
        <v>28.31</v>
      </c>
      <c r="R20" s="6"/>
      <c r="S20" s="6"/>
      <c r="T20" s="156"/>
      <c r="U20" s="6"/>
    </row>
    <row r="21" spans="1:21" customFormat="1">
      <c r="A21" s="163" t="s">
        <v>1020</v>
      </c>
      <c r="B21" s="100">
        <v>4.8899999999999997</v>
      </c>
      <c r="C21" s="100">
        <v>24.49</v>
      </c>
      <c r="D21" s="100">
        <v>16.72</v>
      </c>
      <c r="E21" s="100">
        <v>0.44</v>
      </c>
      <c r="F21" s="100">
        <v>3.38</v>
      </c>
      <c r="G21" s="100">
        <v>21.47</v>
      </c>
      <c r="H21" s="100">
        <v>9.77</v>
      </c>
      <c r="I21" s="100">
        <v>5.84</v>
      </c>
      <c r="J21" s="100">
        <v>0.94</v>
      </c>
      <c r="K21" s="100">
        <v>203.4</v>
      </c>
      <c r="L21" s="100">
        <v>28.93</v>
      </c>
      <c r="M21" s="100">
        <v>55.46</v>
      </c>
      <c r="N21" s="100">
        <v>22.2</v>
      </c>
      <c r="O21" s="100">
        <v>0</v>
      </c>
      <c r="P21" s="100">
        <v>0.36</v>
      </c>
      <c r="Q21" s="100">
        <v>28.33</v>
      </c>
      <c r="R21" s="6"/>
      <c r="S21" s="6"/>
      <c r="T21" s="156"/>
      <c r="U21" s="6"/>
    </row>
    <row r="22" spans="1:21" customFormat="1">
      <c r="A22" s="163" t="s">
        <v>1021</v>
      </c>
      <c r="B22" s="100">
        <v>5.34</v>
      </c>
      <c r="C22" s="100">
        <v>23.17</v>
      </c>
      <c r="D22" s="100">
        <v>16.39</v>
      </c>
      <c r="E22" s="100">
        <v>0.18</v>
      </c>
      <c r="F22" s="100">
        <v>3.25</v>
      </c>
      <c r="G22" s="100">
        <v>21.47</v>
      </c>
      <c r="H22" s="100">
        <v>9.77</v>
      </c>
      <c r="I22" s="100">
        <v>5.84</v>
      </c>
      <c r="J22" s="100">
        <v>0.92</v>
      </c>
      <c r="K22" s="100">
        <v>55.27</v>
      </c>
      <c r="L22" s="100">
        <v>28.87</v>
      </c>
      <c r="M22" s="100">
        <v>55.35</v>
      </c>
      <c r="N22" s="100">
        <v>22.4</v>
      </c>
      <c r="O22" s="100">
        <v>0</v>
      </c>
      <c r="P22" s="100">
        <v>0.36</v>
      </c>
      <c r="Q22" s="100">
        <v>28.37</v>
      </c>
      <c r="R22" s="6"/>
      <c r="S22" s="6"/>
      <c r="T22" s="156"/>
      <c r="U22" s="6"/>
    </row>
    <row r="23" spans="1:21" customFormat="1">
      <c r="A23" s="163" t="s">
        <v>1022</v>
      </c>
      <c r="B23" s="100">
        <v>5.79</v>
      </c>
      <c r="C23" s="100">
        <v>25.39</v>
      </c>
      <c r="D23" s="100">
        <v>17.899999999999999</v>
      </c>
      <c r="E23" s="100">
        <v>0.19</v>
      </c>
      <c r="F23" s="100">
        <v>3.22</v>
      </c>
      <c r="G23" s="100">
        <v>21.47</v>
      </c>
      <c r="H23" s="100">
        <v>9.77</v>
      </c>
      <c r="I23" s="100">
        <v>5.95</v>
      </c>
      <c r="J23" s="100">
        <v>0.94</v>
      </c>
      <c r="K23" s="100">
        <v>293.58999999999997</v>
      </c>
      <c r="L23" s="100">
        <v>28.81</v>
      </c>
      <c r="M23" s="100">
        <v>54.96</v>
      </c>
      <c r="N23" s="100">
        <v>22.5</v>
      </c>
      <c r="O23" s="100">
        <v>0</v>
      </c>
      <c r="P23" s="100">
        <v>0.35</v>
      </c>
      <c r="Q23" s="100">
        <v>28.24</v>
      </c>
      <c r="R23" s="6"/>
      <c r="S23" s="6"/>
      <c r="T23" s="156"/>
      <c r="U23" s="6"/>
    </row>
    <row r="24" spans="1:21" customFormat="1">
      <c r="A24" s="163" t="s">
        <v>1023</v>
      </c>
      <c r="B24" s="100">
        <v>5.9</v>
      </c>
      <c r="C24" s="100">
        <v>26.13</v>
      </c>
      <c r="D24" s="100">
        <v>18.38</v>
      </c>
      <c r="E24" s="100">
        <v>0.21</v>
      </c>
      <c r="F24" s="100">
        <v>6.78</v>
      </c>
      <c r="G24" s="100">
        <v>21.33</v>
      </c>
      <c r="H24" s="100">
        <v>9.6</v>
      </c>
      <c r="I24" s="100">
        <v>5.94</v>
      </c>
      <c r="J24" s="100">
        <v>0.63</v>
      </c>
      <c r="K24" s="100">
        <v>273.26</v>
      </c>
      <c r="L24" s="100">
        <v>28.72</v>
      </c>
      <c r="M24" s="100">
        <v>55.33</v>
      </c>
      <c r="N24" s="100">
        <v>22.5</v>
      </c>
      <c r="O24" s="100">
        <v>0</v>
      </c>
      <c r="P24" s="100">
        <v>0.34</v>
      </c>
      <c r="Q24" s="100">
        <v>28.15</v>
      </c>
      <c r="R24" s="6"/>
      <c r="S24" s="6"/>
      <c r="T24" s="156"/>
      <c r="U24" s="6"/>
    </row>
    <row r="25" spans="1:21" customFormat="1">
      <c r="A25" s="163" t="s">
        <v>1024</v>
      </c>
      <c r="B25" s="100">
        <v>6.31</v>
      </c>
      <c r="C25" s="100">
        <v>24.66</v>
      </c>
      <c r="D25" s="100">
        <v>17.940000000000001</v>
      </c>
      <c r="E25" s="100">
        <v>0.37</v>
      </c>
      <c r="F25" s="100">
        <v>5.45</v>
      </c>
      <c r="G25" s="100">
        <v>20.8</v>
      </c>
      <c r="H25" s="100">
        <v>8.94</v>
      </c>
      <c r="I25" s="100">
        <v>5.87</v>
      </c>
      <c r="J25" s="100">
        <v>2.46</v>
      </c>
      <c r="K25" s="100">
        <v>37.44</v>
      </c>
      <c r="L25" s="100">
        <v>28.54</v>
      </c>
      <c r="M25" s="100">
        <v>56.52</v>
      </c>
      <c r="N25" s="100">
        <v>22.6</v>
      </c>
      <c r="O25" s="100">
        <v>0</v>
      </c>
      <c r="P25" s="100">
        <v>0.35</v>
      </c>
      <c r="Q25" s="100">
        <v>28.13</v>
      </c>
      <c r="R25" s="6"/>
      <c r="S25" s="6"/>
      <c r="T25" s="156"/>
      <c r="U25" s="6"/>
    </row>
    <row r="26" spans="1:21" customFormat="1">
      <c r="A26" s="163" t="s">
        <v>1025</v>
      </c>
      <c r="B26" s="100">
        <v>6.61</v>
      </c>
      <c r="C26" s="100">
        <v>24.89</v>
      </c>
      <c r="D26" s="100">
        <v>18.309999999999999</v>
      </c>
      <c r="E26" s="100">
        <v>0.73</v>
      </c>
      <c r="F26" s="100">
        <v>5.07</v>
      </c>
      <c r="G26" s="100">
        <v>20.8</v>
      </c>
      <c r="H26" s="100">
        <v>8.94</v>
      </c>
      <c r="I26" s="100">
        <v>5.79</v>
      </c>
      <c r="J26" s="100">
        <v>3.04</v>
      </c>
      <c r="K26" s="100">
        <v>75.680000000000007</v>
      </c>
      <c r="L26" s="100">
        <v>28.5</v>
      </c>
      <c r="M26" s="100">
        <v>56.92</v>
      </c>
      <c r="N26" s="100">
        <v>22.8</v>
      </c>
      <c r="O26" s="100">
        <v>0</v>
      </c>
      <c r="P26" s="100">
        <v>0.35</v>
      </c>
      <c r="Q26" s="100">
        <v>28.15</v>
      </c>
      <c r="R26" s="6"/>
      <c r="S26" s="6"/>
      <c r="T26" s="156"/>
      <c r="U26" s="6"/>
    </row>
    <row r="27" spans="1:21" customFormat="1">
      <c r="A27" s="163" t="s">
        <v>1026</v>
      </c>
      <c r="B27" s="100">
        <v>6.76</v>
      </c>
      <c r="C27" s="100">
        <v>25.92</v>
      </c>
      <c r="D27" s="100">
        <v>18.96</v>
      </c>
      <c r="E27" s="100">
        <v>0.63</v>
      </c>
      <c r="F27" s="100">
        <v>4.51</v>
      </c>
      <c r="G27" s="100">
        <v>20.8</v>
      </c>
      <c r="H27" s="100">
        <v>8.94</v>
      </c>
      <c r="I27" s="100">
        <v>5.9</v>
      </c>
      <c r="J27" s="100">
        <v>2.84</v>
      </c>
      <c r="K27" s="100">
        <v>94.35</v>
      </c>
      <c r="L27" s="100">
        <v>28.24</v>
      </c>
      <c r="M27" s="100">
        <v>58.09</v>
      </c>
      <c r="N27" s="100">
        <v>22.8</v>
      </c>
      <c r="O27" s="100">
        <v>0</v>
      </c>
      <c r="P27" s="100">
        <v>0.36</v>
      </c>
      <c r="Q27" s="100">
        <v>28</v>
      </c>
      <c r="R27" s="6"/>
      <c r="S27" s="6"/>
      <c r="T27" s="156"/>
      <c r="U27" s="6"/>
    </row>
    <row r="28" spans="1:21" customFormat="1">
      <c r="A28" s="163" t="s">
        <v>1027</v>
      </c>
      <c r="B28" s="100">
        <v>6.87</v>
      </c>
      <c r="C28" s="100">
        <v>25.95</v>
      </c>
      <c r="D28" s="100">
        <v>19.059999999999999</v>
      </c>
      <c r="E28" s="100">
        <v>0.32</v>
      </c>
      <c r="F28" s="100">
        <v>5.7</v>
      </c>
      <c r="G28" s="100">
        <v>22.77</v>
      </c>
      <c r="H28" s="100">
        <v>10.06</v>
      </c>
      <c r="I28" s="100">
        <v>6.07</v>
      </c>
      <c r="J28" s="100">
        <v>3.38</v>
      </c>
      <c r="K28" s="100">
        <v>121.93</v>
      </c>
      <c r="L28" s="100">
        <v>27.93</v>
      </c>
      <c r="M28" s="100">
        <v>59.54</v>
      </c>
      <c r="N28" s="100">
        <v>22.9</v>
      </c>
      <c r="O28" s="100">
        <v>0</v>
      </c>
      <c r="P28" s="100">
        <v>0.36</v>
      </c>
      <c r="Q28" s="100">
        <v>28</v>
      </c>
      <c r="R28" s="6"/>
      <c r="S28" s="6"/>
      <c r="T28" s="156"/>
      <c r="U28" s="6"/>
    </row>
    <row r="29" spans="1:21" customFormat="1">
      <c r="A29" s="163" t="s">
        <v>1028</v>
      </c>
      <c r="B29" s="100">
        <v>7.24</v>
      </c>
      <c r="C29" s="100">
        <v>28.13</v>
      </c>
      <c r="D29" s="100">
        <v>20.51</v>
      </c>
      <c r="E29" s="100">
        <v>0.02</v>
      </c>
      <c r="F29" s="100">
        <v>4.8499999999999996</v>
      </c>
      <c r="G29" s="100">
        <v>30.13</v>
      </c>
      <c r="H29" s="100">
        <v>14.25</v>
      </c>
      <c r="I29" s="100">
        <v>6.39</v>
      </c>
      <c r="J29" s="100">
        <v>3.31</v>
      </c>
      <c r="K29" s="100">
        <v>117.02</v>
      </c>
      <c r="L29" s="100">
        <v>27.77</v>
      </c>
      <c r="M29" s="100">
        <v>59.95</v>
      </c>
      <c r="N29" s="100">
        <v>23.1</v>
      </c>
      <c r="O29" s="100">
        <v>0</v>
      </c>
      <c r="P29" s="100">
        <v>0.36</v>
      </c>
      <c r="Q29" s="100">
        <v>27.9</v>
      </c>
      <c r="R29" s="6"/>
      <c r="S29" s="6"/>
      <c r="T29" s="156"/>
      <c r="U29" s="6"/>
    </row>
    <row r="30" spans="1:21" customFormat="1">
      <c r="A30" s="163" t="s">
        <v>1029</v>
      </c>
      <c r="B30" s="100">
        <v>7.58</v>
      </c>
      <c r="C30" s="100">
        <v>28.4</v>
      </c>
      <c r="D30" s="100">
        <v>20.91</v>
      </c>
      <c r="E30" s="100">
        <v>0.53</v>
      </c>
      <c r="F30" s="100">
        <v>3.66</v>
      </c>
      <c r="G30" s="100">
        <v>30.13</v>
      </c>
      <c r="H30" s="100">
        <v>14.25</v>
      </c>
      <c r="I30" s="100">
        <v>6.51</v>
      </c>
      <c r="J30" s="100">
        <v>3.12</v>
      </c>
      <c r="K30" s="100">
        <v>118.51</v>
      </c>
      <c r="L30" s="100">
        <v>27.61</v>
      </c>
      <c r="M30" s="100">
        <v>60.86</v>
      </c>
      <c r="N30" s="100">
        <v>24.8</v>
      </c>
      <c r="O30" s="100">
        <v>0</v>
      </c>
      <c r="P30" s="100">
        <v>0.39</v>
      </c>
      <c r="Q30" s="100">
        <v>27.82</v>
      </c>
      <c r="R30" s="6"/>
      <c r="S30" s="6"/>
      <c r="T30" s="156"/>
      <c r="U30" s="6"/>
    </row>
    <row r="31" spans="1:21" customFormat="1">
      <c r="A31" s="163" t="s">
        <v>1030</v>
      </c>
      <c r="B31" s="100">
        <v>8.16</v>
      </c>
      <c r="C31" s="100">
        <v>33.119999999999997</v>
      </c>
      <c r="D31" s="100">
        <v>23.85</v>
      </c>
      <c r="E31" s="100">
        <v>0.76</v>
      </c>
      <c r="F31" s="100">
        <v>2.83</v>
      </c>
      <c r="G31" s="100">
        <v>30.13</v>
      </c>
      <c r="H31" s="100">
        <v>14.25</v>
      </c>
      <c r="I31" s="100">
        <v>6.64</v>
      </c>
      <c r="J31" s="100">
        <v>2.87</v>
      </c>
      <c r="K31" s="100">
        <v>126.23</v>
      </c>
      <c r="L31" s="100">
        <v>27.72</v>
      </c>
      <c r="M31" s="100">
        <v>60.49</v>
      </c>
      <c r="N31" s="100">
        <v>32.4</v>
      </c>
      <c r="O31" s="100">
        <v>0</v>
      </c>
      <c r="P31" s="100">
        <v>0.4</v>
      </c>
      <c r="Q31" s="100">
        <v>27.64</v>
      </c>
      <c r="R31" s="6"/>
      <c r="S31" s="6"/>
      <c r="T31" s="156"/>
      <c r="U31" s="6"/>
    </row>
    <row r="32" spans="1:21" customFormat="1">
      <c r="A32" s="163" t="s">
        <v>1031</v>
      </c>
      <c r="B32" s="100">
        <v>8.85</v>
      </c>
      <c r="C32" s="100">
        <v>35.11</v>
      </c>
      <c r="D32" s="100">
        <v>25.44</v>
      </c>
      <c r="E32" s="100">
        <v>0.55000000000000004</v>
      </c>
      <c r="F32" s="100">
        <v>2.57</v>
      </c>
      <c r="G32" s="100">
        <v>34.19</v>
      </c>
      <c r="H32" s="100">
        <v>16.54</v>
      </c>
      <c r="I32" s="100">
        <v>6.92</v>
      </c>
      <c r="J32" s="100">
        <v>2.87</v>
      </c>
      <c r="K32" s="100">
        <v>133.93</v>
      </c>
      <c r="L32" s="100">
        <v>28.09</v>
      </c>
      <c r="M32" s="100">
        <v>58.83</v>
      </c>
      <c r="N32" s="100">
        <v>42.9</v>
      </c>
      <c r="O32" s="100">
        <v>0</v>
      </c>
      <c r="P32" s="100">
        <v>0.42</v>
      </c>
      <c r="Q32" s="100">
        <v>27.45</v>
      </c>
      <c r="R32" s="6"/>
      <c r="S32" s="6"/>
      <c r="T32" s="156"/>
      <c r="U32" s="6"/>
    </row>
    <row r="33" spans="1:21" customFormat="1">
      <c r="A33" s="163" t="s">
        <v>1032</v>
      </c>
      <c r="B33" s="100">
        <v>9.61</v>
      </c>
      <c r="C33" s="100">
        <v>34.39</v>
      </c>
      <c r="D33" s="100">
        <v>25.67</v>
      </c>
      <c r="E33" s="100">
        <v>1.28</v>
      </c>
      <c r="F33" s="100">
        <v>2.63</v>
      </c>
      <c r="G33" s="100">
        <v>49.33</v>
      </c>
      <c r="H33" s="100">
        <v>25.07</v>
      </c>
      <c r="I33" s="100">
        <v>7.11</v>
      </c>
      <c r="J33" s="100">
        <v>2.86</v>
      </c>
      <c r="K33" s="100">
        <v>123.55</v>
      </c>
      <c r="L33" s="100">
        <v>28.63</v>
      </c>
      <c r="M33" s="100">
        <v>57.79</v>
      </c>
      <c r="N33" s="100">
        <v>54.1</v>
      </c>
      <c r="O33" s="100">
        <v>0</v>
      </c>
      <c r="P33" s="100">
        <v>0.45</v>
      </c>
      <c r="Q33" s="100">
        <v>27.42</v>
      </c>
      <c r="R33" s="6"/>
      <c r="S33" s="6"/>
      <c r="T33" s="156"/>
      <c r="U33" s="6"/>
    </row>
    <row r="34" spans="1:21" customFormat="1">
      <c r="A34" s="163" t="s">
        <v>1033</v>
      </c>
      <c r="B34" s="100">
        <v>10.46</v>
      </c>
      <c r="C34" s="100">
        <v>25</v>
      </c>
      <c r="D34" s="100">
        <v>21.45</v>
      </c>
      <c r="E34" s="100">
        <v>1.05</v>
      </c>
      <c r="F34" s="100">
        <v>2.79</v>
      </c>
      <c r="G34" s="100">
        <v>49.33</v>
      </c>
      <c r="H34" s="100">
        <v>25.07</v>
      </c>
      <c r="I34" s="100">
        <v>7.46</v>
      </c>
      <c r="J34" s="100">
        <v>3.68</v>
      </c>
      <c r="K34" s="100">
        <v>143.69</v>
      </c>
      <c r="L34" s="100">
        <v>29.37</v>
      </c>
      <c r="M34" s="100">
        <v>56.13</v>
      </c>
      <c r="N34" s="100">
        <v>65.599999999999994</v>
      </c>
      <c r="O34" s="100">
        <v>0</v>
      </c>
      <c r="P34" s="100">
        <v>0.47</v>
      </c>
      <c r="Q34" s="100">
        <v>27.8</v>
      </c>
      <c r="R34" s="6"/>
      <c r="S34" s="6"/>
      <c r="T34" s="156"/>
      <c r="U34" s="6"/>
    </row>
    <row r="35" spans="1:21" customFormat="1">
      <c r="A35" s="163" t="s">
        <v>1034</v>
      </c>
      <c r="B35" s="100">
        <v>11.03</v>
      </c>
      <c r="C35" s="100">
        <v>27.35</v>
      </c>
      <c r="D35" s="100">
        <v>23.14</v>
      </c>
      <c r="E35" s="100">
        <v>0.65</v>
      </c>
      <c r="F35" s="100">
        <v>2.57</v>
      </c>
      <c r="G35" s="100">
        <v>49.33</v>
      </c>
      <c r="H35" s="100">
        <v>25.07</v>
      </c>
      <c r="I35" s="100">
        <v>7.87</v>
      </c>
      <c r="J35" s="100">
        <v>1.69</v>
      </c>
      <c r="K35" s="100">
        <v>150.44</v>
      </c>
      <c r="L35" s="100">
        <v>29.72</v>
      </c>
      <c r="M35" s="100">
        <v>54.35</v>
      </c>
      <c r="N35" s="100">
        <v>75.900000000000006</v>
      </c>
      <c r="O35" s="100">
        <v>0</v>
      </c>
      <c r="P35" s="100">
        <v>0.49</v>
      </c>
      <c r="Q35" s="100">
        <v>27.68</v>
      </c>
      <c r="R35" s="6"/>
      <c r="S35" s="6"/>
      <c r="T35" s="156"/>
      <c r="U35" s="6"/>
    </row>
    <row r="36" spans="1:21" customFormat="1">
      <c r="A36" s="163" t="s">
        <v>1035</v>
      </c>
      <c r="B36" s="100">
        <v>11.86</v>
      </c>
      <c r="C36" s="100">
        <v>32.4</v>
      </c>
      <c r="D36" s="100">
        <v>26.44</v>
      </c>
      <c r="E36" s="100">
        <v>1.1000000000000001</v>
      </c>
      <c r="F36" s="100">
        <v>2.58</v>
      </c>
      <c r="G36" s="100">
        <v>55.78</v>
      </c>
      <c r="H36" s="100">
        <v>27.69</v>
      </c>
      <c r="I36" s="100">
        <v>8.4700000000000006</v>
      </c>
      <c r="J36" s="100">
        <v>3.5</v>
      </c>
      <c r="K36" s="100">
        <v>256.64999999999998</v>
      </c>
      <c r="L36" s="100">
        <v>29.65</v>
      </c>
      <c r="M36" s="100">
        <v>57.06</v>
      </c>
      <c r="N36" s="100">
        <v>110.4</v>
      </c>
      <c r="O36" s="100">
        <v>0</v>
      </c>
      <c r="P36" s="100">
        <v>0.51</v>
      </c>
      <c r="Q36" s="100">
        <v>27.38</v>
      </c>
      <c r="R36" s="6"/>
      <c r="S36" s="6"/>
      <c r="T36" s="156"/>
      <c r="U36" s="6"/>
    </row>
    <row r="37" spans="1:21" customFormat="1">
      <c r="A37" s="163" t="s">
        <v>1036</v>
      </c>
      <c r="B37" s="100">
        <v>12.65</v>
      </c>
      <c r="C37" s="100">
        <v>33.119999999999997</v>
      </c>
      <c r="D37" s="100">
        <v>27.45</v>
      </c>
      <c r="E37" s="100">
        <v>0.88</v>
      </c>
      <c r="F37" s="100">
        <v>2.84</v>
      </c>
      <c r="G37" s="100">
        <v>81.569999999999993</v>
      </c>
      <c r="H37" s="100">
        <v>37.47</v>
      </c>
      <c r="I37" s="100">
        <v>8.75</v>
      </c>
      <c r="J37" s="100">
        <v>3.84</v>
      </c>
      <c r="K37" s="100">
        <v>231.15</v>
      </c>
      <c r="L37" s="100">
        <v>29.56</v>
      </c>
      <c r="M37" s="100">
        <v>58.47</v>
      </c>
      <c r="N37" s="100">
        <v>123.4</v>
      </c>
      <c r="O37" s="100">
        <v>0</v>
      </c>
      <c r="P37" s="100">
        <v>0.52</v>
      </c>
      <c r="Q37" s="100">
        <v>27.27</v>
      </c>
      <c r="R37" s="6"/>
      <c r="S37" s="6"/>
      <c r="T37" s="156"/>
      <c r="U37" s="6"/>
    </row>
    <row r="38" spans="1:21" customFormat="1">
      <c r="A38" s="163" t="s">
        <v>1037</v>
      </c>
      <c r="B38" s="100">
        <v>13.37</v>
      </c>
      <c r="C38" s="100">
        <v>26.35</v>
      </c>
      <c r="D38" s="100">
        <v>24.49</v>
      </c>
      <c r="E38" s="100">
        <v>0.55000000000000004</v>
      </c>
      <c r="F38" s="100">
        <v>2.89</v>
      </c>
      <c r="G38" s="100">
        <v>81.569999999999993</v>
      </c>
      <c r="H38" s="100">
        <v>37.47</v>
      </c>
      <c r="I38" s="100">
        <v>8.9600000000000009</v>
      </c>
      <c r="J38" s="100">
        <v>3.86</v>
      </c>
      <c r="K38" s="100">
        <v>220.77</v>
      </c>
      <c r="L38" s="100">
        <v>30.04</v>
      </c>
      <c r="M38" s="100">
        <v>57.41</v>
      </c>
      <c r="N38" s="100">
        <v>132.19999999999999</v>
      </c>
      <c r="O38" s="100">
        <v>0</v>
      </c>
      <c r="P38" s="100">
        <v>0.53</v>
      </c>
      <c r="Q38" s="100">
        <v>27.54</v>
      </c>
      <c r="R38" s="6"/>
      <c r="S38" s="6"/>
      <c r="T38" s="156"/>
      <c r="U38" s="6"/>
    </row>
    <row r="39" spans="1:21" customFormat="1">
      <c r="A39" s="163" t="s">
        <v>1038</v>
      </c>
      <c r="B39" s="100">
        <v>13.51</v>
      </c>
      <c r="C39" s="100">
        <v>24.65</v>
      </c>
      <c r="D39" s="100">
        <v>23.71</v>
      </c>
      <c r="E39" s="100">
        <v>0.48</v>
      </c>
      <c r="F39" s="100">
        <v>4.0199999999999996</v>
      </c>
      <c r="G39" s="100">
        <v>81.569999999999993</v>
      </c>
      <c r="H39" s="100">
        <v>37.47</v>
      </c>
      <c r="I39" s="100">
        <v>9.44</v>
      </c>
      <c r="J39" s="100">
        <v>3.51</v>
      </c>
      <c r="K39" s="100">
        <v>225.89</v>
      </c>
      <c r="L39" s="100">
        <v>30.47</v>
      </c>
      <c r="M39" s="100">
        <v>54.8</v>
      </c>
      <c r="N39" s="100">
        <v>120.7</v>
      </c>
      <c r="O39" s="100">
        <v>0</v>
      </c>
      <c r="P39" s="100">
        <v>0.55000000000000004</v>
      </c>
      <c r="Q39" s="100">
        <v>27.6</v>
      </c>
      <c r="R39" s="6"/>
      <c r="S39" s="6"/>
      <c r="T39" s="156"/>
      <c r="U39" s="6"/>
    </row>
    <row r="40" spans="1:21" customFormat="1">
      <c r="A40" s="163" t="s">
        <v>1039</v>
      </c>
      <c r="B40" s="100">
        <v>13.78</v>
      </c>
      <c r="C40" s="100">
        <v>25.42</v>
      </c>
      <c r="D40" s="100">
        <v>24.33</v>
      </c>
      <c r="E40" s="100">
        <v>0.69</v>
      </c>
      <c r="F40" s="100">
        <v>4.97</v>
      </c>
      <c r="G40" s="100">
        <v>82.52</v>
      </c>
      <c r="H40" s="100">
        <v>37.880000000000003</v>
      </c>
      <c r="I40" s="100">
        <v>9.66</v>
      </c>
      <c r="J40" s="100">
        <v>3.61</v>
      </c>
      <c r="K40" s="100">
        <v>238.16</v>
      </c>
      <c r="L40" s="100">
        <v>31.14</v>
      </c>
      <c r="M40" s="100">
        <v>52.09</v>
      </c>
      <c r="N40" s="100">
        <v>243.7</v>
      </c>
      <c r="O40" s="100">
        <v>0</v>
      </c>
      <c r="P40" s="100">
        <v>0.59</v>
      </c>
      <c r="Q40" s="100">
        <v>27.52</v>
      </c>
      <c r="R40" s="6"/>
      <c r="S40" s="6"/>
      <c r="T40" s="156"/>
      <c r="U40" s="6"/>
    </row>
    <row r="41" spans="1:21" customFormat="1">
      <c r="A41" s="163" t="s">
        <v>1040</v>
      </c>
      <c r="B41" s="100">
        <v>13.72</v>
      </c>
      <c r="C41" s="100">
        <v>26.23</v>
      </c>
      <c r="D41" s="100">
        <v>24.71</v>
      </c>
      <c r="E41" s="100">
        <v>0.38</v>
      </c>
      <c r="F41" s="100">
        <v>5.32</v>
      </c>
      <c r="G41" s="100">
        <v>86.06</v>
      </c>
      <c r="H41" s="100">
        <v>39.44</v>
      </c>
      <c r="I41" s="100">
        <v>10.06</v>
      </c>
      <c r="J41" s="100">
        <v>1.83</v>
      </c>
      <c r="K41" s="100">
        <v>198.46</v>
      </c>
      <c r="L41" s="100">
        <v>31.64</v>
      </c>
      <c r="M41" s="100">
        <v>48.85</v>
      </c>
      <c r="N41" s="100">
        <v>416.8</v>
      </c>
      <c r="O41" s="100">
        <v>0</v>
      </c>
      <c r="P41" s="100">
        <v>0.59</v>
      </c>
      <c r="Q41" s="100">
        <v>27.46</v>
      </c>
      <c r="R41" s="6"/>
      <c r="S41" s="6"/>
      <c r="T41" s="156"/>
      <c r="U41" s="6"/>
    </row>
    <row r="42" spans="1:21" customFormat="1">
      <c r="A42" s="163" t="s">
        <v>1041</v>
      </c>
      <c r="B42" s="100">
        <v>12.83</v>
      </c>
      <c r="C42" s="100">
        <v>26.12</v>
      </c>
      <c r="D42" s="100">
        <v>23.93</v>
      </c>
      <c r="E42" s="100">
        <v>0.6</v>
      </c>
      <c r="F42" s="100">
        <v>5.76</v>
      </c>
      <c r="G42" s="100">
        <v>86.06</v>
      </c>
      <c r="H42" s="100">
        <v>39.44</v>
      </c>
      <c r="I42" s="100">
        <v>10.33</v>
      </c>
      <c r="J42" s="100">
        <v>2.58</v>
      </c>
      <c r="K42" s="100">
        <v>189.85</v>
      </c>
      <c r="L42" s="100">
        <v>32.57</v>
      </c>
      <c r="M42" s="100">
        <v>46.22</v>
      </c>
      <c r="N42" s="100">
        <v>415.5</v>
      </c>
      <c r="O42" s="100">
        <v>0</v>
      </c>
      <c r="P42" s="100">
        <v>0.59</v>
      </c>
      <c r="Q42" s="100">
        <v>27.5</v>
      </c>
      <c r="R42" s="6"/>
      <c r="S42" s="6"/>
      <c r="T42" s="156"/>
      <c r="U42" s="6"/>
    </row>
    <row r="43" spans="1:21" customFormat="1">
      <c r="A43" s="163" t="s">
        <v>1042</v>
      </c>
      <c r="B43" s="100">
        <v>12.06</v>
      </c>
      <c r="C43" s="100">
        <v>25.94</v>
      </c>
      <c r="D43" s="100">
        <v>23.22</v>
      </c>
      <c r="E43" s="100">
        <v>0.49</v>
      </c>
      <c r="F43" s="100">
        <v>5.81</v>
      </c>
      <c r="G43" s="100">
        <v>86.06</v>
      </c>
      <c r="H43" s="100">
        <v>39.44</v>
      </c>
      <c r="I43" s="100">
        <v>10.29</v>
      </c>
      <c r="J43" s="100">
        <v>3.31</v>
      </c>
      <c r="K43" s="100">
        <v>193.1</v>
      </c>
      <c r="L43" s="100">
        <v>33.4</v>
      </c>
      <c r="M43" s="100">
        <v>43.17</v>
      </c>
      <c r="N43" s="100">
        <v>344.4</v>
      </c>
      <c r="O43" s="100">
        <v>0</v>
      </c>
      <c r="P43" s="100">
        <v>0.57999999999999996</v>
      </c>
      <c r="Q43" s="100">
        <v>27.55</v>
      </c>
      <c r="R43" s="6"/>
      <c r="S43" s="6"/>
      <c r="T43" s="156"/>
      <c r="U43" s="6"/>
    </row>
    <row r="44" spans="1:21" customFormat="1">
      <c r="A44" s="163" t="s">
        <v>1043</v>
      </c>
      <c r="B44" s="100">
        <v>11.54</v>
      </c>
      <c r="C44" s="100">
        <v>25.28</v>
      </c>
      <c r="D44" s="100">
        <v>22.47</v>
      </c>
      <c r="E44" s="100">
        <v>0.65</v>
      </c>
      <c r="F44" s="100">
        <v>5.38</v>
      </c>
      <c r="G44" s="100">
        <v>83.3</v>
      </c>
      <c r="H44" s="100">
        <v>38.700000000000003</v>
      </c>
      <c r="I44" s="100">
        <v>10.42</v>
      </c>
      <c r="J44" s="100">
        <v>3.16</v>
      </c>
      <c r="K44" s="100">
        <v>207.29</v>
      </c>
      <c r="L44" s="100">
        <v>33.770000000000003</v>
      </c>
      <c r="M44" s="100">
        <v>41.6</v>
      </c>
      <c r="N44" s="100">
        <v>262.89999999999998</v>
      </c>
      <c r="O44" s="100">
        <v>0</v>
      </c>
      <c r="P44" s="100">
        <v>0.59</v>
      </c>
      <c r="Q44" s="100">
        <v>27.6</v>
      </c>
      <c r="R44" s="6"/>
      <c r="S44" s="6"/>
      <c r="T44" s="156"/>
      <c r="U44" s="6"/>
    </row>
    <row r="45" spans="1:21" customFormat="1">
      <c r="A45" s="163" t="s">
        <v>1044</v>
      </c>
      <c r="B45" s="100">
        <v>11.47</v>
      </c>
      <c r="C45" s="100">
        <v>27.71</v>
      </c>
      <c r="D45" s="100">
        <v>23.68</v>
      </c>
      <c r="E45" s="100">
        <v>0.32</v>
      </c>
      <c r="F45" s="100">
        <v>4.01</v>
      </c>
      <c r="G45" s="100">
        <v>73.010000000000005</v>
      </c>
      <c r="H45" s="100">
        <v>35.97</v>
      </c>
      <c r="I45" s="100">
        <v>10.26</v>
      </c>
      <c r="J45" s="100">
        <v>3.81</v>
      </c>
      <c r="K45" s="100">
        <v>236.31</v>
      </c>
      <c r="L45" s="100">
        <v>34.340000000000003</v>
      </c>
      <c r="M45" s="100">
        <v>41.55</v>
      </c>
      <c r="N45" s="100">
        <v>254.2</v>
      </c>
      <c r="O45" s="100">
        <v>0</v>
      </c>
      <c r="P45" s="100">
        <v>0.62</v>
      </c>
      <c r="Q45" s="100">
        <v>27.52</v>
      </c>
      <c r="R45" s="6"/>
      <c r="S45" s="6"/>
      <c r="T45" s="156"/>
      <c r="U45" s="6"/>
    </row>
    <row r="46" spans="1:21" customFormat="1">
      <c r="A46" s="163" t="s">
        <v>1045</v>
      </c>
      <c r="B46" s="100">
        <v>11.45</v>
      </c>
      <c r="C46" s="100">
        <v>28.94</v>
      </c>
      <c r="D46" s="100">
        <v>24.3</v>
      </c>
      <c r="E46" s="100">
        <v>0.3</v>
      </c>
      <c r="F46" s="100">
        <v>3.71</v>
      </c>
      <c r="G46" s="100">
        <v>73.010000000000005</v>
      </c>
      <c r="H46" s="100">
        <v>35.97</v>
      </c>
      <c r="I46" s="100">
        <v>10.42</v>
      </c>
      <c r="J46" s="100">
        <v>3.11</v>
      </c>
      <c r="K46" s="100">
        <v>211.73</v>
      </c>
      <c r="L46" s="100">
        <v>35.26</v>
      </c>
      <c r="M46" s="100">
        <v>41.06</v>
      </c>
      <c r="N46" s="100">
        <v>315.10000000000002</v>
      </c>
      <c r="O46" s="100">
        <v>0</v>
      </c>
      <c r="P46" s="100">
        <v>0.66</v>
      </c>
      <c r="Q46" s="100">
        <v>27.5</v>
      </c>
      <c r="R46" s="6"/>
      <c r="S46" s="6"/>
      <c r="T46" s="156"/>
      <c r="U46" s="6"/>
    </row>
    <row r="47" spans="1:21" customFormat="1">
      <c r="A47" s="163" t="s">
        <v>1046</v>
      </c>
      <c r="B47" s="100">
        <v>10.76</v>
      </c>
      <c r="C47" s="100">
        <v>28.12</v>
      </c>
      <c r="D47" s="100">
        <v>23.32</v>
      </c>
      <c r="E47" s="100">
        <v>0.75</v>
      </c>
      <c r="F47" s="100">
        <v>5.26</v>
      </c>
      <c r="G47" s="100">
        <v>73.010000000000005</v>
      </c>
      <c r="H47" s="100">
        <v>35.97</v>
      </c>
      <c r="I47" s="100">
        <v>11.06</v>
      </c>
      <c r="J47" s="100">
        <v>2.99</v>
      </c>
      <c r="K47" s="100">
        <v>210.23</v>
      </c>
      <c r="L47" s="100">
        <v>36</v>
      </c>
      <c r="M47" s="100">
        <v>38.549999999999997</v>
      </c>
      <c r="N47" s="100">
        <v>563.9</v>
      </c>
      <c r="O47" s="100">
        <v>0</v>
      </c>
      <c r="P47" s="100">
        <v>0.66</v>
      </c>
      <c r="Q47" s="100">
        <v>27.6</v>
      </c>
      <c r="R47" s="6"/>
      <c r="S47" s="6"/>
      <c r="T47" s="156"/>
      <c r="U47" s="6"/>
    </row>
    <row r="48" spans="1:21" customFormat="1">
      <c r="A48" s="163" t="s">
        <v>1047</v>
      </c>
      <c r="B48" s="100">
        <v>9.64</v>
      </c>
      <c r="C48" s="100">
        <v>22.17</v>
      </c>
      <c r="D48" s="100">
        <v>19.309999999999999</v>
      </c>
      <c r="E48" s="100">
        <v>0.69</v>
      </c>
      <c r="F48" s="100">
        <v>8.8000000000000007</v>
      </c>
      <c r="G48" s="100">
        <v>70.33</v>
      </c>
      <c r="H48" s="100">
        <v>35.14</v>
      </c>
      <c r="I48" s="100">
        <v>11.91</v>
      </c>
      <c r="J48" s="100">
        <v>1.84</v>
      </c>
      <c r="K48" s="100">
        <v>189.55</v>
      </c>
      <c r="L48" s="100">
        <v>37.35</v>
      </c>
      <c r="M48" s="100">
        <v>35.950000000000003</v>
      </c>
      <c r="N48" s="100">
        <v>747.7</v>
      </c>
      <c r="O48" s="100">
        <v>0</v>
      </c>
      <c r="P48" s="100">
        <v>0.64</v>
      </c>
      <c r="Q48" s="100">
        <v>27.98</v>
      </c>
      <c r="R48" s="6"/>
      <c r="S48" s="6"/>
      <c r="T48" s="156"/>
      <c r="U48" s="6"/>
    </row>
    <row r="49" spans="1:21" customFormat="1">
      <c r="A49" s="163" t="s">
        <v>1048</v>
      </c>
      <c r="B49" s="100">
        <v>8.41</v>
      </c>
      <c r="C49" s="100">
        <v>23.77</v>
      </c>
      <c r="D49" s="100">
        <v>19.16</v>
      </c>
      <c r="E49" s="100">
        <v>0.82</v>
      </c>
      <c r="F49" s="100">
        <v>8.2799999999999994</v>
      </c>
      <c r="G49" s="100">
        <v>60.32</v>
      </c>
      <c r="H49" s="100">
        <v>32.04</v>
      </c>
      <c r="I49" s="100">
        <v>12.09</v>
      </c>
      <c r="J49" s="100">
        <v>2.4700000000000002</v>
      </c>
      <c r="K49" s="100">
        <v>239.78</v>
      </c>
      <c r="L49" s="100">
        <v>37.659999999999997</v>
      </c>
      <c r="M49" s="100">
        <v>35.17</v>
      </c>
      <c r="N49" s="100">
        <v>775.1</v>
      </c>
      <c r="O49" s="100">
        <v>0</v>
      </c>
      <c r="P49" s="100">
        <v>0.64</v>
      </c>
      <c r="Q49" s="100">
        <v>28.03</v>
      </c>
      <c r="R49" s="6"/>
      <c r="S49" s="6"/>
      <c r="T49" s="156"/>
      <c r="U49" s="6"/>
    </row>
    <row r="50" spans="1:21" customFormat="1">
      <c r="A50" s="163" t="s">
        <v>1049</v>
      </c>
      <c r="B50" s="100">
        <v>7.53</v>
      </c>
      <c r="C50" s="100">
        <v>28.27</v>
      </c>
      <c r="D50" s="100">
        <v>20.81</v>
      </c>
      <c r="E50" s="100">
        <v>1.1399999999999999</v>
      </c>
      <c r="F50" s="100">
        <v>10.25</v>
      </c>
      <c r="G50" s="100">
        <v>60.32</v>
      </c>
      <c r="H50" s="100">
        <v>32.04</v>
      </c>
      <c r="I50" s="100">
        <v>11.96</v>
      </c>
      <c r="J50" s="100">
        <v>2.44</v>
      </c>
      <c r="K50" s="100">
        <v>280.72000000000003</v>
      </c>
      <c r="L50" s="100">
        <v>36.770000000000003</v>
      </c>
      <c r="M50" s="100">
        <v>35.11</v>
      </c>
      <c r="N50" s="100">
        <v>789.7</v>
      </c>
      <c r="O50" s="100">
        <v>0</v>
      </c>
      <c r="P50" s="100">
        <v>0.66</v>
      </c>
      <c r="Q50" s="100">
        <v>27.86</v>
      </c>
      <c r="R50" s="6"/>
      <c r="S50" s="6"/>
      <c r="T50" s="156"/>
      <c r="U50" s="6"/>
    </row>
    <row r="51" spans="1:21" customFormat="1">
      <c r="A51" s="163" t="s">
        <v>1050</v>
      </c>
      <c r="B51" s="100">
        <v>3.74</v>
      </c>
      <c r="C51" s="100">
        <v>21.35</v>
      </c>
      <c r="D51" s="100">
        <v>14.15</v>
      </c>
      <c r="E51" s="100">
        <v>1.41</v>
      </c>
      <c r="F51" s="100">
        <v>21.34</v>
      </c>
      <c r="G51" s="100">
        <v>60.32</v>
      </c>
      <c r="H51" s="100">
        <v>32.04</v>
      </c>
      <c r="I51" s="100">
        <v>11.82</v>
      </c>
      <c r="J51" s="100">
        <v>2.5299999999999998</v>
      </c>
      <c r="K51" s="100">
        <v>233.7</v>
      </c>
      <c r="L51" s="100">
        <v>37.78</v>
      </c>
      <c r="M51" s="100">
        <v>32.53</v>
      </c>
      <c r="N51" s="100">
        <v>807.9</v>
      </c>
      <c r="O51" s="100">
        <v>0</v>
      </c>
      <c r="P51" s="100">
        <v>0.69</v>
      </c>
      <c r="Q51" s="100">
        <v>28.2</v>
      </c>
      <c r="R51" s="6"/>
      <c r="S51" s="6"/>
      <c r="T51" s="156"/>
      <c r="U51" s="6"/>
    </row>
    <row r="52" spans="1:21" customFormat="1">
      <c r="A52" s="163" t="s">
        <v>1051</v>
      </c>
      <c r="B52" s="100">
        <v>1.43</v>
      </c>
      <c r="C52" s="100">
        <v>21.49</v>
      </c>
      <c r="D52" s="100">
        <v>12.37</v>
      </c>
      <c r="E52" s="100">
        <v>4.0199999999999996</v>
      </c>
      <c r="F52" s="100">
        <v>16.760000000000002</v>
      </c>
      <c r="G52" s="100">
        <v>56.64</v>
      </c>
      <c r="H52" s="100">
        <v>30.7</v>
      </c>
      <c r="I52" s="100">
        <v>12.07</v>
      </c>
      <c r="J52" s="100">
        <v>3.46</v>
      </c>
      <c r="K52" s="100">
        <v>248.4</v>
      </c>
      <c r="L52" s="100">
        <v>37.42</v>
      </c>
      <c r="M52" s="100">
        <v>31.2</v>
      </c>
      <c r="N52" s="100">
        <v>819.5</v>
      </c>
      <c r="O52" s="100">
        <v>0</v>
      </c>
      <c r="P52" s="100">
        <v>0.73</v>
      </c>
      <c r="Q52" s="100">
        <v>28.43</v>
      </c>
      <c r="R52" s="6"/>
      <c r="S52" s="6"/>
      <c r="T52" s="156"/>
      <c r="U52" s="6"/>
    </row>
    <row r="53" spans="1:21" customFormat="1">
      <c r="A53" s="163" t="s">
        <v>1052</v>
      </c>
      <c r="B53" s="100">
        <v>1.19</v>
      </c>
      <c r="C53" s="100">
        <v>19.63</v>
      </c>
      <c r="D53" s="100">
        <v>11.21</v>
      </c>
      <c r="E53" s="100">
        <v>3.71</v>
      </c>
      <c r="F53" s="100">
        <v>19.68</v>
      </c>
      <c r="G53" s="100">
        <v>42.9</v>
      </c>
      <c r="H53" s="100">
        <v>25.68</v>
      </c>
      <c r="I53" s="100">
        <v>12.29</v>
      </c>
      <c r="J53" s="100">
        <v>3.69</v>
      </c>
      <c r="K53" s="100">
        <v>225.78</v>
      </c>
      <c r="L53" s="100">
        <v>37.75</v>
      </c>
      <c r="M53" s="100">
        <v>30.44</v>
      </c>
      <c r="N53" s="100">
        <v>837.9</v>
      </c>
      <c r="O53" s="100">
        <v>0</v>
      </c>
      <c r="P53" s="100">
        <v>0.65</v>
      </c>
      <c r="Q53" s="100">
        <v>28.58</v>
      </c>
      <c r="R53" s="6"/>
      <c r="S53" s="6"/>
      <c r="T53" s="156"/>
      <c r="U53" s="6"/>
    </row>
    <row r="54" spans="1:21" customFormat="1">
      <c r="A54" s="163" t="s">
        <v>1053</v>
      </c>
      <c r="B54" s="100">
        <v>0.96</v>
      </c>
      <c r="C54" s="100">
        <v>19.39</v>
      </c>
      <c r="D54" s="100">
        <v>10.9</v>
      </c>
      <c r="E54" s="100">
        <v>6.17</v>
      </c>
      <c r="F54" s="100">
        <v>35.29</v>
      </c>
      <c r="G54" s="100">
        <v>42.9</v>
      </c>
      <c r="H54" s="100">
        <v>25.68</v>
      </c>
      <c r="I54" s="100">
        <v>12.66</v>
      </c>
      <c r="J54" s="100">
        <v>3.28</v>
      </c>
      <c r="K54" s="100">
        <v>243.78</v>
      </c>
      <c r="L54" s="100">
        <v>38.020000000000003</v>
      </c>
      <c r="M54" s="100">
        <v>29.81</v>
      </c>
      <c r="N54" s="100">
        <v>849.8</v>
      </c>
      <c r="O54" s="100">
        <v>0</v>
      </c>
      <c r="P54" s="100">
        <v>0.72</v>
      </c>
      <c r="Q54" s="100">
        <v>28.59</v>
      </c>
      <c r="R54" s="6"/>
      <c r="S54" s="6"/>
      <c r="T54" s="156"/>
      <c r="U54" s="6"/>
    </row>
    <row r="55" spans="1:21" customFormat="1">
      <c r="A55" s="163" t="s">
        <v>1054</v>
      </c>
      <c r="B55" s="100">
        <v>0.4</v>
      </c>
      <c r="C55" s="100">
        <v>22.11</v>
      </c>
      <c r="D55" s="100">
        <v>11.88</v>
      </c>
      <c r="E55" s="100">
        <v>9.6199999999999992</v>
      </c>
      <c r="F55" s="100">
        <v>26.22</v>
      </c>
      <c r="G55" s="100">
        <v>42.9</v>
      </c>
      <c r="H55" s="100">
        <v>25.68</v>
      </c>
      <c r="I55" s="100">
        <v>13.16</v>
      </c>
      <c r="J55" s="100">
        <v>2.63</v>
      </c>
      <c r="K55" s="100">
        <v>187.64</v>
      </c>
      <c r="L55" s="100">
        <v>39.380000000000003</v>
      </c>
      <c r="M55" s="100">
        <v>28.24</v>
      </c>
      <c r="N55" s="100">
        <v>846.7</v>
      </c>
      <c r="O55" s="100">
        <v>0</v>
      </c>
      <c r="P55" s="100">
        <v>0.73</v>
      </c>
      <c r="Q55" s="100">
        <v>28.43</v>
      </c>
      <c r="R55" s="6"/>
      <c r="S55" s="6"/>
      <c r="T55" s="156"/>
      <c r="U55" s="6"/>
    </row>
    <row r="56" spans="1:21" customFormat="1">
      <c r="A56" s="163" t="s">
        <v>1055</v>
      </c>
      <c r="B56" s="100">
        <v>0.32</v>
      </c>
      <c r="C56" s="100">
        <v>21.76</v>
      </c>
      <c r="D56" s="100">
        <v>11.62</v>
      </c>
      <c r="E56" s="100">
        <v>11.51</v>
      </c>
      <c r="F56" s="100">
        <v>24.1</v>
      </c>
      <c r="G56" s="100">
        <v>44.25</v>
      </c>
      <c r="H56" s="100">
        <v>25.93</v>
      </c>
      <c r="I56" s="100">
        <v>14.82</v>
      </c>
      <c r="J56" s="100">
        <v>3.16</v>
      </c>
      <c r="K56" s="100">
        <v>198.29</v>
      </c>
      <c r="L56" s="100">
        <v>39.26</v>
      </c>
      <c r="M56" s="100">
        <v>27.48</v>
      </c>
      <c r="N56" s="100">
        <v>848.8</v>
      </c>
      <c r="O56" s="100">
        <v>0</v>
      </c>
      <c r="P56" s="100">
        <v>0.71</v>
      </c>
      <c r="Q56" s="100">
        <v>28.51</v>
      </c>
      <c r="R56" s="6"/>
      <c r="S56" s="6"/>
      <c r="T56" s="156"/>
      <c r="U56" s="6"/>
    </row>
    <row r="57" spans="1:21" customFormat="1">
      <c r="A57" s="163" t="s">
        <v>1056</v>
      </c>
      <c r="B57" s="100">
        <v>0.81</v>
      </c>
      <c r="C57" s="100">
        <v>26.19</v>
      </c>
      <c r="D57" s="100">
        <v>14.33</v>
      </c>
      <c r="E57" s="100">
        <v>11.72</v>
      </c>
      <c r="F57" s="100">
        <v>15.1</v>
      </c>
      <c r="G57" s="100">
        <v>49.31</v>
      </c>
      <c r="H57" s="100">
        <v>26.84</v>
      </c>
      <c r="I57" s="100">
        <v>15.39</v>
      </c>
      <c r="J57" s="100">
        <v>3.17</v>
      </c>
      <c r="K57" s="100">
        <v>229.25</v>
      </c>
      <c r="L57" s="100">
        <v>38.799999999999997</v>
      </c>
      <c r="M57" s="100">
        <v>27.69</v>
      </c>
      <c r="N57" s="100">
        <v>802.7</v>
      </c>
      <c r="O57" s="100">
        <v>0</v>
      </c>
      <c r="P57" s="100">
        <v>0.7</v>
      </c>
      <c r="Q57" s="100">
        <v>28.41</v>
      </c>
      <c r="R57" s="6"/>
      <c r="S57" s="6"/>
      <c r="T57" s="156"/>
      <c r="U57" s="6"/>
    </row>
    <row r="58" spans="1:21" customFormat="1">
      <c r="A58" s="163" t="s">
        <v>1057</v>
      </c>
      <c r="B58" s="100">
        <v>0.52</v>
      </c>
      <c r="C58" s="100">
        <v>29.13</v>
      </c>
      <c r="D58" s="100">
        <v>15.64</v>
      </c>
      <c r="E58" s="100">
        <v>11.81</v>
      </c>
      <c r="F58" s="100">
        <v>12.96</v>
      </c>
      <c r="G58" s="100">
        <v>49.31</v>
      </c>
      <c r="H58" s="100">
        <v>26.84</v>
      </c>
      <c r="I58" s="100">
        <v>14.83</v>
      </c>
      <c r="J58" s="100">
        <v>2.2200000000000002</v>
      </c>
      <c r="K58" s="100">
        <v>220.71</v>
      </c>
      <c r="L58" s="100">
        <v>39.53</v>
      </c>
      <c r="M58" s="100">
        <v>26.25</v>
      </c>
      <c r="N58" s="100">
        <v>916.2</v>
      </c>
      <c r="O58" s="100">
        <v>0</v>
      </c>
      <c r="P58" s="100">
        <v>0.7</v>
      </c>
      <c r="Q58" s="100">
        <v>28.21</v>
      </c>
      <c r="R58" s="6"/>
      <c r="S58" s="6"/>
      <c r="T58" s="156"/>
      <c r="U58" s="6"/>
    </row>
    <row r="59" spans="1:21" customFormat="1">
      <c r="A59" s="163" t="s">
        <v>1058</v>
      </c>
      <c r="B59" s="100">
        <v>0.59</v>
      </c>
      <c r="C59" s="100">
        <v>21.58</v>
      </c>
      <c r="D59" s="100">
        <v>11.75</v>
      </c>
      <c r="E59" s="100">
        <v>12.76</v>
      </c>
      <c r="F59" s="100">
        <v>20.07</v>
      </c>
      <c r="G59" s="100">
        <v>49.31</v>
      </c>
      <c r="H59" s="100">
        <v>26.84</v>
      </c>
      <c r="I59" s="100">
        <v>14.48</v>
      </c>
      <c r="J59" s="100">
        <v>2.15</v>
      </c>
      <c r="K59" s="100">
        <v>177.92</v>
      </c>
      <c r="L59" s="100">
        <v>40.22</v>
      </c>
      <c r="M59" s="100">
        <v>25.28</v>
      </c>
      <c r="N59" s="100">
        <v>898.1</v>
      </c>
      <c r="O59" s="100">
        <v>0</v>
      </c>
      <c r="P59" s="100">
        <v>0.66</v>
      </c>
      <c r="Q59" s="100">
        <v>28.53</v>
      </c>
      <c r="R59" s="6"/>
      <c r="S59" s="6"/>
      <c r="T59" s="156"/>
      <c r="U59" s="6"/>
    </row>
    <row r="60" spans="1:21" customFormat="1">
      <c r="A60" s="163" t="s">
        <v>1059</v>
      </c>
      <c r="B60" s="100">
        <v>0.57999999999999996</v>
      </c>
      <c r="C60" s="100">
        <v>17.350000000000001</v>
      </c>
      <c r="D60" s="100">
        <v>9.5299999999999994</v>
      </c>
      <c r="E60" s="100">
        <v>12.66</v>
      </c>
      <c r="F60" s="100">
        <v>19.600000000000001</v>
      </c>
      <c r="G60" s="100">
        <v>50.35</v>
      </c>
      <c r="H60" s="100">
        <v>25.87</v>
      </c>
      <c r="I60" s="100">
        <v>14.42</v>
      </c>
      <c r="J60" s="100">
        <v>2.54</v>
      </c>
      <c r="K60" s="100">
        <v>213.62</v>
      </c>
      <c r="L60" s="100">
        <v>41.23</v>
      </c>
      <c r="M60" s="100">
        <v>23</v>
      </c>
      <c r="N60" s="100">
        <v>885.7</v>
      </c>
      <c r="O60" s="100">
        <v>0</v>
      </c>
      <c r="P60" s="100">
        <v>0.65</v>
      </c>
      <c r="Q60" s="100">
        <v>28.82</v>
      </c>
      <c r="R60" s="6"/>
      <c r="S60" s="6"/>
      <c r="T60" s="156"/>
      <c r="U60" s="6"/>
    </row>
    <row r="61" spans="1:21" customFormat="1">
      <c r="A61" s="163" t="s">
        <v>1060</v>
      </c>
      <c r="B61" s="100">
        <v>0.73</v>
      </c>
      <c r="C61" s="100">
        <v>19.3</v>
      </c>
      <c r="D61" s="100">
        <v>10.67</v>
      </c>
      <c r="E61" s="100">
        <v>12.6</v>
      </c>
      <c r="F61" s="100">
        <v>18.57</v>
      </c>
      <c r="G61" s="100">
        <v>54.22</v>
      </c>
      <c r="H61" s="100">
        <v>22.22</v>
      </c>
      <c r="I61" s="100">
        <v>13.95</v>
      </c>
      <c r="J61" s="100">
        <v>2.25</v>
      </c>
      <c r="K61" s="100">
        <v>201.81</v>
      </c>
      <c r="L61" s="100">
        <v>40.950000000000003</v>
      </c>
      <c r="M61" s="100">
        <v>23.13</v>
      </c>
      <c r="N61" s="100">
        <v>878.4</v>
      </c>
      <c r="O61" s="100">
        <v>0</v>
      </c>
      <c r="P61" s="100">
        <v>0.65</v>
      </c>
      <c r="Q61" s="100">
        <v>28.77</v>
      </c>
      <c r="R61" s="6"/>
      <c r="S61" s="6"/>
      <c r="T61" s="156"/>
      <c r="U61" s="6"/>
    </row>
    <row r="62" spans="1:21" customFormat="1">
      <c r="A62" s="163" t="s">
        <v>1061</v>
      </c>
      <c r="B62" s="100">
        <v>0.78</v>
      </c>
      <c r="C62" s="100">
        <v>18.489999999999998</v>
      </c>
      <c r="D62" s="100">
        <v>10.29</v>
      </c>
      <c r="E62" s="100">
        <v>12.95</v>
      </c>
      <c r="F62" s="100">
        <v>22</v>
      </c>
      <c r="G62" s="100">
        <v>54.22</v>
      </c>
      <c r="H62" s="100">
        <v>22.22</v>
      </c>
      <c r="I62" s="100">
        <v>13.76</v>
      </c>
      <c r="J62" s="100">
        <v>2.2200000000000002</v>
      </c>
      <c r="K62" s="100">
        <v>342.25</v>
      </c>
      <c r="L62" s="100">
        <v>40.72</v>
      </c>
      <c r="M62" s="100">
        <v>22.5</v>
      </c>
      <c r="N62" s="100">
        <v>837.8</v>
      </c>
      <c r="O62" s="100">
        <v>0</v>
      </c>
      <c r="P62" s="100">
        <v>0.65</v>
      </c>
      <c r="Q62" s="100">
        <v>28.82</v>
      </c>
      <c r="R62" s="6"/>
      <c r="S62" s="6"/>
      <c r="T62" s="156"/>
      <c r="U62" s="6"/>
    </row>
    <row r="63" spans="1:21" customFormat="1">
      <c r="A63" s="163" t="s">
        <v>1062</v>
      </c>
      <c r="B63" s="100">
        <v>0.74</v>
      </c>
      <c r="C63" s="100">
        <v>21.68</v>
      </c>
      <c r="D63" s="100">
        <v>11.92</v>
      </c>
      <c r="E63" s="100">
        <v>13.4</v>
      </c>
      <c r="F63" s="100">
        <v>22.83</v>
      </c>
      <c r="G63" s="100">
        <v>54.22</v>
      </c>
      <c r="H63" s="100">
        <v>22.22</v>
      </c>
      <c r="I63" s="100">
        <v>13.81</v>
      </c>
      <c r="J63" s="100">
        <v>2.04</v>
      </c>
      <c r="K63" s="100">
        <v>221.49</v>
      </c>
      <c r="L63" s="100">
        <v>41.49</v>
      </c>
      <c r="M63" s="100">
        <v>21.74</v>
      </c>
      <c r="N63" s="100">
        <v>791.8</v>
      </c>
      <c r="O63" s="100">
        <v>0</v>
      </c>
      <c r="P63" s="100">
        <v>0.65</v>
      </c>
      <c r="Q63" s="100">
        <v>28.75</v>
      </c>
      <c r="R63" s="6"/>
      <c r="S63" s="6"/>
      <c r="T63" s="156"/>
      <c r="U63" s="6"/>
    </row>
    <row r="64" spans="1:21" customFormat="1">
      <c r="A64" s="163" t="s">
        <v>1063</v>
      </c>
      <c r="B64" s="100">
        <v>0.7</v>
      </c>
      <c r="C64" s="100">
        <v>22.12</v>
      </c>
      <c r="D64" s="100">
        <v>12.11</v>
      </c>
      <c r="E64" s="100">
        <v>12.83</v>
      </c>
      <c r="F64" s="100">
        <v>33.270000000000003</v>
      </c>
      <c r="G64" s="100">
        <v>51.71</v>
      </c>
      <c r="H64" s="100">
        <v>21.83</v>
      </c>
      <c r="I64" s="100">
        <v>13.87</v>
      </c>
      <c r="J64" s="100">
        <v>2.97</v>
      </c>
      <c r="K64" s="100">
        <v>201.27</v>
      </c>
      <c r="L64" s="100">
        <v>41.84</v>
      </c>
      <c r="M64" s="100">
        <v>21.05</v>
      </c>
      <c r="N64" s="100">
        <v>796.4</v>
      </c>
      <c r="O64" s="100">
        <v>0</v>
      </c>
      <c r="P64" s="100">
        <v>0.63</v>
      </c>
      <c r="Q64" s="100">
        <v>28.71</v>
      </c>
      <c r="R64" s="6"/>
      <c r="S64" s="6"/>
      <c r="T64" s="156"/>
      <c r="U64" s="6"/>
    </row>
    <row r="65" spans="1:21" customFormat="1">
      <c r="A65" s="163" t="s">
        <v>1064</v>
      </c>
      <c r="B65" s="100">
        <v>0.74</v>
      </c>
      <c r="C65" s="100">
        <v>22.24</v>
      </c>
      <c r="D65" s="100">
        <v>12.22</v>
      </c>
      <c r="E65" s="100">
        <v>12.26</v>
      </c>
      <c r="F65" s="100">
        <v>24.67</v>
      </c>
      <c r="G65" s="100">
        <v>42.33</v>
      </c>
      <c r="H65" s="100">
        <v>20.399999999999999</v>
      </c>
      <c r="I65" s="100">
        <v>13.42</v>
      </c>
      <c r="J65" s="100">
        <v>2.87</v>
      </c>
      <c r="K65" s="100">
        <v>225.27</v>
      </c>
      <c r="L65" s="100">
        <v>41.82</v>
      </c>
      <c r="M65" s="100">
        <v>19.88</v>
      </c>
      <c r="N65" s="100">
        <v>774.6</v>
      </c>
      <c r="O65" s="100">
        <v>0</v>
      </c>
      <c r="P65" s="100">
        <v>0.63</v>
      </c>
      <c r="Q65" s="100">
        <v>28.66</v>
      </c>
      <c r="R65" s="6"/>
      <c r="S65" s="6"/>
      <c r="T65" s="156"/>
      <c r="U65" s="6"/>
    </row>
    <row r="66" spans="1:21" customFormat="1">
      <c r="A66" s="163" t="s">
        <v>1065</v>
      </c>
      <c r="B66" s="100">
        <v>0.85</v>
      </c>
      <c r="C66" s="100">
        <v>20.73</v>
      </c>
      <c r="D66" s="100">
        <v>11.51</v>
      </c>
      <c r="E66" s="100">
        <v>12.06</v>
      </c>
      <c r="F66" s="100">
        <v>17.489999999999998</v>
      </c>
      <c r="G66" s="100">
        <v>42.33</v>
      </c>
      <c r="H66" s="100">
        <v>20.399999999999999</v>
      </c>
      <c r="I66" s="100">
        <v>13.35</v>
      </c>
      <c r="J66" s="100">
        <v>3.72</v>
      </c>
      <c r="K66" s="100">
        <v>224.35</v>
      </c>
      <c r="L66" s="100">
        <v>42.19</v>
      </c>
      <c r="M66" s="100">
        <v>18.850000000000001</v>
      </c>
      <c r="N66" s="100">
        <v>731.6</v>
      </c>
      <c r="O66" s="100">
        <v>0</v>
      </c>
      <c r="P66" s="100">
        <v>0.6</v>
      </c>
      <c r="Q66" s="100">
        <v>28.71</v>
      </c>
      <c r="R66" s="6"/>
      <c r="S66" s="6"/>
      <c r="T66" s="156"/>
      <c r="U66" s="6"/>
    </row>
    <row r="67" spans="1:21" customFormat="1">
      <c r="A67" s="163" t="s">
        <v>1066</v>
      </c>
      <c r="B67" s="100">
        <v>0.82</v>
      </c>
      <c r="C67" s="100">
        <v>20.239999999999998</v>
      </c>
      <c r="D67" s="100">
        <v>11.24</v>
      </c>
      <c r="E67" s="100">
        <v>11.9</v>
      </c>
      <c r="F67" s="100">
        <v>24.37</v>
      </c>
      <c r="G67" s="100">
        <v>42.33</v>
      </c>
      <c r="H67" s="100">
        <v>20.399999999999999</v>
      </c>
      <c r="I67" s="100">
        <v>13.14</v>
      </c>
      <c r="J67" s="100">
        <v>0.4</v>
      </c>
      <c r="K67" s="100">
        <v>268.92</v>
      </c>
      <c r="L67" s="100">
        <v>41.63</v>
      </c>
      <c r="M67" s="100">
        <v>20.28</v>
      </c>
      <c r="N67" s="100">
        <v>692.6</v>
      </c>
      <c r="O67" s="100">
        <v>0</v>
      </c>
      <c r="P67" s="100">
        <v>0.6</v>
      </c>
      <c r="Q67" s="100">
        <v>28.74</v>
      </c>
      <c r="R67" s="6"/>
      <c r="S67" s="6"/>
      <c r="T67" s="156"/>
      <c r="U67" s="6"/>
    </row>
    <row r="68" spans="1:21" customFormat="1">
      <c r="A68" s="163" t="s">
        <v>1067</v>
      </c>
      <c r="B68" s="100">
        <v>0.9</v>
      </c>
      <c r="C68" s="100">
        <v>18.82</v>
      </c>
      <c r="D68" s="100">
        <v>10.55</v>
      </c>
      <c r="E68" s="100">
        <v>11.95</v>
      </c>
      <c r="F68" s="100">
        <v>25.76</v>
      </c>
      <c r="G68" s="100">
        <v>42.13</v>
      </c>
      <c r="H68" s="100">
        <v>19.72</v>
      </c>
      <c r="I68" s="100">
        <v>12.57</v>
      </c>
      <c r="J68" s="100">
        <v>2.48</v>
      </c>
      <c r="K68" s="100">
        <v>153.85</v>
      </c>
      <c r="L68" s="100">
        <v>42.86</v>
      </c>
      <c r="M68" s="100">
        <v>19.71</v>
      </c>
      <c r="N68" s="100">
        <v>637.1</v>
      </c>
      <c r="O68" s="100">
        <v>0</v>
      </c>
      <c r="P68" s="100">
        <v>0.56999999999999995</v>
      </c>
      <c r="Q68" s="100">
        <v>28.79</v>
      </c>
      <c r="R68" s="6"/>
      <c r="S68" s="6"/>
      <c r="T68" s="156"/>
      <c r="U68" s="6"/>
    </row>
    <row r="69" spans="1:21" customFormat="1">
      <c r="A69" s="163" t="s">
        <v>1068</v>
      </c>
      <c r="B69" s="100">
        <v>0.8</v>
      </c>
      <c r="C69" s="100">
        <v>18.170000000000002</v>
      </c>
      <c r="D69" s="100">
        <v>10.14</v>
      </c>
      <c r="E69" s="100">
        <v>11.45</v>
      </c>
      <c r="F69" s="100">
        <v>27.04</v>
      </c>
      <c r="G69" s="100">
        <v>41.42</v>
      </c>
      <c r="H69" s="100">
        <v>17.170000000000002</v>
      </c>
      <c r="I69" s="100">
        <v>12.26</v>
      </c>
      <c r="J69" s="100">
        <v>1.95</v>
      </c>
      <c r="K69" s="100">
        <v>147.76</v>
      </c>
      <c r="L69" s="100">
        <v>43.41</v>
      </c>
      <c r="M69" s="100">
        <v>19.03</v>
      </c>
      <c r="N69" s="100">
        <v>596.70000000000005</v>
      </c>
      <c r="O69" s="100">
        <v>0</v>
      </c>
      <c r="P69" s="100">
        <v>0.54</v>
      </c>
      <c r="Q69" s="100">
        <v>28.84</v>
      </c>
      <c r="R69" s="6"/>
      <c r="S69" s="6"/>
      <c r="T69" s="156"/>
      <c r="U69" s="6"/>
    </row>
    <row r="70" spans="1:21" customFormat="1">
      <c r="A70" s="163" t="s">
        <v>1069</v>
      </c>
      <c r="B70" s="100">
        <v>0.86</v>
      </c>
      <c r="C70" s="100">
        <v>17.78</v>
      </c>
      <c r="D70" s="100">
        <v>9.98</v>
      </c>
      <c r="E70" s="100">
        <v>11.26</v>
      </c>
      <c r="F70" s="100">
        <v>15.5</v>
      </c>
      <c r="G70" s="100">
        <v>41.42</v>
      </c>
      <c r="H70" s="100">
        <v>17.170000000000002</v>
      </c>
      <c r="I70" s="100">
        <v>11.56</v>
      </c>
      <c r="J70" s="100">
        <v>2.0099999999999998</v>
      </c>
      <c r="K70" s="100">
        <v>159.30000000000001</v>
      </c>
      <c r="L70" s="100">
        <v>43.86</v>
      </c>
      <c r="M70" s="100">
        <v>18.25</v>
      </c>
      <c r="N70" s="100">
        <v>556.79999999999995</v>
      </c>
      <c r="O70" s="100">
        <v>0</v>
      </c>
      <c r="P70" s="100">
        <v>0.54</v>
      </c>
      <c r="Q70" s="100">
        <v>28.86</v>
      </c>
      <c r="R70" s="6"/>
      <c r="S70" s="6"/>
      <c r="T70" s="156"/>
      <c r="U70" s="6"/>
    </row>
    <row r="71" spans="1:21" customFormat="1">
      <c r="A71" s="163" t="s">
        <v>1070</v>
      </c>
      <c r="B71" s="100">
        <v>1.04</v>
      </c>
      <c r="C71" s="100">
        <v>21.64</v>
      </c>
      <c r="D71" s="100">
        <v>12.14</v>
      </c>
      <c r="E71" s="100">
        <v>11.41</v>
      </c>
      <c r="F71" s="100">
        <v>10.18</v>
      </c>
      <c r="G71" s="100">
        <v>41.42</v>
      </c>
      <c r="H71" s="100">
        <v>17.170000000000002</v>
      </c>
      <c r="I71" s="100">
        <v>11.04</v>
      </c>
      <c r="J71" s="100">
        <v>2.87</v>
      </c>
      <c r="K71" s="100">
        <v>244.23</v>
      </c>
      <c r="L71" s="100">
        <v>42.65</v>
      </c>
      <c r="M71" s="100">
        <v>18.93</v>
      </c>
      <c r="N71" s="100">
        <v>360.7</v>
      </c>
      <c r="O71" s="100">
        <v>0</v>
      </c>
      <c r="P71" s="100">
        <v>0.54</v>
      </c>
      <c r="Q71" s="100">
        <v>28.67</v>
      </c>
      <c r="R71" s="6"/>
      <c r="S71" s="6"/>
      <c r="T71" s="156"/>
      <c r="U71" s="6"/>
    </row>
    <row r="72" spans="1:21" customFormat="1">
      <c r="A72" s="163" t="s">
        <v>1071</v>
      </c>
      <c r="B72" s="100">
        <v>0.94</v>
      </c>
      <c r="C72" s="100">
        <v>22</v>
      </c>
      <c r="D72" s="100">
        <v>12.25</v>
      </c>
      <c r="E72" s="100">
        <v>11.97</v>
      </c>
      <c r="F72" s="100">
        <v>15.34</v>
      </c>
      <c r="G72" s="100">
        <v>38.9</v>
      </c>
      <c r="H72" s="100">
        <v>17.16</v>
      </c>
      <c r="I72" s="100">
        <v>10.97</v>
      </c>
      <c r="J72" s="100">
        <v>2.2000000000000002</v>
      </c>
      <c r="K72" s="100">
        <v>204.28</v>
      </c>
      <c r="L72" s="100">
        <v>42.36</v>
      </c>
      <c r="M72" s="100">
        <v>19.38</v>
      </c>
      <c r="N72" s="100">
        <v>450.7</v>
      </c>
      <c r="O72" s="100">
        <v>0</v>
      </c>
      <c r="P72" s="100">
        <v>0.53</v>
      </c>
      <c r="Q72" s="100">
        <v>28.68</v>
      </c>
      <c r="R72" s="6"/>
      <c r="S72" s="6"/>
      <c r="T72" s="156"/>
      <c r="U72" s="6"/>
    </row>
    <row r="73" spans="1:21" customFormat="1">
      <c r="A73" s="163" t="s">
        <v>1072</v>
      </c>
      <c r="B73" s="100">
        <v>1.08</v>
      </c>
      <c r="C73" s="100">
        <v>18.71</v>
      </c>
      <c r="D73" s="100">
        <v>10.64</v>
      </c>
      <c r="E73" s="100">
        <v>12.63</v>
      </c>
      <c r="F73" s="100">
        <v>19.63</v>
      </c>
      <c r="G73" s="100">
        <v>29.5</v>
      </c>
      <c r="H73" s="100">
        <v>17.11</v>
      </c>
      <c r="I73" s="100">
        <v>11.4</v>
      </c>
      <c r="J73" s="100">
        <v>1.1499999999999999</v>
      </c>
      <c r="K73" s="100">
        <v>133.31</v>
      </c>
      <c r="L73" s="100">
        <v>42.88</v>
      </c>
      <c r="M73" s="100">
        <v>19.190000000000001</v>
      </c>
      <c r="N73" s="100">
        <v>408.6</v>
      </c>
      <c r="O73" s="100">
        <v>0</v>
      </c>
      <c r="P73" s="100">
        <v>0.49</v>
      </c>
      <c r="Q73" s="100">
        <v>28.8</v>
      </c>
      <c r="R73" s="6"/>
      <c r="S73" s="6"/>
      <c r="T73" s="156"/>
      <c r="U73" s="6"/>
    </row>
    <row r="74" spans="1:21" customFormat="1">
      <c r="A74" s="163" t="s">
        <v>1073</v>
      </c>
      <c r="B74" s="100">
        <v>1.23</v>
      </c>
      <c r="C74" s="100">
        <v>16.68</v>
      </c>
      <c r="D74" s="100">
        <v>9.6999999999999993</v>
      </c>
      <c r="E74" s="100">
        <v>12.68</v>
      </c>
      <c r="F74" s="100">
        <v>21.25</v>
      </c>
      <c r="G74" s="100">
        <v>29.5</v>
      </c>
      <c r="H74" s="100">
        <v>17.11</v>
      </c>
      <c r="I74" s="100">
        <v>10.96</v>
      </c>
      <c r="J74" s="100">
        <v>1.71</v>
      </c>
      <c r="K74" s="100">
        <v>184.56</v>
      </c>
      <c r="L74" s="100">
        <v>43.19</v>
      </c>
      <c r="M74" s="100">
        <v>19.28</v>
      </c>
      <c r="N74" s="100">
        <v>341.6</v>
      </c>
      <c r="O74" s="100">
        <v>0</v>
      </c>
      <c r="P74" s="100">
        <v>0.47</v>
      </c>
      <c r="Q74" s="100">
        <v>28.93</v>
      </c>
      <c r="R74" s="6"/>
      <c r="S74" s="6"/>
      <c r="T74" s="156"/>
      <c r="U74" s="6"/>
    </row>
    <row r="75" spans="1:21" customFormat="1">
      <c r="A75" s="163" t="s">
        <v>1074</v>
      </c>
      <c r="B75" s="100">
        <v>1.21</v>
      </c>
      <c r="C75" s="100">
        <v>16.23</v>
      </c>
      <c r="D75" s="100">
        <v>9.4499999999999993</v>
      </c>
      <c r="E75" s="100">
        <v>12.47</v>
      </c>
      <c r="F75" s="100">
        <v>21</v>
      </c>
      <c r="G75" s="100">
        <v>29.5</v>
      </c>
      <c r="H75" s="100">
        <v>17.11</v>
      </c>
      <c r="I75" s="100">
        <v>10.5</v>
      </c>
      <c r="J75" s="100">
        <v>3.03</v>
      </c>
      <c r="K75" s="100">
        <v>196.97</v>
      </c>
      <c r="L75" s="100">
        <v>42.51</v>
      </c>
      <c r="M75" s="100">
        <v>19.53</v>
      </c>
      <c r="N75" s="100">
        <v>296.89999999999998</v>
      </c>
      <c r="O75" s="100">
        <v>0</v>
      </c>
      <c r="P75" s="100">
        <v>0.48</v>
      </c>
      <c r="Q75" s="100">
        <v>28.97</v>
      </c>
      <c r="R75" s="6"/>
      <c r="S75" s="6"/>
      <c r="T75" s="156"/>
      <c r="U75" s="6"/>
    </row>
    <row r="76" spans="1:21" customFormat="1">
      <c r="A76" s="163" t="s">
        <v>1075</v>
      </c>
      <c r="B76" s="100">
        <v>1.07</v>
      </c>
      <c r="C76" s="100">
        <v>18.52</v>
      </c>
      <c r="D76" s="100">
        <v>10.53</v>
      </c>
      <c r="E76" s="100">
        <v>12.28</v>
      </c>
      <c r="F76" s="100">
        <v>29.25</v>
      </c>
      <c r="G76" s="100">
        <v>30</v>
      </c>
      <c r="H76" s="100">
        <v>17.07</v>
      </c>
      <c r="I76" s="100">
        <v>10.210000000000001</v>
      </c>
      <c r="J76" s="100">
        <v>3.58</v>
      </c>
      <c r="K76" s="100">
        <v>147.69999999999999</v>
      </c>
      <c r="L76" s="100">
        <v>43.13</v>
      </c>
      <c r="M76" s="100">
        <v>20.21</v>
      </c>
      <c r="N76" s="100">
        <v>238.3</v>
      </c>
      <c r="O76" s="100">
        <v>0</v>
      </c>
      <c r="P76" s="100">
        <v>0.45</v>
      </c>
      <c r="Q76" s="100">
        <v>28.94</v>
      </c>
      <c r="R76" s="6"/>
      <c r="S76" s="6"/>
      <c r="T76" s="156"/>
      <c r="U76" s="6"/>
    </row>
    <row r="77" spans="1:21" customFormat="1">
      <c r="A77" s="163" t="s">
        <v>1076</v>
      </c>
      <c r="B77" s="100">
        <v>1.01</v>
      </c>
      <c r="C77" s="100">
        <v>20.74</v>
      </c>
      <c r="D77" s="100">
        <v>11.65</v>
      </c>
      <c r="E77" s="100">
        <v>6.17</v>
      </c>
      <c r="F77" s="100">
        <v>29.15</v>
      </c>
      <c r="G77" s="100">
        <v>31.89</v>
      </c>
      <c r="H77" s="100">
        <v>16.899999999999999</v>
      </c>
      <c r="I77" s="100">
        <v>10.11</v>
      </c>
      <c r="J77" s="100">
        <v>3.22</v>
      </c>
      <c r="K77" s="100">
        <v>205.8</v>
      </c>
      <c r="L77" s="100">
        <v>42.2</v>
      </c>
      <c r="M77" s="100">
        <v>20.32</v>
      </c>
      <c r="N77" s="100">
        <v>153</v>
      </c>
      <c r="O77" s="100">
        <v>0</v>
      </c>
      <c r="P77" s="100">
        <v>0.44</v>
      </c>
      <c r="Q77" s="100">
        <v>28.82</v>
      </c>
      <c r="R77" s="6"/>
      <c r="S77" s="6"/>
      <c r="T77" s="156"/>
      <c r="U77" s="6"/>
    </row>
    <row r="78" spans="1:21" customFormat="1">
      <c r="A78" s="163" t="s">
        <v>1077</v>
      </c>
      <c r="B78" s="100">
        <v>1.01</v>
      </c>
      <c r="C78" s="100">
        <v>18.2</v>
      </c>
      <c r="D78" s="100">
        <v>10.32</v>
      </c>
      <c r="E78" s="100">
        <v>7.18</v>
      </c>
      <c r="F78" s="100">
        <v>37</v>
      </c>
      <c r="G78" s="100">
        <v>31.89</v>
      </c>
      <c r="H78" s="100">
        <v>16.899999999999999</v>
      </c>
      <c r="I78" s="100">
        <v>9.7200000000000006</v>
      </c>
      <c r="J78" s="100">
        <v>2.09</v>
      </c>
      <c r="K78" s="100">
        <v>172.36</v>
      </c>
      <c r="L78" s="100">
        <v>40.89</v>
      </c>
      <c r="M78" s="100">
        <v>22.3</v>
      </c>
      <c r="N78" s="100">
        <v>94.3</v>
      </c>
      <c r="O78" s="100">
        <v>0</v>
      </c>
      <c r="P78" s="100">
        <v>0.42</v>
      </c>
      <c r="Q78" s="100">
        <v>28.9</v>
      </c>
      <c r="R78" s="6"/>
      <c r="S78" s="6"/>
      <c r="T78" s="156"/>
      <c r="U78" s="6"/>
    </row>
    <row r="79" spans="1:21" customFormat="1">
      <c r="A79" s="163" t="s">
        <v>1078</v>
      </c>
      <c r="B79" s="100">
        <v>0.74</v>
      </c>
      <c r="C79" s="100">
        <v>16.41</v>
      </c>
      <c r="D79" s="100">
        <v>9.17</v>
      </c>
      <c r="E79" s="100">
        <v>7.53</v>
      </c>
      <c r="F79" s="100">
        <v>38.520000000000003</v>
      </c>
      <c r="G79" s="100">
        <v>31.89</v>
      </c>
      <c r="H79" s="100">
        <v>16.899999999999999</v>
      </c>
      <c r="I79" s="100">
        <v>8.99</v>
      </c>
      <c r="J79" s="100">
        <v>2.62</v>
      </c>
      <c r="K79" s="100">
        <v>172.2</v>
      </c>
      <c r="L79" s="100">
        <v>39.799999999999997</v>
      </c>
      <c r="M79" s="100">
        <v>23.63</v>
      </c>
      <c r="N79" s="100">
        <v>68.8</v>
      </c>
      <c r="O79" s="100">
        <v>0</v>
      </c>
      <c r="P79" s="100">
        <v>0.39</v>
      </c>
      <c r="Q79" s="100">
        <v>29.03</v>
      </c>
      <c r="R79" s="6"/>
      <c r="S79" s="6"/>
      <c r="T79" s="156"/>
      <c r="U79" s="6"/>
    </row>
    <row r="80" spans="1:21" customFormat="1">
      <c r="A80" s="163" t="s">
        <v>1079</v>
      </c>
      <c r="B80" s="100">
        <v>0.79</v>
      </c>
      <c r="C80" s="100">
        <v>17.13</v>
      </c>
      <c r="D80" s="100">
        <v>9.58</v>
      </c>
      <c r="E80" s="100">
        <v>7.6</v>
      </c>
      <c r="F80" s="100">
        <v>37.72</v>
      </c>
      <c r="G80" s="100">
        <v>31.11</v>
      </c>
      <c r="H80" s="100">
        <v>15.96</v>
      </c>
      <c r="I80" s="100">
        <v>8.74</v>
      </c>
      <c r="J80" s="100">
        <v>3.33</v>
      </c>
      <c r="K80" s="100">
        <v>193.9</v>
      </c>
      <c r="L80" s="100">
        <v>39.51</v>
      </c>
      <c r="M80" s="100">
        <v>23.03</v>
      </c>
      <c r="N80" s="100">
        <v>51.1</v>
      </c>
      <c r="O80" s="100">
        <v>0</v>
      </c>
      <c r="P80" s="100">
        <v>0.38</v>
      </c>
      <c r="Q80" s="100">
        <v>28.92</v>
      </c>
      <c r="R80" s="6"/>
      <c r="S80" s="6"/>
      <c r="T80" s="156"/>
      <c r="U80" s="6"/>
    </row>
    <row r="81" spans="1:21" customFormat="1">
      <c r="A81" s="163" t="s">
        <v>1080</v>
      </c>
      <c r="B81" s="100">
        <v>0.98</v>
      </c>
      <c r="C81" s="100">
        <v>18.329999999999998</v>
      </c>
      <c r="D81" s="100">
        <v>10.36</v>
      </c>
      <c r="E81" s="100">
        <v>7</v>
      </c>
      <c r="F81" s="100">
        <v>31.13</v>
      </c>
      <c r="G81" s="100">
        <v>28.19</v>
      </c>
      <c r="H81" s="100">
        <v>12.46</v>
      </c>
      <c r="I81" s="100">
        <v>7.89</v>
      </c>
      <c r="J81" s="100">
        <v>3.07</v>
      </c>
      <c r="K81" s="100">
        <v>197.02</v>
      </c>
      <c r="L81" s="100">
        <v>38.979999999999997</v>
      </c>
      <c r="M81" s="100">
        <v>23.5</v>
      </c>
      <c r="N81" s="100">
        <v>37.4</v>
      </c>
      <c r="O81" s="100">
        <v>0</v>
      </c>
      <c r="P81" s="100">
        <v>0.4</v>
      </c>
      <c r="Q81" s="100">
        <v>28.8</v>
      </c>
      <c r="R81" s="6"/>
      <c r="S81" s="6"/>
      <c r="T81" s="156"/>
      <c r="U81" s="6"/>
    </row>
    <row r="82" spans="1:21" customFormat="1">
      <c r="A82" s="163" t="s">
        <v>1081</v>
      </c>
      <c r="B82" s="100">
        <v>0.93</v>
      </c>
      <c r="C82" s="100">
        <v>18.100000000000001</v>
      </c>
      <c r="D82" s="100">
        <v>10.199999999999999</v>
      </c>
      <c r="E82" s="100">
        <v>7.57</v>
      </c>
      <c r="F82" s="100">
        <v>32.82</v>
      </c>
      <c r="G82" s="100">
        <v>28.19</v>
      </c>
      <c r="H82" s="100">
        <v>12.46</v>
      </c>
      <c r="I82" s="100">
        <v>7.96</v>
      </c>
      <c r="J82" s="100">
        <v>2.94</v>
      </c>
      <c r="K82" s="100">
        <v>170.99</v>
      </c>
      <c r="L82" s="100">
        <v>38.06</v>
      </c>
      <c r="M82" s="100">
        <v>25.8</v>
      </c>
      <c r="N82" s="100">
        <v>27.2</v>
      </c>
      <c r="O82" s="100">
        <v>0</v>
      </c>
      <c r="P82" s="100">
        <v>0.38</v>
      </c>
      <c r="Q82" s="100">
        <v>28.81</v>
      </c>
      <c r="R82" s="6"/>
      <c r="S82" s="6"/>
      <c r="T82" s="156"/>
      <c r="U82" s="6"/>
    </row>
    <row r="83" spans="1:21" customFormat="1">
      <c r="A83" s="163" t="s">
        <v>1082</v>
      </c>
      <c r="B83" s="100">
        <v>0.98</v>
      </c>
      <c r="C83" s="100">
        <v>18.829999999999998</v>
      </c>
      <c r="D83" s="100">
        <v>10.63</v>
      </c>
      <c r="E83" s="100">
        <v>7.51</v>
      </c>
      <c r="F83" s="100">
        <v>32.020000000000003</v>
      </c>
      <c r="G83" s="100">
        <v>28.19</v>
      </c>
      <c r="H83" s="100">
        <v>12.46</v>
      </c>
      <c r="I83" s="100">
        <v>7.94</v>
      </c>
      <c r="J83" s="100">
        <v>2.81</v>
      </c>
      <c r="K83" s="100">
        <v>133.11000000000001</v>
      </c>
      <c r="L83" s="100">
        <v>37.369999999999997</v>
      </c>
      <c r="M83" s="100">
        <v>26.97</v>
      </c>
      <c r="N83" s="100">
        <v>23.4</v>
      </c>
      <c r="O83" s="100">
        <v>0</v>
      </c>
      <c r="P83" s="100">
        <v>0.38</v>
      </c>
      <c r="Q83" s="100">
        <v>28.73</v>
      </c>
      <c r="R83" s="6"/>
      <c r="S83" s="6"/>
      <c r="T83" s="156"/>
      <c r="U83" s="6"/>
    </row>
    <row r="84" spans="1:21" customFormat="1">
      <c r="A84" s="163" t="s">
        <v>1083</v>
      </c>
      <c r="B84" s="100">
        <v>0.99</v>
      </c>
      <c r="C84" s="100">
        <v>25.17</v>
      </c>
      <c r="D84" s="100">
        <v>13.94</v>
      </c>
      <c r="E84" s="100">
        <v>7.53</v>
      </c>
      <c r="F84" s="100">
        <v>20.81</v>
      </c>
      <c r="G84" s="100">
        <v>27.03</v>
      </c>
      <c r="H84" s="100">
        <v>12.07</v>
      </c>
      <c r="I84" s="100">
        <v>7.61</v>
      </c>
      <c r="J84" s="100">
        <v>2.75</v>
      </c>
      <c r="K84" s="100">
        <v>141.11000000000001</v>
      </c>
      <c r="L84" s="100">
        <v>36.72</v>
      </c>
      <c r="M84" s="100">
        <v>28.2</v>
      </c>
      <c r="N84" s="100">
        <v>22.6</v>
      </c>
      <c r="O84" s="100">
        <v>0</v>
      </c>
      <c r="P84" s="100">
        <v>0.4</v>
      </c>
      <c r="Q84" s="100">
        <v>28.42</v>
      </c>
      <c r="R84" s="6"/>
      <c r="S84" s="6"/>
      <c r="T84" s="156"/>
      <c r="U84" s="6"/>
    </row>
    <row r="85" spans="1:21" customFormat="1">
      <c r="A85" s="163" t="s">
        <v>1084</v>
      </c>
      <c r="B85" s="100">
        <v>1.65</v>
      </c>
      <c r="C85" s="100">
        <v>32.04</v>
      </c>
      <c r="D85" s="100">
        <v>18.059999999999999</v>
      </c>
      <c r="E85" s="100">
        <v>7.54</v>
      </c>
      <c r="F85" s="100">
        <v>13.15</v>
      </c>
      <c r="G85" s="100">
        <v>22.68</v>
      </c>
      <c r="H85" s="100">
        <v>10.61</v>
      </c>
      <c r="I85" s="100">
        <v>7.92</v>
      </c>
      <c r="J85" s="100">
        <v>3.1</v>
      </c>
      <c r="K85" s="100">
        <v>115.23</v>
      </c>
      <c r="L85" s="100">
        <v>36.369999999999997</v>
      </c>
      <c r="M85" s="100">
        <v>29.4</v>
      </c>
      <c r="N85" s="100">
        <v>22.5</v>
      </c>
      <c r="O85" s="100">
        <v>0</v>
      </c>
      <c r="P85" s="100">
        <v>0.45</v>
      </c>
      <c r="Q85" s="100">
        <v>28.02</v>
      </c>
      <c r="R85" s="6"/>
      <c r="S85" s="6"/>
      <c r="T85" s="156"/>
      <c r="U85" s="6"/>
    </row>
    <row r="86" spans="1:21" customFormat="1">
      <c r="A86" s="163" t="s">
        <v>1085</v>
      </c>
      <c r="B86" s="100">
        <v>1.35</v>
      </c>
      <c r="C86" s="100">
        <v>31.23</v>
      </c>
      <c r="D86" s="100">
        <v>17.39</v>
      </c>
      <c r="E86" s="100">
        <v>7.77</v>
      </c>
      <c r="F86" s="100">
        <v>17.23</v>
      </c>
      <c r="G86" s="100">
        <v>22.68</v>
      </c>
      <c r="H86" s="100">
        <v>10.61</v>
      </c>
      <c r="I86" s="100">
        <v>8.67</v>
      </c>
      <c r="J86" s="100">
        <v>3.01</v>
      </c>
      <c r="K86" s="100">
        <v>132.26</v>
      </c>
      <c r="L86" s="100">
        <v>36.39</v>
      </c>
      <c r="M86" s="100">
        <v>29.97</v>
      </c>
      <c r="N86" s="100">
        <v>22.2</v>
      </c>
      <c r="O86" s="100">
        <v>0</v>
      </c>
      <c r="P86" s="100">
        <v>0.48</v>
      </c>
      <c r="Q86" s="100">
        <v>28.05</v>
      </c>
      <c r="R86" s="6"/>
      <c r="S86" s="6"/>
      <c r="T86" s="156"/>
      <c r="U86" s="6"/>
    </row>
    <row r="87" spans="1:21" customFormat="1">
      <c r="A87" s="163" t="s">
        <v>1086</v>
      </c>
      <c r="B87" s="100">
        <v>4.03</v>
      </c>
      <c r="C87" s="100">
        <v>33.57</v>
      </c>
      <c r="D87" s="100">
        <v>20.77</v>
      </c>
      <c r="E87" s="100">
        <v>8.1300000000000008</v>
      </c>
      <c r="F87" s="100">
        <v>13.5</v>
      </c>
      <c r="G87" s="100">
        <v>22.68</v>
      </c>
      <c r="H87" s="100">
        <v>10.61</v>
      </c>
      <c r="I87" s="100">
        <v>9.14</v>
      </c>
      <c r="J87" s="100">
        <v>3.2</v>
      </c>
      <c r="K87" s="100">
        <v>132.80000000000001</v>
      </c>
      <c r="L87" s="100">
        <v>36.53</v>
      </c>
      <c r="M87" s="100">
        <v>30.55</v>
      </c>
      <c r="N87" s="100">
        <v>22</v>
      </c>
      <c r="O87" s="100">
        <v>0</v>
      </c>
      <c r="P87" s="100">
        <v>0.57999999999999996</v>
      </c>
      <c r="Q87" s="100">
        <v>27.78</v>
      </c>
      <c r="R87" s="6"/>
      <c r="S87" s="6"/>
      <c r="T87" s="156"/>
      <c r="U87" s="6"/>
    </row>
    <row r="88" spans="1:21" customFormat="1">
      <c r="A88" s="163" t="s">
        <v>1087</v>
      </c>
      <c r="B88" s="100">
        <v>2.0299999999999998</v>
      </c>
      <c r="C88" s="100">
        <v>22.6</v>
      </c>
      <c r="D88" s="100">
        <v>13.44</v>
      </c>
      <c r="E88" s="100">
        <v>8.41</v>
      </c>
      <c r="F88" s="100">
        <v>20.43</v>
      </c>
      <c r="G88" s="100">
        <v>23.39</v>
      </c>
      <c r="H88" s="100">
        <v>11.12</v>
      </c>
      <c r="I88" s="100">
        <v>9.73</v>
      </c>
      <c r="J88" s="100">
        <v>2.96</v>
      </c>
      <c r="K88" s="100">
        <v>137.03</v>
      </c>
      <c r="L88" s="100">
        <v>36.549999999999997</v>
      </c>
      <c r="M88" s="100">
        <v>30.78</v>
      </c>
      <c r="N88" s="100">
        <v>21.9</v>
      </c>
      <c r="O88" s="100">
        <v>0</v>
      </c>
      <c r="P88" s="100">
        <v>0.5</v>
      </c>
      <c r="Q88" s="100">
        <v>28.24</v>
      </c>
      <c r="R88" s="6"/>
      <c r="S88" s="6"/>
      <c r="T88" s="156"/>
      <c r="U88" s="6"/>
    </row>
    <row r="89" spans="1:21" customFormat="1">
      <c r="A89" s="163" t="s">
        <v>1088</v>
      </c>
      <c r="B89" s="100">
        <v>1.5</v>
      </c>
      <c r="C89" s="100">
        <v>21.85</v>
      </c>
      <c r="D89" s="100">
        <v>12.62</v>
      </c>
      <c r="E89" s="100">
        <v>8.33</v>
      </c>
      <c r="F89" s="100">
        <v>20.81</v>
      </c>
      <c r="G89" s="100">
        <v>26.02</v>
      </c>
      <c r="H89" s="100">
        <v>13.02</v>
      </c>
      <c r="I89" s="100">
        <v>11.36</v>
      </c>
      <c r="J89" s="100">
        <v>3.3</v>
      </c>
      <c r="K89" s="100">
        <v>130.74</v>
      </c>
      <c r="L89" s="100">
        <v>36.14</v>
      </c>
      <c r="M89" s="100">
        <v>30.65</v>
      </c>
      <c r="N89" s="100">
        <v>22.3</v>
      </c>
      <c r="O89" s="100">
        <v>0</v>
      </c>
      <c r="P89" s="100">
        <v>0.48</v>
      </c>
      <c r="Q89" s="100">
        <v>28.52</v>
      </c>
      <c r="R89" s="6"/>
      <c r="S89" s="6"/>
      <c r="T89" s="156"/>
      <c r="U89" s="6"/>
    </row>
    <row r="90" spans="1:21" customFormat="1">
      <c r="A90" s="163" t="s">
        <v>1089</v>
      </c>
      <c r="B90" s="100">
        <v>1.78</v>
      </c>
      <c r="C90" s="100">
        <v>23.72</v>
      </c>
      <c r="D90" s="100">
        <v>13.82</v>
      </c>
      <c r="E90" s="100">
        <v>8.5</v>
      </c>
      <c r="F90" s="100">
        <v>21.09</v>
      </c>
      <c r="G90" s="100">
        <v>26.02</v>
      </c>
      <c r="H90" s="100">
        <v>13.02</v>
      </c>
      <c r="I90" s="100">
        <v>10.77</v>
      </c>
      <c r="J90" s="100">
        <v>2.13</v>
      </c>
      <c r="K90" s="100">
        <v>179.42</v>
      </c>
      <c r="L90" s="100">
        <v>35.92</v>
      </c>
      <c r="M90" s="100">
        <v>30.9</v>
      </c>
      <c r="N90" s="100">
        <v>22</v>
      </c>
      <c r="O90" s="100">
        <v>0</v>
      </c>
      <c r="P90" s="100">
        <v>0.52</v>
      </c>
      <c r="Q90" s="100">
        <v>28.34</v>
      </c>
      <c r="R90" s="6"/>
      <c r="S90" s="6"/>
      <c r="T90" s="156"/>
      <c r="U90" s="6"/>
    </row>
    <row r="91" spans="1:21" customFormat="1">
      <c r="A91" s="163" t="s">
        <v>1090</v>
      </c>
      <c r="B91" s="100">
        <v>3.55</v>
      </c>
      <c r="C91" s="100">
        <v>29.58</v>
      </c>
      <c r="D91" s="100">
        <v>18.3</v>
      </c>
      <c r="E91" s="100">
        <v>7.89</v>
      </c>
      <c r="F91" s="100">
        <v>12.61</v>
      </c>
      <c r="G91" s="100">
        <v>26.02</v>
      </c>
      <c r="H91" s="100">
        <v>13.02</v>
      </c>
      <c r="I91" s="100">
        <v>10.4</v>
      </c>
      <c r="J91" s="100">
        <v>2.31</v>
      </c>
      <c r="K91" s="100">
        <v>260.44</v>
      </c>
      <c r="L91" s="100">
        <v>36.36</v>
      </c>
      <c r="M91" s="100">
        <v>30.57</v>
      </c>
      <c r="N91" s="100">
        <v>22</v>
      </c>
      <c r="O91" s="100">
        <v>0</v>
      </c>
      <c r="P91" s="100">
        <v>0.55000000000000004</v>
      </c>
      <c r="Q91" s="100">
        <v>27.92</v>
      </c>
      <c r="R91" s="6"/>
      <c r="S91" s="6"/>
      <c r="T91" s="156"/>
      <c r="U91" s="6"/>
    </row>
    <row r="92" spans="1:21" customFormat="1">
      <c r="A92" s="163" t="s">
        <v>1091</v>
      </c>
      <c r="B92" s="100">
        <v>4.22</v>
      </c>
      <c r="C92" s="100">
        <v>30.33</v>
      </c>
      <c r="D92" s="100">
        <v>19.23</v>
      </c>
      <c r="E92" s="100">
        <v>7.72</v>
      </c>
      <c r="F92" s="100">
        <v>11.02</v>
      </c>
      <c r="G92" s="100">
        <v>28.3</v>
      </c>
      <c r="H92" s="100">
        <v>13.98</v>
      </c>
      <c r="I92" s="100">
        <v>10.94</v>
      </c>
      <c r="J92" s="100">
        <v>1.36</v>
      </c>
      <c r="K92" s="100">
        <v>80.64</v>
      </c>
      <c r="L92" s="100">
        <v>35.57</v>
      </c>
      <c r="M92" s="100">
        <v>33.49</v>
      </c>
      <c r="N92" s="100">
        <v>22.7</v>
      </c>
      <c r="O92" s="100">
        <v>0</v>
      </c>
      <c r="P92" s="100">
        <v>0.6</v>
      </c>
      <c r="Q92" s="100">
        <v>27.56</v>
      </c>
      <c r="R92" s="6"/>
      <c r="S92" s="6"/>
      <c r="T92" s="156"/>
      <c r="U92" s="6"/>
    </row>
    <row r="93" spans="1:21" customFormat="1">
      <c r="A93" s="163" t="s">
        <v>1092</v>
      </c>
      <c r="B93" s="100">
        <v>4.09</v>
      </c>
      <c r="C93" s="100">
        <v>32.31</v>
      </c>
      <c r="D93" s="100">
        <v>20.16</v>
      </c>
      <c r="E93" s="100">
        <v>7.79</v>
      </c>
      <c r="F93" s="100">
        <v>13.68</v>
      </c>
      <c r="G93" s="100">
        <v>36.82</v>
      </c>
      <c r="H93" s="100">
        <v>17.559999999999999</v>
      </c>
      <c r="I93" s="100">
        <v>11.71</v>
      </c>
      <c r="J93" s="100">
        <v>3.44</v>
      </c>
      <c r="K93" s="100">
        <v>142.13999999999999</v>
      </c>
      <c r="L93" s="100">
        <v>34.53</v>
      </c>
      <c r="M93" s="100">
        <v>34.479999999999997</v>
      </c>
      <c r="N93" s="100">
        <v>22.6</v>
      </c>
      <c r="O93" s="100">
        <v>0</v>
      </c>
      <c r="P93" s="100">
        <v>0.53</v>
      </c>
      <c r="Q93" s="100">
        <v>27.35</v>
      </c>
      <c r="R93" s="6"/>
      <c r="S93" s="6"/>
      <c r="T93" s="156"/>
      <c r="U93" s="6"/>
    </row>
    <row r="94" spans="1:21" customFormat="1">
      <c r="A94" s="163" t="s">
        <v>1093</v>
      </c>
      <c r="B94" s="100">
        <v>3.94</v>
      </c>
      <c r="C94" s="100">
        <v>29.9</v>
      </c>
      <c r="D94" s="100">
        <v>18.78</v>
      </c>
      <c r="E94" s="100">
        <v>7.53</v>
      </c>
      <c r="F94" s="100">
        <v>17.559999999999999</v>
      </c>
      <c r="G94" s="100">
        <v>36.82</v>
      </c>
      <c r="H94" s="100">
        <v>17.559999999999999</v>
      </c>
      <c r="I94" s="100">
        <v>12.03</v>
      </c>
      <c r="J94" s="100">
        <v>3.43</v>
      </c>
      <c r="K94" s="100">
        <v>150.61000000000001</v>
      </c>
      <c r="L94" s="100">
        <v>34.28</v>
      </c>
      <c r="M94" s="100">
        <v>34.479999999999997</v>
      </c>
      <c r="N94" s="100">
        <v>22.5</v>
      </c>
      <c r="O94" s="100">
        <v>0</v>
      </c>
      <c r="P94" s="100">
        <v>0.5</v>
      </c>
      <c r="Q94" s="100">
        <v>27.61</v>
      </c>
      <c r="R94" s="6"/>
      <c r="S94" s="6"/>
      <c r="T94" s="156"/>
      <c r="U94" s="6"/>
    </row>
    <row r="95" spans="1:21" customFormat="1">
      <c r="A95" s="163" t="s">
        <v>1094</v>
      </c>
      <c r="B95" s="100">
        <v>3.96</v>
      </c>
      <c r="C95" s="100">
        <v>28.96</v>
      </c>
      <c r="D95" s="100">
        <v>18.3</v>
      </c>
      <c r="E95" s="100">
        <v>7.77</v>
      </c>
      <c r="F95" s="100">
        <v>16.420000000000002</v>
      </c>
      <c r="G95" s="100">
        <v>36.82</v>
      </c>
      <c r="H95" s="100">
        <v>17.559999999999999</v>
      </c>
      <c r="I95" s="100">
        <v>11.4</v>
      </c>
      <c r="J95" s="100">
        <v>3.34</v>
      </c>
      <c r="K95" s="100">
        <v>136.94999999999999</v>
      </c>
      <c r="L95" s="100">
        <v>34.200000000000003</v>
      </c>
      <c r="M95" s="100">
        <v>34.68</v>
      </c>
      <c r="N95" s="100">
        <v>22.5</v>
      </c>
      <c r="O95" s="100">
        <v>0</v>
      </c>
      <c r="P95" s="100">
        <v>0.49</v>
      </c>
      <c r="Q95" s="100">
        <v>27.73</v>
      </c>
      <c r="R95" s="6"/>
      <c r="S95" s="6"/>
      <c r="T95" s="156"/>
      <c r="U95" s="6"/>
    </row>
    <row r="96" spans="1:21" customFormat="1">
      <c r="A96" s="163" t="s">
        <v>1095</v>
      </c>
      <c r="B96" s="100">
        <v>3.94</v>
      </c>
      <c r="C96" s="100">
        <v>30.48</v>
      </c>
      <c r="D96" s="100">
        <v>19.09</v>
      </c>
      <c r="E96" s="100">
        <v>7.44</v>
      </c>
      <c r="F96" s="100">
        <v>13.63</v>
      </c>
      <c r="G96" s="100">
        <v>37.5</v>
      </c>
      <c r="H96" s="100">
        <v>17.04</v>
      </c>
      <c r="I96" s="100">
        <v>10.57</v>
      </c>
      <c r="J96" s="100">
        <v>2.95</v>
      </c>
      <c r="K96" s="100">
        <v>141.49</v>
      </c>
      <c r="L96" s="100">
        <v>34.03</v>
      </c>
      <c r="M96" s="100">
        <v>35.31</v>
      </c>
      <c r="N96" s="100">
        <v>22.5</v>
      </c>
      <c r="O96" s="100">
        <v>0</v>
      </c>
      <c r="P96" s="100">
        <v>0.51</v>
      </c>
      <c r="Q96" s="100">
        <v>27.58</v>
      </c>
      <c r="R96" s="6"/>
      <c r="S96" s="6"/>
      <c r="T96" s="156"/>
      <c r="U96" s="6"/>
    </row>
    <row r="97" spans="1:28" customFormat="1">
      <c r="A97" s="163" t="s">
        <v>1096</v>
      </c>
      <c r="B97" s="100">
        <v>5.76</v>
      </c>
      <c r="C97" s="100">
        <v>38.869999999999997</v>
      </c>
      <c r="D97" s="100">
        <v>24.92</v>
      </c>
      <c r="E97" s="100">
        <v>7.21</v>
      </c>
      <c r="F97" s="100">
        <v>7.6</v>
      </c>
      <c r="G97" s="100">
        <v>40.03</v>
      </c>
      <c r="H97" s="100">
        <v>15.1</v>
      </c>
      <c r="I97" s="100">
        <v>10.27</v>
      </c>
      <c r="J97" s="100">
        <v>3.32</v>
      </c>
      <c r="K97" s="100">
        <v>126.59</v>
      </c>
      <c r="L97" s="100">
        <v>33.74</v>
      </c>
      <c r="M97" s="100">
        <v>36.26</v>
      </c>
      <c r="N97" s="100">
        <v>22.5</v>
      </c>
      <c r="O97" s="100">
        <v>0</v>
      </c>
      <c r="P97" s="100">
        <v>0.52</v>
      </c>
      <c r="Q97" s="100">
        <v>27.29</v>
      </c>
      <c r="R97" s="6"/>
      <c r="S97" s="6"/>
      <c r="T97" s="156"/>
      <c r="U97" s="6"/>
    </row>
    <row r="98" spans="1:28" customFormat="1">
      <c r="A98" s="163" t="s">
        <v>1097</v>
      </c>
      <c r="B98" s="100">
        <v>6.24</v>
      </c>
      <c r="C98" s="100">
        <v>43.1</v>
      </c>
      <c r="D98" s="100">
        <v>27.52</v>
      </c>
      <c r="E98" s="100">
        <v>7.84</v>
      </c>
      <c r="F98" s="100">
        <v>6.8</v>
      </c>
      <c r="G98" s="100">
        <v>40.03</v>
      </c>
      <c r="H98" s="100">
        <v>15.1</v>
      </c>
      <c r="I98" s="100">
        <v>10.37</v>
      </c>
      <c r="J98" s="100">
        <v>3.52</v>
      </c>
      <c r="K98" s="100">
        <v>139.82</v>
      </c>
      <c r="L98" s="100">
        <v>33.85</v>
      </c>
      <c r="M98" s="100">
        <v>36.64</v>
      </c>
      <c r="N98" s="100">
        <v>22.3</v>
      </c>
      <c r="O98" s="100">
        <v>0</v>
      </c>
      <c r="P98" s="100">
        <v>0.54</v>
      </c>
      <c r="Q98" s="100">
        <v>26.97</v>
      </c>
      <c r="R98" s="6"/>
      <c r="S98" s="6"/>
      <c r="T98" s="156"/>
      <c r="U98" s="6"/>
    </row>
    <row r="99" spans="1:28" customFormat="1">
      <c r="A99" s="163" t="s">
        <v>1098</v>
      </c>
      <c r="B99" s="100">
        <v>6.3</v>
      </c>
      <c r="C99" s="100">
        <v>33.44</v>
      </c>
      <c r="D99" s="100">
        <v>22.53</v>
      </c>
      <c r="E99" s="100">
        <v>7.75</v>
      </c>
      <c r="F99" s="100">
        <v>6.17</v>
      </c>
      <c r="G99" s="100">
        <v>40.03</v>
      </c>
      <c r="H99" s="100">
        <v>15.1</v>
      </c>
      <c r="I99" s="100">
        <v>10.62</v>
      </c>
      <c r="J99" s="100">
        <v>3</v>
      </c>
      <c r="K99" s="100">
        <v>196.59</v>
      </c>
      <c r="L99" s="100">
        <v>34.409999999999997</v>
      </c>
      <c r="M99" s="100">
        <v>35.770000000000003</v>
      </c>
      <c r="N99" s="100">
        <v>21.6</v>
      </c>
      <c r="O99" s="100">
        <v>0</v>
      </c>
      <c r="P99" s="100">
        <v>0.54</v>
      </c>
      <c r="Q99" s="100">
        <v>27.25</v>
      </c>
      <c r="R99" s="6"/>
      <c r="S99" s="6"/>
      <c r="T99" s="156"/>
      <c r="U99" s="6"/>
    </row>
    <row r="100" spans="1:28" customFormat="1">
      <c r="A100" s="163" t="s">
        <v>1099</v>
      </c>
      <c r="B100" s="100">
        <v>6.99</v>
      </c>
      <c r="C100" s="100">
        <v>33.020000000000003</v>
      </c>
      <c r="D100" s="100">
        <v>22.86</v>
      </c>
      <c r="E100" s="100">
        <v>7.63</v>
      </c>
      <c r="F100" s="100">
        <v>6.42</v>
      </c>
      <c r="G100" s="100">
        <v>42.11</v>
      </c>
      <c r="H100" s="100">
        <v>16.37</v>
      </c>
      <c r="I100" s="100">
        <v>11.17</v>
      </c>
      <c r="J100" s="100">
        <v>3.72</v>
      </c>
      <c r="K100" s="100">
        <v>227.18</v>
      </c>
      <c r="L100" s="100">
        <v>34.53</v>
      </c>
      <c r="M100" s="100">
        <v>35.130000000000003</v>
      </c>
      <c r="N100" s="100">
        <v>22</v>
      </c>
      <c r="O100" s="100">
        <v>0</v>
      </c>
      <c r="P100" s="100">
        <v>0.54</v>
      </c>
      <c r="Q100" s="100">
        <v>27.3</v>
      </c>
      <c r="R100" s="6"/>
      <c r="S100" s="6"/>
      <c r="T100" s="156"/>
      <c r="U100" s="6"/>
      <c r="AB100" s="161"/>
    </row>
    <row r="101" spans="1:28" customFormat="1">
      <c r="A101" s="163" t="s">
        <v>1100</v>
      </c>
      <c r="B101" s="100">
        <v>7.09</v>
      </c>
      <c r="C101" s="100">
        <v>31.15</v>
      </c>
      <c r="D101" s="100">
        <v>21.96</v>
      </c>
      <c r="E101" s="100">
        <v>6.12</v>
      </c>
      <c r="F101" s="100">
        <v>9.2799999999999994</v>
      </c>
      <c r="G101" s="100">
        <v>49.88</v>
      </c>
      <c r="H101" s="100">
        <v>21.1</v>
      </c>
      <c r="I101" s="100">
        <v>11.61</v>
      </c>
      <c r="J101" s="100">
        <v>3.16</v>
      </c>
      <c r="K101" s="100">
        <v>180.76</v>
      </c>
      <c r="L101" s="100">
        <v>34.28</v>
      </c>
      <c r="M101" s="100">
        <v>36.11</v>
      </c>
      <c r="N101" s="100">
        <v>22.5</v>
      </c>
      <c r="O101" s="100">
        <v>0</v>
      </c>
      <c r="P101" s="100">
        <v>0.51</v>
      </c>
      <c r="Q101" s="100">
        <v>27.46</v>
      </c>
      <c r="R101" s="6"/>
      <c r="S101" s="6"/>
      <c r="T101" s="156"/>
      <c r="U101" s="6"/>
    </row>
    <row r="102" spans="1:28" customFormat="1">
      <c r="A102" s="163" t="s">
        <v>1101</v>
      </c>
      <c r="B102" s="100">
        <v>7.08</v>
      </c>
      <c r="C102" s="100">
        <v>31.14</v>
      </c>
      <c r="D102" s="100">
        <v>21.95</v>
      </c>
      <c r="E102" s="100">
        <v>6.93</v>
      </c>
      <c r="F102" s="100">
        <v>8.92</v>
      </c>
      <c r="G102" s="100">
        <v>49.88</v>
      </c>
      <c r="H102" s="100">
        <v>21.1</v>
      </c>
      <c r="I102" s="100">
        <v>11.41</v>
      </c>
      <c r="J102" s="100">
        <v>2.79</v>
      </c>
      <c r="K102" s="100">
        <v>153.41999999999999</v>
      </c>
      <c r="L102" s="100">
        <v>33.82</v>
      </c>
      <c r="M102" s="100">
        <v>37.619999999999997</v>
      </c>
      <c r="N102" s="100">
        <v>22.6</v>
      </c>
      <c r="O102" s="100">
        <v>0</v>
      </c>
      <c r="P102" s="100">
        <v>0.52</v>
      </c>
      <c r="Q102" s="100">
        <v>27.55</v>
      </c>
      <c r="R102" s="6"/>
      <c r="S102" s="6"/>
      <c r="T102" s="156"/>
      <c r="U102" s="6"/>
    </row>
    <row r="103" spans="1:28" customFormat="1">
      <c r="A103" s="163" t="s">
        <v>1102</v>
      </c>
      <c r="B103" s="100">
        <v>6.49</v>
      </c>
      <c r="C103" s="100">
        <v>29.98</v>
      </c>
      <c r="D103" s="100">
        <v>20.87</v>
      </c>
      <c r="E103" s="100">
        <v>7.29</v>
      </c>
      <c r="F103" s="100">
        <v>12.64</v>
      </c>
      <c r="G103" s="100">
        <v>49.88</v>
      </c>
      <c r="H103" s="100">
        <v>21.1</v>
      </c>
      <c r="I103" s="100">
        <v>10.92</v>
      </c>
      <c r="J103" s="100">
        <v>3.22</v>
      </c>
      <c r="K103" s="100">
        <v>160.13</v>
      </c>
      <c r="L103" s="100">
        <v>33.479999999999997</v>
      </c>
      <c r="M103" s="100">
        <v>38.71</v>
      </c>
      <c r="N103" s="100">
        <v>22.7</v>
      </c>
      <c r="O103" s="100">
        <v>0</v>
      </c>
      <c r="P103" s="100">
        <v>0.54</v>
      </c>
      <c r="Q103" s="100">
        <v>27.68</v>
      </c>
      <c r="R103" s="6"/>
      <c r="S103" s="6"/>
      <c r="T103" s="156"/>
      <c r="U103" s="6"/>
    </row>
    <row r="104" spans="1:28" customFormat="1">
      <c r="A104" s="163" t="s">
        <v>1103</v>
      </c>
      <c r="B104" s="100">
        <v>6.16</v>
      </c>
      <c r="C104" s="100">
        <v>28.99</v>
      </c>
      <c r="D104" s="100">
        <v>20.09</v>
      </c>
      <c r="E104" s="100">
        <v>6.73</v>
      </c>
      <c r="F104" s="100">
        <v>13.17</v>
      </c>
      <c r="G104" s="100">
        <v>49.59</v>
      </c>
      <c r="H104" s="100">
        <v>21.03</v>
      </c>
      <c r="I104" s="100">
        <v>10.95</v>
      </c>
      <c r="J104" s="100">
        <v>3.41</v>
      </c>
      <c r="K104" s="100">
        <v>137.99</v>
      </c>
      <c r="L104" s="100">
        <v>32.99</v>
      </c>
      <c r="M104" s="100">
        <v>39.42</v>
      </c>
      <c r="N104" s="100">
        <v>22.7</v>
      </c>
      <c r="O104" s="100">
        <v>0</v>
      </c>
      <c r="P104" s="100">
        <v>0.52</v>
      </c>
      <c r="Q104" s="100">
        <v>27.72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0.32</v>
      </c>
      <c r="C106" s="158">
        <f>MIN(C9:C104)</f>
        <v>16.23</v>
      </c>
      <c r="D106" s="158">
        <f t="shared" ref="D106:Q106" si="0">MIN(D9:D104)</f>
        <v>9.17</v>
      </c>
      <c r="E106" s="158">
        <f t="shared" si="0"/>
        <v>0.02</v>
      </c>
      <c r="F106" s="158">
        <f t="shared" si="0"/>
        <v>2.57</v>
      </c>
      <c r="G106" s="158">
        <f t="shared" si="0"/>
        <v>20.8</v>
      </c>
      <c r="H106" s="158">
        <f t="shared" si="0"/>
        <v>8.94</v>
      </c>
      <c r="I106" s="158">
        <f t="shared" si="0"/>
        <v>5.79</v>
      </c>
      <c r="J106" s="158">
        <f t="shared" si="0"/>
        <v>0.4</v>
      </c>
      <c r="K106" s="158">
        <f t="shared" si="0"/>
        <v>3.48</v>
      </c>
      <c r="L106" s="158">
        <f t="shared" si="0"/>
        <v>27.61</v>
      </c>
      <c r="M106" s="158">
        <f t="shared" si="0"/>
        <v>18.25</v>
      </c>
      <c r="N106" s="158">
        <f t="shared" si="0"/>
        <v>21.6</v>
      </c>
      <c r="O106" s="158">
        <f t="shared" si="0"/>
        <v>0</v>
      </c>
      <c r="P106" s="158">
        <f t="shared" si="0"/>
        <v>0.34</v>
      </c>
      <c r="Q106" s="158">
        <f t="shared" si="0"/>
        <v>26.97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13.78</v>
      </c>
      <c r="C107" s="157">
        <f t="shared" ref="C107:Q107" si="1">MAX(C9:C104)</f>
        <v>43.1</v>
      </c>
      <c r="D107" s="157">
        <f t="shared" si="1"/>
        <v>27.52</v>
      </c>
      <c r="E107" s="157">
        <f t="shared" si="1"/>
        <v>13.4</v>
      </c>
      <c r="F107" s="157">
        <f t="shared" si="1"/>
        <v>38.520000000000003</v>
      </c>
      <c r="G107" s="157">
        <f t="shared" si="1"/>
        <v>86.06</v>
      </c>
      <c r="H107" s="157">
        <f t="shared" si="1"/>
        <v>39.44</v>
      </c>
      <c r="I107" s="157">
        <f t="shared" si="1"/>
        <v>15.39</v>
      </c>
      <c r="J107" s="157">
        <f t="shared" si="1"/>
        <v>4.47</v>
      </c>
      <c r="K107" s="157">
        <f t="shared" si="1"/>
        <v>342.25</v>
      </c>
      <c r="L107" s="157">
        <f t="shared" si="1"/>
        <v>43.86</v>
      </c>
      <c r="M107" s="157">
        <f t="shared" si="1"/>
        <v>60.86</v>
      </c>
      <c r="N107" s="157">
        <f t="shared" si="1"/>
        <v>916.2</v>
      </c>
      <c r="O107" s="157">
        <f t="shared" si="1"/>
        <v>0</v>
      </c>
      <c r="P107" s="157">
        <f t="shared" si="1"/>
        <v>0.73</v>
      </c>
      <c r="Q107" s="157">
        <f t="shared" si="1"/>
        <v>29.03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4.6739583333333323</v>
      </c>
      <c r="C108" s="158">
        <f t="shared" ref="C108:Q108" si="2">AVERAGE(C9:C104)</f>
        <v>25.313958333333332</v>
      </c>
      <c r="D108" s="158">
        <f t="shared" si="2"/>
        <v>16.973854166666666</v>
      </c>
      <c r="E108" s="158">
        <f t="shared" si="2"/>
        <v>5.3996874999999989</v>
      </c>
      <c r="F108" s="158">
        <f t="shared" si="2"/>
        <v>13.288541666666667</v>
      </c>
      <c r="G108" s="158">
        <f t="shared" si="2"/>
        <v>41.644687500000003</v>
      </c>
      <c r="H108" s="158">
        <f t="shared" si="2"/>
        <v>19.923854166666658</v>
      </c>
      <c r="I108" s="158">
        <f t="shared" si="2"/>
        <v>9.7821875000000009</v>
      </c>
      <c r="J108" s="158">
        <f t="shared" si="2"/>
        <v>2.8277083333333342</v>
      </c>
      <c r="K108" s="158">
        <f t="shared" si="2"/>
        <v>179.71875</v>
      </c>
      <c r="L108" s="158">
        <f t="shared" si="2"/>
        <v>34.926354166666677</v>
      </c>
      <c r="M108" s="158">
        <f t="shared" si="2"/>
        <v>38.661666666666683</v>
      </c>
      <c r="N108" s="158">
        <f t="shared" si="2"/>
        <v>262.67812499999997</v>
      </c>
      <c r="O108" s="158">
        <f t="shared" si="2"/>
        <v>0</v>
      </c>
      <c r="P108" s="158">
        <f t="shared" si="2"/>
        <v>0.50812500000000005</v>
      </c>
      <c r="Q108" s="158">
        <f t="shared" si="2"/>
        <v>28.159166666666668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3.9941150074806884</v>
      </c>
      <c r="C109" s="158">
        <f t="shared" ref="C109:Q109" si="3">STDEV(C9:C104)</f>
        <v>5.3623621030812192</v>
      </c>
      <c r="D109" s="158">
        <f t="shared" si="3"/>
        <v>5.219658865600854</v>
      </c>
      <c r="E109" s="158">
        <f t="shared" si="3"/>
        <v>4.7173124492046403</v>
      </c>
      <c r="F109" s="158">
        <f t="shared" si="3"/>
        <v>9.9800207761798987</v>
      </c>
      <c r="G109" s="158">
        <f t="shared" si="3"/>
        <v>18.139325058709534</v>
      </c>
      <c r="H109" s="158">
        <f t="shared" si="3"/>
        <v>8.8320126298765551</v>
      </c>
      <c r="I109" s="158">
        <f t="shared" si="3"/>
        <v>2.6911845183565668</v>
      </c>
      <c r="J109" s="158">
        <f t="shared" si="3"/>
        <v>0.82977419777807038</v>
      </c>
      <c r="K109" s="158">
        <f t="shared" si="3"/>
        <v>58.316565277710573</v>
      </c>
      <c r="L109" s="158">
        <f t="shared" si="3"/>
        <v>5.0991456704022147</v>
      </c>
      <c r="M109" s="158">
        <f t="shared" si="3"/>
        <v>14.615416206088392</v>
      </c>
      <c r="N109" s="158">
        <f t="shared" si="3"/>
        <v>321.48638841714592</v>
      </c>
      <c r="O109" s="158">
        <f t="shared" si="3"/>
        <v>0</v>
      </c>
      <c r="P109" s="158">
        <f t="shared" si="3"/>
        <v>0.11350226058495302</v>
      </c>
      <c r="Q109" s="158">
        <f t="shared" si="3"/>
        <v>0.53131548100057946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1" sqref="I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1104</v>
      </c>
      <c r="B9" s="100">
        <v>6.69</v>
      </c>
      <c r="C9" s="100">
        <v>30.37</v>
      </c>
      <c r="D9" s="100">
        <v>21.24</v>
      </c>
      <c r="E9" s="100">
        <v>6.75</v>
      </c>
      <c r="F9" s="100">
        <v>11.99</v>
      </c>
      <c r="G9" s="100">
        <v>48.51</v>
      </c>
      <c r="H9" s="100">
        <v>20.77</v>
      </c>
      <c r="I9" s="100">
        <v>11.01</v>
      </c>
      <c r="J9" s="100">
        <v>3.3</v>
      </c>
      <c r="K9" s="100">
        <v>160.52000000000001</v>
      </c>
      <c r="L9" s="100">
        <v>32.78</v>
      </c>
      <c r="M9" s="100">
        <v>39.76</v>
      </c>
      <c r="N9" s="100">
        <v>22.5</v>
      </c>
      <c r="O9" s="100">
        <v>0</v>
      </c>
      <c r="P9" s="100">
        <v>0.53</v>
      </c>
      <c r="Q9" s="100">
        <v>27.57</v>
      </c>
      <c r="R9" s="6"/>
      <c r="S9" s="6"/>
      <c r="T9" s="156"/>
      <c r="U9" s="6"/>
    </row>
    <row r="10" spans="1:21" customFormat="1">
      <c r="A10" s="163" t="s">
        <v>1105</v>
      </c>
      <c r="B10" s="100">
        <v>7.3</v>
      </c>
      <c r="C10" s="100">
        <v>29.87</v>
      </c>
      <c r="D10" s="100">
        <v>21.46</v>
      </c>
      <c r="E10" s="100">
        <v>6.98</v>
      </c>
      <c r="F10" s="100">
        <v>13.13</v>
      </c>
      <c r="G10" s="100">
        <v>48.51</v>
      </c>
      <c r="H10" s="100">
        <v>20.77</v>
      </c>
      <c r="I10" s="100">
        <v>10.54</v>
      </c>
      <c r="J10" s="100">
        <v>3.52</v>
      </c>
      <c r="K10" s="100">
        <v>150.35</v>
      </c>
      <c r="L10" s="100">
        <v>32.71</v>
      </c>
      <c r="M10" s="100">
        <v>40.06</v>
      </c>
      <c r="N10" s="100">
        <v>22.5</v>
      </c>
      <c r="O10" s="100">
        <v>0</v>
      </c>
      <c r="P10" s="100">
        <v>0.51</v>
      </c>
      <c r="Q10" s="100">
        <v>27.59</v>
      </c>
      <c r="R10" s="6"/>
      <c r="S10" s="6"/>
      <c r="T10" s="156"/>
      <c r="U10" s="6"/>
    </row>
    <row r="11" spans="1:21" customFormat="1">
      <c r="A11" s="163" t="s">
        <v>1106</v>
      </c>
      <c r="B11" s="100">
        <v>7.96</v>
      </c>
      <c r="C11" s="100">
        <v>31.01</v>
      </c>
      <c r="D11" s="100">
        <v>22.59</v>
      </c>
      <c r="E11" s="100">
        <v>6.53</v>
      </c>
      <c r="F11" s="100">
        <v>9.4600000000000009</v>
      </c>
      <c r="G11" s="100">
        <v>48.51</v>
      </c>
      <c r="H11" s="100">
        <v>20.77</v>
      </c>
      <c r="I11" s="100">
        <v>10.52</v>
      </c>
      <c r="J11" s="100">
        <v>3.61</v>
      </c>
      <c r="K11" s="100">
        <v>172.92</v>
      </c>
      <c r="L11" s="100">
        <v>32.520000000000003</v>
      </c>
      <c r="M11" s="100">
        <v>41.13</v>
      </c>
      <c r="N11" s="100">
        <v>22.5</v>
      </c>
      <c r="O11" s="100">
        <v>0</v>
      </c>
      <c r="P11" s="100">
        <v>0.51</v>
      </c>
      <c r="Q11" s="100">
        <v>27.47</v>
      </c>
      <c r="R11" s="6"/>
      <c r="S11" s="6"/>
      <c r="T11" s="156"/>
      <c r="U11" s="6"/>
    </row>
    <row r="12" spans="1:21" customFormat="1">
      <c r="A12" s="163" t="s">
        <v>1107</v>
      </c>
      <c r="B12" s="100">
        <v>8.08</v>
      </c>
      <c r="C12" s="100">
        <v>31.01</v>
      </c>
      <c r="D12" s="100">
        <v>22.68</v>
      </c>
      <c r="E12" s="100">
        <v>6.76</v>
      </c>
      <c r="F12" s="100">
        <v>9.43</v>
      </c>
      <c r="G12" s="100">
        <v>48.29</v>
      </c>
      <c r="H12" s="100">
        <v>20.88</v>
      </c>
      <c r="I12" s="100">
        <v>10.33</v>
      </c>
      <c r="J12" s="100">
        <v>3.27</v>
      </c>
      <c r="K12" s="100">
        <v>135.22</v>
      </c>
      <c r="L12" s="100">
        <v>32.28</v>
      </c>
      <c r="M12" s="100">
        <v>42.18</v>
      </c>
      <c r="N12" s="100">
        <v>22.8</v>
      </c>
      <c r="O12" s="100">
        <v>0</v>
      </c>
      <c r="P12" s="100">
        <v>0.51</v>
      </c>
      <c r="Q12" s="100">
        <v>27.39</v>
      </c>
      <c r="R12" s="6"/>
      <c r="S12" s="6"/>
      <c r="T12" s="156"/>
      <c r="U12" s="6"/>
    </row>
    <row r="13" spans="1:21" customFormat="1">
      <c r="A13" s="163" t="s">
        <v>1108</v>
      </c>
      <c r="B13" s="100">
        <v>8.1</v>
      </c>
      <c r="C13" s="100">
        <v>31.63</v>
      </c>
      <c r="D13" s="100">
        <v>23.02</v>
      </c>
      <c r="E13" s="100">
        <v>6.7</v>
      </c>
      <c r="F13" s="100">
        <v>8.7799999999999994</v>
      </c>
      <c r="G13" s="100">
        <v>47.49</v>
      </c>
      <c r="H13" s="100">
        <v>21.29</v>
      </c>
      <c r="I13" s="100">
        <v>10.28</v>
      </c>
      <c r="J13" s="100">
        <v>1.9</v>
      </c>
      <c r="K13" s="100">
        <v>182.75</v>
      </c>
      <c r="L13" s="100">
        <v>32.01</v>
      </c>
      <c r="M13" s="100">
        <v>42.33</v>
      </c>
      <c r="N13" s="100">
        <v>22.2</v>
      </c>
      <c r="O13" s="100">
        <v>0</v>
      </c>
      <c r="P13" s="100">
        <v>0.52</v>
      </c>
      <c r="Q13" s="100">
        <v>27.42</v>
      </c>
      <c r="R13" s="6"/>
      <c r="S13" s="6"/>
      <c r="T13" s="156"/>
      <c r="U13" s="6"/>
    </row>
    <row r="14" spans="1:21" customFormat="1">
      <c r="A14" s="163" t="s">
        <v>1109</v>
      </c>
      <c r="B14" s="100">
        <v>10.28</v>
      </c>
      <c r="C14" s="100">
        <v>43.62</v>
      </c>
      <c r="D14" s="100">
        <v>31.04</v>
      </c>
      <c r="E14" s="100">
        <v>5.89</v>
      </c>
      <c r="F14" s="100">
        <v>4.91</v>
      </c>
      <c r="G14" s="100">
        <v>47.49</v>
      </c>
      <c r="H14" s="100">
        <v>21.29</v>
      </c>
      <c r="I14" s="100">
        <v>10.41</v>
      </c>
      <c r="J14" s="100">
        <v>3.68</v>
      </c>
      <c r="K14" s="100">
        <v>230.39</v>
      </c>
      <c r="L14" s="100">
        <v>32.32</v>
      </c>
      <c r="M14" s="100">
        <v>41.54</v>
      </c>
      <c r="N14" s="100">
        <v>22.4</v>
      </c>
      <c r="O14" s="100">
        <v>0</v>
      </c>
      <c r="P14" s="100">
        <v>0.53</v>
      </c>
      <c r="Q14" s="100">
        <v>26.94</v>
      </c>
      <c r="R14" s="6"/>
      <c r="S14" s="6"/>
      <c r="T14" s="156"/>
      <c r="U14" s="6"/>
    </row>
    <row r="15" spans="1:21" customFormat="1">
      <c r="A15" s="163" t="s">
        <v>1110</v>
      </c>
      <c r="B15" s="100">
        <v>10.91</v>
      </c>
      <c r="C15" s="100">
        <v>48.19</v>
      </c>
      <c r="D15" s="100">
        <v>33.93</v>
      </c>
      <c r="E15" s="100">
        <v>6.78</v>
      </c>
      <c r="F15" s="100">
        <v>4.3099999999999996</v>
      </c>
      <c r="G15" s="100">
        <v>47.49</v>
      </c>
      <c r="H15" s="100">
        <v>21.29</v>
      </c>
      <c r="I15" s="100">
        <v>10.63</v>
      </c>
      <c r="J15" s="100">
        <v>3.41</v>
      </c>
      <c r="K15" s="100">
        <v>186.8</v>
      </c>
      <c r="L15" s="100">
        <v>32.4</v>
      </c>
      <c r="M15" s="100">
        <v>41.9</v>
      </c>
      <c r="N15" s="100">
        <v>22.7</v>
      </c>
      <c r="O15" s="100">
        <v>0</v>
      </c>
      <c r="P15" s="100">
        <v>0.52</v>
      </c>
      <c r="Q15" s="100">
        <v>26.59</v>
      </c>
      <c r="R15" s="6"/>
      <c r="S15" s="6"/>
      <c r="T15" s="156"/>
      <c r="U15" s="6"/>
    </row>
    <row r="16" spans="1:21" customFormat="1">
      <c r="A16" s="163" t="s">
        <v>1111</v>
      </c>
      <c r="B16" s="100">
        <v>10.17</v>
      </c>
      <c r="C16" s="100">
        <v>38.65</v>
      </c>
      <c r="D16" s="100">
        <v>28.35</v>
      </c>
      <c r="E16" s="100">
        <v>6.58</v>
      </c>
      <c r="F16" s="100">
        <v>6.96</v>
      </c>
      <c r="G16" s="100">
        <v>44.8</v>
      </c>
      <c r="H16" s="100">
        <v>20.440000000000001</v>
      </c>
      <c r="I16" s="100">
        <v>10.87</v>
      </c>
      <c r="J16" s="100">
        <v>3.5</v>
      </c>
      <c r="K16" s="100">
        <v>183.81</v>
      </c>
      <c r="L16" s="100">
        <v>32.6</v>
      </c>
      <c r="M16" s="100">
        <v>42.45</v>
      </c>
      <c r="N16" s="100">
        <v>22.6</v>
      </c>
      <c r="O16" s="100">
        <v>0</v>
      </c>
      <c r="P16" s="100">
        <v>0.51</v>
      </c>
      <c r="Q16" s="100">
        <v>26.96</v>
      </c>
      <c r="R16" s="6"/>
      <c r="S16" s="6"/>
      <c r="T16" s="156"/>
      <c r="U16" s="6"/>
    </row>
    <row r="17" spans="1:21" customFormat="1">
      <c r="A17" s="163" t="s">
        <v>1112</v>
      </c>
      <c r="B17" s="100">
        <v>10.210000000000001</v>
      </c>
      <c r="C17" s="100">
        <v>27.71</v>
      </c>
      <c r="D17" s="100">
        <v>22.67</v>
      </c>
      <c r="E17" s="100">
        <v>6.66</v>
      </c>
      <c r="F17" s="100">
        <v>6.35</v>
      </c>
      <c r="G17" s="100">
        <v>34.74</v>
      </c>
      <c r="H17" s="100">
        <v>17.27</v>
      </c>
      <c r="I17" s="100">
        <v>10.76</v>
      </c>
      <c r="J17" s="100">
        <v>3.04</v>
      </c>
      <c r="K17" s="100">
        <v>196.69</v>
      </c>
      <c r="L17" s="100">
        <v>32.520000000000003</v>
      </c>
      <c r="M17" s="100">
        <v>42.36</v>
      </c>
      <c r="N17" s="100">
        <v>22.5</v>
      </c>
      <c r="O17" s="100">
        <v>0</v>
      </c>
      <c r="P17" s="100">
        <v>0.51</v>
      </c>
      <c r="Q17" s="100">
        <v>27.6</v>
      </c>
      <c r="R17" s="6"/>
      <c r="S17" s="6"/>
      <c r="T17" s="156"/>
      <c r="U17" s="6"/>
    </row>
    <row r="18" spans="1:21" customFormat="1">
      <c r="A18" s="163" t="s">
        <v>1113</v>
      </c>
      <c r="B18" s="100">
        <v>11.02</v>
      </c>
      <c r="C18" s="100">
        <v>33.72</v>
      </c>
      <c r="D18" s="100">
        <v>26.46</v>
      </c>
      <c r="E18" s="100">
        <v>6.24</v>
      </c>
      <c r="F18" s="100">
        <v>4.12</v>
      </c>
      <c r="G18" s="100">
        <v>34.74</v>
      </c>
      <c r="H18" s="100">
        <v>17.27</v>
      </c>
      <c r="I18" s="100">
        <v>10.67</v>
      </c>
      <c r="J18" s="100">
        <v>4.22</v>
      </c>
      <c r="K18" s="100">
        <v>251.37</v>
      </c>
      <c r="L18" s="100">
        <v>32.21</v>
      </c>
      <c r="M18" s="100">
        <v>43.38</v>
      </c>
      <c r="N18" s="100">
        <v>22.5</v>
      </c>
      <c r="O18" s="100">
        <v>0</v>
      </c>
      <c r="P18" s="100">
        <v>0.52</v>
      </c>
      <c r="Q18" s="100">
        <v>27.34</v>
      </c>
      <c r="R18" s="6"/>
      <c r="S18" s="6"/>
      <c r="T18" s="156"/>
      <c r="U18" s="6"/>
    </row>
    <row r="19" spans="1:21" customFormat="1">
      <c r="A19" s="163" t="s">
        <v>1114</v>
      </c>
      <c r="B19" s="100">
        <v>10.98</v>
      </c>
      <c r="C19" s="100">
        <v>29.17</v>
      </c>
      <c r="D19" s="100">
        <v>24.05</v>
      </c>
      <c r="E19" s="100">
        <v>6.31</v>
      </c>
      <c r="F19" s="100">
        <v>4.67</v>
      </c>
      <c r="G19" s="100">
        <v>34.74</v>
      </c>
      <c r="H19" s="100">
        <v>17.27</v>
      </c>
      <c r="I19" s="100">
        <v>10.68</v>
      </c>
      <c r="J19" s="100">
        <v>3.47</v>
      </c>
      <c r="K19" s="100">
        <v>246.65</v>
      </c>
      <c r="L19" s="100">
        <v>32</v>
      </c>
      <c r="M19" s="100">
        <v>43.5</v>
      </c>
      <c r="N19" s="100">
        <v>22.5</v>
      </c>
      <c r="O19" s="100">
        <v>0</v>
      </c>
      <c r="P19" s="100">
        <v>0.51</v>
      </c>
      <c r="Q19" s="100">
        <v>27.56</v>
      </c>
      <c r="R19" s="6"/>
      <c r="S19" s="6"/>
      <c r="T19" s="156"/>
      <c r="U19" s="6"/>
    </row>
    <row r="20" spans="1:21" customFormat="1">
      <c r="A20" s="163" t="s">
        <v>1115</v>
      </c>
      <c r="B20" s="100">
        <v>9.6300000000000008</v>
      </c>
      <c r="C20" s="100">
        <v>24.39</v>
      </c>
      <c r="D20" s="100">
        <v>20.47</v>
      </c>
      <c r="E20" s="100">
        <v>6.57</v>
      </c>
      <c r="F20" s="100">
        <v>10.35</v>
      </c>
      <c r="G20" s="100">
        <v>35.57</v>
      </c>
      <c r="H20" s="100">
        <v>17.41</v>
      </c>
      <c r="I20" s="100">
        <v>10.75</v>
      </c>
      <c r="J20" s="100">
        <v>2.7</v>
      </c>
      <c r="K20" s="100">
        <v>156.06</v>
      </c>
      <c r="L20" s="100">
        <v>31.75</v>
      </c>
      <c r="M20" s="100">
        <v>44.84</v>
      </c>
      <c r="N20" s="100">
        <v>22.9</v>
      </c>
      <c r="O20" s="100">
        <v>0</v>
      </c>
      <c r="P20" s="100">
        <v>0.48</v>
      </c>
      <c r="Q20" s="100">
        <v>27.95</v>
      </c>
      <c r="R20" s="6"/>
      <c r="S20" s="6"/>
      <c r="T20" s="156"/>
      <c r="U20" s="6"/>
    </row>
    <row r="21" spans="1:21" customFormat="1">
      <c r="A21" s="163" t="s">
        <v>1116</v>
      </c>
      <c r="B21" s="100">
        <v>8.98</v>
      </c>
      <c r="C21" s="100">
        <v>24.45</v>
      </c>
      <c r="D21" s="100">
        <v>19.98</v>
      </c>
      <c r="E21" s="100">
        <v>6.39</v>
      </c>
      <c r="F21" s="100">
        <v>10.24</v>
      </c>
      <c r="G21" s="100">
        <v>38.659999999999997</v>
      </c>
      <c r="H21" s="100">
        <v>17.95</v>
      </c>
      <c r="I21" s="100">
        <v>10.59</v>
      </c>
      <c r="J21" s="100">
        <v>2.97</v>
      </c>
      <c r="K21" s="100">
        <v>226.73</v>
      </c>
      <c r="L21" s="100">
        <v>31.62</v>
      </c>
      <c r="M21" s="100">
        <v>44.95</v>
      </c>
      <c r="N21" s="100">
        <v>22.3</v>
      </c>
      <c r="O21" s="100">
        <v>0</v>
      </c>
      <c r="P21" s="100">
        <v>0.48</v>
      </c>
      <c r="Q21" s="100">
        <v>27.89</v>
      </c>
      <c r="R21" s="6"/>
      <c r="S21" s="6"/>
      <c r="T21" s="156"/>
      <c r="U21" s="6"/>
    </row>
    <row r="22" spans="1:21" customFormat="1">
      <c r="A22" s="163" t="s">
        <v>1117</v>
      </c>
      <c r="B22" s="100">
        <v>9.26</v>
      </c>
      <c r="C22" s="100">
        <v>26.4</v>
      </c>
      <c r="D22" s="100">
        <v>21.22</v>
      </c>
      <c r="E22" s="100">
        <v>6</v>
      </c>
      <c r="F22" s="100">
        <v>6.81</v>
      </c>
      <c r="G22" s="100">
        <v>38.659999999999997</v>
      </c>
      <c r="H22" s="100">
        <v>17.95</v>
      </c>
      <c r="I22" s="100">
        <v>10.08</v>
      </c>
      <c r="J22" s="100">
        <v>2.0099999999999998</v>
      </c>
      <c r="K22" s="100">
        <v>347.12</v>
      </c>
      <c r="L22" s="100">
        <v>31.91</v>
      </c>
      <c r="M22" s="100">
        <v>44.38</v>
      </c>
      <c r="N22" s="100">
        <v>22.4</v>
      </c>
      <c r="O22" s="100">
        <v>0</v>
      </c>
      <c r="P22" s="100">
        <v>0.48</v>
      </c>
      <c r="Q22" s="100">
        <v>27.74</v>
      </c>
      <c r="R22" s="6"/>
      <c r="S22" s="6"/>
      <c r="T22" s="156"/>
      <c r="U22" s="6"/>
    </row>
    <row r="23" spans="1:21" customFormat="1">
      <c r="A23" s="163" t="s">
        <v>1118</v>
      </c>
      <c r="B23" s="100">
        <v>9.84</v>
      </c>
      <c r="C23" s="100">
        <v>29.53</v>
      </c>
      <c r="D23" s="100">
        <v>23.32</v>
      </c>
      <c r="E23" s="100">
        <v>6.22</v>
      </c>
      <c r="F23" s="100">
        <v>4.78</v>
      </c>
      <c r="G23" s="100">
        <v>38.659999999999997</v>
      </c>
      <c r="H23" s="100">
        <v>17.95</v>
      </c>
      <c r="I23" s="100">
        <v>10.09</v>
      </c>
      <c r="J23" s="100">
        <v>2.58</v>
      </c>
      <c r="K23" s="100">
        <v>110.29</v>
      </c>
      <c r="L23" s="100">
        <v>31.08</v>
      </c>
      <c r="M23" s="100">
        <v>48</v>
      </c>
      <c r="N23" s="100">
        <v>23</v>
      </c>
      <c r="O23" s="100">
        <v>0</v>
      </c>
      <c r="P23" s="100">
        <v>0.49</v>
      </c>
      <c r="Q23" s="100">
        <v>27.45</v>
      </c>
      <c r="R23" s="6"/>
      <c r="S23" s="6"/>
      <c r="T23" s="156"/>
      <c r="U23" s="6"/>
    </row>
    <row r="24" spans="1:21" customFormat="1">
      <c r="A24" s="163" t="s">
        <v>1119</v>
      </c>
      <c r="B24" s="100">
        <v>10.34</v>
      </c>
      <c r="C24" s="100">
        <v>30.12</v>
      </c>
      <c r="D24" s="100">
        <v>24.03</v>
      </c>
      <c r="E24" s="100">
        <v>6.19</v>
      </c>
      <c r="F24" s="100">
        <v>5.29</v>
      </c>
      <c r="G24" s="100">
        <v>39.200000000000003</v>
      </c>
      <c r="H24" s="100">
        <v>18.07</v>
      </c>
      <c r="I24" s="100">
        <v>10</v>
      </c>
      <c r="J24" s="100">
        <v>3.04</v>
      </c>
      <c r="K24" s="100">
        <v>130.36000000000001</v>
      </c>
      <c r="L24" s="100">
        <v>30.7</v>
      </c>
      <c r="M24" s="100">
        <v>49.29</v>
      </c>
      <c r="N24" s="100">
        <v>22.8</v>
      </c>
      <c r="O24" s="100">
        <v>0</v>
      </c>
      <c r="P24" s="100">
        <v>0.48</v>
      </c>
      <c r="Q24" s="100">
        <v>27.34</v>
      </c>
      <c r="R24" s="6"/>
      <c r="S24" s="6"/>
      <c r="T24" s="156"/>
      <c r="U24" s="6"/>
    </row>
    <row r="25" spans="1:21" customFormat="1">
      <c r="A25" s="163" t="s">
        <v>1120</v>
      </c>
      <c r="B25" s="100">
        <v>10.08</v>
      </c>
      <c r="C25" s="100">
        <v>30.47</v>
      </c>
      <c r="D25" s="100">
        <v>24</v>
      </c>
      <c r="E25" s="100">
        <v>5.81</v>
      </c>
      <c r="F25" s="100">
        <v>5.79</v>
      </c>
      <c r="G25" s="100">
        <v>41.21</v>
      </c>
      <c r="H25" s="100">
        <v>18.52</v>
      </c>
      <c r="I25" s="100">
        <v>9.91</v>
      </c>
      <c r="J25" s="100">
        <v>2.96</v>
      </c>
      <c r="K25" s="100">
        <v>114.7</v>
      </c>
      <c r="L25" s="100">
        <v>30.46</v>
      </c>
      <c r="M25" s="100">
        <v>50.27</v>
      </c>
      <c r="N25" s="100">
        <v>22.8</v>
      </c>
      <c r="O25" s="100">
        <v>0</v>
      </c>
      <c r="P25" s="100">
        <v>0.48</v>
      </c>
      <c r="Q25" s="100">
        <v>27.38</v>
      </c>
      <c r="R25" s="6"/>
      <c r="S25" s="6"/>
      <c r="T25" s="156"/>
      <c r="U25" s="6"/>
    </row>
    <row r="26" spans="1:21" customFormat="1">
      <c r="A26" s="163" t="s">
        <v>1121</v>
      </c>
      <c r="B26" s="100">
        <v>10.28</v>
      </c>
      <c r="C26" s="100">
        <v>29.71</v>
      </c>
      <c r="D26" s="100">
        <v>23.77</v>
      </c>
      <c r="E26" s="100">
        <v>5.83</v>
      </c>
      <c r="F26" s="100">
        <v>6.4</v>
      </c>
      <c r="G26" s="100">
        <v>41.21</v>
      </c>
      <c r="H26" s="100">
        <v>18.52</v>
      </c>
      <c r="I26" s="100">
        <v>9.85</v>
      </c>
      <c r="J26" s="100">
        <v>3.28</v>
      </c>
      <c r="K26" s="100">
        <v>132.77000000000001</v>
      </c>
      <c r="L26" s="100">
        <v>30.47</v>
      </c>
      <c r="M26" s="100">
        <v>50.5</v>
      </c>
      <c r="N26" s="100">
        <v>22.5</v>
      </c>
      <c r="O26" s="100">
        <v>0</v>
      </c>
      <c r="P26" s="100">
        <v>0.49</v>
      </c>
      <c r="Q26" s="100">
        <v>27.54</v>
      </c>
      <c r="R26" s="6"/>
      <c r="S26" s="6"/>
      <c r="T26" s="156"/>
      <c r="U26" s="6"/>
    </row>
    <row r="27" spans="1:21" customFormat="1">
      <c r="A27" s="163" t="s">
        <v>1122</v>
      </c>
      <c r="B27" s="100">
        <v>11.19</v>
      </c>
      <c r="C27" s="100">
        <v>35.86</v>
      </c>
      <c r="D27" s="100">
        <v>27.71</v>
      </c>
      <c r="E27" s="100">
        <v>6.19</v>
      </c>
      <c r="F27" s="100">
        <v>4.9800000000000004</v>
      </c>
      <c r="G27" s="100">
        <v>41.21</v>
      </c>
      <c r="H27" s="100">
        <v>18.52</v>
      </c>
      <c r="I27" s="100">
        <v>10.130000000000001</v>
      </c>
      <c r="J27" s="100">
        <v>3.16</v>
      </c>
      <c r="K27" s="100">
        <v>89.34</v>
      </c>
      <c r="L27" s="100">
        <v>30.32</v>
      </c>
      <c r="M27" s="100">
        <v>50.56</v>
      </c>
      <c r="N27" s="100">
        <v>22.8</v>
      </c>
      <c r="O27" s="100">
        <v>0</v>
      </c>
      <c r="P27" s="100">
        <v>0.49</v>
      </c>
      <c r="Q27" s="100">
        <v>27.33</v>
      </c>
      <c r="R27" s="6"/>
      <c r="S27" s="6"/>
      <c r="T27" s="156"/>
      <c r="U27" s="6"/>
    </row>
    <row r="28" spans="1:21" customFormat="1">
      <c r="A28" s="163" t="s">
        <v>1123</v>
      </c>
      <c r="B28" s="100">
        <v>12.31</v>
      </c>
      <c r="C28" s="100">
        <v>48.41</v>
      </c>
      <c r="D28" s="100">
        <v>35.159999999999997</v>
      </c>
      <c r="E28" s="100">
        <v>6.41</v>
      </c>
      <c r="F28" s="100">
        <v>3.28</v>
      </c>
      <c r="G28" s="100">
        <v>42.2</v>
      </c>
      <c r="H28" s="100">
        <v>18.989999999999998</v>
      </c>
      <c r="I28" s="100">
        <v>10.64</v>
      </c>
      <c r="J28" s="100">
        <v>2.61</v>
      </c>
      <c r="K28" s="100">
        <v>108.85</v>
      </c>
      <c r="L28" s="100">
        <v>30.4</v>
      </c>
      <c r="M28" s="100">
        <v>50.66</v>
      </c>
      <c r="N28" s="100">
        <v>22.5</v>
      </c>
      <c r="O28" s="100">
        <v>0</v>
      </c>
      <c r="P28" s="100">
        <v>0.49</v>
      </c>
      <c r="Q28" s="100">
        <v>26.61</v>
      </c>
      <c r="R28" s="6"/>
      <c r="S28" s="6"/>
      <c r="T28" s="156"/>
      <c r="U28" s="6"/>
    </row>
    <row r="29" spans="1:21" customFormat="1">
      <c r="A29" s="163" t="s">
        <v>1124</v>
      </c>
      <c r="B29" s="100">
        <v>13.05</v>
      </c>
      <c r="C29" s="100">
        <v>46.42</v>
      </c>
      <c r="D29" s="100">
        <v>34.72</v>
      </c>
      <c r="E29" s="100">
        <v>5.69</v>
      </c>
      <c r="F29" s="100">
        <v>2.95</v>
      </c>
      <c r="G29" s="100">
        <v>45.89</v>
      </c>
      <c r="H29" s="100">
        <v>20.76</v>
      </c>
      <c r="I29" s="100">
        <v>10.62</v>
      </c>
      <c r="J29" s="100">
        <v>2.75</v>
      </c>
      <c r="K29" s="100">
        <v>105.75</v>
      </c>
      <c r="L29" s="100">
        <v>30.33</v>
      </c>
      <c r="M29" s="100">
        <v>52.14</v>
      </c>
      <c r="N29" s="100">
        <v>23</v>
      </c>
      <c r="O29" s="100">
        <v>0</v>
      </c>
      <c r="P29" s="100">
        <v>0.48</v>
      </c>
      <c r="Q29" s="100">
        <v>26.61</v>
      </c>
      <c r="R29" s="6"/>
      <c r="S29" s="6"/>
      <c r="T29" s="156"/>
      <c r="U29" s="6"/>
    </row>
    <row r="30" spans="1:21" customFormat="1">
      <c r="A30" s="163" t="s">
        <v>1125</v>
      </c>
      <c r="B30" s="100">
        <v>13.74</v>
      </c>
      <c r="C30" s="100">
        <v>43.7</v>
      </c>
      <c r="D30" s="100">
        <v>33.85</v>
      </c>
      <c r="E30" s="100">
        <v>6.95</v>
      </c>
      <c r="F30" s="100">
        <v>2.78</v>
      </c>
      <c r="G30" s="100">
        <v>45.89</v>
      </c>
      <c r="H30" s="100">
        <v>20.76</v>
      </c>
      <c r="I30" s="100">
        <v>10.88</v>
      </c>
      <c r="J30" s="100">
        <v>2.77</v>
      </c>
      <c r="K30" s="100">
        <v>110.54</v>
      </c>
      <c r="L30" s="100">
        <v>30.33</v>
      </c>
      <c r="M30" s="100">
        <v>52.43</v>
      </c>
      <c r="N30" s="100">
        <v>25.6</v>
      </c>
      <c r="O30" s="100">
        <v>0</v>
      </c>
      <c r="P30" s="100">
        <v>0.49</v>
      </c>
      <c r="Q30" s="100">
        <v>26.73</v>
      </c>
      <c r="R30" s="6"/>
      <c r="S30" s="6"/>
      <c r="T30" s="156"/>
      <c r="U30" s="6"/>
    </row>
    <row r="31" spans="1:21" customFormat="1">
      <c r="A31" s="163" t="s">
        <v>1126</v>
      </c>
      <c r="B31" s="100">
        <v>14.09</v>
      </c>
      <c r="C31" s="100">
        <v>41.21</v>
      </c>
      <c r="D31" s="100">
        <v>32.83</v>
      </c>
      <c r="E31" s="100">
        <v>7.19</v>
      </c>
      <c r="F31" s="100">
        <v>2.78</v>
      </c>
      <c r="G31" s="100">
        <v>45.89</v>
      </c>
      <c r="H31" s="100">
        <v>20.76</v>
      </c>
      <c r="I31" s="100">
        <v>10.97</v>
      </c>
      <c r="J31" s="100">
        <v>3.18</v>
      </c>
      <c r="K31" s="100">
        <v>142.62</v>
      </c>
      <c r="L31" s="100">
        <v>30.56</v>
      </c>
      <c r="M31" s="100">
        <v>51.48</v>
      </c>
      <c r="N31" s="100">
        <v>32.799999999999997</v>
      </c>
      <c r="O31" s="100">
        <v>0</v>
      </c>
      <c r="P31" s="100">
        <v>0.49</v>
      </c>
      <c r="Q31" s="100">
        <v>26.84</v>
      </c>
      <c r="R31" s="6"/>
      <c r="S31" s="6"/>
      <c r="T31" s="156"/>
      <c r="U31" s="6"/>
    </row>
    <row r="32" spans="1:21" customFormat="1">
      <c r="A32" s="163" t="s">
        <v>1127</v>
      </c>
      <c r="B32" s="100">
        <v>14.16</v>
      </c>
      <c r="C32" s="100">
        <v>39.44</v>
      </c>
      <c r="D32" s="100">
        <v>31.96</v>
      </c>
      <c r="E32" s="100">
        <v>7.48</v>
      </c>
      <c r="F32" s="100">
        <v>3.13</v>
      </c>
      <c r="G32" s="100">
        <v>46.2</v>
      </c>
      <c r="H32" s="100">
        <v>19.809999999999999</v>
      </c>
      <c r="I32" s="100">
        <v>11.13</v>
      </c>
      <c r="J32" s="100">
        <v>3.19</v>
      </c>
      <c r="K32" s="100">
        <v>152.18</v>
      </c>
      <c r="L32" s="100">
        <v>30.95</v>
      </c>
      <c r="M32" s="100">
        <v>50.22</v>
      </c>
      <c r="N32" s="100">
        <v>42.7</v>
      </c>
      <c r="O32" s="100">
        <v>0</v>
      </c>
      <c r="P32" s="100">
        <v>0.49</v>
      </c>
      <c r="Q32" s="100">
        <v>26.93</v>
      </c>
      <c r="R32" s="6"/>
      <c r="S32" s="6"/>
      <c r="T32" s="156"/>
      <c r="U32" s="6"/>
    </row>
    <row r="33" spans="1:21" customFormat="1">
      <c r="A33" s="163" t="s">
        <v>1128</v>
      </c>
      <c r="B33" s="100">
        <v>13.68</v>
      </c>
      <c r="C33" s="100">
        <v>31.69</v>
      </c>
      <c r="D33" s="100">
        <v>27.53</v>
      </c>
      <c r="E33" s="100">
        <v>7.22</v>
      </c>
      <c r="F33" s="100">
        <v>5.0599999999999996</v>
      </c>
      <c r="G33" s="100">
        <v>47.38</v>
      </c>
      <c r="H33" s="100">
        <v>16.23</v>
      </c>
      <c r="I33" s="100">
        <v>11.21</v>
      </c>
      <c r="J33" s="100">
        <v>2.69</v>
      </c>
      <c r="K33" s="100">
        <v>178.81</v>
      </c>
      <c r="L33" s="100">
        <v>31.28</v>
      </c>
      <c r="M33" s="100">
        <v>49.45</v>
      </c>
      <c r="N33" s="100">
        <v>52.7</v>
      </c>
      <c r="O33" s="100">
        <v>0</v>
      </c>
      <c r="P33" s="100">
        <v>0.47</v>
      </c>
      <c r="Q33" s="100">
        <v>27.28</v>
      </c>
      <c r="R33" s="6"/>
      <c r="S33" s="6"/>
      <c r="T33" s="156"/>
      <c r="U33" s="6"/>
    </row>
    <row r="34" spans="1:21" customFormat="1">
      <c r="A34" s="163" t="s">
        <v>1129</v>
      </c>
      <c r="B34" s="100">
        <v>13.54</v>
      </c>
      <c r="C34" s="100">
        <v>25.58</v>
      </c>
      <c r="D34" s="100">
        <v>24.22</v>
      </c>
      <c r="E34" s="100">
        <v>6.91</v>
      </c>
      <c r="F34" s="100">
        <v>6.3</v>
      </c>
      <c r="G34" s="100">
        <v>47.38</v>
      </c>
      <c r="H34" s="100">
        <v>16.23</v>
      </c>
      <c r="I34" s="100">
        <v>11.13</v>
      </c>
      <c r="J34" s="100">
        <v>2.78</v>
      </c>
      <c r="K34" s="100">
        <v>185.07</v>
      </c>
      <c r="L34" s="100">
        <v>31.5</v>
      </c>
      <c r="M34" s="100">
        <v>48.34</v>
      </c>
      <c r="N34" s="100">
        <v>62.2</v>
      </c>
      <c r="O34" s="100">
        <v>0</v>
      </c>
      <c r="P34" s="100">
        <v>0.46</v>
      </c>
      <c r="Q34" s="100">
        <v>27.61</v>
      </c>
      <c r="R34" s="6"/>
      <c r="S34" s="6"/>
      <c r="T34" s="156"/>
      <c r="U34" s="6"/>
    </row>
    <row r="35" spans="1:21" customFormat="1">
      <c r="A35" s="163" t="s">
        <v>1130</v>
      </c>
      <c r="B35" s="100">
        <v>13.03</v>
      </c>
      <c r="C35" s="100">
        <v>25.27</v>
      </c>
      <c r="D35" s="100">
        <v>23.65</v>
      </c>
      <c r="E35" s="100">
        <v>6.36</v>
      </c>
      <c r="F35" s="100">
        <v>7.38</v>
      </c>
      <c r="G35" s="100">
        <v>47.38</v>
      </c>
      <c r="H35" s="100">
        <v>16.23</v>
      </c>
      <c r="I35" s="100">
        <v>10.97</v>
      </c>
      <c r="J35" s="100">
        <v>2.84</v>
      </c>
      <c r="K35" s="100">
        <v>191.47</v>
      </c>
      <c r="L35" s="100">
        <v>31.8</v>
      </c>
      <c r="M35" s="100">
        <v>47.21</v>
      </c>
      <c r="N35" s="100">
        <v>71.900000000000006</v>
      </c>
      <c r="O35" s="100">
        <v>0</v>
      </c>
      <c r="P35" s="100">
        <v>0.47</v>
      </c>
      <c r="Q35" s="100">
        <v>27.67</v>
      </c>
      <c r="R35" s="6"/>
      <c r="S35" s="6"/>
      <c r="T35" s="156"/>
      <c r="U35" s="6"/>
    </row>
    <row r="36" spans="1:21" customFormat="1">
      <c r="A36" s="163" t="s">
        <v>1131</v>
      </c>
      <c r="B36" s="100">
        <v>12.58</v>
      </c>
      <c r="C36" s="100">
        <v>26.82</v>
      </c>
      <c r="D36" s="100">
        <v>24.11</v>
      </c>
      <c r="E36" s="100">
        <v>6.57</v>
      </c>
      <c r="F36" s="100">
        <v>7.19</v>
      </c>
      <c r="G36" s="100">
        <v>46.42</v>
      </c>
      <c r="H36" s="100">
        <v>16.440000000000001</v>
      </c>
      <c r="I36" s="100">
        <v>10.89</v>
      </c>
      <c r="J36" s="100">
        <v>2.97</v>
      </c>
      <c r="K36" s="100">
        <v>200.75</v>
      </c>
      <c r="L36" s="100">
        <v>32.03</v>
      </c>
      <c r="M36" s="100">
        <v>46.72</v>
      </c>
      <c r="N36" s="100">
        <v>115.5</v>
      </c>
      <c r="O36" s="100">
        <v>0</v>
      </c>
      <c r="P36" s="100">
        <v>0.47</v>
      </c>
      <c r="Q36" s="100">
        <v>27.62</v>
      </c>
      <c r="R36" s="6"/>
      <c r="S36" s="6"/>
      <c r="T36" s="156"/>
      <c r="U36" s="6"/>
    </row>
    <row r="37" spans="1:21" customFormat="1">
      <c r="A37" s="163" t="s">
        <v>1132</v>
      </c>
      <c r="B37" s="100">
        <v>12.38</v>
      </c>
      <c r="C37" s="100">
        <v>28.54</v>
      </c>
      <c r="D37" s="100">
        <v>24.84</v>
      </c>
      <c r="E37" s="100">
        <v>6.38</v>
      </c>
      <c r="F37" s="100">
        <v>8.18</v>
      </c>
      <c r="G37" s="100">
        <v>42.85</v>
      </c>
      <c r="H37" s="100">
        <v>17.2</v>
      </c>
      <c r="I37" s="100">
        <v>10.71</v>
      </c>
      <c r="J37" s="100">
        <v>2.99</v>
      </c>
      <c r="K37" s="100">
        <v>204.69</v>
      </c>
      <c r="L37" s="100">
        <v>32.369999999999997</v>
      </c>
      <c r="M37" s="100">
        <v>45.8</v>
      </c>
      <c r="N37" s="100">
        <v>128.80000000000001</v>
      </c>
      <c r="O37" s="100">
        <v>0</v>
      </c>
      <c r="P37" s="100">
        <v>0.48</v>
      </c>
      <c r="Q37" s="100">
        <v>27.49</v>
      </c>
      <c r="R37" s="6"/>
      <c r="S37" s="6"/>
      <c r="T37" s="156"/>
      <c r="U37" s="6"/>
    </row>
    <row r="38" spans="1:21" customFormat="1">
      <c r="A38" s="163" t="s">
        <v>1133</v>
      </c>
      <c r="B38" s="100">
        <v>11.98</v>
      </c>
      <c r="C38" s="100">
        <v>28.48</v>
      </c>
      <c r="D38" s="100">
        <v>24.48</v>
      </c>
      <c r="E38" s="100">
        <v>6.33</v>
      </c>
      <c r="F38" s="100">
        <v>7.2</v>
      </c>
      <c r="G38" s="100">
        <v>42.85</v>
      </c>
      <c r="H38" s="100">
        <v>17.2</v>
      </c>
      <c r="I38" s="100">
        <v>10.72</v>
      </c>
      <c r="J38" s="100">
        <v>3.22</v>
      </c>
      <c r="K38" s="100">
        <v>214.42</v>
      </c>
      <c r="L38" s="100">
        <v>32.78</v>
      </c>
      <c r="M38" s="100">
        <v>45.84</v>
      </c>
      <c r="N38" s="100">
        <v>124.4</v>
      </c>
      <c r="O38" s="100">
        <v>0</v>
      </c>
      <c r="P38" s="100">
        <v>0.48</v>
      </c>
      <c r="Q38" s="100">
        <v>27.5</v>
      </c>
      <c r="R38" s="6"/>
      <c r="S38" s="6"/>
      <c r="T38" s="156"/>
      <c r="U38" s="6"/>
    </row>
    <row r="39" spans="1:21" customFormat="1">
      <c r="A39" s="163" t="s">
        <v>1134</v>
      </c>
      <c r="B39" s="100">
        <v>11.02</v>
      </c>
      <c r="C39" s="100">
        <v>27.86</v>
      </c>
      <c r="D39" s="100">
        <v>23.4</v>
      </c>
      <c r="E39" s="100">
        <v>6.68</v>
      </c>
      <c r="F39" s="100">
        <v>7.78</v>
      </c>
      <c r="G39" s="100">
        <v>42.85</v>
      </c>
      <c r="H39" s="100">
        <v>17.2</v>
      </c>
      <c r="I39" s="100">
        <v>10.79</v>
      </c>
      <c r="J39" s="100">
        <v>3.07</v>
      </c>
      <c r="K39" s="100">
        <v>210.82</v>
      </c>
      <c r="L39" s="100">
        <v>33.14</v>
      </c>
      <c r="M39" s="100">
        <v>46.3</v>
      </c>
      <c r="N39" s="100">
        <v>107.3</v>
      </c>
      <c r="O39" s="100">
        <v>0</v>
      </c>
      <c r="P39" s="100">
        <v>0.49</v>
      </c>
      <c r="Q39" s="100">
        <v>27.61</v>
      </c>
      <c r="R39" s="6"/>
      <c r="S39" s="6"/>
      <c r="T39" s="156"/>
      <c r="U39" s="6"/>
    </row>
    <row r="40" spans="1:21" customFormat="1">
      <c r="A40" s="163" t="s">
        <v>1135</v>
      </c>
      <c r="B40" s="100">
        <v>10.6</v>
      </c>
      <c r="C40" s="100">
        <v>31.41</v>
      </c>
      <c r="D40" s="100">
        <v>24.91</v>
      </c>
      <c r="E40" s="100">
        <v>6.81</v>
      </c>
      <c r="F40" s="100">
        <v>5.7</v>
      </c>
      <c r="G40" s="100">
        <v>43.27</v>
      </c>
      <c r="H40" s="100">
        <v>17.510000000000002</v>
      </c>
      <c r="I40" s="100">
        <v>10.61</v>
      </c>
      <c r="J40" s="100">
        <v>3.3</v>
      </c>
      <c r="K40" s="100">
        <v>219.33</v>
      </c>
      <c r="L40" s="100">
        <v>33.450000000000003</v>
      </c>
      <c r="M40" s="100">
        <v>46.54</v>
      </c>
      <c r="N40" s="100">
        <v>270</v>
      </c>
      <c r="O40" s="100">
        <v>0</v>
      </c>
      <c r="P40" s="100">
        <v>0.51</v>
      </c>
      <c r="Q40" s="100">
        <v>27.52</v>
      </c>
      <c r="R40" s="6"/>
      <c r="S40" s="6"/>
      <c r="T40" s="156"/>
      <c r="U40" s="6"/>
    </row>
    <row r="41" spans="1:21" customFormat="1">
      <c r="A41" s="163" t="s">
        <v>1136</v>
      </c>
      <c r="B41" s="100">
        <v>10.51</v>
      </c>
      <c r="C41" s="100">
        <v>41.7</v>
      </c>
      <c r="D41" s="100">
        <v>30.22</v>
      </c>
      <c r="E41" s="100">
        <v>6.6</v>
      </c>
      <c r="F41" s="100">
        <v>4.24</v>
      </c>
      <c r="G41" s="100">
        <v>44.86</v>
      </c>
      <c r="H41" s="100">
        <v>18.66</v>
      </c>
      <c r="I41" s="100">
        <v>10.76</v>
      </c>
      <c r="J41" s="100">
        <v>3.69</v>
      </c>
      <c r="K41" s="100">
        <v>228.39</v>
      </c>
      <c r="L41" s="100">
        <v>34.159999999999997</v>
      </c>
      <c r="M41" s="100">
        <v>44.25</v>
      </c>
      <c r="N41" s="100">
        <v>432.2</v>
      </c>
      <c r="O41" s="100">
        <v>0</v>
      </c>
      <c r="P41" s="100">
        <v>0.52</v>
      </c>
      <c r="Q41" s="100">
        <v>27.05</v>
      </c>
      <c r="R41" s="6"/>
      <c r="S41" s="6"/>
      <c r="T41" s="156"/>
      <c r="U41" s="6"/>
    </row>
    <row r="42" spans="1:21" customFormat="1">
      <c r="A42" s="163" t="s">
        <v>1137</v>
      </c>
      <c r="B42" s="100">
        <v>9.64</v>
      </c>
      <c r="C42" s="100">
        <v>40.24</v>
      </c>
      <c r="D42" s="100">
        <v>28.76</v>
      </c>
      <c r="E42" s="100">
        <v>6.79</v>
      </c>
      <c r="F42" s="100">
        <v>4.43</v>
      </c>
      <c r="G42" s="100">
        <v>44.86</v>
      </c>
      <c r="H42" s="100">
        <v>18.66</v>
      </c>
      <c r="I42" s="100">
        <v>11.15</v>
      </c>
      <c r="J42" s="100">
        <v>4.26</v>
      </c>
      <c r="K42" s="100">
        <v>244.78</v>
      </c>
      <c r="L42" s="100">
        <v>34.909999999999997</v>
      </c>
      <c r="M42" s="100">
        <v>42.64</v>
      </c>
      <c r="N42" s="100">
        <v>372.8</v>
      </c>
      <c r="O42" s="100">
        <v>0</v>
      </c>
      <c r="P42" s="100">
        <v>0.52</v>
      </c>
      <c r="Q42" s="100">
        <v>27.16</v>
      </c>
      <c r="R42" s="6"/>
      <c r="S42" s="6"/>
      <c r="T42" s="156"/>
      <c r="U42" s="6"/>
    </row>
    <row r="43" spans="1:21" customFormat="1">
      <c r="A43" s="163" t="s">
        <v>1138</v>
      </c>
      <c r="B43" s="100">
        <v>8.94</v>
      </c>
      <c r="C43" s="100">
        <v>37.58</v>
      </c>
      <c r="D43" s="100">
        <v>26.8</v>
      </c>
      <c r="E43" s="100">
        <v>6.88</v>
      </c>
      <c r="F43" s="100">
        <v>5.0599999999999996</v>
      </c>
      <c r="G43" s="100">
        <v>44.86</v>
      </c>
      <c r="H43" s="100">
        <v>18.66</v>
      </c>
      <c r="I43" s="100">
        <v>11.28</v>
      </c>
      <c r="J43" s="100">
        <v>4.07</v>
      </c>
      <c r="K43" s="100">
        <v>234.88</v>
      </c>
      <c r="L43" s="100">
        <v>35.549999999999997</v>
      </c>
      <c r="M43" s="100">
        <v>40.93</v>
      </c>
      <c r="N43" s="100">
        <v>307</v>
      </c>
      <c r="O43" s="100">
        <v>0</v>
      </c>
      <c r="P43" s="100">
        <v>0.53</v>
      </c>
      <c r="Q43" s="100">
        <v>27.3</v>
      </c>
      <c r="R43" s="6"/>
      <c r="S43" s="6"/>
      <c r="T43" s="156"/>
      <c r="U43" s="6"/>
    </row>
    <row r="44" spans="1:21" customFormat="1">
      <c r="A44" s="163" t="s">
        <v>1139</v>
      </c>
      <c r="B44" s="100">
        <v>7.97</v>
      </c>
      <c r="C44" s="100">
        <v>35.869999999999997</v>
      </c>
      <c r="D44" s="100">
        <v>25.13</v>
      </c>
      <c r="E44" s="100">
        <v>7.06</v>
      </c>
      <c r="F44" s="100">
        <v>6.18</v>
      </c>
      <c r="G44" s="100">
        <v>45.96</v>
      </c>
      <c r="H44" s="100">
        <v>19.239999999999998</v>
      </c>
      <c r="I44" s="100">
        <v>11.56</v>
      </c>
      <c r="J44" s="100">
        <v>3.96</v>
      </c>
      <c r="K44" s="100">
        <v>224.21</v>
      </c>
      <c r="L44" s="100">
        <v>36.32</v>
      </c>
      <c r="M44" s="100">
        <v>39.22</v>
      </c>
      <c r="N44" s="100">
        <v>217</v>
      </c>
      <c r="O44" s="100">
        <v>0</v>
      </c>
      <c r="P44" s="100">
        <v>0.54</v>
      </c>
      <c r="Q44" s="100">
        <v>27.45</v>
      </c>
      <c r="R44" s="6"/>
      <c r="S44" s="6"/>
      <c r="T44" s="156"/>
      <c r="U44" s="6"/>
    </row>
    <row r="45" spans="1:21" customFormat="1">
      <c r="A45" s="163" t="s">
        <v>1140</v>
      </c>
      <c r="B45" s="100">
        <v>7.03</v>
      </c>
      <c r="C45" s="100">
        <v>32.67</v>
      </c>
      <c r="D45" s="100">
        <v>22.7</v>
      </c>
      <c r="E45" s="100">
        <v>6.92</v>
      </c>
      <c r="F45" s="100">
        <v>8.3800000000000008</v>
      </c>
      <c r="G45" s="100">
        <v>50.06</v>
      </c>
      <c r="H45" s="100">
        <v>21.38</v>
      </c>
      <c r="I45" s="100">
        <v>11.83</v>
      </c>
      <c r="J45" s="100">
        <v>4.09</v>
      </c>
      <c r="K45" s="100">
        <v>236.13</v>
      </c>
      <c r="L45" s="100">
        <v>37.21</v>
      </c>
      <c r="M45" s="100">
        <v>36.96</v>
      </c>
      <c r="N45" s="100">
        <v>190.2</v>
      </c>
      <c r="O45" s="100">
        <v>0</v>
      </c>
      <c r="P45" s="100">
        <v>0.55000000000000004</v>
      </c>
      <c r="Q45" s="100">
        <v>27.66</v>
      </c>
      <c r="R45" s="6"/>
      <c r="S45" s="6"/>
      <c r="T45" s="156"/>
      <c r="U45" s="6"/>
    </row>
    <row r="46" spans="1:21" customFormat="1">
      <c r="A46" s="163" t="s">
        <v>1141</v>
      </c>
      <c r="B46" s="100">
        <v>6.19</v>
      </c>
      <c r="C46" s="100">
        <v>27.4</v>
      </c>
      <c r="D46" s="100">
        <v>19.27</v>
      </c>
      <c r="E46" s="100">
        <v>7.5</v>
      </c>
      <c r="F46" s="100">
        <v>9.76</v>
      </c>
      <c r="G46" s="100">
        <v>50.06</v>
      </c>
      <c r="H46" s="100">
        <v>21.38</v>
      </c>
      <c r="I46" s="100">
        <v>12.01</v>
      </c>
      <c r="J46" s="100">
        <v>4.07</v>
      </c>
      <c r="K46" s="100">
        <v>240.26</v>
      </c>
      <c r="L46" s="100">
        <v>37.520000000000003</v>
      </c>
      <c r="M46" s="100">
        <v>35.590000000000003</v>
      </c>
      <c r="N46" s="100">
        <v>295.5</v>
      </c>
      <c r="O46" s="100">
        <v>0</v>
      </c>
      <c r="P46" s="100">
        <v>0.56999999999999995</v>
      </c>
      <c r="Q46" s="100">
        <v>27.97</v>
      </c>
      <c r="R46" s="6"/>
      <c r="S46" s="6"/>
      <c r="T46" s="156"/>
      <c r="U46" s="6"/>
    </row>
    <row r="47" spans="1:21" customFormat="1">
      <c r="A47" s="163" t="s">
        <v>1142</v>
      </c>
      <c r="B47" s="100">
        <v>5.07</v>
      </c>
      <c r="C47" s="100">
        <v>23.27</v>
      </c>
      <c r="D47" s="100">
        <v>16.23</v>
      </c>
      <c r="E47" s="100">
        <v>7.13</v>
      </c>
      <c r="F47" s="100">
        <v>12.25</v>
      </c>
      <c r="G47" s="100">
        <v>50.06</v>
      </c>
      <c r="H47" s="100">
        <v>21.38</v>
      </c>
      <c r="I47" s="100">
        <v>12.24</v>
      </c>
      <c r="J47" s="100">
        <v>2.93</v>
      </c>
      <c r="K47" s="100">
        <v>240.27</v>
      </c>
      <c r="L47" s="100">
        <v>37.840000000000003</v>
      </c>
      <c r="M47" s="100">
        <v>34</v>
      </c>
      <c r="N47" s="100">
        <v>636.5</v>
      </c>
      <c r="O47" s="100">
        <v>0</v>
      </c>
      <c r="P47" s="100">
        <v>0.59</v>
      </c>
      <c r="Q47" s="100">
        <v>28.19</v>
      </c>
      <c r="R47" s="6"/>
      <c r="S47" s="6"/>
      <c r="T47" s="156"/>
      <c r="U47" s="6"/>
    </row>
    <row r="48" spans="1:21" customFormat="1">
      <c r="A48" s="163" t="s">
        <v>1143</v>
      </c>
      <c r="B48" s="100">
        <v>3.77</v>
      </c>
      <c r="C48" s="100">
        <v>21.59</v>
      </c>
      <c r="D48" s="100">
        <v>14.3</v>
      </c>
      <c r="E48" s="100">
        <v>6.61</v>
      </c>
      <c r="F48" s="100">
        <v>13.91</v>
      </c>
      <c r="G48" s="100">
        <v>50.89</v>
      </c>
      <c r="H48" s="100">
        <v>21.23</v>
      </c>
      <c r="I48" s="100">
        <v>12.72</v>
      </c>
      <c r="J48" s="100">
        <v>3</v>
      </c>
      <c r="K48" s="100">
        <v>209.23</v>
      </c>
      <c r="L48" s="100">
        <v>38.729999999999997</v>
      </c>
      <c r="M48" s="100">
        <v>32.130000000000003</v>
      </c>
      <c r="N48" s="100">
        <v>716.7</v>
      </c>
      <c r="O48" s="100">
        <v>0</v>
      </c>
      <c r="P48" s="100">
        <v>0.57999999999999996</v>
      </c>
      <c r="Q48" s="100">
        <v>28.4</v>
      </c>
      <c r="R48" s="6"/>
      <c r="S48" s="6"/>
      <c r="T48" s="156"/>
      <c r="U48" s="6"/>
    </row>
    <row r="49" spans="1:21" customFormat="1">
      <c r="A49" s="163" t="s">
        <v>1144</v>
      </c>
      <c r="B49" s="100">
        <v>3.06</v>
      </c>
      <c r="C49" s="100">
        <v>21.69</v>
      </c>
      <c r="D49" s="100">
        <v>13.79</v>
      </c>
      <c r="E49" s="100">
        <v>6.81</v>
      </c>
      <c r="F49" s="100">
        <v>14.29</v>
      </c>
      <c r="G49" s="100">
        <v>53.99</v>
      </c>
      <c r="H49" s="100">
        <v>20.69</v>
      </c>
      <c r="I49" s="100">
        <v>12.84</v>
      </c>
      <c r="J49" s="100">
        <v>3.01</v>
      </c>
      <c r="K49" s="100">
        <v>239.7</v>
      </c>
      <c r="L49" s="100">
        <v>38.950000000000003</v>
      </c>
      <c r="M49" s="100">
        <v>31.48</v>
      </c>
      <c r="N49" s="100">
        <v>738</v>
      </c>
      <c r="O49" s="100">
        <v>0</v>
      </c>
      <c r="P49" s="100">
        <v>0.56999999999999995</v>
      </c>
      <c r="Q49" s="100">
        <v>28.41</v>
      </c>
      <c r="R49" s="6"/>
      <c r="S49" s="6"/>
      <c r="T49" s="156"/>
      <c r="U49" s="6"/>
    </row>
    <row r="50" spans="1:21" customFormat="1">
      <c r="A50" s="163" t="s">
        <v>1145</v>
      </c>
      <c r="B50" s="100">
        <v>2.46</v>
      </c>
      <c r="C50" s="100">
        <v>23.81</v>
      </c>
      <c r="D50" s="100">
        <v>14.42</v>
      </c>
      <c r="E50" s="100">
        <v>6.82</v>
      </c>
      <c r="F50" s="100">
        <v>20.96</v>
      </c>
      <c r="G50" s="100">
        <v>53.99</v>
      </c>
      <c r="H50" s="100">
        <v>20.69</v>
      </c>
      <c r="I50" s="100">
        <v>12.29</v>
      </c>
      <c r="J50" s="100">
        <v>2.96</v>
      </c>
      <c r="K50" s="100">
        <v>238.24</v>
      </c>
      <c r="L50" s="100">
        <v>39.51</v>
      </c>
      <c r="M50" s="100">
        <v>30.35</v>
      </c>
      <c r="N50" s="100">
        <v>783.3</v>
      </c>
      <c r="O50" s="100">
        <v>0</v>
      </c>
      <c r="P50" s="100">
        <v>0.56000000000000005</v>
      </c>
      <c r="Q50" s="100">
        <v>28.32</v>
      </c>
      <c r="R50" s="6"/>
      <c r="S50" s="6"/>
      <c r="T50" s="156"/>
      <c r="U50" s="6"/>
    </row>
    <row r="51" spans="1:21" customFormat="1">
      <c r="A51" s="163" t="s">
        <v>1146</v>
      </c>
      <c r="B51" s="100">
        <v>2.02</v>
      </c>
      <c r="C51" s="100">
        <v>22.84</v>
      </c>
      <c r="D51" s="100">
        <v>13.56</v>
      </c>
      <c r="E51" s="100">
        <v>7.04</v>
      </c>
      <c r="F51" s="100">
        <v>20.48</v>
      </c>
      <c r="G51" s="100">
        <v>53.99</v>
      </c>
      <c r="H51" s="100">
        <v>20.69</v>
      </c>
      <c r="I51" s="100">
        <v>12.18</v>
      </c>
      <c r="J51" s="100">
        <v>2.79</v>
      </c>
      <c r="K51" s="100">
        <v>248.31</v>
      </c>
      <c r="L51" s="100">
        <v>39.54</v>
      </c>
      <c r="M51" s="100">
        <v>30.33</v>
      </c>
      <c r="N51" s="100">
        <v>790.9</v>
      </c>
      <c r="O51" s="100">
        <v>0</v>
      </c>
      <c r="P51" s="100">
        <v>0.56000000000000005</v>
      </c>
      <c r="Q51" s="100">
        <v>28.4</v>
      </c>
      <c r="R51" s="6"/>
      <c r="S51" s="6"/>
      <c r="T51" s="156"/>
      <c r="U51" s="6"/>
    </row>
    <row r="52" spans="1:21" customFormat="1">
      <c r="A52" s="163" t="s">
        <v>1147</v>
      </c>
      <c r="B52" s="100">
        <v>1.65</v>
      </c>
      <c r="C52" s="100">
        <v>22.85</v>
      </c>
      <c r="D52" s="100">
        <v>13.26</v>
      </c>
      <c r="E52" s="100">
        <v>6.74</v>
      </c>
      <c r="F52" s="100">
        <v>17.07</v>
      </c>
      <c r="G52" s="100">
        <v>51.4</v>
      </c>
      <c r="H52" s="100">
        <v>20.11</v>
      </c>
      <c r="I52" s="100">
        <v>11.87</v>
      </c>
      <c r="J52" s="100">
        <v>2.61</v>
      </c>
      <c r="K52" s="100">
        <v>264.63</v>
      </c>
      <c r="L52" s="100">
        <v>40.28</v>
      </c>
      <c r="M52" s="100">
        <v>29.28</v>
      </c>
      <c r="N52" s="100">
        <v>823.9</v>
      </c>
      <c r="O52" s="100">
        <v>0</v>
      </c>
      <c r="P52" s="100">
        <v>0.56000000000000005</v>
      </c>
      <c r="Q52" s="100">
        <v>28.5</v>
      </c>
      <c r="R52" s="6"/>
      <c r="S52" s="6"/>
      <c r="T52" s="156"/>
      <c r="U52" s="6"/>
    </row>
    <row r="53" spans="1:21" customFormat="1">
      <c r="A53" s="163" t="s">
        <v>1148</v>
      </c>
      <c r="B53" s="100">
        <v>1.96</v>
      </c>
      <c r="C53" s="100">
        <v>23.6</v>
      </c>
      <c r="D53" s="100">
        <v>13.9</v>
      </c>
      <c r="E53" s="100">
        <v>4.6500000000000004</v>
      </c>
      <c r="F53" s="100">
        <v>27.03</v>
      </c>
      <c r="G53" s="100">
        <v>41.72</v>
      </c>
      <c r="H53" s="100">
        <v>17.940000000000001</v>
      </c>
      <c r="I53" s="100">
        <v>11.84</v>
      </c>
      <c r="J53" s="100">
        <v>1.06</v>
      </c>
      <c r="K53" s="100">
        <v>325.37</v>
      </c>
      <c r="L53" s="100">
        <v>40.96</v>
      </c>
      <c r="M53" s="100">
        <v>27.16</v>
      </c>
      <c r="N53" s="100">
        <v>857.1</v>
      </c>
      <c r="O53" s="100">
        <v>0</v>
      </c>
      <c r="P53" s="100">
        <v>0.56000000000000005</v>
      </c>
      <c r="Q53" s="100">
        <v>28.46</v>
      </c>
      <c r="R53" s="6"/>
      <c r="S53" s="6"/>
      <c r="T53" s="156"/>
      <c r="U53" s="6"/>
    </row>
    <row r="54" spans="1:21" customFormat="1">
      <c r="A54" s="163" t="s">
        <v>1149</v>
      </c>
      <c r="B54" s="100">
        <v>1.76</v>
      </c>
      <c r="C54" s="100">
        <v>31.93</v>
      </c>
      <c r="D54" s="100">
        <v>18.100000000000001</v>
      </c>
      <c r="E54" s="100">
        <v>6.77</v>
      </c>
      <c r="F54" s="100">
        <v>27.5</v>
      </c>
      <c r="G54" s="100">
        <v>41.72</v>
      </c>
      <c r="H54" s="100">
        <v>17.940000000000001</v>
      </c>
      <c r="I54" s="100">
        <v>11.69</v>
      </c>
      <c r="J54" s="100">
        <v>0.87</v>
      </c>
      <c r="K54" s="100">
        <v>321.58999999999997</v>
      </c>
      <c r="L54" s="100">
        <v>40.119999999999997</v>
      </c>
      <c r="M54" s="100">
        <v>27.53</v>
      </c>
      <c r="N54" s="100">
        <v>824.8</v>
      </c>
      <c r="O54" s="100">
        <v>0</v>
      </c>
      <c r="P54" s="100">
        <v>0.56999999999999995</v>
      </c>
      <c r="Q54" s="100">
        <v>28.15</v>
      </c>
      <c r="R54" s="6"/>
      <c r="S54" s="6"/>
      <c r="T54" s="156"/>
      <c r="U54" s="6"/>
    </row>
    <row r="55" spans="1:21" customFormat="1">
      <c r="A55" s="163" t="s">
        <v>1150</v>
      </c>
      <c r="B55" s="100">
        <v>1.71</v>
      </c>
      <c r="C55" s="100">
        <v>23.54</v>
      </c>
      <c r="D55" s="100">
        <v>13.66</v>
      </c>
      <c r="E55" s="100">
        <v>7.2</v>
      </c>
      <c r="F55" s="100">
        <v>18.96</v>
      </c>
      <c r="G55" s="100">
        <v>41.72</v>
      </c>
      <c r="H55" s="100">
        <v>17.940000000000001</v>
      </c>
      <c r="I55" s="100">
        <v>11.37</v>
      </c>
      <c r="J55" s="100">
        <v>2.4700000000000002</v>
      </c>
      <c r="K55" s="100">
        <v>263.14999999999998</v>
      </c>
      <c r="L55" s="100">
        <v>40.549999999999997</v>
      </c>
      <c r="M55" s="100">
        <v>26.92</v>
      </c>
      <c r="N55" s="100">
        <v>840.6</v>
      </c>
      <c r="O55" s="100">
        <v>0</v>
      </c>
      <c r="P55" s="100">
        <v>0.56999999999999995</v>
      </c>
      <c r="Q55" s="100">
        <v>28.46</v>
      </c>
      <c r="R55" s="6"/>
      <c r="S55" s="6"/>
      <c r="T55" s="156"/>
      <c r="U55" s="6"/>
    </row>
    <row r="56" spans="1:21" customFormat="1">
      <c r="A56" s="163" t="s">
        <v>1151</v>
      </c>
      <c r="B56" s="100">
        <v>1.43</v>
      </c>
      <c r="C56" s="100">
        <v>20.239999999999998</v>
      </c>
      <c r="D56" s="100">
        <v>11.73</v>
      </c>
      <c r="E56" s="100">
        <v>7.32</v>
      </c>
      <c r="F56" s="100">
        <v>19.39</v>
      </c>
      <c r="G56" s="100">
        <v>41.57</v>
      </c>
      <c r="H56" s="100">
        <v>18.07</v>
      </c>
      <c r="I56" s="100">
        <v>11.47</v>
      </c>
      <c r="J56" s="100">
        <v>2.79</v>
      </c>
      <c r="K56" s="100">
        <v>222.92</v>
      </c>
      <c r="L56" s="100">
        <v>40.36</v>
      </c>
      <c r="M56" s="100">
        <v>26.71</v>
      </c>
      <c r="N56" s="100">
        <v>857.1</v>
      </c>
      <c r="O56" s="100">
        <v>0</v>
      </c>
      <c r="P56" s="100">
        <v>0.56000000000000005</v>
      </c>
      <c r="Q56" s="100">
        <v>28.74</v>
      </c>
      <c r="R56" s="6"/>
      <c r="S56" s="6"/>
      <c r="T56" s="156"/>
      <c r="U56" s="6"/>
    </row>
    <row r="57" spans="1:21" customFormat="1">
      <c r="A57" s="163" t="s">
        <v>1152</v>
      </c>
      <c r="B57" s="100">
        <v>1.45</v>
      </c>
      <c r="C57" s="100">
        <v>26.29</v>
      </c>
      <c r="D57" s="100">
        <v>14.9</v>
      </c>
      <c r="E57" s="100">
        <v>7.58</v>
      </c>
      <c r="F57" s="100">
        <v>15.01</v>
      </c>
      <c r="G57" s="100">
        <v>40.98</v>
      </c>
      <c r="H57" s="100">
        <v>18.54</v>
      </c>
      <c r="I57" s="100">
        <v>11.68</v>
      </c>
      <c r="J57" s="100">
        <v>2.69</v>
      </c>
      <c r="K57" s="100">
        <v>159.83000000000001</v>
      </c>
      <c r="L57" s="100">
        <v>41.92</v>
      </c>
      <c r="M57" s="100">
        <v>24.66</v>
      </c>
      <c r="N57" s="100">
        <v>872.7</v>
      </c>
      <c r="O57" s="100">
        <v>0</v>
      </c>
      <c r="P57" s="100">
        <v>0.57999999999999996</v>
      </c>
      <c r="Q57" s="100">
        <v>28.65</v>
      </c>
      <c r="R57" s="6"/>
      <c r="S57" s="6"/>
      <c r="T57" s="156"/>
      <c r="U57" s="6"/>
    </row>
    <row r="58" spans="1:21" customFormat="1">
      <c r="A58" s="163" t="s">
        <v>1153</v>
      </c>
      <c r="B58" s="100">
        <v>1.52</v>
      </c>
      <c r="C58" s="100">
        <v>24.86</v>
      </c>
      <c r="D58" s="100">
        <v>14.2</v>
      </c>
      <c r="E58" s="100">
        <v>7.85</v>
      </c>
      <c r="F58" s="100">
        <v>24.75</v>
      </c>
      <c r="G58" s="100">
        <v>40.98</v>
      </c>
      <c r="H58" s="100">
        <v>18.54</v>
      </c>
      <c r="I58" s="100">
        <v>11.9</v>
      </c>
      <c r="J58" s="100">
        <v>3.62</v>
      </c>
      <c r="K58" s="100">
        <v>194.39</v>
      </c>
      <c r="L58" s="100">
        <v>41.91</v>
      </c>
      <c r="M58" s="100">
        <v>24.88</v>
      </c>
      <c r="N58" s="100">
        <v>854.4</v>
      </c>
      <c r="O58" s="100">
        <v>0</v>
      </c>
      <c r="P58" s="100">
        <v>0.56999999999999995</v>
      </c>
      <c r="Q58" s="100">
        <v>28.47</v>
      </c>
      <c r="R58" s="6"/>
      <c r="S58" s="6"/>
      <c r="T58" s="156"/>
      <c r="U58" s="6"/>
    </row>
    <row r="59" spans="1:21" customFormat="1">
      <c r="A59" s="163" t="s">
        <v>1154</v>
      </c>
      <c r="B59" s="100">
        <v>1.34</v>
      </c>
      <c r="C59" s="100">
        <v>24.34</v>
      </c>
      <c r="D59" s="100">
        <v>13.79</v>
      </c>
      <c r="E59" s="100">
        <v>8.0500000000000007</v>
      </c>
      <c r="F59" s="100">
        <v>29.92</v>
      </c>
      <c r="G59" s="100">
        <v>40.98</v>
      </c>
      <c r="H59" s="100">
        <v>18.54</v>
      </c>
      <c r="I59" s="100">
        <v>11.79</v>
      </c>
      <c r="J59" s="100">
        <v>2.5299999999999998</v>
      </c>
      <c r="K59" s="100">
        <v>215.92</v>
      </c>
      <c r="L59" s="100">
        <v>41.87</v>
      </c>
      <c r="M59" s="100">
        <v>24.4</v>
      </c>
      <c r="N59" s="100">
        <v>891.2</v>
      </c>
      <c r="O59" s="100">
        <v>0</v>
      </c>
      <c r="P59" s="100">
        <v>0.56999999999999995</v>
      </c>
      <c r="Q59" s="100">
        <v>28.61</v>
      </c>
      <c r="R59" s="6"/>
      <c r="S59" s="6"/>
      <c r="T59" s="156"/>
      <c r="U59" s="6"/>
    </row>
    <row r="60" spans="1:21" customFormat="1">
      <c r="A60" s="163" t="s">
        <v>1155</v>
      </c>
      <c r="B60" s="100">
        <v>1.1599999999999999</v>
      </c>
      <c r="C60" s="100">
        <v>25.59</v>
      </c>
      <c r="D60" s="100">
        <v>14.3</v>
      </c>
      <c r="E60" s="100">
        <v>8.64</v>
      </c>
      <c r="F60" s="100">
        <v>38.270000000000003</v>
      </c>
      <c r="G60" s="100">
        <v>42.29</v>
      </c>
      <c r="H60" s="100">
        <v>19.309999999999999</v>
      </c>
      <c r="I60" s="100">
        <v>12.15</v>
      </c>
      <c r="J60" s="100">
        <v>2.29</v>
      </c>
      <c r="K60" s="100">
        <v>206.38</v>
      </c>
      <c r="L60" s="100">
        <v>42.52</v>
      </c>
      <c r="M60" s="100">
        <v>22.5</v>
      </c>
      <c r="N60" s="100">
        <v>889.6</v>
      </c>
      <c r="O60" s="100">
        <v>0</v>
      </c>
      <c r="P60" s="100">
        <v>0.57999999999999996</v>
      </c>
      <c r="Q60" s="100">
        <v>28.52</v>
      </c>
      <c r="R60" s="6"/>
      <c r="S60" s="6"/>
      <c r="T60" s="156"/>
      <c r="U60" s="6"/>
    </row>
    <row r="61" spans="1:21" customFormat="1">
      <c r="A61" s="163" t="s">
        <v>1156</v>
      </c>
      <c r="B61" s="100">
        <v>1.19</v>
      </c>
      <c r="C61" s="100">
        <v>21.02</v>
      </c>
      <c r="D61" s="100">
        <v>11.93</v>
      </c>
      <c r="E61" s="100">
        <v>7.76</v>
      </c>
      <c r="F61" s="100">
        <v>32.79</v>
      </c>
      <c r="G61" s="100">
        <v>47.2</v>
      </c>
      <c r="H61" s="100">
        <v>22.18</v>
      </c>
      <c r="I61" s="100">
        <v>12.05</v>
      </c>
      <c r="J61" s="100">
        <v>1.8</v>
      </c>
      <c r="K61" s="100">
        <v>219.79</v>
      </c>
      <c r="L61" s="100">
        <v>42.78</v>
      </c>
      <c r="M61" s="100">
        <v>21.07</v>
      </c>
      <c r="N61" s="100">
        <v>840.1</v>
      </c>
      <c r="O61" s="100">
        <v>0</v>
      </c>
      <c r="P61" s="100">
        <v>0.56999999999999995</v>
      </c>
      <c r="Q61" s="100">
        <v>28.71</v>
      </c>
      <c r="R61" s="6"/>
      <c r="S61" s="6"/>
      <c r="T61" s="156"/>
      <c r="U61" s="6"/>
    </row>
    <row r="62" spans="1:21" customFormat="1">
      <c r="A62" s="163" t="s">
        <v>1157</v>
      </c>
      <c r="B62" s="100">
        <v>1.43</v>
      </c>
      <c r="C62" s="100">
        <v>21.2</v>
      </c>
      <c r="D62" s="100">
        <v>12.22</v>
      </c>
      <c r="E62" s="100">
        <v>7.4</v>
      </c>
      <c r="F62" s="100">
        <v>16.53</v>
      </c>
      <c r="G62" s="100">
        <v>47.2</v>
      </c>
      <c r="H62" s="100">
        <v>22.18</v>
      </c>
      <c r="I62" s="100">
        <v>11.97</v>
      </c>
      <c r="J62" s="100">
        <v>3.69</v>
      </c>
      <c r="K62" s="100">
        <v>224.53</v>
      </c>
      <c r="L62" s="100">
        <v>42.68</v>
      </c>
      <c r="M62" s="100">
        <v>21.65</v>
      </c>
      <c r="N62" s="100">
        <v>855.5</v>
      </c>
      <c r="O62" s="100">
        <v>0</v>
      </c>
      <c r="P62" s="100">
        <v>0.55000000000000004</v>
      </c>
      <c r="Q62" s="100">
        <v>28.66</v>
      </c>
      <c r="R62" s="6"/>
      <c r="S62" s="6"/>
      <c r="T62" s="156"/>
      <c r="U62" s="6"/>
    </row>
    <row r="63" spans="1:21" customFormat="1">
      <c r="A63" s="163" t="s">
        <v>1158</v>
      </c>
      <c r="B63" s="100">
        <v>1.47</v>
      </c>
      <c r="C63" s="100">
        <v>21.72</v>
      </c>
      <c r="D63" s="100">
        <v>12.53</v>
      </c>
      <c r="E63" s="100">
        <v>7.08</v>
      </c>
      <c r="F63" s="100">
        <v>25.09</v>
      </c>
      <c r="G63" s="100">
        <v>47.2</v>
      </c>
      <c r="H63" s="100">
        <v>22.18</v>
      </c>
      <c r="I63" s="100">
        <v>11.81</v>
      </c>
      <c r="J63" s="100">
        <v>3.39</v>
      </c>
      <c r="K63" s="100">
        <v>236.22</v>
      </c>
      <c r="L63" s="100">
        <v>42.41</v>
      </c>
      <c r="M63" s="100">
        <v>21.33</v>
      </c>
      <c r="N63" s="100">
        <v>800.7</v>
      </c>
      <c r="O63" s="100">
        <v>0</v>
      </c>
      <c r="P63" s="100">
        <v>0.55000000000000004</v>
      </c>
      <c r="Q63" s="100">
        <v>28.61</v>
      </c>
      <c r="R63" s="6"/>
      <c r="S63" s="6"/>
      <c r="T63" s="156"/>
      <c r="U63" s="6"/>
    </row>
    <row r="64" spans="1:21" customFormat="1">
      <c r="A64" s="163" t="s">
        <v>1159</v>
      </c>
      <c r="B64" s="100">
        <v>1.39</v>
      </c>
      <c r="C64" s="100">
        <v>20.39</v>
      </c>
      <c r="D64" s="100">
        <v>11.77</v>
      </c>
      <c r="E64" s="100">
        <v>7.92</v>
      </c>
      <c r="F64" s="100">
        <v>34.35</v>
      </c>
      <c r="G64" s="100">
        <v>46.38</v>
      </c>
      <c r="H64" s="100">
        <v>21.7</v>
      </c>
      <c r="I64" s="100">
        <v>11.67</v>
      </c>
      <c r="J64" s="100">
        <v>1.46</v>
      </c>
      <c r="K64" s="100">
        <v>177.41</v>
      </c>
      <c r="L64" s="100">
        <v>43.69</v>
      </c>
      <c r="M64" s="100">
        <v>20.48</v>
      </c>
      <c r="N64" s="100">
        <v>767.2</v>
      </c>
      <c r="O64" s="100">
        <v>0</v>
      </c>
      <c r="P64" s="100">
        <v>0.52</v>
      </c>
      <c r="Q64" s="100">
        <v>28.73</v>
      </c>
      <c r="R64" s="6"/>
      <c r="S64" s="6"/>
      <c r="T64" s="156"/>
      <c r="U64" s="6"/>
    </row>
    <row r="65" spans="1:21" customFormat="1">
      <c r="A65" s="163" t="s">
        <v>1160</v>
      </c>
      <c r="B65" s="100">
        <v>1.32</v>
      </c>
      <c r="C65" s="100">
        <v>18.68</v>
      </c>
      <c r="D65" s="100">
        <v>10.82</v>
      </c>
      <c r="E65" s="100">
        <v>7.44</v>
      </c>
      <c r="F65" s="100">
        <v>29.66</v>
      </c>
      <c r="G65" s="100">
        <v>43.34</v>
      </c>
      <c r="H65" s="100">
        <v>19.89</v>
      </c>
      <c r="I65" s="100">
        <v>11.4</v>
      </c>
      <c r="J65" s="100">
        <v>1.74</v>
      </c>
      <c r="K65" s="100">
        <v>176.07</v>
      </c>
      <c r="L65" s="100">
        <v>44.85</v>
      </c>
      <c r="M65" s="100">
        <v>18.86</v>
      </c>
      <c r="N65" s="100">
        <v>746.1</v>
      </c>
      <c r="O65" s="100">
        <v>0</v>
      </c>
      <c r="P65" s="100">
        <v>0.51</v>
      </c>
      <c r="Q65" s="100">
        <v>28.82</v>
      </c>
      <c r="R65" s="6"/>
      <c r="S65" s="6"/>
      <c r="T65" s="156"/>
      <c r="U65" s="6"/>
    </row>
    <row r="66" spans="1:21" customFormat="1">
      <c r="A66" s="163" t="s">
        <v>1161</v>
      </c>
      <c r="B66" s="100">
        <v>1.34</v>
      </c>
      <c r="C66" s="100">
        <v>18.89</v>
      </c>
      <c r="D66" s="100">
        <v>10.95</v>
      </c>
      <c r="E66" s="100">
        <v>7.43</v>
      </c>
      <c r="F66" s="100">
        <v>23.69</v>
      </c>
      <c r="G66" s="100">
        <v>43.34</v>
      </c>
      <c r="H66" s="100">
        <v>19.89</v>
      </c>
      <c r="I66" s="100">
        <v>10.72</v>
      </c>
      <c r="J66" s="100">
        <v>2.65</v>
      </c>
      <c r="K66" s="100">
        <v>165.63</v>
      </c>
      <c r="L66" s="100">
        <v>44.92</v>
      </c>
      <c r="M66" s="100">
        <v>19.14</v>
      </c>
      <c r="N66" s="100">
        <v>713.8</v>
      </c>
      <c r="O66" s="100">
        <v>0</v>
      </c>
      <c r="P66" s="100">
        <v>0.51</v>
      </c>
      <c r="Q66" s="100">
        <v>28.82</v>
      </c>
      <c r="R66" s="6"/>
      <c r="S66" s="6"/>
      <c r="T66" s="156"/>
      <c r="U66" s="6"/>
    </row>
    <row r="67" spans="1:21" customFormat="1">
      <c r="A67" s="163" t="s">
        <v>1162</v>
      </c>
      <c r="B67" s="100">
        <v>1.34</v>
      </c>
      <c r="C67" s="100">
        <v>25.02</v>
      </c>
      <c r="D67" s="100">
        <v>14.15</v>
      </c>
      <c r="E67" s="100">
        <v>7.92</v>
      </c>
      <c r="F67" s="100">
        <v>15.56</v>
      </c>
      <c r="G67" s="100">
        <v>43.34</v>
      </c>
      <c r="H67" s="100">
        <v>19.89</v>
      </c>
      <c r="I67" s="100">
        <v>10.45</v>
      </c>
      <c r="J67" s="100">
        <v>2.64</v>
      </c>
      <c r="K67" s="100">
        <v>233.72</v>
      </c>
      <c r="L67" s="100">
        <v>43.99</v>
      </c>
      <c r="M67" s="100">
        <v>19.38</v>
      </c>
      <c r="N67" s="100">
        <v>685.7</v>
      </c>
      <c r="O67" s="100">
        <v>0</v>
      </c>
      <c r="P67" s="100">
        <v>0.52</v>
      </c>
      <c r="Q67" s="100">
        <v>28.52</v>
      </c>
      <c r="R67" s="6"/>
      <c r="S67" s="6"/>
      <c r="T67" s="156"/>
      <c r="U67" s="6"/>
    </row>
    <row r="68" spans="1:21" customFormat="1">
      <c r="A68" s="163" t="s">
        <v>1163</v>
      </c>
      <c r="B68" s="100">
        <v>1.36</v>
      </c>
      <c r="C68" s="100">
        <v>22.56</v>
      </c>
      <c r="D68" s="100">
        <v>12.88</v>
      </c>
      <c r="E68" s="100">
        <v>8.43</v>
      </c>
      <c r="F68" s="100">
        <v>16.02</v>
      </c>
      <c r="G68" s="100">
        <v>42.82</v>
      </c>
      <c r="H68" s="100">
        <v>19.53</v>
      </c>
      <c r="I68" s="100">
        <v>10.55</v>
      </c>
      <c r="J68" s="100">
        <v>3.29</v>
      </c>
      <c r="K68" s="100">
        <v>246.77</v>
      </c>
      <c r="L68" s="100">
        <v>42.94</v>
      </c>
      <c r="M68" s="100">
        <v>20.52</v>
      </c>
      <c r="N68" s="100">
        <v>636.29999999999995</v>
      </c>
      <c r="O68" s="100">
        <v>0</v>
      </c>
      <c r="P68" s="100">
        <v>0.48</v>
      </c>
      <c r="Q68" s="100">
        <v>28.64</v>
      </c>
      <c r="R68" s="6"/>
      <c r="S68" s="6"/>
      <c r="T68" s="156"/>
      <c r="U68" s="6"/>
    </row>
    <row r="69" spans="1:21" customFormat="1">
      <c r="A69" s="163" t="s">
        <v>1164</v>
      </c>
      <c r="B69" s="100">
        <v>1.49</v>
      </c>
      <c r="C69" s="100">
        <v>19.899999999999999</v>
      </c>
      <c r="D69" s="100">
        <v>11.59</v>
      </c>
      <c r="E69" s="100">
        <v>8.6</v>
      </c>
      <c r="F69" s="100">
        <v>17.96</v>
      </c>
      <c r="G69" s="100">
        <v>40.86</v>
      </c>
      <c r="H69" s="100">
        <v>18.170000000000002</v>
      </c>
      <c r="I69" s="100">
        <v>10.84</v>
      </c>
      <c r="J69" s="100">
        <v>2.57</v>
      </c>
      <c r="K69" s="100">
        <v>236.17</v>
      </c>
      <c r="L69" s="100">
        <v>43.47</v>
      </c>
      <c r="M69" s="100">
        <v>20.399999999999999</v>
      </c>
      <c r="N69" s="100">
        <v>592.5</v>
      </c>
      <c r="O69" s="100">
        <v>0</v>
      </c>
      <c r="P69" s="100">
        <v>0.47</v>
      </c>
      <c r="Q69" s="100">
        <v>28.78</v>
      </c>
      <c r="R69" s="6"/>
      <c r="S69" s="6"/>
      <c r="T69" s="156"/>
      <c r="U69" s="6"/>
    </row>
    <row r="70" spans="1:21" customFormat="1">
      <c r="A70" s="163" t="s">
        <v>1165</v>
      </c>
      <c r="B70" s="100">
        <v>1.56</v>
      </c>
      <c r="C70" s="100">
        <v>18.86</v>
      </c>
      <c r="D70" s="100">
        <v>11.11</v>
      </c>
      <c r="E70" s="100">
        <v>8.26</v>
      </c>
      <c r="F70" s="100">
        <v>16.75</v>
      </c>
      <c r="G70" s="100">
        <v>40.86</v>
      </c>
      <c r="H70" s="100">
        <v>18.170000000000002</v>
      </c>
      <c r="I70" s="100">
        <v>10.6</v>
      </c>
      <c r="J70" s="100">
        <v>1.63</v>
      </c>
      <c r="K70" s="100">
        <v>224.67</v>
      </c>
      <c r="L70" s="100">
        <v>43.54</v>
      </c>
      <c r="M70" s="100">
        <v>20.2</v>
      </c>
      <c r="N70" s="100">
        <v>541.1</v>
      </c>
      <c r="O70" s="100">
        <v>0</v>
      </c>
      <c r="P70" s="100">
        <v>0.46</v>
      </c>
      <c r="Q70" s="100">
        <v>28.86</v>
      </c>
      <c r="R70" s="6"/>
      <c r="S70" s="6"/>
      <c r="T70" s="156"/>
      <c r="U70" s="6"/>
    </row>
    <row r="71" spans="1:21" customFormat="1">
      <c r="A71" s="163" t="s">
        <v>1166</v>
      </c>
      <c r="B71" s="100">
        <v>1.65</v>
      </c>
      <c r="C71" s="100">
        <v>17.989999999999998</v>
      </c>
      <c r="D71" s="100">
        <v>10.72</v>
      </c>
      <c r="E71" s="100">
        <v>8.14</v>
      </c>
      <c r="F71" s="100">
        <v>20.66</v>
      </c>
      <c r="G71" s="100">
        <v>40.86</v>
      </c>
      <c r="H71" s="100">
        <v>18.170000000000002</v>
      </c>
      <c r="I71" s="100">
        <v>10.09</v>
      </c>
      <c r="J71" s="100">
        <v>1.33</v>
      </c>
      <c r="K71" s="100">
        <v>205.26</v>
      </c>
      <c r="L71" s="100">
        <v>44.22</v>
      </c>
      <c r="M71" s="100">
        <v>19.18</v>
      </c>
      <c r="N71" s="100">
        <v>494</v>
      </c>
      <c r="O71" s="100">
        <v>0</v>
      </c>
      <c r="P71" s="100">
        <v>0.45</v>
      </c>
      <c r="Q71" s="100">
        <v>28.92</v>
      </c>
      <c r="R71" s="6"/>
      <c r="S71" s="6"/>
      <c r="T71" s="156"/>
      <c r="U71" s="6"/>
    </row>
    <row r="72" spans="1:21" customFormat="1">
      <c r="A72" s="163" t="s">
        <v>1167</v>
      </c>
      <c r="B72" s="100">
        <v>1.97</v>
      </c>
      <c r="C72" s="100">
        <v>21.22</v>
      </c>
      <c r="D72" s="100">
        <v>12.67</v>
      </c>
      <c r="E72" s="100">
        <v>8.25</v>
      </c>
      <c r="F72" s="100">
        <v>23.35</v>
      </c>
      <c r="G72" s="100">
        <v>40.409999999999997</v>
      </c>
      <c r="H72" s="100">
        <v>18.260000000000002</v>
      </c>
      <c r="I72" s="100">
        <v>9.9499999999999993</v>
      </c>
      <c r="J72" s="100">
        <v>1.42</v>
      </c>
      <c r="K72" s="100">
        <v>213.42</v>
      </c>
      <c r="L72" s="100">
        <v>44.62</v>
      </c>
      <c r="M72" s="100">
        <v>18.59</v>
      </c>
      <c r="N72" s="100">
        <v>432.1</v>
      </c>
      <c r="O72" s="100">
        <v>0</v>
      </c>
      <c r="P72" s="100">
        <v>0.44</v>
      </c>
      <c r="Q72" s="100">
        <v>28.85</v>
      </c>
      <c r="R72" s="6"/>
      <c r="S72" s="6"/>
      <c r="T72" s="156"/>
      <c r="U72" s="6"/>
    </row>
    <row r="73" spans="1:21" customFormat="1">
      <c r="A73" s="163" t="s">
        <v>1168</v>
      </c>
      <c r="B73" s="100">
        <v>2.29</v>
      </c>
      <c r="C73" s="100">
        <v>28.76</v>
      </c>
      <c r="D73" s="100">
        <v>16.86</v>
      </c>
      <c r="E73" s="100">
        <v>8.4</v>
      </c>
      <c r="F73" s="100">
        <v>21.62</v>
      </c>
      <c r="G73" s="100">
        <v>38.729999999999997</v>
      </c>
      <c r="H73" s="100">
        <v>18.600000000000001</v>
      </c>
      <c r="I73" s="100">
        <v>9.7799999999999994</v>
      </c>
      <c r="J73" s="100">
        <v>2.16</v>
      </c>
      <c r="K73" s="100">
        <v>221.87</v>
      </c>
      <c r="L73" s="100">
        <v>43.81</v>
      </c>
      <c r="M73" s="100">
        <v>19.29</v>
      </c>
      <c r="N73" s="100">
        <v>382.4</v>
      </c>
      <c r="O73" s="100">
        <v>0</v>
      </c>
      <c r="P73" s="100">
        <v>0.43</v>
      </c>
      <c r="Q73" s="100">
        <v>28.44</v>
      </c>
      <c r="R73" s="6"/>
      <c r="S73" s="6"/>
      <c r="T73" s="156"/>
      <c r="U73" s="6"/>
    </row>
    <row r="74" spans="1:21" customFormat="1">
      <c r="A74" s="163" t="s">
        <v>1169</v>
      </c>
      <c r="B74" s="100">
        <v>2.02</v>
      </c>
      <c r="C74" s="100">
        <v>29.18</v>
      </c>
      <c r="D74" s="100">
        <v>16.87</v>
      </c>
      <c r="E74" s="100">
        <v>8.14</v>
      </c>
      <c r="F74" s="100">
        <v>22.06</v>
      </c>
      <c r="G74" s="100">
        <v>38.729999999999997</v>
      </c>
      <c r="H74" s="100">
        <v>18.600000000000001</v>
      </c>
      <c r="I74" s="100">
        <v>9.61</v>
      </c>
      <c r="J74" s="100">
        <v>2.2000000000000002</v>
      </c>
      <c r="K74" s="100">
        <v>272.99</v>
      </c>
      <c r="L74" s="100">
        <v>43.18</v>
      </c>
      <c r="M74" s="100">
        <v>19.54</v>
      </c>
      <c r="N74" s="100">
        <v>333.2</v>
      </c>
      <c r="O74" s="100">
        <v>0</v>
      </c>
      <c r="P74" s="100">
        <v>0.44</v>
      </c>
      <c r="Q74" s="100">
        <v>28.32</v>
      </c>
      <c r="R74" s="6"/>
      <c r="S74" s="6"/>
      <c r="T74" s="156"/>
      <c r="U74" s="6"/>
    </row>
    <row r="75" spans="1:21" customFormat="1">
      <c r="A75" s="163" t="s">
        <v>1170</v>
      </c>
      <c r="B75" s="100">
        <v>1.78</v>
      </c>
      <c r="C75" s="100">
        <v>28.61</v>
      </c>
      <c r="D75" s="100">
        <v>16.37</v>
      </c>
      <c r="E75" s="100">
        <v>7.14</v>
      </c>
      <c r="F75" s="100">
        <v>24.6</v>
      </c>
      <c r="G75" s="100">
        <v>38.729999999999997</v>
      </c>
      <c r="H75" s="100">
        <v>18.600000000000001</v>
      </c>
      <c r="I75" s="100">
        <v>9.2200000000000006</v>
      </c>
      <c r="J75" s="100">
        <v>2.86</v>
      </c>
      <c r="K75" s="100">
        <v>228.83</v>
      </c>
      <c r="L75" s="100">
        <v>42.87</v>
      </c>
      <c r="M75" s="100">
        <v>19.96</v>
      </c>
      <c r="N75" s="100">
        <v>274.2</v>
      </c>
      <c r="O75" s="100">
        <v>0</v>
      </c>
      <c r="P75" s="100">
        <v>0.4</v>
      </c>
      <c r="Q75" s="100">
        <v>28.35</v>
      </c>
      <c r="R75" s="6"/>
      <c r="S75" s="6"/>
      <c r="T75" s="156"/>
      <c r="U75" s="6"/>
    </row>
    <row r="76" spans="1:21" customFormat="1">
      <c r="A76" s="163" t="s">
        <v>1171</v>
      </c>
      <c r="B76" s="100">
        <v>1.83</v>
      </c>
      <c r="C76" s="100">
        <v>27.63</v>
      </c>
      <c r="D76" s="100">
        <v>15.9</v>
      </c>
      <c r="E76" s="100">
        <v>7.22</v>
      </c>
      <c r="F76" s="100">
        <v>27.32</v>
      </c>
      <c r="G76" s="100">
        <v>38.299999999999997</v>
      </c>
      <c r="H76" s="100">
        <v>18.28</v>
      </c>
      <c r="I76" s="100">
        <v>8.99</v>
      </c>
      <c r="J76" s="100">
        <v>3.72</v>
      </c>
      <c r="K76" s="100">
        <v>220.89</v>
      </c>
      <c r="L76" s="100">
        <v>42.68</v>
      </c>
      <c r="M76" s="100">
        <v>20.73</v>
      </c>
      <c r="N76" s="100">
        <v>214.3</v>
      </c>
      <c r="O76" s="100">
        <v>0</v>
      </c>
      <c r="P76" s="100">
        <v>0.4</v>
      </c>
      <c r="Q76" s="100">
        <v>28.37</v>
      </c>
      <c r="R76" s="6"/>
      <c r="S76" s="6"/>
      <c r="T76" s="156"/>
      <c r="U76" s="6"/>
    </row>
    <row r="77" spans="1:21" customFormat="1">
      <c r="A77" s="163" t="s">
        <v>1172</v>
      </c>
      <c r="B77" s="100">
        <v>1.86</v>
      </c>
      <c r="C77" s="100">
        <v>23.25</v>
      </c>
      <c r="D77" s="100">
        <v>13.64</v>
      </c>
      <c r="E77" s="100">
        <v>5.87</v>
      </c>
      <c r="F77" s="100">
        <v>23.26</v>
      </c>
      <c r="G77" s="100">
        <v>36.69</v>
      </c>
      <c r="H77" s="100">
        <v>17.11</v>
      </c>
      <c r="I77" s="100">
        <v>8.59</v>
      </c>
      <c r="J77" s="100">
        <v>4.47</v>
      </c>
      <c r="K77" s="100">
        <v>224.87</v>
      </c>
      <c r="L77" s="100">
        <v>41.83</v>
      </c>
      <c r="M77" s="100">
        <v>21.39</v>
      </c>
      <c r="N77" s="100">
        <v>141.1</v>
      </c>
      <c r="O77" s="100">
        <v>0</v>
      </c>
      <c r="P77" s="100">
        <v>0.45</v>
      </c>
      <c r="Q77" s="100">
        <v>28.63</v>
      </c>
      <c r="R77" s="6"/>
      <c r="S77" s="6"/>
      <c r="T77" s="156"/>
      <c r="U77" s="6"/>
    </row>
    <row r="78" spans="1:21" customFormat="1">
      <c r="A78" s="163" t="s">
        <v>1173</v>
      </c>
      <c r="B78" s="100">
        <v>1.92</v>
      </c>
      <c r="C78" s="100">
        <v>21.7</v>
      </c>
      <c r="D78" s="100">
        <v>12.87</v>
      </c>
      <c r="E78" s="100">
        <v>7.28</v>
      </c>
      <c r="F78" s="100">
        <v>30.09</v>
      </c>
      <c r="G78" s="100">
        <v>36.69</v>
      </c>
      <c r="H78" s="100">
        <v>17.11</v>
      </c>
      <c r="I78" s="100">
        <v>8.5299999999999994</v>
      </c>
      <c r="J78" s="100">
        <v>3.74</v>
      </c>
      <c r="K78" s="100">
        <v>210.39</v>
      </c>
      <c r="L78" s="100">
        <v>41.7</v>
      </c>
      <c r="M78" s="100">
        <v>22.16</v>
      </c>
      <c r="N78" s="100">
        <v>95.9</v>
      </c>
      <c r="O78" s="100">
        <v>0</v>
      </c>
      <c r="P78" s="100">
        <v>0.46</v>
      </c>
      <c r="Q78" s="100">
        <v>28.66</v>
      </c>
      <c r="R78" s="6"/>
      <c r="S78" s="6"/>
      <c r="T78" s="156"/>
      <c r="U78" s="6"/>
    </row>
    <row r="79" spans="1:21" customFormat="1">
      <c r="A79" s="163" t="s">
        <v>1174</v>
      </c>
      <c r="B79" s="100">
        <v>1.74</v>
      </c>
      <c r="C79" s="100">
        <v>18.22</v>
      </c>
      <c r="D79" s="100">
        <v>10.91</v>
      </c>
      <c r="E79" s="100">
        <v>7.35</v>
      </c>
      <c r="F79" s="100">
        <v>31.94</v>
      </c>
      <c r="G79" s="100">
        <v>36.69</v>
      </c>
      <c r="H79" s="100">
        <v>17.11</v>
      </c>
      <c r="I79" s="100">
        <v>8.24</v>
      </c>
      <c r="J79" s="100">
        <v>3.51</v>
      </c>
      <c r="K79" s="100">
        <v>199.74</v>
      </c>
      <c r="L79" s="100">
        <v>41.25</v>
      </c>
      <c r="M79" s="100">
        <v>22.94</v>
      </c>
      <c r="N79" s="100">
        <v>67.8</v>
      </c>
      <c r="O79" s="100">
        <v>0</v>
      </c>
      <c r="P79" s="100">
        <v>0.45</v>
      </c>
      <c r="Q79" s="100">
        <v>28.84</v>
      </c>
      <c r="R79" s="6"/>
      <c r="S79" s="6"/>
      <c r="T79" s="156"/>
      <c r="U79" s="6"/>
    </row>
    <row r="80" spans="1:21" customFormat="1">
      <c r="A80" s="163" t="s">
        <v>1175</v>
      </c>
      <c r="B80" s="100">
        <v>1.61</v>
      </c>
      <c r="C80" s="100">
        <v>19.2</v>
      </c>
      <c r="D80" s="100">
        <v>11.33</v>
      </c>
      <c r="E80" s="100">
        <v>7.65</v>
      </c>
      <c r="F80" s="100">
        <v>34.08</v>
      </c>
      <c r="G80" s="100">
        <v>35.26</v>
      </c>
      <c r="H80" s="100">
        <v>16.66</v>
      </c>
      <c r="I80" s="100">
        <v>8.19</v>
      </c>
      <c r="J80" s="100">
        <v>3.18</v>
      </c>
      <c r="K80" s="100">
        <v>166.55</v>
      </c>
      <c r="L80" s="100">
        <v>40.700000000000003</v>
      </c>
      <c r="M80" s="100">
        <v>24.66</v>
      </c>
      <c r="N80" s="100">
        <v>39.299999999999997</v>
      </c>
      <c r="O80" s="100">
        <v>0</v>
      </c>
      <c r="P80" s="100">
        <v>0.44</v>
      </c>
      <c r="Q80" s="100">
        <v>28.84</v>
      </c>
      <c r="R80" s="6"/>
      <c r="S80" s="6"/>
      <c r="T80" s="156"/>
      <c r="U80" s="6"/>
    </row>
    <row r="81" spans="1:21" customFormat="1">
      <c r="A81" s="163" t="s">
        <v>1176</v>
      </c>
      <c r="B81" s="100">
        <v>1.51</v>
      </c>
      <c r="C81" s="100">
        <v>19.690000000000001</v>
      </c>
      <c r="D81" s="100">
        <v>11.5</v>
      </c>
      <c r="E81" s="100">
        <v>8.19</v>
      </c>
      <c r="F81" s="100">
        <v>39.24</v>
      </c>
      <c r="G81" s="100">
        <v>29.91</v>
      </c>
      <c r="H81" s="100">
        <v>14.97</v>
      </c>
      <c r="I81" s="100">
        <v>7.59</v>
      </c>
      <c r="J81" s="100">
        <v>3.54</v>
      </c>
      <c r="K81" s="100">
        <v>153.94999999999999</v>
      </c>
      <c r="L81" s="100">
        <v>40</v>
      </c>
      <c r="M81" s="100">
        <v>25.91</v>
      </c>
      <c r="N81" s="100">
        <v>29.1</v>
      </c>
      <c r="O81" s="100">
        <v>0</v>
      </c>
      <c r="P81" s="100">
        <v>0.41</v>
      </c>
      <c r="Q81" s="100">
        <v>28.73</v>
      </c>
      <c r="R81" s="6"/>
      <c r="S81" s="6"/>
      <c r="T81" s="156"/>
      <c r="U81" s="6"/>
    </row>
    <row r="82" spans="1:21" customFormat="1">
      <c r="A82" s="163" t="s">
        <v>1177</v>
      </c>
      <c r="B82" s="100">
        <v>1.34</v>
      </c>
      <c r="C82" s="100">
        <v>16.04</v>
      </c>
      <c r="D82" s="100">
        <v>9.4600000000000009</v>
      </c>
      <c r="E82" s="100">
        <v>8.2100000000000009</v>
      </c>
      <c r="F82" s="100">
        <v>40.659999999999997</v>
      </c>
      <c r="G82" s="100">
        <v>29.91</v>
      </c>
      <c r="H82" s="100">
        <v>14.97</v>
      </c>
      <c r="I82" s="100">
        <v>7.01</v>
      </c>
      <c r="J82" s="100">
        <v>3.83</v>
      </c>
      <c r="K82" s="100">
        <v>142.46</v>
      </c>
      <c r="L82" s="100">
        <v>39.5</v>
      </c>
      <c r="M82" s="100">
        <v>26.73</v>
      </c>
      <c r="N82" s="100">
        <v>25.3</v>
      </c>
      <c r="O82" s="100">
        <v>0</v>
      </c>
      <c r="P82" s="100">
        <v>0.41</v>
      </c>
      <c r="Q82" s="100">
        <v>28.89</v>
      </c>
      <c r="R82" s="6"/>
      <c r="S82" s="6"/>
      <c r="T82" s="156"/>
      <c r="U82" s="6"/>
    </row>
    <row r="83" spans="1:21" customFormat="1">
      <c r="A83" s="163" t="s">
        <v>1178</v>
      </c>
      <c r="B83" s="100">
        <v>1.37</v>
      </c>
      <c r="C83" s="100">
        <v>14.8</v>
      </c>
      <c r="D83" s="100">
        <v>8.83</v>
      </c>
      <c r="E83" s="100">
        <v>8.49</v>
      </c>
      <c r="F83" s="100">
        <v>35.67</v>
      </c>
      <c r="G83" s="100">
        <v>29.91</v>
      </c>
      <c r="H83" s="100">
        <v>14.97</v>
      </c>
      <c r="I83" s="100">
        <v>6.83</v>
      </c>
      <c r="J83" s="100">
        <v>3.9</v>
      </c>
      <c r="K83" s="100">
        <v>151.19999999999999</v>
      </c>
      <c r="L83" s="100">
        <v>39.18</v>
      </c>
      <c r="M83" s="100">
        <v>28.11</v>
      </c>
      <c r="N83" s="100">
        <v>22.8</v>
      </c>
      <c r="O83" s="100">
        <v>0</v>
      </c>
      <c r="P83" s="100">
        <v>0.44</v>
      </c>
      <c r="Q83" s="100">
        <v>28.89</v>
      </c>
      <c r="R83" s="6"/>
      <c r="S83" s="6"/>
      <c r="T83" s="156"/>
      <c r="U83" s="6"/>
    </row>
    <row r="84" spans="1:21" customFormat="1">
      <c r="A84" s="163" t="s">
        <v>1179</v>
      </c>
      <c r="B84" s="100">
        <v>1.39</v>
      </c>
      <c r="C84" s="100">
        <v>15.23</v>
      </c>
      <c r="D84" s="100">
        <v>9.07</v>
      </c>
      <c r="E84" s="100">
        <v>8.36</v>
      </c>
      <c r="F84" s="100">
        <v>29.45</v>
      </c>
      <c r="G84" s="100">
        <v>30.69</v>
      </c>
      <c r="H84" s="100">
        <v>14.89</v>
      </c>
      <c r="I84" s="100">
        <v>7.03</v>
      </c>
      <c r="J84" s="100">
        <v>3.96</v>
      </c>
      <c r="K84" s="100">
        <v>156.94</v>
      </c>
      <c r="L84" s="100">
        <v>38.85</v>
      </c>
      <c r="M84" s="100">
        <v>28.66</v>
      </c>
      <c r="N84" s="100">
        <v>22.3</v>
      </c>
      <c r="O84" s="100">
        <v>0</v>
      </c>
      <c r="P84" s="100">
        <v>0.51</v>
      </c>
      <c r="Q84" s="100">
        <v>28.53</v>
      </c>
      <c r="R84" s="6"/>
      <c r="S84" s="6"/>
      <c r="T84" s="156"/>
      <c r="U84" s="6"/>
    </row>
    <row r="85" spans="1:21" customFormat="1">
      <c r="A85" s="163" t="s">
        <v>1180</v>
      </c>
      <c r="B85" s="100">
        <v>1.39</v>
      </c>
      <c r="C85" s="100">
        <v>15.23</v>
      </c>
      <c r="D85" s="100">
        <v>9.07</v>
      </c>
      <c r="E85" s="100">
        <v>8.23</v>
      </c>
      <c r="F85" s="100">
        <v>24.19</v>
      </c>
      <c r="G85" s="100">
        <v>33.58</v>
      </c>
      <c r="H85" s="100">
        <v>14.58</v>
      </c>
      <c r="I85" s="100">
        <v>8.08</v>
      </c>
      <c r="J85" s="100">
        <v>3.94</v>
      </c>
      <c r="K85" s="100">
        <v>155.03</v>
      </c>
      <c r="L85" s="100">
        <v>38.81</v>
      </c>
      <c r="M85" s="100">
        <v>29.05</v>
      </c>
      <c r="N85" s="100">
        <v>22.4</v>
      </c>
      <c r="O85" s="100">
        <v>0</v>
      </c>
      <c r="P85" s="100">
        <v>0.5</v>
      </c>
      <c r="Q85" s="100">
        <v>28.3</v>
      </c>
      <c r="R85" s="6"/>
      <c r="S85" s="6"/>
      <c r="T85" s="156"/>
      <c r="U85" s="6"/>
    </row>
    <row r="86" spans="1:21" customFormat="1">
      <c r="A86" s="163" t="s">
        <v>1181</v>
      </c>
      <c r="B86" s="100">
        <v>1.39</v>
      </c>
      <c r="C86" s="100">
        <v>15.23</v>
      </c>
      <c r="D86" s="100">
        <v>9.07</v>
      </c>
      <c r="E86" s="100">
        <v>8.15</v>
      </c>
      <c r="F86" s="100">
        <v>29.33</v>
      </c>
      <c r="G86" s="100">
        <v>33.58</v>
      </c>
      <c r="H86" s="100">
        <v>14.58</v>
      </c>
      <c r="I86" s="100">
        <v>9.25</v>
      </c>
      <c r="J86" s="100">
        <v>3.59</v>
      </c>
      <c r="K86" s="100">
        <v>165.89</v>
      </c>
      <c r="L86" s="100">
        <v>38.090000000000003</v>
      </c>
      <c r="M86" s="100">
        <v>30.83</v>
      </c>
      <c r="N86" s="100">
        <v>22.5</v>
      </c>
      <c r="O86" s="100">
        <v>0</v>
      </c>
      <c r="P86" s="100">
        <v>0.51</v>
      </c>
      <c r="Q86" s="100">
        <v>28.25</v>
      </c>
      <c r="R86" s="6"/>
      <c r="S86" s="6"/>
      <c r="T86" s="156"/>
      <c r="U86" s="6"/>
    </row>
    <row r="87" spans="1:21" customFormat="1">
      <c r="A87" s="163" t="s">
        <v>1182</v>
      </c>
      <c r="B87" s="100">
        <v>1.39</v>
      </c>
      <c r="C87" s="100">
        <v>15.23</v>
      </c>
      <c r="D87" s="100">
        <v>9.07</v>
      </c>
      <c r="E87" s="100">
        <v>7.35</v>
      </c>
      <c r="F87" s="100">
        <v>26.61</v>
      </c>
      <c r="G87" s="100">
        <v>33.58</v>
      </c>
      <c r="H87" s="100">
        <v>14.58</v>
      </c>
      <c r="I87" s="100">
        <v>10.39</v>
      </c>
      <c r="J87" s="100">
        <v>3.8</v>
      </c>
      <c r="K87" s="100">
        <v>176.39</v>
      </c>
      <c r="L87" s="100">
        <v>38.15</v>
      </c>
      <c r="M87" s="100">
        <v>30.05</v>
      </c>
      <c r="N87" s="100">
        <v>22.4</v>
      </c>
      <c r="O87" s="100">
        <v>0</v>
      </c>
      <c r="P87" s="100">
        <v>0.5</v>
      </c>
      <c r="Q87" s="100">
        <v>28.35</v>
      </c>
      <c r="R87" s="6"/>
      <c r="S87" s="6"/>
      <c r="T87" s="156"/>
      <c r="U87" s="6"/>
    </row>
    <row r="88" spans="1:21" customFormat="1">
      <c r="A88" s="163" t="s">
        <v>1183</v>
      </c>
      <c r="B88" s="100">
        <v>1.39</v>
      </c>
      <c r="C88" s="100">
        <v>15.23</v>
      </c>
      <c r="D88" s="100">
        <v>9.07</v>
      </c>
      <c r="E88" s="100">
        <v>7.74</v>
      </c>
      <c r="F88" s="100">
        <v>22.53</v>
      </c>
      <c r="G88" s="100">
        <v>34.03</v>
      </c>
      <c r="H88" s="100">
        <v>16.02</v>
      </c>
      <c r="I88" s="100">
        <v>10.97</v>
      </c>
      <c r="J88" s="100">
        <v>3.42</v>
      </c>
      <c r="K88" s="100">
        <v>128.32</v>
      </c>
      <c r="L88" s="100">
        <v>37.5</v>
      </c>
      <c r="M88" s="100">
        <v>32.04</v>
      </c>
      <c r="N88" s="100">
        <v>22.8</v>
      </c>
      <c r="O88" s="100">
        <v>0</v>
      </c>
      <c r="P88" s="100">
        <v>0.54</v>
      </c>
      <c r="Q88" s="100">
        <v>28.14</v>
      </c>
      <c r="R88" s="6"/>
      <c r="S88" s="6"/>
      <c r="T88" s="156"/>
      <c r="U88" s="6"/>
    </row>
    <row r="89" spans="1:21" customFormat="1">
      <c r="A89" s="163" t="s">
        <v>1184</v>
      </c>
      <c r="B89" s="100">
        <v>1.39</v>
      </c>
      <c r="C89" s="100">
        <v>15.23</v>
      </c>
      <c r="D89" s="100">
        <v>9.07</v>
      </c>
      <c r="E89" s="100">
        <v>7.65</v>
      </c>
      <c r="F89" s="100">
        <v>22.92</v>
      </c>
      <c r="G89" s="100">
        <v>35.72</v>
      </c>
      <c r="H89" s="100">
        <v>21.41</v>
      </c>
      <c r="I89" s="100">
        <v>10.02</v>
      </c>
      <c r="J89" s="100">
        <v>3.19</v>
      </c>
      <c r="K89" s="100">
        <v>131.4</v>
      </c>
      <c r="L89" s="100">
        <v>37.130000000000003</v>
      </c>
      <c r="M89" s="100">
        <v>32.4</v>
      </c>
      <c r="N89" s="100">
        <v>22.5</v>
      </c>
      <c r="O89" s="100">
        <v>0</v>
      </c>
      <c r="P89" s="100">
        <v>0.56000000000000005</v>
      </c>
      <c r="Q89" s="100">
        <v>28.07</v>
      </c>
      <c r="R89" s="6"/>
      <c r="S89" s="6"/>
      <c r="T89" s="156"/>
      <c r="U89" s="6"/>
    </row>
    <row r="90" spans="1:21" customFormat="1">
      <c r="A90" s="163" t="s">
        <v>1185</v>
      </c>
      <c r="B90" s="100">
        <v>1.39</v>
      </c>
      <c r="C90" s="100">
        <v>15.23</v>
      </c>
      <c r="D90" s="100">
        <v>9.07</v>
      </c>
      <c r="E90" s="100">
        <v>8.0500000000000007</v>
      </c>
      <c r="F90" s="100">
        <v>22.87</v>
      </c>
      <c r="G90" s="100">
        <v>35.72</v>
      </c>
      <c r="H90" s="100">
        <v>21.41</v>
      </c>
      <c r="I90" s="100">
        <v>10.6</v>
      </c>
      <c r="J90" s="100">
        <v>2.4</v>
      </c>
      <c r="K90" s="100">
        <v>149.77000000000001</v>
      </c>
      <c r="L90" s="100">
        <v>36.99</v>
      </c>
      <c r="M90" s="100">
        <v>32.17</v>
      </c>
      <c r="N90" s="100">
        <v>22.4</v>
      </c>
      <c r="O90" s="100">
        <v>0</v>
      </c>
      <c r="P90" s="100">
        <v>0.56000000000000005</v>
      </c>
      <c r="Q90" s="100">
        <v>28.18</v>
      </c>
      <c r="R90" s="6"/>
      <c r="S90" s="6"/>
      <c r="T90" s="156"/>
      <c r="U90" s="6"/>
    </row>
    <row r="91" spans="1:21" customFormat="1">
      <c r="A91" s="163" t="s">
        <v>1186</v>
      </c>
      <c r="B91" s="100">
        <v>1.39</v>
      </c>
      <c r="C91" s="100">
        <v>15.23</v>
      </c>
      <c r="D91" s="100">
        <v>9.07</v>
      </c>
      <c r="E91" s="100">
        <v>7.95</v>
      </c>
      <c r="F91" s="100">
        <v>24.03</v>
      </c>
      <c r="G91" s="100">
        <v>35.72</v>
      </c>
      <c r="H91" s="100">
        <v>21.41</v>
      </c>
      <c r="I91" s="100">
        <v>10.75</v>
      </c>
      <c r="J91" s="100">
        <v>2.78</v>
      </c>
      <c r="K91" s="100">
        <v>157.19999999999999</v>
      </c>
      <c r="L91" s="100">
        <v>37.06</v>
      </c>
      <c r="M91" s="100">
        <v>31.87</v>
      </c>
      <c r="N91" s="100">
        <v>22.4</v>
      </c>
      <c r="O91" s="100">
        <v>0</v>
      </c>
      <c r="P91" s="100">
        <v>0.54</v>
      </c>
      <c r="Q91" s="100">
        <v>28.37</v>
      </c>
      <c r="R91" s="6"/>
      <c r="S91" s="6"/>
      <c r="T91" s="156"/>
      <c r="U91" s="6"/>
    </row>
    <row r="92" spans="1:21" customFormat="1">
      <c r="A92" s="163" t="s">
        <v>1187</v>
      </c>
      <c r="B92" s="100">
        <v>1.39</v>
      </c>
      <c r="C92" s="100">
        <v>15.23</v>
      </c>
      <c r="D92" s="100">
        <v>9.07</v>
      </c>
      <c r="E92" s="100">
        <v>7.44</v>
      </c>
      <c r="F92" s="100">
        <v>26.58</v>
      </c>
      <c r="G92" s="100">
        <v>37.880000000000003</v>
      </c>
      <c r="H92" s="100">
        <v>21.55</v>
      </c>
      <c r="I92" s="100">
        <v>10.49</v>
      </c>
      <c r="J92" s="100">
        <v>3.06</v>
      </c>
      <c r="K92" s="100">
        <v>109.6</v>
      </c>
      <c r="L92" s="100">
        <v>36.71</v>
      </c>
      <c r="M92" s="100">
        <v>33.39</v>
      </c>
      <c r="N92" s="100">
        <v>22.6</v>
      </c>
      <c r="O92" s="100">
        <v>0</v>
      </c>
      <c r="P92" s="100">
        <v>0.53</v>
      </c>
      <c r="Q92" s="100">
        <v>28.46</v>
      </c>
      <c r="R92" s="6"/>
      <c r="S92" s="6"/>
      <c r="T92" s="156"/>
      <c r="U92" s="6"/>
    </row>
    <row r="93" spans="1:21" customFormat="1">
      <c r="A93" s="163" t="s">
        <v>1188</v>
      </c>
      <c r="B93" s="100">
        <v>1.39</v>
      </c>
      <c r="C93" s="100">
        <v>15.23</v>
      </c>
      <c r="D93" s="100">
        <v>9.07</v>
      </c>
      <c r="E93" s="100">
        <v>7.97</v>
      </c>
      <c r="F93" s="100">
        <v>18.11</v>
      </c>
      <c r="G93" s="100">
        <v>45.96</v>
      </c>
      <c r="H93" s="100">
        <v>22.06</v>
      </c>
      <c r="I93" s="100">
        <v>9.59</v>
      </c>
      <c r="J93" s="100">
        <v>2.73</v>
      </c>
      <c r="K93" s="100">
        <v>117.05</v>
      </c>
      <c r="L93" s="100">
        <v>36.61</v>
      </c>
      <c r="M93" s="100">
        <v>33.86</v>
      </c>
      <c r="N93" s="100">
        <v>22.6</v>
      </c>
      <c r="O93" s="100">
        <v>0</v>
      </c>
      <c r="P93" s="100">
        <v>0.53</v>
      </c>
      <c r="Q93" s="100">
        <v>28.24</v>
      </c>
      <c r="R93" s="6"/>
      <c r="S93" s="6"/>
      <c r="T93" s="156"/>
      <c r="U93" s="6"/>
    </row>
    <row r="94" spans="1:21" customFormat="1">
      <c r="A94" s="163" t="s">
        <v>1189</v>
      </c>
      <c r="B94" s="100">
        <v>1.39</v>
      </c>
      <c r="C94" s="100">
        <v>15.23</v>
      </c>
      <c r="D94" s="100">
        <v>9.07</v>
      </c>
      <c r="E94" s="100">
        <v>7.99</v>
      </c>
      <c r="F94" s="100">
        <v>10.99</v>
      </c>
      <c r="G94" s="100">
        <v>45.96</v>
      </c>
      <c r="H94" s="100">
        <v>22.06</v>
      </c>
      <c r="I94" s="100">
        <v>9.0399999999999991</v>
      </c>
      <c r="J94" s="100">
        <v>2.4700000000000002</v>
      </c>
      <c r="K94" s="100">
        <v>333.89</v>
      </c>
      <c r="L94" s="100">
        <v>37.04</v>
      </c>
      <c r="M94" s="100">
        <v>32.869999999999997</v>
      </c>
      <c r="N94" s="100">
        <v>22.1</v>
      </c>
      <c r="O94" s="100">
        <v>0</v>
      </c>
      <c r="P94" s="100">
        <v>0.59</v>
      </c>
      <c r="Q94" s="100">
        <v>27.89</v>
      </c>
      <c r="R94" s="6"/>
      <c r="S94" s="6"/>
      <c r="T94" s="156"/>
      <c r="U94" s="6"/>
    </row>
    <row r="95" spans="1:21" customFormat="1">
      <c r="A95" s="163" t="s">
        <v>1190</v>
      </c>
      <c r="B95" s="100">
        <v>1.39</v>
      </c>
      <c r="C95" s="100">
        <v>15.23</v>
      </c>
      <c r="D95" s="100">
        <v>9.07</v>
      </c>
      <c r="E95" s="100">
        <v>8.0500000000000007</v>
      </c>
      <c r="F95" s="100">
        <v>8.33</v>
      </c>
      <c r="G95" s="100">
        <v>45.96</v>
      </c>
      <c r="H95" s="100">
        <v>22.06</v>
      </c>
      <c r="I95" s="100">
        <v>9.16</v>
      </c>
      <c r="J95" s="100">
        <v>1.82</v>
      </c>
      <c r="K95" s="100">
        <v>296.13</v>
      </c>
      <c r="L95" s="100">
        <v>37.049999999999997</v>
      </c>
      <c r="M95" s="100">
        <v>32.99</v>
      </c>
      <c r="N95" s="100">
        <v>22.4</v>
      </c>
      <c r="O95" s="100">
        <v>0</v>
      </c>
      <c r="P95" s="100">
        <v>0.6</v>
      </c>
      <c r="Q95" s="100">
        <v>27.59</v>
      </c>
      <c r="R95" s="6"/>
      <c r="S95" s="6"/>
      <c r="T95" s="156"/>
      <c r="U95" s="6"/>
    </row>
    <row r="96" spans="1:21" customFormat="1">
      <c r="A96" s="163" t="s">
        <v>1191</v>
      </c>
      <c r="B96" s="100">
        <v>1.39</v>
      </c>
      <c r="C96" s="100">
        <v>15.23</v>
      </c>
      <c r="D96" s="100">
        <v>9.07</v>
      </c>
      <c r="E96" s="100">
        <v>7.97</v>
      </c>
      <c r="F96" s="100">
        <v>11.07</v>
      </c>
      <c r="G96" s="100">
        <v>46.13</v>
      </c>
      <c r="H96" s="100">
        <v>20.93</v>
      </c>
      <c r="I96" s="100">
        <v>9.9700000000000006</v>
      </c>
      <c r="J96" s="100">
        <v>2.27</v>
      </c>
      <c r="K96" s="100">
        <v>20.7</v>
      </c>
      <c r="L96" s="100">
        <v>36.86</v>
      </c>
      <c r="M96" s="100">
        <v>33.36</v>
      </c>
      <c r="N96" s="100">
        <v>22.7</v>
      </c>
      <c r="O96" s="100">
        <v>0</v>
      </c>
      <c r="P96" s="100">
        <v>0.56999999999999995</v>
      </c>
      <c r="Q96" s="100">
        <v>27.58</v>
      </c>
      <c r="R96" s="6"/>
      <c r="S96" s="6"/>
      <c r="T96" s="156"/>
      <c r="U96" s="6"/>
    </row>
    <row r="97" spans="1:28" customFormat="1">
      <c r="A97" s="163" t="s">
        <v>1192</v>
      </c>
      <c r="B97" s="100">
        <v>1.39</v>
      </c>
      <c r="C97" s="100">
        <v>15.23</v>
      </c>
      <c r="D97" s="100">
        <v>9.07</v>
      </c>
      <c r="E97" s="100">
        <v>8.52</v>
      </c>
      <c r="F97" s="100">
        <v>11.41</v>
      </c>
      <c r="G97" s="100">
        <v>46.77</v>
      </c>
      <c r="H97" s="100">
        <v>16.7</v>
      </c>
      <c r="I97" s="100">
        <v>10.48</v>
      </c>
      <c r="J97" s="100">
        <v>3.44</v>
      </c>
      <c r="K97" s="100">
        <v>37.93</v>
      </c>
      <c r="L97" s="100">
        <v>36.159999999999997</v>
      </c>
      <c r="M97" s="100">
        <v>34.1</v>
      </c>
      <c r="N97" s="100">
        <v>22.9</v>
      </c>
      <c r="O97" s="100">
        <v>0</v>
      </c>
      <c r="P97" s="100">
        <v>0.55000000000000004</v>
      </c>
      <c r="Q97" s="100">
        <v>27.72</v>
      </c>
      <c r="R97" s="6"/>
      <c r="S97" s="6"/>
      <c r="T97" s="156"/>
      <c r="U97" s="6"/>
    </row>
    <row r="98" spans="1:28" customFormat="1">
      <c r="A98" s="163" t="s">
        <v>1193</v>
      </c>
      <c r="B98" s="100">
        <v>1.39</v>
      </c>
      <c r="C98" s="100">
        <v>15.23</v>
      </c>
      <c r="D98" s="100">
        <v>9.07</v>
      </c>
      <c r="E98" s="100">
        <v>9.09</v>
      </c>
      <c r="F98" s="100">
        <v>8.73</v>
      </c>
      <c r="G98" s="100">
        <v>46.77</v>
      </c>
      <c r="H98" s="100">
        <v>16.7</v>
      </c>
      <c r="I98" s="100">
        <v>9.9600000000000009</v>
      </c>
      <c r="J98" s="100">
        <v>3.15</v>
      </c>
      <c r="K98" s="100">
        <v>35.270000000000003</v>
      </c>
      <c r="L98" s="100">
        <v>35.78</v>
      </c>
      <c r="M98" s="100">
        <v>35.44</v>
      </c>
      <c r="N98" s="100">
        <v>22.8</v>
      </c>
      <c r="O98" s="100">
        <v>0</v>
      </c>
      <c r="P98" s="100">
        <v>0.56000000000000005</v>
      </c>
      <c r="Q98" s="100">
        <v>27.76</v>
      </c>
      <c r="R98" s="6"/>
      <c r="S98" s="6"/>
      <c r="T98" s="156"/>
      <c r="U98" s="6"/>
    </row>
    <row r="99" spans="1:28" customFormat="1">
      <c r="A99" s="163" t="s">
        <v>1194</v>
      </c>
      <c r="B99" s="100">
        <v>1.39</v>
      </c>
      <c r="C99" s="100">
        <v>15.23</v>
      </c>
      <c r="D99" s="100">
        <v>9.07</v>
      </c>
      <c r="E99" s="100">
        <v>10.87</v>
      </c>
      <c r="F99" s="100">
        <v>18.61</v>
      </c>
      <c r="G99" s="100">
        <v>46.77</v>
      </c>
      <c r="H99" s="100">
        <v>16.7</v>
      </c>
      <c r="I99" s="100">
        <v>9.8800000000000008</v>
      </c>
      <c r="J99" s="100">
        <v>2.62</v>
      </c>
      <c r="K99" s="100">
        <v>45.76</v>
      </c>
      <c r="L99" s="100">
        <v>35.67</v>
      </c>
      <c r="M99" s="100">
        <v>36.82</v>
      </c>
      <c r="N99" s="100">
        <v>22.8</v>
      </c>
      <c r="O99" s="100">
        <v>0</v>
      </c>
      <c r="P99" s="100">
        <v>0.59</v>
      </c>
      <c r="Q99" s="100">
        <v>27.62</v>
      </c>
      <c r="R99" s="6"/>
      <c r="S99" s="6"/>
      <c r="T99" s="156"/>
      <c r="U99" s="6"/>
    </row>
    <row r="100" spans="1:28" customFormat="1">
      <c r="A100" s="163" t="s">
        <v>1195</v>
      </c>
      <c r="B100" s="100">
        <v>1.39</v>
      </c>
      <c r="C100" s="100">
        <v>15.23</v>
      </c>
      <c r="D100" s="100">
        <v>9.07</v>
      </c>
      <c r="E100" s="100">
        <v>10.09</v>
      </c>
      <c r="F100" s="100">
        <v>17.850000000000001</v>
      </c>
      <c r="G100" s="100">
        <v>47.59</v>
      </c>
      <c r="H100" s="100">
        <v>17.920000000000002</v>
      </c>
      <c r="I100" s="100">
        <v>9.94</v>
      </c>
      <c r="J100" s="100">
        <v>2.99</v>
      </c>
      <c r="K100" s="100">
        <v>32.700000000000003</v>
      </c>
      <c r="L100" s="100">
        <v>35.58</v>
      </c>
      <c r="M100" s="100">
        <v>37.700000000000003</v>
      </c>
      <c r="N100" s="100">
        <v>22.7</v>
      </c>
      <c r="O100" s="100">
        <v>0</v>
      </c>
      <c r="P100" s="100">
        <v>0.56999999999999995</v>
      </c>
      <c r="Q100" s="100">
        <v>27.98</v>
      </c>
      <c r="R100" s="6"/>
      <c r="S100" s="6"/>
      <c r="T100" s="156"/>
      <c r="U100" s="6"/>
      <c r="AB100" s="161"/>
    </row>
    <row r="101" spans="1:28" customFormat="1">
      <c r="A101" s="163" t="s">
        <v>1196</v>
      </c>
      <c r="B101" s="100">
        <v>1.39</v>
      </c>
      <c r="C101" s="100">
        <v>15.23</v>
      </c>
      <c r="D101" s="100">
        <v>9.07</v>
      </c>
      <c r="E101" s="100">
        <v>6.78</v>
      </c>
      <c r="F101" s="100">
        <v>20.21</v>
      </c>
      <c r="G101" s="100">
        <v>50.66</v>
      </c>
      <c r="H101" s="100">
        <v>22.49</v>
      </c>
      <c r="I101" s="100">
        <v>10.07</v>
      </c>
      <c r="J101" s="100">
        <v>0.92</v>
      </c>
      <c r="K101" s="100">
        <v>62.1</v>
      </c>
      <c r="L101" s="100">
        <v>35.71</v>
      </c>
      <c r="M101" s="100">
        <v>38.31</v>
      </c>
      <c r="N101" s="100">
        <v>22.7</v>
      </c>
      <c r="O101" s="100">
        <v>0</v>
      </c>
      <c r="P101" s="100">
        <v>0.53</v>
      </c>
      <c r="Q101" s="100">
        <v>28.15</v>
      </c>
      <c r="R101" s="6"/>
      <c r="S101" s="6"/>
      <c r="T101" s="156"/>
      <c r="U101" s="6"/>
    </row>
    <row r="102" spans="1:28" customFormat="1">
      <c r="A102" s="163" t="s">
        <v>1197</v>
      </c>
      <c r="B102" s="100">
        <v>1.39</v>
      </c>
      <c r="C102" s="100">
        <v>15.23</v>
      </c>
      <c r="D102" s="100">
        <v>9.07</v>
      </c>
      <c r="E102" s="100">
        <v>8.1999999999999993</v>
      </c>
      <c r="F102" s="100">
        <v>16.190000000000001</v>
      </c>
      <c r="G102" s="100">
        <v>50.66</v>
      </c>
      <c r="H102" s="100">
        <v>22.49</v>
      </c>
      <c r="I102" s="100">
        <v>9.77</v>
      </c>
      <c r="J102" s="100">
        <v>2</v>
      </c>
      <c r="K102" s="100">
        <v>85.84</v>
      </c>
      <c r="L102" s="100">
        <v>35.43</v>
      </c>
      <c r="M102" s="100">
        <v>38.76</v>
      </c>
      <c r="N102" s="100">
        <v>22.6</v>
      </c>
      <c r="O102" s="100">
        <v>0</v>
      </c>
      <c r="P102" s="100">
        <v>0.56999999999999995</v>
      </c>
      <c r="Q102" s="100">
        <v>28.05</v>
      </c>
      <c r="R102" s="6"/>
      <c r="S102" s="6"/>
      <c r="T102" s="156"/>
      <c r="U102" s="6"/>
    </row>
    <row r="103" spans="1:28" customFormat="1">
      <c r="A103" s="163" t="s">
        <v>1198</v>
      </c>
      <c r="B103" s="100">
        <v>1.39</v>
      </c>
      <c r="C103" s="100">
        <v>15.23</v>
      </c>
      <c r="D103" s="100">
        <v>9.07</v>
      </c>
      <c r="E103" s="100">
        <v>8.81</v>
      </c>
      <c r="F103" s="100">
        <v>16.920000000000002</v>
      </c>
      <c r="G103" s="100">
        <v>50.66</v>
      </c>
      <c r="H103" s="100">
        <v>22.49</v>
      </c>
      <c r="I103" s="100">
        <v>9.67</v>
      </c>
      <c r="J103" s="100">
        <v>0.52</v>
      </c>
      <c r="K103" s="100">
        <v>185.2</v>
      </c>
      <c r="L103" s="100">
        <v>35.61</v>
      </c>
      <c r="M103" s="100">
        <v>39.020000000000003</v>
      </c>
      <c r="N103" s="100">
        <v>22.4</v>
      </c>
      <c r="O103" s="100">
        <v>0</v>
      </c>
      <c r="P103" s="100">
        <v>0.59</v>
      </c>
      <c r="Q103" s="100">
        <v>28.05</v>
      </c>
      <c r="R103" s="6"/>
      <c r="S103" s="6"/>
      <c r="T103" s="156"/>
      <c r="U103" s="6"/>
    </row>
    <row r="104" spans="1:28" customFormat="1">
      <c r="A104" s="163" t="s">
        <v>1199</v>
      </c>
      <c r="B104" s="100">
        <v>1.39</v>
      </c>
      <c r="C104" s="100">
        <v>15.23</v>
      </c>
      <c r="D104" s="100">
        <v>9.07</v>
      </c>
      <c r="E104" s="100">
        <v>8.41</v>
      </c>
      <c r="F104" s="100">
        <v>18.89</v>
      </c>
      <c r="G104" s="100">
        <v>51.55</v>
      </c>
      <c r="H104" s="100">
        <v>23.07</v>
      </c>
      <c r="I104" s="100">
        <v>9.65</v>
      </c>
      <c r="J104" s="100">
        <v>3.55</v>
      </c>
      <c r="K104" s="100">
        <v>124.72</v>
      </c>
      <c r="L104" s="100">
        <v>35.43</v>
      </c>
      <c r="M104" s="100">
        <v>40.29</v>
      </c>
      <c r="N104" s="100">
        <v>22.6</v>
      </c>
      <c r="O104" s="100">
        <v>0</v>
      </c>
      <c r="P104" s="100">
        <v>0.57999999999999996</v>
      </c>
      <c r="Q104" s="100">
        <v>28.03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1.1599999999999999</v>
      </c>
      <c r="C106" s="158">
        <f>MIN(C9:C104)</f>
        <v>14.8</v>
      </c>
      <c r="D106" s="158">
        <f t="shared" ref="D106:Q106" si="0">MIN(D9:D104)</f>
        <v>8.83</v>
      </c>
      <c r="E106" s="158">
        <f t="shared" si="0"/>
        <v>4.6500000000000004</v>
      </c>
      <c r="F106" s="158">
        <f t="shared" si="0"/>
        <v>2.78</v>
      </c>
      <c r="G106" s="158">
        <f t="shared" si="0"/>
        <v>29.91</v>
      </c>
      <c r="H106" s="158">
        <f t="shared" si="0"/>
        <v>14.58</v>
      </c>
      <c r="I106" s="158">
        <f t="shared" si="0"/>
        <v>6.83</v>
      </c>
      <c r="J106" s="158">
        <f t="shared" si="0"/>
        <v>0.52</v>
      </c>
      <c r="K106" s="158">
        <f t="shared" si="0"/>
        <v>20.7</v>
      </c>
      <c r="L106" s="158">
        <f t="shared" si="0"/>
        <v>30.32</v>
      </c>
      <c r="M106" s="158">
        <f t="shared" si="0"/>
        <v>18.59</v>
      </c>
      <c r="N106" s="158">
        <f t="shared" si="0"/>
        <v>22.1</v>
      </c>
      <c r="O106" s="158">
        <f t="shared" si="0"/>
        <v>0</v>
      </c>
      <c r="P106" s="158">
        <f t="shared" si="0"/>
        <v>0.4</v>
      </c>
      <c r="Q106" s="158">
        <f t="shared" si="0"/>
        <v>26.59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14.16</v>
      </c>
      <c r="C107" s="157">
        <f t="shared" ref="C107:Q107" si="1">MAX(C9:C104)</f>
        <v>48.41</v>
      </c>
      <c r="D107" s="157">
        <f t="shared" si="1"/>
        <v>35.159999999999997</v>
      </c>
      <c r="E107" s="157">
        <f t="shared" si="1"/>
        <v>10.87</v>
      </c>
      <c r="F107" s="157">
        <f t="shared" si="1"/>
        <v>40.659999999999997</v>
      </c>
      <c r="G107" s="157">
        <f t="shared" si="1"/>
        <v>53.99</v>
      </c>
      <c r="H107" s="157">
        <f t="shared" si="1"/>
        <v>23.07</v>
      </c>
      <c r="I107" s="157">
        <f t="shared" si="1"/>
        <v>12.84</v>
      </c>
      <c r="J107" s="157">
        <f t="shared" si="1"/>
        <v>4.47</v>
      </c>
      <c r="K107" s="157">
        <f t="shared" si="1"/>
        <v>347.12</v>
      </c>
      <c r="L107" s="157">
        <f t="shared" si="1"/>
        <v>44.92</v>
      </c>
      <c r="M107" s="157">
        <f t="shared" si="1"/>
        <v>52.43</v>
      </c>
      <c r="N107" s="157">
        <f t="shared" si="1"/>
        <v>891.2</v>
      </c>
      <c r="O107" s="157">
        <f t="shared" si="1"/>
        <v>0</v>
      </c>
      <c r="P107" s="157">
        <f t="shared" si="1"/>
        <v>0.6</v>
      </c>
      <c r="Q107" s="157">
        <f t="shared" si="1"/>
        <v>28.92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5.1465624999999955</v>
      </c>
      <c r="C108" s="158">
        <f t="shared" ref="C108:Q108" si="2">AVERAGE(C9:C104)</f>
        <v>25.176770833333336</v>
      </c>
      <c r="D108" s="158">
        <f t="shared" si="2"/>
        <v>17.281458333333322</v>
      </c>
      <c r="E108" s="158">
        <f t="shared" si="2"/>
        <v>7.3079166666666664</v>
      </c>
      <c r="F108" s="158">
        <f t="shared" si="2"/>
        <v>16.198645833333334</v>
      </c>
      <c r="G108" s="158">
        <f t="shared" si="2"/>
        <v>42.837291666666665</v>
      </c>
      <c r="H108" s="158">
        <f t="shared" si="2"/>
        <v>18.983333333333338</v>
      </c>
      <c r="I108" s="158">
        <f t="shared" si="2"/>
        <v>10.473229166666668</v>
      </c>
      <c r="J108" s="158">
        <f t="shared" si="2"/>
        <v>2.9279166666666665</v>
      </c>
      <c r="K108" s="158">
        <f t="shared" si="2"/>
        <v>185.93697916666665</v>
      </c>
      <c r="L108" s="158">
        <f t="shared" si="2"/>
        <v>36.972291666666649</v>
      </c>
      <c r="M108" s="158">
        <f t="shared" si="2"/>
        <v>34.52739583333333</v>
      </c>
      <c r="N108" s="158">
        <f t="shared" si="2"/>
        <v>259.41874999999999</v>
      </c>
      <c r="O108" s="158">
        <f t="shared" si="2"/>
        <v>0</v>
      </c>
      <c r="P108" s="158">
        <f t="shared" si="2"/>
        <v>0.51427083333333334</v>
      </c>
      <c r="Q108" s="158">
        <f t="shared" si="2"/>
        <v>27.990937500000001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4.5599440966390956</v>
      </c>
      <c r="C109" s="158">
        <f t="shared" ref="C109:Q109" si="3">STDEV(C9:C104)</f>
        <v>8.6495623856192285</v>
      </c>
      <c r="D109" s="158">
        <f t="shared" si="3"/>
        <v>7.7235605341424165</v>
      </c>
      <c r="E109" s="158">
        <f t="shared" si="3"/>
        <v>0.9603890841645889</v>
      </c>
      <c r="F109" s="158">
        <f t="shared" si="3"/>
        <v>10.016407447130428</v>
      </c>
      <c r="G109" s="158">
        <f t="shared" si="3"/>
        <v>5.8013050218153142</v>
      </c>
      <c r="H109" s="158">
        <f t="shared" si="3"/>
        <v>2.1879072753692568</v>
      </c>
      <c r="I109" s="158">
        <f t="shared" si="3"/>
        <v>1.2105914124850163</v>
      </c>
      <c r="J109" s="158">
        <f t="shared" si="3"/>
        <v>0.80021433532282382</v>
      </c>
      <c r="K109" s="158">
        <f t="shared" si="3"/>
        <v>65.670845523954952</v>
      </c>
      <c r="L109" s="158">
        <f t="shared" si="3"/>
        <v>4.5037237176099651</v>
      </c>
      <c r="M109" s="158">
        <f t="shared" si="3"/>
        <v>10.299696085939587</v>
      </c>
      <c r="N109" s="158">
        <f t="shared" si="3"/>
        <v>319.70560810730723</v>
      </c>
      <c r="O109" s="158">
        <f t="shared" si="3"/>
        <v>0</v>
      </c>
      <c r="P109" s="158">
        <f t="shared" si="3"/>
        <v>4.8790525216246571E-2</v>
      </c>
      <c r="Q109" s="158">
        <f t="shared" si="3"/>
        <v>0.6243010038603598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3" sqref="F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1200</v>
      </c>
      <c r="B9" s="100">
        <v>1.39</v>
      </c>
      <c r="C9" s="100">
        <v>15.23</v>
      </c>
      <c r="D9" s="100">
        <v>9.07</v>
      </c>
      <c r="E9" s="100">
        <v>9.25</v>
      </c>
      <c r="F9" s="100">
        <v>13.58</v>
      </c>
      <c r="G9" s="100">
        <v>54.87</v>
      </c>
      <c r="H9" s="100">
        <v>25.26</v>
      </c>
      <c r="I9" s="100">
        <v>9.8800000000000008</v>
      </c>
      <c r="J9" s="100">
        <v>2.1800000000000002</v>
      </c>
      <c r="K9" s="100">
        <v>180.89</v>
      </c>
      <c r="L9" s="100">
        <v>35.18</v>
      </c>
      <c r="M9" s="100">
        <v>40.659999999999997</v>
      </c>
      <c r="N9" s="100">
        <v>22.5</v>
      </c>
      <c r="O9" s="100">
        <v>0</v>
      </c>
      <c r="P9" s="100">
        <v>0.59</v>
      </c>
      <c r="Q9" s="100">
        <v>27.98</v>
      </c>
      <c r="R9" s="6"/>
      <c r="S9" s="6"/>
      <c r="T9" s="156"/>
      <c r="U9" s="6"/>
    </row>
    <row r="10" spans="1:21" customFormat="1">
      <c r="A10" s="163" t="s">
        <v>1201</v>
      </c>
      <c r="B10" s="100">
        <v>1.39</v>
      </c>
      <c r="C10" s="100">
        <v>15.23</v>
      </c>
      <c r="D10" s="100">
        <v>9.07</v>
      </c>
      <c r="E10" s="100">
        <v>8.65</v>
      </c>
      <c r="F10" s="100">
        <v>7.99</v>
      </c>
      <c r="G10" s="100">
        <v>54.87</v>
      </c>
      <c r="H10" s="100">
        <v>25.26</v>
      </c>
      <c r="I10" s="100">
        <v>10.36</v>
      </c>
      <c r="J10" s="100">
        <v>0.42</v>
      </c>
      <c r="K10" s="100">
        <v>91.53</v>
      </c>
      <c r="L10" s="100">
        <v>34.99</v>
      </c>
      <c r="M10" s="100">
        <v>41.41</v>
      </c>
      <c r="N10" s="100">
        <v>22.5</v>
      </c>
      <c r="O10" s="100">
        <v>0</v>
      </c>
      <c r="P10" s="100">
        <v>0.59</v>
      </c>
      <c r="Q10" s="100">
        <v>27.85</v>
      </c>
      <c r="R10" s="6"/>
      <c r="S10" s="6"/>
      <c r="T10" s="156"/>
      <c r="U10" s="6"/>
    </row>
    <row r="11" spans="1:21" customFormat="1">
      <c r="A11" s="163" t="s">
        <v>1202</v>
      </c>
      <c r="B11" s="100">
        <v>1.39</v>
      </c>
      <c r="C11" s="100">
        <v>15.23</v>
      </c>
      <c r="D11" s="100">
        <v>9.07</v>
      </c>
      <c r="E11" s="100">
        <v>8.83</v>
      </c>
      <c r="F11" s="100">
        <v>5.7</v>
      </c>
      <c r="G11" s="100">
        <v>54.87</v>
      </c>
      <c r="H11" s="100">
        <v>25.26</v>
      </c>
      <c r="I11" s="100">
        <v>10.16</v>
      </c>
      <c r="J11" s="100">
        <v>2.78</v>
      </c>
      <c r="K11" s="100">
        <v>249.39</v>
      </c>
      <c r="L11" s="100">
        <v>35.08</v>
      </c>
      <c r="M11" s="100">
        <v>40.770000000000003</v>
      </c>
      <c r="N11" s="100">
        <v>22.3</v>
      </c>
      <c r="O11" s="100">
        <v>0</v>
      </c>
      <c r="P11" s="100">
        <v>0.56999999999999995</v>
      </c>
      <c r="Q11" s="100">
        <v>27.68</v>
      </c>
      <c r="R11" s="6"/>
      <c r="S11" s="6"/>
      <c r="T11" s="156"/>
      <c r="U11" s="6"/>
    </row>
    <row r="12" spans="1:21" customFormat="1">
      <c r="A12" s="163" t="s">
        <v>1203</v>
      </c>
      <c r="B12" s="100">
        <v>1.39</v>
      </c>
      <c r="C12" s="100">
        <v>15.23</v>
      </c>
      <c r="D12" s="100">
        <v>9.07</v>
      </c>
      <c r="E12" s="100">
        <v>8.86</v>
      </c>
      <c r="F12" s="100">
        <v>5.48</v>
      </c>
      <c r="G12" s="100">
        <v>56.03</v>
      </c>
      <c r="H12" s="100">
        <v>25.58</v>
      </c>
      <c r="I12" s="100">
        <v>10.06</v>
      </c>
      <c r="J12" s="100">
        <v>2.57</v>
      </c>
      <c r="K12" s="100">
        <v>212.89</v>
      </c>
      <c r="L12" s="100">
        <v>34.85</v>
      </c>
      <c r="M12" s="100">
        <v>41.29</v>
      </c>
      <c r="N12" s="100">
        <v>22.3</v>
      </c>
      <c r="O12" s="100">
        <v>0</v>
      </c>
      <c r="P12" s="100">
        <v>0.55000000000000004</v>
      </c>
      <c r="Q12" s="100">
        <v>27.5</v>
      </c>
      <c r="R12" s="6"/>
      <c r="S12" s="6"/>
      <c r="T12" s="156"/>
      <c r="U12" s="6"/>
    </row>
    <row r="13" spans="1:21" customFormat="1">
      <c r="A13" s="163" t="s">
        <v>1204</v>
      </c>
      <c r="B13" s="100">
        <v>1.39</v>
      </c>
      <c r="C13" s="100">
        <v>15.23</v>
      </c>
      <c r="D13" s="100">
        <v>9.07</v>
      </c>
      <c r="E13" s="100">
        <v>8.52</v>
      </c>
      <c r="F13" s="100">
        <v>5.07</v>
      </c>
      <c r="G13" s="100">
        <v>60.36</v>
      </c>
      <c r="H13" s="100">
        <v>26.78</v>
      </c>
      <c r="I13" s="100">
        <v>9.93</v>
      </c>
      <c r="J13" s="100">
        <v>2.25</v>
      </c>
      <c r="K13" s="100">
        <v>258.29000000000002</v>
      </c>
      <c r="L13" s="100">
        <v>34.75</v>
      </c>
      <c r="M13" s="100">
        <v>41.42</v>
      </c>
      <c r="N13" s="100">
        <v>22.5</v>
      </c>
      <c r="O13" s="100">
        <v>0</v>
      </c>
      <c r="P13" s="100">
        <v>0.54</v>
      </c>
      <c r="Q13" s="100">
        <v>27.41</v>
      </c>
      <c r="R13" s="6"/>
      <c r="S13" s="6"/>
      <c r="T13" s="156"/>
      <c r="U13" s="6"/>
    </row>
    <row r="14" spans="1:21" customFormat="1">
      <c r="A14" s="163" t="s">
        <v>1205</v>
      </c>
      <c r="B14" s="100">
        <v>1.39</v>
      </c>
      <c r="C14" s="100">
        <v>15.23</v>
      </c>
      <c r="D14" s="100">
        <v>9.07</v>
      </c>
      <c r="E14" s="100">
        <v>8.1300000000000008</v>
      </c>
      <c r="F14" s="100">
        <v>4.9800000000000004</v>
      </c>
      <c r="G14" s="100">
        <v>60.36</v>
      </c>
      <c r="H14" s="100">
        <v>26.78</v>
      </c>
      <c r="I14" s="100">
        <v>9.86</v>
      </c>
      <c r="J14" s="100">
        <v>2.81</v>
      </c>
      <c r="K14" s="100">
        <v>251.19</v>
      </c>
      <c r="L14" s="100">
        <v>34.520000000000003</v>
      </c>
      <c r="M14" s="100">
        <v>42.12</v>
      </c>
      <c r="N14" s="100">
        <v>22.5</v>
      </c>
      <c r="O14" s="100">
        <v>0</v>
      </c>
      <c r="P14" s="100">
        <v>0.54</v>
      </c>
      <c r="Q14" s="100">
        <v>27.17</v>
      </c>
      <c r="R14" s="6"/>
      <c r="S14" s="6"/>
      <c r="T14" s="156"/>
      <c r="U14" s="6"/>
    </row>
    <row r="15" spans="1:21" customFormat="1">
      <c r="A15" s="163" t="s">
        <v>1206</v>
      </c>
      <c r="B15" s="100">
        <v>1.39</v>
      </c>
      <c r="C15" s="100">
        <v>15.23</v>
      </c>
      <c r="D15" s="100">
        <v>9.07</v>
      </c>
      <c r="E15" s="100">
        <v>8.33</v>
      </c>
      <c r="F15" s="100">
        <v>5.68</v>
      </c>
      <c r="G15" s="100">
        <v>60.36</v>
      </c>
      <c r="H15" s="100">
        <v>26.78</v>
      </c>
      <c r="I15" s="100">
        <v>10.06</v>
      </c>
      <c r="J15" s="100">
        <v>1.19</v>
      </c>
      <c r="K15" s="100">
        <v>259.5</v>
      </c>
      <c r="L15" s="100">
        <v>34.340000000000003</v>
      </c>
      <c r="M15" s="100">
        <v>42.82</v>
      </c>
      <c r="N15" s="100">
        <v>22.6</v>
      </c>
      <c r="O15" s="100">
        <v>0</v>
      </c>
      <c r="P15" s="100">
        <v>0.54</v>
      </c>
      <c r="Q15" s="100">
        <v>27.47</v>
      </c>
      <c r="R15" s="6"/>
      <c r="S15" s="6"/>
      <c r="T15" s="156"/>
      <c r="U15" s="6"/>
    </row>
    <row r="16" spans="1:21" customFormat="1">
      <c r="A16" s="163" t="s">
        <v>1207</v>
      </c>
      <c r="B16" s="100">
        <v>1.39</v>
      </c>
      <c r="C16" s="100">
        <v>15.23</v>
      </c>
      <c r="D16" s="100">
        <v>9.07</v>
      </c>
      <c r="E16" s="100">
        <v>7.55</v>
      </c>
      <c r="F16" s="100">
        <v>7.51</v>
      </c>
      <c r="G16" s="100">
        <v>60.11</v>
      </c>
      <c r="H16" s="100">
        <v>27.05</v>
      </c>
      <c r="I16" s="100">
        <v>9.74</v>
      </c>
      <c r="J16" s="100">
        <v>3.37</v>
      </c>
      <c r="K16" s="100">
        <v>250.35</v>
      </c>
      <c r="L16" s="100">
        <v>34.06</v>
      </c>
      <c r="M16" s="100">
        <v>42.88</v>
      </c>
      <c r="N16" s="100">
        <v>22.5</v>
      </c>
      <c r="O16" s="100">
        <v>0</v>
      </c>
      <c r="P16" s="100">
        <v>0.51</v>
      </c>
      <c r="Q16" s="100">
        <v>27.42</v>
      </c>
      <c r="R16" s="6"/>
      <c r="S16" s="6"/>
      <c r="T16" s="156"/>
      <c r="U16" s="6"/>
    </row>
    <row r="17" spans="1:21" customFormat="1">
      <c r="A17" s="163" t="s">
        <v>1208</v>
      </c>
      <c r="B17" s="100">
        <v>1.39</v>
      </c>
      <c r="C17" s="100">
        <v>15.23</v>
      </c>
      <c r="D17" s="100">
        <v>9.07</v>
      </c>
      <c r="E17" s="100">
        <v>6.69</v>
      </c>
      <c r="F17" s="100">
        <v>8.6</v>
      </c>
      <c r="G17" s="100">
        <v>59.16</v>
      </c>
      <c r="H17" s="100">
        <v>28.07</v>
      </c>
      <c r="I17" s="100">
        <v>9.49</v>
      </c>
      <c r="J17" s="100">
        <v>1.32</v>
      </c>
      <c r="K17" s="100">
        <v>268</v>
      </c>
      <c r="L17" s="100">
        <v>33.9</v>
      </c>
      <c r="M17" s="100">
        <v>43.69</v>
      </c>
      <c r="N17" s="100">
        <v>22.6</v>
      </c>
      <c r="O17" s="100">
        <v>0</v>
      </c>
      <c r="P17" s="100">
        <v>0.49</v>
      </c>
      <c r="Q17" s="100">
        <v>27.53</v>
      </c>
      <c r="R17" s="6"/>
      <c r="S17" s="6"/>
      <c r="T17" s="156"/>
      <c r="U17" s="6"/>
    </row>
    <row r="18" spans="1:21" customFormat="1">
      <c r="A18" s="163" t="s">
        <v>1209</v>
      </c>
      <c r="B18" s="100">
        <v>1.39</v>
      </c>
      <c r="C18" s="100">
        <v>15.23</v>
      </c>
      <c r="D18" s="100">
        <v>9.07</v>
      </c>
      <c r="E18" s="100">
        <v>6.55</v>
      </c>
      <c r="F18" s="100">
        <v>6.88</v>
      </c>
      <c r="G18" s="100">
        <v>59.16</v>
      </c>
      <c r="H18" s="100">
        <v>28.07</v>
      </c>
      <c r="I18" s="100">
        <v>9.16</v>
      </c>
      <c r="J18" s="100">
        <v>2.77</v>
      </c>
      <c r="K18" s="100">
        <v>230.55</v>
      </c>
      <c r="L18" s="100">
        <v>34.35</v>
      </c>
      <c r="M18" s="100">
        <v>43.71</v>
      </c>
      <c r="N18" s="100">
        <v>22.4</v>
      </c>
      <c r="O18" s="100">
        <v>0</v>
      </c>
      <c r="P18" s="100">
        <v>0.5</v>
      </c>
      <c r="Q18" s="100">
        <v>27.58</v>
      </c>
      <c r="R18" s="6"/>
      <c r="S18" s="6"/>
      <c r="T18" s="156"/>
      <c r="U18" s="6"/>
    </row>
    <row r="19" spans="1:21" customFormat="1">
      <c r="A19" s="163" t="s">
        <v>1210</v>
      </c>
      <c r="B19" s="100">
        <v>1.39</v>
      </c>
      <c r="C19" s="100">
        <v>15.23</v>
      </c>
      <c r="D19" s="100">
        <v>9.07</v>
      </c>
      <c r="E19" s="100">
        <v>6.28</v>
      </c>
      <c r="F19" s="100">
        <v>10.4</v>
      </c>
      <c r="G19" s="100">
        <v>59.16</v>
      </c>
      <c r="H19" s="100">
        <v>28.07</v>
      </c>
      <c r="I19" s="100">
        <v>8.76</v>
      </c>
      <c r="J19" s="100">
        <v>2.66</v>
      </c>
      <c r="K19" s="100">
        <v>206.01</v>
      </c>
      <c r="L19" s="100">
        <v>34.18</v>
      </c>
      <c r="M19" s="100">
        <v>43.55</v>
      </c>
      <c r="N19" s="100">
        <v>22.6</v>
      </c>
      <c r="O19" s="100">
        <v>0</v>
      </c>
      <c r="P19" s="100">
        <v>0.49</v>
      </c>
      <c r="Q19" s="100">
        <v>27.6</v>
      </c>
      <c r="R19" s="6"/>
      <c r="S19" s="6"/>
      <c r="T19" s="156"/>
      <c r="U19" s="6"/>
    </row>
    <row r="20" spans="1:21" customFormat="1">
      <c r="A20" s="163" t="s">
        <v>1211</v>
      </c>
      <c r="B20" s="100">
        <v>1.39</v>
      </c>
      <c r="C20" s="100">
        <v>15.23</v>
      </c>
      <c r="D20" s="100">
        <v>9.07</v>
      </c>
      <c r="E20" s="100">
        <v>6.42</v>
      </c>
      <c r="F20" s="100">
        <v>12.12</v>
      </c>
      <c r="G20" s="100">
        <v>58.21</v>
      </c>
      <c r="H20" s="100">
        <v>28.07</v>
      </c>
      <c r="I20" s="100">
        <v>8.65</v>
      </c>
      <c r="J20" s="100">
        <v>2.78</v>
      </c>
      <c r="K20" s="100">
        <v>253.35</v>
      </c>
      <c r="L20" s="100">
        <v>34.1</v>
      </c>
      <c r="M20" s="100">
        <v>43.37</v>
      </c>
      <c r="N20" s="100">
        <v>22.4</v>
      </c>
      <c r="O20" s="100">
        <v>0</v>
      </c>
      <c r="P20" s="100">
        <v>0.49</v>
      </c>
      <c r="Q20" s="100">
        <v>27.69</v>
      </c>
      <c r="R20" s="6"/>
      <c r="S20" s="6"/>
      <c r="T20" s="156"/>
      <c r="U20" s="6"/>
    </row>
    <row r="21" spans="1:21" customFormat="1">
      <c r="A21" s="163" t="s">
        <v>1212</v>
      </c>
      <c r="B21" s="100">
        <v>1.39</v>
      </c>
      <c r="C21" s="100">
        <v>15.23</v>
      </c>
      <c r="D21" s="100">
        <v>9.07</v>
      </c>
      <c r="E21" s="100">
        <v>6.13</v>
      </c>
      <c r="F21" s="100">
        <v>7.9</v>
      </c>
      <c r="G21" s="100">
        <v>54.67</v>
      </c>
      <c r="H21" s="100">
        <v>28.06</v>
      </c>
      <c r="I21" s="100">
        <v>8.23</v>
      </c>
      <c r="J21" s="100">
        <v>3.38</v>
      </c>
      <c r="K21" s="100">
        <v>211.17</v>
      </c>
      <c r="L21" s="100">
        <v>34.06</v>
      </c>
      <c r="M21" s="100">
        <v>43.4</v>
      </c>
      <c r="N21" s="100">
        <v>22.6</v>
      </c>
      <c r="O21" s="100">
        <v>0</v>
      </c>
      <c r="P21" s="100">
        <v>0.51</v>
      </c>
      <c r="Q21" s="100">
        <v>27.46</v>
      </c>
      <c r="R21" s="6"/>
      <c r="S21" s="6"/>
      <c r="T21" s="156"/>
      <c r="U21" s="6"/>
    </row>
    <row r="22" spans="1:21" customFormat="1">
      <c r="A22" s="163" t="s">
        <v>1213</v>
      </c>
      <c r="B22" s="100">
        <v>1.39</v>
      </c>
      <c r="C22" s="100">
        <v>15.23</v>
      </c>
      <c r="D22" s="100">
        <v>9.07</v>
      </c>
      <c r="E22" s="100">
        <v>6.08</v>
      </c>
      <c r="F22" s="100">
        <v>10.49</v>
      </c>
      <c r="G22" s="100">
        <v>54.67</v>
      </c>
      <c r="H22" s="100">
        <v>28.06</v>
      </c>
      <c r="I22" s="100">
        <v>8.1300000000000008</v>
      </c>
      <c r="J22" s="100">
        <v>3.55</v>
      </c>
      <c r="K22" s="100">
        <v>190.09</v>
      </c>
      <c r="L22" s="100">
        <v>33.869999999999997</v>
      </c>
      <c r="M22" s="100">
        <v>43.27</v>
      </c>
      <c r="N22" s="100">
        <v>22.7</v>
      </c>
      <c r="O22" s="100">
        <v>0</v>
      </c>
      <c r="P22" s="100">
        <v>0.49</v>
      </c>
      <c r="Q22" s="100">
        <v>27.43</v>
      </c>
      <c r="R22" s="6"/>
      <c r="S22" s="6"/>
      <c r="T22" s="156"/>
      <c r="U22" s="6"/>
    </row>
    <row r="23" spans="1:21" customFormat="1">
      <c r="A23" s="163" t="s">
        <v>1214</v>
      </c>
      <c r="B23" s="100">
        <v>1.39</v>
      </c>
      <c r="C23" s="100">
        <v>15.23</v>
      </c>
      <c r="D23" s="100">
        <v>9.07</v>
      </c>
      <c r="E23" s="100">
        <v>6.2</v>
      </c>
      <c r="F23" s="100">
        <v>7.93</v>
      </c>
      <c r="G23" s="100">
        <v>54.67</v>
      </c>
      <c r="H23" s="100">
        <v>28.06</v>
      </c>
      <c r="I23" s="100">
        <v>8.61</v>
      </c>
      <c r="J23" s="100">
        <v>3.22</v>
      </c>
      <c r="K23" s="100">
        <v>195.94</v>
      </c>
      <c r="L23" s="100">
        <v>33.770000000000003</v>
      </c>
      <c r="M23" s="100">
        <v>43.88</v>
      </c>
      <c r="N23" s="100">
        <v>22.8</v>
      </c>
      <c r="O23" s="100">
        <v>0</v>
      </c>
      <c r="P23" s="100">
        <v>0.5</v>
      </c>
      <c r="Q23" s="100">
        <v>27.58</v>
      </c>
      <c r="R23" s="6"/>
      <c r="S23" s="6"/>
      <c r="T23" s="156"/>
      <c r="U23" s="6"/>
    </row>
    <row r="24" spans="1:21" customFormat="1">
      <c r="A24" s="163" t="s">
        <v>1215</v>
      </c>
      <c r="B24" s="100">
        <v>1.39</v>
      </c>
      <c r="C24" s="100">
        <v>15.23</v>
      </c>
      <c r="D24" s="100">
        <v>9.07</v>
      </c>
      <c r="E24" s="100">
        <v>6.11</v>
      </c>
      <c r="F24" s="100">
        <v>6.12</v>
      </c>
      <c r="G24" s="100">
        <v>54.93</v>
      </c>
      <c r="H24" s="100">
        <v>28.33</v>
      </c>
      <c r="I24" s="100">
        <v>8.34</v>
      </c>
      <c r="J24" s="100">
        <v>3.31</v>
      </c>
      <c r="K24" s="100">
        <v>199.63</v>
      </c>
      <c r="L24" s="100">
        <v>33.700000000000003</v>
      </c>
      <c r="M24" s="100">
        <v>44.1</v>
      </c>
      <c r="N24" s="100">
        <v>22.7</v>
      </c>
      <c r="O24" s="100">
        <v>0</v>
      </c>
      <c r="P24" s="100">
        <v>0.5</v>
      </c>
      <c r="Q24" s="100">
        <v>27.4</v>
      </c>
      <c r="R24" s="6"/>
      <c r="S24" s="6"/>
      <c r="T24" s="156"/>
      <c r="U24" s="6"/>
    </row>
    <row r="25" spans="1:21" customFormat="1">
      <c r="A25" s="163" t="s">
        <v>1216</v>
      </c>
      <c r="B25" s="100">
        <v>1.39</v>
      </c>
      <c r="C25" s="100">
        <v>15.23</v>
      </c>
      <c r="D25" s="100">
        <v>9.07</v>
      </c>
      <c r="E25" s="100">
        <v>6.48</v>
      </c>
      <c r="F25" s="100">
        <v>5.31</v>
      </c>
      <c r="G25" s="100">
        <v>55.92</v>
      </c>
      <c r="H25" s="100">
        <v>29.33</v>
      </c>
      <c r="I25" s="100">
        <v>8.3699999999999992</v>
      </c>
      <c r="J25" s="100">
        <v>3.36</v>
      </c>
      <c r="K25" s="100">
        <v>192.13</v>
      </c>
      <c r="L25" s="100">
        <v>33.79</v>
      </c>
      <c r="M25" s="100">
        <v>43.59</v>
      </c>
      <c r="N25" s="100">
        <v>22.8</v>
      </c>
      <c r="O25" s="100">
        <v>0</v>
      </c>
      <c r="P25" s="100">
        <v>0.49</v>
      </c>
      <c r="Q25" s="100">
        <v>27.47</v>
      </c>
      <c r="R25" s="6"/>
      <c r="S25" s="6"/>
      <c r="T25" s="156"/>
      <c r="U25" s="6"/>
    </row>
    <row r="26" spans="1:21" customFormat="1">
      <c r="A26" s="163" t="s">
        <v>1217</v>
      </c>
      <c r="B26" s="100">
        <v>1.39</v>
      </c>
      <c r="C26" s="100">
        <v>15.23</v>
      </c>
      <c r="D26" s="100">
        <v>9.07</v>
      </c>
      <c r="E26" s="100">
        <v>6.5</v>
      </c>
      <c r="F26" s="100">
        <v>4.17</v>
      </c>
      <c r="G26" s="100">
        <v>55.92</v>
      </c>
      <c r="H26" s="100">
        <v>29.33</v>
      </c>
      <c r="I26" s="100">
        <v>8.67</v>
      </c>
      <c r="J26" s="100">
        <v>4.2</v>
      </c>
      <c r="K26" s="100">
        <v>254.25</v>
      </c>
      <c r="L26" s="100">
        <v>33.479999999999997</v>
      </c>
      <c r="M26" s="100">
        <v>44.59</v>
      </c>
      <c r="N26" s="100">
        <v>22.9</v>
      </c>
      <c r="O26" s="100">
        <v>0</v>
      </c>
      <c r="P26" s="100">
        <v>0.49</v>
      </c>
      <c r="Q26" s="100">
        <v>27.76</v>
      </c>
      <c r="R26" s="6"/>
      <c r="S26" s="6"/>
      <c r="T26" s="156"/>
      <c r="U26" s="6"/>
    </row>
    <row r="27" spans="1:21" customFormat="1">
      <c r="A27" s="163" t="s">
        <v>1218</v>
      </c>
      <c r="B27" s="100">
        <v>1.39</v>
      </c>
      <c r="C27" s="100">
        <v>15.23</v>
      </c>
      <c r="D27" s="100">
        <v>9.07</v>
      </c>
      <c r="E27" s="100">
        <v>6.58</v>
      </c>
      <c r="F27" s="100">
        <v>3.46</v>
      </c>
      <c r="G27" s="100">
        <v>55.92</v>
      </c>
      <c r="H27" s="100">
        <v>29.33</v>
      </c>
      <c r="I27" s="100">
        <v>8.61</v>
      </c>
      <c r="J27" s="100">
        <v>3.77</v>
      </c>
      <c r="K27" s="100">
        <v>248.9</v>
      </c>
      <c r="L27" s="100">
        <v>32.78</v>
      </c>
      <c r="M27" s="100">
        <v>47.07</v>
      </c>
      <c r="N27" s="100">
        <v>23.3</v>
      </c>
      <c r="O27" s="100">
        <v>0</v>
      </c>
      <c r="P27" s="100">
        <v>0.48</v>
      </c>
      <c r="Q27" s="100">
        <v>27.69</v>
      </c>
      <c r="R27" s="6"/>
      <c r="S27" s="6"/>
      <c r="T27" s="156"/>
      <c r="U27" s="6"/>
    </row>
    <row r="28" spans="1:21" customFormat="1">
      <c r="A28" s="163" t="s">
        <v>1219</v>
      </c>
      <c r="B28" s="100">
        <v>1.39</v>
      </c>
      <c r="C28" s="100">
        <v>15.23</v>
      </c>
      <c r="D28" s="100">
        <v>9.07</v>
      </c>
      <c r="E28" s="100">
        <v>6.41</v>
      </c>
      <c r="F28" s="100">
        <v>4.0199999999999996</v>
      </c>
      <c r="G28" s="100">
        <v>56.56</v>
      </c>
      <c r="H28" s="100">
        <v>29.34</v>
      </c>
      <c r="I28" s="100">
        <v>8.65</v>
      </c>
      <c r="J28" s="100">
        <v>2.42</v>
      </c>
      <c r="K28" s="100">
        <v>229.94</v>
      </c>
      <c r="L28" s="100">
        <v>32.64</v>
      </c>
      <c r="M28" s="100">
        <v>47.83</v>
      </c>
      <c r="N28" s="100">
        <v>22.9</v>
      </c>
      <c r="O28" s="100">
        <v>0</v>
      </c>
      <c r="P28" s="100">
        <v>0.48</v>
      </c>
      <c r="Q28" s="100">
        <v>27.88</v>
      </c>
      <c r="R28" s="6"/>
      <c r="S28" s="6"/>
      <c r="T28" s="156"/>
      <c r="U28" s="6"/>
    </row>
    <row r="29" spans="1:21" customFormat="1">
      <c r="A29" s="163" t="s">
        <v>1220</v>
      </c>
      <c r="B29" s="100">
        <v>1.39</v>
      </c>
      <c r="C29" s="100">
        <v>15.23</v>
      </c>
      <c r="D29" s="100">
        <v>9.07</v>
      </c>
      <c r="E29" s="100">
        <v>6.16</v>
      </c>
      <c r="F29" s="100">
        <v>5.84</v>
      </c>
      <c r="G29" s="100">
        <v>58.92</v>
      </c>
      <c r="H29" s="100">
        <v>29.41</v>
      </c>
      <c r="I29" s="100">
        <v>8.64</v>
      </c>
      <c r="J29" s="100">
        <v>1.44</v>
      </c>
      <c r="K29" s="100">
        <v>108.52</v>
      </c>
      <c r="L29" s="100">
        <v>32.619999999999997</v>
      </c>
      <c r="M29" s="100">
        <v>48.93</v>
      </c>
      <c r="N29" s="100">
        <v>23</v>
      </c>
      <c r="O29" s="100">
        <v>0</v>
      </c>
      <c r="P29" s="100">
        <v>0.4</v>
      </c>
      <c r="Q29" s="100">
        <v>27.68</v>
      </c>
      <c r="R29" s="6"/>
      <c r="S29" s="6"/>
      <c r="T29" s="156"/>
      <c r="U29" s="6"/>
    </row>
    <row r="30" spans="1:21" customFormat="1">
      <c r="A30" s="163" t="s">
        <v>1221</v>
      </c>
      <c r="B30" s="100">
        <v>1.39</v>
      </c>
      <c r="C30" s="100">
        <v>15.23</v>
      </c>
      <c r="D30" s="100">
        <v>9.07</v>
      </c>
      <c r="E30" s="100">
        <v>7.43</v>
      </c>
      <c r="F30" s="100">
        <v>5.35</v>
      </c>
      <c r="G30" s="100">
        <v>58.92</v>
      </c>
      <c r="H30" s="100">
        <v>29.41</v>
      </c>
      <c r="I30" s="100">
        <v>8.5500000000000007</v>
      </c>
      <c r="J30" s="100">
        <v>2.13</v>
      </c>
      <c r="K30" s="100">
        <v>194.51</v>
      </c>
      <c r="L30" s="100">
        <v>32.67</v>
      </c>
      <c r="M30" s="100">
        <v>48.34</v>
      </c>
      <c r="N30" s="100">
        <v>25.3</v>
      </c>
      <c r="O30" s="100">
        <v>0</v>
      </c>
      <c r="P30" s="100">
        <v>0.43</v>
      </c>
      <c r="Q30" s="100">
        <v>27.74</v>
      </c>
      <c r="R30" s="6"/>
      <c r="S30" s="6"/>
      <c r="T30" s="156"/>
      <c r="U30" s="6"/>
    </row>
    <row r="31" spans="1:21" customFormat="1">
      <c r="A31" s="163" t="s">
        <v>1222</v>
      </c>
      <c r="B31" s="100">
        <v>1.39</v>
      </c>
      <c r="C31" s="100">
        <v>15.23</v>
      </c>
      <c r="D31" s="100">
        <v>9.07</v>
      </c>
      <c r="E31" s="100">
        <v>7.65</v>
      </c>
      <c r="F31" s="100">
        <v>3.48</v>
      </c>
      <c r="G31" s="100">
        <v>58.92</v>
      </c>
      <c r="H31" s="100">
        <v>29.41</v>
      </c>
      <c r="I31" s="100">
        <v>9.18</v>
      </c>
      <c r="J31" s="100">
        <v>1.17</v>
      </c>
      <c r="K31" s="100">
        <v>2.68</v>
      </c>
      <c r="L31" s="100">
        <v>32.869999999999997</v>
      </c>
      <c r="M31" s="100">
        <v>48.23</v>
      </c>
      <c r="N31" s="100">
        <v>33.5</v>
      </c>
      <c r="O31" s="100">
        <v>0</v>
      </c>
      <c r="P31" s="100">
        <v>0.45</v>
      </c>
      <c r="Q31" s="100">
        <v>27.4</v>
      </c>
      <c r="R31" s="6"/>
      <c r="S31" s="6"/>
      <c r="T31" s="156"/>
      <c r="U31" s="6"/>
    </row>
    <row r="32" spans="1:21" customFormat="1">
      <c r="A32" s="163" t="s">
        <v>1223</v>
      </c>
      <c r="B32" s="100">
        <v>1.39</v>
      </c>
      <c r="C32" s="100">
        <v>15.23</v>
      </c>
      <c r="D32" s="100">
        <v>9.07</v>
      </c>
      <c r="E32" s="100">
        <v>7.54</v>
      </c>
      <c r="F32" s="100">
        <v>3.42</v>
      </c>
      <c r="G32" s="100">
        <v>59.64</v>
      </c>
      <c r="H32" s="100">
        <v>29.3</v>
      </c>
      <c r="I32" s="100">
        <v>10.38</v>
      </c>
      <c r="J32" s="100">
        <v>2.16</v>
      </c>
      <c r="K32" s="100">
        <v>145.69</v>
      </c>
      <c r="L32" s="100">
        <v>32.61</v>
      </c>
      <c r="M32" s="100">
        <v>49.46</v>
      </c>
      <c r="N32" s="100">
        <v>44.7</v>
      </c>
      <c r="O32" s="100">
        <v>0</v>
      </c>
      <c r="P32" s="100">
        <v>0.47</v>
      </c>
      <c r="Q32" s="100">
        <v>27.08</v>
      </c>
      <c r="R32" s="6"/>
      <c r="S32" s="6"/>
      <c r="T32" s="156"/>
      <c r="U32" s="6"/>
    </row>
    <row r="33" spans="1:21" customFormat="1">
      <c r="A33" s="163" t="s">
        <v>1224</v>
      </c>
      <c r="B33" s="100">
        <v>1.39</v>
      </c>
      <c r="C33" s="100">
        <v>15.23</v>
      </c>
      <c r="D33" s="100">
        <v>9.07</v>
      </c>
      <c r="E33" s="100">
        <v>7.34</v>
      </c>
      <c r="F33" s="100">
        <v>4.53</v>
      </c>
      <c r="G33" s="100">
        <v>62.33</v>
      </c>
      <c r="H33" s="100">
        <v>28.9</v>
      </c>
      <c r="I33" s="100">
        <v>10.72</v>
      </c>
      <c r="J33" s="100">
        <v>2.4900000000000002</v>
      </c>
      <c r="K33" s="100">
        <v>226.04</v>
      </c>
      <c r="L33" s="100">
        <v>32.770000000000003</v>
      </c>
      <c r="M33" s="100">
        <v>48.14</v>
      </c>
      <c r="N33" s="100">
        <v>54.4</v>
      </c>
      <c r="O33" s="100">
        <v>0</v>
      </c>
      <c r="P33" s="100">
        <v>0.53</v>
      </c>
      <c r="Q33" s="100">
        <v>27.16</v>
      </c>
      <c r="R33" s="6"/>
      <c r="S33" s="6"/>
      <c r="T33" s="156"/>
      <c r="U33" s="6"/>
    </row>
    <row r="34" spans="1:21" customFormat="1">
      <c r="A34" s="163" t="s">
        <v>1225</v>
      </c>
      <c r="B34" s="100">
        <v>1.39</v>
      </c>
      <c r="C34" s="100">
        <v>15.23</v>
      </c>
      <c r="D34" s="100">
        <v>9.07</v>
      </c>
      <c r="E34" s="100">
        <v>7.19</v>
      </c>
      <c r="F34" s="100">
        <v>5.48</v>
      </c>
      <c r="G34" s="100">
        <v>62.33</v>
      </c>
      <c r="H34" s="100">
        <v>28.9</v>
      </c>
      <c r="I34" s="100">
        <v>10.87</v>
      </c>
      <c r="J34" s="100">
        <v>1.1599999999999999</v>
      </c>
      <c r="K34" s="100">
        <v>224.11</v>
      </c>
      <c r="L34" s="100">
        <v>33.21</v>
      </c>
      <c r="M34" s="100">
        <v>47.24</v>
      </c>
      <c r="N34" s="100">
        <v>68.400000000000006</v>
      </c>
      <c r="O34" s="100">
        <v>0</v>
      </c>
      <c r="P34" s="100">
        <v>0.49</v>
      </c>
      <c r="Q34" s="100">
        <v>27.33</v>
      </c>
      <c r="R34" s="6"/>
      <c r="S34" s="6"/>
      <c r="T34" s="156"/>
      <c r="U34" s="6"/>
    </row>
    <row r="35" spans="1:21" customFormat="1">
      <c r="A35" s="163" t="s">
        <v>1226</v>
      </c>
      <c r="B35" s="100">
        <v>1.39</v>
      </c>
      <c r="C35" s="100">
        <v>15.23</v>
      </c>
      <c r="D35" s="100">
        <v>9.07</v>
      </c>
      <c r="E35" s="100">
        <v>7.74</v>
      </c>
      <c r="F35" s="100">
        <v>6.47</v>
      </c>
      <c r="G35" s="100">
        <v>62.33</v>
      </c>
      <c r="H35" s="100">
        <v>28.9</v>
      </c>
      <c r="I35" s="100">
        <v>11.37</v>
      </c>
      <c r="J35" s="100">
        <v>4.1900000000000004</v>
      </c>
      <c r="K35" s="100">
        <v>248.16</v>
      </c>
      <c r="L35" s="100">
        <v>33.4</v>
      </c>
      <c r="M35" s="100">
        <v>45.79</v>
      </c>
      <c r="N35" s="100">
        <v>81.2</v>
      </c>
      <c r="O35" s="100">
        <v>0</v>
      </c>
      <c r="P35" s="100">
        <v>0.47</v>
      </c>
      <c r="Q35" s="100">
        <v>27.39</v>
      </c>
      <c r="R35" s="6"/>
      <c r="S35" s="6"/>
      <c r="T35" s="156"/>
      <c r="U35" s="6"/>
    </row>
    <row r="36" spans="1:21" customFormat="1">
      <c r="A36" s="163" t="s">
        <v>1227</v>
      </c>
      <c r="B36" s="100">
        <v>1.39</v>
      </c>
      <c r="C36" s="100">
        <v>15.23</v>
      </c>
      <c r="D36" s="100">
        <v>9.07</v>
      </c>
      <c r="E36" s="100">
        <v>7.33</v>
      </c>
      <c r="F36" s="100">
        <v>4.21</v>
      </c>
      <c r="G36" s="100">
        <v>64.36</v>
      </c>
      <c r="H36" s="100">
        <v>29.36</v>
      </c>
      <c r="I36" s="100">
        <v>11.67</v>
      </c>
      <c r="J36" s="100">
        <v>4.71</v>
      </c>
      <c r="K36" s="100">
        <v>236.67</v>
      </c>
      <c r="L36" s="100">
        <v>33.18</v>
      </c>
      <c r="M36" s="100">
        <v>47.47</v>
      </c>
      <c r="N36" s="100">
        <v>111.2</v>
      </c>
      <c r="O36" s="100">
        <v>0</v>
      </c>
      <c r="P36" s="100">
        <v>0.47</v>
      </c>
      <c r="Q36" s="100">
        <v>27.27</v>
      </c>
      <c r="R36" s="6"/>
      <c r="S36" s="6"/>
      <c r="T36" s="156"/>
      <c r="U36" s="6"/>
    </row>
    <row r="37" spans="1:21" customFormat="1">
      <c r="A37" s="163" t="s">
        <v>1228</v>
      </c>
      <c r="B37" s="100">
        <v>1.39</v>
      </c>
      <c r="C37" s="100">
        <v>15.23</v>
      </c>
      <c r="D37" s="100">
        <v>9.07</v>
      </c>
      <c r="E37" s="100">
        <v>7.23</v>
      </c>
      <c r="F37" s="100">
        <v>3.18</v>
      </c>
      <c r="G37" s="100">
        <v>71.959999999999994</v>
      </c>
      <c r="H37" s="100">
        <v>31.08</v>
      </c>
      <c r="I37" s="100">
        <v>11.55</v>
      </c>
      <c r="J37" s="100">
        <v>4.8600000000000003</v>
      </c>
      <c r="K37" s="100">
        <v>239.82</v>
      </c>
      <c r="L37" s="100">
        <v>33.229999999999997</v>
      </c>
      <c r="M37" s="100">
        <v>48.54</v>
      </c>
      <c r="N37" s="100">
        <v>134.9</v>
      </c>
      <c r="O37" s="100">
        <v>0</v>
      </c>
      <c r="P37" s="100">
        <v>0.47</v>
      </c>
      <c r="Q37" s="100">
        <v>27.08</v>
      </c>
      <c r="R37" s="6"/>
      <c r="S37" s="6"/>
      <c r="T37" s="156"/>
      <c r="U37" s="6"/>
    </row>
    <row r="38" spans="1:21" customFormat="1">
      <c r="A38" s="163" t="s">
        <v>1229</v>
      </c>
      <c r="B38" s="100">
        <v>1.39</v>
      </c>
      <c r="C38" s="100">
        <v>15.23</v>
      </c>
      <c r="D38" s="100">
        <v>9.07</v>
      </c>
      <c r="E38" s="100">
        <v>7.08</v>
      </c>
      <c r="F38" s="100">
        <v>3.98</v>
      </c>
      <c r="G38" s="100">
        <v>71.959999999999994</v>
      </c>
      <c r="H38" s="100">
        <v>31.08</v>
      </c>
      <c r="I38" s="100">
        <v>11.44</v>
      </c>
      <c r="J38" s="100">
        <v>4.2300000000000004</v>
      </c>
      <c r="K38" s="100">
        <v>246.25</v>
      </c>
      <c r="L38" s="100">
        <v>33.69</v>
      </c>
      <c r="M38" s="100">
        <v>48.3</v>
      </c>
      <c r="N38" s="100">
        <v>124.4</v>
      </c>
      <c r="O38" s="100">
        <v>0</v>
      </c>
      <c r="P38" s="100">
        <v>0.47</v>
      </c>
      <c r="Q38" s="100">
        <v>27.12</v>
      </c>
      <c r="R38" s="6"/>
      <c r="S38" s="6"/>
      <c r="T38" s="156"/>
      <c r="U38" s="6"/>
    </row>
    <row r="39" spans="1:21" customFormat="1">
      <c r="A39" s="163" t="s">
        <v>1230</v>
      </c>
      <c r="B39" s="100">
        <v>1.39</v>
      </c>
      <c r="C39" s="100">
        <v>15.23</v>
      </c>
      <c r="D39" s="100">
        <v>9.07</v>
      </c>
      <c r="E39" s="100">
        <v>7.16</v>
      </c>
      <c r="F39" s="100">
        <v>4.07</v>
      </c>
      <c r="G39" s="100">
        <v>71.959999999999994</v>
      </c>
      <c r="H39" s="100">
        <v>31.08</v>
      </c>
      <c r="I39" s="100">
        <v>11.7</v>
      </c>
      <c r="J39" s="100">
        <v>4.9800000000000004</v>
      </c>
      <c r="K39" s="100">
        <v>235.78</v>
      </c>
      <c r="L39" s="100">
        <v>34.14</v>
      </c>
      <c r="M39" s="100">
        <v>47.36</v>
      </c>
      <c r="N39" s="100">
        <v>129.4</v>
      </c>
      <c r="O39" s="100">
        <v>0</v>
      </c>
      <c r="P39" s="100">
        <v>0.48</v>
      </c>
      <c r="Q39" s="100">
        <v>27.22</v>
      </c>
      <c r="R39" s="6"/>
      <c r="S39" s="6"/>
      <c r="T39" s="156"/>
      <c r="U39" s="6"/>
    </row>
    <row r="40" spans="1:21" customFormat="1">
      <c r="A40" s="163" t="s">
        <v>1231</v>
      </c>
      <c r="B40" s="100">
        <v>1.39</v>
      </c>
      <c r="C40" s="100">
        <v>15.23</v>
      </c>
      <c r="D40" s="100">
        <v>9.07</v>
      </c>
      <c r="E40" s="100">
        <v>7.38</v>
      </c>
      <c r="F40" s="100">
        <v>4.6100000000000003</v>
      </c>
      <c r="G40" s="100">
        <v>71.569999999999993</v>
      </c>
      <c r="H40" s="100">
        <v>30.97</v>
      </c>
      <c r="I40" s="100">
        <v>12.2</v>
      </c>
      <c r="J40" s="100">
        <v>4.78</v>
      </c>
      <c r="K40" s="100">
        <v>238.51</v>
      </c>
      <c r="L40" s="100">
        <v>34.659999999999997</v>
      </c>
      <c r="M40" s="100">
        <v>45.72</v>
      </c>
      <c r="N40" s="100">
        <v>272.2</v>
      </c>
      <c r="O40" s="100">
        <v>0</v>
      </c>
      <c r="P40" s="100">
        <v>0.47</v>
      </c>
      <c r="Q40" s="100">
        <v>27.56</v>
      </c>
      <c r="R40" s="6"/>
      <c r="S40" s="6"/>
      <c r="T40" s="156"/>
      <c r="U40" s="6"/>
    </row>
    <row r="41" spans="1:21" customFormat="1">
      <c r="A41" s="163" t="s">
        <v>1232</v>
      </c>
      <c r="B41" s="100">
        <v>1.39</v>
      </c>
      <c r="C41" s="100">
        <v>15.23</v>
      </c>
      <c r="D41" s="100">
        <v>9.07</v>
      </c>
      <c r="E41" s="100">
        <v>7.59</v>
      </c>
      <c r="F41" s="100">
        <v>4.83</v>
      </c>
      <c r="G41" s="100">
        <v>70.12</v>
      </c>
      <c r="H41" s="100">
        <v>30.53</v>
      </c>
      <c r="I41" s="100">
        <v>12.64</v>
      </c>
      <c r="J41" s="100">
        <v>4.04</v>
      </c>
      <c r="K41" s="100">
        <v>248.66</v>
      </c>
      <c r="L41" s="100">
        <v>35.54</v>
      </c>
      <c r="M41" s="100">
        <v>40.57</v>
      </c>
      <c r="N41" s="100">
        <v>374</v>
      </c>
      <c r="O41" s="100">
        <v>0</v>
      </c>
      <c r="P41" s="100">
        <v>0.47</v>
      </c>
      <c r="Q41" s="100">
        <v>27.39</v>
      </c>
      <c r="R41" s="6"/>
      <c r="S41" s="6"/>
      <c r="T41" s="156"/>
      <c r="U41" s="6"/>
    </row>
    <row r="42" spans="1:21" customFormat="1">
      <c r="A42" s="163" t="s">
        <v>1233</v>
      </c>
      <c r="B42" s="100">
        <v>1.39</v>
      </c>
      <c r="C42" s="100">
        <v>15.23</v>
      </c>
      <c r="D42" s="100">
        <v>9.07</v>
      </c>
      <c r="E42" s="100">
        <v>7.31</v>
      </c>
      <c r="F42" s="100">
        <v>8.51</v>
      </c>
      <c r="G42" s="100">
        <v>70.12</v>
      </c>
      <c r="H42" s="100">
        <v>30.53</v>
      </c>
      <c r="I42" s="100">
        <v>12.94</v>
      </c>
      <c r="J42" s="100">
        <v>3.58</v>
      </c>
      <c r="K42" s="100">
        <v>248.6</v>
      </c>
      <c r="L42" s="100">
        <v>36.96</v>
      </c>
      <c r="M42" s="100">
        <v>38.25</v>
      </c>
      <c r="N42" s="100">
        <v>310.10000000000002</v>
      </c>
      <c r="O42" s="100">
        <v>0</v>
      </c>
      <c r="P42" s="100">
        <v>0.48</v>
      </c>
      <c r="Q42" s="100">
        <v>27.35</v>
      </c>
      <c r="R42" s="6"/>
      <c r="S42" s="6"/>
      <c r="T42" s="156"/>
      <c r="U42" s="6"/>
    </row>
    <row r="43" spans="1:21" customFormat="1">
      <c r="A43" s="163" t="s">
        <v>1234</v>
      </c>
      <c r="B43" s="100">
        <v>1.39</v>
      </c>
      <c r="C43" s="100">
        <v>15.23</v>
      </c>
      <c r="D43" s="100">
        <v>9.07</v>
      </c>
      <c r="E43" s="100">
        <v>7.83</v>
      </c>
      <c r="F43" s="100">
        <v>19.09</v>
      </c>
      <c r="G43" s="100">
        <v>70.12</v>
      </c>
      <c r="H43" s="100">
        <v>30.53</v>
      </c>
      <c r="I43" s="100">
        <v>12.87</v>
      </c>
      <c r="J43" s="100">
        <v>3.07</v>
      </c>
      <c r="K43" s="100">
        <v>227.62</v>
      </c>
      <c r="L43" s="100">
        <v>39.979999999999997</v>
      </c>
      <c r="M43" s="100">
        <v>36.85</v>
      </c>
      <c r="N43" s="100">
        <v>340.4</v>
      </c>
      <c r="O43" s="100">
        <v>0</v>
      </c>
      <c r="P43" s="100">
        <v>0.46</v>
      </c>
      <c r="Q43" s="100">
        <v>27.87</v>
      </c>
      <c r="R43" s="6"/>
      <c r="S43" s="6"/>
      <c r="T43" s="156"/>
      <c r="U43" s="6"/>
    </row>
    <row r="44" spans="1:21" customFormat="1">
      <c r="A44" s="163" t="s">
        <v>1235</v>
      </c>
      <c r="B44" s="100">
        <v>1.39</v>
      </c>
      <c r="C44" s="100">
        <v>15.23</v>
      </c>
      <c r="D44" s="100">
        <v>9.07</v>
      </c>
      <c r="E44" s="100">
        <v>7.04</v>
      </c>
      <c r="F44" s="100">
        <v>21.55</v>
      </c>
      <c r="G44" s="100">
        <v>70</v>
      </c>
      <c r="H44" s="100">
        <v>30.39</v>
      </c>
      <c r="I44" s="100">
        <v>12.68</v>
      </c>
      <c r="J44" s="100">
        <v>2.6</v>
      </c>
      <c r="K44" s="100">
        <v>236.6</v>
      </c>
      <c r="L44" s="100">
        <v>38.44</v>
      </c>
      <c r="M44" s="100">
        <v>34.35</v>
      </c>
      <c r="N44" s="100">
        <v>252.7</v>
      </c>
      <c r="O44" s="100">
        <v>0</v>
      </c>
      <c r="P44" s="100">
        <v>0.47</v>
      </c>
      <c r="Q44" s="100">
        <v>28.21</v>
      </c>
      <c r="R44" s="6"/>
      <c r="S44" s="6"/>
      <c r="T44" s="156"/>
      <c r="U44" s="6"/>
    </row>
    <row r="45" spans="1:21" customFormat="1">
      <c r="A45" s="163" t="s">
        <v>1236</v>
      </c>
      <c r="B45" s="100">
        <v>1.39</v>
      </c>
      <c r="C45" s="100">
        <v>15.23</v>
      </c>
      <c r="D45" s="100">
        <v>9.07</v>
      </c>
      <c r="E45" s="100">
        <v>6.33</v>
      </c>
      <c r="F45" s="100">
        <v>17.21</v>
      </c>
      <c r="G45" s="100">
        <v>69.53</v>
      </c>
      <c r="H45" s="100">
        <v>29.86</v>
      </c>
      <c r="I45" s="100">
        <v>12.06</v>
      </c>
      <c r="J45" s="100">
        <v>3.93</v>
      </c>
      <c r="K45" s="100">
        <v>226.58</v>
      </c>
      <c r="L45" s="100">
        <v>38</v>
      </c>
      <c r="M45" s="100">
        <v>32.65</v>
      </c>
      <c r="N45" s="100">
        <v>205.6</v>
      </c>
      <c r="O45" s="100">
        <v>0</v>
      </c>
      <c r="P45" s="100">
        <v>0.47</v>
      </c>
      <c r="Q45" s="100">
        <v>28.14</v>
      </c>
      <c r="R45" s="6"/>
      <c r="S45" s="6"/>
      <c r="T45" s="156"/>
      <c r="U45" s="6"/>
    </row>
    <row r="46" spans="1:21" customFormat="1">
      <c r="A46" s="163" t="s">
        <v>1237</v>
      </c>
      <c r="B46" s="100">
        <v>1.39</v>
      </c>
      <c r="C46" s="100">
        <v>15.23</v>
      </c>
      <c r="D46" s="100">
        <v>9.07</v>
      </c>
      <c r="E46" s="100">
        <v>6.87</v>
      </c>
      <c r="F46" s="100">
        <v>9.92</v>
      </c>
      <c r="G46" s="100">
        <v>69.53</v>
      </c>
      <c r="H46" s="100">
        <v>29.86</v>
      </c>
      <c r="I46" s="100">
        <v>11.66</v>
      </c>
      <c r="J46" s="100">
        <v>3.68</v>
      </c>
      <c r="K46" s="100">
        <v>236.04</v>
      </c>
      <c r="L46" s="100">
        <v>38.25</v>
      </c>
      <c r="M46" s="100">
        <v>31.14</v>
      </c>
      <c r="N46" s="100">
        <v>310.8</v>
      </c>
      <c r="O46" s="100">
        <v>0</v>
      </c>
      <c r="P46" s="100">
        <v>0.48</v>
      </c>
      <c r="Q46" s="100">
        <v>28.25</v>
      </c>
      <c r="R46" s="6"/>
      <c r="S46" s="6"/>
      <c r="T46" s="156"/>
      <c r="U46" s="6"/>
    </row>
    <row r="47" spans="1:21" customFormat="1">
      <c r="A47" s="163" t="s">
        <v>1238</v>
      </c>
      <c r="B47" s="100">
        <v>1.39</v>
      </c>
      <c r="C47" s="100">
        <v>15.23</v>
      </c>
      <c r="D47" s="100">
        <v>9.07</v>
      </c>
      <c r="E47" s="100">
        <v>7.02</v>
      </c>
      <c r="F47" s="100">
        <v>17.48</v>
      </c>
      <c r="G47" s="100">
        <v>69.53</v>
      </c>
      <c r="H47" s="100">
        <v>29.86</v>
      </c>
      <c r="I47" s="100">
        <v>11.66</v>
      </c>
      <c r="J47" s="100">
        <v>3.68</v>
      </c>
      <c r="K47" s="100">
        <v>237.13</v>
      </c>
      <c r="L47" s="100">
        <v>38.58</v>
      </c>
      <c r="M47" s="100">
        <v>29.88</v>
      </c>
      <c r="N47" s="100">
        <v>585.70000000000005</v>
      </c>
      <c r="O47" s="100">
        <v>0</v>
      </c>
      <c r="P47" s="100">
        <v>0.46</v>
      </c>
      <c r="Q47" s="100">
        <v>28.2</v>
      </c>
      <c r="R47" s="6"/>
      <c r="S47" s="6"/>
      <c r="T47" s="156"/>
      <c r="U47" s="6"/>
    </row>
    <row r="48" spans="1:21" customFormat="1">
      <c r="A48" s="163" t="s">
        <v>1239</v>
      </c>
      <c r="B48" s="100">
        <v>1.39</v>
      </c>
      <c r="C48" s="100">
        <v>15.23</v>
      </c>
      <c r="D48" s="100">
        <v>9.07</v>
      </c>
      <c r="E48" s="100">
        <v>7.22</v>
      </c>
      <c r="F48" s="100">
        <v>14.12</v>
      </c>
      <c r="G48" s="100">
        <v>66.78</v>
      </c>
      <c r="H48" s="100">
        <v>28.89</v>
      </c>
      <c r="I48" s="100">
        <v>11.67</v>
      </c>
      <c r="J48" s="100">
        <v>4.18</v>
      </c>
      <c r="K48" s="100">
        <v>237.58</v>
      </c>
      <c r="L48" s="100">
        <v>38.96</v>
      </c>
      <c r="M48" s="100">
        <v>29.38</v>
      </c>
      <c r="N48" s="100">
        <v>672.6</v>
      </c>
      <c r="O48" s="100">
        <v>0</v>
      </c>
      <c r="P48" s="100">
        <v>0.46</v>
      </c>
      <c r="Q48" s="100">
        <v>28.41</v>
      </c>
      <c r="R48" s="6"/>
      <c r="S48" s="6"/>
      <c r="T48" s="156"/>
      <c r="U48" s="6"/>
    </row>
    <row r="49" spans="1:21" customFormat="1">
      <c r="A49" s="163" t="s">
        <v>1240</v>
      </c>
      <c r="B49" s="100">
        <v>1.39</v>
      </c>
      <c r="C49" s="100">
        <v>15.23</v>
      </c>
      <c r="D49" s="100">
        <v>9.07</v>
      </c>
      <c r="E49" s="100">
        <v>6.76</v>
      </c>
      <c r="F49" s="100">
        <v>10.72</v>
      </c>
      <c r="G49" s="100">
        <v>56.52</v>
      </c>
      <c r="H49" s="100">
        <v>25.27</v>
      </c>
      <c r="I49" s="100">
        <v>11.11</v>
      </c>
      <c r="J49" s="100">
        <v>4.4800000000000004</v>
      </c>
      <c r="K49" s="100">
        <v>239.63</v>
      </c>
      <c r="L49" s="100">
        <v>38.99</v>
      </c>
      <c r="M49" s="100">
        <v>29.18</v>
      </c>
      <c r="N49" s="100">
        <v>705.7</v>
      </c>
      <c r="O49" s="100">
        <v>0</v>
      </c>
      <c r="P49" s="100">
        <v>0.47</v>
      </c>
      <c r="Q49" s="100">
        <v>28.46</v>
      </c>
      <c r="R49" s="6"/>
      <c r="S49" s="6"/>
      <c r="T49" s="156"/>
      <c r="U49" s="6"/>
    </row>
    <row r="50" spans="1:21" customFormat="1">
      <c r="A50" s="163" t="s">
        <v>1241</v>
      </c>
      <c r="B50" s="100">
        <v>1.39</v>
      </c>
      <c r="C50" s="100">
        <v>15.23</v>
      </c>
      <c r="D50" s="100">
        <v>9.07</v>
      </c>
      <c r="E50" s="100">
        <v>7.06</v>
      </c>
      <c r="F50" s="100">
        <v>12.26</v>
      </c>
      <c r="G50" s="100">
        <v>56.52</v>
      </c>
      <c r="H50" s="100">
        <v>25.27</v>
      </c>
      <c r="I50" s="100">
        <v>10.78</v>
      </c>
      <c r="J50" s="100">
        <v>3.54</v>
      </c>
      <c r="K50" s="100">
        <v>253.51</v>
      </c>
      <c r="L50" s="100">
        <v>39.56</v>
      </c>
      <c r="M50" s="100">
        <v>29.03</v>
      </c>
      <c r="N50" s="100">
        <v>741.9</v>
      </c>
      <c r="O50" s="100">
        <v>0</v>
      </c>
      <c r="P50" s="100">
        <v>0.46</v>
      </c>
      <c r="Q50" s="100">
        <v>28.29</v>
      </c>
      <c r="R50" s="6"/>
      <c r="S50" s="6"/>
      <c r="T50" s="156"/>
      <c r="U50" s="6"/>
    </row>
    <row r="51" spans="1:21" customFormat="1">
      <c r="A51" s="163" t="s">
        <v>1242</v>
      </c>
      <c r="B51" s="100">
        <v>1.39</v>
      </c>
      <c r="C51" s="100">
        <v>15.23</v>
      </c>
      <c r="D51" s="100">
        <v>9.07</v>
      </c>
      <c r="E51" s="100">
        <v>7.61</v>
      </c>
      <c r="F51" s="100">
        <v>13.73</v>
      </c>
      <c r="G51" s="100">
        <v>56.52</v>
      </c>
      <c r="H51" s="100">
        <v>25.27</v>
      </c>
      <c r="I51" s="100">
        <v>10.7</v>
      </c>
      <c r="J51" s="100">
        <v>2.98</v>
      </c>
      <c r="K51" s="100">
        <v>254.02</v>
      </c>
      <c r="L51" s="100">
        <v>40.049999999999997</v>
      </c>
      <c r="M51" s="100">
        <v>28.21</v>
      </c>
      <c r="N51" s="100">
        <v>767.6</v>
      </c>
      <c r="O51" s="100">
        <v>0</v>
      </c>
      <c r="P51" s="100">
        <v>0.45</v>
      </c>
      <c r="Q51" s="100">
        <v>28.41</v>
      </c>
      <c r="R51" s="6"/>
      <c r="S51" s="6"/>
      <c r="T51" s="156"/>
      <c r="U51" s="6"/>
    </row>
    <row r="52" spans="1:21" customFormat="1">
      <c r="A52" s="163" t="s">
        <v>1243</v>
      </c>
      <c r="B52" s="100">
        <v>1.39</v>
      </c>
      <c r="C52" s="100">
        <v>15.23</v>
      </c>
      <c r="D52" s="100">
        <v>9.07</v>
      </c>
      <c r="E52" s="100">
        <v>8.01</v>
      </c>
      <c r="F52" s="100">
        <v>20.2</v>
      </c>
      <c r="G52" s="100">
        <v>53.78</v>
      </c>
      <c r="H52" s="100">
        <v>24.25</v>
      </c>
      <c r="I52" s="100">
        <v>10.48</v>
      </c>
      <c r="J52" s="100">
        <v>2.57</v>
      </c>
      <c r="K52" s="100">
        <v>239.47</v>
      </c>
      <c r="L52" s="100">
        <v>40.700000000000003</v>
      </c>
      <c r="M52" s="100">
        <v>26.97</v>
      </c>
      <c r="N52" s="100">
        <v>791.5</v>
      </c>
      <c r="O52" s="100">
        <v>0</v>
      </c>
      <c r="P52" s="100">
        <v>0.43</v>
      </c>
      <c r="Q52" s="100">
        <v>28.8</v>
      </c>
      <c r="R52" s="6"/>
      <c r="S52" s="6"/>
      <c r="T52" s="156"/>
      <c r="U52" s="6"/>
    </row>
    <row r="53" spans="1:21" customFormat="1">
      <c r="A53" s="163" t="s">
        <v>1244</v>
      </c>
      <c r="B53" s="100">
        <v>1.39</v>
      </c>
      <c r="C53" s="100">
        <v>15.23</v>
      </c>
      <c r="D53" s="100">
        <v>9.07</v>
      </c>
      <c r="E53" s="100">
        <v>5.72</v>
      </c>
      <c r="F53" s="100">
        <v>13.33</v>
      </c>
      <c r="G53" s="100">
        <v>42.81</v>
      </c>
      <c r="H53" s="100">
        <v>20.45</v>
      </c>
      <c r="I53" s="100">
        <v>10.039999999999999</v>
      </c>
      <c r="J53" s="100">
        <v>4.57</v>
      </c>
      <c r="K53" s="100">
        <v>218.1</v>
      </c>
      <c r="L53" s="100">
        <v>40.98</v>
      </c>
      <c r="M53" s="100">
        <v>26.02</v>
      </c>
      <c r="N53" s="100">
        <v>798.3</v>
      </c>
      <c r="O53" s="100">
        <v>0</v>
      </c>
      <c r="P53" s="100">
        <v>0.45</v>
      </c>
      <c r="Q53" s="100">
        <v>28.75</v>
      </c>
      <c r="R53" s="6"/>
      <c r="S53" s="6"/>
      <c r="T53" s="156"/>
      <c r="U53" s="6"/>
    </row>
    <row r="54" spans="1:21" customFormat="1">
      <c r="A54" s="163" t="s">
        <v>1245</v>
      </c>
      <c r="B54" s="100">
        <v>1.39</v>
      </c>
      <c r="C54" s="100">
        <v>15.23</v>
      </c>
      <c r="D54" s="100">
        <v>9.07</v>
      </c>
      <c r="E54" s="100">
        <v>7.26</v>
      </c>
      <c r="F54" s="100">
        <v>16.77</v>
      </c>
      <c r="G54" s="100">
        <v>42.81</v>
      </c>
      <c r="H54" s="100">
        <v>20.45</v>
      </c>
      <c r="I54" s="100">
        <v>9.65</v>
      </c>
      <c r="J54" s="100">
        <v>4.13</v>
      </c>
      <c r="K54" s="100">
        <v>233.6</v>
      </c>
      <c r="L54" s="100">
        <v>41</v>
      </c>
      <c r="M54" s="100">
        <v>26.3</v>
      </c>
      <c r="N54" s="100">
        <v>819.9</v>
      </c>
      <c r="O54" s="100">
        <v>0</v>
      </c>
      <c r="P54" s="100">
        <v>0.46</v>
      </c>
      <c r="Q54" s="100">
        <v>28.96</v>
      </c>
      <c r="R54" s="6"/>
      <c r="S54" s="6"/>
      <c r="T54" s="156"/>
      <c r="U54" s="6"/>
    </row>
    <row r="55" spans="1:21" customFormat="1">
      <c r="A55" s="163" t="s">
        <v>1246</v>
      </c>
      <c r="B55" s="100">
        <v>1.39</v>
      </c>
      <c r="C55" s="100">
        <v>15.23</v>
      </c>
      <c r="D55" s="100">
        <v>9.07</v>
      </c>
      <c r="E55" s="100">
        <v>7.41</v>
      </c>
      <c r="F55" s="100">
        <v>26.82</v>
      </c>
      <c r="G55" s="100">
        <v>42.81</v>
      </c>
      <c r="H55" s="100">
        <v>20.45</v>
      </c>
      <c r="I55" s="100">
        <v>9.85</v>
      </c>
      <c r="J55" s="100">
        <v>3.98</v>
      </c>
      <c r="K55" s="100">
        <v>211.56</v>
      </c>
      <c r="L55" s="100">
        <v>41.32</v>
      </c>
      <c r="M55" s="100">
        <v>25.6</v>
      </c>
      <c r="N55" s="100">
        <v>842.8</v>
      </c>
      <c r="O55" s="100">
        <v>0</v>
      </c>
      <c r="P55" s="100">
        <v>0.45</v>
      </c>
      <c r="Q55" s="100">
        <v>29.04</v>
      </c>
      <c r="R55" s="6"/>
      <c r="S55" s="6"/>
      <c r="T55" s="156"/>
      <c r="U55" s="6"/>
    </row>
    <row r="56" spans="1:21" customFormat="1">
      <c r="A56" s="163" t="s">
        <v>1247</v>
      </c>
      <c r="B56" s="100">
        <v>1.39</v>
      </c>
      <c r="C56" s="100">
        <v>15.23</v>
      </c>
      <c r="D56" s="100">
        <v>9.07</v>
      </c>
      <c r="E56" s="100">
        <v>7.35</v>
      </c>
      <c r="F56" s="100">
        <v>34.57</v>
      </c>
      <c r="G56" s="100">
        <v>43.34</v>
      </c>
      <c r="H56" s="100">
        <v>21.37</v>
      </c>
      <c r="I56" s="100">
        <v>9.43</v>
      </c>
      <c r="J56" s="100">
        <v>3.54</v>
      </c>
      <c r="K56" s="100">
        <v>210.69</v>
      </c>
      <c r="L56" s="100">
        <v>42.5</v>
      </c>
      <c r="M56" s="100">
        <v>24.81</v>
      </c>
      <c r="N56" s="100">
        <v>846.2</v>
      </c>
      <c r="O56" s="100">
        <v>0</v>
      </c>
      <c r="P56" s="100">
        <v>0.44</v>
      </c>
      <c r="Q56" s="100">
        <v>28.95</v>
      </c>
      <c r="R56" s="6"/>
      <c r="S56" s="6"/>
      <c r="T56" s="156"/>
      <c r="U56" s="6"/>
    </row>
    <row r="57" spans="1:21" customFormat="1">
      <c r="A57" s="163" t="s">
        <v>1248</v>
      </c>
      <c r="B57" s="100">
        <v>1.39</v>
      </c>
      <c r="C57" s="100">
        <v>15.23</v>
      </c>
      <c r="D57" s="100">
        <v>9.07</v>
      </c>
      <c r="E57" s="100">
        <v>6.56</v>
      </c>
      <c r="F57" s="100">
        <v>31.13</v>
      </c>
      <c r="G57" s="100">
        <v>45.32</v>
      </c>
      <c r="H57" s="100">
        <v>24.81</v>
      </c>
      <c r="I57" s="100">
        <v>8.98</v>
      </c>
      <c r="J57" s="100">
        <v>3.64</v>
      </c>
      <c r="K57" s="100">
        <v>224.83</v>
      </c>
      <c r="L57" s="100">
        <v>42.65</v>
      </c>
      <c r="M57" s="100">
        <v>24.15</v>
      </c>
      <c r="N57" s="100">
        <v>865.1</v>
      </c>
      <c r="O57" s="100">
        <v>0</v>
      </c>
      <c r="P57" s="100">
        <v>0.45</v>
      </c>
      <c r="Q57" s="100">
        <v>28.87</v>
      </c>
      <c r="R57" s="6"/>
      <c r="S57" s="6"/>
      <c r="T57" s="156"/>
      <c r="U57" s="6"/>
    </row>
    <row r="58" spans="1:21" customFormat="1">
      <c r="A58" s="163" t="s">
        <v>1249</v>
      </c>
      <c r="B58" s="100">
        <v>1.39</v>
      </c>
      <c r="C58" s="100">
        <v>15.23</v>
      </c>
      <c r="D58" s="100">
        <v>9.07</v>
      </c>
      <c r="E58" s="100">
        <v>6.68</v>
      </c>
      <c r="F58" s="100">
        <v>41.75</v>
      </c>
      <c r="G58" s="100">
        <v>45.32</v>
      </c>
      <c r="H58" s="100">
        <v>24.81</v>
      </c>
      <c r="I58" s="100">
        <v>8.42</v>
      </c>
      <c r="J58" s="100">
        <v>1.17</v>
      </c>
      <c r="K58" s="100">
        <v>209.9</v>
      </c>
      <c r="L58" s="100">
        <v>42.8</v>
      </c>
      <c r="M58" s="100">
        <v>23.48</v>
      </c>
      <c r="N58" s="100">
        <v>844.8</v>
      </c>
      <c r="O58" s="100">
        <v>0</v>
      </c>
      <c r="P58" s="100">
        <v>0.48</v>
      </c>
      <c r="Q58" s="100">
        <v>28.61</v>
      </c>
      <c r="R58" s="6"/>
      <c r="S58" s="6"/>
      <c r="T58" s="156"/>
      <c r="U58" s="6"/>
    </row>
    <row r="59" spans="1:21" customFormat="1">
      <c r="A59" s="163" t="s">
        <v>1250</v>
      </c>
      <c r="B59" s="100">
        <v>1.39</v>
      </c>
      <c r="C59" s="100">
        <v>15.23</v>
      </c>
      <c r="D59" s="100">
        <v>9.07</v>
      </c>
      <c r="E59" s="100">
        <v>6.95</v>
      </c>
      <c r="F59" s="100">
        <v>30.95</v>
      </c>
      <c r="G59" s="100">
        <v>45.32</v>
      </c>
      <c r="H59" s="100">
        <v>24.81</v>
      </c>
      <c r="I59" s="100">
        <v>8.6999999999999993</v>
      </c>
      <c r="J59" s="100">
        <v>1.03</v>
      </c>
      <c r="K59" s="100">
        <v>219.3</v>
      </c>
      <c r="L59" s="100">
        <v>43.72</v>
      </c>
      <c r="M59" s="100">
        <v>22.75</v>
      </c>
      <c r="N59" s="100">
        <v>829.6</v>
      </c>
      <c r="O59" s="100">
        <v>0</v>
      </c>
      <c r="P59" s="100">
        <v>0.53</v>
      </c>
      <c r="Q59" s="100">
        <v>28.59</v>
      </c>
      <c r="R59" s="6"/>
      <c r="S59" s="6"/>
      <c r="T59" s="156"/>
      <c r="U59" s="6"/>
    </row>
    <row r="60" spans="1:21" customFormat="1">
      <c r="A60" s="163" t="s">
        <v>1251</v>
      </c>
      <c r="B60" s="100">
        <v>1.39</v>
      </c>
      <c r="C60" s="100">
        <v>15.23</v>
      </c>
      <c r="D60" s="100">
        <v>9.07</v>
      </c>
      <c r="E60" s="100">
        <v>6.75</v>
      </c>
      <c r="F60" s="100">
        <v>31.58</v>
      </c>
      <c r="G60" s="100">
        <v>45.74</v>
      </c>
      <c r="H60" s="100">
        <v>25.37</v>
      </c>
      <c r="I60" s="100">
        <v>9.07</v>
      </c>
      <c r="J60" s="100">
        <v>4.43</v>
      </c>
      <c r="K60" s="100">
        <v>228.66</v>
      </c>
      <c r="L60" s="100">
        <v>42.93</v>
      </c>
      <c r="M60" s="100">
        <v>23.62</v>
      </c>
      <c r="N60" s="100">
        <v>794.2</v>
      </c>
      <c r="O60" s="100">
        <v>0</v>
      </c>
      <c r="P60" s="100">
        <v>0.56000000000000005</v>
      </c>
      <c r="Q60" s="100">
        <v>28.51</v>
      </c>
      <c r="R60" s="6"/>
      <c r="S60" s="6"/>
      <c r="T60" s="156"/>
      <c r="U60" s="6"/>
    </row>
    <row r="61" spans="1:21" customFormat="1">
      <c r="A61" s="163" t="s">
        <v>1252</v>
      </c>
      <c r="B61" s="100">
        <v>1.39</v>
      </c>
      <c r="C61" s="100">
        <v>15.23</v>
      </c>
      <c r="D61" s="100">
        <v>9.07</v>
      </c>
      <c r="E61" s="100">
        <v>6.77</v>
      </c>
      <c r="F61" s="100">
        <v>33.82</v>
      </c>
      <c r="G61" s="100">
        <v>47.45</v>
      </c>
      <c r="H61" s="100">
        <v>27.49</v>
      </c>
      <c r="I61" s="100">
        <v>10.06</v>
      </c>
      <c r="J61" s="100">
        <v>4.16</v>
      </c>
      <c r="K61" s="100">
        <v>221.66</v>
      </c>
      <c r="L61" s="100">
        <v>43.25</v>
      </c>
      <c r="M61" s="100">
        <v>22.96</v>
      </c>
      <c r="N61" s="100">
        <v>696.9</v>
      </c>
      <c r="O61" s="100">
        <v>0</v>
      </c>
      <c r="P61" s="100">
        <v>0.57999999999999996</v>
      </c>
      <c r="Q61" s="100">
        <v>28.59</v>
      </c>
      <c r="R61" s="6"/>
      <c r="S61" s="6"/>
      <c r="T61" s="156"/>
      <c r="U61" s="6"/>
    </row>
    <row r="62" spans="1:21" customFormat="1">
      <c r="A62" s="163" t="s">
        <v>1253</v>
      </c>
      <c r="B62" s="100">
        <v>1.39</v>
      </c>
      <c r="C62" s="100">
        <v>15.23</v>
      </c>
      <c r="D62" s="100">
        <v>9.07</v>
      </c>
      <c r="E62" s="100">
        <v>6.58</v>
      </c>
      <c r="F62" s="100">
        <v>28.86</v>
      </c>
      <c r="G62" s="100">
        <v>47.45</v>
      </c>
      <c r="H62" s="100">
        <v>27.49</v>
      </c>
      <c r="I62" s="100">
        <v>11.14</v>
      </c>
      <c r="J62" s="100">
        <v>4.26</v>
      </c>
      <c r="K62" s="100">
        <v>233.43</v>
      </c>
      <c r="L62" s="100">
        <v>42.86</v>
      </c>
      <c r="M62" s="100">
        <v>23.47</v>
      </c>
      <c r="N62" s="100">
        <v>807.8</v>
      </c>
      <c r="O62" s="100">
        <v>0</v>
      </c>
      <c r="P62" s="100">
        <v>0.57999999999999996</v>
      </c>
      <c r="Q62" s="100">
        <v>28.55</v>
      </c>
      <c r="R62" s="6"/>
      <c r="S62" s="6"/>
      <c r="T62" s="156"/>
      <c r="U62" s="6"/>
    </row>
    <row r="63" spans="1:21" customFormat="1">
      <c r="A63" s="163" t="s">
        <v>1254</v>
      </c>
      <c r="B63" s="100">
        <v>1.39</v>
      </c>
      <c r="C63" s="100">
        <v>15.23</v>
      </c>
      <c r="D63" s="100">
        <v>9.07</v>
      </c>
      <c r="E63" s="100">
        <v>6.92</v>
      </c>
      <c r="F63" s="100">
        <v>16.22</v>
      </c>
      <c r="G63" s="100">
        <v>47.45</v>
      </c>
      <c r="H63" s="100">
        <v>27.49</v>
      </c>
      <c r="I63" s="100">
        <v>11.91</v>
      </c>
      <c r="J63" s="100">
        <v>4.26</v>
      </c>
      <c r="K63" s="100">
        <v>244.16</v>
      </c>
      <c r="L63" s="100">
        <v>43.19</v>
      </c>
      <c r="M63" s="100">
        <v>22.42</v>
      </c>
      <c r="N63" s="100">
        <v>512.4</v>
      </c>
      <c r="O63" s="100">
        <v>0</v>
      </c>
      <c r="P63" s="100">
        <v>0.56999999999999995</v>
      </c>
      <c r="Q63" s="100">
        <v>28.39</v>
      </c>
      <c r="R63" s="6"/>
      <c r="S63" s="6"/>
      <c r="T63" s="156"/>
      <c r="U63" s="6"/>
    </row>
    <row r="64" spans="1:21" customFormat="1">
      <c r="A64" s="163" t="s">
        <v>1255</v>
      </c>
      <c r="B64" s="100">
        <v>1.39</v>
      </c>
      <c r="C64" s="100">
        <v>15.23</v>
      </c>
      <c r="D64" s="100">
        <v>9.07</v>
      </c>
      <c r="E64" s="100">
        <v>7.85</v>
      </c>
      <c r="F64" s="100">
        <v>20.88</v>
      </c>
      <c r="G64" s="100">
        <v>47.01</v>
      </c>
      <c r="H64" s="100">
        <v>26.96</v>
      </c>
      <c r="I64" s="100">
        <v>11.74</v>
      </c>
      <c r="J64" s="100">
        <v>3.98</v>
      </c>
      <c r="K64" s="100">
        <v>250.53</v>
      </c>
      <c r="L64" s="100">
        <v>42.57</v>
      </c>
      <c r="M64" s="100">
        <v>22.84</v>
      </c>
      <c r="N64" s="100">
        <v>483.8</v>
      </c>
      <c r="O64" s="100">
        <v>0</v>
      </c>
      <c r="P64" s="100">
        <v>0.59</v>
      </c>
      <c r="Q64" s="100">
        <v>28.35</v>
      </c>
      <c r="R64" s="6"/>
      <c r="S64" s="6"/>
      <c r="T64" s="156"/>
      <c r="U64" s="6"/>
    </row>
    <row r="65" spans="1:21" customFormat="1">
      <c r="A65" s="163" t="s">
        <v>1256</v>
      </c>
      <c r="B65" s="100">
        <v>1.39</v>
      </c>
      <c r="C65" s="100">
        <v>15.23</v>
      </c>
      <c r="D65" s="100">
        <v>9.07</v>
      </c>
      <c r="E65" s="100">
        <v>8.7100000000000009</v>
      </c>
      <c r="F65" s="100">
        <v>19.690000000000001</v>
      </c>
      <c r="G65" s="100">
        <v>45.39</v>
      </c>
      <c r="H65" s="100">
        <v>24.97</v>
      </c>
      <c r="I65" s="100">
        <v>11.7</v>
      </c>
      <c r="J65" s="100">
        <v>3.31</v>
      </c>
      <c r="K65" s="100">
        <v>238.96</v>
      </c>
      <c r="L65" s="100">
        <v>43.21</v>
      </c>
      <c r="M65" s="100">
        <v>22.01</v>
      </c>
      <c r="N65" s="100">
        <v>643.29999999999995</v>
      </c>
      <c r="O65" s="100">
        <v>0</v>
      </c>
      <c r="P65" s="100">
        <v>0.59</v>
      </c>
      <c r="Q65" s="100">
        <v>28.42</v>
      </c>
      <c r="R65" s="6"/>
      <c r="S65" s="6"/>
      <c r="T65" s="156"/>
      <c r="U65" s="6"/>
    </row>
    <row r="66" spans="1:21" customFormat="1">
      <c r="A66" s="163" t="s">
        <v>1257</v>
      </c>
      <c r="B66" s="100">
        <v>1.39</v>
      </c>
      <c r="C66" s="100">
        <v>15.23</v>
      </c>
      <c r="D66" s="100">
        <v>9.07</v>
      </c>
      <c r="E66" s="100">
        <v>8.82</v>
      </c>
      <c r="F66" s="100">
        <v>12.16</v>
      </c>
      <c r="G66" s="100">
        <v>45.39</v>
      </c>
      <c r="H66" s="100">
        <v>24.97</v>
      </c>
      <c r="I66" s="100">
        <v>11.94</v>
      </c>
      <c r="J66" s="100">
        <v>4.33</v>
      </c>
      <c r="K66" s="100">
        <v>239.29</v>
      </c>
      <c r="L66" s="100">
        <v>43.17</v>
      </c>
      <c r="M66" s="100">
        <v>22.36</v>
      </c>
      <c r="N66" s="100">
        <v>607.70000000000005</v>
      </c>
      <c r="O66" s="100">
        <v>0</v>
      </c>
      <c r="P66" s="100">
        <v>0.59</v>
      </c>
      <c r="Q66" s="100">
        <v>28.64</v>
      </c>
      <c r="R66" s="6"/>
      <c r="S66" s="6"/>
      <c r="T66" s="156"/>
      <c r="U66" s="6"/>
    </row>
    <row r="67" spans="1:21" customFormat="1">
      <c r="A67" s="163" t="s">
        <v>1258</v>
      </c>
      <c r="B67" s="100">
        <v>1.39</v>
      </c>
      <c r="C67" s="100">
        <v>15.23</v>
      </c>
      <c r="D67" s="100">
        <v>9.07</v>
      </c>
      <c r="E67" s="100">
        <v>8.2899999999999991</v>
      </c>
      <c r="F67" s="100">
        <v>14.71</v>
      </c>
      <c r="G67" s="100">
        <v>45.39</v>
      </c>
      <c r="H67" s="100">
        <v>24.97</v>
      </c>
      <c r="I67" s="100">
        <v>12.13</v>
      </c>
      <c r="J67" s="100">
        <v>3.15</v>
      </c>
      <c r="K67" s="100">
        <v>221.83</v>
      </c>
      <c r="L67" s="100">
        <v>43.73</v>
      </c>
      <c r="M67" s="100">
        <v>21.34</v>
      </c>
      <c r="N67" s="100">
        <v>597.5</v>
      </c>
      <c r="O67" s="100">
        <v>0</v>
      </c>
      <c r="P67" s="100">
        <v>0.56999999999999995</v>
      </c>
      <c r="Q67" s="100">
        <v>28.66</v>
      </c>
      <c r="R67" s="6"/>
      <c r="S67" s="6"/>
      <c r="T67" s="156"/>
      <c r="U67" s="6"/>
    </row>
    <row r="68" spans="1:21" customFormat="1">
      <c r="A68" s="163" t="s">
        <v>1259</v>
      </c>
      <c r="B68" s="100">
        <v>1.39</v>
      </c>
      <c r="C68" s="100">
        <v>15.23</v>
      </c>
      <c r="D68" s="100">
        <v>9.07</v>
      </c>
      <c r="E68" s="100">
        <v>8.81</v>
      </c>
      <c r="F68" s="100">
        <v>21.07</v>
      </c>
      <c r="G68" s="100">
        <v>45.87</v>
      </c>
      <c r="H68" s="100">
        <v>24.83</v>
      </c>
      <c r="I68" s="100">
        <v>12.07</v>
      </c>
      <c r="J68" s="100">
        <v>2.82</v>
      </c>
      <c r="K68" s="100">
        <v>211.98</v>
      </c>
      <c r="L68" s="100">
        <v>44.34</v>
      </c>
      <c r="M68" s="100">
        <v>20.54</v>
      </c>
      <c r="N68" s="100">
        <v>559.1</v>
      </c>
      <c r="O68" s="100">
        <v>0</v>
      </c>
      <c r="P68" s="100">
        <v>0.56999999999999995</v>
      </c>
      <c r="Q68" s="100">
        <v>28.51</v>
      </c>
      <c r="R68" s="6"/>
      <c r="S68" s="6"/>
      <c r="T68" s="156"/>
      <c r="U68" s="6"/>
    </row>
    <row r="69" spans="1:21" customFormat="1">
      <c r="A69" s="163" t="s">
        <v>1260</v>
      </c>
      <c r="B69" s="100">
        <v>1.39</v>
      </c>
      <c r="C69" s="100">
        <v>15.23</v>
      </c>
      <c r="D69" s="100">
        <v>9.07</v>
      </c>
      <c r="E69" s="100">
        <v>9.11</v>
      </c>
      <c r="F69" s="100">
        <v>24.64</v>
      </c>
      <c r="G69" s="100">
        <v>47.65</v>
      </c>
      <c r="H69" s="100">
        <v>24.31</v>
      </c>
      <c r="I69" s="100">
        <v>11.89</v>
      </c>
      <c r="J69" s="100">
        <v>3.12</v>
      </c>
      <c r="K69" s="100">
        <v>248.48</v>
      </c>
      <c r="L69" s="100">
        <v>46.88</v>
      </c>
      <c r="M69" s="100">
        <v>20.74</v>
      </c>
      <c r="N69" s="100">
        <v>489.8</v>
      </c>
      <c r="O69" s="100">
        <v>0</v>
      </c>
      <c r="P69" s="100">
        <v>0.57999999999999996</v>
      </c>
      <c r="Q69" s="100">
        <v>28.66</v>
      </c>
      <c r="R69" s="6"/>
      <c r="S69" s="6"/>
      <c r="T69" s="156"/>
      <c r="U69" s="6"/>
    </row>
    <row r="70" spans="1:21" customFormat="1">
      <c r="A70" s="163" t="s">
        <v>1261</v>
      </c>
      <c r="B70" s="100">
        <v>1.39</v>
      </c>
      <c r="C70" s="100">
        <v>15.23</v>
      </c>
      <c r="D70" s="100">
        <v>9.07</v>
      </c>
      <c r="E70" s="100">
        <v>7.93</v>
      </c>
      <c r="F70" s="100">
        <v>22.72</v>
      </c>
      <c r="G70" s="100">
        <v>47.65</v>
      </c>
      <c r="H70" s="100">
        <v>24.31</v>
      </c>
      <c r="I70" s="100">
        <v>11.89</v>
      </c>
      <c r="J70" s="100">
        <v>3.43</v>
      </c>
      <c r="K70" s="100">
        <v>229.47</v>
      </c>
      <c r="L70" s="100">
        <v>45.9</v>
      </c>
      <c r="M70" s="100">
        <v>19.690000000000001</v>
      </c>
      <c r="N70" s="100">
        <v>480.2</v>
      </c>
      <c r="O70" s="100">
        <v>0</v>
      </c>
      <c r="P70" s="100">
        <v>0.59</v>
      </c>
      <c r="Q70" s="100">
        <v>28.59</v>
      </c>
      <c r="R70" s="6"/>
      <c r="S70" s="6"/>
      <c r="T70" s="156"/>
      <c r="U70" s="6"/>
    </row>
    <row r="71" spans="1:21" customFormat="1">
      <c r="A71" s="163" t="s">
        <v>1262</v>
      </c>
      <c r="B71" s="100">
        <v>1.39</v>
      </c>
      <c r="C71" s="100">
        <v>15.23</v>
      </c>
      <c r="D71" s="100">
        <v>9.07</v>
      </c>
      <c r="E71" s="100">
        <v>7.47</v>
      </c>
      <c r="F71" s="100">
        <v>17.12</v>
      </c>
      <c r="G71" s="100">
        <v>47.65</v>
      </c>
      <c r="H71" s="100">
        <v>24.31</v>
      </c>
      <c r="I71" s="100">
        <v>11.88</v>
      </c>
      <c r="J71" s="100">
        <v>2.98</v>
      </c>
      <c r="K71" s="100">
        <v>233.49</v>
      </c>
      <c r="L71" s="100">
        <v>44.4</v>
      </c>
      <c r="M71" s="100">
        <v>19.29</v>
      </c>
      <c r="N71" s="100">
        <v>300.3</v>
      </c>
      <c r="O71" s="100">
        <v>0</v>
      </c>
      <c r="P71" s="100">
        <v>0.57999999999999996</v>
      </c>
      <c r="Q71" s="100">
        <v>28.5</v>
      </c>
      <c r="R71" s="6"/>
      <c r="S71" s="6"/>
      <c r="T71" s="156"/>
      <c r="U71" s="6"/>
    </row>
    <row r="72" spans="1:21" customFormat="1">
      <c r="A72" s="163" t="s">
        <v>1263</v>
      </c>
      <c r="B72" s="100">
        <v>1.39</v>
      </c>
      <c r="C72" s="100">
        <v>15.23</v>
      </c>
      <c r="D72" s="100">
        <v>9.07</v>
      </c>
      <c r="E72" s="100">
        <v>7.48</v>
      </c>
      <c r="F72" s="100">
        <v>33.42</v>
      </c>
      <c r="G72" s="100">
        <v>47.76</v>
      </c>
      <c r="H72" s="100">
        <v>25.09</v>
      </c>
      <c r="I72" s="100">
        <v>12.02</v>
      </c>
      <c r="J72" s="100">
        <v>3.11</v>
      </c>
      <c r="K72" s="100">
        <v>210.04</v>
      </c>
      <c r="L72" s="100">
        <v>43.47</v>
      </c>
      <c r="M72" s="100">
        <v>19.079999999999998</v>
      </c>
      <c r="N72" s="100">
        <v>249.9</v>
      </c>
      <c r="O72" s="100">
        <v>0</v>
      </c>
      <c r="P72" s="100">
        <v>0.59</v>
      </c>
      <c r="Q72" s="100">
        <v>28.54</v>
      </c>
      <c r="R72" s="6"/>
      <c r="S72" s="6"/>
      <c r="T72" s="156"/>
      <c r="U72" s="6"/>
    </row>
    <row r="73" spans="1:21" customFormat="1">
      <c r="A73" s="163" t="s">
        <v>1264</v>
      </c>
      <c r="B73" s="100">
        <v>1.39</v>
      </c>
      <c r="C73" s="100">
        <v>15.23</v>
      </c>
      <c r="D73" s="100">
        <v>9.07</v>
      </c>
      <c r="E73" s="100">
        <v>7.94</v>
      </c>
      <c r="F73" s="100">
        <v>33.979999999999997</v>
      </c>
      <c r="G73" s="100">
        <v>48.18</v>
      </c>
      <c r="H73" s="100">
        <v>28.01</v>
      </c>
      <c r="I73" s="100">
        <v>11.89</v>
      </c>
      <c r="J73" s="100">
        <v>2.06</v>
      </c>
      <c r="K73" s="100">
        <v>310.97000000000003</v>
      </c>
      <c r="L73" s="100">
        <v>42.97</v>
      </c>
      <c r="M73" s="100">
        <v>18.98</v>
      </c>
      <c r="N73" s="100">
        <v>288.3</v>
      </c>
      <c r="O73" s="100">
        <v>0</v>
      </c>
      <c r="P73" s="100">
        <v>0.63</v>
      </c>
      <c r="Q73" s="100">
        <v>28.66</v>
      </c>
      <c r="R73" s="6"/>
      <c r="S73" s="6"/>
      <c r="T73" s="156"/>
      <c r="U73" s="6"/>
    </row>
    <row r="74" spans="1:21" customFormat="1">
      <c r="A74" s="163" t="s">
        <v>1265</v>
      </c>
      <c r="B74" s="100">
        <v>1.39</v>
      </c>
      <c r="C74" s="100">
        <v>15.23</v>
      </c>
      <c r="D74" s="100">
        <v>9.07</v>
      </c>
      <c r="E74" s="100">
        <v>7.88</v>
      </c>
      <c r="F74" s="100">
        <v>30.22</v>
      </c>
      <c r="G74" s="100">
        <v>48.18</v>
      </c>
      <c r="H74" s="100">
        <v>28.01</v>
      </c>
      <c r="I74" s="100">
        <v>11.45</v>
      </c>
      <c r="J74" s="100">
        <v>3.45</v>
      </c>
      <c r="K74" s="100">
        <v>226.52</v>
      </c>
      <c r="L74" s="100">
        <v>42.45</v>
      </c>
      <c r="M74" s="100">
        <v>20.78</v>
      </c>
      <c r="N74" s="100">
        <v>207.2</v>
      </c>
      <c r="O74" s="100">
        <v>0</v>
      </c>
      <c r="P74" s="100">
        <v>0.59</v>
      </c>
      <c r="Q74" s="100">
        <v>28.58</v>
      </c>
      <c r="R74" s="6"/>
      <c r="S74" s="6"/>
      <c r="T74" s="156"/>
      <c r="U74" s="6"/>
    </row>
    <row r="75" spans="1:21" customFormat="1">
      <c r="A75" s="163" t="s">
        <v>1266</v>
      </c>
      <c r="B75" s="100">
        <v>1.39</v>
      </c>
      <c r="C75" s="100">
        <v>15.23</v>
      </c>
      <c r="D75" s="100">
        <v>9.07</v>
      </c>
      <c r="E75" s="100">
        <v>8.5399999999999991</v>
      </c>
      <c r="F75" s="100">
        <v>40.090000000000003</v>
      </c>
      <c r="G75" s="100">
        <v>48.18</v>
      </c>
      <c r="H75" s="100">
        <v>28.01</v>
      </c>
      <c r="I75" s="100">
        <v>11.47</v>
      </c>
      <c r="J75" s="100">
        <v>1.81</v>
      </c>
      <c r="K75" s="100">
        <v>262.12</v>
      </c>
      <c r="L75" s="100">
        <v>42.29</v>
      </c>
      <c r="M75" s="100">
        <v>20.57</v>
      </c>
      <c r="N75" s="100">
        <v>193.4</v>
      </c>
      <c r="O75" s="100">
        <v>0</v>
      </c>
      <c r="P75" s="100">
        <v>0.59</v>
      </c>
      <c r="Q75" s="100">
        <v>28.61</v>
      </c>
      <c r="R75" s="6"/>
      <c r="S75" s="6"/>
      <c r="T75" s="156"/>
      <c r="U75" s="6"/>
    </row>
    <row r="76" spans="1:21" customFormat="1">
      <c r="A76" s="163" t="s">
        <v>1267</v>
      </c>
      <c r="B76" s="100">
        <v>1.39</v>
      </c>
      <c r="C76" s="100">
        <v>15.23</v>
      </c>
      <c r="D76" s="100">
        <v>9.07</v>
      </c>
      <c r="E76" s="100">
        <v>8.2799999999999994</v>
      </c>
      <c r="F76" s="100">
        <v>21.83</v>
      </c>
      <c r="G76" s="100">
        <v>47.71</v>
      </c>
      <c r="H76" s="100">
        <v>28.04</v>
      </c>
      <c r="I76" s="100">
        <v>11.36</v>
      </c>
      <c r="J76" s="100">
        <v>3.45</v>
      </c>
      <c r="K76" s="100">
        <v>238.21</v>
      </c>
      <c r="L76" s="100">
        <v>41.53</v>
      </c>
      <c r="M76" s="100">
        <v>21.24</v>
      </c>
      <c r="N76" s="100">
        <v>93.1</v>
      </c>
      <c r="O76" s="100">
        <v>0</v>
      </c>
      <c r="P76" s="100">
        <v>0.56000000000000005</v>
      </c>
      <c r="Q76" s="100">
        <v>28.52</v>
      </c>
      <c r="R76" s="6"/>
      <c r="S76" s="6"/>
      <c r="T76" s="156"/>
      <c r="U76" s="6"/>
    </row>
    <row r="77" spans="1:21" customFormat="1">
      <c r="A77" s="163" t="s">
        <v>1268</v>
      </c>
      <c r="B77" s="100">
        <v>1.39</v>
      </c>
      <c r="C77" s="100">
        <v>15.23</v>
      </c>
      <c r="D77" s="100">
        <v>9.07</v>
      </c>
      <c r="E77" s="100">
        <v>6.66</v>
      </c>
      <c r="F77" s="100">
        <v>31.69</v>
      </c>
      <c r="G77" s="100">
        <v>45.93</v>
      </c>
      <c r="H77" s="100">
        <v>28.12</v>
      </c>
      <c r="I77" s="100">
        <v>10.83</v>
      </c>
      <c r="J77" s="100">
        <v>0.98</v>
      </c>
      <c r="K77" s="100">
        <v>210.44</v>
      </c>
      <c r="L77" s="100">
        <v>40.89</v>
      </c>
      <c r="M77" s="100">
        <v>22.01</v>
      </c>
      <c r="N77" s="100">
        <v>65</v>
      </c>
      <c r="O77" s="100">
        <v>0</v>
      </c>
      <c r="P77" s="100">
        <v>0.54</v>
      </c>
      <c r="Q77" s="100">
        <v>28.46</v>
      </c>
      <c r="R77" s="6"/>
      <c r="S77" s="6"/>
      <c r="T77" s="156"/>
      <c r="U77" s="6"/>
    </row>
    <row r="78" spans="1:21" customFormat="1">
      <c r="A78" s="163" t="s">
        <v>1269</v>
      </c>
      <c r="B78" s="100">
        <v>1.39</v>
      </c>
      <c r="C78" s="100">
        <v>15.23</v>
      </c>
      <c r="D78" s="100">
        <v>9.07</v>
      </c>
      <c r="E78" s="100">
        <v>10.99</v>
      </c>
      <c r="F78" s="100">
        <v>36.659999999999997</v>
      </c>
      <c r="G78" s="100">
        <v>45.93</v>
      </c>
      <c r="H78" s="100">
        <v>28.12</v>
      </c>
      <c r="I78" s="100">
        <v>10.83</v>
      </c>
      <c r="J78" s="100">
        <v>1.27</v>
      </c>
      <c r="K78" s="100">
        <v>48.21</v>
      </c>
      <c r="L78" s="100">
        <v>40.72</v>
      </c>
      <c r="M78" s="100">
        <v>22.55</v>
      </c>
      <c r="N78" s="100">
        <v>59</v>
      </c>
      <c r="O78" s="100">
        <v>0</v>
      </c>
      <c r="P78" s="100">
        <v>0.56000000000000005</v>
      </c>
      <c r="Q78" s="100">
        <v>28.42</v>
      </c>
      <c r="R78" s="6"/>
      <c r="S78" s="6"/>
      <c r="T78" s="156"/>
      <c r="U78" s="6"/>
    </row>
    <row r="79" spans="1:21" customFormat="1">
      <c r="A79" s="163" t="s">
        <v>1270</v>
      </c>
      <c r="B79" s="100">
        <v>1.39</v>
      </c>
      <c r="C79" s="100">
        <v>15.23</v>
      </c>
      <c r="D79" s="100">
        <v>9.07</v>
      </c>
      <c r="E79" s="100">
        <v>12.19</v>
      </c>
      <c r="F79" s="100">
        <v>32.130000000000003</v>
      </c>
      <c r="G79" s="100">
        <v>45.93</v>
      </c>
      <c r="H79" s="100">
        <v>28.12</v>
      </c>
      <c r="I79" s="100">
        <v>10.28</v>
      </c>
      <c r="J79" s="100">
        <v>2.0299999999999998</v>
      </c>
      <c r="K79" s="100">
        <v>95.01</v>
      </c>
      <c r="L79" s="100">
        <v>39.78</v>
      </c>
      <c r="M79" s="100">
        <v>27.09</v>
      </c>
      <c r="N79" s="100">
        <v>52</v>
      </c>
      <c r="O79" s="100">
        <v>0</v>
      </c>
      <c r="P79" s="100">
        <v>0.62</v>
      </c>
      <c r="Q79" s="100">
        <v>28.45</v>
      </c>
      <c r="R79" s="6"/>
      <c r="S79" s="6"/>
      <c r="T79" s="156"/>
      <c r="U79" s="6"/>
    </row>
    <row r="80" spans="1:21" customFormat="1">
      <c r="A80" s="163" t="s">
        <v>1271</v>
      </c>
      <c r="B80" s="100">
        <v>1.39</v>
      </c>
      <c r="C80" s="100">
        <v>15.23</v>
      </c>
      <c r="D80" s="100">
        <v>9.07</v>
      </c>
      <c r="E80" s="100">
        <v>10.86</v>
      </c>
      <c r="F80" s="100">
        <v>27.56</v>
      </c>
      <c r="G80" s="100">
        <v>46.24</v>
      </c>
      <c r="H80" s="100">
        <v>27.95</v>
      </c>
      <c r="I80" s="100">
        <v>10.23</v>
      </c>
      <c r="J80" s="100">
        <v>1.7</v>
      </c>
      <c r="K80" s="100">
        <v>81.48</v>
      </c>
      <c r="L80" s="100">
        <v>37.96</v>
      </c>
      <c r="M80" s="100">
        <v>32.18</v>
      </c>
      <c r="N80" s="100">
        <v>48.3</v>
      </c>
      <c r="O80" s="100">
        <v>0</v>
      </c>
      <c r="P80" s="100">
        <v>0.64</v>
      </c>
      <c r="Q80" s="100">
        <v>28.45</v>
      </c>
      <c r="R80" s="6"/>
      <c r="S80" s="6"/>
      <c r="T80" s="156"/>
      <c r="U80" s="6"/>
    </row>
    <row r="81" spans="1:21" customFormat="1">
      <c r="A81" s="163" t="s">
        <v>1272</v>
      </c>
      <c r="B81" s="100">
        <v>1.39</v>
      </c>
      <c r="C81" s="100">
        <v>15.23</v>
      </c>
      <c r="D81" s="100">
        <v>9.07</v>
      </c>
      <c r="E81" s="100">
        <v>10.79</v>
      </c>
      <c r="F81" s="100">
        <v>18.07</v>
      </c>
      <c r="G81" s="100">
        <v>47.42</v>
      </c>
      <c r="H81" s="100">
        <v>27.29</v>
      </c>
      <c r="I81" s="100">
        <v>10.56</v>
      </c>
      <c r="J81" s="100">
        <v>1.41</v>
      </c>
      <c r="K81" s="100">
        <v>78.05</v>
      </c>
      <c r="L81" s="100">
        <v>36.17</v>
      </c>
      <c r="M81" s="100">
        <v>36.200000000000003</v>
      </c>
      <c r="N81" s="100">
        <v>38</v>
      </c>
      <c r="O81" s="100">
        <v>0</v>
      </c>
      <c r="P81" s="100">
        <v>0.62</v>
      </c>
      <c r="Q81" s="100">
        <v>28.56</v>
      </c>
      <c r="R81" s="6"/>
      <c r="S81" s="6"/>
      <c r="T81" s="156"/>
      <c r="U81" s="6"/>
    </row>
    <row r="82" spans="1:21" customFormat="1">
      <c r="A82" s="163" t="s">
        <v>1273</v>
      </c>
      <c r="B82" s="100">
        <v>1.39</v>
      </c>
      <c r="C82" s="100">
        <v>15.23</v>
      </c>
      <c r="D82" s="100">
        <v>9.07</v>
      </c>
      <c r="E82" s="100">
        <v>9.6999999999999993</v>
      </c>
      <c r="F82" s="100">
        <v>18.12</v>
      </c>
      <c r="G82" s="100">
        <v>47.42</v>
      </c>
      <c r="H82" s="100">
        <v>27.29</v>
      </c>
      <c r="I82" s="100">
        <v>10.97</v>
      </c>
      <c r="J82" s="100">
        <v>2.88</v>
      </c>
      <c r="K82" s="100">
        <v>145.84</v>
      </c>
      <c r="L82" s="100">
        <v>35.78</v>
      </c>
      <c r="M82" s="100">
        <v>36.200000000000003</v>
      </c>
      <c r="N82" s="100">
        <v>28.6</v>
      </c>
      <c r="O82" s="100">
        <v>0</v>
      </c>
      <c r="P82" s="100">
        <v>0.59</v>
      </c>
      <c r="Q82" s="100">
        <v>28.47</v>
      </c>
      <c r="R82" s="6"/>
      <c r="S82" s="6"/>
      <c r="T82" s="156"/>
      <c r="U82" s="6"/>
    </row>
    <row r="83" spans="1:21" customFormat="1">
      <c r="A83" s="163" t="s">
        <v>1274</v>
      </c>
      <c r="B83" s="100">
        <v>1.39</v>
      </c>
      <c r="C83" s="100">
        <v>15.23</v>
      </c>
      <c r="D83" s="100">
        <v>9.07</v>
      </c>
      <c r="E83" s="100">
        <v>7.71</v>
      </c>
      <c r="F83" s="100">
        <v>24.47</v>
      </c>
      <c r="G83" s="100">
        <v>47.42</v>
      </c>
      <c r="H83" s="100">
        <v>27.29</v>
      </c>
      <c r="I83" s="100">
        <v>10.71</v>
      </c>
      <c r="J83" s="100">
        <v>1.8</v>
      </c>
      <c r="K83" s="100">
        <v>156.25</v>
      </c>
      <c r="L83" s="100">
        <v>34.99</v>
      </c>
      <c r="M83" s="100">
        <v>39.19</v>
      </c>
      <c r="N83" s="100">
        <v>23.9</v>
      </c>
      <c r="O83" s="100">
        <v>0</v>
      </c>
      <c r="P83" s="100">
        <v>0.56999999999999995</v>
      </c>
      <c r="Q83" s="100">
        <v>28.68</v>
      </c>
      <c r="R83" s="6"/>
      <c r="S83" s="6"/>
      <c r="T83" s="156"/>
      <c r="U83" s="6"/>
    </row>
    <row r="84" spans="1:21" customFormat="1">
      <c r="A84" s="163" t="s">
        <v>1275</v>
      </c>
      <c r="B84" s="100">
        <v>1.39</v>
      </c>
      <c r="C84" s="100">
        <v>15.23</v>
      </c>
      <c r="D84" s="100">
        <v>9.07</v>
      </c>
      <c r="E84" s="100">
        <v>6.96</v>
      </c>
      <c r="F84" s="100">
        <v>23.68</v>
      </c>
      <c r="G84" s="100">
        <v>48.48</v>
      </c>
      <c r="H84" s="100">
        <v>27.51</v>
      </c>
      <c r="I84" s="100">
        <v>10.49</v>
      </c>
      <c r="J84" s="100">
        <v>2.2799999999999998</v>
      </c>
      <c r="K84" s="100">
        <v>152.93</v>
      </c>
      <c r="L84" s="100">
        <v>34.53</v>
      </c>
      <c r="M84" s="100">
        <v>41.2</v>
      </c>
      <c r="N84" s="100">
        <v>23</v>
      </c>
      <c r="O84" s="100">
        <v>0</v>
      </c>
      <c r="P84" s="100">
        <v>0.56999999999999995</v>
      </c>
      <c r="Q84" s="100">
        <v>28.79</v>
      </c>
      <c r="R84" s="6"/>
      <c r="S84" s="6"/>
      <c r="T84" s="156"/>
      <c r="U84" s="6"/>
    </row>
    <row r="85" spans="1:21" customFormat="1">
      <c r="A85" s="163" t="s">
        <v>1276</v>
      </c>
      <c r="B85" s="100">
        <v>1.39</v>
      </c>
      <c r="C85" s="100">
        <v>15.23</v>
      </c>
      <c r="D85" s="100">
        <v>9.07</v>
      </c>
      <c r="E85" s="100">
        <v>7.11</v>
      </c>
      <c r="F85" s="100">
        <v>27.9</v>
      </c>
      <c r="G85" s="100">
        <v>52.48</v>
      </c>
      <c r="H85" s="100">
        <v>28.3</v>
      </c>
      <c r="I85" s="100">
        <v>10.18</v>
      </c>
      <c r="J85" s="100">
        <v>1.96</v>
      </c>
      <c r="K85" s="100">
        <v>167.58</v>
      </c>
      <c r="L85" s="100">
        <v>34.32</v>
      </c>
      <c r="M85" s="100">
        <v>42.05</v>
      </c>
      <c r="N85" s="100">
        <v>22.3</v>
      </c>
      <c r="O85" s="100">
        <v>0</v>
      </c>
      <c r="P85" s="100">
        <v>0.56999999999999995</v>
      </c>
      <c r="Q85" s="100">
        <v>28.79</v>
      </c>
      <c r="R85" s="6"/>
      <c r="S85" s="6"/>
      <c r="T85" s="156"/>
      <c r="U85" s="6"/>
    </row>
    <row r="86" spans="1:21" customFormat="1">
      <c r="A86" s="163" t="s">
        <v>1277</v>
      </c>
      <c r="B86" s="100">
        <v>1.39</v>
      </c>
      <c r="C86" s="100">
        <v>15.23</v>
      </c>
      <c r="D86" s="100">
        <v>9.07</v>
      </c>
      <c r="E86" s="100">
        <v>6.81</v>
      </c>
      <c r="F86" s="100">
        <v>21.46</v>
      </c>
      <c r="G86" s="100">
        <v>52.48</v>
      </c>
      <c r="H86" s="100">
        <v>28.3</v>
      </c>
      <c r="I86" s="100">
        <v>9.76</v>
      </c>
      <c r="J86" s="100">
        <v>3.29</v>
      </c>
      <c r="K86" s="100">
        <v>205.62</v>
      </c>
      <c r="L86" s="100">
        <v>34.39</v>
      </c>
      <c r="M86" s="100">
        <v>41.29</v>
      </c>
      <c r="N86" s="100">
        <v>22.5</v>
      </c>
      <c r="O86" s="100">
        <v>0</v>
      </c>
      <c r="P86" s="100">
        <v>0.54</v>
      </c>
      <c r="Q86" s="100">
        <v>28.83</v>
      </c>
      <c r="R86" s="6"/>
      <c r="S86" s="6"/>
      <c r="T86" s="156"/>
      <c r="U86" s="6"/>
    </row>
    <row r="87" spans="1:21" customFormat="1">
      <c r="A87" s="163" t="s">
        <v>1278</v>
      </c>
      <c r="B87" s="100">
        <v>1.39</v>
      </c>
      <c r="C87" s="100">
        <v>15.23</v>
      </c>
      <c r="D87" s="100">
        <v>9.07</v>
      </c>
      <c r="E87" s="100">
        <v>6.79</v>
      </c>
      <c r="F87" s="100">
        <v>22.12</v>
      </c>
      <c r="G87" s="100">
        <v>52.48</v>
      </c>
      <c r="H87" s="100">
        <v>28.3</v>
      </c>
      <c r="I87" s="100">
        <v>9.5</v>
      </c>
      <c r="J87" s="100">
        <v>3.39</v>
      </c>
      <c r="K87" s="100">
        <v>207.76</v>
      </c>
      <c r="L87" s="100">
        <v>34</v>
      </c>
      <c r="M87" s="100">
        <v>43.17</v>
      </c>
      <c r="N87" s="100">
        <v>22.9</v>
      </c>
      <c r="O87" s="100">
        <v>0</v>
      </c>
      <c r="P87" s="100">
        <v>0.54</v>
      </c>
      <c r="Q87" s="100">
        <v>28.83</v>
      </c>
      <c r="R87" s="6"/>
      <c r="S87" s="6"/>
      <c r="T87" s="156"/>
      <c r="U87" s="6"/>
    </row>
    <row r="88" spans="1:21" customFormat="1">
      <c r="A88" s="163" t="s">
        <v>1279</v>
      </c>
      <c r="B88" s="100">
        <v>1.39</v>
      </c>
      <c r="C88" s="100">
        <v>15.23</v>
      </c>
      <c r="D88" s="100">
        <v>9.07</v>
      </c>
      <c r="E88" s="100">
        <v>6.75</v>
      </c>
      <c r="F88" s="100">
        <v>26.41</v>
      </c>
      <c r="G88" s="100">
        <v>52.03</v>
      </c>
      <c r="H88" s="100">
        <v>27.64</v>
      </c>
      <c r="I88" s="100">
        <v>9.24</v>
      </c>
      <c r="J88" s="100">
        <v>3.03</v>
      </c>
      <c r="K88" s="100">
        <v>195.49</v>
      </c>
      <c r="L88" s="100">
        <v>33.93</v>
      </c>
      <c r="M88" s="100">
        <v>43.56</v>
      </c>
      <c r="N88" s="100">
        <v>22.6</v>
      </c>
      <c r="O88" s="100">
        <v>0</v>
      </c>
      <c r="P88" s="100">
        <v>0.53</v>
      </c>
      <c r="Q88" s="100">
        <v>28.86</v>
      </c>
      <c r="R88" s="6"/>
      <c r="S88" s="6"/>
      <c r="T88" s="156"/>
      <c r="U88" s="6"/>
    </row>
    <row r="89" spans="1:21" customFormat="1">
      <c r="A89" s="163" t="s">
        <v>1280</v>
      </c>
      <c r="B89" s="100">
        <v>1.39</v>
      </c>
      <c r="C89" s="100">
        <v>15.23</v>
      </c>
      <c r="D89" s="100">
        <v>9.07</v>
      </c>
      <c r="E89" s="100">
        <v>6.67</v>
      </c>
      <c r="F89" s="100">
        <v>14.61</v>
      </c>
      <c r="G89" s="100">
        <v>50.34</v>
      </c>
      <c r="H89" s="100">
        <v>25.17</v>
      </c>
      <c r="I89" s="100">
        <v>8.9700000000000006</v>
      </c>
      <c r="J89" s="100">
        <v>2.79</v>
      </c>
      <c r="K89" s="100">
        <v>209.44</v>
      </c>
      <c r="L89" s="100">
        <v>34.32</v>
      </c>
      <c r="M89" s="100">
        <v>41.71</v>
      </c>
      <c r="N89" s="100">
        <v>22.1</v>
      </c>
      <c r="O89" s="100">
        <v>0</v>
      </c>
      <c r="P89" s="100">
        <v>0.54</v>
      </c>
      <c r="Q89" s="100">
        <v>28.79</v>
      </c>
      <c r="R89" s="6"/>
      <c r="S89" s="6"/>
      <c r="T89" s="156"/>
      <c r="U89" s="6"/>
    </row>
    <row r="90" spans="1:21" customFormat="1">
      <c r="A90" s="163" t="s">
        <v>1281</v>
      </c>
      <c r="B90" s="100">
        <v>1.39</v>
      </c>
      <c r="C90" s="100">
        <v>15.23</v>
      </c>
      <c r="D90" s="100">
        <v>9.07</v>
      </c>
      <c r="E90" s="100">
        <v>7.09</v>
      </c>
      <c r="F90" s="100">
        <v>8.7200000000000006</v>
      </c>
      <c r="G90" s="100">
        <v>50.34</v>
      </c>
      <c r="H90" s="100">
        <v>25.17</v>
      </c>
      <c r="I90" s="100">
        <v>8.64</v>
      </c>
      <c r="J90" s="100">
        <v>3.47</v>
      </c>
      <c r="K90" s="100">
        <v>222.63</v>
      </c>
      <c r="L90" s="100">
        <v>34.54</v>
      </c>
      <c r="M90" s="100">
        <v>40.61</v>
      </c>
      <c r="N90" s="100">
        <v>22.1</v>
      </c>
      <c r="O90" s="100">
        <v>0</v>
      </c>
      <c r="P90" s="100">
        <v>0.56000000000000005</v>
      </c>
      <c r="Q90" s="100">
        <v>28.13</v>
      </c>
      <c r="R90" s="6"/>
      <c r="S90" s="6"/>
      <c r="T90" s="156"/>
      <c r="U90" s="6"/>
    </row>
    <row r="91" spans="1:21" customFormat="1">
      <c r="A91" s="163" t="s">
        <v>1282</v>
      </c>
      <c r="B91" s="100">
        <v>1.39</v>
      </c>
      <c r="C91" s="100">
        <v>15.23</v>
      </c>
      <c r="D91" s="100">
        <v>9.07</v>
      </c>
      <c r="E91" s="100">
        <v>7.24</v>
      </c>
      <c r="F91" s="100">
        <v>15.95</v>
      </c>
      <c r="G91" s="100">
        <v>50.34</v>
      </c>
      <c r="H91" s="100">
        <v>25.17</v>
      </c>
      <c r="I91" s="100">
        <v>8.93</v>
      </c>
      <c r="J91" s="100">
        <v>3.77</v>
      </c>
      <c r="K91" s="100">
        <v>231.48</v>
      </c>
      <c r="L91" s="100">
        <v>34.76</v>
      </c>
      <c r="M91" s="100">
        <v>38.47</v>
      </c>
      <c r="N91" s="100">
        <v>22</v>
      </c>
      <c r="O91" s="100">
        <v>0</v>
      </c>
      <c r="P91" s="100">
        <v>0.53</v>
      </c>
      <c r="Q91" s="100">
        <v>28.29</v>
      </c>
      <c r="R91" s="6"/>
      <c r="S91" s="6"/>
      <c r="T91" s="156"/>
      <c r="U91" s="6"/>
    </row>
    <row r="92" spans="1:21" customFormat="1">
      <c r="A92" s="163" t="s">
        <v>1283</v>
      </c>
      <c r="B92" s="100">
        <v>1.39</v>
      </c>
      <c r="C92" s="100">
        <v>15.23</v>
      </c>
      <c r="D92" s="100">
        <v>9.07</v>
      </c>
      <c r="E92" s="100">
        <v>7.03</v>
      </c>
      <c r="F92" s="100">
        <v>19</v>
      </c>
      <c r="G92" s="100">
        <v>49.55</v>
      </c>
      <c r="H92" s="100">
        <v>24.67</v>
      </c>
      <c r="I92" s="100">
        <v>9.35</v>
      </c>
      <c r="J92" s="100">
        <v>3.4</v>
      </c>
      <c r="K92" s="100">
        <v>221.87</v>
      </c>
      <c r="L92" s="100">
        <v>34.85</v>
      </c>
      <c r="M92" s="100">
        <v>37.6</v>
      </c>
      <c r="N92" s="100">
        <v>22.2</v>
      </c>
      <c r="O92" s="100">
        <v>0</v>
      </c>
      <c r="P92" s="100">
        <v>0.53</v>
      </c>
      <c r="Q92" s="100">
        <v>28.62</v>
      </c>
      <c r="R92" s="6"/>
      <c r="S92" s="6"/>
      <c r="T92" s="156"/>
      <c r="U92" s="6"/>
    </row>
    <row r="93" spans="1:21" customFormat="1">
      <c r="A93" s="163" t="s">
        <v>1284</v>
      </c>
      <c r="B93" s="100">
        <v>1.39</v>
      </c>
      <c r="C93" s="100">
        <v>15.23</v>
      </c>
      <c r="D93" s="100">
        <v>9.07</v>
      </c>
      <c r="E93" s="100">
        <v>7.05</v>
      </c>
      <c r="F93" s="100">
        <v>15.47</v>
      </c>
      <c r="G93" s="100">
        <v>46.58</v>
      </c>
      <c r="H93" s="100">
        <v>22.83</v>
      </c>
      <c r="I93" s="100">
        <v>9.0500000000000007</v>
      </c>
      <c r="J93" s="100">
        <v>3.38</v>
      </c>
      <c r="K93" s="100">
        <v>220.04</v>
      </c>
      <c r="L93" s="100">
        <v>34.43</v>
      </c>
      <c r="M93" s="100">
        <v>38.26</v>
      </c>
      <c r="N93" s="100">
        <v>22.4</v>
      </c>
      <c r="O93" s="100">
        <v>0</v>
      </c>
      <c r="P93" s="100">
        <v>0.53</v>
      </c>
      <c r="Q93" s="100">
        <v>28.55</v>
      </c>
      <c r="R93" s="6"/>
      <c r="S93" s="6"/>
      <c r="T93" s="156"/>
      <c r="U93" s="6"/>
    </row>
    <row r="94" spans="1:21" customFormat="1">
      <c r="A94" s="163" t="s">
        <v>1285</v>
      </c>
      <c r="B94" s="100">
        <v>1.39</v>
      </c>
      <c r="C94" s="100">
        <v>15.23</v>
      </c>
      <c r="D94" s="100">
        <v>9.07</v>
      </c>
      <c r="E94" s="100">
        <v>6.97</v>
      </c>
      <c r="F94" s="100">
        <v>16.41</v>
      </c>
      <c r="G94" s="100">
        <v>46.58</v>
      </c>
      <c r="H94" s="100">
        <v>22.83</v>
      </c>
      <c r="I94" s="100">
        <v>8.98</v>
      </c>
      <c r="J94" s="100">
        <v>2.85</v>
      </c>
      <c r="K94" s="100">
        <v>192.79</v>
      </c>
      <c r="L94" s="100">
        <v>34.33</v>
      </c>
      <c r="M94" s="100">
        <v>39.049999999999997</v>
      </c>
      <c r="N94" s="100">
        <v>22.6</v>
      </c>
      <c r="O94" s="100">
        <v>0</v>
      </c>
      <c r="P94" s="100">
        <v>0.52</v>
      </c>
      <c r="Q94" s="100">
        <v>28.56</v>
      </c>
      <c r="R94" s="6"/>
      <c r="S94" s="6"/>
      <c r="T94" s="156"/>
      <c r="U94" s="6"/>
    </row>
    <row r="95" spans="1:21" customFormat="1">
      <c r="A95" s="163" t="s">
        <v>1286</v>
      </c>
      <c r="B95" s="100">
        <v>1.39</v>
      </c>
      <c r="C95" s="100">
        <v>15.23</v>
      </c>
      <c r="D95" s="100">
        <v>9.07</v>
      </c>
      <c r="E95" s="100">
        <v>6.69</v>
      </c>
      <c r="F95" s="100">
        <v>19.850000000000001</v>
      </c>
      <c r="G95" s="100">
        <v>46.58</v>
      </c>
      <c r="H95" s="100">
        <v>22.83</v>
      </c>
      <c r="I95" s="100">
        <v>8.67</v>
      </c>
      <c r="J95" s="100">
        <v>3.45</v>
      </c>
      <c r="K95" s="100">
        <v>183.23</v>
      </c>
      <c r="L95" s="100">
        <v>34.42</v>
      </c>
      <c r="M95" s="100">
        <v>39.99</v>
      </c>
      <c r="N95" s="100">
        <v>22.7</v>
      </c>
      <c r="O95" s="100">
        <v>0</v>
      </c>
      <c r="P95" s="100">
        <v>0.5</v>
      </c>
      <c r="Q95" s="100">
        <v>28.41</v>
      </c>
      <c r="R95" s="6"/>
      <c r="S95" s="6"/>
      <c r="T95" s="156"/>
      <c r="U95" s="6"/>
    </row>
    <row r="96" spans="1:21" customFormat="1">
      <c r="A96" s="163" t="s">
        <v>1287</v>
      </c>
      <c r="B96" s="100">
        <v>1.39</v>
      </c>
      <c r="C96" s="100">
        <v>15.23</v>
      </c>
      <c r="D96" s="100">
        <v>9.07</v>
      </c>
      <c r="E96" s="100">
        <v>6.41</v>
      </c>
      <c r="F96" s="100">
        <v>21.2</v>
      </c>
      <c r="G96" s="100">
        <v>45.11</v>
      </c>
      <c r="H96" s="100">
        <v>22.75</v>
      </c>
      <c r="I96" s="100">
        <v>8.51</v>
      </c>
      <c r="J96" s="100">
        <v>3.14</v>
      </c>
      <c r="K96" s="100">
        <v>201.63</v>
      </c>
      <c r="L96" s="100">
        <v>34.36</v>
      </c>
      <c r="M96" s="100">
        <v>40.93</v>
      </c>
      <c r="N96" s="100">
        <v>22.5</v>
      </c>
      <c r="O96" s="100">
        <v>0</v>
      </c>
      <c r="P96" s="100">
        <v>0.48</v>
      </c>
      <c r="Q96" s="100">
        <v>28.75</v>
      </c>
      <c r="R96" s="6"/>
      <c r="S96" s="6"/>
      <c r="T96" s="156"/>
      <c r="U96" s="6"/>
    </row>
    <row r="97" spans="1:28" customFormat="1">
      <c r="A97" s="163" t="s">
        <v>1288</v>
      </c>
      <c r="B97" s="100">
        <v>1.39</v>
      </c>
      <c r="C97" s="100">
        <v>15.23</v>
      </c>
      <c r="D97" s="100">
        <v>9.07</v>
      </c>
      <c r="E97" s="100">
        <v>6.35</v>
      </c>
      <c r="F97" s="100">
        <v>19.04</v>
      </c>
      <c r="G97" s="100">
        <v>39.64</v>
      </c>
      <c r="H97" s="100">
        <v>22.45</v>
      </c>
      <c r="I97" s="100">
        <v>8.26</v>
      </c>
      <c r="J97" s="100">
        <v>3.23</v>
      </c>
      <c r="K97" s="100">
        <v>197.77</v>
      </c>
      <c r="L97" s="100">
        <v>34.299999999999997</v>
      </c>
      <c r="M97" s="100">
        <v>41.08</v>
      </c>
      <c r="N97" s="100">
        <v>22.5</v>
      </c>
      <c r="O97" s="100">
        <v>0</v>
      </c>
      <c r="P97" s="100">
        <v>0.48</v>
      </c>
      <c r="Q97" s="100">
        <v>28.78</v>
      </c>
      <c r="R97" s="6"/>
      <c r="S97" s="6"/>
      <c r="T97" s="156"/>
      <c r="U97" s="6"/>
    </row>
    <row r="98" spans="1:28" customFormat="1">
      <c r="A98" s="163" t="s">
        <v>1289</v>
      </c>
      <c r="B98" s="100">
        <v>1.39</v>
      </c>
      <c r="C98" s="100">
        <v>15.23</v>
      </c>
      <c r="D98" s="100">
        <v>9.07</v>
      </c>
      <c r="E98" s="100">
        <v>6.33</v>
      </c>
      <c r="F98" s="100">
        <v>15.33</v>
      </c>
      <c r="G98" s="100">
        <v>39.64</v>
      </c>
      <c r="H98" s="100">
        <v>22.45</v>
      </c>
      <c r="I98" s="100">
        <v>7.75</v>
      </c>
      <c r="J98" s="100">
        <v>4.45</v>
      </c>
      <c r="K98" s="100">
        <v>233.75</v>
      </c>
      <c r="L98" s="100">
        <v>34.340000000000003</v>
      </c>
      <c r="M98" s="100">
        <v>40.520000000000003</v>
      </c>
      <c r="N98" s="100">
        <v>22.2</v>
      </c>
      <c r="O98" s="100">
        <v>0</v>
      </c>
      <c r="P98" s="100">
        <v>0.49</v>
      </c>
      <c r="Q98" s="100">
        <v>28.74</v>
      </c>
      <c r="R98" s="6"/>
      <c r="S98" s="6"/>
      <c r="T98" s="156"/>
      <c r="U98" s="6"/>
    </row>
    <row r="99" spans="1:28" customFormat="1">
      <c r="A99" s="163" t="s">
        <v>1290</v>
      </c>
      <c r="B99" s="100">
        <v>1.39</v>
      </c>
      <c r="C99" s="100">
        <v>15.23</v>
      </c>
      <c r="D99" s="100">
        <v>9.07</v>
      </c>
      <c r="E99" s="100">
        <v>6.19</v>
      </c>
      <c r="F99" s="100">
        <v>15.29</v>
      </c>
      <c r="G99" s="100">
        <v>39.64</v>
      </c>
      <c r="H99" s="100">
        <v>22.45</v>
      </c>
      <c r="I99" s="100">
        <v>7.81</v>
      </c>
      <c r="J99" s="100">
        <v>3.51</v>
      </c>
      <c r="K99" s="100">
        <v>224.14</v>
      </c>
      <c r="L99" s="100">
        <v>34.39</v>
      </c>
      <c r="M99" s="100">
        <v>40.479999999999997</v>
      </c>
      <c r="N99" s="100">
        <v>22.6</v>
      </c>
      <c r="O99" s="100">
        <v>0</v>
      </c>
      <c r="P99" s="100">
        <v>0.49</v>
      </c>
      <c r="Q99" s="100">
        <v>28.64</v>
      </c>
      <c r="R99" s="6"/>
      <c r="S99" s="6"/>
      <c r="T99" s="156"/>
      <c r="U99" s="6"/>
    </row>
    <row r="100" spans="1:28" customFormat="1">
      <c r="A100" s="163" t="s">
        <v>1291</v>
      </c>
      <c r="B100" s="100">
        <v>1.39</v>
      </c>
      <c r="C100" s="100">
        <v>15.23</v>
      </c>
      <c r="D100" s="100">
        <v>9.07</v>
      </c>
      <c r="E100" s="100">
        <v>6.2</v>
      </c>
      <c r="F100" s="100">
        <v>14.73</v>
      </c>
      <c r="G100" s="100">
        <v>39.22</v>
      </c>
      <c r="H100" s="100">
        <v>22.21</v>
      </c>
      <c r="I100" s="100">
        <v>7.83</v>
      </c>
      <c r="J100" s="100">
        <v>3.94</v>
      </c>
      <c r="K100" s="100">
        <v>223.16</v>
      </c>
      <c r="L100" s="100">
        <v>34.4</v>
      </c>
      <c r="M100" s="100">
        <v>39.99</v>
      </c>
      <c r="N100" s="100">
        <v>22.6</v>
      </c>
      <c r="O100" s="100">
        <v>0</v>
      </c>
      <c r="P100" s="100">
        <v>0.49</v>
      </c>
      <c r="Q100" s="100">
        <v>28.59</v>
      </c>
      <c r="R100" s="6"/>
      <c r="S100" s="6"/>
      <c r="T100" s="156"/>
      <c r="U100" s="6"/>
      <c r="AB100" s="161"/>
    </row>
    <row r="101" spans="1:28" customFormat="1">
      <c r="A101" s="163" t="s">
        <v>1292</v>
      </c>
      <c r="B101" s="100">
        <v>1.39</v>
      </c>
      <c r="C101" s="100">
        <v>15.23</v>
      </c>
      <c r="D101" s="100">
        <v>9.07</v>
      </c>
      <c r="E101" s="100">
        <v>5.63</v>
      </c>
      <c r="F101" s="100">
        <v>14.92</v>
      </c>
      <c r="G101" s="100">
        <v>37.659999999999997</v>
      </c>
      <c r="H101" s="100">
        <v>21.3</v>
      </c>
      <c r="I101" s="100">
        <v>7.79</v>
      </c>
      <c r="J101" s="100">
        <v>3.64</v>
      </c>
      <c r="K101" s="100">
        <v>178.75</v>
      </c>
      <c r="L101" s="100">
        <v>34.119999999999997</v>
      </c>
      <c r="M101" s="100">
        <v>40.99</v>
      </c>
      <c r="N101" s="100">
        <v>23.2</v>
      </c>
      <c r="O101" s="100">
        <v>0</v>
      </c>
      <c r="P101" s="100">
        <v>0.47</v>
      </c>
      <c r="Q101" s="100">
        <v>28.55</v>
      </c>
      <c r="R101" s="6"/>
      <c r="S101" s="6"/>
      <c r="T101" s="156"/>
      <c r="U101" s="6"/>
    </row>
    <row r="102" spans="1:28" customFormat="1">
      <c r="A102" s="163" t="s">
        <v>1293</v>
      </c>
      <c r="B102" s="100">
        <v>1.39</v>
      </c>
      <c r="C102" s="100">
        <v>15.23</v>
      </c>
      <c r="D102" s="100">
        <v>9.07</v>
      </c>
      <c r="E102" s="100">
        <v>6.58</v>
      </c>
      <c r="F102" s="100">
        <v>11.14</v>
      </c>
      <c r="G102" s="100">
        <v>37.659999999999997</v>
      </c>
      <c r="H102" s="100">
        <v>21.3</v>
      </c>
      <c r="I102" s="100">
        <v>7.98</v>
      </c>
      <c r="J102" s="100">
        <v>3.56</v>
      </c>
      <c r="K102" s="100">
        <v>187.56</v>
      </c>
      <c r="L102" s="100">
        <v>33.97</v>
      </c>
      <c r="M102" s="100">
        <v>40.69</v>
      </c>
      <c r="N102" s="100">
        <v>22.8</v>
      </c>
      <c r="O102" s="100">
        <v>0</v>
      </c>
      <c r="P102" s="100">
        <v>0.48</v>
      </c>
      <c r="Q102" s="100">
        <v>28.48</v>
      </c>
      <c r="R102" s="6"/>
      <c r="S102" s="6"/>
      <c r="T102" s="156"/>
      <c r="U102" s="6"/>
    </row>
    <row r="103" spans="1:28" customFormat="1">
      <c r="A103" s="163" t="s">
        <v>1294</v>
      </c>
      <c r="B103" s="100">
        <v>1.39</v>
      </c>
      <c r="C103" s="100">
        <v>15.23</v>
      </c>
      <c r="D103" s="100">
        <v>9.07</v>
      </c>
      <c r="E103" s="100">
        <v>6.91</v>
      </c>
      <c r="F103" s="100">
        <v>7.27</v>
      </c>
      <c r="G103" s="100">
        <v>37.659999999999997</v>
      </c>
      <c r="H103" s="100">
        <v>21.3</v>
      </c>
      <c r="I103" s="100">
        <v>7.67</v>
      </c>
      <c r="J103" s="100">
        <v>3.89</v>
      </c>
      <c r="K103" s="100">
        <v>223.51</v>
      </c>
      <c r="L103" s="100">
        <v>34.17</v>
      </c>
      <c r="M103" s="100">
        <v>39.619999999999997</v>
      </c>
      <c r="N103" s="100">
        <v>22.5</v>
      </c>
      <c r="O103" s="100">
        <v>0</v>
      </c>
      <c r="P103" s="100">
        <v>0.48</v>
      </c>
      <c r="Q103" s="100">
        <v>28.39</v>
      </c>
      <c r="R103" s="6"/>
      <c r="S103" s="6"/>
      <c r="T103" s="156"/>
      <c r="U103" s="6"/>
    </row>
    <row r="104" spans="1:28" customFormat="1">
      <c r="A104" s="163" t="s">
        <v>1295</v>
      </c>
      <c r="B104" s="100">
        <v>1.39</v>
      </c>
      <c r="C104" s="100">
        <v>15.23</v>
      </c>
      <c r="D104" s="100">
        <v>9.07</v>
      </c>
      <c r="E104" s="100">
        <v>7.18</v>
      </c>
      <c r="F104" s="100">
        <v>9.26</v>
      </c>
      <c r="G104" s="100">
        <v>36.770000000000003</v>
      </c>
      <c r="H104" s="100">
        <v>21.39</v>
      </c>
      <c r="I104" s="100">
        <v>7.79</v>
      </c>
      <c r="J104" s="100">
        <v>3.69</v>
      </c>
      <c r="K104" s="100">
        <v>231.49</v>
      </c>
      <c r="L104" s="100">
        <v>33.99</v>
      </c>
      <c r="M104" s="100">
        <v>40.56</v>
      </c>
      <c r="N104" s="100">
        <v>22.9</v>
      </c>
      <c r="O104" s="100">
        <v>0</v>
      </c>
      <c r="P104" s="100">
        <v>0.47</v>
      </c>
      <c r="Q104" s="100">
        <v>28.41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1.39</v>
      </c>
      <c r="C106" s="158">
        <f>MIN(C9:C104)</f>
        <v>15.23</v>
      </c>
      <c r="D106" s="158">
        <f t="shared" ref="D106:Q106" si="0">MIN(D9:D104)</f>
        <v>9.07</v>
      </c>
      <c r="E106" s="158">
        <f t="shared" si="0"/>
        <v>5.63</v>
      </c>
      <c r="F106" s="158">
        <f t="shared" si="0"/>
        <v>3.18</v>
      </c>
      <c r="G106" s="158">
        <f t="shared" si="0"/>
        <v>36.770000000000003</v>
      </c>
      <c r="H106" s="158">
        <f t="shared" si="0"/>
        <v>20.45</v>
      </c>
      <c r="I106" s="158">
        <f t="shared" si="0"/>
        <v>7.67</v>
      </c>
      <c r="J106" s="158">
        <f t="shared" si="0"/>
        <v>0.42</v>
      </c>
      <c r="K106" s="158">
        <f t="shared" si="0"/>
        <v>2.68</v>
      </c>
      <c r="L106" s="158">
        <f t="shared" si="0"/>
        <v>32.61</v>
      </c>
      <c r="M106" s="158">
        <f t="shared" si="0"/>
        <v>18.98</v>
      </c>
      <c r="N106" s="158">
        <f t="shared" si="0"/>
        <v>22</v>
      </c>
      <c r="O106" s="158">
        <f t="shared" si="0"/>
        <v>0</v>
      </c>
      <c r="P106" s="158">
        <f t="shared" si="0"/>
        <v>0.4</v>
      </c>
      <c r="Q106" s="158">
        <f t="shared" si="0"/>
        <v>27.08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1.39</v>
      </c>
      <c r="C107" s="157">
        <f t="shared" ref="C107:Q107" si="1">MAX(C9:C104)</f>
        <v>15.23</v>
      </c>
      <c r="D107" s="157">
        <f t="shared" si="1"/>
        <v>9.07</v>
      </c>
      <c r="E107" s="157">
        <f t="shared" si="1"/>
        <v>12.19</v>
      </c>
      <c r="F107" s="157">
        <f t="shared" si="1"/>
        <v>41.75</v>
      </c>
      <c r="G107" s="157">
        <f t="shared" si="1"/>
        <v>71.959999999999994</v>
      </c>
      <c r="H107" s="157">
        <f t="shared" si="1"/>
        <v>31.08</v>
      </c>
      <c r="I107" s="157">
        <f t="shared" si="1"/>
        <v>12.94</v>
      </c>
      <c r="J107" s="157">
        <f t="shared" si="1"/>
        <v>4.9800000000000004</v>
      </c>
      <c r="K107" s="157">
        <f t="shared" si="1"/>
        <v>310.97000000000003</v>
      </c>
      <c r="L107" s="157">
        <f t="shared" si="1"/>
        <v>46.88</v>
      </c>
      <c r="M107" s="157">
        <f t="shared" si="1"/>
        <v>49.46</v>
      </c>
      <c r="N107" s="157">
        <f t="shared" si="1"/>
        <v>865.1</v>
      </c>
      <c r="O107" s="157">
        <f t="shared" si="1"/>
        <v>0</v>
      </c>
      <c r="P107" s="157">
        <f t="shared" si="1"/>
        <v>0.64</v>
      </c>
      <c r="Q107" s="157">
        <f t="shared" si="1"/>
        <v>29.04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1.39</v>
      </c>
      <c r="C108" s="158">
        <f t="shared" ref="C108:Q108" si="2">AVERAGE(C9:C104)</f>
        <v>15.230000000000013</v>
      </c>
      <c r="D108" s="158">
        <f t="shared" si="2"/>
        <v>9.0700000000000163</v>
      </c>
      <c r="E108" s="158">
        <f t="shared" si="2"/>
        <v>7.399270833333337</v>
      </c>
      <c r="F108" s="158">
        <f t="shared" si="2"/>
        <v>15.983541666666673</v>
      </c>
      <c r="G108" s="158">
        <f t="shared" si="2"/>
        <v>52.92114583333332</v>
      </c>
      <c r="H108" s="158">
        <f t="shared" si="2"/>
        <v>26.577708333333323</v>
      </c>
      <c r="I108" s="158">
        <f t="shared" si="2"/>
        <v>10.119583333333335</v>
      </c>
      <c r="J108" s="158">
        <f t="shared" si="2"/>
        <v>3.0967708333333324</v>
      </c>
      <c r="K108" s="158">
        <f t="shared" si="2"/>
        <v>212.20677083333331</v>
      </c>
      <c r="L108" s="158">
        <f t="shared" si="2"/>
        <v>37.153229166666669</v>
      </c>
      <c r="M108" s="158">
        <f t="shared" si="2"/>
        <v>35.704999999999998</v>
      </c>
      <c r="N108" s="158">
        <f t="shared" si="2"/>
        <v>231.80416666666659</v>
      </c>
      <c r="O108" s="158">
        <f t="shared" si="2"/>
        <v>0</v>
      </c>
      <c r="P108" s="158">
        <f t="shared" si="2"/>
        <v>0.51666666666666672</v>
      </c>
      <c r="Q108" s="158">
        <f t="shared" si="2"/>
        <v>28.173749999999995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</v>
      </c>
      <c r="C109" s="158">
        <f t="shared" ref="C109:Q109" si="3">STDEV(C9:C104)</f>
        <v>1.249977127901844E-14</v>
      </c>
      <c r="D109" s="158">
        <f t="shared" si="3"/>
        <v>1.6071134501595139E-14</v>
      </c>
      <c r="E109" s="158">
        <f t="shared" si="3"/>
        <v>1.1558812949357735</v>
      </c>
      <c r="F109" s="158">
        <f t="shared" si="3"/>
        <v>9.9269349675958356</v>
      </c>
      <c r="G109" s="158">
        <f t="shared" si="3"/>
        <v>9.1910637228482628</v>
      </c>
      <c r="H109" s="158">
        <f t="shared" si="3"/>
        <v>2.8266537699351182</v>
      </c>
      <c r="I109" s="158">
        <f t="shared" si="3"/>
        <v>1.4434694437665512</v>
      </c>
      <c r="J109" s="158">
        <f t="shared" si="3"/>
        <v>1.0195236191907122</v>
      </c>
      <c r="K109" s="158">
        <f t="shared" si="3"/>
        <v>48.604935064462587</v>
      </c>
      <c r="L109" s="158">
        <f t="shared" si="3"/>
        <v>4.0112356659739872</v>
      </c>
      <c r="M109" s="158">
        <f t="shared" si="3"/>
        <v>9.6002600841962025</v>
      </c>
      <c r="N109" s="158">
        <f t="shared" si="3"/>
        <v>291.04954069771503</v>
      </c>
      <c r="O109" s="158">
        <f t="shared" si="3"/>
        <v>0</v>
      </c>
      <c r="P109" s="158">
        <f t="shared" si="3"/>
        <v>5.3639472242518887E-2</v>
      </c>
      <c r="Q109" s="158">
        <f t="shared" si="3"/>
        <v>0.56219166988155422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3" sqref="F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1296</v>
      </c>
      <c r="B9" s="100">
        <v>1.39</v>
      </c>
      <c r="C9" s="100">
        <v>15.23</v>
      </c>
      <c r="D9" s="100">
        <v>9.07</v>
      </c>
      <c r="E9" s="100">
        <v>6.82</v>
      </c>
      <c r="F9" s="100">
        <v>7.01</v>
      </c>
      <c r="G9" s="100">
        <v>33.46</v>
      </c>
      <c r="H9" s="100">
        <v>21.72</v>
      </c>
      <c r="I9" s="100">
        <v>7.82</v>
      </c>
      <c r="J9" s="100">
        <v>3.78</v>
      </c>
      <c r="K9" s="100">
        <v>224.18</v>
      </c>
      <c r="L9" s="100">
        <v>33.76</v>
      </c>
      <c r="M9" s="100">
        <v>40.72</v>
      </c>
      <c r="N9" s="100">
        <v>22.9</v>
      </c>
      <c r="O9" s="100">
        <v>0</v>
      </c>
      <c r="P9" s="100">
        <v>0.48</v>
      </c>
      <c r="Q9" s="100">
        <v>28.65</v>
      </c>
      <c r="R9" s="6"/>
      <c r="S9" s="6"/>
      <c r="T9" s="156"/>
      <c r="U9" s="6"/>
    </row>
    <row r="10" spans="1:21" customFormat="1">
      <c r="A10" s="163" t="s">
        <v>1297</v>
      </c>
      <c r="B10" s="100">
        <v>1.39</v>
      </c>
      <c r="C10" s="100">
        <v>15.23</v>
      </c>
      <c r="D10" s="100">
        <v>9.07</v>
      </c>
      <c r="E10" s="100">
        <v>6.77</v>
      </c>
      <c r="F10" s="100">
        <v>6.79</v>
      </c>
      <c r="G10" s="100">
        <v>33.46</v>
      </c>
      <c r="H10" s="100">
        <v>21.72</v>
      </c>
      <c r="I10" s="100">
        <v>7.89</v>
      </c>
      <c r="J10" s="100">
        <v>3.33</v>
      </c>
      <c r="K10" s="100">
        <v>209.16</v>
      </c>
      <c r="L10" s="100">
        <v>33.65</v>
      </c>
      <c r="M10" s="100">
        <v>41.37</v>
      </c>
      <c r="N10" s="100">
        <v>23</v>
      </c>
      <c r="O10" s="100">
        <v>0</v>
      </c>
      <c r="P10" s="100">
        <v>0.47</v>
      </c>
      <c r="Q10" s="100">
        <v>28.33</v>
      </c>
      <c r="R10" s="6"/>
      <c r="S10" s="6"/>
      <c r="T10" s="156"/>
      <c r="U10" s="6"/>
    </row>
    <row r="11" spans="1:21" customFormat="1">
      <c r="A11" s="163" t="s">
        <v>1298</v>
      </c>
      <c r="B11" s="100">
        <v>1.39</v>
      </c>
      <c r="C11" s="100">
        <v>15.23</v>
      </c>
      <c r="D11" s="100">
        <v>9.07</v>
      </c>
      <c r="E11" s="100">
        <v>6.23</v>
      </c>
      <c r="F11" s="100">
        <v>11.51</v>
      </c>
      <c r="G11" s="100">
        <v>33.46</v>
      </c>
      <c r="H11" s="100">
        <v>21.72</v>
      </c>
      <c r="I11" s="100">
        <v>7.94</v>
      </c>
      <c r="J11" s="100">
        <v>3.5</v>
      </c>
      <c r="K11" s="100">
        <v>229.54</v>
      </c>
      <c r="L11" s="100">
        <v>33.64</v>
      </c>
      <c r="M11" s="100">
        <v>41.58</v>
      </c>
      <c r="N11" s="100">
        <v>22.8</v>
      </c>
      <c r="O11" s="100">
        <v>0</v>
      </c>
      <c r="P11" s="100">
        <v>0.46</v>
      </c>
      <c r="Q11" s="100">
        <v>28.44</v>
      </c>
      <c r="R11" s="6"/>
      <c r="S11" s="6"/>
      <c r="T11" s="156"/>
      <c r="U11" s="6"/>
    </row>
    <row r="12" spans="1:21" customFormat="1">
      <c r="A12" s="163" t="s">
        <v>1299</v>
      </c>
      <c r="B12" s="100">
        <v>1.39</v>
      </c>
      <c r="C12" s="100">
        <v>15.23</v>
      </c>
      <c r="D12" s="100">
        <v>9.07</v>
      </c>
      <c r="E12" s="100">
        <v>6.11</v>
      </c>
      <c r="F12" s="100">
        <v>15.09</v>
      </c>
      <c r="G12" s="100">
        <v>34.020000000000003</v>
      </c>
      <c r="H12" s="100">
        <v>20.98</v>
      </c>
      <c r="I12" s="100">
        <v>7.8</v>
      </c>
      <c r="J12" s="100">
        <v>3.56</v>
      </c>
      <c r="K12" s="100">
        <v>211.15</v>
      </c>
      <c r="L12" s="100">
        <v>33.51</v>
      </c>
      <c r="M12" s="100">
        <v>42.19</v>
      </c>
      <c r="N12" s="100">
        <v>23.1</v>
      </c>
      <c r="O12" s="100">
        <v>0</v>
      </c>
      <c r="P12" s="100">
        <v>0.44</v>
      </c>
      <c r="Q12" s="100">
        <v>28.72</v>
      </c>
      <c r="R12" s="6"/>
      <c r="S12" s="6"/>
      <c r="T12" s="156"/>
      <c r="U12" s="6"/>
    </row>
    <row r="13" spans="1:21" customFormat="1">
      <c r="A13" s="163" t="s">
        <v>1300</v>
      </c>
      <c r="B13" s="100">
        <v>1.39</v>
      </c>
      <c r="C13" s="100">
        <v>15.23</v>
      </c>
      <c r="D13" s="100">
        <v>9.07</v>
      </c>
      <c r="E13" s="100">
        <v>6.53</v>
      </c>
      <c r="F13" s="100">
        <v>12.58</v>
      </c>
      <c r="G13" s="100">
        <v>36.08</v>
      </c>
      <c r="H13" s="100">
        <v>18.21</v>
      </c>
      <c r="I13" s="100">
        <v>7.5</v>
      </c>
      <c r="J13" s="100">
        <v>3.54</v>
      </c>
      <c r="K13" s="100">
        <v>199.3</v>
      </c>
      <c r="L13" s="100">
        <v>33.26</v>
      </c>
      <c r="M13" s="100">
        <v>43.12</v>
      </c>
      <c r="N13" s="100">
        <v>23.1</v>
      </c>
      <c r="O13" s="100">
        <v>0</v>
      </c>
      <c r="P13" s="100">
        <v>0.44</v>
      </c>
      <c r="Q13" s="100">
        <v>28.62</v>
      </c>
      <c r="R13" s="6"/>
      <c r="S13" s="6"/>
      <c r="T13" s="156"/>
      <c r="U13" s="6"/>
    </row>
    <row r="14" spans="1:21" customFormat="1">
      <c r="A14" s="163" t="s">
        <v>1301</v>
      </c>
      <c r="B14" s="100">
        <v>1.39</v>
      </c>
      <c r="C14" s="100">
        <v>15.23</v>
      </c>
      <c r="D14" s="100">
        <v>9.07</v>
      </c>
      <c r="E14" s="100">
        <v>6.38</v>
      </c>
      <c r="F14" s="100">
        <v>16.96</v>
      </c>
      <c r="G14" s="100">
        <v>36.08</v>
      </c>
      <c r="H14" s="100">
        <v>18.21</v>
      </c>
      <c r="I14" s="100">
        <v>7.36</v>
      </c>
      <c r="J14" s="100">
        <v>3.36</v>
      </c>
      <c r="K14" s="100">
        <v>179.53</v>
      </c>
      <c r="L14" s="100">
        <v>33.159999999999997</v>
      </c>
      <c r="M14" s="100">
        <v>43.56</v>
      </c>
      <c r="N14" s="100">
        <v>23.2</v>
      </c>
      <c r="O14" s="100">
        <v>0</v>
      </c>
      <c r="P14" s="100">
        <v>0.43</v>
      </c>
      <c r="Q14" s="100">
        <v>28.67</v>
      </c>
      <c r="R14" s="6"/>
      <c r="S14" s="6"/>
      <c r="T14" s="156"/>
      <c r="U14" s="6"/>
    </row>
    <row r="15" spans="1:21" customFormat="1">
      <c r="A15" s="163" t="s">
        <v>1302</v>
      </c>
      <c r="B15" s="100">
        <v>1.39</v>
      </c>
      <c r="C15" s="100">
        <v>15.23</v>
      </c>
      <c r="D15" s="100">
        <v>9.07</v>
      </c>
      <c r="E15" s="100">
        <v>6.23</v>
      </c>
      <c r="F15" s="100">
        <v>13.67</v>
      </c>
      <c r="G15" s="100">
        <v>36.08</v>
      </c>
      <c r="H15" s="100">
        <v>18.21</v>
      </c>
      <c r="I15" s="100">
        <v>7.23</v>
      </c>
      <c r="J15" s="100">
        <v>3.52</v>
      </c>
      <c r="K15" s="100">
        <v>173.24</v>
      </c>
      <c r="L15" s="100">
        <v>33</v>
      </c>
      <c r="M15" s="100">
        <v>43.99</v>
      </c>
      <c r="N15" s="100">
        <v>23.1</v>
      </c>
      <c r="O15" s="100">
        <v>0</v>
      </c>
      <c r="P15" s="100">
        <v>0.43</v>
      </c>
      <c r="Q15" s="100">
        <v>28.66</v>
      </c>
      <c r="R15" s="6"/>
      <c r="S15" s="6"/>
      <c r="T15" s="156"/>
      <c r="U15" s="6"/>
    </row>
    <row r="16" spans="1:21" customFormat="1">
      <c r="A16" s="163" t="s">
        <v>1303</v>
      </c>
      <c r="B16" s="100">
        <v>1.39</v>
      </c>
      <c r="C16" s="100">
        <v>15.23</v>
      </c>
      <c r="D16" s="100">
        <v>9.07</v>
      </c>
      <c r="E16" s="100">
        <v>6.43</v>
      </c>
      <c r="F16" s="100">
        <v>14.01</v>
      </c>
      <c r="G16" s="100">
        <v>34.97</v>
      </c>
      <c r="H16" s="100">
        <v>17.809999999999999</v>
      </c>
      <c r="I16" s="100">
        <v>6.9</v>
      </c>
      <c r="J16" s="100">
        <v>3.56</v>
      </c>
      <c r="K16" s="100">
        <v>172.69</v>
      </c>
      <c r="L16" s="100">
        <v>32.880000000000003</v>
      </c>
      <c r="M16" s="100">
        <v>44.57</v>
      </c>
      <c r="N16" s="100">
        <v>22.9</v>
      </c>
      <c r="O16" s="100">
        <v>0</v>
      </c>
      <c r="P16" s="100">
        <v>0.43</v>
      </c>
      <c r="Q16" s="100">
        <v>28.63</v>
      </c>
      <c r="R16" s="6"/>
      <c r="S16" s="6"/>
      <c r="T16" s="156"/>
      <c r="U16" s="6"/>
    </row>
    <row r="17" spans="1:21" customFormat="1">
      <c r="A17" s="163" t="s">
        <v>1304</v>
      </c>
      <c r="B17" s="100">
        <v>1.39</v>
      </c>
      <c r="C17" s="100">
        <v>15.23</v>
      </c>
      <c r="D17" s="100">
        <v>9.07</v>
      </c>
      <c r="E17" s="100">
        <v>6.33</v>
      </c>
      <c r="F17" s="100">
        <v>15.14</v>
      </c>
      <c r="G17" s="100">
        <v>30.84</v>
      </c>
      <c r="H17" s="100">
        <v>16.329999999999998</v>
      </c>
      <c r="I17" s="100">
        <v>6.85</v>
      </c>
      <c r="J17" s="100">
        <v>3.34</v>
      </c>
      <c r="K17" s="100">
        <v>201.26</v>
      </c>
      <c r="L17" s="100">
        <v>32.700000000000003</v>
      </c>
      <c r="M17" s="100">
        <v>45.14</v>
      </c>
      <c r="N17" s="100">
        <v>22.8</v>
      </c>
      <c r="O17" s="100">
        <v>0</v>
      </c>
      <c r="P17" s="100">
        <v>0.43</v>
      </c>
      <c r="Q17" s="100">
        <v>28.6</v>
      </c>
      <c r="R17" s="6"/>
      <c r="S17" s="6"/>
      <c r="T17" s="156"/>
      <c r="U17" s="6"/>
    </row>
    <row r="18" spans="1:21" customFormat="1">
      <c r="A18" s="163" t="s">
        <v>1305</v>
      </c>
      <c r="B18" s="100">
        <v>1.39</v>
      </c>
      <c r="C18" s="100">
        <v>15.23</v>
      </c>
      <c r="D18" s="100">
        <v>9.07</v>
      </c>
      <c r="E18" s="100">
        <v>6.26</v>
      </c>
      <c r="F18" s="100">
        <v>14.84</v>
      </c>
      <c r="G18" s="100">
        <v>30.84</v>
      </c>
      <c r="H18" s="100">
        <v>16.329999999999998</v>
      </c>
      <c r="I18" s="100">
        <v>6.71</v>
      </c>
      <c r="J18" s="100">
        <v>3.16</v>
      </c>
      <c r="K18" s="100">
        <v>191.56</v>
      </c>
      <c r="L18" s="100">
        <v>32.65</v>
      </c>
      <c r="M18" s="100">
        <v>45.41</v>
      </c>
      <c r="N18" s="100">
        <v>22.7</v>
      </c>
      <c r="O18" s="100">
        <v>0</v>
      </c>
      <c r="P18" s="100">
        <v>0.42</v>
      </c>
      <c r="Q18" s="100">
        <v>28.58</v>
      </c>
      <c r="R18" s="6"/>
      <c r="S18" s="6"/>
      <c r="T18" s="156"/>
      <c r="U18" s="6"/>
    </row>
    <row r="19" spans="1:21" customFormat="1">
      <c r="A19" s="163" t="s">
        <v>1306</v>
      </c>
      <c r="B19" s="100">
        <v>1.39</v>
      </c>
      <c r="C19" s="100">
        <v>15.23</v>
      </c>
      <c r="D19" s="100">
        <v>9.07</v>
      </c>
      <c r="E19" s="100">
        <v>6.35</v>
      </c>
      <c r="F19" s="100">
        <v>9.14</v>
      </c>
      <c r="G19" s="100">
        <v>30.84</v>
      </c>
      <c r="H19" s="100">
        <v>16.329999999999998</v>
      </c>
      <c r="I19" s="100">
        <v>6.59</v>
      </c>
      <c r="J19" s="100">
        <v>3.41</v>
      </c>
      <c r="K19" s="100">
        <v>199.95</v>
      </c>
      <c r="L19" s="100">
        <v>32.6</v>
      </c>
      <c r="M19" s="100">
        <v>45.5</v>
      </c>
      <c r="N19" s="100">
        <v>22.7</v>
      </c>
      <c r="O19" s="100">
        <v>0</v>
      </c>
      <c r="P19" s="100">
        <v>0.43</v>
      </c>
      <c r="Q19" s="100">
        <v>28.53</v>
      </c>
      <c r="R19" s="6"/>
      <c r="S19" s="6"/>
      <c r="T19" s="156"/>
      <c r="U19" s="6"/>
    </row>
    <row r="20" spans="1:21" customFormat="1">
      <c r="A20" s="163" t="s">
        <v>1307</v>
      </c>
      <c r="B20" s="100">
        <v>1.39</v>
      </c>
      <c r="C20" s="100">
        <v>15.23</v>
      </c>
      <c r="D20" s="100">
        <v>9.07</v>
      </c>
      <c r="E20" s="100">
        <v>6.46</v>
      </c>
      <c r="F20" s="100">
        <v>5.52</v>
      </c>
      <c r="G20" s="100">
        <v>30.58</v>
      </c>
      <c r="H20" s="100">
        <v>16.18</v>
      </c>
      <c r="I20" s="100">
        <v>6.72</v>
      </c>
      <c r="J20" s="100">
        <v>3.61</v>
      </c>
      <c r="K20" s="100">
        <v>172.99</v>
      </c>
      <c r="L20" s="100">
        <v>32.409999999999997</v>
      </c>
      <c r="M20" s="100">
        <v>46.64</v>
      </c>
      <c r="N20" s="100">
        <v>23</v>
      </c>
      <c r="O20" s="100">
        <v>0</v>
      </c>
      <c r="P20" s="100">
        <v>0.45</v>
      </c>
      <c r="Q20" s="100">
        <v>28</v>
      </c>
      <c r="R20" s="6"/>
      <c r="S20" s="6"/>
      <c r="T20" s="156"/>
      <c r="U20" s="6"/>
    </row>
    <row r="21" spans="1:21" customFormat="1">
      <c r="A21" s="163" t="s">
        <v>1308</v>
      </c>
      <c r="B21" s="100">
        <v>1.39</v>
      </c>
      <c r="C21" s="100">
        <v>15.23</v>
      </c>
      <c r="D21" s="100">
        <v>9.07</v>
      </c>
      <c r="E21" s="100">
        <v>6.76</v>
      </c>
      <c r="F21" s="100">
        <v>4.07</v>
      </c>
      <c r="G21" s="100">
        <v>29.62</v>
      </c>
      <c r="H21" s="100">
        <v>15.62</v>
      </c>
      <c r="I21" s="100">
        <v>6.76</v>
      </c>
      <c r="J21" s="100">
        <v>3.69</v>
      </c>
      <c r="K21" s="100">
        <v>229.52</v>
      </c>
      <c r="L21" s="100">
        <v>32.340000000000003</v>
      </c>
      <c r="M21" s="100">
        <v>46.33</v>
      </c>
      <c r="N21" s="100">
        <v>22.4</v>
      </c>
      <c r="O21" s="100">
        <v>0</v>
      </c>
      <c r="P21" s="100">
        <v>0.44</v>
      </c>
      <c r="Q21" s="100">
        <v>27.99</v>
      </c>
      <c r="R21" s="6"/>
      <c r="S21" s="6"/>
      <c r="T21" s="156"/>
      <c r="U21" s="6"/>
    </row>
    <row r="22" spans="1:21" customFormat="1">
      <c r="A22" s="163" t="s">
        <v>1309</v>
      </c>
      <c r="B22" s="100">
        <v>1.39</v>
      </c>
      <c r="C22" s="100">
        <v>15.23</v>
      </c>
      <c r="D22" s="100">
        <v>9.07</v>
      </c>
      <c r="E22" s="100">
        <v>6.64</v>
      </c>
      <c r="F22" s="100">
        <v>3.44</v>
      </c>
      <c r="G22" s="100">
        <v>29.62</v>
      </c>
      <c r="H22" s="100">
        <v>15.62</v>
      </c>
      <c r="I22" s="100">
        <v>7.07</v>
      </c>
      <c r="J22" s="100">
        <v>3.44</v>
      </c>
      <c r="K22" s="100">
        <v>214.17</v>
      </c>
      <c r="L22" s="100">
        <v>32.229999999999997</v>
      </c>
      <c r="M22" s="100">
        <v>46.56</v>
      </c>
      <c r="N22" s="100">
        <v>22.8</v>
      </c>
      <c r="O22" s="100">
        <v>0</v>
      </c>
      <c r="P22" s="100">
        <v>0.44</v>
      </c>
      <c r="Q22" s="100">
        <v>28.02</v>
      </c>
      <c r="R22" s="6"/>
      <c r="S22" s="6"/>
      <c r="T22" s="156"/>
      <c r="U22" s="6"/>
    </row>
    <row r="23" spans="1:21" customFormat="1">
      <c r="A23" s="163" t="s">
        <v>1310</v>
      </c>
      <c r="B23" s="100">
        <v>1.39</v>
      </c>
      <c r="C23" s="100">
        <v>15.23</v>
      </c>
      <c r="D23" s="100">
        <v>9.07</v>
      </c>
      <c r="E23" s="100">
        <v>6.43</v>
      </c>
      <c r="F23" s="100">
        <v>4.21</v>
      </c>
      <c r="G23" s="100">
        <v>29.62</v>
      </c>
      <c r="H23" s="100">
        <v>15.62</v>
      </c>
      <c r="I23" s="100">
        <v>7.13</v>
      </c>
      <c r="J23" s="100">
        <v>3.09</v>
      </c>
      <c r="K23" s="100">
        <v>210.97</v>
      </c>
      <c r="L23" s="100">
        <v>32.26</v>
      </c>
      <c r="M23" s="100">
        <v>47</v>
      </c>
      <c r="N23" s="100">
        <v>22.6</v>
      </c>
      <c r="O23" s="100">
        <v>0</v>
      </c>
      <c r="P23" s="100">
        <v>0.43</v>
      </c>
      <c r="Q23" s="100">
        <v>28.11</v>
      </c>
      <c r="R23" s="6"/>
      <c r="S23" s="6"/>
      <c r="T23" s="156"/>
      <c r="U23" s="6"/>
    </row>
    <row r="24" spans="1:21" customFormat="1">
      <c r="A24" s="163" t="s">
        <v>1311</v>
      </c>
      <c r="B24" s="100">
        <v>1.39</v>
      </c>
      <c r="C24" s="100">
        <v>15.23</v>
      </c>
      <c r="D24" s="100">
        <v>9.07</v>
      </c>
      <c r="E24" s="100">
        <v>6.69</v>
      </c>
      <c r="F24" s="100">
        <v>6.42</v>
      </c>
      <c r="G24" s="100">
        <v>30.19</v>
      </c>
      <c r="H24" s="100">
        <v>16.100000000000001</v>
      </c>
      <c r="I24" s="100">
        <v>7.17</v>
      </c>
      <c r="J24" s="100">
        <v>2.5499999999999998</v>
      </c>
      <c r="K24" s="100">
        <v>219.53</v>
      </c>
      <c r="L24" s="100">
        <v>32.26</v>
      </c>
      <c r="M24" s="100">
        <v>47.39</v>
      </c>
      <c r="N24" s="100">
        <v>22.5</v>
      </c>
      <c r="O24" s="100">
        <v>0</v>
      </c>
      <c r="P24" s="100">
        <v>0.43</v>
      </c>
      <c r="Q24" s="100">
        <v>28.21</v>
      </c>
      <c r="R24" s="6"/>
      <c r="S24" s="6"/>
      <c r="T24" s="156"/>
      <c r="U24" s="6"/>
    </row>
    <row r="25" spans="1:21" customFormat="1">
      <c r="A25" s="163" t="s">
        <v>1312</v>
      </c>
      <c r="B25" s="100">
        <v>1.39</v>
      </c>
      <c r="C25" s="100">
        <v>15.23</v>
      </c>
      <c r="D25" s="100">
        <v>9.07</v>
      </c>
      <c r="E25" s="100">
        <v>6.58</v>
      </c>
      <c r="F25" s="100">
        <v>7.03</v>
      </c>
      <c r="G25" s="100">
        <v>32.28</v>
      </c>
      <c r="H25" s="100">
        <v>17.899999999999999</v>
      </c>
      <c r="I25" s="100">
        <v>7.1</v>
      </c>
      <c r="J25" s="100">
        <v>2.5299999999999998</v>
      </c>
      <c r="K25" s="100">
        <v>264.16000000000003</v>
      </c>
      <c r="L25" s="100">
        <v>32.49</v>
      </c>
      <c r="M25" s="100">
        <v>48.14</v>
      </c>
      <c r="N25" s="100">
        <v>22.6</v>
      </c>
      <c r="O25" s="100">
        <v>0</v>
      </c>
      <c r="P25" s="100">
        <v>0.43</v>
      </c>
      <c r="Q25" s="100">
        <v>28.3</v>
      </c>
      <c r="R25" s="6"/>
      <c r="S25" s="6"/>
      <c r="T25" s="156"/>
      <c r="U25" s="6"/>
    </row>
    <row r="26" spans="1:21" customFormat="1">
      <c r="A26" s="163" t="s">
        <v>1313</v>
      </c>
      <c r="B26" s="100">
        <v>1.39</v>
      </c>
      <c r="C26" s="100">
        <v>15.23</v>
      </c>
      <c r="D26" s="100">
        <v>9.07</v>
      </c>
      <c r="E26" s="100">
        <v>6.73</v>
      </c>
      <c r="F26" s="100">
        <v>9.58</v>
      </c>
      <c r="G26" s="100">
        <v>32.28</v>
      </c>
      <c r="H26" s="100">
        <v>17.899999999999999</v>
      </c>
      <c r="I26" s="100">
        <v>7.05</v>
      </c>
      <c r="J26" s="100">
        <v>3.11</v>
      </c>
      <c r="K26" s="100">
        <v>246.12</v>
      </c>
      <c r="L26" s="100">
        <v>32.880000000000003</v>
      </c>
      <c r="M26" s="100">
        <v>48.82</v>
      </c>
      <c r="N26" s="100">
        <v>22.7</v>
      </c>
      <c r="O26" s="100">
        <v>0</v>
      </c>
      <c r="P26" s="100">
        <v>0.42</v>
      </c>
      <c r="Q26" s="100">
        <v>28.47</v>
      </c>
      <c r="R26" s="6"/>
      <c r="S26" s="6"/>
      <c r="T26" s="156"/>
      <c r="U26" s="6"/>
    </row>
    <row r="27" spans="1:21" customFormat="1">
      <c r="A27" s="163" t="s">
        <v>1314</v>
      </c>
      <c r="B27" s="100">
        <v>1.39</v>
      </c>
      <c r="C27" s="100">
        <v>15.23</v>
      </c>
      <c r="D27" s="100">
        <v>9.07</v>
      </c>
      <c r="E27" s="100">
        <v>6.69</v>
      </c>
      <c r="F27" s="100">
        <v>7.85</v>
      </c>
      <c r="G27" s="100">
        <v>32.28</v>
      </c>
      <c r="H27" s="100">
        <v>17.899999999999999</v>
      </c>
      <c r="I27" s="100">
        <v>7.16</v>
      </c>
      <c r="J27" s="100">
        <v>3.02</v>
      </c>
      <c r="K27" s="100">
        <v>232.51</v>
      </c>
      <c r="L27" s="100">
        <v>32.97</v>
      </c>
      <c r="M27" s="100">
        <v>48.33</v>
      </c>
      <c r="N27" s="100">
        <v>22.4</v>
      </c>
      <c r="O27" s="100">
        <v>0</v>
      </c>
      <c r="P27" s="100">
        <v>0.43</v>
      </c>
      <c r="Q27" s="100">
        <v>28.54</v>
      </c>
      <c r="R27" s="6"/>
      <c r="S27" s="6"/>
      <c r="T27" s="156"/>
      <c r="U27" s="6"/>
    </row>
    <row r="28" spans="1:21" customFormat="1">
      <c r="A28" s="163" t="s">
        <v>1315</v>
      </c>
      <c r="B28" s="100">
        <v>1.39</v>
      </c>
      <c r="C28" s="100">
        <v>15.23</v>
      </c>
      <c r="D28" s="100">
        <v>9.07</v>
      </c>
      <c r="E28" s="100">
        <v>6.11</v>
      </c>
      <c r="F28" s="100">
        <v>5.32</v>
      </c>
      <c r="G28" s="100">
        <v>32.630000000000003</v>
      </c>
      <c r="H28" s="100">
        <v>17.75</v>
      </c>
      <c r="I28" s="100">
        <v>7.15</v>
      </c>
      <c r="J28" s="100">
        <v>3.34</v>
      </c>
      <c r="K28" s="100">
        <v>254.82</v>
      </c>
      <c r="L28" s="100">
        <v>32.74</v>
      </c>
      <c r="M28" s="100">
        <v>48.9</v>
      </c>
      <c r="N28" s="100">
        <v>22.7</v>
      </c>
      <c r="O28" s="100">
        <v>0</v>
      </c>
      <c r="P28" s="100">
        <v>0.45</v>
      </c>
      <c r="Q28" s="100">
        <v>28.43</v>
      </c>
      <c r="R28" s="6"/>
      <c r="S28" s="6"/>
      <c r="T28" s="156"/>
      <c r="U28" s="6"/>
    </row>
    <row r="29" spans="1:21" customFormat="1">
      <c r="A29" s="163" t="s">
        <v>1316</v>
      </c>
      <c r="B29" s="100">
        <v>1.39</v>
      </c>
      <c r="C29" s="100">
        <v>15.23</v>
      </c>
      <c r="D29" s="100">
        <v>9.07</v>
      </c>
      <c r="E29" s="100">
        <v>5.26</v>
      </c>
      <c r="F29" s="100">
        <v>4.43</v>
      </c>
      <c r="G29" s="100">
        <v>33.94</v>
      </c>
      <c r="H29" s="100">
        <v>17.149999999999999</v>
      </c>
      <c r="I29" s="100">
        <v>7.41</v>
      </c>
      <c r="J29" s="100">
        <v>3.7</v>
      </c>
      <c r="K29" s="100">
        <v>246.51</v>
      </c>
      <c r="L29" s="100">
        <v>32.07</v>
      </c>
      <c r="M29" s="100">
        <v>50.83</v>
      </c>
      <c r="N29" s="100">
        <v>23.2</v>
      </c>
      <c r="O29" s="100">
        <v>0</v>
      </c>
      <c r="P29" s="100">
        <v>0.43</v>
      </c>
      <c r="Q29" s="100">
        <v>28.32</v>
      </c>
      <c r="R29" s="6"/>
      <c r="S29" s="6"/>
      <c r="T29" s="156"/>
      <c r="U29" s="6"/>
    </row>
    <row r="30" spans="1:21" customFormat="1">
      <c r="A30" s="163" t="s">
        <v>1317</v>
      </c>
      <c r="B30" s="100">
        <v>1.39</v>
      </c>
      <c r="C30" s="100">
        <v>15.23</v>
      </c>
      <c r="D30" s="100">
        <v>9.07</v>
      </c>
      <c r="E30" s="100">
        <v>6.34</v>
      </c>
      <c r="F30" s="100">
        <v>4.92</v>
      </c>
      <c r="G30" s="100">
        <v>33.94</v>
      </c>
      <c r="H30" s="100">
        <v>17.149999999999999</v>
      </c>
      <c r="I30" s="100">
        <v>7.65</v>
      </c>
      <c r="J30" s="100">
        <v>3.15</v>
      </c>
      <c r="K30" s="100">
        <v>242.08</v>
      </c>
      <c r="L30" s="100">
        <v>31.87</v>
      </c>
      <c r="M30" s="100">
        <v>51.41</v>
      </c>
      <c r="N30" s="100">
        <v>25.8</v>
      </c>
      <c r="O30" s="100">
        <v>0</v>
      </c>
      <c r="P30" s="100">
        <v>0.45</v>
      </c>
      <c r="Q30" s="100">
        <v>28.28</v>
      </c>
      <c r="R30" s="6"/>
      <c r="S30" s="6"/>
      <c r="T30" s="156"/>
      <c r="U30" s="6"/>
    </row>
    <row r="31" spans="1:21" customFormat="1">
      <c r="A31" s="163" t="s">
        <v>1318</v>
      </c>
      <c r="B31" s="100">
        <v>1.39</v>
      </c>
      <c r="C31" s="100">
        <v>15.23</v>
      </c>
      <c r="D31" s="100">
        <v>9.07</v>
      </c>
      <c r="E31" s="100">
        <v>5.99</v>
      </c>
      <c r="F31" s="100">
        <v>6.5</v>
      </c>
      <c r="G31" s="100">
        <v>33.94</v>
      </c>
      <c r="H31" s="100">
        <v>17.149999999999999</v>
      </c>
      <c r="I31" s="100">
        <v>7.8</v>
      </c>
      <c r="J31" s="100">
        <v>2.79</v>
      </c>
      <c r="K31" s="100">
        <v>248.14</v>
      </c>
      <c r="L31" s="100">
        <v>32.08</v>
      </c>
      <c r="M31" s="100">
        <v>49.66</v>
      </c>
      <c r="N31" s="100">
        <v>33.4</v>
      </c>
      <c r="O31" s="100">
        <v>0</v>
      </c>
      <c r="P31" s="100">
        <v>0.46</v>
      </c>
      <c r="Q31" s="100">
        <v>28.28</v>
      </c>
      <c r="R31" s="6"/>
      <c r="S31" s="6"/>
      <c r="T31" s="156"/>
      <c r="U31" s="6"/>
    </row>
    <row r="32" spans="1:21" customFormat="1">
      <c r="A32" s="163" t="s">
        <v>1319</v>
      </c>
      <c r="B32" s="100">
        <v>1.39</v>
      </c>
      <c r="C32" s="100">
        <v>15.23</v>
      </c>
      <c r="D32" s="100">
        <v>9.07</v>
      </c>
      <c r="E32" s="100">
        <v>6.3</v>
      </c>
      <c r="F32" s="100">
        <v>4.66</v>
      </c>
      <c r="G32" s="100">
        <v>35.49</v>
      </c>
      <c r="H32" s="100">
        <v>16.52</v>
      </c>
      <c r="I32" s="100">
        <v>8.1199999999999992</v>
      </c>
      <c r="J32" s="100">
        <v>3.29</v>
      </c>
      <c r="K32" s="100">
        <v>241.37</v>
      </c>
      <c r="L32" s="100">
        <v>32.08</v>
      </c>
      <c r="M32" s="100">
        <v>49.63</v>
      </c>
      <c r="N32" s="100">
        <v>44.1</v>
      </c>
      <c r="O32" s="100">
        <v>0</v>
      </c>
      <c r="P32" s="100">
        <v>0.46</v>
      </c>
      <c r="Q32" s="100">
        <v>28.22</v>
      </c>
      <c r="R32" s="6"/>
      <c r="S32" s="6"/>
      <c r="T32" s="156"/>
      <c r="U32" s="6"/>
    </row>
    <row r="33" spans="1:21" customFormat="1">
      <c r="A33" s="163" t="s">
        <v>1320</v>
      </c>
      <c r="B33" s="100">
        <v>1.39</v>
      </c>
      <c r="C33" s="100">
        <v>15.23</v>
      </c>
      <c r="D33" s="100">
        <v>9.07</v>
      </c>
      <c r="E33" s="100">
        <v>6.36</v>
      </c>
      <c r="F33" s="100">
        <v>3.09</v>
      </c>
      <c r="G33" s="100">
        <v>41.26</v>
      </c>
      <c r="H33" s="100">
        <v>14.14</v>
      </c>
      <c r="I33" s="100">
        <v>8.73</v>
      </c>
      <c r="J33" s="100">
        <v>3.21</v>
      </c>
      <c r="K33" s="100">
        <v>236.9</v>
      </c>
      <c r="L33" s="100">
        <v>32.06</v>
      </c>
      <c r="M33" s="100">
        <v>50.19</v>
      </c>
      <c r="N33" s="100">
        <v>55.8</v>
      </c>
      <c r="O33" s="100">
        <v>0</v>
      </c>
      <c r="P33" s="100">
        <v>0.48</v>
      </c>
      <c r="Q33" s="100">
        <v>28</v>
      </c>
      <c r="R33" s="6"/>
      <c r="S33" s="6"/>
      <c r="T33" s="156"/>
      <c r="U33" s="6"/>
    </row>
    <row r="34" spans="1:21" customFormat="1">
      <c r="A34" s="163" t="s">
        <v>1321</v>
      </c>
      <c r="B34" s="100">
        <v>1.39</v>
      </c>
      <c r="C34" s="100">
        <v>15.23</v>
      </c>
      <c r="D34" s="100">
        <v>9.07</v>
      </c>
      <c r="E34" s="100">
        <v>6.41</v>
      </c>
      <c r="F34" s="100">
        <v>3.74</v>
      </c>
      <c r="G34" s="100">
        <v>41.26</v>
      </c>
      <c r="H34" s="100">
        <v>14.14</v>
      </c>
      <c r="I34" s="100">
        <v>9.09</v>
      </c>
      <c r="J34" s="100">
        <v>2.98</v>
      </c>
      <c r="K34" s="100">
        <v>237.21</v>
      </c>
      <c r="L34" s="100">
        <v>32.24</v>
      </c>
      <c r="M34" s="100">
        <v>49.5</v>
      </c>
      <c r="N34" s="100">
        <v>67</v>
      </c>
      <c r="O34" s="100">
        <v>0</v>
      </c>
      <c r="P34" s="100">
        <v>0.48</v>
      </c>
      <c r="Q34" s="100">
        <v>27.96</v>
      </c>
      <c r="R34" s="6"/>
      <c r="S34" s="6"/>
      <c r="T34" s="156"/>
      <c r="U34" s="6"/>
    </row>
    <row r="35" spans="1:21" customFormat="1">
      <c r="A35" s="163" t="s">
        <v>1322</v>
      </c>
      <c r="B35" s="100">
        <v>1.39</v>
      </c>
      <c r="C35" s="100">
        <v>15.23</v>
      </c>
      <c r="D35" s="100">
        <v>9.07</v>
      </c>
      <c r="E35" s="100">
        <v>6.62</v>
      </c>
      <c r="F35" s="100">
        <v>3.15</v>
      </c>
      <c r="G35" s="100">
        <v>41.26</v>
      </c>
      <c r="H35" s="100">
        <v>14.14</v>
      </c>
      <c r="I35" s="100">
        <v>9.3000000000000007</v>
      </c>
      <c r="J35" s="100">
        <v>3.28</v>
      </c>
      <c r="K35" s="100">
        <v>242.93</v>
      </c>
      <c r="L35" s="100">
        <v>32.58</v>
      </c>
      <c r="M35" s="100">
        <v>48.48</v>
      </c>
      <c r="N35" s="100">
        <v>79.8</v>
      </c>
      <c r="O35" s="100">
        <v>0</v>
      </c>
      <c r="P35" s="100">
        <v>0.47</v>
      </c>
      <c r="Q35" s="100">
        <v>28.13</v>
      </c>
      <c r="R35" s="6"/>
      <c r="S35" s="6"/>
      <c r="T35" s="156"/>
      <c r="U35" s="6"/>
    </row>
    <row r="36" spans="1:21" customFormat="1">
      <c r="A36" s="163" t="s">
        <v>1323</v>
      </c>
      <c r="B36" s="100">
        <v>1.39</v>
      </c>
      <c r="C36" s="100">
        <v>15.23</v>
      </c>
      <c r="D36" s="100">
        <v>9.07</v>
      </c>
      <c r="E36" s="100">
        <v>6.34</v>
      </c>
      <c r="F36" s="100">
        <v>2.92</v>
      </c>
      <c r="G36" s="100">
        <v>44.57</v>
      </c>
      <c r="H36" s="100">
        <v>16.47</v>
      </c>
      <c r="I36" s="100">
        <v>9.76</v>
      </c>
      <c r="J36" s="100">
        <v>3.31</v>
      </c>
      <c r="K36" s="100">
        <v>241.41</v>
      </c>
      <c r="L36" s="100">
        <v>32.729999999999997</v>
      </c>
      <c r="M36" s="100">
        <v>48.56</v>
      </c>
      <c r="N36" s="100">
        <v>115.5</v>
      </c>
      <c r="O36" s="100">
        <v>0</v>
      </c>
      <c r="P36" s="100">
        <v>0.49</v>
      </c>
      <c r="Q36" s="100">
        <v>28.1</v>
      </c>
      <c r="R36" s="6"/>
      <c r="S36" s="6"/>
      <c r="T36" s="156"/>
      <c r="U36" s="6"/>
    </row>
    <row r="37" spans="1:21" customFormat="1">
      <c r="A37" s="163" t="s">
        <v>1324</v>
      </c>
      <c r="B37" s="100">
        <v>1.39</v>
      </c>
      <c r="C37" s="100">
        <v>15.23</v>
      </c>
      <c r="D37" s="100">
        <v>9.07</v>
      </c>
      <c r="E37" s="100">
        <v>6.71</v>
      </c>
      <c r="F37" s="100">
        <v>2.94</v>
      </c>
      <c r="G37" s="100">
        <v>56.9</v>
      </c>
      <c r="H37" s="100">
        <v>25.18</v>
      </c>
      <c r="I37" s="100">
        <v>10.26</v>
      </c>
      <c r="J37" s="100">
        <v>3.48</v>
      </c>
      <c r="K37" s="100">
        <v>236.49</v>
      </c>
      <c r="L37" s="100">
        <v>32.69</v>
      </c>
      <c r="M37" s="100">
        <v>51.36</v>
      </c>
      <c r="N37" s="100">
        <v>133.9</v>
      </c>
      <c r="O37" s="100">
        <v>0</v>
      </c>
      <c r="P37" s="100">
        <v>0.49</v>
      </c>
      <c r="Q37" s="100">
        <v>28.05</v>
      </c>
      <c r="R37" s="6"/>
      <c r="S37" s="6"/>
      <c r="T37" s="156"/>
      <c r="U37" s="6"/>
    </row>
    <row r="38" spans="1:21" customFormat="1">
      <c r="A38" s="163" t="s">
        <v>1325</v>
      </c>
      <c r="B38" s="100">
        <v>1.39</v>
      </c>
      <c r="C38" s="100">
        <v>15.23</v>
      </c>
      <c r="D38" s="100">
        <v>9.07</v>
      </c>
      <c r="E38" s="100">
        <v>6.55</v>
      </c>
      <c r="F38" s="100">
        <v>3.54</v>
      </c>
      <c r="G38" s="100">
        <v>56.9</v>
      </c>
      <c r="H38" s="100">
        <v>25.18</v>
      </c>
      <c r="I38" s="100">
        <v>10.56</v>
      </c>
      <c r="J38" s="100">
        <v>3.45</v>
      </c>
      <c r="K38" s="100">
        <v>241.75</v>
      </c>
      <c r="L38" s="100">
        <v>33.630000000000003</v>
      </c>
      <c r="M38" s="100">
        <v>45.71</v>
      </c>
      <c r="N38" s="100">
        <v>122.9</v>
      </c>
      <c r="O38" s="100">
        <v>0</v>
      </c>
      <c r="P38" s="100">
        <v>0.5</v>
      </c>
      <c r="Q38" s="100">
        <v>28.12</v>
      </c>
      <c r="R38" s="6"/>
      <c r="S38" s="6"/>
      <c r="T38" s="156"/>
      <c r="U38" s="6"/>
    </row>
    <row r="39" spans="1:21" customFormat="1">
      <c r="A39" s="163" t="s">
        <v>1326</v>
      </c>
      <c r="B39" s="100">
        <v>1.39</v>
      </c>
      <c r="C39" s="100">
        <v>15.23</v>
      </c>
      <c r="D39" s="100">
        <v>9.07</v>
      </c>
      <c r="E39" s="100">
        <v>6.56</v>
      </c>
      <c r="F39" s="100">
        <v>8.2899999999999991</v>
      </c>
      <c r="G39" s="100">
        <v>56.9</v>
      </c>
      <c r="H39" s="100">
        <v>25.18</v>
      </c>
      <c r="I39" s="100">
        <v>10.97</v>
      </c>
      <c r="J39" s="100">
        <v>2.5299999999999998</v>
      </c>
      <c r="K39" s="100">
        <v>249.4</v>
      </c>
      <c r="L39" s="100">
        <v>34.659999999999997</v>
      </c>
      <c r="M39" s="100">
        <v>39.31</v>
      </c>
      <c r="N39" s="100">
        <v>126</v>
      </c>
      <c r="O39" s="100">
        <v>0</v>
      </c>
      <c r="P39" s="100">
        <v>0.5</v>
      </c>
      <c r="Q39" s="100">
        <v>28.2</v>
      </c>
      <c r="R39" s="6"/>
      <c r="S39" s="6"/>
      <c r="T39" s="156"/>
      <c r="U39" s="6"/>
    </row>
    <row r="40" spans="1:21" customFormat="1">
      <c r="A40" s="163" t="s">
        <v>1327</v>
      </c>
      <c r="B40" s="100">
        <v>1.39</v>
      </c>
      <c r="C40" s="100">
        <v>15.23</v>
      </c>
      <c r="D40" s="100">
        <v>9.07</v>
      </c>
      <c r="E40" s="100">
        <v>6.09</v>
      </c>
      <c r="F40" s="100">
        <v>7.13</v>
      </c>
      <c r="G40" s="100">
        <v>58.39</v>
      </c>
      <c r="H40" s="100">
        <v>25.3</v>
      </c>
      <c r="I40" s="100">
        <v>11.4</v>
      </c>
      <c r="J40" s="100">
        <v>3.2</v>
      </c>
      <c r="K40" s="100">
        <v>253.4</v>
      </c>
      <c r="L40" s="100">
        <v>35.049999999999997</v>
      </c>
      <c r="M40" s="100">
        <v>38.82</v>
      </c>
      <c r="N40" s="100">
        <v>303.3</v>
      </c>
      <c r="O40" s="100">
        <v>0</v>
      </c>
      <c r="P40" s="100">
        <v>0.52</v>
      </c>
      <c r="Q40" s="100">
        <v>28.35</v>
      </c>
      <c r="R40" s="6"/>
      <c r="S40" s="6"/>
      <c r="T40" s="156"/>
      <c r="U40" s="6"/>
    </row>
    <row r="41" spans="1:21" customFormat="1">
      <c r="A41" s="163" t="s">
        <v>1328</v>
      </c>
      <c r="B41" s="100">
        <v>1.39</v>
      </c>
      <c r="C41" s="100">
        <v>15.23</v>
      </c>
      <c r="D41" s="100">
        <v>9.07</v>
      </c>
      <c r="E41" s="100">
        <v>6.2</v>
      </c>
      <c r="F41" s="100">
        <v>11.27</v>
      </c>
      <c r="G41" s="100">
        <v>63.95</v>
      </c>
      <c r="H41" s="100">
        <v>25.74</v>
      </c>
      <c r="I41" s="100">
        <v>11.4</v>
      </c>
      <c r="J41" s="100">
        <v>2.14</v>
      </c>
      <c r="K41" s="100">
        <v>257.95999999999998</v>
      </c>
      <c r="L41" s="100">
        <v>35.630000000000003</v>
      </c>
      <c r="M41" s="100">
        <v>38.35</v>
      </c>
      <c r="N41" s="100">
        <v>388.6</v>
      </c>
      <c r="O41" s="100">
        <v>0</v>
      </c>
      <c r="P41" s="100">
        <v>0.53</v>
      </c>
      <c r="Q41" s="100">
        <v>28.34</v>
      </c>
      <c r="R41" s="6"/>
      <c r="S41" s="6"/>
      <c r="T41" s="156"/>
      <c r="U41" s="6"/>
    </row>
    <row r="42" spans="1:21" customFormat="1">
      <c r="A42" s="163" t="s">
        <v>1329</v>
      </c>
      <c r="B42" s="100">
        <v>1.39</v>
      </c>
      <c r="C42" s="100">
        <v>15.23</v>
      </c>
      <c r="D42" s="100">
        <v>9.07</v>
      </c>
      <c r="E42" s="100">
        <v>6.33</v>
      </c>
      <c r="F42" s="100">
        <v>13.49</v>
      </c>
      <c r="G42" s="100">
        <v>63.95</v>
      </c>
      <c r="H42" s="100">
        <v>25.74</v>
      </c>
      <c r="I42" s="100">
        <v>11.14</v>
      </c>
      <c r="J42" s="100">
        <v>1.46</v>
      </c>
      <c r="K42" s="100">
        <v>263.10000000000002</v>
      </c>
      <c r="L42" s="100">
        <v>36.020000000000003</v>
      </c>
      <c r="M42" s="100">
        <v>37.74</v>
      </c>
      <c r="N42" s="100">
        <v>308.7</v>
      </c>
      <c r="O42" s="100">
        <v>0</v>
      </c>
      <c r="P42" s="100">
        <v>0.53</v>
      </c>
      <c r="Q42" s="100">
        <v>28.38</v>
      </c>
      <c r="R42" s="6"/>
      <c r="S42" s="6"/>
      <c r="T42" s="156"/>
      <c r="U42" s="6"/>
    </row>
    <row r="43" spans="1:21" customFormat="1">
      <c r="A43" s="163" t="s">
        <v>1330</v>
      </c>
      <c r="B43" s="100">
        <v>1.39</v>
      </c>
      <c r="C43" s="100">
        <v>15.23</v>
      </c>
      <c r="D43" s="100">
        <v>9.07</v>
      </c>
      <c r="E43" s="100">
        <v>6.38</v>
      </c>
      <c r="F43" s="100">
        <v>18.09</v>
      </c>
      <c r="G43" s="100">
        <v>63.95</v>
      </c>
      <c r="H43" s="100">
        <v>25.74</v>
      </c>
      <c r="I43" s="100">
        <v>10.87</v>
      </c>
      <c r="J43" s="100">
        <v>1.32</v>
      </c>
      <c r="K43" s="100">
        <v>339.94</v>
      </c>
      <c r="L43" s="100">
        <v>36.64</v>
      </c>
      <c r="M43" s="100">
        <v>36.76</v>
      </c>
      <c r="N43" s="100">
        <v>396.8</v>
      </c>
      <c r="O43" s="100">
        <v>0</v>
      </c>
      <c r="P43" s="100">
        <v>0.55000000000000004</v>
      </c>
      <c r="Q43" s="100">
        <v>28.43</v>
      </c>
      <c r="R43" s="6"/>
      <c r="S43" s="6"/>
      <c r="T43" s="156"/>
      <c r="U43" s="6"/>
    </row>
    <row r="44" spans="1:21" customFormat="1">
      <c r="A44" s="163" t="s">
        <v>1331</v>
      </c>
      <c r="B44" s="100">
        <v>1.39</v>
      </c>
      <c r="C44" s="100">
        <v>15.23</v>
      </c>
      <c r="D44" s="100">
        <v>9.07</v>
      </c>
      <c r="E44" s="100">
        <v>6.38</v>
      </c>
      <c r="F44" s="100">
        <v>12.97</v>
      </c>
      <c r="G44" s="100">
        <v>63.19</v>
      </c>
      <c r="H44" s="100">
        <v>26</v>
      </c>
      <c r="I44" s="100">
        <v>10.58</v>
      </c>
      <c r="J44" s="100">
        <v>2.06</v>
      </c>
      <c r="K44" s="100">
        <v>256.55</v>
      </c>
      <c r="L44" s="100">
        <v>36.76</v>
      </c>
      <c r="M44" s="100">
        <v>36.04</v>
      </c>
      <c r="N44" s="100">
        <v>242.8</v>
      </c>
      <c r="O44" s="100">
        <v>0</v>
      </c>
      <c r="P44" s="100">
        <v>0.53</v>
      </c>
      <c r="Q44" s="100">
        <v>28.43</v>
      </c>
      <c r="R44" s="6"/>
      <c r="S44" s="6"/>
      <c r="T44" s="156"/>
      <c r="U44" s="6"/>
    </row>
    <row r="45" spans="1:21" customFormat="1">
      <c r="A45" s="163" t="s">
        <v>1332</v>
      </c>
      <c r="B45" s="100">
        <v>1.39</v>
      </c>
      <c r="C45" s="100">
        <v>15.23</v>
      </c>
      <c r="D45" s="100">
        <v>9.07</v>
      </c>
      <c r="E45" s="100">
        <v>6.38</v>
      </c>
      <c r="F45" s="100">
        <v>10.52</v>
      </c>
      <c r="G45" s="100">
        <v>60.38</v>
      </c>
      <c r="H45" s="100">
        <v>26.95</v>
      </c>
      <c r="I45" s="100">
        <v>10.44</v>
      </c>
      <c r="J45" s="100">
        <v>2.42</v>
      </c>
      <c r="K45" s="100">
        <v>253.56</v>
      </c>
      <c r="L45" s="100">
        <v>37.47</v>
      </c>
      <c r="M45" s="100">
        <v>34.24</v>
      </c>
      <c r="N45" s="100">
        <v>239</v>
      </c>
      <c r="O45" s="100">
        <v>0</v>
      </c>
      <c r="P45" s="100">
        <v>0.54</v>
      </c>
      <c r="Q45" s="100">
        <v>28.4</v>
      </c>
      <c r="R45" s="6"/>
      <c r="S45" s="6"/>
      <c r="T45" s="156"/>
      <c r="U45" s="6"/>
    </row>
    <row r="46" spans="1:21" customFormat="1">
      <c r="A46" s="163" t="s">
        <v>1333</v>
      </c>
      <c r="B46" s="100">
        <v>1.39</v>
      </c>
      <c r="C46" s="100">
        <v>15.23</v>
      </c>
      <c r="D46" s="100">
        <v>9.07</v>
      </c>
      <c r="E46" s="100">
        <v>6.35</v>
      </c>
      <c r="F46" s="100">
        <v>7.64</v>
      </c>
      <c r="G46" s="100">
        <v>60.38</v>
      </c>
      <c r="H46" s="100">
        <v>26.95</v>
      </c>
      <c r="I46" s="100">
        <v>10.33</v>
      </c>
      <c r="J46" s="100">
        <v>3.01</v>
      </c>
      <c r="K46" s="100">
        <v>254.43</v>
      </c>
      <c r="L46" s="100">
        <v>37.58</v>
      </c>
      <c r="M46" s="100">
        <v>33.229999999999997</v>
      </c>
      <c r="N46" s="100">
        <v>326</v>
      </c>
      <c r="O46" s="100">
        <v>0</v>
      </c>
      <c r="P46" s="100">
        <v>0.54</v>
      </c>
      <c r="Q46" s="100">
        <v>28.16</v>
      </c>
      <c r="R46" s="6"/>
      <c r="S46" s="6"/>
      <c r="T46" s="156"/>
      <c r="U46" s="6"/>
    </row>
    <row r="47" spans="1:21" customFormat="1">
      <c r="A47" s="163" t="s">
        <v>1334</v>
      </c>
      <c r="B47" s="100">
        <v>1.39</v>
      </c>
      <c r="C47" s="100">
        <v>15.23</v>
      </c>
      <c r="D47" s="100">
        <v>9.07</v>
      </c>
      <c r="E47" s="100">
        <v>7.02</v>
      </c>
      <c r="F47" s="100">
        <v>14.39</v>
      </c>
      <c r="G47" s="100">
        <v>60.38</v>
      </c>
      <c r="H47" s="100">
        <v>26.95</v>
      </c>
      <c r="I47" s="100">
        <v>10.16</v>
      </c>
      <c r="J47" s="100">
        <v>3.06</v>
      </c>
      <c r="K47" s="100">
        <v>246.02</v>
      </c>
      <c r="L47" s="100">
        <v>38.17</v>
      </c>
      <c r="M47" s="100">
        <v>32.229999999999997</v>
      </c>
      <c r="N47" s="100">
        <v>596.5</v>
      </c>
      <c r="O47" s="100">
        <v>0</v>
      </c>
      <c r="P47" s="100">
        <v>0.53</v>
      </c>
      <c r="Q47" s="100">
        <v>28.37</v>
      </c>
      <c r="R47" s="6"/>
      <c r="S47" s="6"/>
      <c r="T47" s="156"/>
      <c r="U47" s="6"/>
    </row>
    <row r="48" spans="1:21" customFormat="1">
      <c r="A48" s="163" t="s">
        <v>1335</v>
      </c>
      <c r="B48" s="100">
        <v>1.39</v>
      </c>
      <c r="C48" s="100">
        <v>15.23</v>
      </c>
      <c r="D48" s="100">
        <v>9.07</v>
      </c>
      <c r="E48" s="100">
        <v>7.41</v>
      </c>
      <c r="F48" s="100">
        <v>18.18</v>
      </c>
      <c r="G48" s="100">
        <v>58.9</v>
      </c>
      <c r="H48" s="100">
        <v>25.69</v>
      </c>
      <c r="I48" s="100">
        <v>10.119999999999999</v>
      </c>
      <c r="J48" s="100">
        <v>2.04</v>
      </c>
      <c r="K48" s="100">
        <v>246.39</v>
      </c>
      <c r="L48" s="100">
        <v>38.799999999999997</v>
      </c>
      <c r="M48" s="100">
        <v>31.05</v>
      </c>
      <c r="N48" s="100">
        <v>670.7</v>
      </c>
      <c r="O48" s="100">
        <v>0</v>
      </c>
      <c r="P48" s="100">
        <v>0.51</v>
      </c>
      <c r="Q48" s="100">
        <v>28.55</v>
      </c>
      <c r="R48" s="6"/>
      <c r="S48" s="6"/>
      <c r="T48" s="156"/>
      <c r="U48" s="6"/>
    </row>
    <row r="49" spans="1:21" customFormat="1">
      <c r="A49" s="163" t="s">
        <v>1336</v>
      </c>
      <c r="B49" s="100">
        <v>1.39</v>
      </c>
      <c r="C49" s="100">
        <v>15.23</v>
      </c>
      <c r="D49" s="100">
        <v>9.07</v>
      </c>
      <c r="E49" s="100">
        <v>7.51</v>
      </c>
      <c r="F49" s="100">
        <v>22.61</v>
      </c>
      <c r="G49" s="100">
        <v>53.38</v>
      </c>
      <c r="H49" s="100">
        <v>20.96</v>
      </c>
      <c r="I49" s="100">
        <v>9.8699999999999992</v>
      </c>
      <c r="J49" s="100">
        <v>1.27</v>
      </c>
      <c r="K49" s="100">
        <v>308.43</v>
      </c>
      <c r="L49" s="100">
        <v>39.19</v>
      </c>
      <c r="M49" s="100">
        <v>30.49</v>
      </c>
      <c r="N49" s="100">
        <v>705.4</v>
      </c>
      <c r="O49" s="100">
        <v>0</v>
      </c>
      <c r="P49" s="100">
        <v>0.5</v>
      </c>
      <c r="Q49" s="100">
        <v>28.63</v>
      </c>
      <c r="R49" s="6"/>
      <c r="S49" s="6"/>
      <c r="T49" s="156"/>
      <c r="U49" s="6"/>
    </row>
    <row r="50" spans="1:21" customFormat="1">
      <c r="A50" s="163" t="s">
        <v>1337</v>
      </c>
      <c r="B50" s="100">
        <v>1.39</v>
      </c>
      <c r="C50" s="100">
        <v>15.23</v>
      </c>
      <c r="D50" s="100">
        <v>9.07</v>
      </c>
      <c r="E50" s="100">
        <v>7.13</v>
      </c>
      <c r="F50" s="100">
        <v>15.45</v>
      </c>
      <c r="G50" s="100">
        <v>53.38</v>
      </c>
      <c r="H50" s="100">
        <v>20.96</v>
      </c>
      <c r="I50" s="100">
        <v>9.6</v>
      </c>
      <c r="J50" s="100">
        <v>1.9</v>
      </c>
      <c r="K50" s="100">
        <v>278.7</v>
      </c>
      <c r="L50" s="100">
        <v>39.479999999999997</v>
      </c>
      <c r="M50" s="100">
        <v>29.94</v>
      </c>
      <c r="N50" s="100">
        <v>741.3</v>
      </c>
      <c r="O50" s="100">
        <v>0</v>
      </c>
      <c r="P50" s="100">
        <v>0.51</v>
      </c>
      <c r="Q50" s="100">
        <v>28.74</v>
      </c>
      <c r="R50" s="6"/>
      <c r="S50" s="6"/>
      <c r="T50" s="156"/>
      <c r="U50" s="6"/>
    </row>
    <row r="51" spans="1:21" customFormat="1">
      <c r="A51" s="163" t="s">
        <v>1338</v>
      </c>
      <c r="B51" s="100">
        <v>0.68</v>
      </c>
      <c r="C51" s="100">
        <v>7.44</v>
      </c>
      <c r="D51" s="100">
        <v>4.43</v>
      </c>
      <c r="E51" s="100">
        <v>6.3</v>
      </c>
      <c r="F51" s="100">
        <v>40.82</v>
      </c>
      <c r="G51" s="100">
        <v>53.38</v>
      </c>
      <c r="H51" s="100">
        <v>20.96</v>
      </c>
      <c r="I51" s="100">
        <v>9.64</v>
      </c>
      <c r="J51" s="100">
        <v>1.1399999999999999</v>
      </c>
      <c r="K51" s="100">
        <v>313.75</v>
      </c>
      <c r="L51" s="100">
        <v>39.82</v>
      </c>
      <c r="M51" s="100">
        <v>29.44</v>
      </c>
      <c r="N51" s="100">
        <v>767</v>
      </c>
      <c r="O51" s="100">
        <v>0</v>
      </c>
      <c r="P51" s="100">
        <v>0.51</v>
      </c>
      <c r="Q51" s="100">
        <v>28.51</v>
      </c>
      <c r="R51" s="6"/>
      <c r="S51" s="6"/>
      <c r="T51" s="156"/>
      <c r="U51" s="6"/>
    </row>
    <row r="52" spans="1:21" customFormat="1">
      <c r="A52" s="163" t="s">
        <v>1339</v>
      </c>
      <c r="B52" s="100">
        <v>-0.17</v>
      </c>
      <c r="C52" s="100">
        <v>56.6</v>
      </c>
      <c r="D52" s="100">
        <v>29.43</v>
      </c>
      <c r="E52" s="100">
        <v>4.41</v>
      </c>
      <c r="F52" s="100">
        <v>44.65</v>
      </c>
      <c r="G52" s="100">
        <v>50.46</v>
      </c>
      <c r="H52" s="100">
        <v>20.59</v>
      </c>
      <c r="I52" s="100">
        <v>9.7799999999999994</v>
      </c>
      <c r="J52" s="100">
        <v>1.73</v>
      </c>
      <c r="K52" s="100">
        <v>349.71</v>
      </c>
      <c r="L52" s="100">
        <v>40.880000000000003</v>
      </c>
      <c r="M52" s="100">
        <v>28.06</v>
      </c>
      <c r="N52" s="100">
        <v>790</v>
      </c>
      <c r="O52" s="100">
        <v>0</v>
      </c>
      <c r="P52" s="100">
        <v>0.49</v>
      </c>
      <c r="Q52" s="100">
        <v>28.46</v>
      </c>
      <c r="R52" s="6"/>
      <c r="S52" s="6"/>
      <c r="T52" s="156"/>
      <c r="U52" s="6"/>
    </row>
    <row r="53" spans="1:21" customFormat="1">
      <c r="A53" s="163" t="s">
        <v>1340</v>
      </c>
      <c r="B53" s="100">
        <v>1.1599999999999999</v>
      </c>
      <c r="C53" s="100">
        <v>55.36</v>
      </c>
      <c r="D53" s="100">
        <v>29.85</v>
      </c>
      <c r="E53" s="100">
        <v>4.42</v>
      </c>
      <c r="F53" s="100">
        <v>24.55</v>
      </c>
      <c r="G53" s="100">
        <v>39.54</v>
      </c>
      <c r="H53" s="100">
        <v>19.21</v>
      </c>
      <c r="I53" s="100">
        <v>8.85</v>
      </c>
      <c r="J53" s="100">
        <v>2.5099999999999998</v>
      </c>
      <c r="K53" s="100">
        <v>275.57</v>
      </c>
      <c r="L53" s="100">
        <v>41.22</v>
      </c>
      <c r="M53" s="100">
        <v>26.8</v>
      </c>
      <c r="N53" s="100">
        <v>809.5</v>
      </c>
      <c r="O53" s="100">
        <v>0</v>
      </c>
      <c r="P53" s="100">
        <v>0.43</v>
      </c>
      <c r="Q53" s="100">
        <v>28.52</v>
      </c>
      <c r="R53" s="6"/>
      <c r="S53" s="6"/>
      <c r="T53" s="156"/>
      <c r="U53" s="6"/>
    </row>
    <row r="54" spans="1:21" customFormat="1">
      <c r="A54" s="163" t="s">
        <v>1341</v>
      </c>
      <c r="B54" s="100">
        <v>0.98</v>
      </c>
      <c r="C54" s="100">
        <v>47.17</v>
      </c>
      <c r="D54" s="100">
        <v>25.43</v>
      </c>
      <c r="E54" s="100">
        <v>8</v>
      </c>
      <c r="F54" s="100">
        <v>39.869999999999997</v>
      </c>
      <c r="G54" s="100">
        <v>39.54</v>
      </c>
      <c r="H54" s="100">
        <v>19.21</v>
      </c>
      <c r="I54" s="100">
        <v>7.62</v>
      </c>
      <c r="J54" s="100">
        <v>2.61</v>
      </c>
      <c r="K54" s="100">
        <v>10.64</v>
      </c>
      <c r="L54" s="100">
        <v>41.71</v>
      </c>
      <c r="M54" s="100">
        <v>26.21</v>
      </c>
      <c r="N54" s="100">
        <v>822.2</v>
      </c>
      <c r="O54" s="100">
        <v>0</v>
      </c>
      <c r="P54" s="100">
        <v>0.45</v>
      </c>
      <c r="Q54" s="100">
        <v>28.66</v>
      </c>
      <c r="R54" s="6"/>
      <c r="S54" s="6"/>
      <c r="T54" s="156"/>
      <c r="U54" s="6"/>
    </row>
    <row r="55" spans="1:21" customFormat="1">
      <c r="A55" s="163" t="s">
        <v>1342</v>
      </c>
      <c r="B55" s="100">
        <v>0.77</v>
      </c>
      <c r="C55" s="100">
        <v>39.1</v>
      </c>
      <c r="D55" s="100">
        <v>21.05</v>
      </c>
      <c r="E55" s="100">
        <v>4.8899999999999997</v>
      </c>
      <c r="F55" s="100">
        <v>19.2</v>
      </c>
      <c r="G55" s="100">
        <v>39.54</v>
      </c>
      <c r="H55" s="100">
        <v>19.21</v>
      </c>
      <c r="I55" s="100">
        <v>7.83</v>
      </c>
      <c r="J55" s="100">
        <v>3.31</v>
      </c>
      <c r="K55" s="100">
        <v>252.52</v>
      </c>
      <c r="L55" s="100">
        <v>42.03</v>
      </c>
      <c r="M55" s="100">
        <v>25.69</v>
      </c>
      <c r="N55" s="100">
        <v>822.9</v>
      </c>
      <c r="O55" s="100">
        <v>0</v>
      </c>
      <c r="P55" s="100">
        <v>0.44</v>
      </c>
      <c r="Q55" s="100">
        <v>28.72</v>
      </c>
      <c r="R55" s="6"/>
      <c r="S55" s="6"/>
      <c r="T55" s="156"/>
      <c r="U55" s="6"/>
    </row>
    <row r="56" spans="1:21" customFormat="1">
      <c r="A56" s="163" t="s">
        <v>1343</v>
      </c>
      <c r="B56" s="100">
        <v>0.28000000000000003</v>
      </c>
      <c r="C56" s="100">
        <v>33.51</v>
      </c>
      <c r="D56" s="100">
        <v>17.73</v>
      </c>
      <c r="E56" s="100">
        <v>3.42</v>
      </c>
      <c r="F56" s="100">
        <v>22.75</v>
      </c>
      <c r="G56" s="100">
        <v>40.159999999999997</v>
      </c>
      <c r="H56" s="100">
        <v>18.649999999999999</v>
      </c>
      <c r="I56" s="100">
        <v>7.75</v>
      </c>
      <c r="J56" s="100">
        <v>4.05</v>
      </c>
      <c r="K56" s="100">
        <v>244.81</v>
      </c>
      <c r="L56" s="100">
        <v>42.02</v>
      </c>
      <c r="M56" s="100">
        <v>25.21</v>
      </c>
      <c r="N56" s="100">
        <v>853.9</v>
      </c>
      <c r="O56" s="100">
        <v>0</v>
      </c>
      <c r="P56" s="100">
        <v>0.44</v>
      </c>
      <c r="Q56" s="100">
        <v>28.83</v>
      </c>
      <c r="R56" s="6"/>
      <c r="S56" s="6"/>
      <c r="T56" s="156"/>
      <c r="U56" s="6"/>
    </row>
    <row r="57" spans="1:21" customFormat="1">
      <c r="A57" s="163" t="s">
        <v>1344</v>
      </c>
      <c r="B57" s="100">
        <v>0.5</v>
      </c>
      <c r="C57" s="100">
        <v>27.23</v>
      </c>
      <c r="D57" s="100">
        <v>14.62</v>
      </c>
      <c r="E57" s="100">
        <v>5.64</v>
      </c>
      <c r="F57" s="100">
        <v>31.98</v>
      </c>
      <c r="G57" s="100">
        <v>42.47</v>
      </c>
      <c r="H57" s="100">
        <v>16.559999999999999</v>
      </c>
      <c r="I57" s="100">
        <v>7.86</v>
      </c>
      <c r="J57" s="100">
        <v>3.2</v>
      </c>
      <c r="K57" s="100">
        <v>250.56</v>
      </c>
      <c r="L57" s="100">
        <v>42.08</v>
      </c>
      <c r="M57" s="100">
        <v>24.72</v>
      </c>
      <c r="N57" s="100">
        <v>850.3</v>
      </c>
      <c r="O57" s="100">
        <v>0</v>
      </c>
      <c r="P57" s="100">
        <v>0.42</v>
      </c>
      <c r="Q57" s="100">
        <v>28.93</v>
      </c>
      <c r="R57" s="6"/>
      <c r="S57" s="6"/>
      <c r="T57" s="156"/>
      <c r="U57" s="6"/>
    </row>
    <row r="58" spans="1:21" customFormat="1">
      <c r="A58" s="163" t="s">
        <v>1345</v>
      </c>
      <c r="B58" s="100">
        <v>0.12</v>
      </c>
      <c r="C58" s="100">
        <v>24.34</v>
      </c>
      <c r="D58" s="100">
        <v>12.81</v>
      </c>
      <c r="E58" s="100">
        <v>8.18</v>
      </c>
      <c r="F58" s="100">
        <v>23.87</v>
      </c>
      <c r="G58" s="100">
        <v>42.47</v>
      </c>
      <c r="H58" s="100">
        <v>16.559999999999999</v>
      </c>
      <c r="I58" s="100">
        <v>7.47</v>
      </c>
      <c r="J58" s="100">
        <v>3.75</v>
      </c>
      <c r="K58" s="100">
        <v>246.43</v>
      </c>
      <c r="L58" s="100">
        <v>41.98</v>
      </c>
      <c r="M58" s="100">
        <v>24.74</v>
      </c>
      <c r="N58" s="100">
        <v>851.4</v>
      </c>
      <c r="O58" s="100">
        <v>0</v>
      </c>
      <c r="P58" s="100">
        <v>0.41</v>
      </c>
      <c r="Q58" s="100">
        <v>28.99</v>
      </c>
      <c r="R58" s="6"/>
      <c r="S58" s="6"/>
      <c r="T58" s="156"/>
      <c r="U58" s="6"/>
    </row>
    <row r="59" spans="1:21" customFormat="1">
      <c r="A59" s="163" t="s">
        <v>1346</v>
      </c>
      <c r="B59" s="100">
        <v>1.94</v>
      </c>
      <c r="C59" s="100">
        <v>29.71</v>
      </c>
      <c r="D59" s="100">
        <v>16.13</v>
      </c>
      <c r="E59" s="100">
        <v>4.91</v>
      </c>
      <c r="F59" s="100">
        <v>15.87</v>
      </c>
      <c r="G59" s="100">
        <v>42.47</v>
      </c>
      <c r="H59" s="100">
        <v>16.559999999999999</v>
      </c>
      <c r="I59" s="100">
        <v>7.22</v>
      </c>
      <c r="J59" s="100">
        <v>4.03</v>
      </c>
      <c r="K59" s="100">
        <v>246.19</v>
      </c>
      <c r="L59" s="100">
        <v>42.92</v>
      </c>
      <c r="M59" s="100">
        <v>23.07</v>
      </c>
      <c r="N59" s="100">
        <v>859.7</v>
      </c>
      <c r="O59" s="100">
        <v>0</v>
      </c>
      <c r="P59" s="100">
        <v>0.41</v>
      </c>
      <c r="Q59" s="100">
        <v>28.89</v>
      </c>
      <c r="R59" s="6"/>
      <c r="S59" s="6"/>
      <c r="T59" s="156"/>
      <c r="U59" s="6"/>
    </row>
    <row r="60" spans="1:21" customFormat="1">
      <c r="A60" s="163" t="s">
        <v>1347</v>
      </c>
      <c r="B60" s="100">
        <v>2.12</v>
      </c>
      <c r="C60" s="100">
        <v>24.86</v>
      </c>
      <c r="D60" s="100">
        <v>13.69</v>
      </c>
      <c r="E60" s="100">
        <v>3.85</v>
      </c>
      <c r="F60" s="100">
        <v>18.149999999999999</v>
      </c>
      <c r="G60" s="100">
        <v>41.76</v>
      </c>
      <c r="H60" s="100">
        <v>17.09</v>
      </c>
      <c r="I60" s="100">
        <v>7.15</v>
      </c>
      <c r="J60" s="100">
        <v>4.3499999999999996</v>
      </c>
      <c r="K60" s="100">
        <v>230.15</v>
      </c>
      <c r="L60" s="100">
        <v>42.87</v>
      </c>
      <c r="M60" s="100">
        <v>22.53</v>
      </c>
      <c r="N60" s="100">
        <v>835.7</v>
      </c>
      <c r="O60" s="100">
        <v>0</v>
      </c>
      <c r="P60" s="100">
        <v>0.39</v>
      </c>
      <c r="Q60" s="100">
        <v>29</v>
      </c>
      <c r="R60" s="6"/>
      <c r="S60" s="6"/>
      <c r="T60" s="156"/>
      <c r="U60" s="6"/>
    </row>
    <row r="61" spans="1:21" customFormat="1">
      <c r="A61" s="163" t="s">
        <v>1348</v>
      </c>
      <c r="B61" s="100">
        <v>2</v>
      </c>
      <c r="C61" s="100">
        <v>19.75</v>
      </c>
      <c r="D61" s="100">
        <v>10.93</v>
      </c>
      <c r="E61" s="100">
        <v>8.0500000000000007</v>
      </c>
      <c r="F61" s="100">
        <v>24.29</v>
      </c>
      <c r="G61" s="100">
        <v>39.11</v>
      </c>
      <c r="H61" s="100">
        <v>19.09</v>
      </c>
      <c r="I61" s="100">
        <v>6.99</v>
      </c>
      <c r="J61" s="100">
        <v>4.07</v>
      </c>
      <c r="K61" s="100">
        <v>244.13</v>
      </c>
      <c r="L61" s="100">
        <v>43.08</v>
      </c>
      <c r="M61" s="100">
        <v>22.24</v>
      </c>
      <c r="N61" s="100">
        <v>859.1</v>
      </c>
      <c r="O61" s="100">
        <v>0</v>
      </c>
      <c r="P61" s="100">
        <v>0.37</v>
      </c>
      <c r="Q61" s="100">
        <v>29.24</v>
      </c>
      <c r="R61" s="6"/>
      <c r="S61" s="6"/>
      <c r="T61" s="156"/>
      <c r="U61" s="6"/>
    </row>
    <row r="62" spans="1:21" customFormat="1">
      <c r="A62" s="163" t="s">
        <v>1349</v>
      </c>
      <c r="B62" s="100">
        <v>1.83</v>
      </c>
      <c r="C62" s="100">
        <v>17.63</v>
      </c>
      <c r="D62" s="100">
        <v>9.68</v>
      </c>
      <c r="E62" s="100">
        <v>9.0299999999999994</v>
      </c>
      <c r="F62" s="100">
        <v>20.54</v>
      </c>
      <c r="G62" s="100">
        <v>39.11</v>
      </c>
      <c r="H62" s="100">
        <v>19.09</v>
      </c>
      <c r="I62" s="100">
        <v>6.98</v>
      </c>
      <c r="J62" s="100">
        <v>3.53</v>
      </c>
      <c r="K62" s="100">
        <v>239.98</v>
      </c>
      <c r="L62" s="100">
        <v>41.31</v>
      </c>
      <c r="M62" s="100">
        <v>21.88</v>
      </c>
      <c r="N62" s="100">
        <v>815.4</v>
      </c>
      <c r="O62" s="100">
        <v>0</v>
      </c>
      <c r="P62" s="100">
        <v>0.35</v>
      </c>
      <c r="Q62" s="100">
        <v>29.28</v>
      </c>
      <c r="R62" s="6"/>
      <c r="S62" s="6"/>
      <c r="T62" s="156"/>
      <c r="U62" s="6"/>
    </row>
    <row r="63" spans="1:21" customFormat="1">
      <c r="A63" s="163" t="s">
        <v>1350</v>
      </c>
      <c r="B63" s="100">
        <v>1.86</v>
      </c>
      <c r="C63" s="100">
        <v>16.41</v>
      </c>
      <c r="D63" s="100">
        <v>9.07</v>
      </c>
      <c r="E63" s="100">
        <v>8.83</v>
      </c>
      <c r="F63" s="100">
        <v>20.87</v>
      </c>
      <c r="G63" s="100">
        <v>39.11</v>
      </c>
      <c r="H63" s="100">
        <v>19.09</v>
      </c>
      <c r="I63" s="100">
        <v>6.58</v>
      </c>
      <c r="J63" s="100">
        <v>2.96</v>
      </c>
      <c r="K63" s="100">
        <v>250.73</v>
      </c>
      <c r="L63" s="100">
        <v>41.61</v>
      </c>
      <c r="M63" s="100">
        <v>21.89</v>
      </c>
      <c r="N63" s="100">
        <v>716.5</v>
      </c>
      <c r="O63" s="100">
        <v>0</v>
      </c>
      <c r="P63" s="100">
        <v>0.36</v>
      </c>
      <c r="Q63" s="100">
        <v>29.29</v>
      </c>
      <c r="R63" s="6"/>
      <c r="S63" s="6"/>
      <c r="T63" s="156"/>
      <c r="U63" s="6"/>
    </row>
    <row r="64" spans="1:21" customFormat="1">
      <c r="A64" s="163" t="s">
        <v>1351</v>
      </c>
      <c r="B64" s="100">
        <v>2.0299999999999998</v>
      </c>
      <c r="C64" s="100">
        <v>15.49</v>
      </c>
      <c r="D64" s="100">
        <v>8.7200000000000006</v>
      </c>
      <c r="E64" s="100">
        <v>8.36</v>
      </c>
      <c r="F64" s="100">
        <v>14.57</v>
      </c>
      <c r="G64" s="100">
        <v>38.72</v>
      </c>
      <c r="H64" s="100">
        <v>18.440000000000001</v>
      </c>
      <c r="I64" s="100">
        <v>6.49</v>
      </c>
      <c r="J64" s="100">
        <v>3.64</v>
      </c>
      <c r="K64" s="100">
        <v>243.5</v>
      </c>
      <c r="L64" s="100">
        <v>41.3</v>
      </c>
      <c r="M64" s="100">
        <v>22.19</v>
      </c>
      <c r="N64" s="100">
        <v>509.3</v>
      </c>
      <c r="O64" s="100">
        <v>0</v>
      </c>
      <c r="P64" s="100">
        <v>0.37</v>
      </c>
      <c r="Q64" s="100">
        <v>29.28</v>
      </c>
      <c r="R64" s="6"/>
      <c r="S64" s="6"/>
      <c r="T64" s="156"/>
      <c r="U64" s="6"/>
    </row>
    <row r="65" spans="1:21" customFormat="1">
      <c r="A65" s="163" t="s">
        <v>1352</v>
      </c>
      <c r="B65" s="100">
        <v>2.0699999999999998</v>
      </c>
      <c r="C65" s="100">
        <v>20.22</v>
      </c>
      <c r="D65" s="100">
        <v>11.23</v>
      </c>
      <c r="E65" s="100">
        <v>8.6</v>
      </c>
      <c r="F65" s="100">
        <v>21.36</v>
      </c>
      <c r="G65" s="100">
        <v>37.229999999999997</v>
      </c>
      <c r="H65" s="100">
        <v>16</v>
      </c>
      <c r="I65" s="100">
        <v>6.76</v>
      </c>
      <c r="J65" s="100">
        <v>3.57</v>
      </c>
      <c r="K65" s="100">
        <v>214.38</v>
      </c>
      <c r="L65" s="100">
        <v>41.94</v>
      </c>
      <c r="M65" s="100">
        <v>22.45</v>
      </c>
      <c r="N65" s="100">
        <v>514.6</v>
      </c>
      <c r="O65" s="100">
        <v>0</v>
      </c>
      <c r="P65" s="100">
        <v>0.35</v>
      </c>
      <c r="Q65" s="100">
        <v>29.07</v>
      </c>
      <c r="R65" s="6"/>
      <c r="S65" s="6"/>
      <c r="T65" s="156"/>
      <c r="U65" s="6"/>
    </row>
    <row r="66" spans="1:21" customFormat="1">
      <c r="A66" s="163" t="s">
        <v>1353</v>
      </c>
      <c r="B66" s="100">
        <v>2.1</v>
      </c>
      <c r="C66" s="100">
        <v>19.63</v>
      </c>
      <c r="D66" s="100">
        <v>10.94</v>
      </c>
      <c r="E66" s="100">
        <v>8.59</v>
      </c>
      <c r="F66" s="100">
        <v>30.26</v>
      </c>
      <c r="G66" s="100">
        <v>37.229999999999997</v>
      </c>
      <c r="H66" s="100">
        <v>16</v>
      </c>
      <c r="I66" s="100">
        <v>6.97</v>
      </c>
      <c r="J66" s="100">
        <v>2.4</v>
      </c>
      <c r="K66" s="100">
        <v>233.67</v>
      </c>
      <c r="L66" s="100">
        <v>43.14</v>
      </c>
      <c r="M66" s="100">
        <v>21.72</v>
      </c>
      <c r="N66" s="100">
        <v>336.5</v>
      </c>
      <c r="O66" s="100">
        <v>0</v>
      </c>
      <c r="P66" s="100">
        <v>0.35</v>
      </c>
      <c r="Q66" s="100">
        <v>29.06</v>
      </c>
      <c r="R66" s="6"/>
      <c r="S66" s="6"/>
      <c r="T66" s="156"/>
      <c r="U66" s="6"/>
    </row>
    <row r="67" spans="1:21" customFormat="1">
      <c r="A67" s="163" t="s">
        <v>1354</v>
      </c>
      <c r="B67" s="100">
        <v>2.12</v>
      </c>
      <c r="C67" s="100">
        <v>19.649999999999999</v>
      </c>
      <c r="D67" s="100">
        <v>10.97</v>
      </c>
      <c r="E67" s="100">
        <v>8.1999999999999993</v>
      </c>
      <c r="F67" s="100">
        <v>19.87</v>
      </c>
      <c r="G67" s="100">
        <v>37.229999999999997</v>
      </c>
      <c r="H67" s="100">
        <v>16</v>
      </c>
      <c r="I67" s="100">
        <v>6.72</v>
      </c>
      <c r="J67" s="100">
        <v>4.03</v>
      </c>
      <c r="K67" s="100">
        <v>234.84</v>
      </c>
      <c r="L67" s="100">
        <v>41.95</v>
      </c>
      <c r="M67" s="100">
        <v>22.39</v>
      </c>
      <c r="N67" s="100">
        <v>272.10000000000002</v>
      </c>
      <c r="O67" s="100">
        <v>0</v>
      </c>
      <c r="P67" s="100">
        <v>0.35</v>
      </c>
      <c r="Q67" s="100">
        <v>29.05</v>
      </c>
      <c r="R67" s="6"/>
      <c r="S67" s="6"/>
      <c r="T67" s="156"/>
      <c r="U67" s="6"/>
    </row>
    <row r="68" spans="1:21" customFormat="1">
      <c r="A68" s="163" t="s">
        <v>1355</v>
      </c>
      <c r="B68" s="100">
        <v>2.16</v>
      </c>
      <c r="C68" s="100">
        <v>18.43</v>
      </c>
      <c r="D68" s="100">
        <v>10.37</v>
      </c>
      <c r="E68" s="100">
        <v>8.42</v>
      </c>
      <c r="F68" s="100">
        <v>24.12</v>
      </c>
      <c r="G68" s="100">
        <v>36.54</v>
      </c>
      <c r="H68" s="100">
        <v>16.36</v>
      </c>
      <c r="I68" s="100">
        <v>6.59</v>
      </c>
      <c r="J68" s="100">
        <v>3.16</v>
      </c>
      <c r="K68" s="100">
        <v>241.32</v>
      </c>
      <c r="L68" s="100">
        <v>42.82</v>
      </c>
      <c r="M68" s="100">
        <v>22.18</v>
      </c>
      <c r="N68" s="100">
        <v>555.4</v>
      </c>
      <c r="O68" s="100">
        <v>0</v>
      </c>
      <c r="P68" s="100">
        <v>0.35</v>
      </c>
      <c r="Q68" s="100">
        <v>29.05</v>
      </c>
      <c r="R68" s="6"/>
      <c r="S68" s="6"/>
      <c r="T68" s="156"/>
      <c r="U68" s="6"/>
    </row>
    <row r="69" spans="1:21" customFormat="1">
      <c r="A69" s="163" t="s">
        <v>1356</v>
      </c>
      <c r="B69" s="100">
        <v>2.25</v>
      </c>
      <c r="C69" s="100">
        <v>17.34</v>
      </c>
      <c r="D69" s="100">
        <v>9.8699999999999992</v>
      </c>
      <c r="E69" s="100">
        <v>8.4499999999999993</v>
      </c>
      <c r="F69" s="100">
        <v>29.45</v>
      </c>
      <c r="G69" s="100">
        <v>33.96</v>
      </c>
      <c r="H69" s="100">
        <v>17.71</v>
      </c>
      <c r="I69" s="100">
        <v>6.67</v>
      </c>
      <c r="J69" s="100">
        <v>1.27</v>
      </c>
      <c r="K69" s="100">
        <v>267.91000000000003</v>
      </c>
      <c r="L69" s="100">
        <v>43.31</v>
      </c>
      <c r="M69" s="100">
        <v>21.35</v>
      </c>
      <c r="N69" s="100">
        <v>476.8</v>
      </c>
      <c r="O69" s="100">
        <v>0</v>
      </c>
      <c r="P69" s="100">
        <v>0.35</v>
      </c>
      <c r="Q69" s="100">
        <v>29.06</v>
      </c>
      <c r="R69" s="6"/>
      <c r="S69" s="6"/>
      <c r="T69" s="156"/>
      <c r="U69" s="6"/>
    </row>
    <row r="70" spans="1:21" customFormat="1">
      <c r="A70" s="163" t="s">
        <v>1357</v>
      </c>
      <c r="B70" s="100">
        <v>2.44</v>
      </c>
      <c r="C70" s="100">
        <v>18.989999999999998</v>
      </c>
      <c r="D70" s="100">
        <v>10.88</v>
      </c>
      <c r="E70" s="100">
        <v>8</v>
      </c>
      <c r="F70" s="100">
        <v>28</v>
      </c>
      <c r="G70" s="100">
        <v>33.96</v>
      </c>
      <c r="H70" s="100">
        <v>17.71</v>
      </c>
      <c r="I70" s="100">
        <v>6.67</v>
      </c>
      <c r="J70" s="100">
        <v>1.45</v>
      </c>
      <c r="K70" s="100">
        <v>279.63</v>
      </c>
      <c r="L70" s="100">
        <v>43.61</v>
      </c>
      <c r="M70" s="100">
        <v>20.34</v>
      </c>
      <c r="N70" s="100">
        <v>379.1</v>
      </c>
      <c r="O70" s="100">
        <v>0</v>
      </c>
      <c r="P70" s="100">
        <v>0.36</v>
      </c>
      <c r="Q70" s="100">
        <v>29.03</v>
      </c>
      <c r="R70" s="6"/>
      <c r="S70" s="6"/>
      <c r="T70" s="156"/>
      <c r="U70" s="6"/>
    </row>
    <row r="71" spans="1:21" customFormat="1">
      <c r="A71" s="163" t="s">
        <v>1358</v>
      </c>
      <c r="B71" s="100">
        <v>2.73</v>
      </c>
      <c r="C71" s="100">
        <v>18.989999999999998</v>
      </c>
      <c r="D71" s="100">
        <v>11.12</v>
      </c>
      <c r="E71" s="100">
        <v>8.1</v>
      </c>
      <c r="F71" s="100">
        <v>26.78</v>
      </c>
      <c r="G71" s="100">
        <v>33.96</v>
      </c>
      <c r="H71" s="100">
        <v>17.71</v>
      </c>
      <c r="I71" s="100">
        <v>6.54</v>
      </c>
      <c r="J71" s="100">
        <v>1.19</v>
      </c>
      <c r="K71" s="100">
        <v>310.58999999999997</v>
      </c>
      <c r="L71" s="100">
        <v>43.58</v>
      </c>
      <c r="M71" s="100">
        <v>19.88</v>
      </c>
      <c r="N71" s="100">
        <v>416.1</v>
      </c>
      <c r="O71" s="100">
        <v>0</v>
      </c>
      <c r="P71" s="100">
        <v>0.37</v>
      </c>
      <c r="Q71" s="100">
        <v>28.96</v>
      </c>
      <c r="R71" s="6"/>
      <c r="S71" s="6"/>
      <c r="T71" s="156"/>
      <c r="U71" s="6"/>
    </row>
    <row r="72" spans="1:21" customFormat="1">
      <c r="A72" s="163" t="s">
        <v>1359</v>
      </c>
      <c r="B72" s="100">
        <v>2.4900000000000002</v>
      </c>
      <c r="C72" s="100">
        <v>19.13</v>
      </c>
      <c r="D72" s="100">
        <v>10.99</v>
      </c>
      <c r="E72" s="100">
        <v>7.89</v>
      </c>
      <c r="F72" s="100">
        <v>21.99</v>
      </c>
      <c r="G72" s="100">
        <v>33.68</v>
      </c>
      <c r="H72" s="100">
        <v>18.239999999999998</v>
      </c>
      <c r="I72" s="100">
        <v>6.48</v>
      </c>
      <c r="J72" s="100">
        <v>1.67</v>
      </c>
      <c r="K72" s="100">
        <v>275.77</v>
      </c>
      <c r="L72" s="100">
        <v>42.69</v>
      </c>
      <c r="M72" s="100">
        <v>19.45</v>
      </c>
      <c r="N72" s="100">
        <v>321</v>
      </c>
      <c r="O72" s="100">
        <v>0</v>
      </c>
      <c r="P72" s="100">
        <v>0.37</v>
      </c>
      <c r="Q72" s="100">
        <v>28.91</v>
      </c>
      <c r="R72" s="6"/>
      <c r="S72" s="6"/>
      <c r="T72" s="156"/>
      <c r="U72" s="6"/>
    </row>
    <row r="73" spans="1:21" customFormat="1">
      <c r="A73" s="163" t="s">
        <v>1360</v>
      </c>
      <c r="B73" s="100">
        <v>2.4</v>
      </c>
      <c r="C73" s="100">
        <v>17.27</v>
      </c>
      <c r="D73" s="100">
        <v>9.9499999999999993</v>
      </c>
      <c r="E73" s="100">
        <v>8.58</v>
      </c>
      <c r="F73" s="100">
        <v>30.28</v>
      </c>
      <c r="G73" s="100">
        <v>32.630000000000003</v>
      </c>
      <c r="H73" s="100">
        <v>20.21</v>
      </c>
      <c r="I73" s="100">
        <v>6.47</v>
      </c>
      <c r="J73" s="100">
        <v>1.85</v>
      </c>
      <c r="K73" s="100">
        <v>343.02</v>
      </c>
      <c r="L73" s="100">
        <v>42.14</v>
      </c>
      <c r="M73" s="100">
        <v>20.64</v>
      </c>
      <c r="N73" s="100">
        <v>311.10000000000002</v>
      </c>
      <c r="O73" s="100">
        <v>0</v>
      </c>
      <c r="P73" s="100">
        <v>0.36</v>
      </c>
      <c r="Q73" s="100">
        <v>29</v>
      </c>
      <c r="R73" s="6"/>
      <c r="S73" s="6"/>
      <c r="T73" s="156"/>
      <c r="U73" s="6"/>
    </row>
    <row r="74" spans="1:21" customFormat="1">
      <c r="A74" s="163" t="s">
        <v>1361</v>
      </c>
      <c r="B74" s="100">
        <v>2.71</v>
      </c>
      <c r="C74" s="100">
        <v>16.2</v>
      </c>
      <c r="D74" s="100">
        <v>9.64</v>
      </c>
      <c r="E74" s="100">
        <v>8.73</v>
      </c>
      <c r="F74" s="100">
        <v>29.09</v>
      </c>
      <c r="G74" s="100">
        <v>32.630000000000003</v>
      </c>
      <c r="H74" s="100">
        <v>20.21</v>
      </c>
      <c r="I74" s="100">
        <v>6.44</v>
      </c>
      <c r="J74" s="100">
        <v>3.84</v>
      </c>
      <c r="K74" s="100">
        <v>21.05</v>
      </c>
      <c r="L74" s="100">
        <v>42.18</v>
      </c>
      <c r="M74" s="100">
        <v>20.68</v>
      </c>
      <c r="N74" s="100">
        <v>288.7</v>
      </c>
      <c r="O74" s="100">
        <v>0</v>
      </c>
      <c r="P74" s="100">
        <v>0.38</v>
      </c>
      <c r="Q74" s="100">
        <v>29.01</v>
      </c>
      <c r="R74" s="6"/>
      <c r="S74" s="6"/>
      <c r="T74" s="156"/>
      <c r="U74" s="6"/>
    </row>
    <row r="75" spans="1:21" customFormat="1">
      <c r="A75" s="163" t="s">
        <v>1362</v>
      </c>
      <c r="B75" s="100">
        <v>3</v>
      </c>
      <c r="C75" s="100">
        <v>17.18</v>
      </c>
      <c r="D75" s="100">
        <v>10.39</v>
      </c>
      <c r="E75" s="100">
        <v>8.7899999999999991</v>
      </c>
      <c r="F75" s="100">
        <v>30.62</v>
      </c>
      <c r="G75" s="100">
        <v>32.630000000000003</v>
      </c>
      <c r="H75" s="100">
        <v>20.21</v>
      </c>
      <c r="I75" s="100">
        <v>6.38</v>
      </c>
      <c r="J75" s="100">
        <v>3.85</v>
      </c>
      <c r="K75" s="100">
        <v>8.75</v>
      </c>
      <c r="L75" s="100">
        <v>41.58</v>
      </c>
      <c r="M75" s="100">
        <v>21.46</v>
      </c>
      <c r="N75" s="100">
        <v>134.19999999999999</v>
      </c>
      <c r="O75" s="100">
        <v>0</v>
      </c>
      <c r="P75" s="100">
        <v>0.38</v>
      </c>
      <c r="Q75" s="100">
        <v>28.94</v>
      </c>
      <c r="R75" s="6"/>
      <c r="S75" s="6"/>
      <c r="T75" s="156"/>
      <c r="U75" s="6"/>
    </row>
    <row r="76" spans="1:21" customFormat="1">
      <c r="A76" s="163" t="s">
        <v>1363</v>
      </c>
      <c r="B76" s="100">
        <v>2.9</v>
      </c>
      <c r="C76" s="100">
        <v>16.46</v>
      </c>
      <c r="D76" s="100">
        <v>9.93</v>
      </c>
      <c r="E76" s="100">
        <v>8.89</v>
      </c>
      <c r="F76" s="100">
        <v>31.69</v>
      </c>
      <c r="G76" s="100">
        <v>32.64</v>
      </c>
      <c r="H76" s="100">
        <v>19.72</v>
      </c>
      <c r="I76" s="100">
        <v>6.67</v>
      </c>
      <c r="J76" s="100">
        <v>1.35</v>
      </c>
      <c r="K76" s="100">
        <v>355.68</v>
      </c>
      <c r="L76" s="100">
        <v>40.65</v>
      </c>
      <c r="M76" s="100">
        <v>22.7</v>
      </c>
      <c r="N76" s="100">
        <v>124.3</v>
      </c>
      <c r="O76" s="100">
        <v>0</v>
      </c>
      <c r="P76" s="100">
        <v>0.37</v>
      </c>
      <c r="Q76" s="100">
        <v>28.96</v>
      </c>
      <c r="R76" s="6"/>
      <c r="S76" s="6"/>
      <c r="T76" s="156"/>
      <c r="U76" s="6"/>
    </row>
    <row r="77" spans="1:21" customFormat="1">
      <c r="A77" s="163" t="s">
        <v>1364</v>
      </c>
      <c r="B77" s="100">
        <v>3.74</v>
      </c>
      <c r="C77" s="100">
        <v>16.25</v>
      </c>
      <c r="D77" s="100">
        <v>10.49</v>
      </c>
      <c r="E77" s="100">
        <v>6.18</v>
      </c>
      <c r="F77" s="100">
        <v>23.83</v>
      </c>
      <c r="G77" s="100">
        <v>32.71</v>
      </c>
      <c r="H77" s="100">
        <v>17.899999999999999</v>
      </c>
      <c r="I77" s="100">
        <v>6.52</v>
      </c>
      <c r="J77" s="100">
        <v>4.95</v>
      </c>
      <c r="K77" s="100">
        <v>13.61</v>
      </c>
      <c r="L77" s="100">
        <v>39.869999999999997</v>
      </c>
      <c r="M77" s="100">
        <v>23.68</v>
      </c>
      <c r="N77" s="100">
        <v>146.9</v>
      </c>
      <c r="O77" s="100">
        <v>0</v>
      </c>
      <c r="P77" s="100">
        <v>0.4</v>
      </c>
      <c r="Q77" s="100">
        <v>28.91</v>
      </c>
      <c r="R77" s="6"/>
      <c r="S77" s="6"/>
      <c r="T77" s="156"/>
      <c r="U77" s="6"/>
    </row>
    <row r="78" spans="1:21" customFormat="1">
      <c r="A78" s="163" t="s">
        <v>1365</v>
      </c>
      <c r="B78" s="100">
        <v>4.26</v>
      </c>
      <c r="C78" s="100">
        <v>23.23</v>
      </c>
      <c r="D78" s="100">
        <v>14.56</v>
      </c>
      <c r="E78" s="100">
        <v>7.51</v>
      </c>
      <c r="F78" s="100">
        <v>32.25</v>
      </c>
      <c r="G78" s="100">
        <v>32.71</v>
      </c>
      <c r="H78" s="100">
        <v>17.899999999999999</v>
      </c>
      <c r="I78" s="100">
        <v>6.5</v>
      </c>
      <c r="J78" s="100">
        <v>3.39</v>
      </c>
      <c r="K78" s="100">
        <v>15.91</v>
      </c>
      <c r="L78" s="100">
        <v>39.549999999999997</v>
      </c>
      <c r="M78" s="100">
        <v>23.61</v>
      </c>
      <c r="N78" s="100">
        <v>93.7</v>
      </c>
      <c r="O78" s="100">
        <v>0</v>
      </c>
      <c r="P78" s="100">
        <v>0.46</v>
      </c>
      <c r="Q78" s="100">
        <v>28.69</v>
      </c>
      <c r="R78" s="6"/>
      <c r="S78" s="6"/>
      <c r="T78" s="156"/>
      <c r="U78" s="6"/>
    </row>
    <row r="79" spans="1:21" customFormat="1">
      <c r="A79" s="163" t="s">
        <v>1366</v>
      </c>
      <c r="B79" s="100">
        <v>4.24</v>
      </c>
      <c r="C79" s="100">
        <v>23.52</v>
      </c>
      <c r="D79" s="100">
        <v>14.69</v>
      </c>
      <c r="E79" s="100">
        <v>7.29</v>
      </c>
      <c r="F79" s="100">
        <v>33.31</v>
      </c>
      <c r="G79" s="100">
        <v>32.71</v>
      </c>
      <c r="H79" s="100">
        <v>17.899999999999999</v>
      </c>
      <c r="I79" s="100">
        <v>6.78</v>
      </c>
      <c r="J79" s="100">
        <v>3.05</v>
      </c>
      <c r="K79" s="100">
        <v>27.8</v>
      </c>
      <c r="L79" s="100">
        <v>39.090000000000003</v>
      </c>
      <c r="M79" s="100">
        <v>24.3</v>
      </c>
      <c r="N79" s="100">
        <v>56.9</v>
      </c>
      <c r="O79" s="100">
        <v>0</v>
      </c>
      <c r="P79" s="100">
        <v>0.51</v>
      </c>
      <c r="Q79" s="100">
        <v>28.46</v>
      </c>
      <c r="R79" s="6"/>
      <c r="S79" s="6"/>
      <c r="T79" s="156"/>
      <c r="U79" s="6"/>
    </row>
    <row r="80" spans="1:21" customFormat="1">
      <c r="A80" s="163" t="s">
        <v>1367</v>
      </c>
      <c r="B80" s="100">
        <v>3.8</v>
      </c>
      <c r="C80" s="100">
        <v>22.42</v>
      </c>
      <c r="D80" s="100">
        <v>13.76</v>
      </c>
      <c r="E80" s="100">
        <v>7.02</v>
      </c>
      <c r="F80" s="100">
        <v>34.1</v>
      </c>
      <c r="G80" s="100">
        <v>31.88</v>
      </c>
      <c r="H80" s="100">
        <v>17.739999999999998</v>
      </c>
      <c r="I80" s="100">
        <v>7.02</v>
      </c>
      <c r="J80" s="100">
        <v>2.95</v>
      </c>
      <c r="K80" s="100">
        <v>13.5</v>
      </c>
      <c r="L80" s="100">
        <v>38.729999999999997</v>
      </c>
      <c r="M80" s="100">
        <v>25.06</v>
      </c>
      <c r="N80" s="100">
        <v>40</v>
      </c>
      <c r="O80" s="100">
        <v>0</v>
      </c>
      <c r="P80" s="100">
        <v>0.49</v>
      </c>
      <c r="Q80" s="100">
        <v>28.5</v>
      </c>
      <c r="R80" s="6"/>
      <c r="S80" s="6"/>
      <c r="T80" s="156"/>
      <c r="U80" s="6"/>
    </row>
    <row r="81" spans="1:21" customFormat="1">
      <c r="A81" s="163" t="s">
        <v>1368</v>
      </c>
      <c r="B81" s="100">
        <v>3.56</v>
      </c>
      <c r="C81" s="100">
        <v>24.42</v>
      </c>
      <c r="D81" s="100">
        <v>14.62</v>
      </c>
      <c r="E81" s="100">
        <v>7.61</v>
      </c>
      <c r="F81" s="100">
        <v>35.08</v>
      </c>
      <c r="G81" s="100">
        <v>28.77</v>
      </c>
      <c r="H81" s="100">
        <v>17.14</v>
      </c>
      <c r="I81" s="100">
        <v>7.32</v>
      </c>
      <c r="J81" s="100">
        <v>1.02</v>
      </c>
      <c r="K81" s="100">
        <v>7.22</v>
      </c>
      <c r="L81" s="100">
        <v>38.39</v>
      </c>
      <c r="M81" s="100">
        <v>25.72</v>
      </c>
      <c r="N81" s="100">
        <v>35</v>
      </c>
      <c r="O81" s="100">
        <v>0</v>
      </c>
      <c r="P81" s="100">
        <v>0.53</v>
      </c>
      <c r="Q81" s="100">
        <v>28.35</v>
      </c>
      <c r="R81" s="6"/>
      <c r="S81" s="6"/>
      <c r="T81" s="156"/>
      <c r="U81" s="6"/>
    </row>
    <row r="82" spans="1:21" customFormat="1">
      <c r="A82" s="163" t="s">
        <v>1369</v>
      </c>
      <c r="B82" s="100">
        <v>4.51</v>
      </c>
      <c r="C82" s="100">
        <v>25.54</v>
      </c>
      <c r="D82" s="100">
        <v>15.97</v>
      </c>
      <c r="E82" s="100">
        <v>7.91</v>
      </c>
      <c r="F82" s="100">
        <v>25.26</v>
      </c>
      <c r="G82" s="100">
        <v>28.77</v>
      </c>
      <c r="H82" s="100">
        <v>17.14</v>
      </c>
      <c r="I82" s="100">
        <v>7.41</v>
      </c>
      <c r="J82" s="100">
        <v>1.08</v>
      </c>
      <c r="K82" s="100">
        <v>220.56</v>
      </c>
      <c r="L82" s="100">
        <v>38.01</v>
      </c>
      <c r="M82" s="100">
        <v>26.42</v>
      </c>
      <c r="N82" s="100">
        <v>26.7</v>
      </c>
      <c r="O82" s="100">
        <v>0</v>
      </c>
      <c r="P82" s="100">
        <v>0.52</v>
      </c>
      <c r="Q82" s="100">
        <v>28.29</v>
      </c>
      <c r="R82" s="6"/>
      <c r="S82" s="6"/>
      <c r="T82" s="156"/>
      <c r="U82" s="6"/>
    </row>
    <row r="83" spans="1:21" customFormat="1">
      <c r="A83" s="163" t="s">
        <v>1370</v>
      </c>
      <c r="B83" s="100">
        <v>3.82</v>
      </c>
      <c r="C83" s="100">
        <v>22.86</v>
      </c>
      <c r="D83" s="100">
        <v>14.01</v>
      </c>
      <c r="E83" s="100">
        <v>7.34</v>
      </c>
      <c r="F83" s="100">
        <v>27.43</v>
      </c>
      <c r="G83" s="100">
        <v>28.77</v>
      </c>
      <c r="H83" s="100">
        <v>17.14</v>
      </c>
      <c r="I83" s="100">
        <v>7.85</v>
      </c>
      <c r="J83" s="100">
        <v>2.5499999999999998</v>
      </c>
      <c r="K83" s="100">
        <v>242.44</v>
      </c>
      <c r="L83" s="100">
        <v>37.549999999999997</v>
      </c>
      <c r="M83" s="100">
        <v>28.38</v>
      </c>
      <c r="N83" s="100">
        <v>23.4</v>
      </c>
      <c r="O83" s="100">
        <v>0</v>
      </c>
      <c r="P83" s="100">
        <v>0.49</v>
      </c>
      <c r="Q83" s="100">
        <v>28.5</v>
      </c>
      <c r="R83" s="6"/>
      <c r="S83" s="6"/>
      <c r="T83" s="156"/>
      <c r="U83" s="6"/>
    </row>
    <row r="84" spans="1:21" customFormat="1">
      <c r="A84" s="163" t="s">
        <v>1371</v>
      </c>
      <c r="B84" s="100">
        <v>3.03</v>
      </c>
      <c r="C84" s="100">
        <v>21.95</v>
      </c>
      <c r="D84" s="100">
        <v>12.9</v>
      </c>
      <c r="E84" s="100">
        <v>7.76</v>
      </c>
      <c r="F84" s="100">
        <v>27.15</v>
      </c>
      <c r="G84" s="100">
        <v>30.68</v>
      </c>
      <c r="H84" s="100">
        <v>17.28</v>
      </c>
      <c r="I84" s="100">
        <v>7.91</v>
      </c>
      <c r="J84" s="100">
        <v>2.89</v>
      </c>
      <c r="K84" s="100">
        <v>236.59</v>
      </c>
      <c r="L84" s="100">
        <v>37.28</v>
      </c>
      <c r="M84" s="100">
        <v>29.67</v>
      </c>
      <c r="N84" s="100">
        <v>22.6</v>
      </c>
      <c r="O84" s="100">
        <v>0</v>
      </c>
      <c r="P84" s="100">
        <v>0.5</v>
      </c>
      <c r="Q84" s="100">
        <v>28.55</v>
      </c>
      <c r="R84" s="6"/>
      <c r="S84" s="6"/>
      <c r="T84" s="156"/>
      <c r="U84" s="6"/>
    </row>
    <row r="85" spans="1:21" customFormat="1">
      <c r="A85" s="163" t="s">
        <v>1372</v>
      </c>
      <c r="B85" s="100">
        <v>3.02</v>
      </c>
      <c r="C85" s="100">
        <v>23.06</v>
      </c>
      <c r="D85" s="100">
        <v>13.48</v>
      </c>
      <c r="E85" s="100">
        <v>7.78</v>
      </c>
      <c r="F85" s="100">
        <v>21.21</v>
      </c>
      <c r="G85" s="100">
        <v>37.82</v>
      </c>
      <c r="H85" s="100">
        <v>17.8</v>
      </c>
      <c r="I85" s="100">
        <v>7.83</v>
      </c>
      <c r="J85" s="100">
        <v>2.42</v>
      </c>
      <c r="K85" s="100">
        <v>232.82</v>
      </c>
      <c r="L85" s="100">
        <v>37.17</v>
      </c>
      <c r="M85" s="100">
        <v>30.29</v>
      </c>
      <c r="N85" s="100">
        <v>22.5</v>
      </c>
      <c r="O85" s="100">
        <v>0</v>
      </c>
      <c r="P85" s="100">
        <v>0.56000000000000005</v>
      </c>
      <c r="Q85" s="100">
        <v>28.45</v>
      </c>
      <c r="R85" s="6"/>
      <c r="S85" s="6"/>
      <c r="T85" s="156"/>
      <c r="U85" s="6"/>
    </row>
    <row r="86" spans="1:21" customFormat="1">
      <c r="A86" s="163" t="s">
        <v>1373</v>
      </c>
      <c r="B86" s="100">
        <v>2.88</v>
      </c>
      <c r="C86" s="100">
        <v>27.04</v>
      </c>
      <c r="D86" s="100">
        <v>15.44</v>
      </c>
      <c r="E86" s="100">
        <v>7.9</v>
      </c>
      <c r="F86" s="100">
        <v>26.55</v>
      </c>
      <c r="G86" s="100">
        <v>37.82</v>
      </c>
      <c r="H86" s="100">
        <v>17.8</v>
      </c>
      <c r="I86" s="100">
        <v>8.1</v>
      </c>
      <c r="J86" s="100">
        <v>2.66</v>
      </c>
      <c r="K86" s="100">
        <v>227.41</v>
      </c>
      <c r="L86" s="100">
        <v>36.99</v>
      </c>
      <c r="M86" s="100">
        <v>30.71</v>
      </c>
      <c r="N86" s="100">
        <v>22.3</v>
      </c>
      <c r="O86" s="100">
        <v>0</v>
      </c>
      <c r="P86" s="100">
        <v>0.55000000000000004</v>
      </c>
      <c r="Q86" s="100">
        <v>28.23</v>
      </c>
      <c r="R86" s="6"/>
      <c r="S86" s="6"/>
      <c r="T86" s="156"/>
      <c r="U86" s="6"/>
    </row>
    <row r="87" spans="1:21" customFormat="1">
      <c r="A87" s="163" t="s">
        <v>1374</v>
      </c>
      <c r="B87" s="100">
        <v>2.97</v>
      </c>
      <c r="C87" s="100">
        <v>23.05</v>
      </c>
      <c r="D87" s="100">
        <v>13.43</v>
      </c>
      <c r="E87" s="100">
        <v>9.02</v>
      </c>
      <c r="F87" s="100">
        <v>16.8</v>
      </c>
      <c r="G87" s="100">
        <v>37.82</v>
      </c>
      <c r="H87" s="100">
        <v>17.8</v>
      </c>
      <c r="I87" s="100">
        <v>8.57</v>
      </c>
      <c r="J87" s="100">
        <v>2.97</v>
      </c>
      <c r="K87" s="100">
        <v>251.67</v>
      </c>
      <c r="L87" s="100">
        <v>36.72</v>
      </c>
      <c r="M87" s="100">
        <v>31.3</v>
      </c>
      <c r="N87" s="100">
        <v>22.5</v>
      </c>
      <c r="O87" s="100">
        <v>0</v>
      </c>
      <c r="P87" s="100">
        <v>0.53</v>
      </c>
      <c r="Q87" s="100">
        <v>28.43</v>
      </c>
      <c r="R87" s="6"/>
      <c r="S87" s="6"/>
      <c r="T87" s="156"/>
      <c r="U87" s="6"/>
    </row>
    <row r="88" spans="1:21" customFormat="1">
      <c r="A88" s="163" t="s">
        <v>1375</v>
      </c>
      <c r="B88" s="100">
        <v>3.97</v>
      </c>
      <c r="C88" s="100">
        <v>24.52</v>
      </c>
      <c r="D88" s="100">
        <v>15</v>
      </c>
      <c r="E88" s="100">
        <v>9.0299999999999994</v>
      </c>
      <c r="F88" s="100">
        <v>19.93</v>
      </c>
      <c r="G88" s="100">
        <v>38.65</v>
      </c>
      <c r="H88" s="100">
        <v>18.760000000000002</v>
      </c>
      <c r="I88" s="100">
        <v>9.08</v>
      </c>
      <c r="J88" s="100">
        <v>3.18</v>
      </c>
      <c r="K88" s="100">
        <v>239.81</v>
      </c>
      <c r="L88" s="100">
        <v>36.5</v>
      </c>
      <c r="M88" s="100">
        <v>31.39</v>
      </c>
      <c r="N88" s="100">
        <v>22.4</v>
      </c>
      <c r="O88" s="100">
        <v>0</v>
      </c>
      <c r="P88" s="100">
        <v>0.57999999999999996</v>
      </c>
      <c r="Q88" s="100">
        <v>28.27</v>
      </c>
      <c r="R88" s="6"/>
      <c r="S88" s="6"/>
      <c r="T88" s="156"/>
      <c r="U88" s="6"/>
    </row>
    <row r="89" spans="1:21" customFormat="1">
      <c r="A89" s="163" t="s">
        <v>1376</v>
      </c>
      <c r="B89" s="100">
        <v>4.59</v>
      </c>
      <c r="C89" s="100">
        <v>21.38</v>
      </c>
      <c r="D89" s="100">
        <v>13.86</v>
      </c>
      <c r="E89" s="100">
        <v>8.7899999999999991</v>
      </c>
      <c r="F89" s="100">
        <v>13.44</v>
      </c>
      <c r="G89" s="100">
        <v>41.97</v>
      </c>
      <c r="H89" s="100">
        <v>22.35</v>
      </c>
      <c r="I89" s="100">
        <v>9.24</v>
      </c>
      <c r="J89" s="100">
        <v>3.57</v>
      </c>
      <c r="K89" s="100">
        <v>239.92</v>
      </c>
      <c r="L89" s="100">
        <v>36.33</v>
      </c>
      <c r="M89" s="100">
        <v>29.91</v>
      </c>
      <c r="N89" s="100">
        <v>22.3</v>
      </c>
      <c r="O89" s="100">
        <v>0</v>
      </c>
      <c r="P89" s="100">
        <v>0.56000000000000005</v>
      </c>
      <c r="Q89" s="100">
        <v>28.34</v>
      </c>
      <c r="R89" s="6"/>
      <c r="S89" s="6"/>
      <c r="T89" s="156"/>
      <c r="U89" s="6"/>
    </row>
    <row r="90" spans="1:21" customFormat="1">
      <c r="A90" s="163" t="s">
        <v>1377</v>
      </c>
      <c r="B90" s="100">
        <v>3.82</v>
      </c>
      <c r="C90" s="100">
        <v>23</v>
      </c>
      <c r="D90" s="100">
        <v>14.09</v>
      </c>
      <c r="E90" s="100">
        <v>8.6199999999999992</v>
      </c>
      <c r="F90" s="100">
        <v>12.28</v>
      </c>
      <c r="G90" s="100">
        <v>41.97</v>
      </c>
      <c r="H90" s="100">
        <v>22.35</v>
      </c>
      <c r="I90" s="100">
        <v>10.33</v>
      </c>
      <c r="J90" s="100">
        <v>3.47</v>
      </c>
      <c r="K90" s="100">
        <v>235.8</v>
      </c>
      <c r="L90" s="100">
        <v>36.229999999999997</v>
      </c>
      <c r="M90" s="100">
        <v>28.81</v>
      </c>
      <c r="N90" s="100">
        <v>22.5</v>
      </c>
      <c r="O90" s="100">
        <v>0</v>
      </c>
      <c r="P90" s="100">
        <v>0.54</v>
      </c>
      <c r="Q90" s="100">
        <v>28.57</v>
      </c>
      <c r="R90" s="6"/>
      <c r="S90" s="6"/>
      <c r="T90" s="156"/>
      <c r="U90" s="6"/>
    </row>
    <row r="91" spans="1:21" customFormat="1">
      <c r="A91" s="163" t="s">
        <v>1378</v>
      </c>
      <c r="B91" s="100">
        <v>3.72</v>
      </c>
      <c r="C91" s="100">
        <v>22.64</v>
      </c>
      <c r="D91" s="100">
        <v>13.81</v>
      </c>
      <c r="E91" s="100">
        <v>8.23</v>
      </c>
      <c r="F91" s="100">
        <v>15.56</v>
      </c>
      <c r="G91" s="100">
        <v>41.97</v>
      </c>
      <c r="H91" s="100">
        <v>22.35</v>
      </c>
      <c r="I91" s="100">
        <v>9.8699999999999992</v>
      </c>
      <c r="J91" s="100">
        <v>3.8</v>
      </c>
      <c r="K91" s="100">
        <v>236.65</v>
      </c>
      <c r="L91" s="100">
        <v>36.049999999999997</v>
      </c>
      <c r="M91" s="100">
        <v>29.01</v>
      </c>
      <c r="N91" s="100">
        <v>22.5</v>
      </c>
      <c r="O91" s="100">
        <v>0</v>
      </c>
      <c r="P91" s="100">
        <v>0.53</v>
      </c>
      <c r="Q91" s="100">
        <v>28.59</v>
      </c>
      <c r="R91" s="6"/>
      <c r="S91" s="6"/>
      <c r="T91" s="156"/>
      <c r="U91" s="6"/>
    </row>
    <row r="92" spans="1:21" customFormat="1">
      <c r="A92" s="163" t="s">
        <v>1379</v>
      </c>
      <c r="B92" s="100">
        <v>3.69</v>
      </c>
      <c r="C92" s="100">
        <v>23.48</v>
      </c>
      <c r="D92" s="100">
        <v>14.23</v>
      </c>
      <c r="E92" s="100">
        <v>7.2</v>
      </c>
      <c r="F92" s="100">
        <v>10.62</v>
      </c>
      <c r="G92" s="100">
        <v>43.13</v>
      </c>
      <c r="H92" s="100">
        <v>21.69</v>
      </c>
      <c r="I92" s="100">
        <v>9.65</v>
      </c>
      <c r="J92" s="100">
        <v>3.92</v>
      </c>
      <c r="K92" s="100">
        <v>241.74</v>
      </c>
      <c r="L92" s="100">
        <v>35.79</v>
      </c>
      <c r="M92" s="100">
        <v>29.55</v>
      </c>
      <c r="N92" s="100">
        <v>22.7</v>
      </c>
      <c r="O92" s="100">
        <v>0</v>
      </c>
      <c r="P92" s="100">
        <v>0.52</v>
      </c>
      <c r="Q92" s="100">
        <v>28.53</v>
      </c>
      <c r="R92" s="6"/>
      <c r="S92" s="6"/>
      <c r="T92" s="156"/>
      <c r="U92" s="6"/>
    </row>
    <row r="93" spans="1:21" customFormat="1">
      <c r="A93" s="163" t="s">
        <v>1380</v>
      </c>
      <c r="B93" s="100">
        <v>3.63</v>
      </c>
      <c r="C93" s="100">
        <v>26.75</v>
      </c>
      <c r="D93" s="100">
        <v>15.89</v>
      </c>
      <c r="E93" s="100">
        <v>7.27</v>
      </c>
      <c r="F93" s="100">
        <v>10.74</v>
      </c>
      <c r="G93" s="100">
        <v>47.49</v>
      </c>
      <c r="H93" s="100">
        <v>19.25</v>
      </c>
      <c r="I93" s="100">
        <v>9.92</v>
      </c>
      <c r="J93" s="100">
        <v>4.17</v>
      </c>
      <c r="K93" s="100">
        <v>244.05</v>
      </c>
      <c r="L93" s="100">
        <v>35.53</v>
      </c>
      <c r="M93" s="100">
        <v>30.23</v>
      </c>
      <c r="N93" s="100">
        <v>22.6</v>
      </c>
      <c r="O93" s="100">
        <v>0</v>
      </c>
      <c r="P93" s="100">
        <v>0.52</v>
      </c>
      <c r="Q93" s="100">
        <v>28.37</v>
      </c>
      <c r="R93" s="6"/>
      <c r="S93" s="6"/>
      <c r="T93" s="156"/>
      <c r="U93" s="6"/>
    </row>
    <row r="94" spans="1:21" customFormat="1">
      <c r="A94" s="163" t="s">
        <v>1381</v>
      </c>
      <c r="B94" s="100">
        <v>3.5</v>
      </c>
      <c r="C94" s="100">
        <v>25.64</v>
      </c>
      <c r="D94" s="100">
        <v>15.21</v>
      </c>
      <c r="E94" s="100">
        <v>7.07</v>
      </c>
      <c r="F94" s="100">
        <v>10.68</v>
      </c>
      <c r="G94" s="100">
        <v>47.49</v>
      </c>
      <c r="H94" s="100">
        <v>19.25</v>
      </c>
      <c r="I94" s="100">
        <v>10.210000000000001</v>
      </c>
      <c r="J94" s="100">
        <v>4.7300000000000004</v>
      </c>
      <c r="K94" s="100">
        <v>244.4</v>
      </c>
      <c r="L94" s="100">
        <v>35.409999999999997</v>
      </c>
      <c r="M94" s="100">
        <v>30.72</v>
      </c>
      <c r="N94" s="100">
        <v>22.5</v>
      </c>
      <c r="O94" s="100">
        <v>0</v>
      </c>
      <c r="P94" s="100">
        <v>0.53</v>
      </c>
      <c r="Q94" s="100">
        <v>28.43</v>
      </c>
      <c r="R94" s="6"/>
      <c r="S94" s="6"/>
      <c r="T94" s="156"/>
      <c r="U94" s="6"/>
    </row>
    <row r="95" spans="1:21" customFormat="1">
      <c r="A95" s="163" t="s">
        <v>1382</v>
      </c>
      <c r="B95" s="100">
        <v>3.5</v>
      </c>
      <c r="C95" s="100">
        <v>27.42</v>
      </c>
      <c r="D95" s="100">
        <v>16.14</v>
      </c>
      <c r="E95" s="100">
        <v>6.93</v>
      </c>
      <c r="F95" s="100">
        <v>11.65</v>
      </c>
      <c r="G95" s="100">
        <v>47.49</v>
      </c>
      <c r="H95" s="100">
        <v>19.25</v>
      </c>
      <c r="I95" s="100">
        <v>10.57</v>
      </c>
      <c r="J95" s="100">
        <v>4.3499999999999996</v>
      </c>
      <c r="K95" s="100">
        <v>252.61</v>
      </c>
      <c r="L95" s="100">
        <v>35.4</v>
      </c>
      <c r="M95" s="100">
        <v>31.12</v>
      </c>
      <c r="N95" s="100">
        <v>22.5</v>
      </c>
      <c r="O95" s="100">
        <v>0</v>
      </c>
      <c r="P95" s="100">
        <v>0.53</v>
      </c>
      <c r="Q95" s="100">
        <v>28.3</v>
      </c>
      <c r="R95" s="6"/>
      <c r="S95" s="6"/>
      <c r="T95" s="156"/>
      <c r="U95" s="6"/>
    </row>
    <row r="96" spans="1:21" customFormat="1">
      <c r="A96" s="163" t="s">
        <v>1383</v>
      </c>
      <c r="B96" s="100">
        <v>3.5</v>
      </c>
      <c r="C96" s="100">
        <v>26.68</v>
      </c>
      <c r="D96" s="100">
        <v>15.75</v>
      </c>
      <c r="E96" s="100">
        <v>6.77</v>
      </c>
      <c r="F96" s="100">
        <v>13.16</v>
      </c>
      <c r="G96" s="100">
        <v>47.02</v>
      </c>
      <c r="H96" s="100">
        <v>18.61</v>
      </c>
      <c r="I96" s="100">
        <v>11.07</v>
      </c>
      <c r="J96" s="100">
        <v>4.1900000000000004</v>
      </c>
      <c r="K96" s="100">
        <v>238.51</v>
      </c>
      <c r="L96" s="100">
        <v>35.28</v>
      </c>
      <c r="M96" s="100">
        <v>31.44</v>
      </c>
      <c r="N96" s="100">
        <v>22.5</v>
      </c>
      <c r="O96" s="100">
        <v>0</v>
      </c>
      <c r="P96" s="100">
        <v>0.53</v>
      </c>
      <c r="Q96" s="100">
        <v>28.29</v>
      </c>
      <c r="R96" s="6"/>
      <c r="S96" s="6"/>
      <c r="T96" s="156"/>
      <c r="U96" s="6"/>
    </row>
    <row r="97" spans="1:28" customFormat="1">
      <c r="A97" s="163" t="s">
        <v>1384</v>
      </c>
      <c r="B97" s="100">
        <v>3.41</v>
      </c>
      <c r="C97" s="100">
        <v>26.02</v>
      </c>
      <c r="D97" s="100">
        <v>15.33</v>
      </c>
      <c r="E97" s="100">
        <v>7.09</v>
      </c>
      <c r="F97" s="100">
        <v>14.37</v>
      </c>
      <c r="G97" s="100">
        <v>45.28</v>
      </c>
      <c r="H97" s="100">
        <v>16.25</v>
      </c>
      <c r="I97" s="100">
        <v>11.19</v>
      </c>
      <c r="J97" s="100">
        <v>3.93</v>
      </c>
      <c r="K97" s="100">
        <v>237.6</v>
      </c>
      <c r="L97" s="100">
        <v>35.08</v>
      </c>
      <c r="M97" s="100">
        <v>32.06</v>
      </c>
      <c r="N97" s="100">
        <v>22.6</v>
      </c>
      <c r="O97" s="100">
        <v>0</v>
      </c>
      <c r="P97" s="100">
        <v>0.53</v>
      </c>
      <c r="Q97" s="100">
        <v>28.33</v>
      </c>
      <c r="R97" s="6"/>
      <c r="S97" s="6"/>
      <c r="T97" s="156"/>
      <c r="U97" s="6"/>
    </row>
    <row r="98" spans="1:28" customFormat="1">
      <c r="A98" s="163" t="s">
        <v>1385</v>
      </c>
      <c r="B98" s="100">
        <v>4.01</v>
      </c>
      <c r="C98" s="100">
        <v>27.67</v>
      </c>
      <c r="D98" s="100">
        <v>16.670000000000002</v>
      </c>
      <c r="E98" s="100">
        <v>7.05</v>
      </c>
      <c r="F98" s="100">
        <v>11.98</v>
      </c>
      <c r="G98" s="100">
        <v>45.28</v>
      </c>
      <c r="H98" s="100">
        <v>16.25</v>
      </c>
      <c r="I98" s="100">
        <v>10.93</v>
      </c>
      <c r="J98" s="100">
        <v>3.61</v>
      </c>
      <c r="K98" s="100">
        <v>234.34</v>
      </c>
      <c r="L98" s="100">
        <v>34.85</v>
      </c>
      <c r="M98" s="100">
        <v>32.659999999999997</v>
      </c>
      <c r="N98" s="100">
        <v>22.6</v>
      </c>
      <c r="O98" s="100">
        <v>0</v>
      </c>
      <c r="P98" s="100">
        <v>0.55000000000000004</v>
      </c>
      <c r="Q98" s="100">
        <v>28.2</v>
      </c>
      <c r="R98" s="6"/>
      <c r="S98" s="6"/>
      <c r="T98" s="156"/>
      <c r="U98" s="6"/>
    </row>
    <row r="99" spans="1:28" customFormat="1">
      <c r="A99" s="163" t="s">
        <v>1386</v>
      </c>
      <c r="B99" s="100">
        <v>4.12</v>
      </c>
      <c r="C99" s="100">
        <v>34.299999999999997</v>
      </c>
      <c r="D99" s="100">
        <v>20.23</v>
      </c>
      <c r="E99" s="100">
        <v>7.44</v>
      </c>
      <c r="F99" s="100">
        <v>6.39</v>
      </c>
      <c r="G99" s="100">
        <v>45.28</v>
      </c>
      <c r="H99" s="100">
        <v>16.25</v>
      </c>
      <c r="I99" s="100">
        <v>11.3</v>
      </c>
      <c r="J99" s="100">
        <v>4.24</v>
      </c>
      <c r="K99" s="100">
        <v>251.59</v>
      </c>
      <c r="L99" s="100">
        <v>34.6</v>
      </c>
      <c r="M99" s="100">
        <v>33.42</v>
      </c>
      <c r="N99" s="100">
        <v>22.5</v>
      </c>
      <c r="O99" s="100">
        <v>0</v>
      </c>
      <c r="P99" s="100">
        <v>0.55000000000000004</v>
      </c>
      <c r="Q99" s="100">
        <v>27.93</v>
      </c>
      <c r="R99" s="6"/>
      <c r="S99" s="6"/>
      <c r="T99" s="156"/>
      <c r="U99" s="6"/>
    </row>
    <row r="100" spans="1:28" customFormat="1">
      <c r="A100" s="163" t="s">
        <v>1387</v>
      </c>
      <c r="B100" s="100">
        <v>4.3600000000000003</v>
      </c>
      <c r="C100" s="100">
        <v>33.04</v>
      </c>
      <c r="D100" s="100">
        <v>19.77</v>
      </c>
      <c r="E100" s="100">
        <v>6.97</v>
      </c>
      <c r="F100" s="100">
        <v>8.1300000000000008</v>
      </c>
      <c r="G100" s="100">
        <v>45.69</v>
      </c>
      <c r="H100" s="100">
        <v>16.97</v>
      </c>
      <c r="I100" s="100">
        <v>12.04</v>
      </c>
      <c r="J100" s="100">
        <v>4.37</v>
      </c>
      <c r="K100" s="100">
        <v>241.08</v>
      </c>
      <c r="L100" s="100">
        <v>34.57</v>
      </c>
      <c r="M100" s="100">
        <v>33.76</v>
      </c>
      <c r="N100" s="100">
        <v>22.5</v>
      </c>
      <c r="O100" s="100">
        <v>0</v>
      </c>
      <c r="P100" s="100">
        <v>0.55000000000000004</v>
      </c>
      <c r="Q100" s="100">
        <v>27.92</v>
      </c>
      <c r="R100" s="6"/>
      <c r="S100" s="6"/>
      <c r="T100" s="156"/>
      <c r="U100" s="6"/>
      <c r="AB100" s="161"/>
    </row>
    <row r="101" spans="1:28" customFormat="1">
      <c r="A101" s="163" t="s">
        <v>1388</v>
      </c>
      <c r="B101" s="100">
        <v>4.57</v>
      </c>
      <c r="C101" s="100">
        <v>25.08</v>
      </c>
      <c r="D101" s="100">
        <v>15.77</v>
      </c>
      <c r="E101" s="100">
        <v>5.58</v>
      </c>
      <c r="F101" s="100">
        <v>8.83</v>
      </c>
      <c r="G101" s="100">
        <v>47.23</v>
      </c>
      <c r="H101" s="100">
        <v>19.670000000000002</v>
      </c>
      <c r="I101" s="100">
        <v>11.87</v>
      </c>
      <c r="J101" s="100">
        <v>4.22</v>
      </c>
      <c r="K101" s="100">
        <v>235.21</v>
      </c>
      <c r="L101" s="100">
        <v>34.409999999999997</v>
      </c>
      <c r="M101" s="100">
        <v>34.71</v>
      </c>
      <c r="N101" s="100">
        <v>22.5</v>
      </c>
      <c r="O101" s="100">
        <v>0</v>
      </c>
      <c r="P101" s="100">
        <v>0.52</v>
      </c>
      <c r="Q101" s="100">
        <v>28.26</v>
      </c>
      <c r="R101" s="6"/>
      <c r="S101" s="6"/>
      <c r="T101" s="156"/>
      <c r="U101" s="6"/>
    </row>
    <row r="102" spans="1:28" customFormat="1">
      <c r="A102" s="163" t="s">
        <v>1389</v>
      </c>
      <c r="B102" s="100">
        <v>4.9800000000000004</v>
      </c>
      <c r="C102" s="100">
        <v>30.14</v>
      </c>
      <c r="D102" s="100">
        <v>18.75</v>
      </c>
      <c r="E102" s="100">
        <v>7.03</v>
      </c>
      <c r="F102" s="100">
        <v>5.73</v>
      </c>
      <c r="G102" s="100">
        <v>47.23</v>
      </c>
      <c r="H102" s="100">
        <v>19.670000000000002</v>
      </c>
      <c r="I102" s="100">
        <v>12.19</v>
      </c>
      <c r="J102" s="100">
        <v>4.07</v>
      </c>
      <c r="K102" s="100">
        <v>240.34</v>
      </c>
      <c r="L102" s="100">
        <v>34.33</v>
      </c>
      <c r="M102" s="100">
        <v>35.299999999999997</v>
      </c>
      <c r="N102" s="100">
        <v>22.5</v>
      </c>
      <c r="O102" s="100">
        <v>0</v>
      </c>
      <c r="P102" s="100">
        <v>0.56000000000000005</v>
      </c>
      <c r="Q102" s="100">
        <v>27.97</v>
      </c>
      <c r="R102" s="6"/>
      <c r="S102" s="6"/>
      <c r="T102" s="156"/>
      <c r="U102" s="6"/>
    </row>
    <row r="103" spans="1:28" customFormat="1">
      <c r="A103" s="163" t="s">
        <v>1390</v>
      </c>
      <c r="B103" s="100">
        <v>5.76</v>
      </c>
      <c r="C103" s="100">
        <v>26.44</v>
      </c>
      <c r="D103" s="100">
        <v>17.440000000000001</v>
      </c>
      <c r="E103" s="100">
        <v>7.95</v>
      </c>
      <c r="F103" s="100">
        <v>5.37</v>
      </c>
      <c r="G103" s="100">
        <v>47.23</v>
      </c>
      <c r="H103" s="100">
        <v>19.670000000000002</v>
      </c>
      <c r="I103" s="100">
        <v>12.6</v>
      </c>
      <c r="J103" s="100">
        <v>4.3899999999999997</v>
      </c>
      <c r="K103" s="100">
        <v>230.37</v>
      </c>
      <c r="L103" s="100">
        <v>34.06</v>
      </c>
      <c r="M103" s="100">
        <v>36.229999999999997</v>
      </c>
      <c r="N103" s="100">
        <v>22.6</v>
      </c>
      <c r="O103" s="100">
        <v>0</v>
      </c>
      <c r="P103" s="100">
        <v>0.55000000000000004</v>
      </c>
      <c r="Q103" s="100">
        <v>28.07</v>
      </c>
      <c r="R103" s="6"/>
      <c r="S103" s="6"/>
      <c r="T103" s="156"/>
      <c r="U103" s="6"/>
    </row>
    <row r="104" spans="1:28" customFormat="1">
      <c r="A104" s="163" t="s">
        <v>1391</v>
      </c>
      <c r="B104" s="100">
        <v>5.83</v>
      </c>
      <c r="C104" s="100">
        <v>29.07</v>
      </c>
      <c r="D104" s="100">
        <v>18.87</v>
      </c>
      <c r="E104" s="100">
        <v>7.52</v>
      </c>
      <c r="F104" s="100">
        <v>6.36</v>
      </c>
      <c r="G104" s="100">
        <v>49.58</v>
      </c>
      <c r="H104" s="100">
        <v>20.36</v>
      </c>
      <c r="I104" s="100">
        <v>12.61</v>
      </c>
      <c r="J104" s="100">
        <v>4.5999999999999996</v>
      </c>
      <c r="K104" s="100">
        <v>230.85</v>
      </c>
      <c r="L104" s="100">
        <v>33.9</v>
      </c>
      <c r="M104" s="100">
        <v>36.659999999999997</v>
      </c>
      <c r="N104" s="100">
        <v>22.5</v>
      </c>
      <c r="O104" s="100">
        <v>0</v>
      </c>
      <c r="P104" s="100">
        <v>0.54</v>
      </c>
      <c r="Q104" s="100">
        <v>28.02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-0.17</v>
      </c>
      <c r="C106" s="158">
        <f>MIN(C9:C104)</f>
        <v>7.44</v>
      </c>
      <c r="D106" s="158">
        <f t="shared" ref="D106:Q106" si="0">MIN(D9:D104)</f>
        <v>4.43</v>
      </c>
      <c r="E106" s="158">
        <f t="shared" si="0"/>
        <v>3.42</v>
      </c>
      <c r="F106" s="158">
        <f t="shared" si="0"/>
        <v>2.92</v>
      </c>
      <c r="G106" s="158">
        <f t="shared" si="0"/>
        <v>28.77</v>
      </c>
      <c r="H106" s="158">
        <f t="shared" si="0"/>
        <v>14.14</v>
      </c>
      <c r="I106" s="158">
        <f t="shared" si="0"/>
        <v>6.38</v>
      </c>
      <c r="J106" s="158">
        <f t="shared" si="0"/>
        <v>1.02</v>
      </c>
      <c r="K106" s="158">
        <f t="shared" si="0"/>
        <v>7.22</v>
      </c>
      <c r="L106" s="158">
        <f t="shared" si="0"/>
        <v>31.87</v>
      </c>
      <c r="M106" s="158">
        <f t="shared" si="0"/>
        <v>19.45</v>
      </c>
      <c r="N106" s="158">
        <f t="shared" si="0"/>
        <v>22.3</v>
      </c>
      <c r="O106" s="158">
        <f t="shared" si="0"/>
        <v>0</v>
      </c>
      <c r="P106" s="158">
        <f t="shared" si="0"/>
        <v>0.35</v>
      </c>
      <c r="Q106" s="158">
        <f t="shared" si="0"/>
        <v>27.92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5.83</v>
      </c>
      <c r="C107" s="157">
        <f t="shared" ref="C107:Q107" si="1">MAX(C9:C104)</f>
        <v>56.6</v>
      </c>
      <c r="D107" s="157">
        <f t="shared" si="1"/>
        <v>29.85</v>
      </c>
      <c r="E107" s="157">
        <f t="shared" si="1"/>
        <v>9.0299999999999994</v>
      </c>
      <c r="F107" s="157">
        <f t="shared" si="1"/>
        <v>44.65</v>
      </c>
      <c r="G107" s="157">
        <f t="shared" si="1"/>
        <v>63.95</v>
      </c>
      <c r="H107" s="157">
        <f t="shared" si="1"/>
        <v>26.95</v>
      </c>
      <c r="I107" s="157">
        <f t="shared" si="1"/>
        <v>12.61</v>
      </c>
      <c r="J107" s="157">
        <f t="shared" si="1"/>
        <v>4.95</v>
      </c>
      <c r="K107" s="157">
        <f t="shared" si="1"/>
        <v>355.68</v>
      </c>
      <c r="L107" s="157">
        <f t="shared" si="1"/>
        <v>43.61</v>
      </c>
      <c r="M107" s="157">
        <f t="shared" si="1"/>
        <v>51.41</v>
      </c>
      <c r="N107" s="157">
        <f t="shared" si="1"/>
        <v>859.7</v>
      </c>
      <c r="O107" s="157">
        <f t="shared" si="1"/>
        <v>0</v>
      </c>
      <c r="P107" s="157">
        <f t="shared" si="1"/>
        <v>0.57999999999999996</v>
      </c>
      <c r="Q107" s="157">
        <f t="shared" si="1"/>
        <v>29.29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2.2358333333333333</v>
      </c>
      <c r="C108" s="158">
        <f t="shared" ref="C108:Q108" si="2">AVERAGE(C9:C104)</f>
        <v>20.628750000000014</v>
      </c>
      <c r="D108" s="158">
        <f t="shared" si="2"/>
        <v>12.093229166666665</v>
      </c>
      <c r="E108" s="158">
        <f t="shared" si="2"/>
        <v>6.995208333333335</v>
      </c>
      <c r="F108" s="158">
        <f t="shared" si="2"/>
        <v>16.289374999999996</v>
      </c>
      <c r="G108" s="158">
        <f t="shared" si="2"/>
        <v>40.81687500000001</v>
      </c>
      <c r="H108" s="158">
        <f t="shared" si="2"/>
        <v>19.129375000000003</v>
      </c>
      <c r="I108" s="158">
        <f t="shared" si="2"/>
        <v>8.4740625000000041</v>
      </c>
      <c r="J108" s="158">
        <f t="shared" si="2"/>
        <v>3.1118750000000008</v>
      </c>
      <c r="K108" s="158">
        <f t="shared" si="2"/>
        <v>225.0906249999999</v>
      </c>
      <c r="L108" s="158">
        <f t="shared" si="2"/>
        <v>36.864166666666669</v>
      </c>
      <c r="M108" s="158">
        <f t="shared" si="2"/>
        <v>34.008541666666659</v>
      </c>
      <c r="N108" s="158">
        <f t="shared" si="2"/>
        <v>233.23541666666657</v>
      </c>
      <c r="O108" s="158">
        <f t="shared" si="2"/>
        <v>0</v>
      </c>
      <c r="P108" s="158">
        <f t="shared" si="2"/>
        <v>0.46552083333333361</v>
      </c>
      <c r="Q108" s="158">
        <f t="shared" si="2"/>
        <v>28.514479166666671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1.2737418284778259</v>
      </c>
      <c r="C109" s="158">
        <f t="shared" ref="C109:Q109" si="3">STDEV(C9:C104)</f>
        <v>8.1798248919617613</v>
      </c>
      <c r="D109" s="158">
        <f t="shared" si="3"/>
        <v>4.4242555115115572</v>
      </c>
      <c r="E109" s="158">
        <f t="shared" si="3"/>
        <v>1.1544485848610675</v>
      </c>
      <c r="F109" s="158">
        <f t="shared" si="3"/>
        <v>10.082150127041881</v>
      </c>
      <c r="G109" s="158">
        <f t="shared" si="3"/>
        <v>9.6036124028518355</v>
      </c>
      <c r="H109" s="158">
        <f t="shared" si="3"/>
        <v>3.1579276390829922</v>
      </c>
      <c r="I109" s="158">
        <f t="shared" si="3"/>
        <v>1.7850481804642861</v>
      </c>
      <c r="J109" s="158">
        <f t="shared" si="3"/>
        <v>0.91868018889800884</v>
      </c>
      <c r="K109" s="158">
        <f t="shared" si="3"/>
        <v>71.540294259691123</v>
      </c>
      <c r="L109" s="158">
        <f t="shared" si="3"/>
        <v>3.8028561749978986</v>
      </c>
      <c r="M109" s="158">
        <f t="shared" si="3"/>
        <v>9.8704786829122479</v>
      </c>
      <c r="N109" s="158">
        <f t="shared" si="3"/>
        <v>292.3628974153317</v>
      </c>
      <c r="O109" s="158">
        <f t="shared" si="3"/>
        <v>0</v>
      </c>
      <c r="P109" s="158">
        <f t="shared" si="3"/>
        <v>6.4626372190119491E-2</v>
      </c>
      <c r="Q109" s="158">
        <f t="shared" si="3"/>
        <v>0.34953162583111175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04" sqref="E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1392</v>
      </c>
      <c r="B9" s="100">
        <v>6.15</v>
      </c>
      <c r="C9" s="100">
        <v>24.01</v>
      </c>
      <c r="D9" s="100">
        <v>16.48</v>
      </c>
      <c r="E9" s="100">
        <v>7.74</v>
      </c>
      <c r="F9" s="100">
        <v>8.42</v>
      </c>
      <c r="G9" s="100">
        <v>58.34</v>
      </c>
      <c r="H9" s="100">
        <v>22.94</v>
      </c>
      <c r="I9" s="100">
        <v>12.53</v>
      </c>
      <c r="J9" s="100">
        <v>4.47</v>
      </c>
      <c r="K9" s="100">
        <v>233.18</v>
      </c>
      <c r="L9" s="100">
        <v>33.840000000000003</v>
      </c>
      <c r="M9" s="100">
        <v>36.950000000000003</v>
      </c>
      <c r="N9" s="100">
        <v>22.6</v>
      </c>
      <c r="O9" s="100">
        <v>0</v>
      </c>
      <c r="P9" s="100">
        <v>0.54</v>
      </c>
      <c r="Q9" s="100">
        <v>28.1</v>
      </c>
      <c r="R9" s="6"/>
      <c r="S9" s="6"/>
      <c r="T9" s="156"/>
      <c r="U9" s="6"/>
    </row>
    <row r="10" spans="1:21" customFormat="1">
      <c r="A10" s="163" t="s">
        <v>1393</v>
      </c>
      <c r="B10" s="100">
        <v>6.27</v>
      </c>
      <c r="C10" s="100">
        <v>25.87</v>
      </c>
      <c r="D10" s="100">
        <v>17.55</v>
      </c>
      <c r="E10" s="100">
        <v>7</v>
      </c>
      <c r="F10" s="100">
        <v>8.24</v>
      </c>
      <c r="G10" s="100">
        <v>58.34</v>
      </c>
      <c r="H10" s="100">
        <v>22.94</v>
      </c>
      <c r="I10" s="100">
        <v>12.25</v>
      </c>
      <c r="J10" s="100">
        <v>3.86</v>
      </c>
      <c r="K10" s="100">
        <v>235.95</v>
      </c>
      <c r="L10" s="100">
        <v>33.78</v>
      </c>
      <c r="M10" s="100">
        <v>37.25</v>
      </c>
      <c r="N10" s="100">
        <v>22.6</v>
      </c>
      <c r="O10" s="100">
        <v>0</v>
      </c>
      <c r="P10" s="100">
        <v>0.54</v>
      </c>
      <c r="Q10" s="100">
        <v>28.11</v>
      </c>
      <c r="R10" s="6"/>
      <c r="S10" s="6"/>
      <c r="T10" s="156"/>
      <c r="U10" s="6"/>
    </row>
    <row r="11" spans="1:21" customFormat="1">
      <c r="A11" s="163" t="s">
        <v>1394</v>
      </c>
      <c r="B11" s="100">
        <v>6</v>
      </c>
      <c r="C11" s="100">
        <v>25.2</v>
      </c>
      <c r="D11" s="100">
        <v>16.98</v>
      </c>
      <c r="E11" s="100">
        <v>7.01</v>
      </c>
      <c r="F11" s="100">
        <v>8.17</v>
      </c>
      <c r="G11" s="100">
        <v>58.34</v>
      </c>
      <c r="H11" s="100">
        <v>22.94</v>
      </c>
      <c r="I11" s="100">
        <v>11.99</v>
      </c>
      <c r="J11" s="100">
        <v>4.21</v>
      </c>
      <c r="K11" s="100">
        <v>233.05</v>
      </c>
      <c r="L11" s="100">
        <v>33.619999999999997</v>
      </c>
      <c r="M11" s="100">
        <v>37.729999999999997</v>
      </c>
      <c r="N11" s="100">
        <v>22.9</v>
      </c>
      <c r="O11" s="100">
        <v>0</v>
      </c>
      <c r="P11" s="100">
        <v>0.54</v>
      </c>
      <c r="Q11" s="100">
        <v>28.17</v>
      </c>
      <c r="R11" s="6"/>
      <c r="S11" s="6"/>
      <c r="T11" s="156"/>
      <c r="U11" s="6"/>
    </row>
    <row r="12" spans="1:21" customFormat="1">
      <c r="A12" s="163" t="s">
        <v>1395</v>
      </c>
      <c r="B12" s="100">
        <v>5.86</v>
      </c>
      <c r="C12" s="100">
        <v>25.72</v>
      </c>
      <c r="D12" s="100">
        <v>17.14</v>
      </c>
      <c r="E12" s="100">
        <v>6.65</v>
      </c>
      <c r="F12" s="100">
        <v>7.54</v>
      </c>
      <c r="G12" s="100">
        <v>58.24</v>
      </c>
      <c r="H12" s="100">
        <v>22.78</v>
      </c>
      <c r="I12" s="100">
        <v>11.9</v>
      </c>
      <c r="J12" s="100">
        <v>4.2699999999999996</v>
      </c>
      <c r="K12" s="100">
        <v>234.49</v>
      </c>
      <c r="L12" s="100">
        <v>33.619999999999997</v>
      </c>
      <c r="M12" s="100">
        <v>37.659999999999997</v>
      </c>
      <c r="N12" s="100">
        <v>22.8</v>
      </c>
      <c r="O12" s="100">
        <v>0</v>
      </c>
      <c r="P12" s="100">
        <v>0.53</v>
      </c>
      <c r="Q12" s="100">
        <v>28.13</v>
      </c>
      <c r="R12" s="6"/>
      <c r="S12" s="6"/>
      <c r="T12" s="156"/>
      <c r="U12" s="6"/>
    </row>
    <row r="13" spans="1:21" customFormat="1">
      <c r="A13" s="163" t="s">
        <v>1396</v>
      </c>
      <c r="B13" s="100">
        <v>5.58</v>
      </c>
      <c r="C13" s="100">
        <v>26.45</v>
      </c>
      <c r="D13" s="100">
        <v>17.3</v>
      </c>
      <c r="E13" s="100">
        <v>6.95</v>
      </c>
      <c r="F13" s="100">
        <v>9.6999999999999993</v>
      </c>
      <c r="G13" s="100">
        <v>57.85</v>
      </c>
      <c r="H13" s="100">
        <v>22.17</v>
      </c>
      <c r="I13" s="100">
        <v>11.54</v>
      </c>
      <c r="J13" s="100">
        <v>3.57</v>
      </c>
      <c r="K13" s="100">
        <v>233.73</v>
      </c>
      <c r="L13" s="100">
        <v>33.520000000000003</v>
      </c>
      <c r="M13" s="100">
        <v>38.049999999999997</v>
      </c>
      <c r="N13" s="100">
        <v>22.7</v>
      </c>
      <c r="O13" s="100">
        <v>0</v>
      </c>
      <c r="P13" s="100">
        <v>0.51</v>
      </c>
      <c r="Q13" s="100">
        <v>28.05</v>
      </c>
      <c r="R13" s="6"/>
      <c r="S13" s="6"/>
      <c r="T13" s="156"/>
      <c r="U13" s="6"/>
    </row>
    <row r="14" spans="1:21" customFormat="1">
      <c r="A14" s="163" t="s">
        <v>1397</v>
      </c>
      <c r="B14" s="100">
        <v>5.53</v>
      </c>
      <c r="C14" s="100">
        <v>28.99</v>
      </c>
      <c r="D14" s="100">
        <v>18.579999999999998</v>
      </c>
      <c r="E14" s="100">
        <v>7.12</v>
      </c>
      <c r="F14" s="100">
        <v>8.4600000000000009</v>
      </c>
      <c r="G14" s="100">
        <v>57.85</v>
      </c>
      <c r="H14" s="100">
        <v>22.17</v>
      </c>
      <c r="I14" s="100">
        <v>11.43</v>
      </c>
      <c r="J14" s="100">
        <v>3.91</v>
      </c>
      <c r="K14" s="100">
        <v>235.13</v>
      </c>
      <c r="L14" s="100">
        <v>33.549999999999997</v>
      </c>
      <c r="M14" s="100">
        <v>37.76</v>
      </c>
      <c r="N14" s="100">
        <v>22.7</v>
      </c>
      <c r="O14" s="100">
        <v>0</v>
      </c>
      <c r="P14" s="100">
        <v>0.54</v>
      </c>
      <c r="Q14" s="100">
        <v>27.9</v>
      </c>
      <c r="R14" s="6"/>
      <c r="S14" s="6"/>
      <c r="T14" s="156"/>
      <c r="U14" s="6"/>
    </row>
    <row r="15" spans="1:21" customFormat="1">
      <c r="A15" s="163" t="s">
        <v>1398</v>
      </c>
      <c r="B15" s="100">
        <v>5.64</v>
      </c>
      <c r="C15" s="100">
        <v>28.25</v>
      </c>
      <c r="D15" s="100">
        <v>18.29</v>
      </c>
      <c r="E15" s="100">
        <v>7.21</v>
      </c>
      <c r="F15" s="100">
        <v>6.55</v>
      </c>
      <c r="G15" s="100">
        <v>57.85</v>
      </c>
      <c r="H15" s="100">
        <v>22.17</v>
      </c>
      <c r="I15" s="100">
        <v>11.37</v>
      </c>
      <c r="J15" s="100">
        <v>3.76</v>
      </c>
      <c r="K15" s="100">
        <v>239.65</v>
      </c>
      <c r="L15" s="100">
        <v>33.5</v>
      </c>
      <c r="M15" s="100">
        <v>37.69</v>
      </c>
      <c r="N15" s="100">
        <v>22.9</v>
      </c>
      <c r="O15" s="100">
        <v>0</v>
      </c>
      <c r="P15" s="100">
        <v>0.53</v>
      </c>
      <c r="Q15" s="100">
        <v>27.97</v>
      </c>
      <c r="R15" s="6"/>
      <c r="S15" s="6"/>
      <c r="T15" s="156"/>
      <c r="U15" s="6"/>
    </row>
    <row r="16" spans="1:21" customFormat="1">
      <c r="A16" s="163" t="s">
        <v>1399</v>
      </c>
      <c r="B16" s="100">
        <v>5.66</v>
      </c>
      <c r="C16" s="100">
        <v>36.9</v>
      </c>
      <c r="D16" s="100">
        <v>22.83</v>
      </c>
      <c r="E16" s="100">
        <v>6.83</v>
      </c>
      <c r="F16" s="100">
        <v>6.2</v>
      </c>
      <c r="G16" s="100">
        <v>56.23</v>
      </c>
      <c r="H16" s="100">
        <v>21.31</v>
      </c>
      <c r="I16" s="100">
        <v>11.37</v>
      </c>
      <c r="J16" s="100">
        <v>3.55</v>
      </c>
      <c r="K16" s="100">
        <v>237.23</v>
      </c>
      <c r="L16" s="100">
        <v>33.270000000000003</v>
      </c>
      <c r="M16" s="100">
        <v>38.340000000000003</v>
      </c>
      <c r="N16" s="100">
        <v>23.1</v>
      </c>
      <c r="O16" s="100">
        <v>0</v>
      </c>
      <c r="P16" s="100">
        <v>0.53</v>
      </c>
      <c r="Q16" s="100">
        <v>27.62</v>
      </c>
      <c r="R16" s="6"/>
      <c r="S16" s="6"/>
      <c r="T16" s="156"/>
      <c r="U16" s="6"/>
    </row>
    <row r="17" spans="1:21" customFormat="1">
      <c r="A17" s="163" t="s">
        <v>1400</v>
      </c>
      <c r="B17" s="100">
        <v>5.75</v>
      </c>
      <c r="C17" s="100">
        <v>40.049999999999997</v>
      </c>
      <c r="D17" s="100">
        <v>24.54</v>
      </c>
      <c r="E17" s="100">
        <v>6.56</v>
      </c>
      <c r="F17" s="100">
        <v>4.53</v>
      </c>
      <c r="G17" s="100">
        <v>50.17</v>
      </c>
      <c r="H17" s="100">
        <v>18.07</v>
      </c>
      <c r="I17" s="100">
        <v>11.25</v>
      </c>
      <c r="J17" s="100">
        <v>3.44</v>
      </c>
      <c r="K17" s="100">
        <v>242.06</v>
      </c>
      <c r="L17" s="100">
        <v>33.18</v>
      </c>
      <c r="M17" s="100">
        <v>38.840000000000003</v>
      </c>
      <c r="N17" s="100">
        <v>22.9</v>
      </c>
      <c r="O17" s="100">
        <v>0</v>
      </c>
      <c r="P17" s="100">
        <v>0.52</v>
      </c>
      <c r="Q17" s="100">
        <v>27.46</v>
      </c>
      <c r="R17" s="6"/>
      <c r="S17" s="6"/>
      <c r="T17" s="156"/>
      <c r="U17" s="6"/>
    </row>
    <row r="18" spans="1:21" customFormat="1">
      <c r="A18" s="163" t="s">
        <v>1401</v>
      </c>
      <c r="B18" s="100">
        <v>5.99</v>
      </c>
      <c r="C18" s="100">
        <v>34.33</v>
      </c>
      <c r="D18" s="100">
        <v>21.74</v>
      </c>
      <c r="E18" s="100">
        <v>7.2</v>
      </c>
      <c r="F18" s="100">
        <v>4.57</v>
      </c>
      <c r="G18" s="100">
        <v>50.17</v>
      </c>
      <c r="H18" s="100">
        <v>18.07</v>
      </c>
      <c r="I18" s="100">
        <v>11.51</v>
      </c>
      <c r="J18" s="100">
        <v>3.76</v>
      </c>
      <c r="K18" s="100">
        <v>245.35</v>
      </c>
      <c r="L18" s="100">
        <v>33.17</v>
      </c>
      <c r="M18" s="100">
        <v>39.07</v>
      </c>
      <c r="N18" s="100">
        <v>22.9</v>
      </c>
      <c r="O18" s="100">
        <v>0</v>
      </c>
      <c r="P18" s="100">
        <v>0.51</v>
      </c>
      <c r="Q18" s="100">
        <v>27.72</v>
      </c>
      <c r="R18" s="6"/>
      <c r="S18" s="6"/>
      <c r="T18" s="156"/>
      <c r="U18" s="6"/>
    </row>
    <row r="19" spans="1:21" customFormat="1">
      <c r="A19" s="163" t="s">
        <v>1402</v>
      </c>
      <c r="B19" s="100">
        <v>6.2</v>
      </c>
      <c r="C19" s="100">
        <v>26.32</v>
      </c>
      <c r="D19" s="100">
        <v>17.73</v>
      </c>
      <c r="E19" s="100">
        <v>7.45</v>
      </c>
      <c r="F19" s="100">
        <v>5.69</v>
      </c>
      <c r="G19" s="100">
        <v>50.17</v>
      </c>
      <c r="H19" s="100">
        <v>18.07</v>
      </c>
      <c r="I19" s="100">
        <v>12.08</v>
      </c>
      <c r="J19" s="100">
        <v>2.82</v>
      </c>
      <c r="K19" s="100">
        <v>243.56</v>
      </c>
      <c r="L19" s="100">
        <v>33.11</v>
      </c>
      <c r="M19" s="100">
        <v>39.22</v>
      </c>
      <c r="N19" s="100">
        <v>22.8</v>
      </c>
      <c r="O19" s="100">
        <v>0</v>
      </c>
      <c r="P19" s="100">
        <v>0.51</v>
      </c>
      <c r="Q19" s="100">
        <v>28.17</v>
      </c>
      <c r="R19" s="6"/>
      <c r="S19" s="6"/>
      <c r="T19" s="156"/>
      <c r="U19" s="6"/>
    </row>
    <row r="20" spans="1:21" customFormat="1">
      <c r="A20" s="163" t="s">
        <v>1403</v>
      </c>
      <c r="B20" s="100">
        <v>6.43</v>
      </c>
      <c r="C20" s="100">
        <v>31.96</v>
      </c>
      <c r="D20" s="100">
        <v>20.86</v>
      </c>
      <c r="E20" s="100">
        <v>7.54</v>
      </c>
      <c r="F20" s="100">
        <v>5.47</v>
      </c>
      <c r="G20" s="100">
        <v>50.41</v>
      </c>
      <c r="H20" s="100">
        <v>19.09</v>
      </c>
      <c r="I20" s="100">
        <v>12.46</v>
      </c>
      <c r="J20" s="100">
        <v>2.1800000000000002</v>
      </c>
      <c r="K20" s="100">
        <v>255.65</v>
      </c>
      <c r="L20" s="100">
        <v>32.880000000000003</v>
      </c>
      <c r="M20" s="100">
        <v>40.369999999999997</v>
      </c>
      <c r="N20" s="100">
        <v>23.1</v>
      </c>
      <c r="O20" s="100">
        <v>0</v>
      </c>
      <c r="P20" s="100">
        <v>0.51</v>
      </c>
      <c r="Q20" s="100">
        <v>27.83</v>
      </c>
      <c r="R20" s="6"/>
      <c r="S20" s="6"/>
      <c r="T20" s="156"/>
      <c r="U20" s="6"/>
    </row>
    <row r="21" spans="1:21" customFormat="1">
      <c r="A21" s="163" t="s">
        <v>1404</v>
      </c>
      <c r="B21" s="100">
        <v>6.43</v>
      </c>
      <c r="C21" s="100">
        <v>32.450000000000003</v>
      </c>
      <c r="D21" s="100">
        <v>21.11</v>
      </c>
      <c r="E21" s="100">
        <v>8.14</v>
      </c>
      <c r="F21" s="100">
        <v>6.77</v>
      </c>
      <c r="G21" s="100">
        <v>51.31</v>
      </c>
      <c r="H21" s="100">
        <v>22.93</v>
      </c>
      <c r="I21" s="100">
        <v>12.53</v>
      </c>
      <c r="J21" s="100">
        <v>2.42</v>
      </c>
      <c r="K21" s="100">
        <v>229.54</v>
      </c>
      <c r="L21" s="100">
        <v>33.270000000000003</v>
      </c>
      <c r="M21" s="100">
        <v>40.6</v>
      </c>
      <c r="N21" s="100">
        <v>22.6</v>
      </c>
      <c r="O21" s="100">
        <v>0</v>
      </c>
      <c r="P21" s="100">
        <v>0.5</v>
      </c>
      <c r="Q21" s="100">
        <v>27.83</v>
      </c>
      <c r="R21" s="6"/>
      <c r="S21" s="6"/>
      <c r="T21" s="156"/>
      <c r="U21" s="6"/>
    </row>
    <row r="22" spans="1:21" customFormat="1">
      <c r="A22" s="163" t="s">
        <v>1405</v>
      </c>
      <c r="B22" s="100">
        <v>5.88</v>
      </c>
      <c r="C22" s="100">
        <v>27.84</v>
      </c>
      <c r="D22" s="100">
        <v>18.260000000000002</v>
      </c>
      <c r="E22" s="100">
        <v>9.25</v>
      </c>
      <c r="F22" s="100">
        <v>9.81</v>
      </c>
      <c r="G22" s="100">
        <v>51.31</v>
      </c>
      <c r="H22" s="100">
        <v>22.93</v>
      </c>
      <c r="I22" s="100">
        <v>12.78</v>
      </c>
      <c r="J22" s="100">
        <v>2.9</v>
      </c>
      <c r="K22" s="100">
        <v>238.8</v>
      </c>
      <c r="L22" s="100">
        <v>38.15</v>
      </c>
      <c r="M22" s="100">
        <v>39.65</v>
      </c>
      <c r="N22" s="100">
        <v>22.7</v>
      </c>
      <c r="O22" s="100">
        <v>0</v>
      </c>
      <c r="P22" s="100">
        <v>0.48</v>
      </c>
      <c r="Q22" s="100">
        <v>27.95</v>
      </c>
      <c r="R22" s="6"/>
      <c r="S22" s="6"/>
      <c r="T22" s="156"/>
      <c r="U22" s="6"/>
    </row>
    <row r="23" spans="1:21" customFormat="1">
      <c r="A23" s="163" t="s">
        <v>1406</v>
      </c>
      <c r="B23" s="100">
        <v>6.34</v>
      </c>
      <c r="C23" s="100">
        <v>24.96</v>
      </c>
      <c r="D23" s="100">
        <v>17.13</v>
      </c>
      <c r="E23" s="100">
        <v>8.75</v>
      </c>
      <c r="F23" s="100">
        <v>9.16</v>
      </c>
      <c r="G23" s="100">
        <v>51.31</v>
      </c>
      <c r="H23" s="100">
        <v>22.93</v>
      </c>
      <c r="I23" s="100">
        <v>13.4</v>
      </c>
      <c r="J23" s="100">
        <v>3.56</v>
      </c>
      <c r="K23" s="100">
        <v>241.47</v>
      </c>
      <c r="L23" s="100">
        <v>37.79</v>
      </c>
      <c r="M23" s="100">
        <v>39.32</v>
      </c>
      <c r="N23" s="100">
        <v>22.7</v>
      </c>
      <c r="O23" s="100">
        <v>0</v>
      </c>
      <c r="P23" s="100">
        <v>0.5</v>
      </c>
      <c r="Q23" s="100">
        <v>28.07</v>
      </c>
      <c r="R23" s="6"/>
      <c r="S23" s="6"/>
      <c r="T23" s="156"/>
      <c r="U23" s="6"/>
    </row>
    <row r="24" spans="1:21" customFormat="1">
      <c r="A24" s="163" t="s">
        <v>1407</v>
      </c>
      <c r="B24" s="100">
        <v>6.01</v>
      </c>
      <c r="C24" s="100">
        <v>24.58</v>
      </c>
      <c r="D24" s="100">
        <v>16.670000000000002</v>
      </c>
      <c r="E24" s="100">
        <v>9.23</v>
      </c>
      <c r="F24" s="100">
        <v>9.7200000000000006</v>
      </c>
      <c r="G24" s="100">
        <v>52.65</v>
      </c>
      <c r="H24" s="100">
        <v>22.69</v>
      </c>
      <c r="I24" s="100">
        <v>15.11</v>
      </c>
      <c r="J24" s="100">
        <v>1.98</v>
      </c>
      <c r="K24" s="100">
        <v>130.18</v>
      </c>
      <c r="L24" s="100">
        <v>35.92</v>
      </c>
      <c r="M24" s="100">
        <v>41.41</v>
      </c>
      <c r="N24" s="100">
        <v>23.2</v>
      </c>
      <c r="O24" s="100">
        <v>0</v>
      </c>
      <c r="P24" s="100">
        <v>0.53</v>
      </c>
      <c r="Q24" s="100">
        <v>28.08</v>
      </c>
      <c r="R24" s="6"/>
      <c r="S24" s="6"/>
      <c r="T24" s="156"/>
      <c r="U24" s="6"/>
    </row>
    <row r="25" spans="1:21" customFormat="1">
      <c r="A25" s="163" t="s">
        <v>1408</v>
      </c>
      <c r="B25" s="100">
        <v>8.94</v>
      </c>
      <c r="C25" s="100">
        <v>28.24</v>
      </c>
      <c r="D25" s="100">
        <v>20.93</v>
      </c>
      <c r="E25" s="100">
        <v>8.59</v>
      </c>
      <c r="F25" s="100">
        <v>5.86</v>
      </c>
      <c r="G25" s="100">
        <v>57.66</v>
      </c>
      <c r="H25" s="100">
        <v>21.78</v>
      </c>
      <c r="I25" s="100">
        <v>16.52</v>
      </c>
      <c r="J25" s="100">
        <v>2.23</v>
      </c>
      <c r="K25" s="100">
        <v>169.75</v>
      </c>
      <c r="L25" s="100">
        <v>33.11</v>
      </c>
      <c r="M25" s="100">
        <v>44.28</v>
      </c>
      <c r="N25" s="100">
        <v>23.2</v>
      </c>
      <c r="O25" s="100">
        <v>0</v>
      </c>
      <c r="P25" s="100">
        <v>0.57999999999999996</v>
      </c>
      <c r="Q25" s="100">
        <v>27.87</v>
      </c>
      <c r="R25" s="6"/>
      <c r="S25" s="6"/>
      <c r="T25" s="156"/>
      <c r="U25" s="6"/>
    </row>
    <row r="26" spans="1:21" customFormat="1">
      <c r="A26" s="163" t="s">
        <v>1409</v>
      </c>
      <c r="B26" s="100">
        <v>8.0500000000000007</v>
      </c>
      <c r="C26" s="100">
        <v>25.79</v>
      </c>
      <c r="D26" s="100">
        <v>18.93</v>
      </c>
      <c r="E26" s="100">
        <v>9.01</v>
      </c>
      <c r="F26" s="100">
        <v>6.63</v>
      </c>
      <c r="G26" s="100">
        <v>57.66</v>
      </c>
      <c r="H26" s="100">
        <v>21.78</v>
      </c>
      <c r="I26" s="100">
        <v>17.97</v>
      </c>
      <c r="J26" s="100">
        <v>2.2599999999999998</v>
      </c>
      <c r="K26" s="100">
        <v>247.69</v>
      </c>
      <c r="L26" s="100">
        <v>33.36</v>
      </c>
      <c r="M26" s="100">
        <v>41.7</v>
      </c>
      <c r="N26" s="100">
        <v>22.6</v>
      </c>
      <c r="O26" s="100">
        <v>0</v>
      </c>
      <c r="P26" s="100">
        <v>0.55000000000000004</v>
      </c>
      <c r="Q26" s="100">
        <v>27.96</v>
      </c>
      <c r="R26" s="6"/>
      <c r="S26" s="6"/>
      <c r="T26" s="156"/>
      <c r="U26" s="6"/>
    </row>
    <row r="27" spans="1:21" customFormat="1">
      <c r="A27" s="163" t="s">
        <v>1410</v>
      </c>
      <c r="B27" s="100">
        <v>7.95</v>
      </c>
      <c r="C27" s="100">
        <v>24.61</v>
      </c>
      <c r="D27" s="100">
        <v>18.239999999999998</v>
      </c>
      <c r="E27" s="100">
        <v>9.02</v>
      </c>
      <c r="F27" s="100">
        <v>6.45</v>
      </c>
      <c r="G27" s="100">
        <v>57.66</v>
      </c>
      <c r="H27" s="100">
        <v>21.78</v>
      </c>
      <c r="I27" s="100">
        <v>18.100000000000001</v>
      </c>
      <c r="J27" s="100">
        <v>3.18</v>
      </c>
      <c r="K27" s="100">
        <v>240.99</v>
      </c>
      <c r="L27" s="100">
        <v>33.35</v>
      </c>
      <c r="M27" s="100">
        <v>41.69</v>
      </c>
      <c r="N27" s="100">
        <v>22.8</v>
      </c>
      <c r="O27" s="100">
        <v>0</v>
      </c>
      <c r="P27" s="100">
        <v>0.56000000000000005</v>
      </c>
      <c r="Q27" s="100">
        <v>28.01</v>
      </c>
      <c r="R27" s="6"/>
      <c r="S27" s="6"/>
      <c r="T27" s="156"/>
      <c r="U27" s="6"/>
    </row>
    <row r="28" spans="1:21" customFormat="1">
      <c r="A28" s="163" t="s">
        <v>1411</v>
      </c>
      <c r="B28" s="100">
        <v>8.06</v>
      </c>
      <c r="C28" s="100">
        <v>25.98</v>
      </c>
      <c r="D28" s="100">
        <v>19.04</v>
      </c>
      <c r="E28" s="100">
        <v>9.36</v>
      </c>
      <c r="F28" s="100">
        <v>5.48</v>
      </c>
      <c r="G28" s="100">
        <v>58.03</v>
      </c>
      <c r="H28" s="100">
        <v>22.51</v>
      </c>
      <c r="I28" s="100">
        <v>18.39</v>
      </c>
      <c r="J28" s="100">
        <v>2.46</v>
      </c>
      <c r="K28" s="100">
        <v>270.99</v>
      </c>
      <c r="L28" s="100">
        <v>33.39</v>
      </c>
      <c r="M28" s="100">
        <v>41.94</v>
      </c>
      <c r="N28" s="100">
        <v>22.9</v>
      </c>
      <c r="O28" s="100">
        <v>0</v>
      </c>
      <c r="P28" s="100">
        <v>0.57999999999999996</v>
      </c>
      <c r="Q28" s="100">
        <v>27.85</v>
      </c>
      <c r="R28" s="6"/>
      <c r="S28" s="6"/>
      <c r="T28" s="156"/>
      <c r="U28" s="6"/>
    </row>
    <row r="29" spans="1:21" customFormat="1">
      <c r="A29" s="163" t="s">
        <v>1412</v>
      </c>
      <c r="B29" s="100">
        <v>9.39</v>
      </c>
      <c r="C29" s="100">
        <v>33.299999999999997</v>
      </c>
      <c r="D29" s="100">
        <v>23.93</v>
      </c>
      <c r="E29" s="100">
        <v>6.42</v>
      </c>
      <c r="F29" s="100">
        <v>4.59</v>
      </c>
      <c r="G29" s="100">
        <v>59.43</v>
      </c>
      <c r="H29" s="100">
        <v>25.26</v>
      </c>
      <c r="I29" s="100">
        <v>18.420000000000002</v>
      </c>
      <c r="J29" s="100">
        <v>2.48</v>
      </c>
      <c r="K29" s="100">
        <v>188.52</v>
      </c>
      <c r="L29" s="100">
        <v>33.119999999999997</v>
      </c>
      <c r="M29" s="100">
        <v>43.8</v>
      </c>
      <c r="N29" s="100">
        <v>23.2</v>
      </c>
      <c r="O29" s="100">
        <v>0</v>
      </c>
      <c r="P29" s="100">
        <v>0.55000000000000004</v>
      </c>
      <c r="Q29" s="100">
        <v>27.56</v>
      </c>
      <c r="R29" s="6"/>
      <c r="S29" s="6"/>
      <c r="T29" s="156"/>
      <c r="U29" s="6"/>
    </row>
    <row r="30" spans="1:21" customFormat="1">
      <c r="A30" s="163" t="s">
        <v>1413</v>
      </c>
      <c r="B30" s="100">
        <v>9.9</v>
      </c>
      <c r="C30" s="100">
        <v>35.950000000000003</v>
      </c>
      <c r="D30" s="100">
        <v>25.73</v>
      </c>
      <c r="E30" s="100">
        <v>8.31</v>
      </c>
      <c r="F30" s="100">
        <v>4.42</v>
      </c>
      <c r="G30" s="100">
        <v>59.43</v>
      </c>
      <c r="H30" s="100">
        <v>25.26</v>
      </c>
      <c r="I30" s="100">
        <v>18.45</v>
      </c>
      <c r="J30" s="100">
        <v>2.4500000000000002</v>
      </c>
      <c r="K30" s="100">
        <v>146.5</v>
      </c>
      <c r="L30" s="100">
        <v>33.049999999999997</v>
      </c>
      <c r="M30" s="100">
        <v>44.11</v>
      </c>
      <c r="N30" s="100">
        <v>23.7</v>
      </c>
      <c r="O30" s="100">
        <v>0</v>
      </c>
      <c r="P30" s="100">
        <v>0.59</v>
      </c>
      <c r="Q30" s="100">
        <v>27.37</v>
      </c>
      <c r="R30" s="6"/>
      <c r="S30" s="6"/>
      <c r="T30" s="156"/>
      <c r="U30" s="6"/>
    </row>
    <row r="31" spans="1:21" customFormat="1">
      <c r="A31" s="163" t="s">
        <v>1414</v>
      </c>
      <c r="B31" s="100">
        <v>9.61</v>
      </c>
      <c r="C31" s="100">
        <v>28.61</v>
      </c>
      <c r="D31" s="100">
        <v>21.66</v>
      </c>
      <c r="E31" s="100">
        <v>8.85</v>
      </c>
      <c r="F31" s="100">
        <v>4.71</v>
      </c>
      <c r="G31" s="100">
        <v>59.43</v>
      </c>
      <c r="H31" s="100">
        <v>25.26</v>
      </c>
      <c r="I31" s="100">
        <v>17.190000000000001</v>
      </c>
      <c r="J31" s="100">
        <v>2.16</v>
      </c>
      <c r="K31" s="100">
        <v>137.25</v>
      </c>
      <c r="L31" s="100">
        <v>32.78</v>
      </c>
      <c r="M31" s="100">
        <v>46.25</v>
      </c>
      <c r="N31" s="100">
        <v>26.1</v>
      </c>
      <c r="O31" s="100">
        <v>0</v>
      </c>
      <c r="P31" s="100">
        <v>0.61</v>
      </c>
      <c r="Q31" s="100">
        <v>27.77</v>
      </c>
      <c r="R31" s="6"/>
      <c r="S31" s="6"/>
      <c r="T31" s="156"/>
      <c r="U31" s="6"/>
    </row>
    <row r="32" spans="1:21" customFormat="1">
      <c r="A32" s="163" t="s">
        <v>1415</v>
      </c>
      <c r="B32" s="100">
        <v>10.34</v>
      </c>
      <c r="C32" s="100">
        <v>26.22</v>
      </c>
      <c r="D32" s="100">
        <v>21</v>
      </c>
      <c r="E32" s="100">
        <v>8.5299999999999994</v>
      </c>
      <c r="F32" s="100">
        <v>4.84</v>
      </c>
      <c r="G32" s="100">
        <v>61.81</v>
      </c>
      <c r="H32" s="100">
        <v>24.98</v>
      </c>
      <c r="I32" s="100">
        <v>17.29</v>
      </c>
      <c r="J32" s="100">
        <v>1.53</v>
      </c>
      <c r="K32" s="100">
        <v>176.3</v>
      </c>
      <c r="L32" s="100">
        <v>33.04</v>
      </c>
      <c r="M32" s="100">
        <v>44.15</v>
      </c>
      <c r="N32" s="100">
        <v>31.7</v>
      </c>
      <c r="O32" s="100">
        <v>0</v>
      </c>
      <c r="P32" s="100">
        <v>0.62</v>
      </c>
      <c r="Q32" s="100">
        <v>27.86</v>
      </c>
      <c r="R32" s="6"/>
      <c r="S32" s="6"/>
      <c r="T32" s="156"/>
      <c r="U32" s="6"/>
    </row>
    <row r="33" spans="1:21" customFormat="1">
      <c r="A33" s="163" t="s">
        <v>1416</v>
      </c>
      <c r="B33" s="100">
        <v>11.59</v>
      </c>
      <c r="C33" s="100">
        <v>29.99</v>
      </c>
      <c r="D33" s="100">
        <v>23.97</v>
      </c>
      <c r="E33" s="100">
        <v>8.19</v>
      </c>
      <c r="F33" s="100">
        <v>3.66</v>
      </c>
      <c r="G33" s="100">
        <v>70.69</v>
      </c>
      <c r="H33" s="100">
        <v>23.92</v>
      </c>
      <c r="I33" s="100">
        <v>18.46</v>
      </c>
      <c r="J33" s="100">
        <v>2.2200000000000002</v>
      </c>
      <c r="K33" s="100">
        <v>182.23</v>
      </c>
      <c r="L33" s="100">
        <v>33.200000000000003</v>
      </c>
      <c r="M33" s="100">
        <v>43.78</v>
      </c>
      <c r="N33" s="100">
        <v>42.3</v>
      </c>
      <c r="O33" s="100">
        <v>0</v>
      </c>
      <c r="P33" s="100">
        <v>0.6</v>
      </c>
      <c r="Q33" s="100">
        <v>27.65</v>
      </c>
      <c r="R33" s="6"/>
      <c r="S33" s="6"/>
      <c r="T33" s="156"/>
      <c r="U33" s="6"/>
    </row>
    <row r="34" spans="1:21" customFormat="1">
      <c r="A34" s="163" t="s">
        <v>1417</v>
      </c>
      <c r="B34" s="100">
        <v>11.81</v>
      </c>
      <c r="C34" s="100">
        <v>25.68</v>
      </c>
      <c r="D34" s="100">
        <v>21.89</v>
      </c>
      <c r="E34" s="100">
        <v>9.52</v>
      </c>
      <c r="F34" s="100">
        <v>5.01</v>
      </c>
      <c r="G34" s="100">
        <v>70.69</v>
      </c>
      <c r="H34" s="100">
        <v>23.92</v>
      </c>
      <c r="I34" s="100">
        <v>19.149999999999999</v>
      </c>
      <c r="J34" s="100">
        <v>0.36</v>
      </c>
      <c r="K34" s="100">
        <v>296.16000000000003</v>
      </c>
      <c r="L34" s="100">
        <v>33.409999999999997</v>
      </c>
      <c r="M34" s="100">
        <v>43.42</v>
      </c>
      <c r="N34" s="100">
        <v>54.7</v>
      </c>
      <c r="O34" s="100">
        <v>0</v>
      </c>
      <c r="P34" s="100">
        <v>0.64</v>
      </c>
      <c r="Q34" s="100">
        <v>27.75</v>
      </c>
      <c r="R34" s="6"/>
      <c r="S34" s="6"/>
      <c r="T34" s="156"/>
      <c r="U34" s="6"/>
    </row>
    <row r="35" spans="1:21" customFormat="1">
      <c r="A35" s="163" t="s">
        <v>1418</v>
      </c>
      <c r="B35" s="100">
        <v>12.62</v>
      </c>
      <c r="C35" s="100">
        <v>24.28</v>
      </c>
      <c r="D35" s="100">
        <v>21.81</v>
      </c>
      <c r="E35" s="100">
        <v>8.48</v>
      </c>
      <c r="F35" s="100">
        <v>7.3</v>
      </c>
      <c r="G35" s="100">
        <v>70.69</v>
      </c>
      <c r="H35" s="100">
        <v>23.92</v>
      </c>
      <c r="I35" s="100">
        <v>18.079999999999998</v>
      </c>
      <c r="J35" s="100">
        <v>3.35</v>
      </c>
      <c r="K35" s="100">
        <v>273.70999999999998</v>
      </c>
      <c r="L35" s="100">
        <v>33.11</v>
      </c>
      <c r="M35" s="100">
        <v>43.77</v>
      </c>
      <c r="N35" s="100">
        <v>64.599999999999994</v>
      </c>
      <c r="O35" s="100">
        <v>0</v>
      </c>
      <c r="P35" s="100">
        <v>0.64</v>
      </c>
      <c r="Q35" s="100">
        <v>27.77</v>
      </c>
      <c r="R35" s="6"/>
      <c r="S35" s="6"/>
      <c r="T35" s="156"/>
      <c r="U35" s="6"/>
    </row>
    <row r="36" spans="1:21" customFormat="1">
      <c r="A36" s="163" t="s">
        <v>1419</v>
      </c>
      <c r="B36" s="100">
        <v>11.73</v>
      </c>
      <c r="C36" s="100">
        <v>23.24</v>
      </c>
      <c r="D36" s="100">
        <v>20.55</v>
      </c>
      <c r="E36" s="100">
        <v>7.73</v>
      </c>
      <c r="F36" s="100">
        <v>8.8000000000000007</v>
      </c>
      <c r="G36" s="100">
        <v>72</v>
      </c>
      <c r="H36" s="100">
        <v>24.6</v>
      </c>
      <c r="I36" s="100">
        <v>18.309999999999999</v>
      </c>
      <c r="J36" s="100">
        <v>3.96</v>
      </c>
      <c r="K36" s="100">
        <v>233.16</v>
      </c>
      <c r="L36" s="100">
        <v>32.92</v>
      </c>
      <c r="M36" s="100">
        <v>44.49</v>
      </c>
      <c r="N36" s="100">
        <v>80.7</v>
      </c>
      <c r="O36" s="100">
        <v>0</v>
      </c>
      <c r="P36" s="100">
        <v>0.66</v>
      </c>
      <c r="Q36" s="100">
        <v>27.93</v>
      </c>
      <c r="R36" s="6"/>
      <c r="S36" s="6"/>
      <c r="T36" s="156"/>
      <c r="U36" s="6"/>
    </row>
    <row r="37" spans="1:21" customFormat="1">
      <c r="A37" s="163" t="s">
        <v>1420</v>
      </c>
      <c r="B37" s="100">
        <v>11.75</v>
      </c>
      <c r="C37" s="100">
        <v>24.55</v>
      </c>
      <c r="D37" s="100">
        <v>21.25</v>
      </c>
      <c r="E37" s="100">
        <v>7.83</v>
      </c>
      <c r="F37" s="100">
        <v>8.26</v>
      </c>
      <c r="G37" s="100">
        <v>76.89</v>
      </c>
      <c r="H37" s="100">
        <v>27.11</v>
      </c>
      <c r="I37" s="100">
        <v>18.11</v>
      </c>
      <c r="J37" s="100">
        <v>2.57</v>
      </c>
      <c r="K37" s="100">
        <v>247.65</v>
      </c>
      <c r="L37" s="100">
        <v>33.159999999999997</v>
      </c>
      <c r="M37" s="100">
        <v>43.26</v>
      </c>
      <c r="N37" s="100">
        <v>111.4</v>
      </c>
      <c r="O37" s="100">
        <v>0</v>
      </c>
      <c r="P37" s="100">
        <v>0.63</v>
      </c>
      <c r="Q37" s="100">
        <v>27.82</v>
      </c>
      <c r="R37" s="6"/>
      <c r="S37" s="6"/>
      <c r="T37" s="156"/>
      <c r="U37" s="6"/>
    </row>
    <row r="38" spans="1:21" customFormat="1">
      <c r="A38" s="163" t="s">
        <v>1421</v>
      </c>
      <c r="B38" s="100">
        <v>12.96</v>
      </c>
      <c r="C38" s="100">
        <v>26.98</v>
      </c>
      <c r="D38" s="100">
        <v>23.49</v>
      </c>
      <c r="E38" s="100">
        <v>8.7100000000000009</v>
      </c>
      <c r="F38" s="100">
        <v>8.48</v>
      </c>
      <c r="G38" s="100">
        <v>76.89</v>
      </c>
      <c r="H38" s="100">
        <v>27.11</v>
      </c>
      <c r="I38" s="100">
        <v>17.07</v>
      </c>
      <c r="J38" s="100">
        <v>1.2</v>
      </c>
      <c r="K38" s="100">
        <v>343.77</v>
      </c>
      <c r="L38" s="100">
        <v>33.729999999999997</v>
      </c>
      <c r="M38" s="100">
        <v>42.27</v>
      </c>
      <c r="N38" s="100">
        <v>139.80000000000001</v>
      </c>
      <c r="O38" s="100">
        <v>0</v>
      </c>
      <c r="P38" s="100">
        <v>0.69</v>
      </c>
      <c r="Q38" s="100">
        <v>27.53</v>
      </c>
      <c r="R38" s="6"/>
      <c r="S38" s="6"/>
      <c r="T38" s="156"/>
      <c r="U38" s="6"/>
    </row>
    <row r="39" spans="1:21" customFormat="1">
      <c r="A39" s="163" t="s">
        <v>1422</v>
      </c>
      <c r="B39" s="100">
        <v>12.44</v>
      </c>
      <c r="C39" s="100">
        <v>26.59</v>
      </c>
      <c r="D39" s="100">
        <v>22.87</v>
      </c>
      <c r="E39" s="100">
        <v>8.73</v>
      </c>
      <c r="F39" s="100">
        <v>13.06</v>
      </c>
      <c r="G39" s="100">
        <v>76.89</v>
      </c>
      <c r="H39" s="100">
        <v>27.11</v>
      </c>
      <c r="I39" s="100">
        <v>16.61</v>
      </c>
      <c r="J39" s="100">
        <v>2.1</v>
      </c>
      <c r="K39" s="100">
        <v>45.25</v>
      </c>
      <c r="L39" s="100">
        <v>34.549999999999997</v>
      </c>
      <c r="M39" s="100">
        <v>40.299999999999997</v>
      </c>
      <c r="N39" s="100">
        <v>165.7</v>
      </c>
      <c r="O39" s="100">
        <v>0</v>
      </c>
      <c r="P39" s="100">
        <v>0.68</v>
      </c>
      <c r="Q39" s="100">
        <v>27.54</v>
      </c>
      <c r="R39" s="6"/>
      <c r="S39" s="6"/>
      <c r="T39" s="156"/>
      <c r="U39" s="6"/>
    </row>
    <row r="40" spans="1:21" customFormat="1">
      <c r="A40" s="163" t="s">
        <v>1423</v>
      </c>
      <c r="B40" s="100">
        <v>14.03</v>
      </c>
      <c r="C40" s="100">
        <v>26.42</v>
      </c>
      <c r="D40" s="100">
        <v>24.06</v>
      </c>
      <c r="E40" s="100">
        <v>8.1199999999999992</v>
      </c>
      <c r="F40" s="100">
        <v>14.55</v>
      </c>
      <c r="G40" s="100">
        <v>77.09</v>
      </c>
      <c r="H40" s="100">
        <v>27.45</v>
      </c>
      <c r="I40" s="100">
        <v>16.59</v>
      </c>
      <c r="J40" s="100">
        <v>2.31</v>
      </c>
      <c r="K40" s="100">
        <v>271.64</v>
      </c>
      <c r="L40" s="100">
        <v>35.04</v>
      </c>
      <c r="M40" s="100">
        <v>38.65</v>
      </c>
      <c r="N40" s="100">
        <v>147.69999999999999</v>
      </c>
      <c r="O40" s="100">
        <v>0</v>
      </c>
      <c r="P40" s="100">
        <v>0.71</v>
      </c>
      <c r="Q40" s="100">
        <v>27.62</v>
      </c>
      <c r="R40" s="6"/>
      <c r="S40" s="6"/>
      <c r="T40" s="156"/>
      <c r="U40" s="6"/>
    </row>
    <row r="41" spans="1:21" customFormat="1">
      <c r="A41" s="163" t="s">
        <v>1424</v>
      </c>
      <c r="B41" s="100">
        <v>14.16</v>
      </c>
      <c r="C41" s="100">
        <v>30.86</v>
      </c>
      <c r="D41" s="100">
        <v>26.48</v>
      </c>
      <c r="E41" s="100">
        <v>7.92</v>
      </c>
      <c r="F41" s="100">
        <v>8.5299999999999994</v>
      </c>
      <c r="G41" s="100">
        <v>77.86</v>
      </c>
      <c r="H41" s="100">
        <v>28.73</v>
      </c>
      <c r="I41" s="100">
        <v>16.45</v>
      </c>
      <c r="J41" s="100">
        <v>4.46</v>
      </c>
      <c r="K41" s="100">
        <v>239.46</v>
      </c>
      <c r="L41" s="100">
        <v>34.75</v>
      </c>
      <c r="M41" s="100">
        <v>41.16</v>
      </c>
      <c r="N41" s="100">
        <v>243.1</v>
      </c>
      <c r="O41" s="100">
        <v>0</v>
      </c>
      <c r="P41" s="100">
        <v>0.69</v>
      </c>
      <c r="Q41" s="100">
        <v>27.3</v>
      </c>
      <c r="R41" s="6"/>
      <c r="S41" s="6"/>
      <c r="T41" s="156"/>
      <c r="U41" s="6"/>
    </row>
    <row r="42" spans="1:21" customFormat="1">
      <c r="A42" s="163" t="s">
        <v>1425</v>
      </c>
      <c r="B42" s="100">
        <v>13.86</v>
      </c>
      <c r="C42" s="100">
        <v>31.43</v>
      </c>
      <c r="D42" s="100">
        <v>26.54</v>
      </c>
      <c r="E42" s="100">
        <v>7.02</v>
      </c>
      <c r="F42" s="100">
        <v>6.41</v>
      </c>
      <c r="G42" s="100">
        <v>77.86</v>
      </c>
      <c r="H42" s="100">
        <v>28.73</v>
      </c>
      <c r="I42" s="100">
        <v>16.75</v>
      </c>
      <c r="J42" s="100">
        <v>4.04</v>
      </c>
      <c r="K42" s="100">
        <v>232.45</v>
      </c>
      <c r="L42" s="100">
        <v>35.11</v>
      </c>
      <c r="M42" s="100">
        <v>38.93</v>
      </c>
      <c r="N42" s="100">
        <v>263.5</v>
      </c>
      <c r="O42" s="100">
        <v>0</v>
      </c>
      <c r="P42" s="100">
        <v>0.7</v>
      </c>
      <c r="Q42" s="100">
        <v>27.42</v>
      </c>
      <c r="R42" s="6"/>
      <c r="S42" s="6"/>
      <c r="T42" s="156"/>
      <c r="U42" s="6"/>
    </row>
    <row r="43" spans="1:21" customFormat="1">
      <c r="A43" s="163" t="s">
        <v>1426</v>
      </c>
      <c r="B43" s="100">
        <v>12.61</v>
      </c>
      <c r="C43" s="100">
        <v>38.67</v>
      </c>
      <c r="D43" s="100">
        <v>29.32</v>
      </c>
      <c r="E43" s="100">
        <v>7.1</v>
      </c>
      <c r="F43" s="100">
        <v>7.83</v>
      </c>
      <c r="G43" s="100">
        <v>77.86</v>
      </c>
      <c r="H43" s="100">
        <v>28.73</v>
      </c>
      <c r="I43" s="100">
        <v>17.54</v>
      </c>
      <c r="J43" s="100">
        <v>3.3</v>
      </c>
      <c r="K43" s="100">
        <v>214.59</v>
      </c>
      <c r="L43" s="100">
        <v>35.99</v>
      </c>
      <c r="M43" s="100">
        <v>37.450000000000003</v>
      </c>
      <c r="N43" s="100">
        <v>436.8</v>
      </c>
      <c r="O43" s="100">
        <v>0</v>
      </c>
      <c r="P43" s="100">
        <v>0.7</v>
      </c>
      <c r="Q43" s="100">
        <v>27.1</v>
      </c>
      <c r="R43" s="6"/>
      <c r="S43" s="6"/>
      <c r="T43" s="156"/>
      <c r="U43" s="6"/>
    </row>
    <row r="44" spans="1:21" customFormat="1">
      <c r="A44" s="163" t="s">
        <v>1427</v>
      </c>
      <c r="B44" s="100">
        <v>11.79</v>
      </c>
      <c r="C44" s="100">
        <v>35.93</v>
      </c>
      <c r="D44" s="100">
        <v>27.23</v>
      </c>
      <c r="E44" s="100">
        <v>7.31</v>
      </c>
      <c r="F44" s="100">
        <v>10.32</v>
      </c>
      <c r="G44" s="100">
        <v>77.66</v>
      </c>
      <c r="H44" s="100">
        <v>29.2</v>
      </c>
      <c r="I44" s="100">
        <v>17.239999999999998</v>
      </c>
      <c r="J44" s="100">
        <v>2.4700000000000002</v>
      </c>
      <c r="K44" s="100">
        <v>280.29000000000002</v>
      </c>
      <c r="L44" s="100">
        <v>36.799999999999997</v>
      </c>
      <c r="M44" s="100">
        <v>33.17</v>
      </c>
      <c r="N44" s="100">
        <v>336.5</v>
      </c>
      <c r="O44" s="100">
        <v>0</v>
      </c>
      <c r="P44" s="100">
        <v>0.72</v>
      </c>
      <c r="Q44" s="100">
        <v>27.23</v>
      </c>
      <c r="R44" s="6"/>
      <c r="S44" s="6"/>
      <c r="T44" s="156"/>
      <c r="U44" s="6"/>
    </row>
    <row r="45" spans="1:21" customFormat="1">
      <c r="A45" s="163" t="s">
        <v>1428</v>
      </c>
      <c r="B45" s="100">
        <v>10.71</v>
      </c>
      <c r="C45" s="100">
        <v>33.39</v>
      </c>
      <c r="D45" s="100">
        <v>25.04</v>
      </c>
      <c r="E45" s="100">
        <v>7.53</v>
      </c>
      <c r="F45" s="100">
        <v>13.13</v>
      </c>
      <c r="G45" s="100">
        <v>76.92</v>
      </c>
      <c r="H45" s="100">
        <v>30.97</v>
      </c>
      <c r="I45" s="100">
        <v>17.14</v>
      </c>
      <c r="J45" s="100">
        <v>2.33</v>
      </c>
      <c r="K45" s="100">
        <v>253.84</v>
      </c>
      <c r="L45" s="100">
        <v>37.69</v>
      </c>
      <c r="M45" s="100">
        <v>30.2</v>
      </c>
      <c r="N45" s="100">
        <v>311.60000000000002</v>
      </c>
      <c r="O45" s="100">
        <v>0</v>
      </c>
      <c r="P45" s="100">
        <v>0.7</v>
      </c>
      <c r="Q45" s="100">
        <v>27.46</v>
      </c>
      <c r="R45" s="6"/>
      <c r="S45" s="6"/>
      <c r="T45" s="156"/>
      <c r="U45" s="6"/>
    </row>
    <row r="46" spans="1:21" customFormat="1">
      <c r="A46" s="163" t="s">
        <v>1429</v>
      </c>
      <c r="B46" s="100">
        <v>9.3000000000000007</v>
      </c>
      <c r="C46" s="100">
        <v>22.06</v>
      </c>
      <c r="D46" s="100">
        <v>17.989999999999998</v>
      </c>
      <c r="E46" s="100">
        <v>7.58</v>
      </c>
      <c r="F46" s="100">
        <v>14.56</v>
      </c>
      <c r="G46" s="100">
        <v>76.92</v>
      </c>
      <c r="H46" s="100">
        <v>30.97</v>
      </c>
      <c r="I46" s="100">
        <v>17.03</v>
      </c>
      <c r="J46" s="100">
        <v>2.95</v>
      </c>
      <c r="K46" s="100">
        <v>247.92</v>
      </c>
      <c r="L46" s="100">
        <v>37.53</v>
      </c>
      <c r="M46" s="100">
        <v>29.57</v>
      </c>
      <c r="N46" s="100">
        <v>185.9</v>
      </c>
      <c r="O46" s="100">
        <v>0</v>
      </c>
      <c r="P46" s="100">
        <v>0.72</v>
      </c>
      <c r="Q46" s="100">
        <v>27.94</v>
      </c>
      <c r="R46" s="6"/>
      <c r="S46" s="6"/>
      <c r="T46" s="156"/>
      <c r="U46" s="6"/>
    </row>
    <row r="47" spans="1:21" customFormat="1">
      <c r="A47" s="163" t="s">
        <v>1430</v>
      </c>
      <c r="B47" s="100">
        <v>8.48</v>
      </c>
      <c r="C47" s="100">
        <v>20.61</v>
      </c>
      <c r="D47" s="100">
        <v>16.579999999999998</v>
      </c>
      <c r="E47" s="100">
        <v>8.4499999999999993</v>
      </c>
      <c r="F47" s="100">
        <v>19.28</v>
      </c>
      <c r="G47" s="100">
        <v>76.92</v>
      </c>
      <c r="H47" s="100">
        <v>30.97</v>
      </c>
      <c r="I47" s="100">
        <v>16.54</v>
      </c>
      <c r="J47" s="100">
        <v>1.38</v>
      </c>
      <c r="K47" s="100">
        <v>353.82</v>
      </c>
      <c r="L47" s="100">
        <v>37.39</v>
      </c>
      <c r="M47" s="100">
        <v>28.91</v>
      </c>
      <c r="N47" s="100">
        <v>193.9</v>
      </c>
      <c r="O47" s="100">
        <v>0</v>
      </c>
      <c r="P47" s="100">
        <v>0.67</v>
      </c>
      <c r="Q47" s="100">
        <v>28.25</v>
      </c>
      <c r="R47" s="6"/>
      <c r="S47" s="6"/>
      <c r="T47" s="156"/>
      <c r="U47" s="6"/>
    </row>
    <row r="48" spans="1:21" customFormat="1">
      <c r="A48" s="163" t="s">
        <v>1431</v>
      </c>
      <c r="B48" s="100">
        <v>8.52</v>
      </c>
      <c r="C48" s="100">
        <v>30.89</v>
      </c>
      <c r="D48" s="100">
        <v>21.98</v>
      </c>
      <c r="E48" s="100">
        <v>7.79</v>
      </c>
      <c r="F48" s="100">
        <v>22.41</v>
      </c>
      <c r="G48" s="100">
        <v>74.489999999999995</v>
      </c>
      <c r="H48" s="100">
        <v>29.24</v>
      </c>
      <c r="I48" s="100">
        <v>16.21</v>
      </c>
      <c r="J48" s="100">
        <v>1.99</v>
      </c>
      <c r="K48" s="100">
        <v>257.60000000000002</v>
      </c>
      <c r="L48" s="100">
        <v>39.57</v>
      </c>
      <c r="M48" s="100">
        <v>28.57</v>
      </c>
      <c r="N48" s="100">
        <v>592.5</v>
      </c>
      <c r="O48" s="100">
        <v>0</v>
      </c>
      <c r="P48" s="100">
        <v>0.64</v>
      </c>
      <c r="Q48" s="100">
        <v>28</v>
      </c>
      <c r="R48" s="6"/>
      <c r="S48" s="6"/>
      <c r="T48" s="156"/>
      <c r="U48" s="6"/>
    </row>
    <row r="49" spans="1:21" customFormat="1">
      <c r="A49" s="163" t="s">
        <v>1432</v>
      </c>
      <c r="B49" s="100">
        <v>6.79</v>
      </c>
      <c r="C49" s="100">
        <v>22.9</v>
      </c>
      <c r="D49" s="100">
        <v>16.41</v>
      </c>
      <c r="E49" s="100">
        <v>7.49</v>
      </c>
      <c r="F49" s="100">
        <v>28.2</v>
      </c>
      <c r="G49" s="100">
        <v>65.400000000000006</v>
      </c>
      <c r="H49" s="100">
        <v>22.75</v>
      </c>
      <c r="I49" s="100">
        <v>15</v>
      </c>
      <c r="J49" s="100">
        <v>1.26</v>
      </c>
      <c r="K49" s="100">
        <v>291.8</v>
      </c>
      <c r="L49" s="100">
        <v>39.06</v>
      </c>
      <c r="M49" s="100">
        <v>26.27</v>
      </c>
      <c r="N49" s="100">
        <v>674.5</v>
      </c>
      <c r="O49" s="100">
        <v>0</v>
      </c>
      <c r="P49" s="100">
        <v>0.65</v>
      </c>
      <c r="Q49" s="100">
        <v>28.31</v>
      </c>
      <c r="R49" s="6"/>
      <c r="S49" s="6"/>
      <c r="T49" s="156"/>
      <c r="U49" s="6"/>
    </row>
    <row r="50" spans="1:21" customFormat="1">
      <c r="A50" s="163" t="s">
        <v>1433</v>
      </c>
      <c r="B50" s="100">
        <v>5.62</v>
      </c>
      <c r="C50" s="100">
        <v>20.72</v>
      </c>
      <c r="D50" s="100">
        <v>14.33</v>
      </c>
      <c r="E50" s="100">
        <v>6.71</v>
      </c>
      <c r="F50" s="100">
        <v>28.14</v>
      </c>
      <c r="G50" s="100">
        <v>65.400000000000006</v>
      </c>
      <c r="H50" s="100">
        <v>22.75</v>
      </c>
      <c r="I50" s="100">
        <v>14.52</v>
      </c>
      <c r="J50" s="100">
        <v>0.41</v>
      </c>
      <c r="K50" s="100">
        <v>247.99</v>
      </c>
      <c r="L50" s="100">
        <v>39.450000000000003</v>
      </c>
      <c r="M50" s="100">
        <v>26.19</v>
      </c>
      <c r="N50" s="100">
        <v>695.7</v>
      </c>
      <c r="O50" s="100">
        <v>0</v>
      </c>
      <c r="P50" s="100">
        <v>0.64</v>
      </c>
      <c r="Q50" s="100">
        <v>28.47</v>
      </c>
      <c r="R50" s="6"/>
      <c r="S50" s="6"/>
      <c r="T50" s="156"/>
      <c r="U50" s="6"/>
    </row>
    <row r="51" spans="1:21" customFormat="1">
      <c r="A51" s="163" t="s">
        <v>1434</v>
      </c>
      <c r="B51" s="100">
        <v>6.31</v>
      </c>
      <c r="C51" s="100">
        <v>22.55</v>
      </c>
      <c r="D51" s="100">
        <v>15.84</v>
      </c>
      <c r="E51" s="100">
        <v>6.49</v>
      </c>
      <c r="F51" s="100">
        <v>26.99</v>
      </c>
      <c r="G51" s="100">
        <v>65.400000000000006</v>
      </c>
      <c r="H51" s="100">
        <v>22.75</v>
      </c>
      <c r="I51" s="100">
        <v>14.04</v>
      </c>
      <c r="J51" s="100">
        <v>2.06</v>
      </c>
      <c r="K51" s="100">
        <v>269.81</v>
      </c>
      <c r="L51" s="100">
        <v>39.71</v>
      </c>
      <c r="M51" s="100">
        <v>25.94</v>
      </c>
      <c r="N51" s="100">
        <v>740.7</v>
      </c>
      <c r="O51" s="100">
        <v>0</v>
      </c>
      <c r="P51" s="100">
        <v>0.69</v>
      </c>
      <c r="Q51" s="100">
        <v>28.42</v>
      </c>
      <c r="R51" s="6"/>
      <c r="S51" s="6"/>
      <c r="T51" s="156"/>
      <c r="U51" s="6"/>
    </row>
    <row r="52" spans="1:21" customFormat="1">
      <c r="A52" s="163" t="s">
        <v>1435</v>
      </c>
      <c r="B52" s="100">
        <v>5.44</v>
      </c>
      <c r="C52" s="100">
        <v>21.53</v>
      </c>
      <c r="D52" s="100">
        <v>14.62</v>
      </c>
      <c r="E52" s="100">
        <v>5.97</v>
      </c>
      <c r="F52" s="100">
        <v>33.270000000000003</v>
      </c>
      <c r="G52" s="100">
        <v>63.02</v>
      </c>
      <c r="H52" s="100">
        <v>23.22</v>
      </c>
      <c r="I52" s="100">
        <v>13.79</v>
      </c>
      <c r="J52" s="100">
        <v>0.89</v>
      </c>
      <c r="K52" s="100">
        <v>335.26</v>
      </c>
      <c r="L52" s="100">
        <v>40.090000000000003</v>
      </c>
      <c r="M52" s="100">
        <v>25</v>
      </c>
      <c r="N52" s="100">
        <v>779.7</v>
      </c>
      <c r="O52" s="100">
        <v>0</v>
      </c>
      <c r="P52" s="100">
        <v>0.7</v>
      </c>
      <c r="Q52" s="100">
        <v>28.36</v>
      </c>
      <c r="R52" s="6"/>
      <c r="S52" s="6"/>
      <c r="T52" s="156"/>
      <c r="U52" s="6"/>
    </row>
    <row r="53" spans="1:21" customFormat="1">
      <c r="A53" s="163" t="s">
        <v>1436</v>
      </c>
      <c r="B53" s="100">
        <v>3.84</v>
      </c>
      <c r="C53" s="100">
        <v>19.72</v>
      </c>
      <c r="D53" s="100">
        <v>12.38</v>
      </c>
      <c r="E53" s="100">
        <v>5.55</v>
      </c>
      <c r="F53" s="100">
        <v>35.42</v>
      </c>
      <c r="G53" s="100">
        <v>54.14</v>
      </c>
      <c r="H53" s="100">
        <v>24.96</v>
      </c>
      <c r="I53" s="100">
        <v>14.48</v>
      </c>
      <c r="J53" s="100">
        <v>1.07</v>
      </c>
      <c r="K53" s="100">
        <v>244.35</v>
      </c>
      <c r="L53" s="100">
        <v>40.11</v>
      </c>
      <c r="M53" s="100">
        <v>24.21</v>
      </c>
      <c r="N53" s="100">
        <v>799</v>
      </c>
      <c r="O53" s="100">
        <v>0</v>
      </c>
      <c r="P53" s="100">
        <v>0.57999999999999996</v>
      </c>
      <c r="Q53" s="100">
        <v>28.6</v>
      </c>
      <c r="R53" s="6"/>
      <c r="S53" s="6"/>
      <c r="T53" s="156"/>
      <c r="U53" s="6"/>
    </row>
    <row r="54" spans="1:21" customFormat="1">
      <c r="A54" s="163" t="s">
        <v>1437</v>
      </c>
      <c r="B54" s="100">
        <v>3.21</v>
      </c>
      <c r="C54" s="100">
        <v>18.989999999999998</v>
      </c>
      <c r="D54" s="100">
        <v>11.5</v>
      </c>
      <c r="E54" s="100">
        <v>7.69</v>
      </c>
      <c r="F54" s="100">
        <v>34.76</v>
      </c>
      <c r="G54" s="100">
        <v>54.14</v>
      </c>
      <c r="H54" s="100">
        <v>24.96</v>
      </c>
      <c r="I54" s="100">
        <v>14.83</v>
      </c>
      <c r="J54" s="100">
        <v>0.6</v>
      </c>
      <c r="K54" s="100">
        <v>223.36</v>
      </c>
      <c r="L54" s="100">
        <v>41.13</v>
      </c>
      <c r="M54" s="100">
        <v>23.58</v>
      </c>
      <c r="N54" s="100">
        <v>803.5</v>
      </c>
      <c r="O54" s="100">
        <v>0</v>
      </c>
      <c r="P54" s="100">
        <v>0.61</v>
      </c>
      <c r="Q54" s="100">
        <v>28.73</v>
      </c>
      <c r="R54" s="6"/>
      <c r="S54" s="6"/>
      <c r="T54" s="156"/>
      <c r="U54" s="6"/>
    </row>
    <row r="55" spans="1:21" customFormat="1">
      <c r="A55" s="163" t="s">
        <v>1438</v>
      </c>
      <c r="B55" s="100">
        <v>2.99</v>
      </c>
      <c r="C55" s="100">
        <v>24.42</v>
      </c>
      <c r="D55" s="100">
        <v>14.16</v>
      </c>
      <c r="E55" s="100">
        <v>7.45</v>
      </c>
      <c r="F55" s="100">
        <v>15.03</v>
      </c>
      <c r="G55" s="100">
        <v>54.14</v>
      </c>
      <c r="H55" s="100">
        <v>24.96</v>
      </c>
      <c r="I55" s="100">
        <v>13.55</v>
      </c>
      <c r="J55" s="100">
        <v>2.76</v>
      </c>
      <c r="K55" s="100">
        <v>229.15</v>
      </c>
      <c r="L55" s="100">
        <v>40.83</v>
      </c>
      <c r="M55" s="100">
        <v>23.66</v>
      </c>
      <c r="N55" s="100">
        <v>749.2</v>
      </c>
      <c r="O55" s="100">
        <v>0</v>
      </c>
      <c r="P55" s="100">
        <v>0.63</v>
      </c>
      <c r="Q55" s="100">
        <v>28.51</v>
      </c>
      <c r="R55" s="6"/>
      <c r="S55" s="6"/>
      <c r="T55" s="156"/>
      <c r="U55" s="6"/>
    </row>
    <row r="56" spans="1:21" customFormat="1">
      <c r="A56" s="163" t="s">
        <v>1439</v>
      </c>
      <c r="B56" s="100">
        <v>2.87</v>
      </c>
      <c r="C56" s="100">
        <v>29.26</v>
      </c>
      <c r="D56" s="100">
        <v>16.600000000000001</v>
      </c>
      <c r="E56" s="100">
        <v>8.2899999999999991</v>
      </c>
      <c r="F56" s="100">
        <v>21.98</v>
      </c>
      <c r="G56" s="100">
        <v>53.58</v>
      </c>
      <c r="H56" s="100">
        <v>24.18</v>
      </c>
      <c r="I56" s="100">
        <v>13.09</v>
      </c>
      <c r="J56" s="100">
        <v>1.51</v>
      </c>
      <c r="K56" s="100">
        <v>241.79</v>
      </c>
      <c r="L56" s="100">
        <v>41.01</v>
      </c>
      <c r="M56" s="100">
        <v>22.48</v>
      </c>
      <c r="N56" s="100">
        <v>860.3</v>
      </c>
      <c r="O56" s="100">
        <v>0</v>
      </c>
      <c r="P56" s="100">
        <v>0.61</v>
      </c>
      <c r="Q56" s="100">
        <v>28.28</v>
      </c>
      <c r="R56" s="6"/>
      <c r="S56" s="6"/>
      <c r="T56" s="156"/>
      <c r="U56" s="6"/>
    </row>
    <row r="57" spans="1:21" customFormat="1">
      <c r="A57" s="163" t="s">
        <v>1440</v>
      </c>
      <c r="B57" s="100">
        <v>2.63</v>
      </c>
      <c r="C57" s="100">
        <v>26.17</v>
      </c>
      <c r="D57" s="100">
        <v>14.79</v>
      </c>
      <c r="E57" s="100">
        <v>8.58</v>
      </c>
      <c r="F57" s="100">
        <v>18.940000000000001</v>
      </c>
      <c r="G57" s="100">
        <v>51.48</v>
      </c>
      <c r="H57" s="100">
        <v>21.29</v>
      </c>
      <c r="I57" s="100">
        <v>14.02</v>
      </c>
      <c r="J57" s="100">
        <v>4.0599999999999996</v>
      </c>
      <c r="K57" s="100">
        <v>242.78</v>
      </c>
      <c r="L57" s="100">
        <v>40.770000000000003</v>
      </c>
      <c r="M57" s="100">
        <v>21.67</v>
      </c>
      <c r="N57" s="100">
        <v>883.8</v>
      </c>
      <c r="O57" s="100">
        <v>0</v>
      </c>
      <c r="P57" s="100">
        <v>0.6</v>
      </c>
      <c r="Q57" s="100">
        <v>28.19</v>
      </c>
      <c r="R57" s="6"/>
      <c r="S57" s="6"/>
      <c r="T57" s="156"/>
      <c r="U57" s="6"/>
    </row>
    <row r="58" spans="1:21" customFormat="1">
      <c r="A58" s="163" t="s">
        <v>1441</v>
      </c>
      <c r="B58" s="100">
        <v>2.56</v>
      </c>
      <c r="C58" s="100">
        <v>20.64</v>
      </c>
      <c r="D58" s="100">
        <v>11.84</v>
      </c>
      <c r="E58" s="100">
        <v>8.82</v>
      </c>
      <c r="F58" s="100">
        <v>13.45</v>
      </c>
      <c r="G58" s="100">
        <v>51.48</v>
      </c>
      <c r="H58" s="100">
        <v>21.29</v>
      </c>
      <c r="I58" s="100">
        <v>13.74</v>
      </c>
      <c r="J58" s="100">
        <v>4.46</v>
      </c>
      <c r="K58" s="100">
        <v>249.23</v>
      </c>
      <c r="L58" s="100">
        <v>41.05</v>
      </c>
      <c r="M58" s="100">
        <v>21.39</v>
      </c>
      <c r="N58" s="100">
        <v>922.4</v>
      </c>
      <c r="O58" s="100">
        <v>0</v>
      </c>
      <c r="P58" s="100">
        <v>0.57999999999999996</v>
      </c>
      <c r="Q58" s="100">
        <v>28.81</v>
      </c>
      <c r="R58" s="6"/>
      <c r="S58" s="6"/>
      <c r="T58" s="156"/>
      <c r="U58" s="6"/>
    </row>
    <row r="59" spans="1:21" customFormat="1">
      <c r="A59" s="163" t="s">
        <v>1442</v>
      </c>
      <c r="B59" s="100">
        <v>2.97</v>
      </c>
      <c r="C59" s="100">
        <v>21.25</v>
      </c>
      <c r="D59" s="100">
        <v>12.49</v>
      </c>
      <c r="E59" s="100">
        <v>8.1300000000000008</v>
      </c>
      <c r="F59" s="100">
        <v>15.02</v>
      </c>
      <c r="G59" s="100">
        <v>51.48</v>
      </c>
      <c r="H59" s="100">
        <v>21.29</v>
      </c>
      <c r="I59" s="100">
        <v>13.91</v>
      </c>
      <c r="J59" s="100">
        <v>4.8</v>
      </c>
      <c r="K59" s="100">
        <v>243.73</v>
      </c>
      <c r="L59" s="100">
        <v>40.65</v>
      </c>
      <c r="M59" s="100">
        <v>21.39</v>
      </c>
      <c r="N59" s="100">
        <v>611.6</v>
      </c>
      <c r="O59" s="100">
        <v>0</v>
      </c>
      <c r="P59" s="100">
        <v>0.56999999999999995</v>
      </c>
      <c r="Q59" s="100">
        <v>28.83</v>
      </c>
      <c r="R59" s="6"/>
      <c r="S59" s="6"/>
      <c r="T59" s="156"/>
      <c r="U59" s="6"/>
    </row>
    <row r="60" spans="1:21" customFormat="1">
      <c r="A60" s="163" t="s">
        <v>1443</v>
      </c>
      <c r="B60" s="100">
        <v>2.97</v>
      </c>
      <c r="C60" s="100">
        <v>20.56</v>
      </c>
      <c r="D60" s="100">
        <v>12.13</v>
      </c>
      <c r="E60" s="100">
        <v>8.07</v>
      </c>
      <c r="F60" s="100">
        <v>19.440000000000001</v>
      </c>
      <c r="G60" s="100">
        <v>50.19</v>
      </c>
      <c r="H60" s="100">
        <v>21.2</v>
      </c>
      <c r="I60" s="100">
        <v>13.88</v>
      </c>
      <c r="J60" s="100">
        <v>3.4</v>
      </c>
      <c r="K60" s="100">
        <v>240.56</v>
      </c>
      <c r="L60" s="100">
        <v>40.81</v>
      </c>
      <c r="M60" s="100">
        <v>21.6</v>
      </c>
      <c r="N60" s="100">
        <v>670.1</v>
      </c>
      <c r="O60" s="100">
        <v>0</v>
      </c>
      <c r="P60" s="100">
        <v>0.54</v>
      </c>
      <c r="Q60" s="100">
        <v>28.83</v>
      </c>
      <c r="R60" s="6"/>
      <c r="S60" s="6"/>
      <c r="T60" s="156"/>
      <c r="U60" s="6"/>
    </row>
    <row r="61" spans="1:21" customFormat="1">
      <c r="A61" s="163" t="s">
        <v>1444</v>
      </c>
      <c r="B61" s="100">
        <v>2.77</v>
      </c>
      <c r="C61" s="100">
        <v>28.78</v>
      </c>
      <c r="D61" s="100">
        <v>16.260000000000002</v>
      </c>
      <c r="E61" s="100">
        <v>8.34</v>
      </c>
      <c r="F61" s="100">
        <v>21.47</v>
      </c>
      <c r="G61" s="100">
        <v>45.38</v>
      </c>
      <c r="H61" s="100">
        <v>20.85</v>
      </c>
      <c r="I61" s="100">
        <v>13.67</v>
      </c>
      <c r="J61" s="100">
        <v>3.28</v>
      </c>
      <c r="K61" s="100">
        <v>241</v>
      </c>
      <c r="L61" s="100">
        <v>40.89</v>
      </c>
      <c r="M61" s="100">
        <v>21.7</v>
      </c>
      <c r="N61" s="100">
        <v>544.6</v>
      </c>
      <c r="O61" s="100">
        <v>0</v>
      </c>
      <c r="P61" s="100">
        <v>0.55000000000000004</v>
      </c>
      <c r="Q61" s="100">
        <v>28.64</v>
      </c>
      <c r="R61" s="6"/>
      <c r="S61" s="6"/>
      <c r="T61" s="156"/>
      <c r="U61" s="6"/>
    </row>
    <row r="62" spans="1:21" customFormat="1">
      <c r="A62" s="163" t="s">
        <v>1445</v>
      </c>
      <c r="B62" s="100">
        <v>2.7</v>
      </c>
      <c r="C62" s="100">
        <v>28.63</v>
      </c>
      <c r="D62" s="100">
        <v>16.13</v>
      </c>
      <c r="E62" s="100">
        <v>7.78</v>
      </c>
      <c r="F62" s="100">
        <v>13.86</v>
      </c>
      <c r="G62" s="100">
        <v>45.38</v>
      </c>
      <c r="H62" s="100">
        <v>20.85</v>
      </c>
      <c r="I62" s="100">
        <v>13.43</v>
      </c>
      <c r="J62" s="100">
        <v>3.89</v>
      </c>
      <c r="K62" s="100">
        <v>247.67</v>
      </c>
      <c r="L62" s="100">
        <v>42.46</v>
      </c>
      <c r="M62" s="100">
        <v>20.75</v>
      </c>
      <c r="N62" s="100">
        <v>761.9</v>
      </c>
      <c r="O62" s="100">
        <v>0</v>
      </c>
      <c r="P62" s="100">
        <v>0.54</v>
      </c>
      <c r="Q62" s="100">
        <v>28.5</v>
      </c>
      <c r="R62" s="6"/>
      <c r="S62" s="6"/>
      <c r="T62" s="156"/>
      <c r="U62" s="6"/>
    </row>
    <row r="63" spans="1:21" customFormat="1">
      <c r="A63" s="163" t="s">
        <v>1446</v>
      </c>
      <c r="B63" s="100">
        <v>2.58</v>
      </c>
      <c r="C63" s="100">
        <v>26.27</v>
      </c>
      <c r="D63" s="100">
        <v>14.8</v>
      </c>
      <c r="E63" s="100">
        <v>7.11</v>
      </c>
      <c r="F63" s="100">
        <v>26.63</v>
      </c>
      <c r="G63" s="100">
        <v>45.38</v>
      </c>
      <c r="H63" s="100">
        <v>20.85</v>
      </c>
      <c r="I63" s="100">
        <v>13.16</v>
      </c>
      <c r="J63" s="100">
        <v>1.52</v>
      </c>
      <c r="K63" s="100">
        <v>295.75</v>
      </c>
      <c r="L63" s="100">
        <v>46.32</v>
      </c>
      <c r="M63" s="100">
        <v>19.23</v>
      </c>
      <c r="N63" s="100">
        <v>743.8</v>
      </c>
      <c r="O63" s="100">
        <v>0</v>
      </c>
      <c r="P63" s="100">
        <v>0.5</v>
      </c>
      <c r="Q63" s="100">
        <v>28.58</v>
      </c>
      <c r="R63" s="6"/>
      <c r="S63" s="6"/>
      <c r="T63" s="156"/>
      <c r="U63" s="6"/>
    </row>
    <row r="64" spans="1:21" customFormat="1">
      <c r="A64" s="163" t="s">
        <v>1447</v>
      </c>
      <c r="B64" s="100">
        <v>2.7</v>
      </c>
      <c r="C64" s="100">
        <v>25.47</v>
      </c>
      <c r="D64" s="100">
        <v>14.48</v>
      </c>
      <c r="E64" s="100">
        <v>8.01</v>
      </c>
      <c r="F64" s="100">
        <v>27.74</v>
      </c>
      <c r="G64" s="100">
        <v>44.76</v>
      </c>
      <c r="H64" s="100">
        <v>20.55</v>
      </c>
      <c r="I64" s="100">
        <v>12.79</v>
      </c>
      <c r="J64" s="100">
        <v>2.14</v>
      </c>
      <c r="K64" s="100">
        <v>277.27999999999997</v>
      </c>
      <c r="L64" s="100">
        <v>43.51</v>
      </c>
      <c r="M64" s="100">
        <v>21</v>
      </c>
      <c r="N64" s="100">
        <v>304.3</v>
      </c>
      <c r="O64" s="100">
        <v>0</v>
      </c>
      <c r="P64" s="100">
        <v>0.54</v>
      </c>
      <c r="Q64" s="100">
        <v>28.55</v>
      </c>
      <c r="R64" s="6"/>
      <c r="S64" s="6"/>
      <c r="T64" s="156"/>
      <c r="U64" s="6"/>
    </row>
    <row r="65" spans="1:21" customFormat="1">
      <c r="A65" s="163" t="s">
        <v>1448</v>
      </c>
      <c r="B65" s="100">
        <v>2.71</v>
      </c>
      <c r="C65" s="100">
        <v>22.63</v>
      </c>
      <c r="D65" s="100">
        <v>13</v>
      </c>
      <c r="E65" s="100">
        <v>8.31</v>
      </c>
      <c r="F65" s="100">
        <v>34.06</v>
      </c>
      <c r="G65" s="100">
        <v>42.46</v>
      </c>
      <c r="H65" s="100">
        <v>19.43</v>
      </c>
      <c r="I65" s="100">
        <v>12.38</v>
      </c>
      <c r="J65" s="100">
        <v>1.27</v>
      </c>
      <c r="K65" s="100">
        <v>236.19</v>
      </c>
      <c r="L65" s="100">
        <v>41.87</v>
      </c>
      <c r="M65" s="100">
        <v>21.55</v>
      </c>
      <c r="N65" s="100">
        <v>260.60000000000002</v>
      </c>
      <c r="O65" s="100">
        <v>0</v>
      </c>
      <c r="P65" s="100">
        <v>0.53</v>
      </c>
      <c r="Q65" s="100">
        <v>28.67</v>
      </c>
      <c r="R65" s="6"/>
      <c r="S65" s="6"/>
      <c r="T65" s="156"/>
      <c r="U65" s="6"/>
    </row>
    <row r="66" spans="1:21" customFormat="1">
      <c r="A66" s="163" t="s">
        <v>1449</v>
      </c>
      <c r="B66" s="100">
        <v>3.54</v>
      </c>
      <c r="C66" s="100">
        <v>23.29</v>
      </c>
      <c r="D66" s="100">
        <v>14.01</v>
      </c>
      <c r="E66" s="100">
        <v>8.2899999999999991</v>
      </c>
      <c r="F66" s="100">
        <v>32.69</v>
      </c>
      <c r="G66" s="100">
        <v>42.46</v>
      </c>
      <c r="H66" s="100">
        <v>19.43</v>
      </c>
      <c r="I66" s="100">
        <v>12.3</v>
      </c>
      <c r="J66" s="100">
        <v>0.97</v>
      </c>
      <c r="K66" s="100">
        <v>358.31</v>
      </c>
      <c r="L66" s="100">
        <v>42.35</v>
      </c>
      <c r="M66" s="100">
        <v>20.09</v>
      </c>
      <c r="N66" s="100">
        <v>686.5</v>
      </c>
      <c r="O66" s="100">
        <v>0</v>
      </c>
      <c r="P66" s="100">
        <v>0.55000000000000004</v>
      </c>
      <c r="Q66" s="100">
        <v>28.6</v>
      </c>
      <c r="R66" s="6"/>
      <c r="S66" s="6"/>
      <c r="T66" s="156"/>
      <c r="U66" s="6"/>
    </row>
    <row r="67" spans="1:21" customFormat="1">
      <c r="A67" s="163" t="s">
        <v>1450</v>
      </c>
      <c r="B67" s="100">
        <v>4.2</v>
      </c>
      <c r="C67" s="100">
        <v>25.77</v>
      </c>
      <c r="D67" s="100">
        <v>15.83</v>
      </c>
      <c r="E67" s="100">
        <v>8.1999999999999993</v>
      </c>
      <c r="F67" s="100">
        <v>24.55</v>
      </c>
      <c r="G67" s="100">
        <v>42.46</v>
      </c>
      <c r="H67" s="100">
        <v>19.43</v>
      </c>
      <c r="I67" s="100">
        <v>11.58</v>
      </c>
      <c r="J67" s="100">
        <v>1.65</v>
      </c>
      <c r="K67" s="100">
        <v>262.76</v>
      </c>
      <c r="L67" s="100">
        <v>43.54</v>
      </c>
      <c r="M67" s="100">
        <v>18.600000000000001</v>
      </c>
      <c r="N67" s="100">
        <v>622.5</v>
      </c>
      <c r="O67" s="100">
        <v>0</v>
      </c>
      <c r="P67" s="100">
        <v>0.53</v>
      </c>
      <c r="Q67" s="100">
        <v>28.49</v>
      </c>
      <c r="R67" s="6"/>
      <c r="S67" s="6"/>
      <c r="T67" s="156"/>
      <c r="U67" s="6"/>
    </row>
    <row r="68" spans="1:21" customFormat="1">
      <c r="A68" s="163" t="s">
        <v>1451</v>
      </c>
      <c r="B68" s="100">
        <v>3.19</v>
      </c>
      <c r="C68" s="100">
        <v>26.7</v>
      </c>
      <c r="D68" s="100">
        <v>15.52</v>
      </c>
      <c r="E68" s="100">
        <v>8.0299999999999994</v>
      </c>
      <c r="F68" s="100">
        <v>20.079999999999998</v>
      </c>
      <c r="G68" s="100">
        <v>41.91</v>
      </c>
      <c r="H68" s="100">
        <v>19.89</v>
      </c>
      <c r="I68" s="100">
        <v>11.96</v>
      </c>
      <c r="J68" s="100">
        <v>2.6</v>
      </c>
      <c r="K68" s="100">
        <v>246.77</v>
      </c>
      <c r="L68" s="100">
        <v>42.28</v>
      </c>
      <c r="M68" s="100">
        <v>20.239999999999998</v>
      </c>
      <c r="N68" s="100">
        <v>361.9</v>
      </c>
      <c r="O68" s="100">
        <v>0</v>
      </c>
      <c r="P68" s="100">
        <v>0.52</v>
      </c>
      <c r="Q68" s="100">
        <v>28.48</v>
      </c>
      <c r="R68" s="6"/>
      <c r="S68" s="6"/>
      <c r="T68" s="156"/>
      <c r="U68" s="6"/>
    </row>
    <row r="69" spans="1:21" customFormat="1">
      <c r="A69" s="163" t="s">
        <v>1452</v>
      </c>
      <c r="B69" s="100">
        <v>3.21</v>
      </c>
      <c r="C69" s="100">
        <v>25.03</v>
      </c>
      <c r="D69" s="100">
        <v>14.65</v>
      </c>
      <c r="E69" s="100">
        <v>8.5399999999999991</v>
      </c>
      <c r="F69" s="100">
        <v>21.16</v>
      </c>
      <c r="G69" s="100">
        <v>39.840000000000003</v>
      </c>
      <c r="H69" s="100">
        <v>21.59</v>
      </c>
      <c r="I69" s="100">
        <v>11.75</v>
      </c>
      <c r="J69" s="100">
        <v>2.56</v>
      </c>
      <c r="K69" s="100">
        <v>247.52</v>
      </c>
      <c r="L69" s="100">
        <v>41.71</v>
      </c>
      <c r="M69" s="100">
        <v>20.170000000000002</v>
      </c>
      <c r="N69" s="100">
        <v>282.2</v>
      </c>
      <c r="O69" s="100">
        <v>0</v>
      </c>
      <c r="P69" s="100">
        <v>0.51</v>
      </c>
      <c r="Q69" s="100">
        <v>28.5</v>
      </c>
      <c r="R69" s="6"/>
      <c r="S69" s="6"/>
      <c r="T69" s="156"/>
      <c r="U69" s="6"/>
    </row>
    <row r="70" spans="1:21" customFormat="1">
      <c r="A70" s="163" t="s">
        <v>1453</v>
      </c>
      <c r="B70" s="100">
        <v>3.26</v>
      </c>
      <c r="C70" s="100">
        <v>21.05</v>
      </c>
      <c r="D70" s="100">
        <v>12.61</v>
      </c>
      <c r="E70" s="100">
        <v>8.64</v>
      </c>
      <c r="F70" s="100">
        <v>29.44</v>
      </c>
      <c r="G70" s="100">
        <v>39.840000000000003</v>
      </c>
      <c r="H70" s="100">
        <v>21.59</v>
      </c>
      <c r="I70" s="100">
        <v>11.8</v>
      </c>
      <c r="J70" s="100">
        <v>1.23</v>
      </c>
      <c r="K70" s="100">
        <v>307.24</v>
      </c>
      <c r="L70" s="100">
        <v>41.89</v>
      </c>
      <c r="M70" s="100">
        <v>21.18</v>
      </c>
      <c r="N70" s="100">
        <v>286.5</v>
      </c>
      <c r="O70" s="100">
        <v>0</v>
      </c>
      <c r="P70" s="100">
        <v>0.5</v>
      </c>
      <c r="Q70" s="100">
        <v>28.7</v>
      </c>
      <c r="R70" s="6"/>
      <c r="S70" s="6"/>
      <c r="T70" s="156"/>
      <c r="U70" s="6"/>
    </row>
    <row r="71" spans="1:21" customFormat="1">
      <c r="A71" s="163" t="s">
        <v>1454</v>
      </c>
      <c r="B71" s="100">
        <v>3.45</v>
      </c>
      <c r="C71" s="100">
        <v>19.16</v>
      </c>
      <c r="D71" s="100">
        <v>11.78</v>
      </c>
      <c r="E71" s="100">
        <v>9.09</v>
      </c>
      <c r="F71" s="100">
        <v>28.9</v>
      </c>
      <c r="G71" s="100">
        <v>39.840000000000003</v>
      </c>
      <c r="H71" s="100">
        <v>21.59</v>
      </c>
      <c r="I71" s="100">
        <v>11.43</v>
      </c>
      <c r="J71" s="100">
        <v>0.88</v>
      </c>
      <c r="K71" s="100">
        <v>323.16000000000003</v>
      </c>
      <c r="L71" s="100">
        <v>42.01</v>
      </c>
      <c r="M71" s="100">
        <v>21.26</v>
      </c>
      <c r="N71" s="100">
        <v>281.5</v>
      </c>
      <c r="O71" s="100">
        <v>0</v>
      </c>
      <c r="P71" s="100">
        <v>0.53</v>
      </c>
      <c r="Q71" s="100">
        <v>28.77</v>
      </c>
      <c r="R71" s="6"/>
      <c r="S71" s="6"/>
      <c r="T71" s="156"/>
      <c r="U71" s="6"/>
    </row>
    <row r="72" spans="1:21" customFormat="1">
      <c r="A72" s="163" t="s">
        <v>1455</v>
      </c>
      <c r="B72" s="100">
        <v>3.4</v>
      </c>
      <c r="C72" s="100">
        <v>17.82</v>
      </c>
      <c r="D72" s="100">
        <v>11.04</v>
      </c>
      <c r="E72" s="100">
        <v>9.18</v>
      </c>
      <c r="F72" s="100">
        <v>37.39</v>
      </c>
      <c r="G72" s="100">
        <v>40.450000000000003</v>
      </c>
      <c r="H72" s="100">
        <v>21.4</v>
      </c>
      <c r="I72" s="100">
        <v>10.92</v>
      </c>
      <c r="J72" s="100">
        <v>1.0900000000000001</v>
      </c>
      <c r="K72" s="100">
        <v>92.92</v>
      </c>
      <c r="L72" s="100">
        <v>41.4</v>
      </c>
      <c r="M72" s="100">
        <v>22.24</v>
      </c>
      <c r="N72" s="100">
        <v>142.80000000000001</v>
      </c>
      <c r="O72" s="100">
        <v>0</v>
      </c>
      <c r="P72" s="100">
        <v>0.49</v>
      </c>
      <c r="Q72" s="100">
        <v>28.86</v>
      </c>
      <c r="R72" s="6"/>
      <c r="S72" s="6"/>
      <c r="T72" s="156"/>
      <c r="U72" s="6"/>
    </row>
    <row r="73" spans="1:21" customFormat="1">
      <c r="A73" s="163" t="s">
        <v>1456</v>
      </c>
      <c r="B73" s="100">
        <v>3.23</v>
      </c>
      <c r="C73" s="100">
        <v>18.79</v>
      </c>
      <c r="D73" s="100">
        <v>11.41</v>
      </c>
      <c r="E73" s="100">
        <v>9.44</v>
      </c>
      <c r="F73" s="100">
        <v>27.87</v>
      </c>
      <c r="G73" s="100">
        <v>42.74</v>
      </c>
      <c r="H73" s="100">
        <v>20.7</v>
      </c>
      <c r="I73" s="100">
        <v>10.72</v>
      </c>
      <c r="J73" s="100">
        <v>1.3</v>
      </c>
      <c r="K73" s="100">
        <v>139.08000000000001</v>
      </c>
      <c r="L73" s="100">
        <v>39.659999999999997</v>
      </c>
      <c r="M73" s="100">
        <v>28.29</v>
      </c>
      <c r="N73" s="100">
        <v>106.1</v>
      </c>
      <c r="O73" s="100">
        <v>0</v>
      </c>
      <c r="P73" s="100">
        <v>0.55000000000000004</v>
      </c>
      <c r="Q73" s="100">
        <v>28.8</v>
      </c>
      <c r="R73" s="6"/>
      <c r="S73" s="6"/>
      <c r="T73" s="156"/>
      <c r="U73" s="6"/>
    </row>
    <row r="74" spans="1:21" customFormat="1">
      <c r="A74" s="163" t="s">
        <v>1457</v>
      </c>
      <c r="B74" s="100">
        <v>4.4800000000000004</v>
      </c>
      <c r="C74" s="100">
        <v>29.46</v>
      </c>
      <c r="D74" s="100">
        <v>17.989999999999998</v>
      </c>
      <c r="E74" s="100">
        <v>10.54</v>
      </c>
      <c r="F74" s="100">
        <v>30.94</v>
      </c>
      <c r="G74" s="100">
        <v>42.74</v>
      </c>
      <c r="H74" s="100">
        <v>20.7</v>
      </c>
      <c r="I74" s="100">
        <v>10.41</v>
      </c>
      <c r="J74" s="100">
        <v>1.1000000000000001</v>
      </c>
      <c r="K74" s="100">
        <v>291.35000000000002</v>
      </c>
      <c r="L74" s="100">
        <v>39.01</v>
      </c>
      <c r="M74" s="100">
        <v>28.13</v>
      </c>
      <c r="N74" s="100">
        <v>110.7</v>
      </c>
      <c r="O74" s="100">
        <v>0</v>
      </c>
      <c r="P74" s="100">
        <v>0.55000000000000004</v>
      </c>
      <c r="Q74" s="100">
        <v>28.41</v>
      </c>
      <c r="R74" s="6"/>
      <c r="S74" s="6"/>
      <c r="T74" s="156"/>
      <c r="U74" s="6"/>
    </row>
    <row r="75" spans="1:21" customFormat="1">
      <c r="A75" s="163" t="s">
        <v>1458</v>
      </c>
      <c r="B75" s="100">
        <v>4.21</v>
      </c>
      <c r="C75" s="100">
        <v>29.46</v>
      </c>
      <c r="D75" s="100">
        <v>17.77</v>
      </c>
      <c r="E75" s="100">
        <v>9.9700000000000006</v>
      </c>
      <c r="F75" s="100">
        <v>23.34</v>
      </c>
      <c r="G75" s="100">
        <v>42.74</v>
      </c>
      <c r="H75" s="100">
        <v>20.7</v>
      </c>
      <c r="I75" s="100">
        <v>10.87</v>
      </c>
      <c r="J75" s="100">
        <v>2.12</v>
      </c>
      <c r="K75" s="100">
        <v>255.76</v>
      </c>
      <c r="L75" s="100">
        <v>38.92</v>
      </c>
      <c r="M75" s="100">
        <v>25.88</v>
      </c>
      <c r="N75" s="100">
        <v>141.4</v>
      </c>
      <c r="O75" s="100">
        <v>0</v>
      </c>
      <c r="P75" s="100">
        <v>0.54</v>
      </c>
      <c r="Q75" s="100">
        <v>28.03</v>
      </c>
      <c r="R75" s="6"/>
      <c r="S75" s="6"/>
      <c r="T75" s="156"/>
      <c r="U75" s="6"/>
    </row>
    <row r="76" spans="1:21" customFormat="1">
      <c r="A76" s="163" t="s">
        <v>1459</v>
      </c>
      <c r="B76" s="100">
        <v>4.2</v>
      </c>
      <c r="C76" s="100">
        <v>24.41</v>
      </c>
      <c r="D76" s="100">
        <v>15.12</v>
      </c>
      <c r="E76" s="100">
        <v>8.8699999999999992</v>
      </c>
      <c r="F76" s="100">
        <v>19.440000000000001</v>
      </c>
      <c r="G76" s="100">
        <v>43.64</v>
      </c>
      <c r="H76" s="100">
        <v>20.95</v>
      </c>
      <c r="I76" s="100">
        <v>11.25</v>
      </c>
      <c r="J76" s="100">
        <v>2.79</v>
      </c>
      <c r="K76" s="100">
        <v>252.27</v>
      </c>
      <c r="L76" s="100">
        <v>38.99</v>
      </c>
      <c r="M76" s="100">
        <v>25.49</v>
      </c>
      <c r="N76" s="100">
        <v>123.8</v>
      </c>
      <c r="O76" s="100">
        <v>0</v>
      </c>
      <c r="P76" s="100">
        <v>0.51</v>
      </c>
      <c r="Q76" s="100">
        <v>28.41</v>
      </c>
      <c r="R76" s="6"/>
      <c r="S76" s="6"/>
      <c r="T76" s="156"/>
      <c r="U76" s="6"/>
    </row>
    <row r="77" spans="1:21" customFormat="1">
      <c r="A77" s="163" t="s">
        <v>1460</v>
      </c>
      <c r="B77" s="100">
        <v>4.6399999999999997</v>
      </c>
      <c r="C77" s="100">
        <v>23.54</v>
      </c>
      <c r="D77" s="100">
        <v>15.02</v>
      </c>
      <c r="E77" s="100">
        <v>5.8</v>
      </c>
      <c r="F77" s="100">
        <v>25.02</v>
      </c>
      <c r="G77" s="100">
        <v>47</v>
      </c>
      <c r="H77" s="100">
        <v>21.88</v>
      </c>
      <c r="I77" s="100">
        <v>11.04</v>
      </c>
      <c r="J77" s="100">
        <v>3.89</v>
      </c>
      <c r="K77" s="100">
        <v>16.059999999999999</v>
      </c>
      <c r="L77" s="100">
        <v>37.76</v>
      </c>
      <c r="M77" s="100">
        <v>28.14</v>
      </c>
      <c r="N77" s="100">
        <v>89.7</v>
      </c>
      <c r="O77" s="100">
        <v>0</v>
      </c>
      <c r="P77" s="100">
        <v>0.51</v>
      </c>
      <c r="Q77" s="100">
        <v>28.48</v>
      </c>
      <c r="R77" s="6"/>
      <c r="S77" s="6"/>
      <c r="T77" s="156"/>
      <c r="U77" s="6"/>
    </row>
    <row r="78" spans="1:21" customFormat="1">
      <c r="A78" s="163" t="s">
        <v>1461</v>
      </c>
      <c r="B78" s="100">
        <v>4.78</v>
      </c>
      <c r="C78" s="100">
        <v>20.59</v>
      </c>
      <c r="D78" s="100">
        <v>13.6</v>
      </c>
      <c r="E78" s="100">
        <v>6.89</v>
      </c>
      <c r="F78" s="100">
        <v>27.46</v>
      </c>
      <c r="G78" s="100">
        <v>47</v>
      </c>
      <c r="H78" s="100">
        <v>21.88</v>
      </c>
      <c r="I78" s="100">
        <v>10.68</v>
      </c>
      <c r="J78" s="100">
        <v>4.24</v>
      </c>
      <c r="K78" s="100">
        <v>20.63</v>
      </c>
      <c r="L78" s="100">
        <v>36.35</v>
      </c>
      <c r="M78" s="100">
        <v>31.8</v>
      </c>
      <c r="N78" s="100">
        <v>90.1</v>
      </c>
      <c r="O78" s="100">
        <v>0</v>
      </c>
      <c r="P78" s="100">
        <v>0.52</v>
      </c>
      <c r="Q78" s="100">
        <v>28.56</v>
      </c>
      <c r="R78" s="6"/>
      <c r="S78" s="6"/>
      <c r="T78" s="156"/>
      <c r="U78" s="6"/>
    </row>
    <row r="79" spans="1:21" customFormat="1">
      <c r="A79" s="163" t="s">
        <v>1462</v>
      </c>
      <c r="B79" s="100">
        <v>5.1100000000000003</v>
      </c>
      <c r="C79" s="100">
        <v>26.03</v>
      </c>
      <c r="D79" s="100">
        <v>16.7</v>
      </c>
      <c r="E79" s="100">
        <v>6.68</v>
      </c>
      <c r="F79" s="100">
        <v>27.55</v>
      </c>
      <c r="G79" s="100">
        <v>47</v>
      </c>
      <c r="H79" s="100">
        <v>21.88</v>
      </c>
      <c r="I79" s="100">
        <v>10.36</v>
      </c>
      <c r="J79" s="100">
        <v>3.95</v>
      </c>
      <c r="K79" s="100">
        <v>16.920000000000002</v>
      </c>
      <c r="L79" s="100">
        <v>36.32</v>
      </c>
      <c r="M79" s="100">
        <v>32.479999999999997</v>
      </c>
      <c r="N79" s="100">
        <v>89.9</v>
      </c>
      <c r="O79" s="100">
        <v>0</v>
      </c>
      <c r="P79" s="100">
        <v>0.53</v>
      </c>
      <c r="Q79" s="100">
        <v>28.39</v>
      </c>
      <c r="R79" s="6"/>
      <c r="S79" s="6"/>
      <c r="T79" s="156"/>
      <c r="U79" s="6"/>
    </row>
    <row r="80" spans="1:21" customFormat="1">
      <c r="A80" s="163" t="s">
        <v>1463</v>
      </c>
      <c r="B80" s="100">
        <v>4.78</v>
      </c>
      <c r="C80" s="100">
        <v>23.82</v>
      </c>
      <c r="D80" s="100">
        <v>15.29</v>
      </c>
      <c r="E80" s="100">
        <v>6.56</v>
      </c>
      <c r="F80" s="100">
        <v>29.32</v>
      </c>
      <c r="G80" s="100">
        <v>47.06</v>
      </c>
      <c r="H80" s="100">
        <v>21.16</v>
      </c>
      <c r="I80" s="100">
        <v>9.84</v>
      </c>
      <c r="J80" s="100">
        <v>3.75</v>
      </c>
      <c r="K80" s="100">
        <v>23.93</v>
      </c>
      <c r="L80" s="100">
        <v>36.49</v>
      </c>
      <c r="M80" s="100">
        <v>30.18</v>
      </c>
      <c r="N80" s="100">
        <v>64.400000000000006</v>
      </c>
      <c r="O80" s="100">
        <v>0</v>
      </c>
      <c r="P80" s="100">
        <v>0.52</v>
      </c>
      <c r="Q80" s="100">
        <v>28.37</v>
      </c>
      <c r="R80" s="6"/>
      <c r="S80" s="6"/>
      <c r="T80" s="156"/>
      <c r="U80" s="6"/>
    </row>
    <row r="81" spans="1:21" customFormat="1">
      <c r="A81" s="163" t="s">
        <v>1464</v>
      </c>
      <c r="B81" s="100">
        <v>4.5199999999999996</v>
      </c>
      <c r="C81" s="100">
        <v>26.77</v>
      </c>
      <c r="D81" s="100">
        <v>16.62</v>
      </c>
      <c r="E81" s="100">
        <v>6.76</v>
      </c>
      <c r="F81" s="100">
        <v>20.32</v>
      </c>
      <c r="G81" s="100">
        <v>47.28</v>
      </c>
      <c r="H81" s="100">
        <v>18.5</v>
      </c>
      <c r="I81" s="100">
        <v>9.56</v>
      </c>
      <c r="J81" s="100">
        <v>3.36</v>
      </c>
      <c r="K81" s="100">
        <v>25.05</v>
      </c>
      <c r="L81" s="100">
        <v>36.06</v>
      </c>
      <c r="M81" s="100">
        <v>31.96</v>
      </c>
      <c r="N81" s="100">
        <v>39.299999999999997</v>
      </c>
      <c r="O81" s="100">
        <v>0</v>
      </c>
      <c r="P81" s="100">
        <v>0.53</v>
      </c>
      <c r="Q81" s="100">
        <v>28.25</v>
      </c>
      <c r="R81" s="6"/>
      <c r="S81" s="6"/>
      <c r="T81" s="156"/>
      <c r="U81" s="6"/>
    </row>
    <row r="82" spans="1:21" customFormat="1">
      <c r="A82" s="163" t="s">
        <v>1465</v>
      </c>
      <c r="B82" s="100">
        <v>4.13</v>
      </c>
      <c r="C82" s="100">
        <v>37.07</v>
      </c>
      <c r="D82" s="100">
        <v>21.69</v>
      </c>
      <c r="E82" s="100">
        <v>6.97</v>
      </c>
      <c r="F82" s="100">
        <v>16.920000000000002</v>
      </c>
      <c r="G82" s="100">
        <v>47.28</v>
      </c>
      <c r="H82" s="100">
        <v>18.5</v>
      </c>
      <c r="I82" s="100">
        <v>9.44</v>
      </c>
      <c r="J82" s="100">
        <v>3.62</v>
      </c>
      <c r="K82" s="100">
        <v>20.71</v>
      </c>
      <c r="L82" s="100">
        <v>35.880000000000003</v>
      </c>
      <c r="M82" s="100">
        <v>31.77</v>
      </c>
      <c r="N82" s="100">
        <v>26.8</v>
      </c>
      <c r="O82" s="100">
        <v>0</v>
      </c>
      <c r="P82" s="100">
        <v>0.54</v>
      </c>
      <c r="Q82" s="100">
        <v>27.87</v>
      </c>
      <c r="R82" s="6"/>
      <c r="S82" s="6"/>
      <c r="T82" s="156"/>
      <c r="U82" s="6"/>
    </row>
    <row r="83" spans="1:21" customFormat="1">
      <c r="A83" s="163" t="s">
        <v>1466</v>
      </c>
      <c r="B83" s="100">
        <v>3.96</v>
      </c>
      <c r="C83" s="100">
        <v>36.33</v>
      </c>
      <c r="D83" s="100">
        <v>21.16</v>
      </c>
      <c r="E83" s="100">
        <v>7.32</v>
      </c>
      <c r="F83" s="100">
        <v>18.45</v>
      </c>
      <c r="G83" s="100">
        <v>47.28</v>
      </c>
      <c r="H83" s="100">
        <v>18.5</v>
      </c>
      <c r="I83" s="100">
        <v>9.75</v>
      </c>
      <c r="J83" s="100">
        <v>3.61</v>
      </c>
      <c r="K83" s="100">
        <v>20.97</v>
      </c>
      <c r="L83" s="100">
        <v>35.51</v>
      </c>
      <c r="M83" s="100">
        <v>33.31</v>
      </c>
      <c r="N83" s="100">
        <v>23.4</v>
      </c>
      <c r="O83" s="100">
        <v>0</v>
      </c>
      <c r="P83" s="100">
        <v>0.56999999999999995</v>
      </c>
      <c r="Q83" s="100">
        <v>27.78</v>
      </c>
      <c r="R83" s="6"/>
      <c r="S83" s="6"/>
      <c r="T83" s="156"/>
      <c r="U83" s="6"/>
    </row>
    <row r="84" spans="1:21" customFormat="1">
      <c r="A84" s="163" t="s">
        <v>1467</v>
      </c>
      <c r="B84" s="100">
        <v>4.6100000000000003</v>
      </c>
      <c r="C84" s="100">
        <v>27.54</v>
      </c>
      <c r="D84" s="100">
        <v>17.09</v>
      </c>
      <c r="E84" s="100">
        <v>7.52</v>
      </c>
      <c r="F84" s="100">
        <v>21.94</v>
      </c>
      <c r="G84" s="100">
        <v>47.44</v>
      </c>
      <c r="H84" s="100">
        <v>18.3</v>
      </c>
      <c r="I84" s="100">
        <v>10.02</v>
      </c>
      <c r="J84" s="100">
        <v>2.71</v>
      </c>
      <c r="K84" s="100">
        <v>32.24</v>
      </c>
      <c r="L84" s="100">
        <v>35.35</v>
      </c>
      <c r="M84" s="100">
        <v>33.72</v>
      </c>
      <c r="N84" s="100">
        <v>22.6</v>
      </c>
      <c r="O84" s="100">
        <v>0</v>
      </c>
      <c r="P84" s="100">
        <v>0.62</v>
      </c>
      <c r="Q84" s="100">
        <v>28.11</v>
      </c>
      <c r="R84" s="6"/>
      <c r="S84" s="6"/>
      <c r="T84" s="156"/>
      <c r="U84" s="6"/>
    </row>
    <row r="85" spans="1:21" customFormat="1">
      <c r="A85" s="163" t="s">
        <v>1468</v>
      </c>
      <c r="B85" s="100">
        <v>5.07</v>
      </c>
      <c r="C85" s="100">
        <v>29.78</v>
      </c>
      <c r="D85" s="100">
        <v>18.63</v>
      </c>
      <c r="E85" s="100">
        <v>7.43</v>
      </c>
      <c r="F85" s="100">
        <v>20.76</v>
      </c>
      <c r="G85" s="100">
        <v>48.01</v>
      </c>
      <c r="H85" s="100">
        <v>17.59</v>
      </c>
      <c r="I85" s="100">
        <v>10.42</v>
      </c>
      <c r="J85" s="100">
        <v>2.85</v>
      </c>
      <c r="K85" s="100">
        <v>15.92</v>
      </c>
      <c r="L85" s="100">
        <v>35.130000000000003</v>
      </c>
      <c r="M85" s="100">
        <v>33.909999999999997</v>
      </c>
      <c r="N85" s="100">
        <v>22.5</v>
      </c>
      <c r="O85" s="100">
        <v>0</v>
      </c>
      <c r="P85" s="100">
        <v>0.63</v>
      </c>
      <c r="Q85" s="100">
        <v>28.05</v>
      </c>
      <c r="R85" s="6"/>
      <c r="S85" s="6"/>
      <c r="T85" s="156"/>
      <c r="U85" s="6"/>
    </row>
    <row r="86" spans="1:21" customFormat="1">
      <c r="A86" s="163" t="s">
        <v>1469</v>
      </c>
      <c r="B86" s="100">
        <v>5.18</v>
      </c>
      <c r="C86" s="100">
        <v>27.61</v>
      </c>
      <c r="D86" s="100">
        <v>17.579999999999998</v>
      </c>
      <c r="E86" s="100">
        <v>7.85</v>
      </c>
      <c r="F86" s="100">
        <v>22.74</v>
      </c>
      <c r="G86" s="100">
        <v>48.01</v>
      </c>
      <c r="H86" s="100">
        <v>17.59</v>
      </c>
      <c r="I86" s="100">
        <v>10.63</v>
      </c>
      <c r="J86" s="100">
        <v>2.87</v>
      </c>
      <c r="K86" s="100">
        <v>30.34</v>
      </c>
      <c r="L86" s="100">
        <v>35.409999999999997</v>
      </c>
      <c r="M86" s="100">
        <v>32.81</v>
      </c>
      <c r="N86" s="100">
        <v>22.4</v>
      </c>
      <c r="O86" s="100">
        <v>0</v>
      </c>
      <c r="P86" s="100">
        <v>0.62</v>
      </c>
      <c r="Q86" s="100">
        <v>28.02</v>
      </c>
      <c r="R86" s="6"/>
      <c r="S86" s="6"/>
      <c r="T86" s="156"/>
      <c r="U86" s="6"/>
    </row>
    <row r="87" spans="1:21" customFormat="1">
      <c r="A87" s="163" t="s">
        <v>1470</v>
      </c>
      <c r="B87" s="100">
        <v>5.69</v>
      </c>
      <c r="C87" s="100">
        <v>29.6</v>
      </c>
      <c r="D87" s="100">
        <v>19.03</v>
      </c>
      <c r="E87" s="100">
        <v>7.86</v>
      </c>
      <c r="F87" s="100">
        <v>21.24</v>
      </c>
      <c r="G87" s="100">
        <v>48.01</v>
      </c>
      <c r="H87" s="100">
        <v>17.59</v>
      </c>
      <c r="I87" s="100">
        <v>11.18</v>
      </c>
      <c r="J87" s="100">
        <v>2.34</v>
      </c>
      <c r="K87" s="100">
        <v>46.54</v>
      </c>
      <c r="L87" s="100">
        <v>35.07</v>
      </c>
      <c r="M87" s="100">
        <v>33.31</v>
      </c>
      <c r="N87" s="100">
        <v>22.5</v>
      </c>
      <c r="O87" s="100">
        <v>0</v>
      </c>
      <c r="P87" s="100">
        <v>0.68</v>
      </c>
      <c r="Q87" s="100">
        <v>28.04</v>
      </c>
      <c r="R87" s="6"/>
      <c r="S87" s="6"/>
      <c r="T87" s="156"/>
      <c r="U87" s="6"/>
    </row>
    <row r="88" spans="1:21" customFormat="1">
      <c r="A88" s="163" t="s">
        <v>1471</v>
      </c>
      <c r="B88" s="100">
        <v>4.71</v>
      </c>
      <c r="C88" s="100">
        <v>25.92</v>
      </c>
      <c r="D88" s="100">
        <v>16.32</v>
      </c>
      <c r="E88" s="100">
        <v>7.17</v>
      </c>
      <c r="F88" s="100">
        <v>34.6</v>
      </c>
      <c r="G88" s="100">
        <v>47.78</v>
      </c>
      <c r="H88" s="100">
        <v>18.579999999999998</v>
      </c>
      <c r="I88" s="100">
        <v>11.35</v>
      </c>
      <c r="J88" s="100">
        <v>1.85</v>
      </c>
      <c r="K88" s="100">
        <v>256.04000000000002</v>
      </c>
      <c r="L88" s="100">
        <v>34.86</v>
      </c>
      <c r="M88" s="100">
        <v>33.03</v>
      </c>
      <c r="N88" s="100">
        <v>22.5</v>
      </c>
      <c r="O88" s="100">
        <v>0</v>
      </c>
      <c r="P88" s="100">
        <v>0.66</v>
      </c>
      <c r="Q88" s="100">
        <v>28.06</v>
      </c>
      <c r="R88" s="6"/>
      <c r="S88" s="6"/>
      <c r="T88" s="156"/>
      <c r="U88" s="6"/>
    </row>
    <row r="89" spans="1:21" customFormat="1">
      <c r="A89" s="163" t="s">
        <v>1472</v>
      </c>
      <c r="B89" s="100">
        <v>3.94</v>
      </c>
      <c r="C89" s="100">
        <v>26.26</v>
      </c>
      <c r="D89" s="100">
        <v>15.88</v>
      </c>
      <c r="E89" s="100">
        <v>6.46</v>
      </c>
      <c r="F89" s="100">
        <v>22.2</v>
      </c>
      <c r="G89" s="100">
        <v>46.94</v>
      </c>
      <c r="H89" s="100">
        <v>22.27</v>
      </c>
      <c r="I89" s="100">
        <v>11.39</v>
      </c>
      <c r="J89" s="100">
        <v>2.1</v>
      </c>
      <c r="K89" s="100">
        <v>249.44</v>
      </c>
      <c r="L89" s="100">
        <v>34.799999999999997</v>
      </c>
      <c r="M89" s="100">
        <v>32.96</v>
      </c>
      <c r="N89" s="100">
        <v>22.3</v>
      </c>
      <c r="O89" s="100">
        <v>0</v>
      </c>
      <c r="P89" s="100">
        <v>0.64</v>
      </c>
      <c r="Q89" s="100">
        <v>28.33</v>
      </c>
      <c r="R89" s="6"/>
      <c r="S89" s="6"/>
      <c r="T89" s="156"/>
      <c r="U89" s="6"/>
    </row>
    <row r="90" spans="1:21" customFormat="1">
      <c r="A90" s="163" t="s">
        <v>1473</v>
      </c>
      <c r="B90" s="100">
        <v>3.9</v>
      </c>
      <c r="C90" s="100">
        <v>26.13</v>
      </c>
      <c r="D90" s="100">
        <v>15.78</v>
      </c>
      <c r="E90" s="100">
        <v>7.19</v>
      </c>
      <c r="F90" s="100">
        <v>22.19</v>
      </c>
      <c r="G90" s="100">
        <v>46.94</v>
      </c>
      <c r="H90" s="100">
        <v>22.27</v>
      </c>
      <c r="I90" s="100">
        <v>11.25</v>
      </c>
      <c r="J90" s="100">
        <v>3.21</v>
      </c>
      <c r="K90" s="100">
        <v>234.2</v>
      </c>
      <c r="L90" s="100">
        <v>34.619999999999997</v>
      </c>
      <c r="M90" s="100">
        <v>32.97</v>
      </c>
      <c r="N90" s="100">
        <v>22.4</v>
      </c>
      <c r="O90" s="100">
        <v>0</v>
      </c>
      <c r="P90" s="100">
        <v>0.57999999999999996</v>
      </c>
      <c r="Q90" s="100">
        <v>28.15</v>
      </c>
      <c r="R90" s="6"/>
      <c r="S90" s="6"/>
      <c r="T90" s="156"/>
      <c r="U90" s="6"/>
    </row>
    <row r="91" spans="1:21" customFormat="1">
      <c r="A91" s="163" t="s">
        <v>1474</v>
      </c>
      <c r="B91" s="100">
        <v>4</v>
      </c>
      <c r="C91" s="100">
        <v>29.19</v>
      </c>
      <c r="D91" s="100">
        <v>17.46</v>
      </c>
      <c r="E91" s="100">
        <v>7.51</v>
      </c>
      <c r="F91" s="100">
        <v>12.75</v>
      </c>
      <c r="G91" s="100">
        <v>46.94</v>
      </c>
      <c r="H91" s="100">
        <v>22.27</v>
      </c>
      <c r="I91" s="100">
        <v>11.53</v>
      </c>
      <c r="J91" s="100">
        <v>2.93</v>
      </c>
      <c r="K91" s="100">
        <v>244.85</v>
      </c>
      <c r="L91" s="100">
        <v>34.53</v>
      </c>
      <c r="M91" s="100">
        <v>33.270000000000003</v>
      </c>
      <c r="N91" s="100">
        <v>22.4</v>
      </c>
      <c r="O91" s="100">
        <v>0</v>
      </c>
      <c r="P91" s="100">
        <v>0.6</v>
      </c>
      <c r="Q91" s="100">
        <v>27.96</v>
      </c>
      <c r="R91" s="6"/>
      <c r="S91" s="6"/>
      <c r="T91" s="156"/>
      <c r="U91" s="6"/>
    </row>
    <row r="92" spans="1:21" customFormat="1">
      <c r="A92" s="163" t="s">
        <v>1475</v>
      </c>
      <c r="B92" s="100">
        <v>5.0199999999999996</v>
      </c>
      <c r="C92" s="100">
        <v>34.31</v>
      </c>
      <c r="D92" s="100">
        <v>20.95</v>
      </c>
      <c r="E92" s="100">
        <v>7.37</v>
      </c>
      <c r="F92" s="100">
        <v>11</v>
      </c>
      <c r="G92" s="100">
        <v>49.06</v>
      </c>
      <c r="H92" s="100">
        <v>23.19</v>
      </c>
      <c r="I92" s="100">
        <v>11.34</v>
      </c>
      <c r="J92" s="100">
        <v>3.04</v>
      </c>
      <c r="K92" s="100">
        <v>231.26</v>
      </c>
      <c r="L92" s="100">
        <v>34.4</v>
      </c>
      <c r="M92" s="100">
        <v>33.75</v>
      </c>
      <c r="N92" s="100">
        <v>22.5</v>
      </c>
      <c r="O92" s="100">
        <v>0</v>
      </c>
      <c r="P92" s="100">
        <v>0.64</v>
      </c>
      <c r="Q92" s="100">
        <v>27.59</v>
      </c>
      <c r="R92" s="6"/>
      <c r="S92" s="6"/>
      <c r="T92" s="156"/>
      <c r="U92" s="6"/>
    </row>
    <row r="93" spans="1:21" customFormat="1">
      <c r="A93" s="163" t="s">
        <v>1476</v>
      </c>
      <c r="B93" s="100">
        <v>4.6900000000000004</v>
      </c>
      <c r="C93" s="100">
        <v>33.840000000000003</v>
      </c>
      <c r="D93" s="100">
        <v>20.45</v>
      </c>
      <c r="E93" s="100">
        <v>7.54</v>
      </c>
      <c r="F93" s="100">
        <v>14.03</v>
      </c>
      <c r="G93" s="100">
        <v>56.98</v>
      </c>
      <c r="H93" s="100">
        <v>26.59</v>
      </c>
      <c r="I93" s="100">
        <v>12.21</v>
      </c>
      <c r="J93" s="100">
        <v>3.06</v>
      </c>
      <c r="K93" s="100">
        <v>138.26</v>
      </c>
      <c r="L93" s="100">
        <v>33.96</v>
      </c>
      <c r="M93" s="100">
        <v>35.75</v>
      </c>
      <c r="N93" s="100">
        <v>22.9</v>
      </c>
      <c r="O93" s="100">
        <v>0</v>
      </c>
      <c r="P93" s="100">
        <v>0.6</v>
      </c>
      <c r="Q93" s="100">
        <v>27.5</v>
      </c>
      <c r="R93" s="6"/>
      <c r="S93" s="6"/>
      <c r="T93" s="156"/>
      <c r="U93" s="6"/>
    </row>
    <row r="94" spans="1:21" customFormat="1">
      <c r="A94" s="163" t="s">
        <v>1477</v>
      </c>
      <c r="B94" s="100">
        <v>6.18</v>
      </c>
      <c r="C94" s="100">
        <v>35.19</v>
      </c>
      <c r="D94" s="100">
        <v>22.35</v>
      </c>
      <c r="E94" s="100">
        <v>7.55</v>
      </c>
      <c r="F94" s="100">
        <v>8.43</v>
      </c>
      <c r="G94" s="100">
        <v>56.98</v>
      </c>
      <c r="H94" s="100">
        <v>26.59</v>
      </c>
      <c r="I94" s="100">
        <v>13.14</v>
      </c>
      <c r="J94" s="100">
        <v>1.43</v>
      </c>
      <c r="K94" s="100">
        <v>144.18</v>
      </c>
      <c r="L94" s="100">
        <v>33.92</v>
      </c>
      <c r="M94" s="100">
        <v>36.17</v>
      </c>
      <c r="N94" s="100">
        <v>22.5</v>
      </c>
      <c r="O94" s="100">
        <v>0</v>
      </c>
      <c r="P94" s="100">
        <v>0.77</v>
      </c>
      <c r="Q94" s="100">
        <v>27.29</v>
      </c>
      <c r="R94" s="6"/>
      <c r="S94" s="6"/>
      <c r="T94" s="156"/>
      <c r="U94" s="6"/>
    </row>
    <row r="95" spans="1:21" customFormat="1">
      <c r="A95" s="163" t="s">
        <v>1478</v>
      </c>
      <c r="B95" s="100">
        <v>6.24</v>
      </c>
      <c r="C95" s="100">
        <v>41.65</v>
      </c>
      <c r="D95" s="100">
        <v>25.77</v>
      </c>
      <c r="E95" s="100">
        <v>7.91</v>
      </c>
      <c r="F95" s="100">
        <v>8.5500000000000007</v>
      </c>
      <c r="G95" s="100">
        <v>56.98</v>
      </c>
      <c r="H95" s="100">
        <v>26.59</v>
      </c>
      <c r="I95" s="100">
        <v>12.71</v>
      </c>
      <c r="J95" s="100">
        <v>1.94</v>
      </c>
      <c r="K95" s="100">
        <v>117.82</v>
      </c>
      <c r="L95" s="100">
        <v>33.97</v>
      </c>
      <c r="M95" s="100">
        <v>36.28</v>
      </c>
      <c r="N95" s="100">
        <v>22.6</v>
      </c>
      <c r="O95" s="100">
        <v>0</v>
      </c>
      <c r="P95" s="100">
        <v>0.71</v>
      </c>
      <c r="Q95" s="100">
        <v>27.08</v>
      </c>
      <c r="R95" s="6"/>
      <c r="S95" s="6"/>
      <c r="T95" s="156"/>
      <c r="U95" s="6"/>
    </row>
    <row r="96" spans="1:21" customFormat="1">
      <c r="A96" s="163" t="s">
        <v>1479</v>
      </c>
      <c r="B96" s="100">
        <v>9.2200000000000006</v>
      </c>
      <c r="C96" s="100">
        <v>45.8</v>
      </c>
      <c r="D96" s="100">
        <v>30.32</v>
      </c>
      <c r="E96" s="100">
        <v>8.32</v>
      </c>
      <c r="F96" s="100">
        <v>9.6999999999999993</v>
      </c>
      <c r="G96" s="100">
        <v>57.8</v>
      </c>
      <c r="H96" s="100">
        <v>26.88</v>
      </c>
      <c r="I96" s="100">
        <v>13.31</v>
      </c>
      <c r="J96" s="100">
        <v>1.87</v>
      </c>
      <c r="K96" s="100">
        <v>145.44</v>
      </c>
      <c r="L96" s="100">
        <v>34.28</v>
      </c>
      <c r="M96" s="100">
        <v>36.61</v>
      </c>
      <c r="N96" s="100">
        <v>22.4</v>
      </c>
      <c r="O96" s="100">
        <v>0</v>
      </c>
      <c r="P96" s="100">
        <v>0.74</v>
      </c>
      <c r="Q96" s="100">
        <v>26.65</v>
      </c>
      <c r="R96" s="6"/>
      <c r="S96" s="6"/>
      <c r="T96" s="156"/>
      <c r="U96" s="6"/>
    </row>
    <row r="97" spans="1:28" customFormat="1">
      <c r="A97" s="163" t="s">
        <v>1480</v>
      </c>
      <c r="B97" s="100">
        <v>10.61</v>
      </c>
      <c r="C97" s="100">
        <v>35.71</v>
      </c>
      <c r="D97" s="100">
        <v>26.17</v>
      </c>
      <c r="E97" s="100">
        <v>10.130000000000001</v>
      </c>
      <c r="F97" s="100">
        <v>10.62</v>
      </c>
      <c r="G97" s="100">
        <v>60.9</v>
      </c>
      <c r="H97" s="100">
        <v>27.93</v>
      </c>
      <c r="I97" s="100">
        <v>12.98</v>
      </c>
      <c r="J97" s="100">
        <v>2.66</v>
      </c>
      <c r="K97" s="100">
        <v>199.61</v>
      </c>
      <c r="L97" s="100">
        <v>34.380000000000003</v>
      </c>
      <c r="M97" s="100">
        <v>37.06</v>
      </c>
      <c r="N97" s="100">
        <v>22.1</v>
      </c>
      <c r="O97" s="100">
        <v>0</v>
      </c>
      <c r="P97" s="100">
        <v>0.78</v>
      </c>
      <c r="Q97" s="100">
        <v>26.88</v>
      </c>
      <c r="R97" s="6"/>
      <c r="S97" s="6"/>
      <c r="T97" s="156"/>
      <c r="U97" s="6"/>
    </row>
    <row r="98" spans="1:28" customFormat="1">
      <c r="A98" s="163" t="s">
        <v>1481</v>
      </c>
      <c r="B98" s="100">
        <v>8.0399999999999991</v>
      </c>
      <c r="C98" s="100">
        <v>29.92</v>
      </c>
      <c r="D98" s="100">
        <v>21.08</v>
      </c>
      <c r="E98" s="100">
        <v>9.35</v>
      </c>
      <c r="F98" s="100">
        <v>5.04</v>
      </c>
      <c r="G98" s="100">
        <v>60.9</v>
      </c>
      <c r="H98" s="100">
        <v>27.93</v>
      </c>
      <c r="I98" s="100">
        <v>13.68</v>
      </c>
      <c r="J98" s="100">
        <v>3.36</v>
      </c>
      <c r="K98" s="100">
        <v>240.81</v>
      </c>
      <c r="L98" s="100">
        <v>33.369999999999997</v>
      </c>
      <c r="M98" s="100">
        <v>39.549999999999997</v>
      </c>
      <c r="N98" s="100">
        <v>23.4</v>
      </c>
      <c r="O98" s="100">
        <v>0</v>
      </c>
      <c r="P98" s="100">
        <v>0.69</v>
      </c>
      <c r="Q98" s="100">
        <v>27.61</v>
      </c>
      <c r="R98" s="6"/>
      <c r="S98" s="6"/>
      <c r="T98" s="156"/>
      <c r="U98" s="6"/>
    </row>
    <row r="99" spans="1:28" customFormat="1">
      <c r="A99" s="163" t="s">
        <v>1482</v>
      </c>
      <c r="B99" s="100">
        <v>7.18</v>
      </c>
      <c r="C99" s="100">
        <v>30.8</v>
      </c>
      <c r="D99" s="100">
        <v>20.86</v>
      </c>
      <c r="E99" s="100">
        <v>8.3000000000000007</v>
      </c>
      <c r="F99" s="100">
        <v>10.16</v>
      </c>
      <c r="G99" s="100">
        <v>60.9</v>
      </c>
      <c r="H99" s="100">
        <v>27.93</v>
      </c>
      <c r="I99" s="100">
        <v>14.34</v>
      </c>
      <c r="J99" s="100">
        <v>2.95</v>
      </c>
      <c r="K99" s="100">
        <v>195.61</v>
      </c>
      <c r="L99" s="100">
        <v>33.200000000000003</v>
      </c>
      <c r="M99" s="100">
        <v>38.67</v>
      </c>
      <c r="N99" s="100">
        <v>22.5</v>
      </c>
      <c r="O99" s="100">
        <v>0</v>
      </c>
      <c r="P99" s="100">
        <v>0.64</v>
      </c>
      <c r="Q99" s="100">
        <v>27.77</v>
      </c>
      <c r="R99" s="6"/>
      <c r="S99" s="6"/>
      <c r="T99" s="156"/>
      <c r="U99" s="6"/>
    </row>
    <row r="100" spans="1:28" customFormat="1">
      <c r="A100" s="163" t="s">
        <v>1483</v>
      </c>
      <c r="B100" s="100">
        <v>6.98</v>
      </c>
      <c r="C100" s="100">
        <v>27.49</v>
      </c>
      <c r="D100" s="100">
        <v>18.97</v>
      </c>
      <c r="E100" s="100">
        <v>7.95</v>
      </c>
      <c r="F100" s="100">
        <v>12.6</v>
      </c>
      <c r="G100" s="100">
        <v>60.85</v>
      </c>
      <c r="H100" s="100">
        <v>29.89</v>
      </c>
      <c r="I100" s="100">
        <v>13.09</v>
      </c>
      <c r="J100" s="100">
        <v>2.81</v>
      </c>
      <c r="K100" s="100">
        <v>226.38</v>
      </c>
      <c r="L100" s="100">
        <v>33.47</v>
      </c>
      <c r="M100" s="100">
        <v>37</v>
      </c>
      <c r="N100" s="100">
        <v>22.3</v>
      </c>
      <c r="O100" s="100">
        <v>0</v>
      </c>
      <c r="P100" s="100">
        <v>0.62</v>
      </c>
      <c r="Q100" s="100">
        <v>28.08</v>
      </c>
      <c r="R100" s="6"/>
      <c r="S100" s="6"/>
      <c r="T100" s="156"/>
      <c r="U100" s="6"/>
      <c r="AB100" s="161"/>
    </row>
    <row r="101" spans="1:28" customFormat="1">
      <c r="A101" s="163" t="s">
        <v>1484</v>
      </c>
      <c r="B101" s="100">
        <v>6.45</v>
      </c>
      <c r="C101" s="100">
        <v>29.46</v>
      </c>
      <c r="D101" s="100">
        <v>19.57</v>
      </c>
      <c r="E101" s="100">
        <v>5.76</v>
      </c>
      <c r="F101" s="100">
        <v>14</v>
      </c>
      <c r="G101" s="100">
        <v>60.67</v>
      </c>
      <c r="H101" s="100">
        <v>37.22</v>
      </c>
      <c r="I101" s="100">
        <v>12.41</v>
      </c>
      <c r="J101" s="100">
        <v>2.38</v>
      </c>
      <c r="K101" s="100">
        <v>196.69</v>
      </c>
      <c r="L101" s="100">
        <v>33.409999999999997</v>
      </c>
      <c r="M101" s="100">
        <v>37.18</v>
      </c>
      <c r="N101" s="100">
        <v>22.6</v>
      </c>
      <c r="O101" s="100">
        <v>0</v>
      </c>
      <c r="P101" s="100">
        <v>0.56999999999999995</v>
      </c>
      <c r="Q101" s="100">
        <v>27.9</v>
      </c>
      <c r="R101" s="6"/>
      <c r="S101" s="6"/>
      <c r="T101" s="156"/>
      <c r="U101" s="6"/>
    </row>
    <row r="102" spans="1:28" customFormat="1">
      <c r="A102" s="163" t="s">
        <v>1485</v>
      </c>
      <c r="B102" s="100">
        <v>7.04</v>
      </c>
      <c r="C102" s="100">
        <v>28.13</v>
      </c>
      <c r="D102" s="100">
        <v>19.350000000000001</v>
      </c>
      <c r="E102" s="100">
        <v>7.09</v>
      </c>
      <c r="F102" s="100">
        <v>10.75</v>
      </c>
      <c r="G102" s="100">
        <v>60.67</v>
      </c>
      <c r="H102" s="100">
        <v>37.22</v>
      </c>
      <c r="I102" s="100">
        <v>11.91</v>
      </c>
      <c r="J102" s="100">
        <v>1.24</v>
      </c>
      <c r="K102" s="100">
        <v>227.44</v>
      </c>
      <c r="L102" s="100">
        <v>33.270000000000003</v>
      </c>
      <c r="M102" s="100">
        <v>37.72</v>
      </c>
      <c r="N102" s="100">
        <v>22.5</v>
      </c>
      <c r="O102" s="100">
        <v>0</v>
      </c>
      <c r="P102" s="100">
        <v>0.63</v>
      </c>
      <c r="Q102" s="100">
        <v>27.84</v>
      </c>
      <c r="R102" s="6"/>
      <c r="S102" s="6"/>
      <c r="T102" s="156"/>
      <c r="U102" s="6"/>
    </row>
    <row r="103" spans="1:28" customFormat="1">
      <c r="A103" s="163" t="s">
        <v>1486</v>
      </c>
      <c r="B103" s="100">
        <v>6.89</v>
      </c>
      <c r="C103" s="100">
        <v>26.33</v>
      </c>
      <c r="D103" s="100">
        <v>18.29</v>
      </c>
      <c r="E103" s="100">
        <v>7.11</v>
      </c>
      <c r="F103" s="100">
        <v>11.98</v>
      </c>
      <c r="G103" s="100">
        <v>60.67</v>
      </c>
      <c r="H103" s="100">
        <v>37.22</v>
      </c>
      <c r="I103" s="100">
        <v>11.45</v>
      </c>
      <c r="J103" s="100">
        <v>0.72</v>
      </c>
      <c r="K103" s="100">
        <v>258.8</v>
      </c>
      <c r="L103" s="100">
        <v>33.14</v>
      </c>
      <c r="M103" s="100">
        <v>38.14</v>
      </c>
      <c r="N103" s="100">
        <v>22.6</v>
      </c>
      <c r="O103" s="100">
        <v>0</v>
      </c>
      <c r="P103" s="100">
        <v>0.63</v>
      </c>
      <c r="Q103" s="100">
        <v>27.94</v>
      </c>
      <c r="R103" s="6"/>
      <c r="S103" s="6"/>
      <c r="T103" s="156"/>
      <c r="U103" s="6"/>
    </row>
    <row r="104" spans="1:28" customFormat="1">
      <c r="A104" s="163" t="s">
        <v>1487</v>
      </c>
      <c r="B104" s="100">
        <v>7.83</v>
      </c>
      <c r="C104" s="100">
        <v>25.62</v>
      </c>
      <c r="D104" s="100">
        <v>18.670000000000002</v>
      </c>
      <c r="E104" s="100">
        <v>6.8</v>
      </c>
      <c r="F104" s="100">
        <v>6.58</v>
      </c>
      <c r="G104" s="100">
        <v>60.83</v>
      </c>
      <c r="H104" s="100">
        <v>34.99</v>
      </c>
      <c r="I104" s="100">
        <v>12.11</v>
      </c>
      <c r="J104" s="100">
        <v>4.2300000000000004</v>
      </c>
      <c r="K104" s="100">
        <v>238.71</v>
      </c>
      <c r="L104" s="100">
        <v>32.94</v>
      </c>
      <c r="M104" s="100">
        <v>37.89</v>
      </c>
      <c r="N104" s="100">
        <v>22.7</v>
      </c>
      <c r="O104" s="100">
        <v>0</v>
      </c>
      <c r="P104" s="100">
        <v>0.64</v>
      </c>
      <c r="Q104" s="100">
        <v>27.97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17.82</v>
      </c>
      <c r="D106" s="158">
        <f t="shared" ref="D106:Q106" si="0">MIN(D9:D104)</f>
        <v>11.04</v>
      </c>
      <c r="E106" s="158">
        <f t="shared" si="0"/>
        <v>5.55</v>
      </c>
      <c r="F106" s="158">
        <f t="shared" si="0"/>
        <v>3.66</v>
      </c>
      <c r="G106" s="158">
        <f t="shared" si="0"/>
        <v>39.840000000000003</v>
      </c>
      <c r="H106" s="158">
        <f t="shared" si="0"/>
        <v>17.59</v>
      </c>
      <c r="I106" s="158">
        <f t="shared" si="0"/>
        <v>9.44</v>
      </c>
      <c r="J106" s="158">
        <f t="shared" si="0"/>
        <v>0.36</v>
      </c>
      <c r="K106" s="158">
        <f t="shared" si="0"/>
        <v>15.92</v>
      </c>
      <c r="L106" s="158">
        <f t="shared" si="0"/>
        <v>32.78</v>
      </c>
      <c r="M106" s="158">
        <f t="shared" si="0"/>
        <v>18.600000000000001</v>
      </c>
      <c r="N106" s="158">
        <f t="shared" si="0"/>
        <v>22.1</v>
      </c>
      <c r="O106" s="158">
        <f t="shared" si="0"/>
        <v>0</v>
      </c>
      <c r="P106" s="158">
        <f t="shared" si="0"/>
        <v>0.48</v>
      </c>
      <c r="Q106" s="158">
        <f t="shared" si="0"/>
        <v>26.65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14.16</v>
      </c>
      <c r="C107" s="157">
        <f t="shared" ref="C107:Q107" si="1">MAX(C9:C104)</f>
        <v>45.8</v>
      </c>
      <c r="D107" s="157">
        <f t="shared" si="1"/>
        <v>30.32</v>
      </c>
      <c r="E107" s="157">
        <f t="shared" si="1"/>
        <v>10.54</v>
      </c>
      <c r="F107" s="157">
        <f t="shared" si="1"/>
        <v>37.39</v>
      </c>
      <c r="G107" s="157">
        <f t="shared" si="1"/>
        <v>77.86</v>
      </c>
      <c r="H107" s="157">
        <f t="shared" si="1"/>
        <v>37.22</v>
      </c>
      <c r="I107" s="157">
        <f t="shared" si="1"/>
        <v>19.149999999999999</v>
      </c>
      <c r="J107" s="157">
        <f t="shared" si="1"/>
        <v>4.8</v>
      </c>
      <c r="K107" s="157">
        <f t="shared" si="1"/>
        <v>358.31</v>
      </c>
      <c r="L107" s="157">
        <f t="shared" si="1"/>
        <v>46.32</v>
      </c>
      <c r="M107" s="157">
        <f t="shared" si="1"/>
        <v>46.25</v>
      </c>
      <c r="N107" s="157">
        <f t="shared" si="1"/>
        <v>922.4</v>
      </c>
      <c r="O107" s="157">
        <f t="shared" si="1"/>
        <v>0</v>
      </c>
      <c r="P107" s="157">
        <f t="shared" si="1"/>
        <v>0.78</v>
      </c>
      <c r="Q107" s="157">
        <f t="shared" si="1"/>
        <v>28.86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6.4556249999999986</v>
      </c>
      <c r="C108" s="158">
        <f t="shared" ref="C108:Q108" si="2">AVERAGE(C9:C104)</f>
        <v>27.562604166666677</v>
      </c>
      <c r="D108" s="158">
        <f t="shared" si="2"/>
        <v>18.581666666666663</v>
      </c>
      <c r="E108" s="158">
        <f t="shared" si="2"/>
        <v>7.827708333333331</v>
      </c>
      <c r="F108" s="158">
        <f t="shared" si="2"/>
        <v>15.840312500000003</v>
      </c>
      <c r="G108" s="158">
        <f t="shared" si="2"/>
        <v>56.104166666666636</v>
      </c>
      <c r="H108" s="158">
        <f t="shared" si="2"/>
        <v>23.65124999999999</v>
      </c>
      <c r="I108" s="158">
        <f t="shared" si="2"/>
        <v>13.515625</v>
      </c>
      <c r="J108" s="158">
        <f t="shared" si="2"/>
        <v>2.6149999999999998</v>
      </c>
      <c r="K108" s="158">
        <f t="shared" si="2"/>
        <v>210.52333333333328</v>
      </c>
      <c r="L108" s="158">
        <f t="shared" si="2"/>
        <v>36.444270833333334</v>
      </c>
      <c r="M108" s="158">
        <f t="shared" si="2"/>
        <v>33.148958333333333</v>
      </c>
      <c r="N108" s="158">
        <f t="shared" si="2"/>
        <v>206.04687500000003</v>
      </c>
      <c r="O108" s="158">
        <f t="shared" si="2"/>
        <v>0</v>
      </c>
      <c r="P108" s="158">
        <f t="shared" si="2"/>
        <v>0.59375000000000011</v>
      </c>
      <c r="Q108" s="158">
        <f t="shared" si="2"/>
        <v>28.037187500000002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3.0980237546233487</v>
      </c>
      <c r="C109" s="158">
        <f t="shared" ref="C109:Q109" si="3">STDEV(C9:C104)</f>
        <v>5.3363867619621512</v>
      </c>
      <c r="D109" s="158">
        <f t="shared" si="3"/>
        <v>4.2417833058791725</v>
      </c>
      <c r="E109" s="158">
        <f t="shared" si="3"/>
        <v>0.9876814734429753</v>
      </c>
      <c r="F109" s="158">
        <f t="shared" si="3"/>
        <v>9.3696554397272482</v>
      </c>
      <c r="G109" s="158">
        <f t="shared" si="3"/>
        <v>10.882185700218399</v>
      </c>
      <c r="H109" s="158">
        <f t="shared" si="3"/>
        <v>4.3085460363524861</v>
      </c>
      <c r="I109" s="158">
        <f t="shared" si="3"/>
        <v>2.6253039172436359</v>
      </c>
      <c r="J109" s="158">
        <f t="shared" si="3"/>
        <v>1.0800438587585715</v>
      </c>
      <c r="K109" s="158">
        <f t="shared" si="3"/>
        <v>84.294246424954181</v>
      </c>
      <c r="L109" s="158">
        <f t="shared" si="3"/>
        <v>3.4168334817000758</v>
      </c>
      <c r="M109" s="158">
        <f t="shared" si="3"/>
        <v>7.7735431844398093</v>
      </c>
      <c r="N109" s="158">
        <f t="shared" si="3"/>
        <v>272.71856785574653</v>
      </c>
      <c r="O109" s="158">
        <f t="shared" si="3"/>
        <v>0</v>
      </c>
      <c r="P109" s="158">
        <f t="shared" si="3"/>
        <v>7.2245925035328271E-2</v>
      </c>
      <c r="Q109" s="158">
        <f t="shared" si="3"/>
        <v>0.46418622198877313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98" sqref="H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1488</v>
      </c>
      <c r="B9" s="100">
        <v>5.87</v>
      </c>
      <c r="C9" s="100">
        <v>23.62</v>
      </c>
      <c r="D9" s="100">
        <v>16.05</v>
      </c>
      <c r="E9" s="100">
        <v>7.16</v>
      </c>
      <c r="F9" s="100">
        <v>16.309999999999999</v>
      </c>
      <c r="G9" s="100">
        <v>61.45</v>
      </c>
      <c r="H9" s="100">
        <v>26.67</v>
      </c>
      <c r="I9" s="100">
        <v>12.36</v>
      </c>
      <c r="J9" s="100">
        <v>2.0699999999999998</v>
      </c>
      <c r="K9" s="100">
        <v>216.86</v>
      </c>
      <c r="L9" s="100">
        <v>32.96</v>
      </c>
      <c r="M9" s="100">
        <v>38.229999999999997</v>
      </c>
      <c r="N9" s="100">
        <v>22.6</v>
      </c>
      <c r="O9" s="100">
        <v>0</v>
      </c>
      <c r="P9" s="100">
        <v>0.57999999999999996</v>
      </c>
      <c r="Q9" s="100">
        <v>28.18</v>
      </c>
      <c r="R9" s="6"/>
      <c r="S9" s="6"/>
      <c r="T9" s="156"/>
      <c r="U9" s="6"/>
    </row>
    <row r="10" spans="1:21" customFormat="1">
      <c r="A10" s="163" t="s">
        <v>1489</v>
      </c>
      <c r="B10" s="100">
        <v>5.64</v>
      </c>
      <c r="C10" s="100">
        <v>24.1</v>
      </c>
      <c r="D10" s="100">
        <v>16.12</v>
      </c>
      <c r="E10" s="100">
        <v>7.33</v>
      </c>
      <c r="F10" s="100">
        <v>14.85</v>
      </c>
      <c r="G10" s="100">
        <v>61.45</v>
      </c>
      <c r="H10" s="100">
        <v>26.67</v>
      </c>
      <c r="I10" s="100">
        <v>12.29</v>
      </c>
      <c r="J10" s="100">
        <v>2.76</v>
      </c>
      <c r="K10" s="100">
        <v>259.66000000000003</v>
      </c>
      <c r="L10" s="100">
        <v>33.18</v>
      </c>
      <c r="M10" s="100">
        <v>38.19</v>
      </c>
      <c r="N10" s="100">
        <v>22.4</v>
      </c>
      <c r="O10" s="100">
        <v>0</v>
      </c>
      <c r="P10" s="100">
        <v>0.63</v>
      </c>
      <c r="Q10" s="100">
        <v>28.17</v>
      </c>
      <c r="R10" s="6"/>
      <c r="S10" s="6"/>
      <c r="T10" s="156"/>
      <c r="U10" s="6"/>
    </row>
    <row r="11" spans="1:21" customFormat="1">
      <c r="A11" s="163" t="s">
        <v>1490</v>
      </c>
      <c r="B11" s="100">
        <v>6.28</v>
      </c>
      <c r="C11" s="100">
        <v>26.02</v>
      </c>
      <c r="D11" s="100">
        <v>17.63</v>
      </c>
      <c r="E11" s="100">
        <v>7.18</v>
      </c>
      <c r="F11" s="100">
        <v>8.31</v>
      </c>
      <c r="G11" s="100">
        <v>61.45</v>
      </c>
      <c r="H11" s="100">
        <v>26.67</v>
      </c>
      <c r="I11" s="100">
        <v>12.13</v>
      </c>
      <c r="J11" s="100">
        <v>1.94</v>
      </c>
      <c r="K11" s="100">
        <v>221.66</v>
      </c>
      <c r="L11" s="100">
        <v>33.39</v>
      </c>
      <c r="M11" s="100">
        <v>38.29</v>
      </c>
      <c r="N11" s="100">
        <v>22.7</v>
      </c>
      <c r="O11" s="100">
        <v>0</v>
      </c>
      <c r="P11" s="100">
        <v>0.72</v>
      </c>
      <c r="Q11" s="100">
        <v>28.01</v>
      </c>
      <c r="R11" s="6"/>
      <c r="S11" s="6"/>
      <c r="T11" s="156"/>
      <c r="U11" s="6"/>
    </row>
    <row r="12" spans="1:21" customFormat="1">
      <c r="A12" s="163" t="s">
        <v>1491</v>
      </c>
      <c r="B12" s="100">
        <v>7.26</v>
      </c>
      <c r="C12" s="100">
        <v>35.78</v>
      </c>
      <c r="D12" s="100">
        <v>23.53</v>
      </c>
      <c r="E12" s="100">
        <v>7.91</v>
      </c>
      <c r="F12" s="100">
        <v>8.32</v>
      </c>
      <c r="G12" s="100">
        <v>61.21</v>
      </c>
      <c r="H12" s="100">
        <v>28.98</v>
      </c>
      <c r="I12" s="100">
        <v>13.59</v>
      </c>
      <c r="J12" s="100">
        <v>2.88</v>
      </c>
      <c r="K12" s="100">
        <v>203.84</v>
      </c>
      <c r="L12" s="100">
        <v>33.159999999999997</v>
      </c>
      <c r="M12" s="100">
        <v>38.630000000000003</v>
      </c>
      <c r="N12" s="100">
        <v>22.8</v>
      </c>
      <c r="O12" s="100">
        <v>0</v>
      </c>
      <c r="P12" s="100">
        <v>0.73</v>
      </c>
      <c r="Q12" s="100">
        <v>27.56</v>
      </c>
      <c r="R12" s="6"/>
      <c r="S12" s="6"/>
      <c r="T12" s="156"/>
      <c r="U12" s="6"/>
    </row>
    <row r="13" spans="1:21" customFormat="1">
      <c r="A13" s="163" t="s">
        <v>1492</v>
      </c>
      <c r="B13" s="100">
        <v>7.26</v>
      </c>
      <c r="C13" s="100">
        <v>37.82</v>
      </c>
      <c r="D13" s="100">
        <v>24.59</v>
      </c>
      <c r="E13" s="100">
        <v>8.49</v>
      </c>
      <c r="F13" s="100">
        <v>10.52</v>
      </c>
      <c r="G13" s="100">
        <v>60.31</v>
      </c>
      <c r="H13" s="100">
        <v>37.619999999999997</v>
      </c>
      <c r="I13" s="100">
        <v>14.81</v>
      </c>
      <c r="J13" s="100">
        <v>2.89</v>
      </c>
      <c r="K13" s="100">
        <v>118.71</v>
      </c>
      <c r="L13" s="100">
        <v>32.950000000000003</v>
      </c>
      <c r="M13" s="100">
        <v>39.200000000000003</v>
      </c>
      <c r="N13" s="100">
        <v>23</v>
      </c>
      <c r="O13" s="100">
        <v>0</v>
      </c>
      <c r="P13" s="100">
        <v>0.69</v>
      </c>
      <c r="Q13" s="100">
        <v>27.47</v>
      </c>
      <c r="R13" s="6"/>
      <c r="S13" s="6"/>
      <c r="T13" s="156"/>
      <c r="U13" s="6"/>
    </row>
    <row r="14" spans="1:21" customFormat="1">
      <c r="A14" s="163" t="s">
        <v>1493</v>
      </c>
      <c r="B14" s="100">
        <v>7.69</v>
      </c>
      <c r="C14" s="100">
        <v>38.39</v>
      </c>
      <c r="D14" s="100">
        <v>25.23</v>
      </c>
      <c r="E14" s="100">
        <v>8.44</v>
      </c>
      <c r="F14" s="100">
        <v>8.0299999999999994</v>
      </c>
      <c r="G14" s="100">
        <v>60.31</v>
      </c>
      <c r="H14" s="100">
        <v>37.619999999999997</v>
      </c>
      <c r="I14" s="100">
        <v>14.72</v>
      </c>
      <c r="J14" s="100">
        <v>3.02</v>
      </c>
      <c r="K14" s="100">
        <v>124.34</v>
      </c>
      <c r="L14" s="100">
        <v>32.64</v>
      </c>
      <c r="M14" s="100">
        <v>41.42</v>
      </c>
      <c r="N14" s="100">
        <v>23.1</v>
      </c>
      <c r="O14" s="100">
        <v>0</v>
      </c>
      <c r="P14" s="100">
        <v>0.67</v>
      </c>
      <c r="Q14" s="100">
        <v>27.41</v>
      </c>
      <c r="R14" s="6"/>
      <c r="S14" s="6"/>
      <c r="T14" s="156"/>
      <c r="U14" s="6"/>
    </row>
    <row r="15" spans="1:21" customFormat="1">
      <c r="A15" s="163" t="s">
        <v>1494</v>
      </c>
      <c r="B15" s="100">
        <v>7.5</v>
      </c>
      <c r="C15" s="100">
        <v>36.06</v>
      </c>
      <c r="D15" s="100">
        <v>23.86</v>
      </c>
      <c r="E15" s="100">
        <v>8.2799999999999994</v>
      </c>
      <c r="F15" s="100">
        <v>8.2899999999999991</v>
      </c>
      <c r="G15" s="100">
        <v>60.31</v>
      </c>
      <c r="H15" s="100">
        <v>37.619999999999997</v>
      </c>
      <c r="I15" s="100">
        <v>14.07</v>
      </c>
      <c r="J15" s="100">
        <v>3.03</v>
      </c>
      <c r="K15" s="100">
        <v>135.44</v>
      </c>
      <c r="L15" s="100">
        <v>32.619999999999997</v>
      </c>
      <c r="M15" s="100">
        <v>41.3</v>
      </c>
      <c r="N15" s="100">
        <v>22.8</v>
      </c>
      <c r="O15" s="100">
        <v>0</v>
      </c>
      <c r="P15" s="100">
        <v>0.65</v>
      </c>
      <c r="Q15" s="100">
        <v>27.6</v>
      </c>
      <c r="R15" s="6"/>
      <c r="S15" s="6"/>
      <c r="T15" s="156"/>
      <c r="U15" s="6"/>
    </row>
    <row r="16" spans="1:21" customFormat="1">
      <c r="A16" s="163" t="s">
        <v>1495</v>
      </c>
      <c r="B16" s="100">
        <v>7.22</v>
      </c>
      <c r="C16" s="100">
        <v>32.96</v>
      </c>
      <c r="D16" s="100">
        <v>22.02</v>
      </c>
      <c r="E16" s="100">
        <v>8.74</v>
      </c>
      <c r="F16" s="100">
        <v>12.23</v>
      </c>
      <c r="G16" s="100">
        <v>59.86</v>
      </c>
      <c r="H16" s="100">
        <v>36.17</v>
      </c>
      <c r="I16" s="100">
        <v>13.75</v>
      </c>
      <c r="J16" s="100">
        <v>2.91</v>
      </c>
      <c r="K16" s="100">
        <v>142.44999999999999</v>
      </c>
      <c r="L16" s="100">
        <v>32.549999999999997</v>
      </c>
      <c r="M16" s="100">
        <v>40.98</v>
      </c>
      <c r="N16" s="100">
        <v>22.6</v>
      </c>
      <c r="O16" s="100">
        <v>0</v>
      </c>
      <c r="P16" s="100">
        <v>0.63</v>
      </c>
      <c r="Q16" s="100">
        <v>27.8</v>
      </c>
      <c r="R16" s="6"/>
      <c r="S16" s="6"/>
      <c r="T16" s="156"/>
      <c r="U16" s="6"/>
    </row>
    <row r="17" spans="1:21" customFormat="1">
      <c r="A17" s="163" t="s">
        <v>1496</v>
      </c>
      <c r="B17" s="100">
        <v>6.42</v>
      </c>
      <c r="C17" s="100">
        <v>24.21</v>
      </c>
      <c r="D17" s="100">
        <v>16.8</v>
      </c>
      <c r="E17" s="100">
        <v>8.8800000000000008</v>
      </c>
      <c r="F17" s="100">
        <v>17.260000000000002</v>
      </c>
      <c r="G17" s="100">
        <v>58.21</v>
      </c>
      <c r="H17" s="100">
        <v>30.73</v>
      </c>
      <c r="I17" s="100">
        <v>13.6</v>
      </c>
      <c r="J17" s="100">
        <v>2.91</v>
      </c>
      <c r="K17" s="100">
        <v>140.76</v>
      </c>
      <c r="L17" s="100">
        <v>32.76</v>
      </c>
      <c r="M17" s="100">
        <v>39.229999999999997</v>
      </c>
      <c r="N17" s="100">
        <v>22.5</v>
      </c>
      <c r="O17" s="100">
        <v>0</v>
      </c>
      <c r="P17" s="100">
        <v>0.59</v>
      </c>
      <c r="Q17" s="100">
        <v>28.28</v>
      </c>
      <c r="R17" s="6"/>
      <c r="S17" s="6"/>
      <c r="T17" s="156"/>
      <c r="U17" s="6"/>
    </row>
    <row r="18" spans="1:21" customFormat="1">
      <c r="A18" s="163" t="s">
        <v>1497</v>
      </c>
      <c r="B18" s="100">
        <v>6.24</v>
      </c>
      <c r="C18" s="100">
        <v>23.12</v>
      </c>
      <c r="D18" s="100">
        <v>16.07</v>
      </c>
      <c r="E18" s="100">
        <v>8.75</v>
      </c>
      <c r="F18" s="100">
        <v>15.4</v>
      </c>
      <c r="G18" s="100">
        <v>58.21</v>
      </c>
      <c r="H18" s="100">
        <v>30.73</v>
      </c>
      <c r="I18" s="100">
        <v>13.07</v>
      </c>
      <c r="J18" s="100">
        <v>2.67</v>
      </c>
      <c r="K18" s="100">
        <v>196.89</v>
      </c>
      <c r="L18" s="100">
        <v>32.380000000000003</v>
      </c>
      <c r="M18" s="100">
        <v>41.16</v>
      </c>
      <c r="N18" s="100">
        <v>22.4</v>
      </c>
      <c r="O18" s="100">
        <v>0</v>
      </c>
      <c r="P18" s="100">
        <v>0.57999999999999996</v>
      </c>
      <c r="Q18" s="100">
        <v>28.36</v>
      </c>
      <c r="R18" s="6"/>
      <c r="S18" s="6"/>
      <c r="T18" s="156"/>
      <c r="U18" s="6"/>
    </row>
    <row r="19" spans="1:21" customFormat="1">
      <c r="A19" s="163" t="s">
        <v>1498</v>
      </c>
      <c r="B19" s="100">
        <v>6.67</v>
      </c>
      <c r="C19" s="100">
        <v>25.94</v>
      </c>
      <c r="D19" s="100">
        <v>17.91</v>
      </c>
      <c r="E19" s="100">
        <v>7.46</v>
      </c>
      <c r="F19" s="100">
        <v>9.19</v>
      </c>
      <c r="G19" s="100">
        <v>58.21</v>
      </c>
      <c r="H19" s="100">
        <v>30.73</v>
      </c>
      <c r="I19" s="100">
        <v>12.45</v>
      </c>
      <c r="J19" s="100">
        <v>3.2</v>
      </c>
      <c r="K19" s="100">
        <v>206.23</v>
      </c>
      <c r="L19" s="100">
        <v>32.299999999999997</v>
      </c>
      <c r="M19" s="100">
        <v>43.08</v>
      </c>
      <c r="N19" s="100">
        <v>22.9</v>
      </c>
      <c r="O19" s="100">
        <v>0</v>
      </c>
      <c r="P19" s="100">
        <v>0.6</v>
      </c>
      <c r="Q19" s="100">
        <v>28.17</v>
      </c>
      <c r="R19" s="6"/>
      <c r="S19" s="6"/>
      <c r="T19" s="156"/>
      <c r="U19" s="6"/>
    </row>
    <row r="20" spans="1:21" customFormat="1">
      <c r="A20" s="163" t="s">
        <v>1499</v>
      </c>
      <c r="B20" s="100">
        <v>6.59</v>
      </c>
      <c r="C20" s="100">
        <v>24.58</v>
      </c>
      <c r="D20" s="100">
        <v>17.13</v>
      </c>
      <c r="E20" s="100">
        <v>7.21</v>
      </c>
      <c r="F20" s="100">
        <v>13.39</v>
      </c>
      <c r="G20" s="100">
        <v>57.96</v>
      </c>
      <c r="H20" s="100">
        <v>29.76</v>
      </c>
      <c r="I20" s="100">
        <v>12.61</v>
      </c>
      <c r="J20" s="100">
        <v>3.02</v>
      </c>
      <c r="K20" s="100">
        <v>214.65</v>
      </c>
      <c r="L20" s="100">
        <v>32.01</v>
      </c>
      <c r="M20" s="100">
        <v>42.87</v>
      </c>
      <c r="N20" s="100">
        <v>22.8</v>
      </c>
      <c r="O20" s="100">
        <v>0</v>
      </c>
      <c r="P20" s="100">
        <v>0.56999999999999995</v>
      </c>
      <c r="Q20" s="100">
        <v>28.23</v>
      </c>
      <c r="R20" s="6"/>
      <c r="S20" s="6"/>
      <c r="T20" s="156"/>
      <c r="U20" s="6"/>
    </row>
    <row r="21" spans="1:21" customFormat="1">
      <c r="A21" s="163" t="s">
        <v>1500</v>
      </c>
      <c r="B21" s="100">
        <v>6.46</v>
      </c>
      <c r="C21" s="100">
        <v>25.09</v>
      </c>
      <c r="D21" s="100">
        <v>17.29</v>
      </c>
      <c r="E21" s="100">
        <v>7.09</v>
      </c>
      <c r="F21" s="100">
        <v>10.54</v>
      </c>
      <c r="G21" s="100">
        <v>57.04</v>
      </c>
      <c r="H21" s="100">
        <v>26.15</v>
      </c>
      <c r="I21" s="100">
        <v>12.63</v>
      </c>
      <c r="J21" s="100">
        <v>3.22</v>
      </c>
      <c r="K21" s="100">
        <v>184</v>
      </c>
      <c r="L21" s="100">
        <v>31.8</v>
      </c>
      <c r="M21" s="100">
        <v>43.16</v>
      </c>
      <c r="N21" s="100">
        <v>22.9</v>
      </c>
      <c r="O21" s="100">
        <v>0</v>
      </c>
      <c r="P21" s="100">
        <v>0.57999999999999996</v>
      </c>
      <c r="Q21" s="100">
        <v>28.25</v>
      </c>
      <c r="R21" s="6"/>
      <c r="S21" s="6"/>
      <c r="T21" s="156"/>
      <c r="U21" s="6"/>
    </row>
    <row r="22" spans="1:21" customFormat="1">
      <c r="A22" s="163" t="s">
        <v>1501</v>
      </c>
      <c r="B22" s="100">
        <v>6.4</v>
      </c>
      <c r="C22" s="100">
        <v>25.89</v>
      </c>
      <c r="D22" s="100">
        <v>17.670000000000002</v>
      </c>
      <c r="E22" s="100">
        <v>6.79</v>
      </c>
      <c r="F22" s="100">
        <v>10.31</v>
      </c>
      <c r="G22" s="100">
        <v>57.04</v>
      </c>
      <c r="H22" s="100">
        <v>26.15</v>
      </c>
      <c r="I22" s="100">
        <v>11.92</v>
      </c>
      <c r="J22" s="100">
        <v>3.07</v>
      </c>
      <c r="K22" s="100">
        <v>186.05</v>
      </c>
      <c r="L22" s="100">
        <v>31.63</v>
      </c>
      <c r="M22" s="100">
        <v>43.77</v>
      </c>
      <c r="N22" s="100">
        <v>22.8</v>
      </c>
      <c r="O22" s="100">
        <v>0</v>
      </c>
      <c r="P22" s="100">
        <v>0.56999999999999995</v>
      </c>
      <c r="Q22" s="100">
        <v>28.2</v>
      </c>
      <c r="R22" s="6"/>
      <c r="S22" s="6"/>
      <c r="T22" s="156"/>
      <c r="U22" s="6"/>
    </row>
    <row r="23" spans="1:21" customFormat="1">
      <c r="A23" s="163" t="s">
        <v>1502</v>
      </c>
      <c r="B23" s="100">
        <v>6.3</v>
      </c>
      <c r="C23" s="100">
        <v>25.72</v>
      </c>
      <c r="D23" s="100">
        <v>17.489999999999998</v>
      </c>
      <c r="E23" s="100">
        <v>6.68</v>
      </c>
      <c r="F23" s="100">
        <v>9.35</v>
      </c>
      <c r="G23" s="100">
        <v>57.04</v>
      </c>
      <c r="H23" s="100">
        <v>26.15</v>
      </c>
      <c r="I23" s="100">
        <v>11.87</v>
      </c>
      <c r="J23" s="100">
        <v>3.21</v>
      </c>
      <c r="K23" s="100">
        <v>193.57</v>
      </c>
      <c r="L23" s="100">
        <v>31.66</v>
      </c>
      <c r="M23" s="100">
        <v>43.48</v>
      </c>
      <c r="N23" s="100">
        <v>22.6</v>
      </c>
      <c r="O23" s="100">
        <v>0</v>
      </c>
      <c r="P23" s="100">
        <v>0.56999999999999995</v>
      </c>
      <c r="Q23" s="100">
        <v>28.19</v>
      </c>
      <c r="R23" s="6"/>
      <c r="S23" s="6"/>
      <c r="T23" s="156"/>
      <c r="U23" s="6"/>
    </row>
    <row r="24" spans="1:21" customFormat="1">
      <c r="A24" s="163" t="s">
        <v>1503</v>
      </c>
      <c r="B24" s="100">
        <v>6.38</v>
      </c>
      <c r="C24" s="100">
        <v>26.49</v>
      </c>
      <c r="D24" s="100">
        <v>17.96</v>
      </c>
      <c r="E24" s="100">
        <v>6.25</v>
      </c>
      <c r="F24" s="100">
        <v>7.19</v>
      </c>
      <c r="G24" s="100">
        <v>54.56</v>
      </c>
      <c r="H24" s="100">
        <v>26.41</v>
      </c>
      <c r="I24" s="100">
        <v>11.73</v>
      </c>
      <c r="J24" s="100">
        <v>3.29</v>
      </c>
      <c r="K24" s="100">
        <v>182.03</v>
      </c>
      <c r="L24" s="100">
        <v>31.59</v>
      </c>
      <c r="M24" s="100">
        <v>44.15</v>
      </c>
      <c r="N24" s="100">
        <v>23</v>
      </c>
      <c r="O24" s="100">
        <v>0</v>
      </c>
      <c r="P24" s="100">
        <v>0.56000000000000005</v>
      </c>
      <c r="Q24" s="100">
        <v>28.15</v>
      </c>
      <c r="R24" s="6"/>
      <c r="S24" s="6"/>
      <c r="T24" s="156"/>
      <c r="U24" s="6"/>
    </row>
    <row r="25" spans="1:21" customFormat="1">
      <c r="A25" s="163" t="s">
        <v>1504</v>
      </c>
      <c r="B25" s="100">
        <v>6.74</v>
      </c>
      <c r="C25" s="100">
        <v>36.43</v>
      </c>
      <c r="D25" s="100">
        <v>23.44</v>
      </c>
      <c r="E25" s="100">
        <v>6.11</v>
      </c>
      <c r="F25" s="100">
        <v>5.07</v>
      </c>
      <c r="G25" s="100">
        <v>45.33</v>
      </c>
      <c r="H25" s="100">
        <v>27.4</v>
      </c>
      <c r="I25" s="100">
        <v>11.67</v>
      </c>
      <c r="J25" s="100">
        <v>3.62</v>
      </c>
      <c r="K25" s="100">
        <v>236.28</v>
      </c>
      <c r="L25" s="100">
        <v>31.69</v>
      </c>
      <c r="M25" s="100">
        <v>43.45</v>
      </c>
      <c r="N25" s="100">
        <v>22.3</v>
      </c>
      <c r="O25" s="100">
        <v>0</v>
      </c>
      <c r="P25" s="100">
        <v>0.57999999999999996</v>
      </c>
      <c r="Q25" s="100">
        <v>28.1</v>
      </c>
      <c r="R25" s="6"/>
      <c r="S25" s="6"/>
      <c r="T25" s="156"/>
      <c r="U25" s="6"/>
    </row>
    <row r="26" spans="1:21" customFormat="1">
      <c r="A26" s="163" t="s">
        <v>1505</v>
      </c>
      <c r="B26" s="100">
        <v>7.01</v>
      </c>
      <c r="C26" s="100">
        <v>41.26</v>
      </c>
      <c r="D26" s="100">
        <v>26.19</v>
      </c>
      <c r="E26" s="100">
        <v>6.8</v>
      </c>
      <c r="F26" s="100">
        <v>5.24</v>
      </c>
      <c r="G26" s="100">
        <v>45.33</v>
      </c>
      <c r="H26" s="100">
        <v>27.4</v>
      </c>
      <c r="I26" s="100">
        <v>11.79</v>
      </c>
      <c r="J26" s="100">
        <v>3.09</v>
      </c>
      <c r="K26" s="100">
        <v>253.37</v>
      </c>
      <c r="L26" s="100">
        <v>31.62</v>
      </c>
      <c r="M26" s="100">
        <v>43.47</v>
      </c>
      <c r="N26" s="100">
        <v>22.5</v>
      </c>
      <c r="O26" s="100">
        <v>0</v>
      </c>
      <c r="P26" s="100">
        <v>0.56999999999999995</v>
      </c>
      <c r="Q26" s="100">
        <v>27.49</v>
      </c>
      <c r="R26" s="6"/>
      <c r="S26" s="6"/>
      <c r="T26" s="156"/>
      <c r="U26" s="6"/>
    </row>
    <row r="27" spans="1:21" customFormat="1">
      <c r="A27" s="163" t="s">
        <v>1506</v>
      </c>
      <c r="B27" s="100">
        <v>7.02</v>
      </c>
      <c r="C27" s="100">
        <v>26.69</v>
      </c>
      <c r="D27" s="100">
        <v>18.579999999999998</v>
      </c>
      <c r="E27" s="100">
        <v>6.96</v>
      </c>
      <c r="F27" s="100">
        <v>6.2</v>
      </c>
      <c r="G27" s="100">
        <v>45.33</v>
      </c>
      <c r="H27" s="100">
        <v>27.4</v>
      </c>
      <c r="I27" s="100">
        <v>11.82</v>
      </c>
      <c r="J27" s="100">
        <v>3.27</v>
      </c>
      <c r="K27" s="100">
        <v>244.8</v>
      </c>
      <c r="L27" s="100">
        <v>31.36</v>
      </c>
      <c r="M27" s="100">
        <v>44.32</v>
      </c>
      <c r="N27" s="100">
        <v>22.8</v>
      </c>
      <c r="O27" s="100">
        <v>0</v>
      </c>
      <c r="P27" s="100">
        <v>0.56000000000000005</v>
      </c>
      <c r="Q27" s="100">
        <v>28.14</v>
      </c>
      <c r="R27" s="6"/>
      <c r="S27" s="6"/>
      <c r="T27" s="156"/>
      <c r="U27" s="6"/>
    </row>
    <row r="28" spans="1:21" customFormat="1">
      <c r="A28" s="163" t="s">
        <v>1507</v>
      </c>
      <c r="B28" s="100">
        <v>7.19</v>
      </c>
      <c r="C28" s="100">
        <v>33.479999999999997</v>
      </c>
      <c r="D28" s="100">
        <v>22.26</v>
      </c>
      <c r="E28" s="100">
        <v>6.68</v>
      </c>
      <c r="F28" s="100">
        <v>6.94</v>
      </c>
      <c r="G28" s="100">
        <v>45.28</v>
      </c>
      <c r="H28" s="100">
        <v>26.7</v>
      </c>
      <c r="I28" s="100">
        <v>11.7</v>
      </c>
      <c r="J28" s="100">
        <v>2.88</v>
      </c>
      <c r="K28" s="100">
        <v>197.05</v>
      </c>
      <c r="L28" s="100">
        <v>31.34</v>
      </c>
      <c r="M28" s="100">
        <v>44.68</v>
      </c>
      <c r="N28" s="100">
        <v>22.8</v>
      </c>
      <c r="O28" s="100">
        <v>0</v>
      </c>
      <c r="P28" s="100">
        <v>0.54</v>
      </c>
      <c r="Q28" s="100">
        <v>27.99</v>
      </c>
      <c r="R28" s="6"/>
      <c r="S28" s="6"/>
      <c r="T28" s="156"/>
      <c r="U28" s="6"/>
    </row>
    <row r="29" spans="1:21" customFormat="1">
      <c r="A29" s="163" t="s">
        <v>1508</v>
      </c>
      <c r="B29" s="100">
        <v>7.56</v>
      </c>
      <c r="C29" s="100">
        <v>32.01</v>
      </c>
      <c r="D29" s="100">
        <v>21.79</v>
      </c>
      <c r="E29" s="100">
        <v>5.66</v>
      </c>
      <c r="F29" s="100">
        <v>5.14</v>
      </c>
      <c r="G29" s="100">
        <v>45.1</v>
      </c>
      <c r="H29" s="100">
        <v>24.07</v>
      </c>
      <c r="I29" s="100">
        <v>11.45</v>
      </c>
      <c r="J29" s="100">
        <v>2.93</v>
      </c>
      <c r="K29" s="100">
        <v>174.96</v>
      </c>
      <c r="L29" s="100">
        <v>31.25</v>
      </c>
      <c r="M29" s="100">
        <v>45.59</v>
      </c>
      <c r="N29" s="100">
        <v>23.1</v>
      </c>
      <c r="O29" s="100">
        <v>0</v>
      </c>
      <c r="P29" s="100">
        <v>0.56000000000000005</v>
      </c>
      <c r="Q29" s="100">
        <v>28</v>
      </c>
      <c r="R29" s="6"/>
      <c r="S29" s="6"/>
      <c r="T29" s="156"/>
      <c r="U29" s="6"/>
    </row>
    <row r="30" spans="1:21" customFormat="1">
      <c r="A30" s="163" t="s">
        <v>1509</v>
      </c>
      <c r="B30" s="100">
        <v>7.8</v>
      </c>
      <c r="C30" s="100">
        <v>27.36</v>
      </c>
      <c r="D30" s="100">
        <v>19.55</v>
      </c>
      <c r="E30" s="100">
        <v>6.49</v>
      </c>
      <c r="F30" s="100">
        <v>5.88</v>
      </c>
      <c r="G30" s="100">
        <v>45.1</v>
      </c>
      <c r="H30" s="100">
        <v>24.07</v>
      </c>
      <c r="I30" s="100">
        <v>11.48</v>
      </c>
      <c r="J30" s="100">
        <v>3.24</v>
      </c>
      <c r="K30" s="100">
        <v>172.76</v>
      </c>
      <c r="L30" s="100">
        <v>31.29</v>
      </c>
      <c r="M30" s="100">
        <v>45.64</v>
      </c>
      <c r="N30" s="100">
        <v>24.4</v>
      </c>
      <c r="O30" s="100">
        <v>0</v>
      </c>
      <c r="P30" s="100">
        <v>0.57999999999999996</v>
      </c>
      <c r="Q30" s="100">
        <v>28.18</v>
      </c>
      <c r="R30" s="6"/>
      <c r="S30" s="6"/>
      <c r="T30" s="156"/>
      <c r="U30" s="6"/>
    </row>
    <row r="31" spans="1:21" customFormat="1">
      <c r="A31" s="163" t="s">
        <v>1510</v>
      </c>
      <c r="B31" s="100">
        <v>8.01</v>
      </c>
      <c r="C31" s="100">
        <v>29.73</v>
      </c>
      <c r="D31" s="100">
        <v>20.96</v>
      </c>
      <c r="E31" s="100">
        <v>6.82</v>
      </c>
      <c r="F31" s="100">
        <v>5.82</v>
      </c>
      <c r="G31" s="100">
        <v>45.1</v>
      </c>
      <c r="H31" s="100">
        <v>24.07</v>
      </c>
      <c r="I31" s="100">
        <v>11.51</v>
      </c>
      <c r="J31" s="100">
        <v>3.26</v>
      </c>
      <c r="K31" s="100">
        <v>179.71</v>
      </c>
      <c r="L31" s="100">
        <v>30.94</v>
      </c>
      <c r="M31" s="100">
        <v>47.5</v>
      </c>
      <c r="N31" s="100">
        <v>30.5</v>
      </c>
      <c r="O31" s="100">
        <v>0</v>
      </c>
      <c r="P31" s="100">
        <v>0.56999999999999995</v>
      </c>
      <c r="Q31" s="100">
        <v>28.06</v>
      </c>
      <c r="R31" s="6"/>
      <c r="S31" s="6"/>
      <c r="T31" s="156"/>
      <c r="U31" s="6"/>
    </row>
    <row r="32" spans="1:21" customFormat="1">
      <c r="A32" s="163" t="s">
        <v>1511</v>
      </c>
      <c r="B32" s="100">
        <v>8.02</v>
      </c>
      <c r="C32" s="100">
        <v>23.06</v>
      </c>
      <c r="D32" s="100">
        <v>17.48</v>
      </c>
      <c r="E32" s="100">
        <v>6.47</v>
      </c>
      <c r="F32" s="100">
        <v>6.37</v>
      </c>
      <c r="G32" s="100">
        <v>44.69</v>
      </c>
      <c r="H32" s="100">
        <v>23.76</v>
      </c>
      <c r="I32" s="100">
        <v>11.27</v>
      </c>
      <c r="J32" s="100">
        <v>3.45</v>
      </c>
      <c r="K32" s="100">
        <v>174.17</v>
      </c>
      <c r="L32" s="100">
        <v>30.81</v>
      </c>
      <c r="M32" s="100">
        <v>48.03</v>
      </c>
      <c r="N32" s="100">
        <v>37.1</v>
      </c>
      <c r="O32" s="100">
        <v>0</v>
      </c>
      <c r="P32" s="100">
        <v>0.56999999999999995</v>
      </c>
      <c r="Q32" s="100">
        <v>28.34</v>
      </c>
      <c r="R32" s="6"/>
      <c r="S32" s="6"/>
      <c r="T32" s="156"/>
      <c r="U32" s="6"/>
    </row>
    <row r="33" spans="1:21" customFormat="1">
      <c r="A33" s="163" t="s">
        <v>1512</v>
      </c>
      <c r="B33" s="100">
        <v>8.01</v>
      </c>
      <c r="C33" s="100">
        <v>21.83</v>
      </c>
      <c r="D33" s="100">
        <v>16.829999999999998</v>
      </c>
      <c r="E33" s="100">
        <v>6.28</v>
      </c>
      <c r="F33" s="100">
        <v>5.91</v>
      </c>
      <c r="G33" s="100">
        <v>43.14</v>
      </c>
      <c r="H33" s="100">
        <v>22.6</v>
      </c>
      <c r="I33" s="100">
        <v>11.36</v>
      </c>
      <c r="J33" s="100">
        <v>3.04</v>
      </c>
      <c r="K33" s="100">
        <v>194.66</v>
      </c>
      <c r="L33" s="100">
        <v>30.93</v>
      </c>
      <c r="M33" s="100">
        <v>48.27</v>
      </c>
      <c r="N33" s="100">
        <v>49.6</v>
      </c>
      <c r="O33" s="100">
        <v>0</v>
      </c>
      <c r="P33" s="100">
        <v>0.56999999999999995</v>
      </c>
      <c r="Q33" s="100">
        <v>28.38</v>
      </c>
      <c r="R33" s="6"/>
      <c r="S33" s="6"/>
      <c r="T33" s="156"/>
      <c r="U33" s="6"/>
    </row>
    <row r="34" spans="1:21" customFormat="1">
      <c r="A34" s="163" t="s">
        <v>1513</v>
      </c>
      <c r="B34" s="100">
        <v>7.9</v>
      </c>
      <c r="C34" s="100">
        <v>21.66</v>
      </c>
      <c r="D34" s="100">
        <v>16.66</v>
      </c>
      <c r="E34" s="100">
        <v>6.32</v>
      </c>
      <c r="F34" s="100">
        <v>6.45</v>
      </c>
      <c r="G34" s="100">
        <v>43.14</v>
      </c>
      <c r="H34" s="100">
        <v>22.6</v>
      </c>
      <c r="I34" s="100">
        <v>11.29</v>
      </c>
      <c r="J34" s="100">
        <v>3.09</v>
      </c>
      <c r="K34" s="100">
        <v>193.81</v>
      </c>
      <c r="L34" s="100">
        <v>31.06</v>
      </c>
      <c r="M34" s="100">
        <v>47.9</v>
      </c>
      <c r="N34" s="100">
        <v>64.2</v>
      </c>
      <c r="O34" s="100">
        <v>0</v>
      </c>
      <c r="P34" s="100">
        <v>0.57999999999999996</v>
      </c>
      <c r="Q34" s="100">
        <v>28.36</v>
      </c>
      <c r="R34" s="6"/>
      <c r="S34" s="6"/>
      <c r="T34" s="156"/>
      <c r="U34" s="6"/>
    </row>
    <row r="35" spans="1:21" customFormat="1">
      <c r="A35" s="163" t="s">
        <v>1514</v>
      </c>
      <c r="B35" s="100">
        <v>7.8</v>
      </c>
      <c r="C35" s="100">
        <v>21.72</v>
      </c>
      <c r="D35" s="100">
        <v>16.61</v>
      </c>
      <c r="E35" s="100">
        <v>5.92</v>
      </c>
      <c r="F35" s="100">
        <v>5.81</v>
      </c>
      <c r="G35" s="100">
        <v>43.14</v>
      </c>
      <c r="H35" s="100">
        <v>22.6</v>
      </c>
      <c r="I35" s="100">
        <v>11.37</v>
      </c>
      <c r="J35" s="100">
        <v>3.21</v>
      </c>
      <c r="K35" s="100">
        <v>186.24</v>
      </c>
      <c r="L35" s="100">
        <v>31.21</v>
      </c>
      <c r="M35" s="100">
        <v>47.96</v>
      </c>
      <c r="N35" s="100">
        <v>83</v>
      </c>
      <c r="O35" s="100">
        <v>0</v>
      </c>
      <c r="P35" s="100">
        <v>0.56999999999999995</v>
      </c>
      <c r="Q35" s="100">
        <v>28.35</v>
      </c>
      <c r="R35" s="6"/>
      <c r="S35" s="6"/>
      <c r="T35" s="156"/>
      <c r="U35" s="6"/>
    </row>
    <row r="36" spans="1:21" customFormat="1">
      <c r="A36" s="163" t="s">
        <v>1515</v>
      </c>
      <c r="B36" s="100">
        <v>7.85</v>
      </c>
      <c r="C36" s="100">
        <v>21.79</v>
      </c>
      <c r="D36" s="100">
        <v>16.68</v>
      </c>
      <c r="E36" s="100">
        <v>5.97</v>
      </c>
      <c r="F36" s="100">
        <v>6.18</v>
      </c>
      <c r="G36" s="100">
        <v>44.29</v>
      </c>
      <c r="H36" s="100">
        <v>23.4</v>
      </c>
      <c r="I36" s="100">
        <v>11.38</v>
      </c>
      <c r="J36" s="100">
        <v>3.56</v>
      </c>
      <c r="K36" s="100">
        <v>225.78</v>
      </c>
      <c r="L36" s="100">
        <v>31.31</v>
      </c>
      <c r="M36" s="100">
        <v>47.82</v>
      </c>
      <c r="N36" s="100">
        <v>107.3</v>
      </c>
      <c r="O36" s="100">
        <v>0</v>
      </c>
      <c r="P36" s="100">
        <v>0.57999999999999996</v>
      </c>
      <c r="Q36" s="100">
        <v>28.38</v>
      </c>
      <c r="R36" s="6"/>
      <c r="S36" s="6"/>
      <c r="T36" s="156"/>
      <c r="U36" s="6"/>
    </row>
    <row r="37" spans="1:21" customFormat="1">
      <c r="A37" s="163" t="s">
        <v>1516</v>
      </c>
      <c r="B37" s="100">
        <v>7.99</v>
      </c>
      <c r="C37" s="100">
        <v>23.21</v>
      </c>
      <c r="D37" s="100">
        <v>17.54</v>
      </c>
      <c r="E37" s="100">
        <v>5.77</v>
      </c>
      <c r="F37" s="100">
        <v>4.62</v>
      </c>
      <c r="G37" s="100">
        <v>48.59</v>
      </c>
      <c r="H37" s="100">
        <v>26.38</v>
      </c>
      <c r="I37" s="100">
        <v>11.42</v>
      </c>
      <c r="J37" s="100">
        <v>4.04</v>
      </c>
      <c r="K37" s="100">
        <v>249.32</v>
      </c>
      <c r="L37" s="100">
        <v>31.35</v>
      </c>
      <c r="M37" s="100">
        <v>48.83</v>
      </c>
      <c r="N37" s="100">
        <v>118.3</v>
      </c>
      <c r="O37" s="100">
        <v>0</v>
      </c>
      <c r="P37" s="100">
        <v>0.57999999999999996</v>
      </c>
      <c r="Q37" s="100">
        <v>28.28</v>
      </c>
      <c r="R37" s="6"/>
      <c r="S37" s="6"/>
      <c r="T37" s="156"/>
      <c r="U37" s="6"/>
    </row>
    <row r="38" spans="1:21" customFormat="1">
      <c r="A38" s="163" t="s">
        <v>1517</v>
      </c>
      <c r="B38" s="100">
        <v>7.97</v>
      </c>
      <c r="C38" s="100">
        <v>29.16</v>
      </c>
      <c r="D38" s="100">
        <v>20.63</v>
      </c>
      <c r="E38" s="100">
        <v>6.25</v>
      </c>
      <c r="F38" s="100">
        <v>3.37</v>
      </c>
      <c r="G38" s="100">
        <v>48.59</v>
      </c>
      <c r="H38" s="100">
        <v>26.38</v>
      </c>
      <c r="I38" s="100">
        <v>11.55</v>
      </c>
      <c r="J38" s="100">
        <v>4.17</v>
      </c>
      <c r="K38" s="100">
        <v>245.51</v>
      </c>
      <c r="L38" s="100">
        <v>31.34</v>
      </c>
      <c r="M38" s="100">
        <v>49.89</v>
      </c>
      <c r="N38" s="100">
        <v>125.4</v>
      </c>
      <c r="O38" s="100">
        <v>0</v>
      </c>
      <c r="P38" s="100">
        <v>0.59</v>
      </c>
      <c r="Q38" s="100">
        <v>28.04</v>
      </c>
      <c r="R38" s="6"/>
      <c r="S38" s="6"/>
      <c r="T38" s="156"/>
      <c r="U38" s="6"/>
    </row>
    <row r="39" spans="1:21" customFormat="1">
      <c r="A39" s="163" t="s">
        <v>1518</v>
      </c>
      <c r="B39" s="100">
        <v>7.9</v>
      </c>
      <c r="C39" s="100">
        <v>35.03</v>
      </c>
      <c r="D39" s="100">
        <v>23.65</v>
      </c>
      <c r="E39" s="100">
        <v>5.75</v>
      </c>
      <c r="F39" s="100">
        <v>3.45</v>
      </c>
      <c r="G39" s="100">
        <v>48.59</v>
      </c>
      <c r="H39" s="100">
        <v>26.38</v>
      </c>
      <c r="I39" s="100">
        <v>11.66</v>
      </c>
      <c r="J39" s="100">
        <v>3.57</v>
      </c>
      <c r="K39" s="100">
        <v>241.47</v>
      </c>
      <c r="L39" s="100">
        <v>31.66</v>
      </c>
      <c r="M39" s="100">
        <v>49.29</v>
      </c>
      <c r="N39" s="100">
        <v>147.6</v>
      </c>
      <c r="O39" s="100">
        <v>0</v>
      </c>
      <c r="P39" s="100">
        <v>0.61</v>
      </c>
      <c r="Q39" s="100">
        <v>27.74</v>
      </c>
      <c r="R39" s="6"/>
      <c r="S39" s="6"/>
      <c r="T39" s="156"/>
      <c r="U39" s="6"/>
    </row>
    <row r="40" spans="1:21" customFormat="1">
      <c r="A40" s="163" t="s">
        <v>1519</v>
      </c>
      <c r="B40" s="100">
        <v>7.84</v>
      </c>
      <c r="C40" s="100">
        <v>34.24</v>
      </c>
      <c r="D40" s="100">
        <v>23.18</v>
      </c>
      <c r="E40" s="100">
        <v>6.2</v>
      </c>
      <c r="F40" s="100">
        <v>4.1900000000000004</v>
      </c>
      <c r="G40" s="100">
        <v>51.36</v>
      </c>
      <c r="H40" s="100">
        <v>26.05</v>
      </c>
      <c r="I40" s="100">
        <v>11.79</v>
      </c>
      <c r="J40" s="100">
        <v>2.78</v>
      </c>
      <c r="K40" s="100">
        <v>235.18</v>
      </c>
      <c r="L40" s="100">
        <v>32.43</v>
      </c>
      <c r="M40" s="100">
        <v>47.1</v>
      </c>
      <c r="N40" s="100">
        <v>199.7</v>
      </c>
      <c r="O40" s="100">
        <v>0</v>
      </c>
      <c r="P40" s="100">
        <v>0.62</v>
      </c>
      <c r="Q40" s="100">
        <v>27.75</v>
      </c>
      <c r="R40" s="6"/>
      <c r="S40" s="6"/>
      <c r="T40" s="156"/>
      <c r="U40" s="6"/>
    </row>
    <row r="41" spans="1:21" customFormat="1">
      <c r="A41" s="163" t="s">
        <v>1520</v>
      </c>
      <c r="B41" s="100">
        <v>7.83</v>
      </c>
      <c r="C41" s="100">
        <v>33.82</v>
      </c>
      <c r="D41" s="100">
        <v>22.95</v>
      </c>
      <c r="E41" s="100">
        <v>6.68</v>
      </c>
      <c r="F41" s="100">
        <v>4.22</v>
      </c>
      <c r="G41" s="100">
        <v>61.71</v>
      </c>
      <c r="H41" s="100">
        <v>24.81</v>
      </c>
      <c r="I41" s="100">
        <v>12.35</v>
      </c>
      <c r="J41" s="100">
        <v>3.36</v>
      </c>
      <c r="K41" s="100">
        <v>242.97</v>
      </c>
      <c r="L41" s="100">
        <v>33.04</v>
      </c>
      <c r="M41" s="100">
        <v>45.77</v>
      </c>
      <c r="N41" s="100">
        <v>327.3</v>
      </c>
      <c r="O41" s="100">
        <v>0</v>
      </c>
      <c r="P41" s="100">
        <v>0.65</v>
      </c>
      <c r="Q41" s="100">
        <v>27.78</v>
      </c>
      <c r="R41" s="6"/>
      <c r="S41" s="6"/>
      <c r="T41" s="156"/>
      <c r="U41" s="6"/>
    </row>
    <row r="42" spans="1:21" customFormat="1">
      <c r="A42" s="163" t="s">
        <v>1521</v>
      </c>
      <c r="B42" s="100">
        <v>8.23</v>
      </c>
      <c r="C42" s="100">
        <v>28.83</v>
      </c>
      <c r="D42" s="100">
        <v>20.67</v>
      </c>
      <c r="E42" s="100">
        <v>6.75</v>
      </c>
      <c r="F42" s="100">
        <v>8.73</v>
      </c>
      <c r="G42" s="100">
        <v>61.71</v>
      </c>
      <c r="H42" s="100">
        <v>24.81</v>
      </c>
      <c r="I42" s="100">
        <v>13</v>
      </c>
      <c r="J42" s="100">
        <v>1.48</v>
      </c>
      <c r="K42" s="100">
        <v>261.02999999999997</v>
      </c>
      <c r="L42" s="100">
        <v>34.19</v>
      </c>
      <c r="M42" s="100">
        <v>42.14</v>
      </c>
      <c r="N42" s="100">
        <v>250.2</v>
      </c>
      <c r="O42" s="100">
        <v>0</v>
      </c>
      <c r="P42" s="100">
        <v>0.68</v>
      </c>
      <c r="Q42" s="100">
        <v>27.93</v>
      </c>
      <c r="R42" s="6"/>
      <c r="S42" s="6"/>
      <c r="T42" s="156"/>
      <c r="U42" s="6"/>
    </row>
    <row r="43" spans="1:21" customFormat="1">
      <c r="A43" s="163" t="s">
        <v>1522</v>
      </c>
      <c r="B43" s="100">
        <v>7.76</v>
      </c>
      <c r="C43" s="100">
        <v>21.58</v>
      </c>
      <c r="D43" s="100">
        <v>16.5</v>
      </c>
      <c r="E43" s="100">
        <v>7.2</v>
      </c>
      <c r="F43" s="100">
        <v>16.45</v>
      </c>
      <c r="G43" s="100">
        <v>61.71</v>
      </c>
      <c r="H43" s="100">
        <v>24.81</v>
      </c>
      <c r="I43" s="100">
        <v>13.67</v>
      </c>
      <c r="J43" s="100">
        <v>1.1100000000000001</v>
      </c>
      <c r="K43" s="100">
        <v>7.22</v>
      </c>
      <c r="L43" s="100">
        <v>35.51</v>
      </c>
      <c r="M43" s="100">
        <v>35.39</v>
      </c>
      <c r="N43" s="100">
        <v>409.6</v>
      </c>
      <c r="O43" s="100">
        <v>0</v>
      </c>
      <c r="P43" s="100">
        <v>0.68</v>
      </c>
      <c r="Q43" s="100">
        <v>28.16</v>
      </c>
      <c r="R43" s="6"/>
      <c r="S43" s="6"/>
      <c r="T43" s="156"/>
      <c r="U43" s="6"/>
    </row>
    <row r="44" spans="1:21" customFormat="1">
      <c r="A44" s="163" t="s">
        <v>1523</v>
      </c>
      <c r="B44" s="100">
        <v>7.47</v>
      </c>
      <c r="C44" s="100">
        <v>24.14</v>
      </c>
      <c r="D44" s="100">
        <v>17.61</v>
      </c>
      <c r="E44" s="100">
        <v>7.26</v>
      </c>
      <c r="F44" s="100">
        <v>24.22</v>
      </c>
      <c r="G44" s="100">
        <v>62.11</v>
      </c>
      <c r="H44" s="100">
        <v>24.63</v>
      </c>
      <c r="I44" s="100">
        <v>14.48</v>
      </c>
      <c r="J44" s="100">
        <v>1.06</v>
      </c>
      <c r="K44" s="100">
        <v>317.57</v>
      </c>
      <c r="L44" s="100">
        <v>36.340000000000003</v>
      </c>
      <c r="M44" s="100">
        <v>31.64</v>
      </c>
      <c r="N44" s="100">
        <v>334.4</v>
      </c>
      <c r="O44" s="100">
        <v>0</v>
      </c>
      <c r="P44" s="100">
        <v>0.68</v>
      </c>
      <c r="Q44" s="100">
        <v>28.21</v>
      </c>
      <c r="R44" s="6"/>
      <c r="S44" s="6"/>
      <c r="T44" s="156"/>
      <c r="U44" s="6"/>
    </row>
    <row r="45" spans="1:21" customFormat="1">
      <c r="A45" s="163" t="s">
        <v>1524</v>
      </c>
      <c r="B45" s="100">
        <v>7.78</v>
      </c>
      <c r="C45" s="100">
        <v>22.63</v>
      </c>
      <c r="D45" s="100">
        <v>17.07</v>
      </c>
      <c r="E45" s="100">
        <v>6.72</v>
      </c>
      <c r="F45" s="100">
        <v>22.01</v>
      </c>
      <c r="G45" s="100">
        <v>63.6</v>
      </c>
      <c r="H45" s="100">
        <v>23.97</v>
      </c>
      <c r="I45" s="100">
        <v>14.42</v>
      </c>
      <c r="J45" s="100">
        <v>3.33</v>
      </c>
      <c r="K45" s="100">
        <v>19.88</v>
      </c>
      <c r="L45" s="100">
        <v>37</v>
      </c>
      <c r="M45" s="100">
        <v>31.29</v>
      </c>
      <c r="N45" s="100">
        <v>254.3</v>
      </c>
      <c r="O45" s="100">
        <v>0</v>
      </c>
      <c r="P45" s="100">
        <v>0.71</v>
      </c>
      <c r="Q45" s="100">
        <v>28.17</v>
      </c>
      <c r="R45" s="6"/>
      <c r="S45" s="6"/>
      <c r="T45" s="156"/>
      <c r="U45" s="6"/>
    </row>
    <row r="46" spans="1:21" customFormat="1">
      <c r="A46" s="163" t="s">
        <v>1525</v>
      </c>
      <c r="B46" s="100">
        <v>7.24</v>
      </c>
      <c r="C46" s="100">
        <v>24.16</v>
      </c>
      <c r="D46" s="100">
        <v>17.43</v>
      </c>
      <c r="E46" s="100">
        <v>6.97</v>
      </c>
      <c r="F46" s="100">
        <v>23.02</v>
      </c>
      <c r="G46" s="100">
        <v>63.6</v>
      </c>
      <c r="H46" s="100">
        <v>23.97</v>
      </c>
      <c r="I46" s="100">
        <v>13.74</v>
      </c>
      <c r="J46" s="100">
        <v>2.2000000000000002</v>
      </c>
      <c r="K46" s="100">
        <v>35.340000000000003</v>
      </c>
      <c r="L46" s="100">
        <v>37.25</v>
      </c>
      <c r="M46" s="100">
        <v>31</v>
      </c>
      <c r="N46" s="100">
        <v>343.9</v>
      </c>
      <c r="O46" s="100">
        <v>0</v>
      </c>
      <c r="P46" s="100">
        <v>0.7</v>
      </c>
      <c r="Q46" s="100">
        <v>28.06</v>
      </c>
      <c r="R46" s="6"/>
      <c r="S46" s="6"/>
      <c r="T46" s="156"/>
      <c r="U46" s="6"/>
    </row>
    <row r="47" spans="1:21" customFormat="1">
      <c r="A47" s="163" t="s">
        <v>1526</v>
      </c>
      <c r="B47" s="100">
        <v>6.05</v>
      </c>
      <c r="C47" s="100">
        <v>27.55</v>
      </c>
      <c r="D47" s="100">
        <v>18.25</v>
      </c>
      <c r="E47" s="100">
        <v>6.77</v>
      </c>
      <c r="F47" s="100">
        <v>25.92</v>
      </c>
      <c r="G47" s="100">
        <v>63.6</v>
      </c>
      <c r="H47" s="100">
        <v>23.97</v>
      </c>
      <c r="I47" s="100">
        <v>13.69</v>
      </c>
      <c r="J47" s="100">
        <v>1.58</v>
      </c>
      <c r="K47" s="100">
        <v>16.12</v>
      </c>
      <c r="L47" s="100">
        <v>37.58</v>
      </c>
      <c r="M47" s="100">
        <v>29.77</v>
      </c>
      <c r="N47" s="100">
        <v>499.3</v>
      </c>
      <c r="O47" s="100">
        <v>0</v>
      </c>
      <c r="P47" s="100">
        <v>0.7</v>
      </c>
      <c r="Q47" s="100">
        <v>27.99</v>
      </c>
      <c r="R47" s="6"/>
      <c r="S47" s="6"/>
      <c r="T47" s="156"/>
      <c r="U47" s="6"/>
    </row>
    <row r="48" spans="1:21" customFormat="1">
      <c r="A48" s="163" t="s">
        <v>1527</v>
      </c>
      <c r="B48" s="100">
        <v>4.6500000000000004</v>
      </c>
      <c r="C48" s="100">
        <v>24.58</v>
      </c>
      <c r="D48" s="100">
        <v>15.57</v>
      </c>
      <c r="E48" s="100">
        <v>6.94</v>
      </c>
      <c r="F48" s="100">
        <v>26.91</v>
      </c>
      <c r="G48" s="100">
        <v>62.67</v>
      </c>
      <c r="H48" s="100">
        <v>23.24</v>
      </c>
      <c r="I48" s="100">
        <v>13.48</v>
      </c>
      <c r="J48" s="100">
        <v>1.49</v>
      </c>
      <c r="K48" s="100">
        <v>273.32</v>
      </c>
      <c r="L48" s="100">
        <v>38.130000000000003</v>
      </c>
      <c r="M48" s="100">
        <v>28.2</v>
      </c>
      <c r="N48" s="100">
        <v>439.5</v>
      </c>
      <c r="O48" s="100">
        <v>0</v>
      </c>
      <c r="P48" s="100">
        <v>0.67</v>
      </c>
      <c r="Q48" s="100">
        <v>28.24</v>
      </c>
      <c r="R48" s="6"/>
      <c r="S48" s="6"/>
      <c r="T48" s="156"/>
      <c r="U48" s="6"/>
    </row>
    <row r="49" spans="1:21" customFormat="1">
      <c r="A49" s="163" t="s">
        <v>1528</v>
      </c>
      <c r="B49" s="100">
        <v>4.0599999999999996</v>
      </c>
      <c r="C49" s="100">
        <v>27.18</v>
      </c>
      <c r="D49" s="100">
        <v>16.47</v>
      </c>
      <c r="E49" s="100">
        <v>6.38</v>
      </c>
      <c r="F49" s="100">
        <v>23.54</v>
      </c>
      <c r="G49" s="100">
        <v>59.21</v>
      </c>
      <c r="H49" s="100">
        <v>20.51</v>
      </c>
      <c r="I49" s="100">
        <v>12.99</v>
      </c>
      <c r="J49" s="100">
        <v>2.33</v>
      </c>
      <c r="K49" s="100">
        <v>248.17</v>
      </c>
      <c r="L49" s="100">
        <v>38.43</v>
      </c>
      <c r="M49" s="100">
        <v>27.06</v>
      </c>
      <c r="N49" s="100">
        <v>664</v>
      </c>
      <c r="O49" s="100">
        <v>0</v>
      </c>
      <c r="P49" s="100">
        <v>0.68</v>
      </c>
      <c r="Q49" s="100">
        <v>28.25</v>
      </c>
      <c r="R49" s="6"/>
      <c r="S49" s="6"/>
      <c r="T49" s="156"/>
      <c r="U49" s="6"/>
    </row>
    <row r="50" spans="1:21" customFormat="1">
      <c r="A50" s="163" t="s">
        <v>1529</v>
      </c>
      <c r="B50" s="100">
        <v>3.65</v>
      </c>
      <c r="C50" s="100">
        <v>25.33</v>
      </c>
      <c r="D50" s="100">
        <v>15.16</v>
      </c>
      <c r="E50" s="100">
        <v>7.01</v>
      </c>
      <c r="F50" s="100">
        <v>28.95</v>
      </c>
      <c r="G50" s="100">
        <v>59.21</v>
      </c>
      <c r="H50" s="100">
        <v>20.51</v>
      </c>
      <c r="I50" s="100">
        <v>12.72</v>
      </c>
      <c r="J50" s="100">
        <v>0.2</v>
      </c>
      <c r="K50" s="100">
        <v>1.42</v>
      </c>
      <c r="L50" s="100">
        <v>39.21</v>
      </c>
      <c r="M50" s="100">
        <v>25.56</v>
      </c>
      <c r="N50" s="100">
        <v>692.3</v>
      </c>
      <c r="O50" s="100">
        <v>0</v>
      </c>
      <c r="P50" s="100">
        <v>0.68</v>
      </c>
      <c r="Q50" s="100">
        <v>28.27</v>
      </c>
      <c r="R50" s="6"/>
      <c r="S50" s="6"/>
      <c r="T50" s="156"/>
      <c r="U50" s="6"/>
    </row>
    <row r="51" spans="1:21" customFormat="1">
      <c r="A51" s="163" t="s">
        <v>1530</v>
      </c>
      <c r="B51" s="100">
        <v>3.59</v>
      </c>
      <c r="C51" s="100">
        <v>28.15</v>
      </c>
      <c r="D51" s="100">
        <v>16.59</v>
      </c>
      <c r="E51" s="100">
        <v>6.72</v>
      </c>
      <c r="F51" s="100">
        <v>18.670000000000002</v>
      </c>
      <c r="G51" s="100">
        <v>59.21</v>
      </c>
      <c r="H51" s="100">
        <v>20.51</v>
      </c>
      <c r="I51" s="100">
        <v>13.18</v>
      </c>
      <c r="J51" s="100">
        <v>1.29</v>
      </c>
      <c r="K51" s="100">
        <v>337.84</v>
      </c>
      <c r="L51" s="100">
        <v>39.770000000000003</v>
      </c>
      <c r="M51" s="100">
        <v>25</v>
      </c>
      <c r="N51" s="100">
        <v>719.7</v>
      </c>
      <c r="O51" s="100">
        <v>0</v>
      </c>
      <c r="P51" s="100">
        <v>0.72</v>
      </c>
      <c r="Q51" s="100">
        <v>28.18</v>
      </c>
      <c r="R51" s="6"/>
      <c r="S51" s="6"/>
      <c r="T51" s="156"/>
      <c r="U51" s="6"/>
    </row>
    <row r="52" spans="1:21" customFormat="1">
      <c r="A52" s="163" t="s">
        <v>1531</v>
      </c>
      <c r="B52" s="100">
        <v>3.06</v>
      </c>
      <c r="C52" s="100">
        <v>32.369999999999997</v>
      </c>
      <c r="D52" s="100">
        <v>18.38</v>
      </c>
      <c r="E52" s="100">
        <v>6.91</v>
      </c>
      <c r="F52" s="100">
        <v>20.54</v>
      </c>
      <c r="G52" s="100">
        <v>57.8</v>
      </c>
      <c r="H52" s="100">
        <v>20.350000000000001</v>
      </c>
      <c r="I52" s="100">
        <v>12.79</v>
      </c>
      <c r="J52" s="100">
        <v>2.64</v>
      </c>
      <c r="K52" s="100">
        <v>236.36</v>
      </c>
      <c r="L52" s="100">
        <v>40.369999999999997</v>
      </c>
      <c r="M52" s="100">
        <v>23.74</v>
      </c>
      <c r="N52" s="100">
        <v>718.8</v>
      </c>
      <c r="O52" s="100">
        <v>0</v>
      </c>
      <c r="P52" s="100">
        <v>0.67</v>
      </c>
      <c r="Q52" s="100">
        <v>28.09</v>
      </c>
      <c r="R52" s="6"/>
      <c r="S52" s="6"/>
      <c r="T52" s="156"/>
      <c r="U52" s="6"/>
    </row>
    <row r="53" spans="1:21" customFormat="1">
      <c r="A53" s="163" t="s">
        <v>1532</v>
      </c>
      <c r="B53" s="100">
        <v>2.74</v>
      </c>
      <c r="C53" s="100">
        <v>30.08</v>
      </c>
      <c r="D53" s="100">
        <v>16.920000000000002</v>
      </c>
      <c r="E53" s="100">
        <v>5.87</v>
      </c>
      <c r="F53" s="100">
        <v>16.940000000000001</v>
      </c>
      <c r="G53" s="100">
        <v>52.54</v>
      </c>
      <c r="H53" s="100">
        <v>19.760000000000002</v>
      </c>
      <c r="I53" s="100">
        <v>13.08</v>
      </c>
      <c r="J53" s="100">
        <v>3.01</v>
      </c>
      <c r="K53" s="100">
        <v>219.76</v>
      </c>
      <c r="L53" s="100">
        <v>40.409999999999997</v>
      </c>
      <c r="M53" s="100">
        <v>24.43</v>
      </c>
      <c r="N53" s="100">
        <v>740.9</v>
      </c>
      <c r="O53" s="100">
        <v>0</v>
      </c>
      <c r="P53" s="100">
        <v>0.59</v>
      </c>
      <c r="Q53" s="100">
        <v>28.25</v>
      </c>
      <c r="R53" s="6"/>
      <c r="S53" s="6"/>
      <c r="T53" s="156"/>
      <c r="U53" s="6"/>
    </row>
    <row r="54" spans="1:21" customFormat="1">
      <c r="A54" s="163" t="s">
        <v>1533</v>
      </c>
      <c r="B54" s="100">
        <v>2.7</v>
      </c>
      <c r="C54" s="100">
        <v>26.85</v>
      </c>
      <c r="D54" s="100">
        <v>15.2</v>
      </c>
      <c r="E54" s="100">
        <v>7.57</v>
      </c>
      <c r="F54" s="100">
        <v>24.77</v>
      </c>
      <c r="G54" s="100">
        <v>52.54</v>
      </c>
      <c r="H54" s="100">
        <v>19.760000000000002</v>
      </c>
      <c r="I54" s="100">
        <v>12.54</v>
      </c>
      <c r="J54" s="100">
        <v>2.2999999999999998</v>
      </c>
      <c r="K54" s="100">
        <v>259.39</v>
      </c>
      <c r="L54" s="100">
        <v>40.74</v>
      </c>
      <c r="M54" s="100">
        <v>23.71</v>
      </c>
      <c r="N54" s="100">
        <v>799.3</v>
      </c>
      <c r="O54" s="100">
        <v>0</v>
      </c>
      <c r="P54" s="100">
        <v>0.61</v>
      </c>
      <c r="Q54" s="100">
        <v>28.39</v>
      </c>
      <c r="R54" s="6"/>
      <c r="S54" s="6"/>
      <c r="T54" s="156"/>
      <c r="U54" s="6"/>
    </row>
    <row r="55" spans="1:21" customFormat="1">
      <c r="A55" s="163" t="s">
        <v>1534</v>
      </c>
      <c r="B55" s="100">
        <v>2.54</v>
      </c>
      <c r="C55" s="100">
        <v>20.07</v>
      </c>
      <c r="D55" s="100">
        <v>11.52</v>
      </c>
      <c r="E55" s="100">
        <v>7.58</v>
      </c>
      <c r="F55" s="100">
        <v>24.43</v>
      </c>
      <c r="G55" s="100">
        <v>52.54</v>
      </c>
      <c r="H55" s="100">
        <v>19.760000000000002</v>
      </c>
      <c r="I55" s="100">
        <v>12.94</v>
      </c>
      <c r="J55" s="100">
        <v>2.5499999999999998</v>
      </c>
      <c r="K55" s="100">
        <v>211.85</v>
      </c>
      <c r="L55" s="100">
        <v>41.24</v>
      </c>
      <c r="M55" s="100">
        <v>23.27</v>
      </c>
      <c r="N55" s="100">
        <v>615.5</v>
      </c>
      <c r="O55" s="100">
        <v>0</v>
      </c>
      <c r="P55" s="100">
        <v>0.59</v>
      </c>
      <c r="Q55" s="100">
        <v>28.77</v>
      </c>
      <c r="R55" s="6"/>
      <c r="S55" s="6"/>
      <c r="T55" s="156"/>
      <c r="U55" s="6"/>
    </row>
    <row r="56" spans="1:21" customFormat="1">
      <c r="A56" s="163" t="s">
        <v>1535</v>
      </c>
      <c r="B56" s="100">
        <v>2.4700000000000002</v>
      </c>
      <c r="C56" s="100">
        <v>18.489999999999998</v>
      </c>
      <c r="D56" s="100">
        <v>10.64</v>
      </c>
      <c r="E56" s="100">
        <v>7.29</v>
      </c>
      <c r="F56" s="100">
        <v>21.01</v>
      </c>
      <c r="G56" s="100">
        <v>52.55</v>
      </c>
      <c r="H56" s="100">
        <v>19.989999999999998</v>
      </c>
      <c r="I56" s="100">
        <v>12.82</v>
      </c>
      <c r="J56" s="100">
        <v>2.79</v>
      </c>
      <c r="K56" s="100">
        <v>263.20999999999998</v>
      </c>
      <c r="L56" s="100">
        <v>41.1</v>
      </c>
      <c r="M56" s="100">
        <v>22.96</v>
      </c>
      <c r="N56" s="100">
        <v>433</v>
      </c>
      <c r="O56" s="100">
        <v>0</v>
      </c>
      <c r="P56" s="100">
        <v>0.57999999999999996</v>
      </c>
      <c r="Q56" s="100">
        <v>28.87</v>
      </c>
      <c r="R56" s="6"/>
      <c r="S56" s="6"/>
      <c r="T56" s="156"/>
      <c r="U56" s="6"/>
    </row>
    <row r="57" spans="1:21" customFormat="1">
      <c r="A57" s="163" t="s">
        <v>1536</v>
      </c>
      <c r="B57" s="100">
        <v>2.4300000000000002</v>
      </c>
      <c r="C57" s="100">
        <v>24.59</v>
      </c>
      <c r="D57" s="100">
        <v>13.8</v>
      </c>
      <c r="E57" s="100">
        <v>7.35</v>
      </c>
      <c r="F57" s="100">
        <v>20.29</v>
      </c>
      <c r="G57" s="100">
        <v>52.6</v>
      </c>
      <c r="H57" s="100">
        <v>20.88</v>
      </c>
      <c r="I57" s="100">
        <v>12.73</v>
      </c>
      <c r="J57" s="100">
        <v>3.38</v>
      </c>
      <c r="K57" s="100">
        <v>252.92</v>
      </c>
      <c r="L57" s="100">
        <v>41.01</v>
      </c>
      <c r="M57" s="100">
        <v>22.64</v>
      </c>
      <c r="N57" s="100">
        <v>456.7</v>
      </c>
      <c r="O57" s="100">
        <v>0</v>
      </c>
      <c r="P57" s="100">
        <v>0.59</v>
      </c>
      <c r="Q57" s="100">
        <v>28.88</v>
      </c>
      <c r="R57" s="6"/>
      <c r="S57" s="6"/>
      <c r="T57" s="156"/>
      <c r="U57" s="6"/>
    </row>
    <row r="58" spans="1:21" customFormat="1">
      <c r="A58" s="163" t="s">
        <v>1537</v>
      </c>
      <c r="B58" s="100">
        <v>3.45</v>
      </c>
      <c r="C58" s="100">
        <v>30.05</v>
      </c>
      <c r="D58" s="100">
        <v>17.47</v>
      </c>
      <c r="E58" s="100">
        <v>7.07</v>
      </c>
      <c r="F58" s="100">
        <v>21.36</v>
      </c>
      <c r="G58" s="100">
        <v>52.6</v>
      </c>
      <c r="H58" s="100">
        <v>20.88</v>
      </c>
      <c r="I58" s="100">
        <v>12.53</v>
      </c>
      <c r="J58" s="100">
        <v>2.77</v>
      </c>
      <c r="K58" s="100">
        <v>256.95</v>
      </c>
      <c r="L58" s="100">
        <v>43.85</v>
      </c>
      <c r="M58" s="100">
        <v>21.74</v>
      </c>
      <c r="N58" s="100">
        <v>678.3</v>
      </c>
      <c r="O58" s="100">
        <v>0</v>
      </c>
      <c r="P58" s="100">
        <v>0.56000000000000005</v>
      </c>
      <c r="Q58" s="100">
        <v>28.28</v>
      </c>
      <c r="R58" s="6"/>
      <c r="S58" s="6"/>
      <c r="T58" s="156"/>
      <c r="U58" s="6"/>
    </row>
    <row r="59" spans="1:21" customFormat="1">
      <c r="A59" s="163" t="s">
        <v>1538</v>
      </c>
      <c r="B59" s="100">
        <v>2.91</v>
      </c>
      <c r="C59" s="100">
        <v>27.88</v>
      </c>
      <c r="D59" s="100">
        <v>15.91</v>
      </c>
      <c r="E59" s="100">
        <v>7.22</v>
      </c>
      <c r="F59" s="100">
        <v>26.72</v>
      </c>
      <c r="G59" s="100">
        <v>52.6</v>
      </c>
      <c r="H59" s="100">
        <v>20.88</v>
      </c>
      <c r="I59" s="100">
        <v>12.69</v>
      </c>
      <c r="J59" s="100">
        <v>1.43</v>
      </c>
      <c r="K59" s="100">
        <v>279.79000000000002</v>
      </c>
      <c r="L59" s="100">
        <v>45.2</v>
      </c>
      <c r="M59" s="100">
        <v>20.07</v>
      </c>
      <c r="N59" s="100">
        <v>827.2</v>
      </c>
      <c r="O59" s="100">
        <v>0</v>
      </c>
      <c r="P59" s="100">
        <v>0.56000000000000005</v>
      </c>
      <c r="Q59" s="100">
        <v>28.3</v>
      </c>
      <c r="R59" s="6"/>
      <c r="S59" s="6"/>
      <c r="T59" s="156"/>
      <c r="U59" s="6"/>
    </row>
    <row r="60" spans="1:21" customFormat="1">
      <c r="A60" s="163" t="s">
        <v>1539</v>
      </c>
      <c r="B60" s="100">
        <v>2.9</v>
      </c>
      <c r="C60" s="100">
        <v>27.78</v>
      </c>
      <c r="D60" s="100">
        <v>15.84</v>
      </c>
      <c r="E60" s="100">
        <v>7.13</v>
      </c>
      <c r="F60" s="100">
        <v>21.1</v>
      </c>
      <c r="G60" s="100">
        <v>52.46</v>
      </c>
      <c r="H60" s="100">
        <v>20.36</v>
      </c>
      <c r="I60" s="100">
        <v>12.52</v>
      </c>
      <c r="J60" s="100">
        <v>2.2200000000000002</v>
      </c>
      <c r="K60" s="100">
        <v>257.23</v>
      </c>
      <c r="L60" s="100">
        <v>44.84</v>
      </c>
      <c r="M60" s="100">
        <v>19.68</v>
      </c>
      <c r="N60" s="100">
        <v>681.1</v>
      </c>
      <c r="O60" s="100">
        <v>0</v>
      </c>
      <c r="P60" s="100">
        <v>0.56000000000000005</v>
      </c>
      <c r="Q60" s="100">
        <v>28.31</v>
      </c>
      <c r="R60" s="6"/>
      <c r="S60" s="6"/>
      <c r="T60" s="156"/>
      <c r="U60" s="6"/>
    </row>
    <row r="61" spans="1:21" customFormat="1">
      <c r="A61" s="163" t="s">
        <v>1540</v>
      </c>
      <c r="B61" s="100">
        <v>3.03</v>
      </c>
      <c r="C61" s="100">
        <v>27.66</v>
      </c>
      <c r="D61" s="100">
        <v>15.88</v>
      </c>
      <c r="E61" s="100">
        <v>7.36</v>
      </c>
      <c r="F61" s="100">
        <v>32.340000000000003</v>
      </c>
      <c r="G61" s="100">
        <v>51.92</v>
      </c>
      <c r="H61" s="100">
        <v>18.440000000000001</v>
      </c>
      <c r="I61" s="100">
        <v>12.35</v>
      </c>
      <c r="J61" s="100">
        <v>2.0699999999999998</v>
      </c>
      <c r="K61" s="100">
        <v>308.13</v>
      </c>
      <c r="L61" s="100">
        <v>42.18</v>
      </c>
      <c r="M61" s="100">
        <v>19.89</v>
      </c>
      <c r="N61" s="100">
        <v>567.5</v>
      </c>
      <c r="O61" s="100">
        <v>0</v>
      </c>
      <c r="P61" s="100">
        <v>0.53</v>
      </c>
      <c r="Q61" s="100">
        <v>28.32</v>
      </c>
      <c r="R61" s="6"/>
      <c r="S61" s="6"/>
      <c r="T61" s="156"/>
      <c r="U61" s="6"/>
    </row>
    <row r="62" spans="1:21" customFormat="1">
      <c r="A62" s="163" t="s">
        <v>1541</v>
      </c>
      <c r="B62" s="100">
        <v>2.8</v>
      </c>
      <c r="C62" s="100">
        <v>28.85</v>
      </c>
      <c r="D62" s="100">
        <v>16.32</v>
      </c>
      <c r="E62" s="100">
        <v>7.02</v>
      </c>
      <c r="F62" s="100">
        <v>18.329999999999998</v>
      </c>
      <c r="G62" s="100">
        <v>51.92</v>
      </c>
      <c r="H62" s="100">
        <v>18.440000000000001</v>
      </c>
      <c r="I62" s="100">
        <v>12.24</v>
      </c>
      <c r="J62" s="100">
        <v>3.53</v>
      </c>
      <c r="K62" s="100">
        <v>247.87</v>
      </c>
      <c r="L62" s="100">
        <v>41.03</v>
      </c>
      <c r="M62" s="100">
        <v>23.56</v>
      </c>
      <c r="N62" s="100">
        <v>395.9</v>
      </c>
      <c r="O62" s="100">
        <v>0</v>
      </c>
      <c r="P62" s="100">
        <v>0.56999999999999995</v>
      </c>
      <c r="Q62" s="100">
        <v>28.29</v>
      </c>
      <c r="R62" s="6"/>
      <c r="S62" s="6"/>
      <c r="T62" s="156"/>
      <c r="U62" s="6"/>
    </row>
    <row r="63" spans="1:21" customFormat="1">
      <c r="A63" s="163" t="s">
        <v>1542</v>
      </c>
      <c r="B63" s="100">
        <v>2.74</v>
      </c>
      <c r="C63" s="100">
        <v>25.15</v>
      </c>
      <c r="D63" s="100">
        <v>14.34</v>
      </c>
      <c r="E63" s="100">
        <v>7.01</v>
      </c>
      <c r="F63" s="100">
        <v>28.94</v>
      </c>
      <c r="G63" s="100">
        <v>51.92</v>
      </c>
      <c r="H63" s="100">
        <v>18.440000000000001</v>
      </c>
      <c r="I63" s="100">
        <v>11.74</v>
      </c>
      <c r="J63" s="100">
        <v>3.44</v>
      </c>
      <c r="K63" s="100">
        <v>208.71</v>
      </c>
      <c r="L63" s="100">
        <v>41.61</v>
      </c>
      <c r="M63" s="100">
        <v>22.45</v>
      </c>
      <c r="N63" s="100">
        <v>576.29999999999995</v>
      </c>
      <c r="O63" s="100">
        <v>0</v>
      </c>
      <c r="P63" s="100">
        <v>0.54</v>
      </c>
      <c r="Q63" s="100">
        <v>28.41</v>
      </c>
      <c r="R63" s="6"/>
      <c r="S63" s="6"/>
      <c r="T63" s="156"/>
      <c r="U63" s="6"/>
    </row>
    <row r="64" spans="1:21" customFormat="1">
      <c r="A64" s="163" t="s">
        <v>1543</v>
      </c>
      <c r="B64" s="100">
        <v>2.5299999999999998</v>
      </c>
      <c r="C64" s="100">
        <v>25.03</v>
      </c>
      <c r="D64" s="100">
        <v>14.11</v>
      </c>
      <c r="E64" s="100">
        <v>6.91</v>
      </c>
      <c r="F64" s="100">
        <v>15.96</v>
      </c>
      <c r="G64" s="100">
        <v>51.41</v>
      </c>
      <c r="H64" s="100">
        <v>17.78</v>
      </c>
      <c r="I64" s="100">
        <v>12.29</v>
      </c>
      <c r="J64" s="100">
        <v>3.9</v>
      </c>
      <c r="K64" s="100">
        <v>234.02</v>
      </c>
      <c r="L64" s="100">
        <v>41.31</v>
      </c>
      <c r="M64" s="100">
        <v>22.93</v>
      </c>
      <c r="N64" s="100">
        <v>363.3</v>
      </c>
      <c r="O64" s="100">
        <v>0</v>
      </c>
      <c r="P64" s="100">
        <v>0.56000000000000005</v>
      </c>
      <c r="Q64" s="100">
        <v>28.49</v>
      </c>
      <c r="R64" s="6"/>
      <c r="S64" s="6"/>
      <c r="T64" s="156"/>
      <c r="U64" s="6"/>
    </row>
    <row r="65" spans="1:21" customFormat="1">
      <c r="A65" s="163" t="s">
        <v>1544</v>
      </c>
      <c r="B65" s="100">
        <v>3.36</v>
      </c>
      <c r="C65" s="100">
        <v>24.56</v>
      </c>
      <c r="D65" s="100">
        <v>14.53</v>
      </c>
      <c r="E65" s="100">
        <v>7.69</v>
      </c>
      <c r="F65" s="100">
        <v>21.77</v>
      </c>
      <c r="G65" s="100">
        <v>49.5</v>
      </c>
      <c r="H65" s="100">
        <v>15.32</v>
      </c>
      <c r="I65" s="100">
        <v>12</v>
      </c>
      <c r="J65" s="100">
        <v>3.75</v>
      </c>
      <c r="K65" s="100">
        <v>247.68</v>
      </c>
      <c r="L65" s="100">
        <v>40.78</v>
      </c>
      <c r="M65" s="100">
        <v>23.3</v>
      </c>
      <c r="N65" s="100">
        <v>427.6</v>
      </c>
      <c r="O65" s="100">
        <v>0</v>
      </c>
      <c r="P65" s="100">
        <v>0.55000000000000004</v>
      </c>
      <c r="Q65" s="100">
        <v>28.35</v>
      </c>
      <c r="R65" s="6"/>
      <c r="S65" s="6"/>
      <c r="T65" s="156"/>
      <c r="U65" s="6"/>
    </row>
    <row r="66" spans="1:21" customFormat="1">
      <c r="A66" s="163" t="s">
        <v>1545</v>
      </c>
      <c r="B66" s="100">
        <v>2.9</v>
      </c>
      <c r="C66" s="100">
        <v>20.32</v>
      </c>
      <c r="D66" s="100">
        <v>11.94</v>
      </c>
      <c r="E66" s="100">
        <v>8.16</v>
      </c>
      <c r="F66" s="100">
        <v>19.12</v>
      </c>
      <c r="G66" s="100">
        <v>49.5</v>
      </c>
      <c r="H66" s="100">
        <v>15.32</v>
      </c>
      <c r="I66" s="100">
        <v>11.99</v>
      </c>
      <c r="J66" s="100">
        <v>4.2300000000000004</v>
      </c>
      <c r="K66" s="100">
        <v>234.38</v>
      </c>
      <c r="L66" s="100">
        <v>40.86</v>
      </c>
      <c r="M66" s="100">
        <v>23.01</v>
      </c>
      <c r="N66" s="100">
        <v>479.4</v>
      </c>
      <c r="O66" s="100">
        <v>0</v>
      </c>
      <c r="P66" s="100">
        <v>0.54</v>
      </c>
      <c r="Q66" s="100">
        <v>28.71</v>
      </c>
      <c r="R66" s="6"/>
      <c r="S66" s="6"/>
      <c r="T66" s="156"/>
      <c r="U66" s="6"/>
    </row>
    <row r="67" spans="1:21" customFormat="1">
      <c r="A67" s="163" t="s">
        <v>1546</v>
      </c>
      <c r="B67" s="100">
        <v>2.71</v>
      </c>
      <c r="C67" s="100">
        <v>18.559999999999999</v>
      </c>
      <c r="D67" s="100">
        <v>10.88</v>
      </c>
      <c r="E67" s="100">
        <v>8.02</v>
      </c>
      <c r="F67" s="100">
        <v>23.31</v>
      </c>
      <c r="G67" s="100">
        <v>49.5</v>
      </c>
      <c r="H67" s="100">
        <v>15.32</v>
      </c>
      <c r="I67" s="100">
        <v>11.96</v>
      </c>
      <c r="J67" s="100">
        <v>3.87</v>
      </c>
      <c r="K67" s="100">
        <v>237.32</v>
      </c>
      <c r="L67" s="100">
        <v>41.48</v>
      </c>
      <c r="M67" s="100">
        <v>21.86</v>
      </c>
      <c r="N67" s="100">
        <v>507.4</v>
      </c>
      <c r="O67" s="100">
        <v>0</v>
      </c>
      <c r="P67" s="100">
        <v>0.54</v>
      </c>
      <c r="Q67" s="100">
        <v>28.84</v>
      </c>
      <c r="R67" s="6"/>
      <c r="S67" s="6"/>
      <c r="T67" s="156"/>
      <c r="U67" s="6"/>
    </row>
    <row r="68" spans="1:21" customFormat="1">
      <c r="A68" s="163" t="s">
        <v>1547</v>
      </c>
      <c r="B68" s="100">
        <v>2.59</v>
      </c>
      <c r="C68" s="100">
        <v>18.05</v>
      </c>
      <c r="D68" s="100">
        <v>10.51</v>
      </c>
      <c r="E68" s="100">
        <v>7.89</v>
      </c>
      <c r="F68" s="100">
        <v>23.64</v>
      </c>
      <c r="G68" s="100">
        <v>49.48</v>
      </c>
      <c r="H68" s="100">
        <v>15.35</v>
      </c>
      <c r="I68" s="100">
        <v>11.72</v>
      </c>
      <c r="J68" s="100">
        <v>3.72</v>
      </c>
      <c r="K68" s="100">
        <v>243.82</v>
      </c>
      <c r="L68" s="100">
        <v>41.14</v>
      </c>
      <c r="M68" s="100">
        <v>21.87</v>
      </c>
      <c r="N68" s="100">
        <v>408.8</v>
      </c>
      <c r="O68" s="100">
        <v>0</v>
      </c>
      <c r="P68" s="100">
        <v>0.53</v>
      </c>
      <c r="Q68" s="100">
        <v>28.87</v>
      </c>
      <c r="R68" s="6"/>
      <c r="S68" s="6"/>
      <c r="T68" s="156"/>
      <c r="U68" s="6"/>
    </row>
    <row r="69" spans="1:21" customFormat="1">
      <c r="A69" s="163" t="s">
        <v>1548</v>
      </c>
      <c r="B69" s="100">
        <v>2.59</v>
      </c>
      <c r="C69" s="100">
        <v>18.23</v>
      </c>
      <c r="D69" s="100">
        <v>10.61</v>
      </c>
      <c r="E69" s="100">
        <v>6.89</v>
      </c>
      <c r="F69" s="100">
        <v>12.52</v>
      </c>
      <c r="G69" s="100">
        <v>49.41</v>
      </c>
      <c r="H69" s="100">
        <v>15.5</v>
      </c>
      <c r="I69" s="100">
        <v>11.77</v>
      </c>
      <c r="J69" s="100">
        <v>4.8</v>
      </c>
      <c r="K69" s="100">
        <v>237.97</v>
      </c>
      <c r="L69" s="100">
        <v>41.11</v>
      </c>
      <c r="M69" s="100">
        <v>22.8</v>
      </c>
      <c r="N69" s="100">
        <v>478.4</v>
      </c>
      <c r="O69" s="100">
        <v>0</v>
      </c>
      <c r="P69" s="100">
        <v>0.53</v>
      </c>
      <c r="Q69" s="100">
        <v>28.93</v>
      </c>
      <c r="R69" s="6"/>
      <c r="S69" s="6"/>
      <c r="T69" s="156"/>
      <c r="U69" s="6"/>
    </row>
    <row r="70" spans="1:21" customFormat="1">
      <c r="A70" s="163" t="s">
        <v>1549</v>
      </c>
      <c r="B70" s="100">
        <v>2.5099999999999998</v>
      </c>
      <c r="C70" s="100">
        <v>23.55</v>
      </c>
      <c r="D70" s="100">
        <v>13.32</v>
      </c>
      <c r="E70" s="100">
        <v>6.67</v>
      </c>
      <c r="F70" s="100">
        <v>17.690000000000001</v>
      </c>
      <c r="G70" s="100">
        <v>49.41</v>
      </c>
      <c r="H70" s="100">
        <v>15.5</v>
      </c>
      <c r="I70" s="100">
        <v>11.73</v>
      </c>
      <c r="J70" s="100">
        <v>3.09</v>
      </c>
      <c r="K70" s="100">
        <v>250.54</v>
      </c>
      <c r="L70" s="100">
        <v>41.18</v>
      </c>
      <c r="M70" s="100">
        <v>22.51</v>
      </c>
      <c r="N70" s="100">
        <v>493.1</v>
      </c>
      <c r="O70" s="100">
        <v>0</v>
      </c>
      <c r="P70" s="100">
        <v>0.52</v>
      </c>
      <c r="Q70" s="100">
        <v>28.76</v>
      </c>
      <c r="R70" s="6"/>
      <c r="S70" s="6"/>
      <c r="T70" s="156"/>
      <c r="U70" s="6"/>
    </row>
    <row r="71" spans="1:21" customFormat="1">
      <c r="A71" s="163" t="s">
        <v>1550</v>
      </c>
      <c r="B71" s="100">
        <v>2.54</v>
      </c>
      <c r="C71" s="100">
        <v>29.34</v>
      </c>
      <c r="D71" s="100">
        <v>16.37</v>
      </c>
      <c r="E71" s="100">
        <v>6.64</v>
      </c>
      <c r="F71" s="100">
        <v>17.62</v>
      </c>
      <c r="G71" s="100">
        <v>49.41</v>
      </c>
      <c r="H71" s="100">
        <v>15.5</v>
      </c>
      <c r="I71" s="100">
        <v>11.8</v>
      </c>
      <c r="J71" s="100">
        <v>3.7</v>
      </c>
      <c r="K71" s="100">
        <v>247.9</v>
      </c>
      <c r="L71" s="100">
        <v>40.86</v>
      </c>
      <c r="M71" s="100">
        <v>23.58</v>
      </c>
      <c r="N71" s="100">
        <v>419</v>
      </c>
      <c r="O71" s="100">
        <v>0</v>
      </c>
      <c r="P71" s="100">
        <v>0.51</v>
      </c>
      <c r="Q71" s="100">
        <v>28.4</v>
      </c>
      <c r="R71" s="6"/>
      <c r="S71" s="6"/>
      <c r="T71" s="156"/>
      <c r="U71" s="6"/>
    </row>
    <row r="72" spans="1:21" customFormat="1">
      <c r="A72" s="163" t="s">
        <v>1551</v>
      </c>
      <c r="B72" s="100">
        <v>2.52</v>
      </c>
      <c r="C72" s="100">
        <v>27.97</v>
      </c>
      <c r="D72" s="100">
        <v>15.63</v>
      </c>
      <c r="E72" s="100">
        <v>6.79</v>
      </c>
      <c r="F72" s="100">
        <v>17.66</v>
      </c>
      <c r="G72" s="100">
        <v>50.05</v>
      </c>
      <c r="H72" s="100">
        <v>15.89</v>
      </c>
      <c r="I72" s="100">
        <v>11.63</v>
      </c>
      <c r="J72" s="100">
        <v>4.17</v>
      </c>
      <c r="K72" s="100">
        <v>244.03</v>
      </c>
      <c r="L72" s="100">
        <v>40.090000000000003</v>
      </c>
      <c r="M72" s="100">
        <v>24.39</v>
      </c>
      <c r="N72" s="100">
        <v>291.39999999999998</v>
      </c>
      <c r="O72" s="100">
        <v>0</v>
      </c>
      <c r="P72" s="100">
        <v>0.52</v>
      </c>
      <c r="Q72" s="100">
        <v>28.41</v>
      </c>
      <c r="R72" s="6"/>
      <c r="S72" s="6"/>
      <c r="T72" s="156"/>
      <c r="U72" s="6"/>
    </row>
    <row r="73" spans="1:21" customFormat="1">
      <c r="A73" s="163" t="s">
        <v>1552</v>
      </c>
      <c r="B73" s="100">
        <v>2.5099999999999998</v>
      </c>
      <c r="C73" s="100">
        <v>27.79</v>
      </c>
      <c r="D73" s="100">
        <v>15.54</v>
      </c>
      <c r="E73" s="100">
        <v>6.55</v>
      </c>
      <c r="F73" s="100">
        <v>14.05</v>
      </c>
      <c r="G73" s="100">
        <v>52.44</v>
      </c>
      <c r="H73" s="100">
        <v>17.37</v>
      </c>
      <c r="I73" s="100">
        <v>11.33</v>
      </c>
      <c r="J73" s="100">
        <v>4.4000000000000004</v>
      </c>
      <c r="K73" s="100">
        <v>248.03</v>
      </c>
      <c r="L73" s="100">
        <v>40.1</v>
      </c>
      <c r="M73" s="100">
        <v>24.36</v>
      </c>
      <c r="N73" s="100">
        <v>262</v>
      </c>
      <c r="O73" s="100">
        <v>0</v>
      </c>
      <c r="P73" s="100">
        <v>0.51</v>
      </c>
      <c r="Q73" s="100">
        <v>28.41</v>
      </c>
      <c r="R73" s="6"/>
      <c r="S73" s="6"/>
      <c r="T73" s="156"/>
      <c r="U73" s="6"/>
    </row>
    <row r="74" spans="1:21" customFormat="1">
      <c r="A74" s="163" t="s">
        <v>1553</v>
      </c>
      <c r="B74" s="100">
        <v>2.4</v>
      </c>
      <c r="C74" s="100">
        <v>24.41</v>
      </c>
      <c r="D74" s="100">
        <v>13.68</v>
      </c>
      <c r="E74" s="100">
        <v>6.19</v>
      </c>
      <c r="F74" s="100">
        <v>19.27</v>
      </c>
      <c r="G74" s="100">
        <v>52.44</v>
      </c>
      <c r="H74" s="100">
        <v>17.37</v>
      </c>
      <c r="I74" s="100">
        <v>11.17</v>
      </c>
      <c r="J74" s="100">
        <v>3.84</v>
      </c>
      <c r="K74" s="100">
        <v>250.67</v>
      </c>
      <c r="L74" s="100">
        <v>40.07</v>
      </c>
      <c r="M74" s="100">
        <v>24.14</v>
      </c>
      <c r="N74" s="100">
        <v>211.4</v>
      </c>
      <c r="O74" s="100">
        <v>0</v>
      </c>
      <c r="P74" s="100">
        <v>0.5</v>
      </c>
      <c r="Q74" s="100">
        <v>28.57</v>
      </c>
      <c r="R74" s="6"/>
      <c r="S74" s="6"/>
      <c r="T74" s="156"/>
      <c r="U74" s="6"/>
    </row>
    <row r="75" spans="1:21" customFormat="1">
      <c r="A75" s="163" t="s">
        <v>1554</v>
      </c>
      <c r="B75" s="100">
        <v>2.62</v>
      </c>
      <c r="C75" s="100">
        <v>24.45</v>
      </c>
      <c r="D75" s="100">
        <v>13.88</v>
      </c>
      <c r="E75" s="100">
        <v>6.3</v>
      </c>
      <c r="F75" s="100">
        <v>15.7</v>
      </c>
      <c r="G75" s="100">
        <v>52.44</v>
      </c>
      <c r="H75" s="100">
        <v>17.37</v>
      </c>
      <c r="I75" s="100">
        <v>11.06</v>
      </c>
      <c r="J75" s="100">
        <v>4.41</v>
      </c>
      <c r="K75" s="100">
        <v>241.97</v>
      </c>
      <c r="L75" s="100">
        <v>39.75</v>
      </c>
      <c r="M75" s="100">
        <v>24.65</v>
      </c>
      <c r="N75" s="100">
        <v>145.6</v>
      </c>
      <c r="O75" s="100">
        <v>0</v>
      </c>
      <c r="P75" s="100">
        <v>0.51</v>
      </c>
      <c r="Q75" s="100">
        <v>28.53</v>
      </c>
      <c r="R75" s="6"/>
      <c r="S75" s="6"/>
      <c r="T75" s="156"/>
      <c r="U75" s="6"/>
    </row>
    <row r="76" spans="1:21" customFormat="1">
      <c r="A76" s="163" t="s">
        <v>1555</v>
      </c>
      <c r="B76" s="100">
        <v>2.85</v>
      </c>
      <c r="C76" s="100">
        <v>22.3</v>
      </c>
      <c r="D76" s="100">
        <v>12.94</v>
      </c>
      <c r="E76" s="100">
        <v>6.78</v>
      </c>
      <c r="F76" s="100">
        <v>30.92</v>
      </c>
      <c r="G76" s="100">
        <v>51.47</v>
      </c>
      <c r="H76" s="100">
        <v>18.07</v>
      </c>
      <c r="I76" s="100">
        <v>10.86</v>
      </c>
      <c r="J76" s="100">
        <v>3.71</v>
      </c>
      <c r="K76" s="100">
        <v>239.51</v>
      </c>
      <c r="L76" s="100">
        <v>40.03</v>
      </c>
      <c r="M76" s="100">
        <v>24.4</v>
      </c>
      <c r="N76" s="100">
        <v>197.3</v>
      </c>
      <c r="O76" s="100">
        <v>0</v>
      </c>
      <c r="P76" s="100">
        <v>0.5</v>
      </c>
      <c r="Q76" s="100">
        <v>28.57</v>
      </c>
      <c r="R76" s="6"/>
      <c r="S76" s="6"/>
      <c r="T76" s="156"/>
      <c r="U76" s="6"/>
    </row>
    <row r="77" spans="1:21" customFormat="1">
      <c r="A77" s="163" t="s">
        <v>1556</v>
      </c>
      <c r="B77" s="100">
        <v>2.89</v>
      </c>
      <c r="C77" s="100">
        <v>21.65</v>
      </c>
      <c r="D77" s="100">
        <v>12.64</v>
      </c>
      <c r="E77" s="100">
        <v>6.01</v>
      </c>
      <c r="F77" s="100">
        <v>29.98</v>
      </c>
      <c r="G77" s="100">
        <v>47.87</v>
      </c>
      <c r="H77" s="100">
        <v>20.69</v>
      </c>
      <c r="I77" s="100">
        <v>10.88</v>
      </c>
      <c r="J77" s="100">
        <v>4.0199999999999996</v>
      </c>
      <c r="K77" s="100">
        <v>240.71</v>
      </c>
      <c r="L77" s="100">
        <v>40.76</v>
      </c>
      <c r="M77" s="100">
        <v>24.17</v>
      </c>
      <c r="N77" s="100">
        <v>140.30000000000001</v>
      </c>
      <c r="O77" s="100">
        <v>0</v>
      </c>
      <c r="P77" s="100">
        <v>0.47</v>
      </c>
      <c r="Q77" s="100">
        <v>28.59</v>
      </c>
      <c r="R77" s="6"/>
      <c r="S77" s="6"/>
      <c r="T77" s="156"/>
      <c r="U77" s="6"/>
    </row>
    <row r="78" spans="1:21" customFormat="1">
      <c r="A78" s="163" t="s">
        <v>1557</v>
      </c>
      <c r="B78" s="100">
        <v>2.89</v>
      </c>
      <c r="C78" s="100">
        <v>28.59</v>
      </c>
      <c r="D78" s="100">
        <v>16.27</v>
      </c>
      <c r="E78" s="100">
        <v>7.48</v>
      </c>
      <c r="F78" s="100">
        <v>11.97</v>
      </c>
      <c r="G78" s="100">
        <v>47.87</v>
      </c>
      <c r="H78" s="100">
        <v>20.69</v>
      </c>
      <c r="I78" s="100">
        <v>10.45</v>
      </c>
      <c r="J78" s="100">
        <v>4.16</v>
      </c>
      <c r="K78" s="100">
        <v>243</v>
      </c>
      <c r="L78" s="100">
        <v>40.72</v>
      </c>
      <c r="M78" s="100">
        <v>24.32</v>
      </c>
      <c r="N78" s="100">
        <v>99.6</v>
      </c>
      <c r="O78" s="100">
        <v>0</v>
      </c>
      <c r="P78" s="100">
        <v>0.52</v>
      </c>
      <c r="Q78" s="100">
        <v>28.29</v>
      </c>
      <c r="R78" s="6"/>
      <c r="S78" s="6"/>
      <c r="T78" s="156"/>
      <c r="U78" s="6"/>
    </row>
    <row r="79" spans="1:21" customFormat="1">
      <c r="A79" s="163" t="s">
        <v>1558</v>
      </c>
      <c r="B79" s="100">
        <v>2.84</v>
      </c>
      <c r="C79" s="100">
        <v>28.46</v>
      </c>
      <c r="D79" s="100">
        <v>16.149999999999999</v>
      </c>
      <c r="E79" s="100">
        <v>8.16</v>
      </c>
      <c r="F79" s="100">
        <v>15.83</v>
      </c>
      <c r="G79" s="100">
        <v>47.87</v>
      </c>
      <c r="H79" s="100">
        <v>20.69</v>
      </c>
      <c r="I79" s="100">
        <v>10.49</v>
      </c>
      <c r="J79" s="100">
        <v>3.93</v>
      </c>
      <c r="K79" s="100">
        <v>244.64</v>
      </c>
      <c r="L79" s="100">
        <v>40.35</v>
      </c>
      <c r="M79" s="100">
        <v>24.71</v>
      </c>
      <c r="N79" s="100">
        <v>83.2</v>
      </c>
      <c r="O79" s="100">
        <v>0</v>
      </c>
      <c r="P79" s="100">
        <v>0.51</v>
      </c>
      <c r="Q79" s="100">
        <v>28.27</v>
      </c>
      <c r="R79" s="6"/>
      <c r="S79" s="6"/>
      <c r="T79" s="156"/>
      <c r="U79" s="6"/>
    </row>
    <row r="80" spans="1:21" customFormat="1">
      <c r="A80" s="163" t="s">
        <v>1559</v>
      </c>
      <c r="B80" s="100">
        <v>2.76</v>
      </c>
      <c r="C80" s="100">
        <v>24.28</v>
      </c>
      <c r="D80" s="100">
        <v>13.91</v>
      </c>
      <c r="E80" s="100">
        <v>8.7200000000000006</v>
      </c>
      <c r="F80" s="100">
        <v>35.840000000000003</v>
      </c>
      <c r="G80" s="100">
        <v>48.26</v>
      </c>
      <c r="H80" s="100">
        <v>19.920000000000002</v>
      </c>
      <c r="I80" s="100">
        <v>11.01</v>
      </c>
      <c r="J80" s="100">
        <v>3.05</v>
      </c>
      <c r="K80" s="100">
        <v>253.11</v>
      </c>
      <c r="L80" s="100">
        <v>40.42</v>
      </c>
      <c r="M80" s="100">
        <v>24.86</v>
      </c>
      <c r="N80" s="100">
        <v>62.4</v>
      </c>
      <c r="O80" s="100">
        <v>0</v>
      </c>
      <c r="P80" s="100">
        <v>0.5</v>
      </c>
      <c r="Q80" s="100">
        <v>28.44</v>
      </c>
      <c r="R80" s="6"/>
      <c r="S80" s="6"/>
      <c r="T80" s="156"/>
      <c r="U80" s="6"/>
    </row>
    <row r="81" spans="1:21" customFormat="1">
      <c r="A81" s="163" t="s">
        <v>1560</v>
      </c>
      <c r="B81" s="100">
        <v>2.84</v>
      </c>
      <c r="C81" s="100">
        <v>19.649999999999999</v>
      </c>
      <c r="D81" s="100">
        <v>11.55</v>
      </c>
      <c r="E81" s="100">
        <v>8.85</v>
      </c>
      <c r="F81" s="100">
        <v>31.25</v>
      </c>
      <c r="G81" s="100">
        <v>49.72</v>
      </c>
      <c r="H81" s="100">
        <v>17.05</v>
      </c>
      <c r="I81" s="100">
        <v>10.93</v>
      </c>
      <c r="J81" s="100">
        <v>3.06</v>
      </c>
      <c r="K81" s="100">
        <v>259.19</v>
      </c>
      <c r="L81" s="100">
        <v>40.47</v>
      </c>
      <c r="M81" s="100">
        <v>25.35</v>
      </c>
      <c r="N81" s="100">
        <v>41.6</v>
      </c>
      <c r="O81" s="100">
        <v>0</v>
      </c>
      <c r="P81" s="100">
        <v>0.49</v>
      </c>
      <c r="Q81" s="100">
        <v>28.64</v>
      </c>
      <c r="R81" s="6"/>
      <c r="S81" s="6"/>
      <c r="T81" s="156"/>
      <c r="U81" s="6"/>
    </row>
    <row r="82" spans="1:21" customFormat="1">
      <c r="A82" s="163" t="s">
        <v>1561</v>
      </c>
      <c r="B82" s="100">
        <v>2.72</v>
      </c>
      <c r="C82" s="100">
        <v>18.649999999999999</v>
      </c>
      <c r="D82" s="100">
        <v>10.94</v>
      </c>
      <c r="E82" s="100">
        <v>9.1199999999999992</v>
      </c>
      <c r="F82" s="100">
        <v>40.68</v>
      </c>
      <c r="G82" s="100">
        <v>49.72</v>
      </c>
      <c r="H82" s="100">
        <v>17.05</v>
      </c>
      <c r="I82" s="100">
        <v>10.65</v>
      </c>
      <c r="J82" s="100">
        <v>2.31</v>
      </c>
      <c r="K82" s="100">
        <v>224.62</v>
      </c>
      <c r="L82" s="100">
        <v>40.32</v>
      </c>
      <c r="M82" s="100">
        <v>25.93</v>
      </c>
      <c r="N82" s="100">
        <v>28.3</v>
      </c>
      <c r="O82" s="100">
        <v>0</v>
      </c>
      <c r="P82" s="100">
        <v>0.48</v>
      </c>
      <c r="Q82" s="100">
        <v>28.68</v>
      </c>
      <c r="R82" s="6"/>
      <c r="S82" s="6"/>
      <c r="T82" s="156"/>
      <c r="U82" s="6"/>
    </row>
    <row r="83" spans="1:21" customFormat="1">
      <c r="A83" s="163" t="s">
        <v>1562</v>
      </c>
      <c r="B83" s="100">
        <v>2.5</v>
      </c>
      <c r="C83" s="100">
        <v>20.93</v>
      </c>
      <c r="D83" s="100">
        <v>11.94</v>
      </c>
      <c r="E83" s="100">
        <v>9.67</v>
      </c>
      <c r="F83" s="100">
        <v>35.46</v>
      </c>
      <c r="G83" s="100">
        <v>49.72</v>
      </c>
      <c r="H83" s="100">
        <v>17.05</v>
      </c>
      <c r="I83" s="100">
        <v>11.02</v>
      </c>
      <c r="J83" s="100">
        <v>1.9</v>
      </c>
      <c r="K83" s="100">
        <v>182.46</v>
      </c>
      <c r="L83" s="100">
        <v>40.270000000000003</v>
      </c>
      <c r="M83" s="100">
        <v>27.2</v>
      </c>
      <c r="N83" s="100">
        <v>24</v>
      </c>
      <c r="O83" s="100">
        <v>0</v>
      </c>
      <c r="P83" s="100">
        <v>0.46</v>
      </c>
      <c r="Q83" s="100">
        <v>28.58</v>
      </c>
      <c r="R83" s="6"/>
      <c r="S83" s="6"/>
      <c r="T83" s="156"/>
      <c r="U83" s="6"/>
    </row>
    <row r="84" spans="1:21" customFormat="1">
      <c r="A84" s="163" t="s">
        <v>1563</v>
      </c>
      <c r="B84" s="100">
        <v>4.0599999999999996</v>
      </c>
      <c r="C84" s="100">
        <v>31.01</v>
      </c>
      <c r="D84" s="100">
        <v>18.46</v>
      </c>
      <c r="E84" s="100">
        <v>10.11</v>
      </c>
      <c r="F84" s="100">
        <v>32.36</v>
      </c>
      <c r="G84" s="100">
        <v>50.34</v>
      </c>
      <c r="H84" s="100">
        <v>17.68</v>
      </c>
      <c r="I84" s="100">
        <v>11.96</v>
      </c>
      <c r="J84" s="100">
        <v>2.0099999999999998</v>
      </c>
      <c r="K84" s="100">
        <v>170.46</v>
      </c>
      <c r="L84" s="100">
        <v>38.979999999999997</v>
      </c>
      <c r="M84" s="100">
        <v>28.92</v>
      </c>
      <c r="N84" s="100">
        <v>22.8</v>
      </c>
      <c r="O84" s="100">
        <v>0</v>
      </c>
      <c r="P84" s="100">
        <v>0.55000000000000004</v>
      </c>
      <c r="Q84" s="100">
        <v>27.94</v>
      </c>
      <c r="R84" s="6"/>
      <c r="S84" s="6"/>
      <c r="T84" s="156"/>
      <c r="U84" s="6"/>
    </row>
    <row r="85" spans="1:21" customFormat="1">
      <c r="A85" s="163" t="s">
        <v>1564</v>
      </c>
      <c r="B85" s="100">
        <v>3.72</v>
      </c>
      <c r="C85" s="100">
        <v>30.22</v>
      </c>
      <c r="D85" s="100">
        <v>17.78</v>
      </c>
      <c r="E85" s="100">
        <v>9.4499999999999993</v>
      </c>
      <c r="F85" s="100">
        <v>27.95</v>
      </c>
      <c r="G85" s="100">
        <v>52.63</v>
      </c>
      <c r="H85" s="100">
        <v>20.04</v>
      </c>
      <c r="I85" s="100">
        <v>13.06</v>
      </c>
      <c r="J85" s="100">
        <v>2.58</v>
      </c>
      <c r="K85" s="100">
        <v>187.79</v>
      </c>
      <c r="L85" s="100">
        <v>38.9</v>
      </c>
      <c r="M85" s="100">
        <v>29.47</v>
      </c>
      <c r="N85" s="100">
        <v>22.7</v>
      </c>
      <c r="O85" s="100">
        <v>0</v>
      </c>
      <c r="P85" s="100">
        <v>0.63</v>
      </c>
      <c r="Q85" s="100">
        <v>27.74</v>
      </c>
      <c r="R85" s="6"/>
      <c r="S85" s="6"/>
      <c r="T85" s="156"/>
      <c r="U85" s="6"/>
    </row>
    <row r="86" spans="1:21" customFormat="1">
      <c r="A86" s="163" t="s">
        <v>1565</v>
      </c>
      <c r="B86" s="100">
        <v>3.65</v>
      </c>
      <c r="C86" s="100">
        <v>27</v>
      </c>
      <c r="D86" s="100">
        <v>16.04</v>
      </c>
      <c r="E86" s="100">
        <v>8.4700000000000006</v>
      </c>
      <c r="F86" s="100">
        <v>33.92</v>
      </c>
      <c r="G86" s="100">
        <v>52.63</v>
      </c>
      <c r="H86" s="100">
        <v>20.04</v>
      </c>
      <c r="I86" s="100">
        <v>12.88</v>
      </c>
      <c r="J86" s="100">
        <v>2.09</v>
      </c>
      <c r="K86" s="100">
        <v>166.67</v>
      </c>
      <c r="L86" s="100">
        <v>38.76</v>
      </c>
      <c r="M86" s="100">
        <v>30.11</v>
      </c>
      <c r="N86" s="100">
        <v>22.7</v>
      </c>
      <c r="O86" s="100">
        <v>0</v>
      </c>
      <c r="P86" s="100">
        <v>0.57999999999999996</v>
      </c>
      <c r="Q86" s="100">
        <v>27.93</v>
      </c>
      <c r="R86" s="6"/>
      <c r="S86" s="6"/>
      <c r="T86" s="156"/>
      <c r="U86" s="6"/>
    </row>
    <row r="87" spans="1:21" customFormat="1">
      <c r="A87" s="163" t="s">
        <v>1566</v>
      </c>
      <c r="B87" s="100">
        <v>3.56</v>
      </c>
      <c r="C87" s="100">
        <v>28.35</v>
      </c>
      <c r="D87" s="100">
        <v>16.68</v>
      </c>
      <c r="E87" s="100">
        <v>8.67</v>
      </c>
      <c r="F87" s="100">
        <v>28.59</v>
      </c>
      <c r="G87" s="100">
        <v>52.63</v>
      </c>
      <c r="H87" s="100">
        <v>20.04</v>
      </c>
      <c r="I87" s="100">
        <v>9.98</v>
      </c>
      <c r="J87" s="100">
        <v>3.05</v>
      </c>
      <c r="K87" s="100">
        <v>165.56</v>
      </c>
      <c r="L87" s="100">
        <v>38.549999999999997</v>
      </c>
      <c r="M87" s="100">
        <v>31.74</v>
      </c>
      <c r="N87" s="100">
        <v>22.6</v>
      </c>
      <c r="O87" s="100">
        <v>0</v>
      </c>
      <c r="P87" s="100">
        <v>0.6</v>
      </c>
      <c r="Q87" s="100">
        <v>27.84</v>
      </c>
      <c r="R87" s="6"/>
      <c r="S87" s="6"/>
      <c r="T87" s="156"/>
      <c r="U87" s="6"/>
    </row>
    <row r="88" spans="1:21" customFormat="1">
      <c r="A88" s="163" t="s">
        <v>1567</v>
      </c>
      <c r="B88" s="100">
        <v>3.86</v>
      </c>
      <c r="C88" s="100">
        <v>29.71</v>
      </c>
      <c r="D88" s="100">
        <v>17.63</v>
      </c>
      <c r="E88" s="100">
        <v>9.2799999999999994</v>
      </c>
      <c r="F88" s="100">
        <v>28.26</v>
      </c>
      <c r="G88" s="100">
        <v>52.59</v>
      </c>
      <c r="H88" s="100">
        <v>19.89</v>
      </c>
      <c r="I88" s="100">
        <v>11.44</v>
      </c>
      <c r="J88" s="100">
        <v>2.8</v>
      </c>
      <c r="K88" s="100">
        <v>148.6</v>
      </c>
      <c r="L88" s="100">
        <v>38.130000000000003</v>
      </c>
      <c r="M88" s="100">
        <v>32.119999999999997</v>
      </c>
      <c r="N88" s="100">
        <v>22.6</v>
      </c>
      <c r="O88" s="100">
        <v>0</v>
      </c>
      <c r="P88" s="100">
        <v>0.76</v>
      </c>
      <c r="Q88" s="100">
        <v>27.73</v>
      </c>
      <c r="R88" s="6"/>
      <c r="S88" s="6"/>
      <c r="T88" s="156"/>
      <c r="U88" s="6"/>
    </row>
    <row r="89" spans="1:21" customFormat="1">
      <c r="A89" s="163" t="s">
        <v>1568</v>
      </c>
      <c r="B89" s="100">
        <v>12.58</v>
      </c>
      <c r="C89" s="100">
        <v>40.82</v>
      </c>
      <c r="D89" s="100">
        <v>30.42</v>
      </c>
      <c r="E89" s="100">
        <v>8.74</v>
      </c>
      <c r="F89" s="100">
        <v>14.69</v>
      </c>
      <c r="G89" s="100">
        <v>52.43</v>
      </c>
      <c r="H89" s="100">
        <v>19.36</v>
      </c>
      <c r="I89" s="100">
        <v>11.62</v>
      </c>
      <c r="J89" s="100">
        <v>2.79</v>
      </c>
      <c r="K89" s="100">
        <v>212.48</v>
      </c>
      <c r="L89" s="100">
        <v>38.6</v>
      </c>
      <c r="M89" s="100">
        <v>31.94</v>
      </c>
      <c r="N89" s="100">
        <v>22.1</v>
      </c>
      <c r="O89" s="100">
        <v>0</v>
      </c>
      <c r="P89" s="100">
        <v>0.87</v>
      </c>
      <c r="Q89" s="100">
        <v>27.18</v>
      </c>
      <c r="R89" s="6"/>
      <c r="S89" s="6"/>
      <c r="T89" s="156"/>
      <c r="U89" s="6"/>
    </row>
    <row r="90" spans="1:21" customFormat="1">
      <c r="A90" s="163" t="s">
        <v>1569</v>
      </c>
      <c r="B90" s="100">
        <v>6.93</v>
      </c>
      <c r="C90" s="100">
        <v>38.24</v>
      </c>
      <c r="D90" s="100">
        <v>24.54</v>
      </c>
      <c r="E90" s="100">
        <v>9.34</v>
      </c>
      <c r="F90" s="100">
        <v>12.17</v>
      </c>
      <c r="G90" s="100">
        <v>52.43</v>
      </c>
      <c r="H90" s="100">
        <v>19.36</v>
      </c>
      <c r="I90" s="100">
        <v>11.79</v>
      </c>
      <c r="J90" s="100">
        <v>1.89</v>
      </c>
      <c r="K90" s="100">
        <v>249.2</v>
      </c>
      <c r="L90" s="100">
        <v>38.47</v>
      </c>
      <c r="M90" s="100">
        <v>30.86</v>
      </c>
      <c r="N90" s="100">
        <v>22.3</v>
      </c>
      <c r="O90" s="100">
        <v>0</v>
      </c>
      <c r="P90" s="100">
        <v>0.71</v>
      </c>
      <c r="Q90" s="100">
        <v>25.9</v>
      </c>
      <c r="R90" s="6"/>
      <c r="S90" s="6"/>
      <c r="T90" s="156"/>
      <c r="U90" s="6"/>
    </row>
    <row r="91" spans="1:21" customFormat="1">
      <c r="A91" s="163" t="s">
        <v>1570</v>
      </c>
      <c r="B91" s="100">
        <v>6.4</v>
      </c>
      <c r="C91" s="100">
        <v>41.76</v>
      </c>
      <c r="D91" s="100">
        <v>25.96</v>
      </c>
      <c r="E91" s="100">
        <v>9.1</v>
      </c>
      <c r="F91" s="100">
        <v>10.85</v>
      </c>
      <c r="G91" s="100">
        <v>52.43</v>
      </c>
      <c r="H91" s="100">
        <v>19.36</v>
      </c>
      <c r="I91" s="100">
        <v>12.64</v>
      </c>
      <c r="J91" s="100">
        <v>2.93</v>
      </c>
      <c r="K91" s="100">
        <v>162.29</v>
      </c>
      <c r="L91" s="100">
        <v>37.700000000000003</v>
      </c>
      <c r="M91" s="100">
        <v>32.93</v>
      </c>
      <c r="N91" s="100">
        <v>22.9</v>
      </c>
      <c r="O91" s="100">
        <v>0</v>
      </c>
      <c r="P91" s="100">
        <v>0.73</v>
      </c>
      <c r="Q91" s="100">
        <v>26.66</v>
      </c>
      <c r="R91" s="6"/>
      <c r="S91" s="6"/>
      <c r="T91" s="156"/>
      <c r="U91" s="6"/>
    </row>
    <row r="92" spans="1:21" customFormat="1">
      <c r="A92" s="163" t="s">
        <v>1571</v>
      </c>
      <c r="B92" s="100">
        <v>6.72</v>
      </c>
      <c r="C92" s="100">
        <v>47.82</v>
      </c>
      <c r="D92" s="100">
        <v>29.38</v>
      </c>
      <c r="E92" s="100">
        <v>9.76</v>
      </c>
      <c r="F92" s="100">
        <v>8.15</v>
      </c>
      <c r="G92" s="100">
        <v>55.99</v>
      </c>
      <c r="H92" s="100">
        <v>20.59</v>
      </c>
      <c r="I92" s="100">
        <v>16.350000000000001</v>
      </c>
      <c r="J92" s="100">
        <v>2.99</v>
      </c>
      <c r="K92" s="100">
        <v>154.65</v>
      </c>
      <c r="L92" s="100">
        <v>36.57</v>
      </c>
      <c r="M92" s="100">
        <v>34.07</v>
      </c>
      <c r="N92" s="100">
        <v>22.6</v>
      </c>
      <c r="O92" s="100">
        <v>0</v>
      </c>
      <c r="P92" s="100">
        <v>0.88</v>
      </c>
      <c r="Q92" s="100">
        <v>26.6</v>
      </c>
      <c r="R92" s="6"/>
      <c r="S92" s="6"/>
      <c r="T92" s="156"/>
      <c r="U92" s="6"/>
    </row>
    <row r="93" spans="1:21" customFormat="1">
      <c r="A93" s="163" t="s">
        <v>1572</v>
      </c>
      <c r="B93" s="100">
        <v>6.56</v>
      </c>
      <c r="C93" s="100">
        <v>45.77</v>
      </c>
      <c r="D93" s="100">
        <v>28.18</v>
      </c>
      <c r="E93" s="100">
        <v>10.130000000000001</v>
      </c>
      <c r="F93" s="100">
        <v>10.91</v>
      </c>
      <c r="G93" s="100">
        <v>69.3</v>
      </c>
      <c r="H93" s="100">
        <v>25.18</v>
      </c>
      <c r="I93" s="100">
        <v>15.22</v>
      </c>
      <c r="J93" s="100">
        <v>2.2999999999999998</v>
      </c>
      <c r="K93" s="100">
        <v>157.04</v>
      </c>
      <c r="L93" s="100">
        <v>36.6</v>
      </c>
      <c r="M93" s="100">
        <v>33.68</v>
      </c>
      <c r="N93" s="100">
        <v>22.3</v>
      </c>
      <c r="O93" s="100">
        <v>0</v>
      </c>
      <c r="P93" s="100">
        <v>0.89</v>
      </c>
      <c r="Q93" s="100">
        <v>26.84</v>
      </c>
      <c r="R93" s="6"/>
      <c r="S93" s="6"/>
      <c r="T93" s="156"/>
      <c r="U93" s="6"/>
    </row>
    <row r="94" spans="1:21" customFormat="1">
      <c r="A94" s="163" t="s">
        <v>1573</v>
      </c>
      <c r="B94" s="100">
        <v>9.5399999999999991</v>
      </c>
      <c r="C94" s="100">
        <v>40.6</v>
      </c>
      <c r="D94" s="100">
        <v>27.87</v>
      </c>
      <c r="E94" s="100">
        <v>10.29</v>
      </c>
      <c r="F94" s="100">
        <v>7.04</v>
      </c>
      <c r="G94" s="100">
        <v>69.3</v>
      </c>
      <c r="H94" s="100">
        <v>25.18</v>
      </c>
      <c r="I94" s="100">
        <v>16.79</v>
      </c>
      <c r="J94" s="100">
        <v>2.77</v>
      </c>
      <c r="K94" s="100">
        <v>212.56</v>
      </c>
      <c r="L94" s="100">
        <v>37</v>
      </c>
      <c r="M94" s="100">
        <v>32.880000000000003</v>
      </c>
      <c r="N94" s="100">
        <v>22.1</v>
      </c>
      <c r="O94" s="100">
        <v>0</v>
      </c>
      <c r="P94" s="100">
        <v>0.86</v>
      </c>
      <c r="Q94" s="100">
        <v>26.63</v>
      </c>
      <c r="R94" s="6"/>
      <c r="S94" s="6"/>
      <c r="T94" s="156"/>
      <c r="U94" s="6"/>
    </row>
    <row r="95" spans="1:21" customFormat="1">
      <c r="A95" s="163" t="s">
        <v>1574</v>
      </c>
      <c r="B95" s="100">
        <v>11.59</v>
      </c>
      <c r="C95" s="100">
        <v>35.83</v>
      </c>
      <c r="D95" s="100">
        <v>27.01</v>
      </c>
      <c r="E95" s="100">
        <v>9.94</v>
      </c>
      <c r="F95" s="100">
        <v>7.73</v>
      </c>
      <c r="G95" s="100">
        <v>69.3</v>
      </c>
      <c r="H95" s="100">
        <v>25.18</v>
      </c>
      <c r="I95" s="100">
        <v>17.18</v>
      </c>
      <c r="J95" s="100">
        <v>2.23</v>
      </c>
      <c r="K95" s="100">
        <v>252.77</v>
      </c>
      <c r="L95" s="100">
        <v>36.79</v>
      </c>
      <c r="M95" s="100">
        <v>32.81</v>
      </c>
      <c r="N95" s="100">
        <v>22.5</v>
      </c>
      <c r="O95" s="100">
        <v>0</v>
      </c>
      <c r="P95" s="100">
        <v>0.81</v>
      </c>
      <c r="Q95" s="100">
        <v>26.71</v>
      </c>
      <c r="R95" s="6"/>
      <c r="S95" s="6"/>
      <c r="T95" s="156"/>
      <c r="U95" s="6"/>
    </row>
    <row r="96" spans="1:21" customFormat="1">
      <c r="A96" s="163" t="s">
        <v>1575</v>
      </c>
      <c r="B96" s="100">
        <v>9.14</v>
      </c>
      <c r="C96" s="100">
        <v>42.23</v>
      </c>
      <c r="D96" s="100">
        <v>28.4</v>
      </c>
      <c r="E96" s="100">
        <v>9.2200000000000006</v>
      </c>
      <c r="F96" s="100">
        <v>6.55</v>
      </c>
      <c r="G96" s="100">
        <v>72.77</v>
      </c>
      <c r="H96" s="100">
        <v>25.53</v>
      </c>
      <c r="I96" s="100">
        <v>17.989999999999998</v>
      </c>
      <c r="J96" s="100">
        <v>2.5299999999999998</v>
      </c>
      <c r="K96" s="100">
        <v>182.94</v>
      </c>
      <c r="L96" s="100">
        <v>36.43</v>
      </c>
      <c r="M96" s="100">
        <v>33.83</v>
      </c>
      <c r="N96" s="100">
        <v>22.8</v>
      </c>
      <c r="O96" s="100">
        <v>0</v>
      </c>
      <c r="P96" s="100">
        <v>0.77</v>
      </c>
      <c r="Q96" s="100">
        <v>26.68</v>
      </c>
      <c r="R96" s="6"/>
      <c r="S96" s="6"/>
      <c r="T96" s="156"/>
      <c r="U96" s="6"/>
    </row>
    <row r="97" spans="1:28" customFormat="1">
      <c r="A97" s="163" t="s">
        <v>1576</v>
      </c>
      <c r="B97" s="100">
        <v>8.07</v>
      </c>
      <c r="C97" s="100">
        <v>43.49</v>
      </c>
      <c r="D97" s="100">
        <v>28.2</v>
      </c>
      <c r="E97" s="100">
        <v>9.59</v>
      </c>
      <c r="F97" s="100">
        <v>7.79</v>
      </c>
      <c r="G97" s="100">
        <v>85.74</v>
      </c>
      <c r="H97" s="100">
        <v>26.82</v>
      </c>
      <c r="I97" s="100">
        <v>16.62</v>
      </c>
      <c r="J97" s="100">
        <v>1.78</v>
      </c>
      <c r="K97" s="100">
        <v>178.94</v>
      </c>
      <c r="L97" s="100">
        <v>36.89</v>
      </c>
      <c r="M97" s="100">
        <v>35.1</v>
      </c>
      <c r="N97" s="100">
        <v>22.7</v>
      </c>
      <c r="O97" s="100">
        <v>0</v>
      </c>
      <c r="P97" s="100">
        <v>0.82</v>
      </c>
      <c r="Q97" s="100">
        <v>26.52</v>
      </c>
      <c r="R97" s="6"/>
      <c r="S97" s="6"/>
      <c r="T97" s="156"/>
      <c r="U97" s="6"/>
    </row>
    <row r="98" spans="1:28" customFormat="1">
      <c r="A98" s="163" t="s">
        <v>1577</v>
      </c>
      <c r="B98" s="100">
        <v>8.5299999999999994</v>
      </c>
      <c r="C98" s="100">
        <v>38.270000000000003</v>
      </c>
      <c r="D98" s="100">
        <v>25.84</v>
      </c>
      <c r="E98" s="100">
        <v>8.59</v>
      </c>
      <c r="F98" s="100">
        <v>10.18</v>
      </c>
      <c r="G98" s="100">
        <v>85.74</v>
      </c>
      <c r="H98" s="100">
        <v>26.82</v>
      </c>
      <c r="I98" s="100">
        <v>16.14</v>
      </c>
      <c r="J98" s="100">
        <v>2.61</v>
      </c>
      <c r="K98" s="100">
        <v>217.2</v>
      </c>
      <c r="L98" s="100">
        <v>37.46</v>
      </c>
      <c r="M98" s="100">
        <v>35.119999999999997</v>
      </c>
      <c r="N98" s="100">
        <v>22.3</v>
      </c>
      <c r="O98" s="100">
        <v>0</v>
      </c>
      <c r="P98" s="100">
        <v>0.83</v>
      </c>
      <c r="Q98" s="100">
        <v>26.67</v>
      </c>
      <c r="R98" s="6"/>
      <c r="S98" s="6"/>
      <c r="T98" s="156"/>
      <c r="U98" s="6"/>
    </row>
    <row r="99" spans="1:28" customFormat="1">
      <c r="A99" s="163" t="s">
        <v>1578</v>
      </c>
      <c r="B99" s="100">
        <v>9.7200000000000006</v>
      </c>
      <c r="C99" s="100">
        <v>37.71</v>
      </c>
      <c r="D99" s="100">
        <v>26.5</v>
      </c>
      <c r="E99" s="100">
        <v>8.06</v>
      </c>
      <c r="F99" s="100">
        <v>7.22</v>
      </c>
      <c r="G99" s="100">
        <v>85.74</v>
      </c>
      <c r="H99" s="100">
        <v>26.82</v>
      </c>
      <c r="I99" s="100">
        <v>17.13</v>
      </c>
      <c r="J99" s="100">
        <v>3.14</v>
      </c>
      <c r="K99" s="100">
        <v>235.19</v>
      </c>
      <c r="L99" s="100">
        <v>37.380000000000003</v>
      </c>
      <c r="M99" s="100">
        <v>34.47</v>
      </c>
      <c r="N99" s="100">
        <v>22.3</v>
      </c>
      <c r="O99" s="100">
        <v>0</v>
      </c>
      <c r="P99" s="100">
        <v>0.79</v>
      </c>
      <c r="Q99" s="100">
        <v>26.73</v>
      </c>
      <c r="R99" s="6"/>
      <c r="S99" s="6"/>
      <c r="T99" s="156"/>
      <c r="U99" s="6"/>
    </row>
    <row r="100" spans="1:28" customFormat="1">
      <c r="A100" s="163" t="s">
        <v>1579</v>
      </c>
      <c r="B100" s="100">
        <v>10.1</v>
      </c>
      <c r="C100" s="100">
        <v>38.35</v>
      </c>
      <c r="D100" s="100">
        <v>27.14</v>
      </c>
      <c r="E100" s="100">
        <v>8.25</v>
      </c>
      <c r="F100" s="100">
        <v>8.83</v>
      </c>
      <c r="G100" s="100">
        <v>86.57</v>
      </c>
      <c r="H100" s="100">
        <v>27.43</v>
      </c>
      <c r="I100" s="100">
        <v>17.670000000000002</v>
      </c>
      <c r="J100" s="100">
        <v>3.46</v>
      </c>
      <c r="K100" s="100">
        <v>236.05</v>
      </c>
      <c r="L100" s="100">
        <v>37</v>
      </c>
      <c r="M100" s="100">
        <v>34.880000000000003</v>
      </c>
      <c r="N100" s="100">
        <v>22.5</v>
      </c>
      <c r="O100" s="100">
        <v>0</v>
      </c>
      <c r="P100" s="100">
        <v>0.77</v>
      </c>
      <c r="Q100" s="100">
        <v>26.62</v>
      </c>
      <c r="R100" s="6"/>
      <c r="S100" s="6"/>
      <c r="T100" s="156"/>
      <c r="U100" s="6"/>
      <c r="AB100" s="161"/>
    </row>
    <row r="101" spans="1:28" customFormat="1">
      <c r="A101" s="163" t="s">
        <v>1580</v>
      </c>
      <c r="B101" s="100">
        <v>10.44</v>
      </c>
      <c r="C101" s="100">
        <v>35.799999999999997</v>
      </c>
      <c r="D101" s="100">
        <v>26.08</v>
      </c>
      <c r="E101" s="100">
        <v>6.15</v>
      </c>
      <c r="F101" s="100">
        <v>11.48</v>
      </c>
      <c r="G101" s="100">
        <v>89.65</v>
      </c>
      <c r="H101" s="100">
        <v>29.7</v>
      </c>
      <c r="I101" s="100">
        <v>17.02</v>
      </c>
      <c r="J101" s="100">
        <v>3.37</v>
      </c>
      <c r="K101" s="100">
        <v>244.74</v>
      </c>
      <c r="L101" s="100">
        <v>37.119999999999997</v>
      </c>
      <c r="M101" s="100">
        <v>35.090000000000003</v>
      </c>
      <c r="N101" s="100">
        <v>22.5</v>
      </c>
      <c r="O101" s="100">
        <v>0</v>
      </c>
      <c r="P101" s="100">
        <v>0.71</v>
      </c>
      <c r="Q101" s="100">
        <v>26.89</v>
      </c>
      <c r="R101" s="6"/>
      <c r="S101" s="6"/>
      <c r="T101" s="156"/>
      <c r="U101" s="6"/>
    </row>
    <row r="102" spans="1:28" customFormat="1">
      <c r="A102" s="163" t="s">
        <v>1581</v>
      </c>
      <c r="B102" s="100">
        <v>9.8699999999999992</v>
      </c>
      <c r="C102" s="100">
        <v>32.92</v>
      </c>
      <c r="D102" s="100">
        <v>24.12</v>
      </c>
      <c r="E102" s="100">
        <v>7.47</v>
      </c>
      <c r="F102" s="100">
        <v>9.3800000000000008</v>
      </c>
      <c r="G102" s="100">
        <v>89.65</v>
      </c>
      <c r="H102" s="100">
        <v>29.7</v>
      </c>
      <c r="I102" s="100">
        <v>16.32</v>
      </c>
      <c r="J102" s="100">
        <v>3.12</v>
      </c>
      <c r="K102" s="100">
        <v>194.65</v>
      </c>
      <c r="L102" s="100">
        <v>36.89</v>
      </c>
      <c r="M102" s="100">
        <v>37.18</v>
      </c>
      <c r="N102" s="100">
        <v>23.2</v>
      </c>
      <c r="O102" s="100">
        <v>0</v>
      </c>
      <c r="P102" s="100">
        <v>0.75</v>
      </c>
      <c r="Q102" s="100">
        <v>27.12</v>
      </c>
      <c r="R102" s="6"/>
      <c r="S102" s="6"/>
      <c r="T102" s="156"/>
      <c r="U102" s="6"/>
    </row>
    <row r="103" spans="1:28" customFormat="1">
      <c r="A103" s="163" t="s">
        <v>1582</v>
      </c>
      <c r="B103" s="100">
        <v>10.68</v>
      </c>
      <c r="C103" s="100">
        <v>29.65</v>
      </c>
      <c r="D103" s="100">
        <v>23.06</v>
      </c>
      <c r="E103" s="100">
        <v>7.68</v>
      </c>
      <c r="F103" s="100">
        <v>9.68</v>
      </c>
      <c r="G103" s="100">
        <v>89.65</v>
      </c>
      <c r="H103" s="100">
        <v>29.7</v>
      </c>
      <c r="I103" s="100">
        <v>15.85</v>
      </c>
      <c r="J103" s="100">
        <v>2.69</v>
      </c>
      <c r="K103" s="100">
        <v>196.94</v>
      </c>
      <c r="L103" s="100">
        <v>35.71</v>
      </c>
      <c r="M103" s="100">
        <v>39.46</v>
      </c>
      <c r="N103" s="100">
        <v>23.1</v>
      </c>
      <c r="O103" s="100">
        <v>0</v>
      </c>
      <c r="P103" s="100">
        <v>0.76</v>
      </c>
      <c r="Q103" s="100">
        <v>27.36</v>
      </c>
      <c r="R103" s="6"/>
      <c r="S103" s="6"/>
      <c r="T103" s="156"/>
      <c r="U103" s="6"/>
    </row>
    <row r="104" spans="1:28" customFormat="1">
      <c r="A104" s="163" t="s">
        <v>1583</v>
      </c>
      <c r="B104" s="100">
        <v>10.95</v>
      </c>
      <c r="C104" s="100">
        <v>36.21</v>
      </c>
      <c r="D104" s="100">
        <v>26.71</v>
      </c>
      <c r="E104" s="100">
        <v>7.57</v>
      </c>
      <c r="F104" s="100">
        <v>9.35</v>
      </c>
      <c r="G104" s="100">
        <v>89.14</v>
      </c>
      <c r="H104" s="100">
        <v>29.89</v>
      </c>
      <c r="I104" s="100">
        <v>16.03</v>
      </c>
      <c r="J104" s="100">
        <v>3.03</v>
      </c>
      <c r="K104" s="100">
        <v>185.39</v>
      </c>
      <c r="L104" s="100">
        <v>35.619999999999997</v>
      </c>
      <c r="M104" s="100">
        <v>38.93</v>
      </c>
      <c r="N104" s="100">
        <v>22.7</v>
      </c>
      <c r="O104" s="100">
        <v>0</v>
      </c>
      <c r="P104" s="100">
        <v>0.76</v>
      </c>
      <c r="Q104" s="100">
        <v>27.29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2.4</v>
      </c>
      <c r="C106" s="158">
        <f>MIN(C9:C104)</f>
        <v>18.05</v>
      </c>
      <c r="D106" s="158">
        <f t="shared" ref="D106:Q106" si="0">MIN(D9:D104)</f>
        <v>10.51</v>
      </c>
      <c r="E106" s="158">
        <f t="shared" si="0"/>
        <v>5.66</v>
      </c>
      <c r="F106" s="158">
        <f t="shared" si="0"/>
        <v>3.37</v>
      </c>
      <c r="G106" s="158">
        <f t="shared" si="0"/>
        <v>43.14</v>
      </c>
      <c r="H106" s="158">
        <f t="shared" si="0"/>
        <v>15.32</v>
      </c>
      <c r="I106" s="158">
        <f t="shared" si="0"/>
        <v>9.98</v>
      </c>
      <c r="J106" s="158">
        <f t="shared" si="0"/>
        <v>0.2</v>
      </c>
      <c r="K106" s="158">
        <f t="shared" si="0"/>
        <v>1.42</v>
      </c>
      <c r="L106" s="158">
        <f t="shared" si="0"/>
        <v>30.81</v>
      </c>
      <c r="M106" s="158">
        <f t="shared" si="0"/>
        <v>19.68</v>
      </c>
      <c r="N106" s="158">
        <f t="shared" si="0"/>
        <v>22.1</v>
      </c>
      <c r="O106" s="158">
        <f t="shared" si="0"/>
        <v>0</v>
      </c>
      <c r="P106" s="158">
        <f t="shared" si="0"/>
        <v>0.46</v>
      </c>
      <c r="Q106" s="158">
        <f t="shared" si="0"/>
        <v>25.9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12.58</v>
      </c>
      <c r="C107" s="157">
        <f t="shared" ref="C107:Q107" si="1">MAX(C9:C104)</f>
        <v>47.82</v>
      </c>
      <c r="D107" s="157">
        <f t="shared" si="1"/>
        <v>30.42</v>
      </c>
      <c r="E107" s="157">
        <f t="shared" si="1"/>
        <v>10.29</v>
      </c>
      <c r="F107" s="157">
        <f t="shared" si="1"/>
        <v>40.68</v>
      </c>
      <c r="G107" s="157">
        <f t="shared" si="1"/>
        <v>89.65</v>
      </c>
      <c r="H107" s="157">
        <f t="shared" si="1"/>
        <v>37.619999999999997</v>
      </c>
      <c r="I107" s="157">
        <f t="shared" si="1"/>
        <v>17.989999999999998</v>
      </c>
      <c r="J107" s="157">
        <f t="shared" si="1"/>
        <v>4.8</v>
      </c>
      <c r="K107" s="157">
        <f t="shared" si="1"/>
        <v>337.84</v>
      </c>
      <c r="L107" s="157">
        <f t="shared" si="1"/>
        <v>45.2</v>
      </c>
      <c r="M107" s="157">
        <f t="shared" si="1"/>
        <v>49.89</v>
      </c>
      <c r="N107" s="157">
        <f t="shared" si="1"/>
        <v>827.2</v>
      </c>
      <c r="O107" s="157">
        <f t="shared" si="1"/>
        <v>0</v>
      </c>
      <c r="P107" s="157">
        <f t="shared" si="1"/>
        <v>0.89</v>
      </c>
      <c r="Q107" s="157">
        <f t="shared" si="1"/>
        <v>28.93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5.7459374999999993</v>
      </c>
      <c r="C108" s="158">
        <f t="shared" ref="C108:Q108" si="2">AVERAGE(C9:C104)</f>
        <v>28.7578125</v>
      </c>
      <c r="D108" s="158">
        <f t="shared" si="2"/>
        <v>18.637604166666673</v>
      </c>
      <c r="E108" s="158">
        <f t="shared" si="2"/>
        <v>7.4918750000000029</v>
      </c>
      <c r="F108" s="158">
        <f t="shared" si="2"/>
        <v>15.821458333333334</v>
      </c>
      <c r="G108" s="158">
        <f t="shared" si="2"/>
        <v>56.699895833333329</v>
      </c>
      <c r="H108" s="158">
        <f t="shared" si="2"/>
        <v>23.217499999999987</v>
      </c>
      <c r="I108" s="158">
        <f t="shared" si="2"/>
        <v>12.804375</v>
      </c>
      <c r="J108" s="158">
        <f t="shared" si="2"/>
        <v>2.9273958333333336</v>
      </c>
      <c r="K108" s="158">
        <f t="shared" si="2"/>
        <v>208.46812500000001</v>
      </c>
      <c r="L108" s="158">
        <f t="shared" si="2"/>
        <v>36.758541666666666</v>
      </c>
      <c r="M108" s="158">
        <f t="shared" si="2"/>
        <v>33.47677083333334</v>
      </c>
      <c r="N108" s="158">
        <f t="shared" si="2"/>
        <v>203.41562499999986</v>
      </c>
      <c r="O108" s="158">
        <f t="shared" si="2"/>
        <v>0</v>
      </c>
      <c r="P108" s="158">
        <f t="shared" si="2"/>
        <v>0.62218749999999989</v>
      </c>
      <c r="Q108" s="158">
        <f t="shared" si="2"/>
        <v>27.988749999999985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2.6651886782720435</v>
      </c>
      <c r="C109" s="158">
        <f t="shared" ref="C109:Q109" si="3">STDEV(C9:C104)</f>
        <v>6.7861697131003043</v>
      </c>
      <c r="D109" s="158">
        <f t="shared" si="3"/>
        <v>5.0124608400710109</v>
      </c>
      <c r="E109" s="158">
        <f t="shared" si="3"/>
        <v>1.1626985965054566</v>
      </c>
      <c r="F109" s="158">
        <f t="shared" si="3"/>
        <v>9.1615312417184107</v>
      </c>
      <c r="G109" s="158">
        <f t="shared" si="3"/>
        <v>11.359264662523097</v>
      </c>
      <c r="H109" s="158">
        <f t="shared" si="3"/>
        <v>5.1770434561986374</v>
      </c>
      <c r="I109" s="158">
        <f t="shared" si="3"/>
        <v>1.814420488896191</v>
      </c>
      <c r="J109" s="158">
        <f t="shared" si="3"/>
        <v>0.81810081066058493</v>
      </c>
      <c r="K109" s="158">
        <f t="shared" si="3"/>
        <v>61.021446019756922</v>
      </c>
      <c r="L109" s="158">
        <f t="shared" si="3"/>
        <v>3.9726189105893654</v>
      </c>
      <c r="M109" s="158">
        <f t="shared" si="3"/>
        <v>9.1065137467975941</v>
      </c>
      <c r="N109" s="158">
        <f t="shared" si="3"/>
        <v>240.58431034643215</v>
      </c>
      <c r="O109" s="158">
        <f t="shared" si="3"/>
        <v>0</v>
      </c>
      <c r="P109" s="158">
        <f t="shared" si="3"/>
        <v>0.10150657873416827</v>
      </c>
      <c r="Q109" s="158">
        <f t="shared" si="3"/>
        <v>0.64241526166573348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1584</v>
      </c>
      <c r="B9" s="100">
        <v>9.9499999999999993</v>
      </c>
      <c r="C9" s="100">
        <v>39.36</v>
      </c>
      <c r="D9" s="100">
        <v>27.55</v>
      </c>
      <c r="E9" s="100">
        <v>8</v>
      </c>
      <c r="F9" s="100">
        <v>8.49</v>
      </c>
      <c r="G9" s="100">
        <v>87.24</v>
      </c>
      <c r="H9" s="100">
        <v>30.59</v>
      </c>
      <c r="I9" s="100">
        <v>16.61</v>
      </c>
      <c r="J9" s="100">
        <v>3.21</v>
      </c>
      <c r="K9" s="100">
        <v>190.62</v>
      </c>
      <c r="L9" s="100">
        <v>35.94</v>
      </c>
      <c r="M9" s="100">
        <v>38.630000000000003</v>
      </c>
      <c r="N9" s="100">
        <v>22.8</v>
      </c>
      <c r="O9" s="100">
        <v>0</v>
      </c>
      <c r="P9" s="100">
        <v>0.75</v>
      </c>
      <c r="Q9" s="100">
        <v>27.12</v>
      </c>
      <c r="R9" s="6"/>
      <c r="S9" s="6"/>
      <c r="T9" s="156"/>
      <c r="U9" s="6"/>
    </row>
    <row r="10" spans="1:21" customFormat="1">
      <c r="A10" s="163" t="s">
        <v>1585</v>
      </c>
      <c r="B10" s="100">
        <v>10.06</v>
      </c>
      <c r="C10" s="100">
        <v>32.130000000000003</v>
      </c>
      <c r="D10" s="100">
        <v>23.86</v>
      </c>
      <c r="E10" s="100">
        <v>7.91</v>
      </c>
      <c r="F10" s="100">
        <v>10.91</v>
      </c>
      <c r="G10" s="100">
        <v>87.24</v>
      </c>
      <c r="H10" s="100">
        <v>30.59</v>
      </c>
      <c r="I10" s="100">
        <v>16.16</v>
      </c>
      <c r="J10" s="100">
        <v>3.24</v>
      </c>
      <c r="K10" s="100">
        <v>202.28</v>
      </c>
      <c r="L10" s="100">
        <v>35.86</v>
      </c>
      <c r="M10" s="100">
        <v>38.6</v>
      </c>
      <c r="N10" s="100">
        <v>22.6</v>
      </c>
      <c r="O10" s="100">
        <v>0</v>
      </c>
      <c r="P10" s="100">
        <v>0.73</v>
      </c>
      <c r="Q10" s="100">
        <v>27.53</v>
      </c>
      <c r="R10" s="6"/>
      <c r="S10" s="6"/>
      <c r="T10" s="156"/>
      <c r="U10" s="6"/>
    </row>
    <row r="11" spans="1:21" customFormat="1">
      <c r="A11" s="163" t="s">
        <v>1586</v>
      </c>
      <c r="B11" s="100">
        <v>9.9</v>
      </c>
      <c r="C11" s="100">
        <v>25.53</v>
      </c>
      <c r="D11" s="100">
        <v>20.29</v>
      </c>
      <c r="E11" s="100">
        <v>7.85</v>
      </c>
      <c r="F11" s="100">
        <v>11.12</v>
      </c>
      <c r="G11" s="100">
        <v>87.24</v>
      </c>
      <c r="H11" s="100">
        <v>30.59</v>
      </c>
      <c r="I11" s="100">
        <v>16</v>
      </c>
      <c r="J11" s="100">
        <v>2.93</v>
      </c>
      <c r="K11" s="100">
        <v>190.33</v>
      </c>
      <c r="L11" s="100">
        <v>35.86</v>
      </c>
      <c r="M11" s="100">
        <v>38.74</v>
      </c>
      <c r="N11" s="100">
        <v>22.6</v>
      </c>
      <c r="O11" s="100">
        <v>0</v>
      </c>
      <c r="P11" s="100">
        <v>0.72</v>
      </c>
      <c r="Q11" s="100">
        <v>27.95</v>
      </c>
      <c r="R11" s="6"/>
      <c r="S11" s="6"/>
      <c r="T11" s="156"/>
      <c r="U11" s="6"/>
    </row>
    <row r="12" spans="1:21" customFormat="1">
      <c r="A12" s="163" t="s">
        <v>1587</v>
      </c>
      <c r="B12" s="100">
        <v>9.02</v>
      </c>
      <c r="C12" s="100">
        <v>24.43</v>
      </c>
      <c r="D12" s="100">
        <v>19.010000000000002</v>
      </c>
      <c r="E12" s="100">
        <v>7.91</v>
      </c>
      <c r="F12" s="100">
        <v>12.86</v>
      </c>
      <c r="G12" s="100">
        <v>85.4</v>
      </c>
      <c r="H12" s="100">
        <v>29.82</v>
      </c>
      <c r="I12" s="100">
        <v>15.59</v>
      </c>
      <c r="J12" s="100">
        <v>2.79</v>
      </c>
      <c r="K12" s="100">
        <v>181.64</v>
      </c>
      <c r="L12" s="100">
        <v>35.68</v>
      </c>
      <c r="M12" s="100">
        <v>39.39</v>
      </c>
      <c r="N12" s="100">
        <v>22.6</v>
      </c>
      <c r="O12" s="100">
        <v>0</v>
      </c>
      <c r="P12" s="100">
        <v>0.68</v>
      </c>
      <c r="Q12" s="100">
        <v>28.09</v>
      </c>
      <c r="R12" s="6"/>
      <c r="S12" s="6"/>
      <c r="T12" s="156"/>
      <c r="U12" s="6"/>
    </row>
    <row r="13" spans="1:21" customFormat="1">
      <c r="A13" s="163" t="s">
        <v>1588</v>
      </c>
      <c r="B13" s="100">
        <v>9.65</v>
      </c>
      <c r="C13" s="100">
        <v>32.58</v>
      </c>
      <c r="D13" s="100">
        <v>23.77</v>
      </c>
      <c r="E13" s="100">
        <v>7.74</v>
      </c>
      <c r="F13" s="100">
        <v>7.99</v>
      </c>
      <c r="G13" s="100">
        <v>78.53</v>
      </c>
      <c r="H13" s="100">
        <v>26.91</v>
      </c>
      <c r="I13" s="100">
        <v>15.2</v>
      </c>
      <c r="J13" s="100">
        <v>3.04</v>
      </c>
      <c r="K13" s="100">
        <v>179</v>
      </c>
      <c r="L13" s="100">
        <v>35.450000000000003</v>
      </c>
      <c r="M13" s="100">
        <v>39.36</v>
      </c>
      <c r="N13" s="100">
        <v>22.7</v>
      </c>
      <c r="O13" s="100">
        <v>0</v>
      </c>
      <c r="P13" s="100">
        <v>0.71</v>
      </c>
      <c r="Q13" s="100">
        <v>27.77</v>
      </c>
      <c r="R13" s="6"/>
      <c r="S13" s="6"/>
      <c r="T13" s="156"/>
      <c r="U13" s="6"/>
    </row>
    <row r="14" spans="1:21" customFormat="1">
      <c r="A14" s="163" t="s">
        <v>1589</v>
      </c>
      <c r="B14" s="100">
        <v>8.07</v>
      </c>
      <c r="C14" s="100">
        <v>30.28</v>
      </c>
      <c r="D14" s="100">
        <v>21.3</v>
      </c>
      <c r="E14" s="100">
        <v>7.82</v>
      </c>
      <c r="F14" s="100">
        <v>18.850000000000001</v>
      </c>
      <c r="G14" s="100">
        <v>78.53</v>
      </c>
      <c r="H14" s="100">
        <v>26.91</v>
      </c>
      <c r="I14" s="100">
        <v>14.71</v>
      </c>
      <c r="J14" s="100">
        <v>2.95</v>
      </c>
      <c r="K14" s="100">
        <v>204.33</v>
      </c>
      <c r="L14" s="100">
        <v>36.26</v>
      </c>
      <c r="M14" s="100">
        <v>38.78</v>
      </c>
      <c r="N14" s="100">
        <v>22.5</v>
      </c>
      <c r="O14" s="100">
        <v>0</v>
      </c>
      <c r="P14" s="100">
        <v>0.62</v>
      </c>
      <c r="Q14" s="100">
        <v>27.71</v>
      </c>
      <c r="R14" s="6"/>
      <c r="S14" s="6"/>
      <c r="T14" s="156"/>
      <c r="U14" s="6"/>
    </row>
    <row r="15" spans="1:21" customFormat="1">
      <c r="A15" s="163" t="s">
        <v>1590</v>
      </c>
      <c r="B15" s="100">
        <v>7.8</v>
      </c>
      <c r="C15" s="100">
        <v>20.88</v>
      </c>
      <c r="D15" s="100">
        <v>16.170000000000002</v>
      </c>
      <c r="E15" s="100">
        <v>7.27</v>
      </c>
      <c r="F15" s="100">
        <v>14.44</v>
      </c>
      <c r="G15" s="100">
        <v>78.53</v>
      </c>
      <c r="H15" s="100">
        <v>26.91</v>
      </c>
      <c r="I15" s="100">
        <v>14.63</v>
      </c>
      <c r="J15" s="100">
        <v>3.28</v>
      </c>
      <c r="K15" s="100">
        <v>213.76</v>
      </c>
      <c r="L15" s="100">
        <v>36.950000000000003</v>
      </c>
      <c r="M15" s="100">
        <v>38.6</v>
      </c>
      <c r="N15" s="100">
        <v>22.5</v>
      </c>
      <c r="O15" s="100">
        <v>0</v>
      </c>
      <c r="P15" s="100">
        <v>0.64</v>
      </c>
      <c r="Q15" s="100">
        <v>28.31</v>
      </c>
      <c r="R15" s="6"/>
      <c r="S15" s="6"/>
      <c r="T15" s="156"/>
      <c r="U15" s="6"/>
    </row>
    <row r="16" spans="1:21" customFormat="1">
      <c r="A16" s="163" t="s">
        <v>1591</v>
      </c>
      <c r="B16" s="100">
        <v>7.71</v>
      </c>
      <c r="C16" s="100">
        <v>26</v>
      </c>
      <c r="D16" s="100">
        <v>18.77</v>
      </c>
      <c r="E16" s="100">
        <v>6.63</v>
      </c>
      <c r="F16" s="100">
        <v>20.3</v>
      </c>
      <c r="G16" s="100">
        <v>77.14</v>
      </c>
      <c r="H16" s="100">
        <v>25.71</v>
      </c>
      <c r="I16" s="100">
        <v>13.81</v>
      </c>
      <c r="J16" s="100">
        <v>2.99</v>
      </c>
      <c r="K16" s="100">
        <v>223.05</v>
      </c>
      <c r="L16" s="100">
        <v>36.369999999999997</v>
      </c>
      <c r="M16" s="100">
        <v>39.369999999999997</v>
      </c>
      <c r="N16" s="100">
        <v>22.7</v>
      </c>
      <c r="O16" s="100">
        <v>0</v>
      </c>
      <c r="P16" s="100">
        <v>0.62</v>
      </c>
      <c r="Q16" s="100">
        <v>28.26</v>
      </c>
      <c r="R16" s="6"/>
      <c r="S16" s="6"/>
      <c r="T16" s="156"/>
      <c r="U16" s="6"/>
    </row>
    <row r="17" spans="1:21" customFormat="1">
      <c r="A17" s="163" t="s">
        <v>1592</v>
      </c>
      <c r="B17" s="100">
        <v>6.63</v>
      </c>
      <c r="C17" s="100">
        <v>23.34</v>
      </c>
      <c r="D17" s="100">
        <v>16.52</v>
      </c>
      <c r="E17" s="100">
        <v>6.43</v>
      </c>
      <c r="F17" s="100">
        <v>14.91</v>
      </c>
      <c r="G17" s="100">
        <v>71.94</v>
      </c>
      <c r="H17" s="100">
        <v>21.22</v>
      </c>
      <c r="I17" s="100">
        <v>13.51</v>
      </c>
      <c r="J17" s="100">
        <v>3.25</v>
      </c>
      <c r="K17" s="100">
        <v>221.59</v>
      </c>
      <c r="L17" s="100">
        <v>36.33</v>
      </c>
      <c r="M17" s="100">
        <v>39.770000000000003</v>
      </c>
      <c r="N17" s="100">
        <v>22.7</v>
      </c>
      <c r="O17" s="100">
        <v>0</v>
      </c>
      <c r="P17" s="100">
        <v>0.63</v>
      </c>
      <c r="Q17" s="100">
        <v>28.34</v>
      </c>
      <c r="R17" s="6"/>
      <c r="S17" s="6"/>
      <c r="T17" s="156"/>
      <c r="U17" s="6"/>
    </row>
    <row r="18" spans="1:21" customFormat="1">
      <c r="A18" s="163" t="s">
        <v>1593</v>
      </c>
      <c r="B18" s="100">
        <v>6.51</v>
      </c>
      <c r="C18" s="100">
        <v>22.05</v>
      </c>
      <c r="D18" s="100">
        <v>15.75</v>
      </c>
      <c r="E18" s="100">
        <v>6.68</v>
      </c>
      <c r="F18" s="100">
        <v>14.07</v>
      </c>
      <c r="G18" s="100">
        <v>71.94</v>
      </c>
      <c r="H18" s="100">
        <v>21.22</v>
      </c>
      <c r="I18" s="100">
        <v>13.19</v>
      </c>
      <c r="J18" s="100">
        <v>3.02</v>
      </c>
      <c r="K18" s="100">
        <v>201.44</v>
      </c>
      <c r="L18" s="100">
        <v>35.92</v>
      </c>
      <c r="M18" s="100">
        <v>40.880000000000003</v>
      </c>
      <c r="N18" s="100">
        <v>23.1</v>
      </c>
      <c r="O18" s="100">
        <v>0</v>
      </c>
      <c r="P18" s="100">
        <v>0.62</v>
      </c>
      <c r="Q18" s="100">
        <v>28.4</v>
      </c>
      <c r="R18" s="6"/>
      <c r="S18" s="6"/>
      <c r="T18" s="156"/>
      <c r="U18" s="6"/>
    </row>
    <row r="19" spans="1:21" customFormat="1">
      <c r="A19" s="163" t="s">
        <v>1594</v>
      </c>
      <c r="B19" s="100">
        <v>6.46</v>
      </c>
      <c r="C19" s="100">
        <v>23.11</v>
      </c>
      <c r="D19" s="100">
        <v>16.260000000000002</v>
      </c>
      <c r="E19" s="100">
        <v>6.84</v>
      </c>
      <c r="F19" s="100">
        <v>9.76</v>
      </c>
      <c r="G19" s="100">
        <v>71.94</v>
      </c>
      <c r="H19" s="100">
        <v>21.22</v>
      </c>
      <c r="I19" s="100">
        <v>12.96</v>
      </c>
      <c r="J19" s="100">
        <v>3.62</v>
      </c>
      <c r="K19" s="100">
        <v>247.53</v>
      </c>
      <c r="L19" s="100">
        <v>35.74</v>
      </c>
      <c r="M19" s="100">
        <v>41.25</v>
      </c>
      <c r="N19" s="100">
        <v>22.7</v>
      </c>
      <c r="O19" s="100">
        <v>0</v>
      </c>
      <c r="P19" s="100">
        <v>0.62</v>
      </c>
      <c r="Q19" s="100">
        <v>28.34</v>
      </c>
      <c r="R19" s="6"/>
      <c r="S19" s="6"/>
      <c r="T19" s="156"/>
      <c r="U19" s="6"/>
    </row>
    <row r="20" spans="1:21" customFormat="1">
      <c r="A20" s="163" t="s">
        <v>1595</v>
      </c>
      <c r="B20" s="100">
        <v>5.84</v>
      </c>
      <c r="C20" s="100">
        <v>22.17</v>
      </c>
      <c r="D20" s="100">
        <v>15.27</v>
      </c>
      <c r="E20" s="100">
        <v>6.83</v>
      </c>
      <c r="F20" s="100">
        <v>15.16</v>
      </c>
      <c r="G20" s="100">
        <v>69.400000000000006</v>
      </c>
      <c r="H20" s="100">
        <v>21.43</v>
      </c>
      <c r="I20" s="100">
        <v>12.92</v>
      </c>
      <c r="J20" s="100">
        <v>3.39</v>
      </c>
      <c r="K20" s="100">
        <v>221.29</v>
      </c>
      <c r="L20" s="100">
        <v>35.6</v>
      </c>
      <c r="M20" s="100">
        <v>41.33</v>
      </c>
      <c r="N20" s="100">
        <v>22.6</v>
      </c>
      <c r="O20" s="100">
        <v>0</v>
      </c>
      <c r="P20" s="100">
        <v>0.6</v>
      </c>
      <c r="Q20" s="100">
        <v>28.46</v>
      </c>
      <c r="R20" s="6"/>
      <c r="S20" s="6"/>
      <c r="T20" s="156"/>
      <c r="U20" s="6"/>
    </row>
    <row r="21" spans="1:21" customFormat="1">
      <c r="A21" s="163" t="s">
        <v>1596</v>
      </c>
      <c r="B21" s="100">
        <v>5.71</v>
      </c>
      <c r="C21" s="100">
        <v>23.53</v>
      </c>
      <c r="D21" s="100">
        <v>15.88</v>
      </c>
      <c r="E21" s="100">
        <v>6.35</v>
      </c>
      <c r="F21" s="100">
        <v>7.45</v>
      </c>
      <c r="G21" s="100">
        <v>59.91</v>
      </c>
      <c r="H21" s="100">
        <v>22.22</v>
      </c>
      <c r="I21" s="100">
        <v>12.92</v>
      </c>
      <c r="J21" s="100">
        <v>3.71</v>
      </c>
      <c r="K21" s="100">
        <v>237.13</v>
      </c>
      <c r="L21" s="100">
        <v>35.21</v>
      </c>
      <c r="M21" s="100">
        <v>41.71</v>
      </c>
      <c r="N21" s="100">
        <v>22.7</v>
      </c>
      <c r="O21" s="100">
        <v>0</v>
      </c>
      <c r="P21" s="100">
        <v>0.61</v>
      </c>
      <c r="Q21" s="100">
        <v>28.41</v>
      </c>
      <c r="R21" s="6"/>
      <c r="S21" s="6"/>
      <c r="T21" s="156"/>
      <c r="U21" s="6"/>
    </row>
    <row r="22" spans="1:21" customFormat="1">
      <c r="A22" s="163" t="s">
        <v>1597</v>
      </c>
      <c r="B22" s="100">
        <v>5.88</v>
      </c>
      <c r="C22" s="100">
        <v>27.95</v>
      </c>
      <c r="D22" s="100">
        <v>18.32</v>
      </c>
      <c r="E22" s="100">
        <v>7.23</v>
      </c>
      <c r="F22" s="100">
        <v>5.79</v>
      </c>
      <c r="G22" s="100">
        <v>59.91</v>
      </c>
      <c r="H22" s="100">
        <v>22.22</v>
      </c>
      <c r="I22" s="100">
        <v>12.55</v>
      </c>
      <c r="J22" s="100">
        <v>3.88</v>
      </c>
      <c r="K22" s="100">
        <v>242.91</v>
      </c>
      <c r="L22" s="100">
        <v>34.92</v>
      </c>
      <c r="M22" s="100">
        <v>42.32</v>
      </c>
      <c r="N22" s="100">
        <v>22.8</v>
      </c>
      <c r="O22" s="100">
        <v>0</v>
      </c>
      <c r="P22" s="100">
        <v>0.61</v>
      </c>
      <c r="Q22" s="100">
        <v>28.2</v>
      </c>
      <c r="R22" s="6"/>
      <c r="S22" s="6"/>
      <c r="T22" s="156"/>
      <c r="U22" s="6"/>
    </row>
    <row r="23" spans="1:21" customFormat="1">
      <c r="A23" s="163" t="s">
        <v>1598</v>
      </c>
      <c r="B23" s="100">
        <v>5.4</v>
      </c>
      <c r="C23" s="100">
        <v>25.43</v>
      </c>
      <c r="D23" s="100">
        <v>16.62</v>
      </c>
      <c r="E23" s="100">
        <v>6.89</v>
      </c>
      <c r="F23" s="100">
        <v>8.27</v>
      </c>
      <c r="G23" s="100">
        <v>59.91</v>
      </c>
      <c r="H23" s="100">
        <v>22.22</v>
      </c>
      <c r="I23" s="100">
        <v>12.92</v>
      </c>
      <c r="J23" s="100">
        <v>3.59</v>
      </c>
      <c r="K23" s="100">
        <v>252.16</v>
      </c>
      <c r="L23" s="100">
        <v>34.76</v>
      </c>
      <c r="M23" s="100">
        <v>43.05</v>
      </c>
      <c r="N23" s="100">
        <v>22.8</v>
      </c>
      <c r="O23" s="100">
        <v>0</v>
      </c>
      <c r="P23" s="100">
        <v>0.59</v>
      </c>
      <c r="Q23" s="100">
        <v>28.33</v>
      </c>
      <c r="R23" s="6"/>
      <c r="S23" s="6"/>
      <c r="T23" s="156"/>
      <c r="U23" s="6"/>
    </row>
    <row r="24" spans="1:21" customFormat="1">
      <c r="A24" s="163" t="s">
        <v>1599</v>
      </c>
      <c r="B24" s="100">
        <v>5.42</v>
      </c>
      <c r="C24" s="100">
        <v>24.86</v>
      </c>
      <c r="D24" s="100">
        <v>16.34</v>
      </c>
      <c r="E24" s="100">
        <v>6.94</v>
      </c>
      <c r="F24" s="100">
        <v>5.09</v>
      </c>
      <c r="G24" s="100">
        <v>59.02</v>
      </c>
      <c r="H24" s="100">
        <v>22.08</v>
      </c>
      <c r="I24" s="100">
        <v>13.09</v>
      </c>
      <c r="J24" s="100">
        <v>3.68</v>
      </c>
      <c r="K24" s="100">
        <v>244.09</v>
      </c>
      <c r="L24" s="100">
        <v>34.4</v>
      </c>
      <c r="M24" s="100">
        <v>44.38</v>
      </c>
      <c r="N24" s="100">
        <v>23</v>
      </c>
      <c r="O24" s="100">
        <v>0</v>
      </c>
      <c r="P24" s="100">
        <v>0.6</v>
      </c>
      <c r="Q24" s="100">
        <v>28.44</v>
      </c>
      <c r="R24" s="6"/>
      <c r="S24" s="6"/>
      <c r="T24" s="156"/>
      <c r="U24" s="6"/>
    </row>
    <row r="25" spans="1:21" customFormat="1">
      <c r="A25" s="163" t="s">
        <v>1600</v>
      </c>
      <c r="B25" s="100">
        <v>5.36</v>
      </c>
      <c r="C25" s="100">
        <v>26.04</v>
      </c>
      <c r="D25" s="100">
        <v>16.91</v>
      </c>
      <c r="E25" s="100">
        <v>6.64</v>
      </c>
      <c r="F25" s="100">
        <v>6.23</v>
      </c>
      <c r="G25" s="100">
        <v>55.7</v>
      </c>
      <c r="H25" s="100">
        <v>21.56</v>
      </c>
      <c r="I25" s="100">
        <v>13.26</v>
      </c>
      <c r="J25" s="100">
        <v>3.98</v>
      </c>
      <c r="K25" s="100">
        <v>240.13</v>
      </c>
      <c r="L25" s="100">
        <v>34.35</v>
      </c>
      <c r="M25" s="100">
        <v>44.08</v>
      </c>
      <c r="N25" s="100">
        <v>22.6</v>
      </c>
      <c r="O25" s="100">
        <v>0</v>
      </c>
      <c r="P25" s="100">
        <v>0.59</v>
      </c>
      <c r="Q25" s="100">
        <v>28.23</v>
      </c>
      <c r="R25" s="6"/>
      <c r="S25" s="6"/>
      <c r="T25" s="156"/>
      <c r="U25" s="6"/>
    </row>
    <row r="26" spans="1:21" customFormat="1">
      <c r="A26" s="163" t="s">
        <v>1601</v>
      </c>
      <c r="B26" s="100">
        <v>5.0599999999999996</v>
      </c>
      <c r="C26" s="100">
        <v>23.71</v>
      </c>
      <c r="D26" s="100">
        <v>15.45</v>
      </c>
      <c r="E26" s="100">
        <v>6.82</v>
      </c>
      <c r="F26" s="100">
        <v>7.47</v>
      </c>
      <c r="G26" s="100">
        <v>55.7</v>
      </c>
      <c r="H26" s="100">
        <v>21.56</v>
      </c>
      <c r="I26" s="100">
        <v>13.46</v>
      </c>
      <c r="J26" s="100">
        <v>3.07</v>
      </c>
      <c r="K26" s="100">
        <v>209.59</v>
      </c>
      <c r="L26" s="100">
        <v>34.409999999999997</v>
      </c>
      <c r="M26" s="100">
        <v>43.94</v>
      </c>
      <c r="N26" s="100">
        <v>22.7</v>
      </c>
      <c r="O26" s="100">
        <v>0</v>
      </c>
      <c r="P26" s="100">
        <v>0.59</v>
      </c>
      <c r="Q26" s="100">
        <v>28.55</v>
      </c>
      <c r="R26" s="6"/>
      <c r="S26" s="6"/>
      <c r="T26" s="156"/>
      <c r="U26" s="6"/>
    </row>
    <row r="27" spans="1:21" customFormat="1">
      <c r="A27" s="163" t="s">
        <v>1602</v>
      </c>
      <c r="B27" s="100">
        <v>5.23</v>
      </c>
      <c r="C27" s="100">
        <v>25.76</v>
      </c>
      <c r="D27" s="100">
        <v>16.66</v>
      </c>
      <c r="E27" s="100">
        <v>6.78</v>
      </c>
      <c r="F27" s="100">
        <v>6.26</v>
      </c>
      <c r="G27" s="100">
        <v>55.7</v>
      </c>
      <c r="H27" s="100">
        <v>21.56</v>
      </c>
      <c r="I27" s="100">
        <v>13.77</v>
      </c>
      <c r="J27" s="100">
        <v>3.84</v>
      </c>
      <c r="K27" s="100">
        <v>243.52</v>
      </c>
      <c r="L27" s="100">
        <v>34.1</v>
      </c>
      <c r="M27" s="100">
        <v>44.89</v>
      </c>
      <c r="N27" s="100">
        <v>22.9</v>
      </c>
      <c r="O27" s="100">
        <v>0</v>
      </c>
      <c r="P27" s="100">
        <v>0.6</v>
      </c>
      <c r="Q27" s="100">
        <v>28.36</v>
      </c>
      <c r="R27" s="6"/>
      <c r="S27" s="6"/>
      <c r="T27" s="156"/>
      <c r="U27" s="6"/>
    </row>
    <row r="28" spans="1:21" customFormat="1">
      <c r="A28" s="163" t="s">
        <v>1603</v>
      </c>
      <c r="B28" s="100">
        <v>5.09</v>
      </c>
      <c r="C28" s="100">
        <v>22.97</v>
      </c>
      <c r="D28" s="100">
        <v>15.09</v>
      </c>
      <c r="E28" s="100">
        <v>6.61</v>
      </c>
      <c r="F28" s="100">
        <v>10.7</v>
      </c>
      <c r="G28" s="100">
        <v>55.72</v>
      </c>
      <c r="H28" s="100">
        <v>21.75</v>
      </c>
      <c r="I28" s="100">
        <v>14.59</v>
      </c>
      <c r="J28" s="100">
        <v>3.09</v>
      </c>
      <c r="K28" s="100">
        <v>208.9</v>
      </c>
      <c r="L28" s="100">
        <v>33.979999999999997</v>
      </c>
      <c r="M28" s="100">
        <v>44.27</v>
      </c>
      <c r="N28" s="100">
        <v>22.9</v>
      </c>
      <c r="O28" s="100">
        <v>0</v>
      </c>
      <c r="P28" s="100">
        <v>0.56000000000000005</v>
      </c>
      <c r="Q28" s="100">
        <v>28.47</v>
      </c>
      <c r="R28" s="6"/>
      <c r="S28" s="6"/>
      <c r="T28" s="156"/>
      <c r="U28" s="6"/>
    </row>
    <row r="29" spans="1:21" customFormat="1">
      <c r="A29" s="163" t="s">
        <v>1604</v>
      </c>
      <c r="B29" s="100">
        <v>4.59</v>
      </c>
      <c r="C29" s="100">
        <v>22.89</v>
      </c>
      <c r="D29" s="100">
        <v>14.64</v>
      </c>
      <c r="E29" s="100">
        <v>6.19</v>
      </c>
      <c r="F29" s="100">
        <v>11.14</v>
      </c>
      <c r="G29" s="100">
        <v>55.81</v>
      </c>
      <c r="H29" s="100">
        <v>22.46</v>
      </c>
      <c r="I29" s="100">
        <v>14.76</v>
      </c>
      <c r="J29" s="100">
        <v>3.23</v>
      </c>
      <c r="K29" s="100">
        <v>177.01</v>
      </c>
      <c r="L29" s="100">
        <v>33.89</v>
      </c>
      <c r="M29" s="100">
        <v>44.58</v>
      </c>
      <c r="N29" s="100">
        <v>24.2</v>
      </c>
      <c r="O29" s="100">
        <v>0</v>
      </c>
      <c r="P29" s="100">
        <v>0.54</v>
      </c>
      <c r="Q29" s="100">
        <v>28.53</v>
      </c>
      <c r="R29" s="6"/>
      <c r="S29" s="6"/>
      <c r="T29" s="156"/>
      <c r="U29" s="6"/>
    </row>
    <row r="30" spans="1:21" customFormat="1">
      <c r="A30" s="163" t="s">
        <v>1605</v>
      </c>
      <c r="B30" s="100">
        <v>4.5</v>
      </c>
      <c r="C30" s="100">
        <v>22.89</v>
      </c>
      <c r="D30" s="100">
        <v>14.57</v>
      </c>
      <c r="E30" s="100">
        <v>6.75</v>
      </c>
      <c r="F30" s="100">
        <v>9.74</v>
      </c>
      <c r="G30" s="100">
        <v>55.81</v>
      </c>
      <c r="H30" s="100">
        <v>22.46</v>
      </c>
      <c r="I30" s="100">
        <v>13.54</v>
      </c>
      <c r="J30" s="100">
        <v>3.26</v>
      </c>
      <c r="K30" s="100">
        <v>196.92</v>
      </c>
      <c r="L30" s="100">
        <v>33.83</v>
      </c>
      <c r="M30" s="100">
        <v>44.55</v>
      </c>
      <c r="N30" s="100">
        <v>27</v>
      </c>
      <c r="O30" s="100">
        <v>0</v>
      </c>
      <c r="P30" s="100">
        <v>0.56999999999999995</v>
      </c>
      <c r="Q30" s="100">
        <v>28.49</v>
      </c>
      <c r="R30" s="6"/>
      <c r="S30" s="6"/>
      <c r="T30" s="156"/>
      <c r="U30" s="6"/>
    </row>
    <row r="31" spans="1:21" customFormat="1">
      <c r="A31" s="163" t="s">
        <v>1606</v>
      </c>
      <c r="B31" s="100">
        <v>4.3499999999999996</v>
      </c>
      <c r="C31" s="100">
        <v>23.57</v>
      </c>
      <c r="D31" s="100">
        <v>14.81</v>
      </c>
      <c r="E31" s="100">
        <v>7.18</v>
      </c>
      <c r="F31" s="100">
        <v>7.89</v>
      </c>
      <c r="G31" s="100">
        <v>55.81</v>
      </c>
      <c r="H31" s="100">
        <v>22.46</v>
      </c>
      <c r="I31" s="100">
        <v>12.64</v>
      </c>
      <c r="J31" s="100">
        <v>3.45</v>
      </c>
      <c r="K31" s="100">
        <v>177.53</v>
      </c>
      <c r="L31" s="100">
        <v>33.81</v>
      </c>
      <c r="M31" s="100">
        <v>44.78</v>
      </c>
      <c r="N31" s="100">
        <v>34.6</v>
      </c>
      <c r="O31" s="100">
        <v>0</v>
      </c>
      <c r="P31" s="100">
        <v>0.56999999999999995</v>
      </c>
      <c r="Q31" s="100">
        <v>28.49</v>
      </c>
      <c r="R31" s="6"/>
      <c r="S31" s="6"/>
      <c r="T31" s="156"/>
      <c r="U31" s="6"/>
    </row>
    <row r="32" spans="1:21" customFormat="1">
      <c r="A32" s="163" t="s">
        <v>1607</v>
      </c>
      <c r="B32" s="100">
        <v>4</v>
      </c>
      <c r="C32" s="100">
        <v>23.58</v>
      </c>
      <c r="D32" s="100">
        <v>14.53</v>
      </c>
      <c r="E32" s="100">
        <v>7.13</v>
      </c>
      <c r="F32" s="100">
        <v>10</v>
      </c>
      <c r="G32" s="100">
        <v>53.27</v>
      </c>
      <c r="H32" s="100">
        <v>21.85</v>
      </c>
      <c r="I32" s="100">
        <v>12.71</v>
      </c>
      <c r="J32" s="100">
        <v>3.28</v>
      </c>
      <c r="K32" s="100">
        <v>179.14</v>
      </c>
      <c r="L32" s="100">
        <v>33.78</v>
      </c>
      <c r="M32" s="100">
        <v>45.03</v>
      </c>
      <c r="N32" s="100">
        <v>44.6</v>
      </c>
      <c r="O32" s="100">
        <v>0</v>
      </c>
      <c r="P32" s="100">
        <v>0.56000000000000005</v>
      </c>
      <c r="Q32" s="100">
        <v>28.53</v>
      </c>
      <c r="R32" s="6"/>
      <c r="S32" s="6"/>
      <c r="T32" s="156"/>
      <c r="U32" s="6"/>
    </row>
    <row r="33" spans="1:21" customFormat="1">
      <c r="A33" s="163" t="s">
        <v>1608</v>
      </c>
      <c r="B33" s="100">
        <v>3.99</v>
      </c>
      <c r="C33" s="100">
        <v>24.04</v>
      </c>
      <c r="D33" s="100">
        <v>14.77</v>
      </c>
      <c r="E33" s="100">
        <v>6.9</v>
      </c>
      <c r="F33" s="100">
        <v>7.41</v>
      </c>
      <c r="G33" s="100">
        <v>43.78</v>
      </c>
      <c r="H33" s="100">
        <v>19.559999999999999</v>
      </c>
      <c r="I33" s="100">
        <v>12.72</v>
      </c>
      <c r="J33" s="100">
        <v>3.48</v>
      </c>
      <c r="K33" s="100">
        <v>175.2</v>
      </c>
      <c r="L33" s="100">
        <v>33.81</v>
      </c>
      <c r="M33" s="100">
        <v>45.01</v>
      </c>
      <c r="N33" s="100">
        <v>56.7</v>
      </c>
      <c r="O33" s="100">
        <v>0</v>
      </c>
      <c r="P33" s="100">
        <v>0.56000000000000005</v>
      </c>
      <c r="Q33" s="100">
        <v>28.5</v>
      </c>
      <c r="R33" s="6"/>
      <c r="S33" s="6"/>
      <c r="T33" s="156"/>
      <c r="U33" s="6"/>
    </row>
    <row r="34" spans="1:21" customFormat="1">
      <c r="A34" s="163" t="s">
        <v>1609</v>
      </c>
      <c r="B34" s="100">
        <v>4.09</v>
      </c>
      <c r="C34" s="100">
        <v>26.09</v>
      </c>
      <c r="D34" s="100">
        <v>15.92</v>
      </c>
      <c r="E34" s="100">
        <v>7.02</v>
      </c>
      <c r="F34" s="100">
        <v>5.48</v>
      </c>
      <c r="G34" s="100">
        <v>43.78</v>
      </c>
      <c r="H34" s="100">
        <v>19.559999999999999</v>
      </c>
      <c r="I34" s="100">
        <v>12.36</v>
      </c>
      <c r="J34" s="100">
        <v>3.13</v>
      </c>
      <c r="K34" s="100">
        <v>189.9</v>
      </c>
      <c r="L34" s="100">
        <v>33.89</v>
      </c>
      <c r="M34" s="100">
        <v>44.99</v>
      </c>
      <c r="N34" s="100">
        <v>68.8</v>
      </c>
      <c r="O34" s="100">
        <v>0</v>
      </c>
      <c r="P34" s="100">
        <v>0.56000000000000005</v>
      </c>
      <c r="Q34" s="100">
        <v>28.47</v>
      </c>
      <c r="R34" s="6"/>
      <c r="S34" s="6"/>
      <c r="T34" s="156"/>
      <c r="U34" s="6"/>
    </row>
    <row r="35" spans="1:21" customFormat="1">
      <c r="A35" s="163" t="s">
        <v>1610</v>
      </c>
      <c r="B35" s="100">
        <v>4.2699999999999996</v>
      </c>
      <c r="C35" s="100">
        <v>32.51</v>
      </c>
      <c r="D35" s="100">
        <v>19.41</v>
      </c>
      <c r="E35" s="100">
        <v>7.42</v>
      </c>
      <c r="F35" s="100">
        <v>5.39</v>
      </c>
      <c r="G35" s="100">
        <v>43.78</v>
      </c>
      <c r="H35" s="100">
        <v>19.559999999999999</v>
      </c>
      <c r="I35" s="100">
        <v>12.32</v>
      </c>
      <c r="J35" s="100">
        <v>3.36</v>
      </c>
      <c r="K35" s="100">
        <v>213.12</v>
      </c>
      <c r="L35" s="100">
        <v>34.07</v>
      </c>
      <c r="M35" s="100">
        <v>44.96</v>
      </c>
      <c r="N35" s="100">
        <v>83.1</v>
      </c>
      <c r="O35" s="100">
        <v>0</v>
      </c>
      <c r="P35" s="100">
        <v>0.56000000000000005</v>
      </c>
      <c r="Q35" s="100">
        <v>28.12</v>
      </c>
      <c r="R35" s="6"/>
      <c r="S35" s="6"/>
      <c r="T35" s="156"/>
      <c r="U35" s="6"/>
    </row>
    <row r="36" spans="1:21" customFormat="1">
      <c r="A36" s="163" t="s">
        <v>1611</v>
      </c>
      <c r="B36" s="100">
        <v>4.45</v>
      </c>
      <c r="C36" s="100">
        <v>32.06</v>
      </c>
      <c r="D36" s="100">
        <v>19.32</v>
      </c>
      <c r="E36" s="100">
        <v>7.4</v>
      </c>
      <c r="F36" s="100">
        <v>4.8899999999999997</v>
      </c>
      <c r="G36" s="100">
        <v>42.92</v>
      </c>
      <c r="H36" s="100">
        <v>19.63</v>
      </c>
      <c r="I36" s="100">
        <v>12.26</v>
      </c>
      <c r="J36" s="100">
        <v>3.64</v>
      </c>
      <c r="K36" s="100">
        <v>221.42</v>
      </c>
      <c r="L36" s="100">
        <v>34.21</v>
      </c>
      <c r="M36" s="100">
        <v>45.45</v>
      </c>
      <c r="N36" s="100">
        <v>106.9</v>
      </c>
      <c r="O36" s="100">
        <v>0</v>
      </c>
      <c r="P36" s="100">
        <v>0.55000000000000004</v>
      </c>
      <c r="Q36" s="100">
        <v>28.13</v>
      </c>
      <c r="R36" s="6"/>
      <c r="S36" s="6"/>
      <c r="T36" s="156"/>
      <c r="U36" s="6"/>
    </row>
    <row r="37" spans="1:21" customFormat="1">
      <c r="A37" s="163" t="s">
        <v>1612</v>
      </c>
      <c r="B37" s="100">
        <v>4.71</v>
      </c>
      <c r="C37" s="100">
        <v>28.16</v>
      </c>
      <c r="D37" s="100">
        <v>17.489999999999998</v>
      </c>
      <c r="E37" s="100">
        <v>7.23</v>
      </c>
      <c r="F37" s="100">
        <v>6.11</v>
      </c>
      <c r="G37" s="100">
        <v>39.71</v>
      </c>
      <c r="H37" s="100">
        <v>19.91</v>
      </c>
      <c r="I37" s="100">
        <v>12.2</v>
      </c>
      <c r="J37" s="100">
        <v>3.42</v>
      </c>
      <c r="K37" s="100">
        <v>216.46</v>
      </c>
      <c r="L37" s="100">
        <v>34.549999999999997</v>
      </c>
      <c r="M37" s="100">
        <v>45.19</v>
      </c>
      <c r="N37" s="100">
        <v>136.30000000000001</v>
      </c>
      <c r="O37" s="100">
        <v>0</v>
      </c>
      <c r="P37" s="100">
        <v>0.54</v>
      </c>
      <c r="Q37" s="100">
        <v>28.29</v>
      </c>
      <c r="R37" s="6"/>
      <c r="S37" s="6"/>
      <c r="T37" s="156"/>
      <c r="U37" s="6"/>
    </row>
    <row r="38" spans="1:21" customFormat="1">
      <c r="A38" s="163" t="s">
        <v>1613</v>
      </c>
      <c r="B38" s="100">
        <v>4.95</v>
      </c>
      <c r="C38" s="100">
        <v>21.2</v>
      </c>
      <c r="D38" s="100">
        <v>14.05</v>
      </c>
      <c r="E38" s="100">
        <v>7.29</v>
      </c>
      <c r="F38" s="100">
        <v>5.42</v>
      </c>
      <c r="G38" s="100">
        <v>39.71</v>
      </c>
      <c r="H38" s="100">
        <v>19.91</v>
      </c>
      <c r="I38" s="100">
        <v>12.22</v>
      </c>
      <c r="J38" s="100">
        <v>3.85</v>
      </c>
      <c r="K38" s="100">
        <v>226.3</v>
      </c>
      <c r="L38" s="100">
        <v>34.96</v>
      </c>
      <c r="M38" s="100">
        <v>44.31</v>
      </c>
      <c r="N38" s="100">
        <v>145.19999999999999</v>
      </c>
      <c r="O38" s="100">
        <v>0</v>
      </c>
      <c r="P38" s="100">
        <v>0.54</v>
      </c>
      <c r="Q38" s="100">
        <v>28.62</v>
      </c>
      <c r="R38" s="6"/>
      <c r="S38" s="6"/>
      <c r="T38" s="156"/>
      <c r="U38" s="6"/>
    </row>
    <row r="39" spans="1:21" customFormat="1">
      <c r="A39" s="163" t="s">
        <v>1614</v>
      </c>
      <c r="B39" s="100">
        <v>5.17</v>
      </c>
      <c r="C39" s="100">
        <v>28.34</v>
      </c>
      <c r="D39" s="100">
        <v>17.96</v>
      </c>
      <c r="E39" s="100">
        <v>7.41</v>
      </c>
      <c r="F39" s="100">
        <v>5.54</v>
      </c>
      <c r="G39" s="100">
        <v>39.71</v>
      </c>
      <c r="H39" s="100">
        <v>19.91</v>
      </c>
      <c r="I39" s="100">
        <v>12.11</v>
      </c>
      <c r="J39" s="100">
        <v>4.07</v>
      </c>
      <c r="K39" s="100">
        <v>236.21</v>
      </c>
      <c r="L39" s="100">
        <v>35.520000000000003</v>
      </c>
      <c r="M39" s="100">
        <v>43.01</v>
      </c>
      <c r="N39" s="100">
        <v>141.9</v>
      </c>
      <c r="O39" s="100">
        <v>0</v>
      </c>
      <c r="P39" s="100">
        <v>0.54</v>
      </c>
      <c r="Q39" s="100">
        <v>28.27</v>
      </c>
      <c r="R39" s="6"/>
      <c r="S39" s="6"/>
      <c r="T39" s="156"/>
      <c r="U39" s="6"/>
    </row>
    <row r="40" spans="1:21" customFormat="1">
      <c r="A40" s="163" t="s">
        <v>1615</v>
      </c>
      <c r="B40" s="100">
        <v>5.39</v>
      </c>
      <c r="C40" s="100">
        <v>26.46</v>
      </c>
      <c r="D40" s="100">
        <v>17.149999999999999</v>
      </c>
      <c r="E40" s="100">
        <v>7.25</v>
      </c>
      <c r="F40" s="100">
        <v>9.7799999999999994</v>
      </c>
      <c r="G40" s="100">
        <v>41.02</v>
      </c>
      <c r="H40" s="100">
        <v>19.25</v>
      </c>
      <c r="I40" s="100">
        <v>12.03</v>
      </c>
      <c r="J40" s="100">
        <v>3.49</v>
      </c>
      <c r="K40" s="100">
        <v>217.4</v>
      </c>
      <c r="L40" s="100">
        <v>36.96</v>
      </c>
      <c r="M40" s="100">
        <v>41.72</v>
      </c>
      <c r="N40" s="100">
        <v>273.10000000000002</v>
      </c>
      <c r="O40" s="100">
        <v>0</v>
      </c>
      <c r="P40" s="100">
        <v>0.56000000000000005</v>
      </c>
      <c r="Q40" s="100">
        <v>28.34</v>
      </c>
      <c r="R40" s="6"/>
      <c r="S40" s="6"/>
      <c r="T40" s="156"/>
      <c r="U40" s="6"/>
    </row>
    <row r="41" spans="1:21" customFormat="1">
      <c r="A41" s="163" t="s">
        <v>1616</v>
      </c>
      <c r="B41" s="100">
        <v>5.29</v>
      </c>
      <c r="C41" s="100">
        <v>22.8</v>
      </c>
      <c r="D41" s="100">
        <v>15.16</v>
      </c>
      <c r="E41" s="100">
        <v>7.02</v>
      </c>
      <c r="F41" s="100">
        <v>9.08</v>
      </c>
      <c r="G41" s="100">
        <v>45.91</v>
      </c>
      <c r="H41" s="100">
        <v>16.8</v>
      </c>
      <c r="I41" s="100">
        <v>12.05</v>
      </c>
      <c r="J41" s="100">
        <v>3.55</v>
      </c>
      <c r="K41" s="100">
        <v>232.95</v>
      </c>
      <c r="L41" s="100">
        <v>36.85</v>
      </c>
      <c r="M41" s="100">
        <v>40.200000000000003</v>
      </c>
      <c r="N41" s="100">
        <v>341.4</v>
      </c>
      <c r="O41" s="100">
        <v>0</v>
      </c>
      <c r="P41" s="100">
        <v>0.56999999999999995</v>
      </c>
      <c r="Q41" s="100">
        <v>28.45</v>
      </c>
      <c r="R41" s="6"/>
      <c r="S41" s="6"/>
      <c r="T41" s="156"/>
      <c r="U41" s="6"/>
    </row>
    <row r="42" spans="1:21" customFormat="1">
      <c r="A42" s="163" t="s">
        <v>1617</v>
      </c>
      <c r="B42" s="100">
        <v>5.18</v>
      </c>
      <c r="C42" s="100">
        <v>26.4</v>
      </c>
      <c r="D42" s="100">
        <v>16.95</v>
      </c>
      <c r="E42" s="100">
        <v>7.07</v>
      </c>
      <c r="F42" s="100">
        <v>6.89</v>
      </c>
      <c r="G42" s="100">
        <v>45.91</v>
      </c>
      <c r="H42" s="100">
        <v>16.8</v>
      </c>
      <c r="I42" s="100">
        <v>12.43</v>
      </c>
      <c r="J42" s="100">
        <v>3.63</v>
      </c>
      <c r="K42" s="100">
        <v>226.67</v>
      </c>
      <c r="L42" s="100">
        <v>37.42</v>
      </c>
      <c r="M42" s="100">
        <v>38.4</v>
      </c>
      <c r="N42" s="100">
        <v>294.2</v>
      </c>
      <c r="O42" s="100">
        <v>0</v>
      </c>
      <c r="P42" s="100">
        <v>0.64</v>
      </c>
      <c r="Q42" s="100">
        <v>28.35</v>
      </c>
      <c r="R42" s="6"/>
      <c r="S42" s="6"/>
      <c r="T42" s="156"/>
      <c r="U42" s="6"/>
    </row>
    <row r="43" spans="1:21" customFormat="1">
      <c r="A43" s="163" t="s">
        <v>1618</v>
      </c>
      <c r="B43" s="100">
        <v>5.27</v>
      </c>
      <c r="C43" s="100">
        <v>25.73</v>
      </c>
      <c r="D43" s="100">
        <v>16.670000000000002</v>
      </c>
      <c r="E43" s="100">
        <v>7.25</v>
      </c>
      <c r="F43" s="100">
        <v>7.32</v>
      </c>
      <c r="G43" s="100">
        <v>45.91</v>
      </c>
      <c r="H43" s="100">
        <v>16.8</v>
      </c>
      <c r="I43" s="100">
        <v>12.97</v>
      </c>
      <c r="J43" s="100">
        <v>4.2699999999999996</v>
      </c>
      <c r="K43" s="100">
        <v>239.75</v>
      </c>
      <c r="L43" s="100">
        <v>37.71</v>
      </c>
      <c r="M43" s="100">
        <v>37.82</v>
      </c>
      <c r="N43" s="100">
        <v>388.1</v>
      </c>
      <c r="O43" s="100">
        <v>0</v>
      </c>
      <c r="P43" s="100">
        <v>0.68</v>
      </c>
      <c r="Q43" s="100">
        <v>28.3</v>
      </c>
      <c r="R43" s="6"/>
      <c r="S43" s="6"/>
      <c r="T43" s="156"/>
      <c r="U43" s="6"/>
    </row>
    <row r="44" spans="1:21" customFormat="1">
      <c r="A44" s="163" t="s">
        <v>1619</v>
      </c>
      <c r="B44" s="100">
        <v>5.47</v>
      </c>
      <c r="C44" s="100">
        <v>27.29</v>
      </c>
      <c r="D44" s="100">
        <v>17.649999999999999</v>
      </c>
      <c r="E44" s="100">
        <v>7.12</v>
      </c>
      <c r="F44" s="100">
        <v>9.2899999999999991</v>
      </c>
      <c r="G44" s="100">
        <v>46.37</v>
      </c>
      <c r="H44" s="100">
        <v>16.87</v>
      </c>
      <c r="I44" s="100">
        <v>13.84</v>
      </c>
      <c r="J44" s="100">
        <v>4.2</v>
      </c>
      <c r="K44" s="100">
        <v>239.64</v>
      </c>
      <c r="L44" s="100">
        <v>38.159999999999997</v>
      </c>
      <c r="M44" s="100">
        <v>36.590000000000003</v>
      </c>
      <c r="N44" s="100">
        <v>280.60000000000002</v>
      </c>
      <c r="O44" s="100">
        <v>0</v>
      </c>
      <c r="P44" s="100">
        <v>0.73</v>
      </c>
      <c r="Q44" s="100">
        <v>28.11</v>
      </c>
      <c r="R44" s="6"/>
      <c r="S44" s="6"/>
      <c r="T44" s="156"/>
      <c r="U44" s="6"/>
    </row>
    <row r="45" spans="1:21" customFormat="1">
      <c r="A45" s="163" t="s">
        <v>1620</v>
      </c>
      <c r="B45" s="100">
        <v>5.4</v>
      </c>
      <c r="C45" s="100">
        <v>25.76</v>
      </c>
      <c r="D45" s="100">
        <v>16.8</v>
      </c>
      <c r="E45" s="100">
        <v>7.09</v>
      </c>
      <c r="F45" s="100">
        <v>13.56</v>
      </c>
      <c r="G45" s="100">
        <v>48.1</v>
      </c>
      <c r="H45" s="100">
        <v>17.11</v>
      </c>
      <c r="I45" s="100">
        <v>14.97</v>
      </c>
      <c r="J45" s="100">
        <v>3.18</v>
      </c>
      <c r="K45" s="100">
        <v>219.8</v>
      </c>
      <c r="L45" s="100">
        <v>38.869999999999997</v>
      </c>
      <c r="M45" s="100">
        <v>35.94</v>
      </c>
      <c r="N45" s="100">
        <v>236.4</v>
      </c>
      <c r="O45" s="100">
        <v>0</v>
      </c>
      <c r="P45" s="100">
        <v>0.76</v>
      </c>
      <c r="Q45" s="100">
        <v>28.07</v>
      </c>
      <c r="R45" s="6"/>
      <c r="S45" s="6"/>
      <c r="T45" s="156"/>
      <c r="U45" s="6"/>
    </row>
    <row r="46" spans="1:21" customFormat="1">
      <c r="A46" s="163" t="s">
        <v>1621</v>
      </c>
      <c r="B46" s="100">
        <v>4.8099999999999996</v>
      </c>
      <c r="C46" s="100">
        <v>27.59</v>
      </c>
      <c r="D46" s="100">
        <v>17.28</v>
      </c>
      <c r="E46" s="100">
        <v>7.62</v>
      </c>
      <c r="F46" s="100">
        <v>12.59</v>
      </c>
      <c r="G46" s="100">
        <v>48.1</v>
      </c>
      <c r="H46" s="100">
        <v>17.11</v>
      </c>
      <c r="I46" s="100">
        <v>16.23</v>
      </c>
      <c r="J46" s="100">
        <v>3.48</v>
      </c>
      <c r="K46" s="100">
        <v>222.77</v>
      </c>
      <c r="L46" s="100">
        <v>38.950000000000003</v>
      </c>
      <c r="M46" s="100">
        <v>35.200000000000003</v>
      </c>
      <c r="N46" s="100">
        <v>329</v>
      </c>
      <c r="O46" s="100">
        <v>0</v>
      </c>
      <c r="P46" s="100">
        <v>0.78</v>
      </c>
      <c r="Q46" s="100">
        <v>28.06</v>
      </c>
      <c r="R46" s="6"/>
      <c r="S46" s="6"/>
      <c r="T46" s="156"/>
      <c r="U46" s="6"/>
    </row>
    <row r="47" spans="1:21" customFormat="1">
      <c r="A47" s="163" t="s">
        <v>1622</v>
      </c>
      <c r="B47" s="100">
        <v>4.34</v>
      </c>
      <c r="C47" s="100">
        <v>27.16</v>
      </c>
      <c r="D47" s="100">
        <v>16.68</v>
      </c>
      <c r="E47" s="100">
        <v>6.65</v>
      </c>
      <c r="F47" s="100">
        <v>9.52</v>
      </c>
      <c r="G47" s="100">
        <v>48.1</v>
      </c>
      <c r="H47" s="100">
        <v>17.11</v>
      </c>
      <c r="I47" s="100">
        <v>17.54</v>
      </c>
      <c r="J47" s="100">
        <v>3.09</v>
      </c>
      <c r="K47" s="100">
        <v>259.35000000000002</v>
      </c>
      <c r="L47" s="100">
        <v>39.270000000000003</v>
      </c>
      <c r="M47" s="100">
        <v>32.590000000000003</v>
      </c>
      <c r="N47" s="100">
        <v>563.70000000000005</v>
      </c>
      <c r="O47" s="100">
        <v>0</v>
      </c>
      <c r="P47" s="100">
        <v>0.76</v>
      </c>
      <c r="Q47" s="100">
        <v>28.13</v>
      </c>
      <c r="R47" s="6"/>
      <c r="S47" s="6"/>
      <c r="T47" s="156"/>
      <c r="U47" s="6"/>
    </row>
    <row r="48" spans="1:21" customFormat="1">
      <c r="A48" s="163" t="s">
        <v>1623</v>
      </c>
      <c r="B48" s="100">
        <v>3.97</v>
      </c>
      <c r="C48" s="100">
        <v>35.229999999999997</v>
      </c>
      <c r="D48" s="100">
        <v>20.6</v>
      </c>
      <c r="E48" s="100">
        <v>7.01</v>
      </c>
      <c r="F48" s="100">
        <v>8.56</v>
      </c>
      <c r="G48" s="100">
        <v>48.98</v>
      </c>
      <c r="H48" s="100">
        <v>17.29</v>
      </c>
      <c r="I48" s="100">
        <v>16.91</v>
      </c>
      <c r="J48" s="100">
        <v>3.06</v>
      </c>
      <c r="K48" s="100">
        <v>253.01</v>
      </c>
      <c r="L48" s="100">
        <v>39.590000000000003</v>
      </c>
      <c r="M48" s="100">
        <v>31.95</v>
      </c>
      <c r="N48" s="100">
        <v>620.4</v>
      </c>
      <c r="O48" s="100">
        <v>0</v>
      </c>
      <c r="P48" s="100">
        <v>0.75</v>
      </c>
      <c r="Q48" s="100">
        <v>27.81</v>
      </c>
      <c r="R48" s="6"/>
      <c r="S48" s="6"/>
      <c r="T48" s="156"/>
      <c r="U48" s="6"/>
    </row>
    <row r="49" spans="1:21" customFormat="1">
      <c r="A49" s="163" t="s">
        <v>1624</v>
      </c>
      <c r="B49" s="100">
        <v>3.5</v>
      </c>
      <c r="C49" s="100">
        <v>33.51</v>
      </c>
      <c r="D49" s="100">
        <v>19.32</v>
      </c>
      <c r="E49" s="100">
        <v>7.55</v>
      </c>
      <c r="F49" s="100">
        <v>11.96</v>
      </c>
      <c r="G49" s="100">
        <v>52.27</v>
      </c>
      <c r="H49" s="100">
        <v>17.97</v>
      </c>
      <c r="I49" s="100">
        <v>16.46</v>
      </c>
      <c r="J49" s="100">
        <v>3.22</v>
      </c>
      <c r="K49" s="100">
        <v>229.81</v>
      </c>
      <c r="L49" s="100">
        <v>39.94</v>
      </c>
      <c r="M49" s="100">
        <v>31.28</v>
      </c>
      <c r="N49" s="100">
        <v>662.6</v>
      </c>
      <c r="O49" s="100">
        <v>0</v>
      </c>
      <c r="P49" s="100">
        <v>0.73</v>
      </c>
      <c r="Q49" s="100">
        <v>27.95</v>
      </c>
      <c r="R49" s="6"/>
      <c r="S49" s="6"/>
      <c r="T49" s="156"/>
      <c r="U49" s="6"/>
    </row>
    <row r="50" spans="1:21" customFormat="1">
      <c r="A50" s="163" t="s">
        <v>1625</v>
      </c>
      <c r="B50" s="100">
        <v>3.03</v>
      </c>
      <c r="C50" s="100">
        <v>29.83</v>
      </c>
      <c r="D50" s="100">
        <v>17.02</v>
      </c>
      <c r="E50" s="100">
        <v>7.88</v>
      </c>
      <c r="F50" s="100">
        <v>15.93</v>
      </c>
      <c r="G50" s="100">
        <v>52.27</v>
      </c>
      <c r="H50" s="100">
        <v>17.97</v>
      </c>
      <c r="I50" s="100">
        <v>16.14</v>
      </c>
      <c r="J50" s="100">
        <v>1.77</v>
      </c>
      <c r="K50" s="100">
        <v>251.32</v>
      </c>
      <c r="L50" s="100">
        <v>40.42</v>
      </c>
      <c r="M50" s="100">
        <v>30.33</v>
      </c>
      <c r="N50" s="100">
        <v>689.9</v>
      </c>
      <c r="O50" s="100">
        <v>0</v>
      </c>
      <c r="P50" s="100">
        <v>0.71</v>
      </c>
      <c r="Q50" s="100">
        <v>28.17</v>
      </c>
      <c r="R50" s="6"/>
      <c r="S50" s="6"/>
      <c r="T50" s="156"/>
      <c r="U50" s="6"/>
    </row>
    <row r="51" spans="1:21" customFormat="1">
      <c r="A51" s="163" t="s">
        <v>1626</v>
      </c>
      <c r="B51" s="100">
        <v>2.59</v>
      </c>
      <c r="C51" s="100">
        <v>21.85</v>
      </c>
      <c r="D51" s="100">
        <v>12.5</v>
      </c>
      <c r="E51" s="100">
        <v>6.95</v>
      </c>
      <c r="F51" s="100">
        <v>29.56</v>
      </c>
      <c r="G51" s="100">
        <v>52.27</v>
      </c>
      <c r="H51" s="100">
        <v>17.97</v>
      </c>
      <c r="I51" s="100">
        <v>15.78</v>
      </c>
      <c r="J51" s="100">
        <v>2.77</v>
      </c>
      <c r="K51" s="100">
        <v>254.74</v>
      </c>
      <c r="L51" s="100">
        <v>41.85</v>
      </c>
      <c r="M51" s="100">
        <v>28.99</v>
      </c>
      <c r="N51" s="100">
        <v>706.3</v>
      </c>
      <c r="O51" s="100">
        <v>0</v>
      </c>
      <c r="P51" s="100">
        <v>0.68</v>
      </c>
      <c r="Q51" s="100">
        <v>28.52</v>
      </c>
      <c r="R51" s="6"/>
      <c r="S51" s="6"/>
      <c r="T51" s="156"/>
      <c r="U51" s="6"/>
    </row>
    <row r="52" spans="1:21" customFormat="1">
      <c r="A52" s="163" t="s">
        <v>1627</v>
      </c>
      <c r="B52" s="100">
        <v>2.0099999999999998</v>
      </c>
      <c r="C52" s="100">
        <v>16.91</v>
      </c>
      <c r="D52" s="100">
        <v>9.4499999999999993</v>
      </c>
      <c r="E52" s="100">
        <v>4.41</v>
      </c>
      <c r="F52" s="100">
        <v>34.18</v>
      </c>
      <c r="G52" s="100">
        <v>51.58</v>
      </c>
      <c r="H52" s="100">
        <v>18.149999999999999</v>
      </c>
      <c r="I52" s="100">
        <v>15.37</v>
      </c>
      <c r="J52" s="100">
        <v>2.68</v>
      </c>
      <c r="K52" s="100">
        <v>243.56</v>
      </c>
      <c r="L52" s="100">
        <v>41.99</v>
      </c>
      <c r="M52" s="100">
        <v>28.02</v>
      </c>
      <c r="N52" s="100">
        <v>699.2</v>
      </c>
      <c r="O52" s="100">
        <v>0</v>
      </c>
      <c r="P52" s="100">
        <v>0.64</v>
      </c>
      <c r="Q52" s="100">
        <v>28.85</v>
      </c>
      <c r="R52" s="6"/>
      <c r="S52" s="6"/>
      <c r="T52" s="156"/>
      <c r="U52" s="6"/>
    </row>
    <row r="53" spans="1:21" customFormat="1">
      <c r="A53" s="163" t="s">
        <v>1628</v>
      </c>
      <c r="B53" s="100">
        <v>2.08</v>
      </c>
      <c r="C53" s="100">
        <v>21.22</v>
      </c>
      <c r="D53" s="100">
        <v>11.76</v>
      </c>
      <c r="E53" s="100">
        <v>4.8099999999999996</v>
      </c>
      <c r="F53" s="100">
        <v>42.13</v>
      </c>
      <c r="G53" s="100">
        <v>49</v>
      </c>
      <c r="H53" s="100">
        <v>18.829999999999998</v>
      </c>
      <c r="I53" s="100">
        <v>14.62</v>
      </c>
      <c r="J53" s="100">
        <v>1.9</v>
      </c>
      <c r="K53" s="100">
        <v>260.81</v>
      </c>
      <c r="L53" s="100">
        <v>42.04</v>
      </c>
      <c r="M53" s="100">
        <v>26.71</v>
      </c>
      <c r="N53" s="100">
        <v>731.5</v>
      </c>
      <c r="O53" s="100">
        <v>0</v>
      </c>
      <c r="P53" s="100">
        <v>0.6</v>
      </c>
      <c r="Q53" s="100">
        <v>28.8</v>
      </c>
      <c r="R53" s="6"/>
      <c r="S53" s="6"/>
      <c r="T53" s="156"/>
      <c r="U53" s="6"/>
    </row>
    <row r="54" spans="1:21" customFormat="1">
      <c r="A54" s="163" t="s">
        <v>1629</v>
      </c>
      <c r="B54" s="100">
        <v>1.95</v>
      </c>
      <c r="C54" s="100">
        <v>22.31</v>
      </c>
      <c r="D54" s="100">
        <v>12.23</v>
      </c>
      <c r="E54" s="100">
        <v>7.64</v>
      </c>
      <c r="F54" s="100">
        <v>52.25</v>
      </c>
      <c r="G54" s="100">
        <v>49</v>
      </c>
      <c r="H54" s="100">
        <v>18.829999999999998</v>
      </c>
      <c r="I54" s="100">
        <v>13.59</v>
      </c>
      <c r="J54" s="100">
        <v>2.21</v>
      </c>
      <c r="K54" s="100">
        <v>249.61</v>
      </c>
      <c r="L54" s="100">
        <v>45.46</v>
      </c>
      <c r="M54" s="100">
        <v>26.54</v>
      </c>
      <c r="N54" s="100">
        <v>761.9</v>
      </c>
      <c r="O54" s="100">
        <v>0</v>
      </c>
      <c r="P54" s="100">
        <v>0.59</v>
      </c>
      <c r="Q54" s="100">
        <v>28.66</v>
      </c>
      <c r="R54" s="6"/>
      <c r="S54" s="6"/>
      <c r="T54" s="156"/>
      <c r="U54" s="6"/>
    </row>
    <row r="55" spans="1:21" customFormat="1">
      <c r="A55" s="163" t="s">
        <v>1630</v>
      </c>
      <c r="B55" s="100">
        <v>3.13</v>
      </c>
      <c r="C55" s="100">
        <v>18.57</v>
      </c>
      <c r="D55" s="100">
        <v>11.22</v>
      </c>
      <c r="E55" s="100">
        <v>9.6</v>
      </c>
      <c r="F55" s="100">
        <v>64.27</v>
      </c>
      <c r="G55" s="100">
        <v>49</v>
      </c>
      <c r="H55" s="100">
        <v>18.829999999999998</v>
      </c>
      <c r="I55" s="100">
        <v>12.1</v>
      </c>
      <c r="J55" s="100">
        <v>3.48</v>
      </c>
      <c r="K55" s="100">
        <v>237.79</v>
      </c>
      <c r="L55" s="100">
        <v>41.95</v>
      </c>
      <c r="M55" s="100">
        <v>26.27</v>
      </c>
      <c r="N55" s="100">
        <v>771.7</v>
      </c>
      <c r="O55" s="100">
        <v>0</v>
      </c>
      <c r="P55" s="100">
        <v>0.53</v>
      </c>
      <c r="Q55" s="100">
        <v>28.82</v>
      </c>
      <c r="R55" s="6"/>
      <c r="S55" s="6"/>
      <c r="T55" s="156"/>
      <c r="U55" s="6"/>
    </row>
    <row r="56" spans="1:21" customFormat="1">
      <c r="A56" s="163" t="s">
        <v>1631</v>
      </c>
      <c r="B56" s="100">
        <v>1.83</v>
      </c>
      <c r="C56" s="100">
        <v>16.64</v>
      </c>
      <c r="D56" s="100">
        <v>9.4</v>
      </c>
      <c r="E56" s="100">
        <v>5.3</v>
      </c>
      <c r="F56" s="100">
        <v>52.33</v>
      </c>
      <c r="G56" s="100">
        <v>48.61</v>
      </c>
      <c r="H56" s="100">
        <v>18.98</v>
      </c>
      <c r="I56" s="100">
        <v>11.64</v>
      </c>
      <c r="J56" s="100">
        <v>3.36</v>
      </c>
      <c r="K56" s="100">
        <v>229.8</v>
      </c>
      <c r="L56" s="100">
        <v>39.78</v>
      </c>
      <c r="M56" s="100">
        <v>25.8</v>
      </c>
      <c r="N56" s="100">
        <v>786.8</v>
      </c>
      <c r="O56" s="100">
        <v>0</v>
      </c>
      <c r="P56" s="100">
        <v>0.5</v>
      </c>
      <c r="Q56" s="100">
        <v>29.02</v>
      </c>
      <c r="R56" s="6"/>
      <c r="S56" s="6"/>
      <c r="T56" s="156"/>
      <c r="U56" s="6"/>
    </row>
    <row r="57" spans="1:21" customFormat="1">
      <c r="A57" s="163" t="s">
        <v>1632</v>
      </c>
      <c r="B57" s="100">
        <v>1.71</v>
      </c>
      <c r="C57" s="100">
        <v>18.010000000000002</v>
      </c>
      <c r="D57" s="100">
        <v>9.56</v>
      </c>
      <c r="E57" s="100">
        <v>4.46</v>
      </c>
      <c r="F57" s="100">
        <v>47.68</v>
      </c>
      <c r="G57" s="100">
        <v>47.76</v>
      </c>
      <c r="H57" s="100">
        <v>19.329999999999998</v>
      </c>
      <c r="I57" s="100">
        <v>10.89</v>
      </c>
      <c r="J57" s="100">
        <v>0.79</v>
      </c>
      <c r="K57" s="100">
        <v>282.99</v>
      </c>
      <c r="L57" s="100">
        <v>39.659999999999997</v>
      </c>
      <c r="M57" s="100">
        <v>24.81</v>
      </c>
      <c r="N57" s="100">
        <v>796.8</v>
      </c>
      <c r="O57" s="100">
        <v>0</v>
      </c>
      <c r="P57" s="100">
        <v>0.5</v>
      </c>
      <c r="Q57" s="100">
        <v>28.99</v>
      </c>
      <c r="R57" s="6"/>
      <c r="S57" s="6"/>
      <c r="T57" s="156"/>
      <c r="U57" s="6"/>
    </row>
    <row r="58" spans="1:21" customFormat="1">
      <c r="A58" s="163" t="s">
        <v>1633</v>
      </c>
      <c r="B58" s="100">
        <v>1.76</v>
      </c>
      <c r="C58" s="100">
        <v>15.26</v>
      </c>
      <c r="D58" s="100">
        <v>8.39</v>
      </c>
      <c r="E58" s="100">
        <v>5.0199999999999996</v>
      </c>
      <c r="F58" s="100">
        <v>69.55</v>
      </c>
      <c r="G58" s="100">
        <v>47.76</v>
      </c>
      <c r="H58" s="100">
        <v>19.329999999999998</v>
      </c>
      <c r="I58" s="100">
        <v>10.8</v>
      </c>
      <c r="J58" s="100">
        <v>1.02</v>
      </c>
      <c r="K58" s="100">
        <v>299.26</v>
      </c>
      <c r="L58" s="100">
        <v>40</v>
      </c>
      <c r="M58" s="100">
        <v>24.1</v>
      </c>
      <c r="N58" s="100">
        <v>801.7</v>
      </c>
      <c r="O58" s="100">
        <v>0</v>
      </c>
      <c r="P58" s="100">
        <v>0.47</v>
      </c>
      <c r="Q58" s="100">
        <v>29.01</v>
      </c>
      <c r="R58" s="6"/>
      <c r="S58" s="6"/>
      <c r="T58" s="156"/>
      <c r="U58" s="6"/>
    </row>
    <row r="59" spans="1:21" customFormat="1">
      <c r="A59" s="163" t="s">
        <v>1634</v>
      </c>
      <c r="B59" s="100">
        <v>1.89</v>
      </c>
      <c r="C59" s="100">
        <v>14.96</v>
      </c>
      <c r="D59" s="100">
        <v>8.33</v>
      </c>
      <c r="E59" s="100">
        <v>6.21</v>
      </c>
      <c r="F59" s="100">
        <v>63.37</v>
      </c>
      <c r="G59" s="100">
        <v>47.76</v>
      </c>
      <c r="H59" s="100">
        <v>19.329999999999998</v>
      </c>
      <c r="I59" s="100">
        <v>10.51</v>
      </c>
      <c r="J59" s="100">
        <v>3.27</v>
      </c>
      <c r="K59" s="100">
        <v>234</v>
      </c>
      <c r="L59" s="100">
        <v>40.32</v>
      </c>
      <c r="M59" s="100">
        <v>24.01</v>
      </c>
      <c r="N59" s="100">
        <v>636.9</v>
      </c>
      <c r="O59" s="100">
        <v>0</v>
      </c>
      <c r="P59" s="100">
        <v>0.49</v>
      </c>
      <c r="Q59" s="100">
        <v>29.08</v>
      </c>
      <c r="R59" s="6"/>
      <c r="S59" s="6"/>
      <c r="T59" s="156"/>
      <c r="U59" s="6"/>
    </row>
    <row r="60" spans="1:21" customFormat="1">
      <c r="A60" s="163" t="s">
        <v>1635</v>
      </c>
      <c r="B60" s="100">
        <v>1.9</v>
      </c>
      <c r="C60" s="100">
        <v>14.61</v>
      </c>
      <c r="D60" s="100">
        <v>8.11</v>
      </c>
      <c r="E60" s="100">
        <v>8.2200000000000006</v>
      </c>
      <c r="F60" s="100">
        <v>72.5</v>
      </c>
      <c r="G60" s="100">
        <v>47.27</v>
      </c>
      <c r="H60" s="100">
        <v>19.760000000000002</v>
      </c>
      <c r="I60" s="100">
        <v>10.02</v>
      </c>
      <c r="J60" s="100">
        <v>0.9</v>
      </c>
      <c r="K60" s="100">
        <v>195.7</v>
      </c>
      <c r="L60" s="100">
        <v>41.64</v>
      </c>
      <c r="M60" s="100">
        <v>22.57</v>
      </c>
      <c r="N60" s="100">
        <v>606.9</v>
      </c>
      <c r="O60" s="100">
        <v>0</v>
      </c>
      <c r="P60" s="100">
        <v>0.44</v>
      </c>
      <c r="Q60" s="100">
        <v>29.15</v>
      </c>
      <c r="R60" s="6"/>
      <c r="S60" s="6"/>
      <c r="T60" s="156"/>
      <c r="U60" s="6"/>
    </row>
    <row r="61" spans="1:21" customFormat="1">
      <c r="A61" s="163" t="s">
        <v>1636</v>
      </c>
      <c r="B61" s="100">
        <v>1.59</v>
      </c>
      <c r="C61" s="100">
        <v>17.13</v>
      </c>
      <c r="D61" s="100">
        <v>9.23</v>
      </c>
      <c r="E61" s="100">
        <v>7.46</v>
      </c>
      <c r="F61" s="100">
        <v>49.04</v>
      </c>
      <c r="G61" s="100">
        <v>45.63</v>
      </c>
      <c r="H61" s="100">
        <v>21.17</v>
      </c>
      <c r="I61" s="100">
        <v>9.18</v>
      </c>
      <c r="J61" s="100">
        <v>1.46</v>
      </c>
      <c r="K61" s="100">
        <v>258.39</v>
      </c>
      <c r="L61" s="100">
        <v>39.909999999999997</v>
      </c>
      <c r="M61" s="100">
        <v>23.14</v>
      </c>
      <c r="N61" s="100">
        <v>617.1</v>
      </c>
      <c r="O61" s="100">
        <v>0</v>
      </c>
      <c r="P61" s="100">
        <v>0.49</v>
      </c>
      <c r="Q61" s="100">
        <v>28.91</v>
      </c>
      <c r="R61" s="6"/>
      <c r="S61" s="6"/>
      <c r="T61" s="156"/>
      <c r="U61" s="6"/>
    </row>
    <row r="62" spans="1:21" customFormat="1">
      <c r="A62" s="163" t="s">
        <v>1637</v>
      </c>
      <c r="B62" s="100">
        <v>1.39</v>
      </c>
      <c r="C62" s="100">
        <v>15.23</v>
      </c>
      <c r="D62" s="100">
        <v>8.08</v>
      </c>
      <c r="E62" s="100">
        <v>5.51</v>
      </c>
      <c r="F62" s="100">
        <v>28.81</v>
      </c>
      <c r="G62" s="100">
        <v>45.63</v>
      </c>
      <c r="H62" s="100">
        <v>21.17</v>
      </c>
      <c r="I62" s="100">
        <v>8.8699999999999992</v>
      </c>
      <c r="J62" s="100">
        <v>1.87</v>
      </c>
      <c r="K62" s="100">
        <v>263.89</v>
      </c>
      <c r="L62" s="100">
        <v>39.81</v>
      </c>
      <c r="M62" s="100">
        <v>23.48</v>
      </c>
      <c r="N62" s="100">
        <v>438.4</v>
      </c>
      <c r="O62" s="100">
        <v>0</v>
      </c>
      <c r="P62" s="100">
        <v>0.51</v>
      </c>
      <c r="Q62" s="100">
        <v>28.97</v>
      </c>
      <c r="R62" s="6"/>
      <c r="S62" s="6"/>
      <c r="T62" s="156"/>
      <c r="U62" s="6"/>
    </row>
    <row r="63" spans="1:21" customFormat="1">
      <c r="A63" s="163" t="s">
        <v>1638</v>
      </c>
      <c r="B63" s="100">
        <v>2.35</v>
      </c>
      <c r="C63" s="100">
        <v>14.19</v>
      </c>
      <c r="D63" s="100">
        <v>8.3000000000000007</v>
      </c>
      <c r="E63" s="100">
        <v>3.89</v>
      </c>
      <c r="F63" s="100">
        <v>22.69</v>
      </c>
      <c r="G63" s="100">
        <v>45.63</v>
      </c>
      <c r="H63" s="100">
        <v>21.17</v>
      </c>
      <c r="I63" s="100">
        <v>10.07</v>
      </c>
      <c r="J63" s="100">
        <v>2.77</v>
      </c>
      <c r="K63" s="100">
        <v>257.70999999999998</v>
      </c>
      <c r="L63" s="100">
        <v>36.119999999999997</v>
      </c>
      <c r="M63" s="100">
        <v>31.61</v>
      </c>
      <c r="N63" s="100">
        <v>295.5</v>
      </c>
      <c r="O63" s="100">
        <v>0</v>
      </c>
      <c r="P63" s="100">
        <v>0.48</v>
      </c>
      <c r="Q63" s="100">
        <v>29</v>
      </c>
      <c r="R63" s="6"/>
      <c r="S63" s="6"/>
      <c r="T63" s="156"/>
      <c r="U63" s="6"/>
    </row>
    <row r="64" spans="1:21" customFormat="1">
      <c r="A64" s="163" t="s">
        <v>1639</v>
      </c>
      <c r="B64" s="100">
        <v>2.7</v>
      </c>
      <c r="C64" s="100">
        <v>13.8</v>
      </c>
      <c r="D64" s="100">
        <v>8.3800000000000008</v>
      </c>
      <c r="E64" s="100">
        <v>7.23</v>
      </c>
      <c r="F64" s="100">
        <v>53.56</v>
      </c>
      <c r="G64" s="100">
        <v>74.09</v>
      </c>
      <c r="H64" s="100">
        <v>21.5</v>
      </c>
      <c r="I64" s="100">
        <v>10.93</v>
      </c>
      <c r="J64" s="100">
        <v>1.86</v>
      </c>
      <c r="K64" s="100">
        <v>308.86</v>
      </c>
      <c r="L64" s="100">
        <v>35</v>
      </c>
      <c r="M64" s="100">
        <v>34.53</v>
      </c>
      <c r="N64" s="100">
        <v>350</v>
      </c>
      <c r="O64" s="100">
        <v>0</v>
      </c>
      <c r="P64" s="100">
        <v>0.46</v>
      </c>
      <c r="Q64" s="100">
        <v>28.99</v>
      </c>
      <c r="R64" s="6"/>
      <c r="S64" s="6"/>
      <c r="T64" s="156"/>
      <c r="U64" s="6"/>
    </row>
    <row r="65" spans="1:21" customFormat="1">
      <c r="A65" s="163" t="s">
        <v>1640</v>
      </c>
      <c r="B65" s="100">
        <v>2.96</v>
      </c>
      <c r="C65" s="100">
        <v>14.69</v>
      </c>
      <c r="D65" s="100">
        <v>9.06</v>
      </c>
      <c r="E65" s="100">
        <v>9.39</v>
      </c>
      <c r="F65" s="100">
        <v>50.61</v>
      </c>
      <c r="G65" s="100">
        <v>180.44</v>
      </c>
      <c r="H65" s="100">
        <v>22.8</v>
      </c>
      <c r="I65" s="100">
        <v>9.9700000000000006</v>
      </c>
      <c r="J65" s="100">
        <v>3.59</v>
      </c>
      <c r="K65" s="100">
        <v>10.92</v>
      </c>
      <c r="L65" s="100">
        <v>33.64</v>
      </c>
      <c r="M65" s="100">
        <v>38.85</v>
      </c>
      <c r="N65" s="100">
        <v>169.7</v>
      </c>
      <c r="O65" s="100">
        <v>0</v>
      </c>
      <c r="P65" s="100">
        <v>0.45</v>
      </c>
      <c r="Q65" s="100">
        <v>28.85</v>
      </c>
      <c r="R65" s="6"/>
      <c r="S65" s="6"/>
      <c r="T65" s="156"/>
      <c r="U65" s="6"/>
    </row>
    <row r="66" spans="1:21" customFormat="1">
      <c r="A66" s="163" t="s">
        <v>1641</v>
      </c>
      <c r="B66" s="100">
        <v>4.07</v>
      </c>
      <c r="C66" s="100">
        <v>18.13</v>
      </c>
      <c r="D66" s="100">
        <v>11.75</v>
      </c>
      <c r="E66" s="100">
        <v>13.04</v>
      </c>
      <c r="F66" s="100">
        <v>49.87</v>
      </c>
      <c r="G66" s="100">
        <v>180.44</v>
      </c>
      <c r="H66" s="100">
        <v>22.8</v>
      </c>
      <c r="I66" s="100">
        <v>8.35</v>
      </c>
      <c r="J66" s="100">
        <v>4.4000000000000004</v>
      </c>
      <c r="K66" s="100">
        <v>19.010000000000002</v>
      </c>
      <c r="L66" s="100">
        <v>32.97</v>
      </c>
      <c r="M66" s="100">
        <v>40.96</v>
      </c>
      <c r="N66" s="100">
        <v>169.9</v>
      </c>
      <c r="O66" s="100">
        <v>0</v>
      </c>
      <c r="P66" s="100">
        <v>0.47</v>
      </c>
      <c r="Q66" s="100">
        <v>28.67</v>
      </c>
      <c r="R66" s="6"/>
      <c r="S66" s="6"/>
      <c r="T66" s="156"/>
      <c r="U66" s="6"/>
    </row>
    <row r="67" spans="1:21" customFormat="1">
      <c r="A67" s="163" t="s">
        <v>1642</v>
      </c>
      <c r="B67" s="100">
        <v>5.44</v>
      </c>
      <c r="C67" s="100">
        <v>22.26</v>
      </c>
      <c r="D67" s="100">
        <v>15</v>
      </c>
      <c r="E67" s="100">
        <v>10.119999999999999</v>
      </c>
      <c r="F67" s="100">
        <v>53.52</v>
      </c>
      <c r="G67" s="100">
        <v>180.44</v>
      </c>
      <c r="H67" s="100">
        <v>22.8</v>
      </c>
      <c r="I67" s="100">
        <v>7.31</v>
      </c>
      <c r="J67" s="100">
        <v>4.12</v>
      </c>
      <c r="K67" s="100">
        <v>20.170000000000002</v>
      </c>
      <c r="L67" s="100">
        <v>33.25</v>
      </c>
      <c r="M67" s="100">
        <v>37.659999999999997</v>
      </c>
      <c r="N67" s="100">
        <v>192.9</v>
      </c>
      <c r="O67" s="100">
        <v>0</v>
      </c>
      <c r="P67" s="100">
        <v>0.5</v>
      </c>
      <c r="Q67" s="100">
        <v>27.56</v>
      </c>
      <c r="R67" s="6"/>
      <c r="S67" s="6"/>
      <c r="T67" s="156"/>
      <c r="U67" s="6"/>
    </row>
    <row r="68" spans="1:21" customFormat="1">
      <c r="A68" s="163" t="s">
        <v>1643</v>
      </c>
      <c r="B68" s="100">
        <v>3.16</v>
      </c>
      <c r="C68" s="100">
        <v>20.91</v>
      </c>
      <c r="D68" s="100">
        <v>12.47</v>
      </c>
      <c r="E68" s="100">
        <v>10.57</v>
      </c>
      <c r="F68" s="100">
        <v>50.46</v>
      </c>
      <c r="G68" s="100">
        <v>151.54</v>
      </c>
      <c r="H68" s="100">
        <v>22.37</v>
      </c>
      <c r="I68" s="100">
        <v>7.32</v>
      </c>
      <c r="J68" s="100">
        <v>4.0999999999999996</v>
      </c>
      <c r="K68" s="100">
        <v>21.59</v>
      </c>
      <c r="L68" s="100">
        <v>34.06</v>
      </c>
      <c r="M68" s="100">
        <v>34.4</v>
      </c>
      <c r="N68" s="100">
        <v>200.7</v>
      </c>
      <c r="O68" s="100">
        <v>0</v>
      </c>
      <c r="P68" s="100">
        <v>0.51</v>
      </c>
      <c r="Q68" s="100">
        <v>28.13</v>
      </c>
      <c r="R68" s="6"/>
      <c r="S68" s="6"/>
      <c r="T68" s="156"/>
      <c r="U68" s="6"/>
    </row>
    <row r="69" spans="1:21" customFormat="1">
      <c r="A69" s="163" t="s">
        <v>1644</v>
      </c>
      <c r="B69" s="100">
        <v>2.54</v>
      </c>
      <c r="C69" s="100">
        <v>24.32</v>
      </c>
      <c r="D69" s="100">
        <v>13.75</v>
      </c>
      <c r="E69" s="100">
        <v>13.81</v>
      </c>
      <c r="F69" s="100">
        <v>39.61</v>
      </c>
      <c r="G69" s="100">
        <v>43.54</v>
      </c>
      <c r="H69" s="100">
        <v>20.65</v>
      </c>
      <c r="I69" s="100">
        <v>7.15</v>
      </c>
      <c r="J69" s="100">
        <v>3.82</v>
      </c>
      <c r="K69" s="100">
        <v>21.42</v>
      </c>
      <c r="L69" s="100">
        <v>34.840000000000003</v>
      </c>
      <c r="M69" s="100">
        <v>33.01</v>
      </c>
      <c r="N69" s="100">
        <v>279.7</v>
      </c>
      <c r="O69" s="100">
        <v>0</v>
      </c>
      <c r="P69" s="100">
        <v>0.53</v>
      </c>
      <c r="Q69" s="100">
        <v>28.2</v>
      </c>
      <c r="R69" s="6"/>
      <c r="S69" s="6"/>
      <c r="T69" s="156"/>
      <c r="U69" s="6"/>
    </row>
    <row r="70" spans="1:21" customFormat="1">
      <c r="A70" s="163" t="s">
        <v>1645</v>
      </c>
      <c r="B70" s="100">
        <v>2.27</v>
      </c>
      <c r="C70" s="100">
        <v>23.69</v>
      </c>
      <c r="D70" s="100">
        <v>13.2</v>
      </c>
      <c r="E70" s="100">
        <v>13.79</v>
      </c>
      <c r="F70" s="100">
        <v>34.06</v>
      </c>
      <c r="G70" s="100">
        <v>43.54</v>
      </c>
      <c r="H70" s="100">
        <v>20.65</v>
      </c>
      <c r="I70" s="100">
        <v>7.1</v>
      </c>
      <c r="J70" s="100">
        <v>3.77</v>
      </c>
      <c r="K70" s="100">
        <v>35.65</v>
      </c>
      <c r="L70" s="100">
        <v>35.5</v>
      </c>
      <c r="M70" s="100">
        <v>32.549999999999997</v>
      </c>
      <c r="N70" s="100">
        <v>341.3</v>
      </c>
      <c r="O70" s="100">
        <v>0</v>
      </c>
      <c r="P70" s="100">
        <v>0.53</v>
      </c>
      <c r="Q70" s="100">
        <v>28.27</v>
      </c>
      <c r="R70" s="6"/>
      <c r="S70" s="6"/>
      <c r="T70" s="156"/>
      <c r="U70" s="6"/>
    </row>
    <row r="71" spans="1:21" customFormat="1">
      <c r="A71" s="163" t="s">
        <v>1646</v>
      </c>
      <c r="B71" s="100">
        <v>1.86</v>
      </c>
      <c r="C71" s="100">
        <v>21.19</v>
      </c>
      <c r="D71" s="100">
        <v>11.57</v>
      </c>
      <c r="E71" s="100">
        <v>13.83</v>
      </c>
      <c r="F71" s="100">
        <v>21.61</v>
      </c>
      <c r="G71" s="100">
        <v>43.54</v>
      </c>
      <c r="H71" s="100">
        <v>20.65</v>
      </c>
      <c r="I71" s="100">
        <v>6.97</v>
      </c>
      <c r="J71" s="100">
        <v>1.28</v>
      </c>
      <c r="K71" s="100">
        <v>215.9</v>
      </c>
      <c r="L71" s="100">
        <v>35.43</v>
      </c>
      <c r="M71" s="100">
        <v>31.42</v>
      </c>
      <c r="N71" s="100">
        <v>156.6</v>
      </c>
      <c r="O71" s="100">
        <v>0</v>
      </c>
      <c r="P71" s="100">
        <v>0.51</v>
      </c>
      <c r="Q71" s="100">
        <v>28.46</v>
      </c>
      <c r="R71" s="6"/>
      <c r="S71" s="6"/>
      <c r="T71" s="156"/>
      <c r="U71" s="6"/>
    </row>
    <row r="72" spans="1:21" customFormat="1">
      <c r="A72" s="163" t="s">
        <v>1647</v>
      </c>
      <c r="B72" s="100">
        <v>1.69</v>
      </c>
      <c r="C72" s="100">
        <v>18.809999999999999</v>
      </c>
      <c r="D72" s="100">
        <v>10.19</v>
      </c>
      <c r="E72" s="100">
        <v>13.52</v>
      </c>
      <c r="F72" s="100">
        <v>29.07</v>
      </c>
      <c r="G72" s="100">
        <v>48.88</v>
      </c>
      <c r="H72" s="100">
        <v>21.22</v>
      </c>
      <c r="I72" s="100">
        <v>6.96</v>
      </c>
      <c r="J72" s="100">
        <v>2.74</v>
      </c>
      <c r="K72" s="100">
        <v>219.73</v>
      </c>
      <c r="L72" s="100">
        <v>34.4</v>
      </c>
      <c r="M72" s="100">
        <v>37.450000000000003</v>
      </c>
      <c r="N72" s="100">
        <v>214.1</v>
      </c>
      <c r="O72" s="100">
        <v>0</v>
      </c>
      <c r="P72" s="100">
        <v>0.51</v>
      </c>
      <c r="Q72" s="100">
        <v>28.62</v>
      </c>
      <c r="R72" s="6"/>
      <c r="S72" s="6"/>
      <c r="T72" s="156"/>
      <c r="U72" s="6"/>
    </row>
    <row r="73" spans="1:21" customFormat="1">
      <c r="A73" s="163" t="s">
        <v>1648</v>
      </c>
      <c r="B73" s="100">
        <v>1.69</v>
      </c>
      <c r="C73" s="100">
        <v>18.95</v>
      </c>
      <c r="D73" s="100">
        <v>10.26</v>
      </c>
      <c r="E73" s="100">
        <v>13.29</v>
      </c>
      <c r="F73" s="100">
        <v>14.19</v>
      </c>
      <c r="G73" s="100">
        <v>68.849999999999994</v>
      </c>
      <c r="H73" s="100">
        <v>23.34</v>
      </c>
      <c r="I73" s="100">
        <v>6.85</v>
      </c>
      <c r="J73" s="100">
        <v>2.71</v>
      </c>
      <c r="K73" s="100">
        <v>202.38</v>
      </c>
      <c r="L73" s="100">
        <v>34.909999999999997</v>
      </c>
      <c r="M73" s="100">
        <v>37.799999999999997</v>
      </c>
      <c r="N73" s="100">
        <v>317</v>
      </c>
      <c r="O73" s="100">
        <v>0</v>
      </c>
      <c r="P73" s="100">
        <v>0.52</v>
      </c>
      <c r="Q73" s="100">
        <v>28.67</v>
      </c>
      <c r="R73" s="6"/>
      <c r="S73" s="6"/>
      <c r="T73" s="156"/>
      <c r="U73" s="6"/>
    </row>
    <row r="74" spans="1:21" customFormat="1">
      <c r="A74" s="163" t="s">
        <v>1649</v>
      </c>
      <c r="B74" s="100">
        <v>1.61</v>
      </c>
      <c r="C74" s="100">
        <v>18.899999999999999</v>
      </c>
      <c r="D74" s="100">
        <v>10.18</v>
      </c>
      <c r="E74" s="100">
        <v>12.8</v>
      </c>
      <c r="F74" s="100">
        <v>8.86</v>
      </c>
      <c r="G74" s="100">
        <v>68.849999999999994</v>
      </c>
      <c r="H74" s="100">
        <v>23.34</v>
      </c>
      <c r="I74" s="100">
        <v>7.38</v>
      </c>
      <c r="J74" s="100">
        <v>3.4</v>
      </c>
      <c r="K74" s="100">
        <v>233.19</v>
      </c>
      <c r="L74" s="100">
        <v>35.11</v>
      </c>
      <c r="M74" s="100">
        <v>38.19</v>
      </c>
      <c r="N74" s="100">
        <v>288.60000000000002</v>
      </c>
      <c r="O74" s="100">
        <v>0</v>
      </c>
      <c r="P74" s="100">
        <v>0.52</v>
      </c>
      <c r="Q74" s="100">
        <v>28.69</v>
      </c>
      <c r="R74" s="6"/>
      <c r="S74" s="6"/>
      <c r="T74" s="156"/>
      <c r="U74" s="6"/>
    </row>
    <row r="75" spans="1:21" customFormat="1">
      <c r="A75" s="163" t="s">
        <v>1650</v>
      </c>
      <c r="B75" s="100">
        <v>1.83</v>
      </c>
      <c r="C75" s="100">
        <v>15.54</v>
      </c>
      <c r="D75" s="100">
        <v>8.59</v>
      </c>
      <c r="E75" s="100">
        <v>13.29</v>
      </c>
      <c r="F75" s="100">
        <v>18.02</v>
      </c>
      <c r="G75" s="100">
        <v>68.849999999999994</v>
      </c>
      <c r="H75" s="100">
        <v>23.34</v>
      </c>
      <c r="I75" s="100">
        <v>7.56</v>
      </c>
      <c r="J75" s="100">
        <v>3.79</v>
      </c>
      <c r="K75" s="100">
        <v>229</v>
      </c>
      <c r="L75" s="100">
        <v>34.5</v>
      </c>
      <c r="M75" s="100">
        <v>39.17</v>
      </c>
      <c r="N75" s="100">
        <v>230.5</v>
      </c>
      <c r="O75" s="100">
        <v>0</v>
      </c>
      <c r="P75" s="100">
        <v>0.51</v>
      </c>
      <c r="Q75" s="100">
        <v>28.85</v>
      </c>
      <c r="R75" s="6"/>
      <c r="S75" s="6"/>
      <c r="T75" s="156"/>
      <c r="U75" s="6"/>
    </row>
    <row r="76" spans="1:21" customFormat="1">
      <c r="A76" s="163" t="s">
        <v>1651</v>
      </c>
      <c r="B76" s="100">
        <v>1.87</v>
      </c>
      <c r="C76" s="100">
        <v>12.93</v>
      </c>
      <c r="D76" s="100">
        <v>7.27</v>
      </c>
      <c r="E76" s="100">
        <v>13.86</v>
      </c>
      <c r="F76" s="100">
        <v>19.09</v>
      </c>
      <c r="G76" s="100">
        <v>64.37</v>
      </c>
      <c r="H76" s="100">
        <v>23.33</v>
      </c>
      <c r="I76" s="100">
        <v>7.63</v>
      </c>
      <c r="J76" s="100">
        <v>2.82</v>
      </c>
      <c r="K76" s="100">
        <v>265.38</v>
      </c>
      <c r="L76" s="100">
        <v>35.04</v>
      </c>
      <c r="M76" s="100">
        <v>37.909999999999997</v>
      </c>
      <c r="N76" s="100">
        <v>190.8</v>
      </c>
      <c r="O76" s="100">
        <v>0</v>
      </c>
      <c r="P76" s="100">
        <v>0.49</v>
      </c>
      <c r="Q76" s="100">
        <v>29.04</v>
      </c>
      <c r="R76" s="6"/>
      <c r="S76" s="6"/>
      <c r="T76" s="156"/>
      <c r="U76" s="6"/>
    </row>
    <row r="77" spans="1:21" customFormat="1">
      <c r="A77" s="163" t="s">
        <v>1652</v>
      </c>
      <c r="B77" s="100">
        <v>2</v>
      </c>
      <c r="C77" s="100">
        <v>13.21</v>
      </c>
      <c r="D77" s="100">
        <v>7.51</v>
      </c>
      <c r="E77" s="100">
        <v>6.02</v>
      </c>
      <c r="F77" s="100">
        <v>6.34</v>
      </c>
      <c r="G77" s="100">
        <v>47.6</v>
      </c>
      <c r="H77" s="100">
        <v>23.3</v>
      </c>
      <c r="I77" s="100">
        <v>7.98</v>
      </c>
      <c r="J77" s="100">
        <v>4.66</v>
      </c>
      <c r="K77" s="100">
        <v>247.6</v>
      </c>
      <c r="L77" s="100">
        <v>33.94</v>
      </c>
      <c r="M77" s="100">
        <v>42.82</v>
      </c>
      <c r="N77" s="100">
        <v>135.5</v>
      </c>
      <c r="O77" s="100">
        <v>0</v>
      </c>
      <c r="P77" s="100">
        <v>0.45</v>
      </c>
      <c r="Q77" s="100">
        <v>29.08</v>
      </c>
      <c r="R77" s="6"/>
      <c r="S77" s="6"/>
      <c r="T77" s="156"/>
      <c r="U77" s="6"/>
    </row>
    <row r="78" spans="1:21" customFormat="1">
      <c r="A78" s="163" t="s">
        <v>1653</v>
      </c>
      <c r="B78" s="100">
        <v>2.0499999999999998</v>
      </c>
      <c r="C78" s="100">
        <v>14.67</v>
      </c>
      <c r="D78" s="100">
        <v>8.31</v>
      </c>
      <c r="E78" s="100">
        <v>7.52</v>
      </c>
      <c r="F78" s="100">
        <v>6.32</v>
      </c>
      <c r="G78" s="100">
        <v>47.6</v>
      </c>
      <c r="H78" s="100">
        <v>23.3</v>
      </c>
      <c r="I78" s="100">
        <v>8.0500000000000007</v>
      </c>
      <c r="J78" s="100">
        <v>4.55</v>
      </c>
      <c r="K78" s="100">
        <v>248.92</v>
      </c>
      <c r="L78" s="100">
        <v>34.01</v>
      </c>
      <c r="M78" s="100">
        <v>41.46</v>
      </c>
      <c r="N78" s="100">
        <v>105.7</v>
      </c>
      <c r="O78" s="100">
        <v>0</v>
      </c>
      <c r="P78" s="100">
        <v>0.46</v>
      </c>
      <c r="Q78" s="100">
        <v>29.02</v>
      </c>
      <c r="R78" s="6"/>
      <c r="S78" s="6"/>
      <c r="T78" s="156"/>
      <c r="U78" s="6"/>
    </row>
    <row r="79" spans="1:21" customFormat="1">
      <c r="A79" s="163" t="s">
        <v>1654</v>
      </c>
      <c r="B79" s="100">
        <v>2.16</v>
      </c>
      <c r="C79" s="100">
        <v>13.35</v>
      </c>
      <c r="D79" s="100">
        <v>7.71</v>
      </c>
      <c r="E79" s="100">
        <v>7.59</v>
      </c>
      <c r="F79" s="100">
        <v>16.79</v>
      </c>
      <c r="G79" s="100">
        <v>47.6</v>
      </c>
      <c r="H79" s="100">
        <v>23.3</v>
      </c>
      <c r="I79" s="100">
        <v>8.2799999999999994</v>
      </c>
      <c r="J79" s="100">
        <v>3.06</v>
      </c>
      <c r="K79" s="100">
        <v>235.41</v>
      </c>
      <c r="L79" s="100">
        <v>34.159999999999997</v>
      </c>
      <c r="M79" s="100">
        <v>40.54</v>
      </c>
      <c r="N79" s="100">
        <v>81.5</v>
      </c>
      <c r="O79" s="100">
        <v>0</v>
      </c>
      <c r="P79" s="100">
        <v>0.45</v>
      </c>
      <c r="Q79" s="100">
        <v>29.08</v>
      </c>
      <c r="R79" s="6"/>
      <c r="S79" s="6"/>
      <c r="T79" s="156"/>
      <c r="U79" s="6"/>
    </row>
    <row r="80" spans="1:21" customFormat="1">
      <c r="A80" s="163" t="s">
        <v>1655</v>
      </c>
      <c r="B80" s="100">
        <v>1.94</v>
      </c>
      <c r="C80" s="100">
        <v>15.6</v>
      </c>
      <c r="D80" s="100">
        <v>8.7100000000000009</v>
      </c>
      <c r="E80" s="100">
        <v>7.8</v>
      </c>
      <c r="F80" s="100">
        <v>33.25</v>
      </c>
      <c r="G80" s="100">
        <v>44.78</v>
      </c>
      <c r="H80" s="100">
        <v>22.47</v>
      </c>
      <c r="I80" s="100">
        <v>8.27</v>
      </c>
      <c r="J80" s="100">
        <v>2.88</v>
      </c>
      <c r="K80" s="100">
        <v>196.52</v>
      </c>
      <c r="L80" s="100">
        <v>34.24</v>
      </c>
      <c r="M80" s="100">
        <v>39.89</v>
      </c>
      <c r="N80" s="100">
        <v>55.7</v>
      </c>
      <c r="O80" s="100">
        <v>0</v>
      </c>
      <c r="P80" s="100">
        <v>0.43</v>
      </c>
      <c r="Q80" s="100">
        <v>28.97</v>
      </c>
      <c r="R80" s="6"/>
      <c r="S80" s="6"/>
      <c r="T80" s="156"/>
      <c r="U80" s="6"/>
    </row>
    <row r="81" spans="1:21" customFormat="1">
      <c r="A81" s="163" t="s">
        <v>1656</v>
      </c>
      <c r="B81" s="100">
        <v>1.93</v>
      </c>
      <c r="C81" s="100">
        <v>14.98</v>
      </c>
      <c r="D81" s="100">
        <v>8.3800000000000008</v>
      </c>
      <c r="E81" s="100">
        <v>7.61</v>
      </c>
      <c r="F81" s="100">
        <v>23.07</v>
      </c>
      <c r="G81" s="100">
        <v>34.270000000000003</v>
      </c>
      <c r="H81" s="100">
        <v>19.37</v>
      </c>
      <c r="I81" s="100">
        <v>7.92</v>
      </c>
      <c r="J81" s="100">
        <v>3.12</v>
      </c>
      <c r="K81" s="100">
        <v>219.45</v>
      </c>
      <c r="L81" s="100">
        <v>34.21</v>
      </c>
      <c r="M81" s="100">
        <v>39.5</v>
      </c>
      <c r="N81" s="100">
        <v>41</v>
      </c>
      <c r="O81" s="100">
        <v>0</v>
      </c>
      <c r="P81" s="100">
        <v>0.46</v>
      </c>
      <c r="Q81" s="100">
        <v>28.94</v>
      </c>
      <c r="R81" s="6"/>
      <c r="S81" s="6"/>
      <c r="T81" s="156"/>
      <c r="U81" s="6"/>
    </row>
    <row r="82" spans="1:21" customFormat="1">
      <c r="A82" s="163" t="s">
        <v>1657</v>
      </c>
      <c r="B82" s="100">
        <v>1.99</v>
      </c>
      <c r="C82" s="100">
        <v>15.25</v>
      </c>
      <c r="D82" s="100">
        <v>8.56</v>
      </c>
      <c r="E82" s="100">
        <v>7.12</v>
      </c>
      <c r="F82" s="100">
        <v>21.04</v>
      </c>
      <c r="G82" s="100">
        <v>34.270000000000003</v>
      </c>
      <c r="H82" s="100">
        <v>19.37</v>
      </c>
      <c r="I82" s="100">
        <v>7.59</v>
      </c>
      <c r="J82" s="100">
        <v>3.43</v>
      </c>
      <c r="K82" s="100">
        <v>212.48</v>
      </c>
      <c r="L82" s="100">
        <v>33.85</v>
      </c>
      <c r="M82" s="100">
        <v>39.26</v>
      </c>
      <c r="N82" s="100">
        <v>28.9</v>
      </c>
      <c r="O82" s="100">
        <v>0</v>
      </c>
      <c r="P82" s="100">
        <v>0.47</v>
      </c>
      <c r="Q82" s="100">
        <v>29.15</v>
      </c>
      <c r="R82" s="6"/>
      <c r="S82" s="6"/>
      <c r="T82" s="156"/>
      <c r="U82" s="6"/>
    </row>
    <row r="83" spans="1:21" customFormat="1">
      <c r="A83" s="163" t="s">
        <v>1658</v>
      </c>
      <c r="B83" s="100">
        <v>2.0499999999999998</v>
      </c>
      <c r="C83" s="100">
        <v>15.83</v>
      </c>
      <c r="D83" s="100">
        <v>8.92</v>
      </c>
      <c r="E83" s="100">
        <v>7.36</v>
      </c>
      <c r="F83" s="100">
        <v>21.22</v>
      </c>
      <c r="G83" s="100">
        <v>34.270000000000003</v>
      </c>
      <c r="H83" s="100">
        <v>19.37</v>
      </c>
      <c r="I83" s="100">
        <v>7.91</v>
      </c>
      <c r="J83" s="100">
        <v>3.56</v>
      </c>
      <c r="K83" s="100">
        <v>219.49</v>
      </c>
      <c r="L83" s="100">
        <v>33.67</v>
      </c>
      <c r="M83" s="100">
        <v>38.82</v>
      </c>
      <c r="N83" s="100">
        <v>23.8</v>
      </c>
      <c r="O83" s="100">
        <v>0</v>
      </c>
      <c r="P83" s="100">
        <v>0.47</v>
      </c>
      <c r="Q83" s="100">
        <v>29.1</v>
      </c>
      <c r="R83" s="6"/>
      <c r="S83" s="6"/>
      <c r="T83" s="156"/>
      <c r="U83" s="6"/>
    </row>
    <row r="84" spans="1:21" customFormat="1">
      <c r="A84" s="163" t="s">
        <v>1659</v>
      </c>
      <c r="B84" s="100">
        <v>2.06</v>
      </c>
      <c r="C84" s="100">
        <v>15.46</v>
      </c>
      <c r="D84" s="100">
        <v>8.74</v>
      </c>
      <c r="E84" s="100">
        <v>7.16</v>
      </c>
      <c r="F84" s="100">
        <v>14.24</v>
      </c>
      <c r="G84" s="100">
        <v>37.56</v>
      </c>
      <c r="H84" s="100">
        <v>19.149999999999999</v>
      </c>
      <c r="I84" s="100">
        <v>7.9</v>
      </c>
      <c r="J84" s="100">
        <v>3.63</v>
      </c>
      <c r="K84" s="100">
        <v>230.18</v>
      </c>
      <c r="L84" s="100">
        <v>33.26</v>
      </c>
      <c r="M84" s="100">
        <v>40.630000000000003</v>
      </c>
      <c r="N84" s="100">
        <v>23.3</v>
      </c>
      <c r="O84" s="100">
        <v>0</v>
      </c>
      <c r="P84" s="100">
        <v>0.48</v>
      </c>
      <c r="Q84" s="100">
        <v>29.02</v>
      </c>
      <c r="R84" s="6"/>
      <c r="S84" s="6"/>
      <c r="T84" s="156"/>
      <c r="U84" s="6"/>
    </row>
    <row r="85" spans="1:21" customFormat="1">
      <c r="A85" s="163" t="s">
        <v>1660</v>
      </c>
      <c r="B85" s="100">
        <v>2.11</v>
      </c>
      <c r="C85" s="100">
        <v>16.91</v>
      </c>
      <c r="D85" s="100">
        <v>9.5299999999999994</v>
      </c>
      <c r="E85" s="100">
        <v>7.15</v>
      </c>
      <c r="F85" s="100">
        <v>20.48</v>
      </c>
      <c r="G85" s="100">
        <v>49.88</v>
      </c>
      <c r="H85" s="100">
        <v>18.329999999999998</v>
      </c>
      <c r="I85" s="100">
        <v>7.93</v>
      </c>
      <c r="J85" s="100">
        <v>3.6</v>
      </c>
      <c r="K85" s="100">
        <v>218.19</v>
      </c>
      <c r="L85" s="100">
        <v>32.840000000000003</v>
      </c>
      <c r="M85" s="100">
        <v>41.39</v>
      </c>
      <c r="N85" s="100">
        <v>23.3</v>
      </c>
      <c r="O85" s="100">
        <v>0</v>
      </c>
      <c r="P85" s="100">
        <v>0.48</v>
      </c>
      <c r="Q85" s="100">
        <v>28.9</v>
      </c>
      <c r="R85" s="6"/>
      <c r="S85" s="6"/>
      <c r="T85" s="156"/>
      <c r="U85" s="6"/>
    </row>
    <row r="86" spans="1:21" customFormat="1">
      <c r="A86" s="163" t="s">
        <v>1661</v>
      </c>
      <c r="B86" s="100">
        <v>2.04</v>
      </c>
      <c r="C86" s="100">
        <v>15.57</v>
      </c>
      <c r="D86" s="100">
        <v>8.77</v>
      </c>
      <c r="E86" s="100">
        <v>7.14</v>
      </c>
      <c r="F86" s="100">
        <v>16.63</v>
      </c>
      <c r="G86" s="100">
        <v>49.88</v>
      </c>
      <c r="H86" s="100">
        <v>18.329999999999998</v>
      </c>
      <c r="I86" s="100">
        <v>8.0500000000000007</v>
      </c>
      <c r="J86" s="100">
        <v>2.98</v>
      </c>
      <c r="K86" s="100">
        <v>201.73</v>
      </c>
      <c r="L86" s="100">
        <v>32.69</v>
      </c>
      <c r="M86" s="100">
        <v>41.41</v>
      </c>
      <c r="N86" s="100">
        <v>23.1</v>
      </c>
      <c r="O86" s="100">
        <v>0</v>
      </c>
      <c r="P86" s="100">
        <v>0.48</v>
      </c>
      <c r="Q86" s="100">
        <v>28.96</v>
      </c>
      <c r="R86" s="6"/>
      <c r="S86" s="6"/>
      <c r="T86" s="156"/>
      <c r="U86" s="6"/>
    </row>
    <row r="87" spans="1:21" customFormat="1">
      <c r="A87" s="163" t="s">
        <v>1662</v>
      </c>
      <c r="B87" s="100">
        <v>1.99</v>
      </c>
      <c r="C87" s="100">
        <v>17.5</v>
      </c>
      <c r="D87" s="100">
        <v>9.75</v>
      </c>
      <c r="E87" s="100">
        <v>6.64</v>
      </c>
      <c r="F87" s="100">
        <v>9.84</v>
      </c>
      <c r="G87" s="100">
        <v>49.88</v>
      </c>
      <c r="H87" s="100">
        <v>18.329999999999998</v>
      </c>
      <c r="I87" s="100">
        <v>7.91</v>
      </c>
      <c r="J87" s="100">
        <v>3.08</v>
      </c>
      <c r="K87" s="100">
        <v>196.21</v>
      </c>
      <c r="L87" s="100">
        <v>32.65</v>
      </c>
      <c r="M87" s="100">
        <v>41.52</v>
      </c>
      <c r="N87" s="100">
        <v>22.9</v>
      </c>
      <c r="O87" s="100">
        <v>0</v>
      </c>
      <c r="P87" s="100">
        <v>0.49</v>
      </c>
      <c r="Q87" s="100">
        <v>28.87</v>
      </c>
      <c r="R87" s="6"/>
      <c r="S87" s="6"/>
      <c r="T87" s="156"/>
      <c r="U87" s="6"/>
    </row>
    <row r="88" spans="1:21" customFormat="1">
      <c r="A88" s="163" t="s">
        <v>1663</v>
      </c>
      <c r="B88" s="100">
        <v>2.1800000000000002</v>
      </c>
      <c r="C88" s="100">
        <v>16.149999999999999</v>
      </c>
      <c r="D88" s="100">
        <v>9.19</v>
      </c>
      <c r="E88" s="100">
        <v>7.46</v>
      </c>
      <c r="F88" s="100">
        <v>21.93</v>
      </c>
      <c r="G88" s="100">
        <v>48.37</v>
      </c>
      <c r="H88" s="100">
        <v>18.649999999999999</v>
      </c>
      <c r="I88" s="100">
        <v>8</v>
      </c>
      <c r="J88" s="100">
        <v>3.09</v>
      </c>
      <c r="K88" s="100">
        <v>192.43</v>
      </c>
      <c r="L88" s="100">
        <v>32.880000000000003</v>
      </c>
      <c r="M88" s="100">
        <v>40.619999999999997</v>
      </c>
      <c r="N88" s="100">
        <v>22.7</v>
      </c>
      <c r="O88" s="100">
        <v>0</v>
      </c>
      <c r="P88" s="100">
        <v>0.48</v>
      </c>
      <c r="Q88" s="100">
        <v>28.91</v>
      </c>
      <c r="R88" s="6"/>
      <c r="S88" s="6"/>
      <c r="T88" s="156"/>
      <c r="U88" s="6"/>
    </row>
    <row r="89" spans="1:21" customFormat="1">
      <c r="A89" s="163" t="s">
        <v>1664</v>
      </c>
      <c r="B89" s="100">
        <v>2.44</v>
      </c>
      <c r="C89" s="100">
        <v>12.61</v>
      </c>
      <c r="D89" s="100">
        <v>7.56</v>
      </c>
      <c r="E89" s="100">
        <v>7.81</v>
      </c>
      <c r="F89" s="100">
        <v>15.81</v>
      </c>
      <c r="G89" s="100">
        <v>42.74</v>
      </c>
      <c r="H89" s="100">
        <v>19.86</v>
      </c>
      <c r="I89" s="100">
        <v>8.18</v>
      </c>
      <c r="J89" s="100">
        <v>3.28</v>
      </c>
      <c r="K89" s="100">
        <v>202.95</v>
      </c>
      <c r="L89" s="100">
        <v>32.840000000000003</v>
      </c>
      <c r="M89" s="100">
        <v>40.700000000000003</v>
      </c>
      <c r="N89" s="100">
        <v>22.8</v>
      </c>
      <c r="O89" s="100">
        <v>0</v>
      </c>
      <c r="P89" s="100">
        <v>0.47</v>
      </c>
      <c r="Q89" s="100">
        <v>29.02</v>
      </c>
      <c r="R89" s="6"/>
      <c r="S89" s="6"/>
      <c r="T89" s="156"/>
      <c r="U89" s="6"/>
    </row>
    <row r="90" spans="1:21" customFormat="1">
      <c r="A90" s="163" t="s">
        <v>1665</v>
      </c>
      <c r="B90" s="100">
        <v>2.54</v>
      </c>
      <c r="C90" s="100">
        <v>13.17</v>
      </c>
      <c r="D90" s="100">
        <v>7.92</v>
      </c>
      <c r="E90" s="100">
        <v>7.05</v>
      </c>
      <c r="F90" s="100">
        <v>8.42</v>
      </c>
      <c r="G90" s="100">
        <v>42.74</v>
      </c>
      <c r="H90" s="100">
        <v>19.86</v>
      </c>
      <c r="I90" s="100">
        <v>8.32</v>
      </c>
      <c r="J90" s="100">
        <v>2.3199999999999998</v>
      </c>
      <c r="K90" s="100">
        <v>208.39</v>
      </c>
      <c r="L90" s="100">
        <v>32.130000000000003</v>
      </c>
      <c r="M90" s="100">
        <v>45.56</v>
      </c>
      <c r="N90" s="100">
        <v>23.5</v>
      </c>
      <c r="O90" s="100">
        <v>0</v>
      </c>
      <c r="P90" s="100">
        <v>0.47</v>
      </c>
      <c r="Q90" s="100">
        <v>29.12</v>
      </c>
      <c r="R90" s="6"/>
      <c r="S90" s="6"/>
      <c r="T90" s="156"/>
      <c r="U90" s="6"/>
    </row>
    <row r="91" spans="1:21" customFormat="1">
      <c r="A91" s="163" t="s">
        <v>1666</v>
      </c>
      <c r="B91" s="100">
        <v>2.63</v>
      </c>
      <c r="C91" s="100">
        <v>14.4</v>
      </c>
      <c r="D91" s="100">
        <v>8.64</v>
      </c>
      <c r="E91" s="100">
        <v>7.07</v>
      </c>
      <c r="F91" s="100">
        <v>10.210000000000001</v>
      </c>
      <c r="G91" s="100">
        <v>42.74</v>
      </c>
      <c r="H91" s="100">
        <v>19.86</v>
      </c>
      <c r="I91" s="100">
        <v>8.5</v>
      </c>
      <c r="J91" s="100">
        <v>2.71</v>
      </c>
      <c r="K91" s="100">
        <v>191.7</v>
      </c>
      <c r="L91" s="100">
        <v>31.56</v>
      </c>
      <c r="M91" s="100">
        <v>50.25</v>
      </c>
      <c r="N91" s="100">
        <v>23.4</v>
      </c>
      <c r="O91" s="100">
        <v>0</v>
      </c>
      <c r="P91" s="100">
        <v>0.47</v>
      </c>
      <c r="Q91" s="100">
        <v>28.97</v>
      </c>
      <c r="R91" s="6"/>
      <c r="S91" s="6"/>
      <c r="T91" s="156"/>
      <c r="U91" s="6"/>
    </row>
    <row r="92" spans="1:21" customFormat="1">
      <c r="A92" s="163" t="s">
        <v>1667</v>
      </c>
      <c r="B92" s="100">
        <v>2.71</v>
      </c>
      <c r="C92" s="100">
        <v>11.42</v>
      </c>
      <c r="D92" s="100">
        <v>7.15</v>
      </c>
      <c r="E92" s="100">
        <v>7.08</v>
      </c>
      <c r="F92" s="100">
        <v>12.05</v>
      </c>
      <c r="G92" s="100">
        <v>42.56</v>
      </c>
      <c r="H92" s="100">
        <v>20.41</v>
      </c>
      <c r="I92" s="100">
        <v>8.51</v>
      </c>
      <c r="J92" s="100">
        <v>2.5499999999999998</v>
      </c>
      <c r="K92" s="100">
        <v>201.08</v>
      </c>
      <c r="L92" s="100">
        <v>30.88</v>
      </c>
      <c r="M92" s="100">
        <v>53.18</v>
      </c>
      <c r="N92" s="100">
        <v>23.3</v>
      </c>
      <c r="O92" s="100">
        <v>0</v>
      </c>
      <c r="P92" s="100">
        <v>0.46</v>
      </c>
      <c r="Q92" s="100">
        <v>29.12</v>
      </c>
      <c r="R92" s="6"/>
      <c r="S92" s="6"/>
      <c r="T92" s="156"/>
      <c r="U92" s="6"/>
    </row>
    <row r="93" spans="1:21" customFormat="1">
      <c r="A93" s="163" t="s">
        <v>1668</v>
      </c>
      <c r="B93" s="100">
        <v>2.72</v>
      </c>
      <c r="C93" s="100">
        <v>13.15</v>
      </c>
      <c r="D93" s="100">
        <v>8.06</v>
      </c>
      <c r="E93" s="100">
        <v>6.97</v>
      </c>
      <c r="F93" s="100">
        <v>16.16</v>
      </c>
      <c r="G93" s="100">
        <v>41.88</v>
      </c>
      <c r="H93" s="100">
        <v>22.44</v>
      </c>
      <c r="I93" s="100">
        <v>8.5299999999999994</v>
      </c>
      <c r="J93" s="100">
        <v>3</v>
      </c>
      <c r="K93" s="100">
        <v>197.55</v>
      </c>
      <c r="L93" s="100">
        <v>30.45</v>
      </c>
      <c r="M93" s="100">
        <v>53.43</v>
      </c>
      <c r="N93" s="100">
        <v>23.2</v>
      </c>
      <c r="O93" s="100">
        <v>0</v>
      </c>
      <c r="P93" s="100">
        <v>0.46</v>
      </c>
      <c r="Q93" s="100">
        <v>29.04</v>
      </c>
      <c r="R93" s="6"/>
      <c r="S93" s="6"/>
      <c r="T93" s="156"/>
      <c r="U93" s="6"/>
    </row>
    <row r="94" spans="1:21" customFormat="1">
      <c r="A94" s="163" t="s">
        <v>1669</v>
      </c>
      <c r="B94" s="100">
        <v>2.73</v>
      </c>
      <c r="C94" s="100">
        <v>13.17</v>
      </c>
      <c r="D94" s="100">
        <v>8.08</v>
      </c>
      <c r="E94" s="100">
        <v>6.21</v>
      </c>
      <c r="F94" s="100">
        <v>15.24</v>
      </c>
      <c r="G94" s="100">
        <v>41.88</v>
      </c>
      <c r="H94" s="100">
        <v>22.44</v>
      </c>
      <c r="I94" s="100">
        <v>8.4700000000000006</v>
      </c>
      <c r="J94" s="100">
        <v>2.66</v>
      </c>
      <c r="K94" s="100">
        <v>204.72</v>
      </c>
      <c r="L94" s="100">
        <v>30.47</v>
      </c>
      <c r="M94" s="100">
        <v>52.79</v>
      </c>
      <c r="N94" s="100">
        <v>22.7</v>
      </c>
      <c r="O94" s="100">
        <v>0</v>
      </c>
      <c r="P94" s="100">
        <v>0.47</v>
      </c>
      <c r="Q94" s="100">
        <v>29.04</v>
      </c>
      <c r="R94" s="6"/>
      <c r="S94" s="6"/>
      <c r="T94" s="156"/>
      <c r="U94" s="6"/>
    </row>
    <row r="95" spans="1:21" customFormat="1">
      <c r="A95" s="163" t="s">
        <v>1670</v>
      </c>
      <c r="B95" s="100">
        <v>2.72</v>
      </c>
      <c r="C95" s="100">
        <v>13.58</v>
      </c>
      <c r="D95" s="100">
        <v>8.2799999999999994</v>
      </c>
      <c r="E95" s="100">
        <v>6.36</v>
      </c>
      <c r="F95" s="100">
        <v>13.08</v>
      </c>
      <c r="G95" s="100">
        <v>41.88</v>
      </c>
      <c r="H95" s="100">
        <v>22.44</v>
      </c>
      <c r="I95" s="100">
        <v>8.3699999999999992</v>
      </c>
      <c r="J95" s="100">
        <v>2.65</v>
      </c>
      <c r="K95" s="100">
        <v>204.58</v>
      </c>
      <c r="L95" s="100">
        <v>30.46</v>
      </c>
      <c r="M95" s="100">
        <v>52.51</v>
      </c>
      <c r="N95" s="100">
        <v>22.8</v>
      </c>
      <c r="O95" s="100">
        <v>0</v>
      </c>
      <c r="P95" s="100">
        <v>0.47</v>
      </c>
      <c r="Q95" s="100">
        <v>29.01</v>
      </c>
      <c r="R95" s="6"/>
      <c r="S95" s="6"/>
      <c r="T95" s="156"/>
      <c r="U95" s="6"/>
    </row>
    <row r="96" spans="1:21" customFormat="1">
      <c r="A96" s="163" t="s">
        <v>1671</v>
      </c>
      <c r="B96" s="100">
        <v>2.64</v>
      </c>
      <c r="C96" s="100">
        <v>14.07</v>
      </c>
      <c r="D96" s="100">
        <v>8.4700000000000006</v>
      </c>
      <c r="E96" s="100">
        <v>6.66</v>
      </c>
      <c r="F96" s="100">
        <v>12.98</v>
      </c>
      <c r="G96" s="100">
        <v>38.29</v>
      </c>
      <c r="H96" s="100">
        <v>22.12</v>
      </c>
      <c r="I96" s="100">
        <v>8.3800000000000008</v>
      </c>
      <c r="J96" s="100">
        <v>3.19</v>
      </c>
      <c r="K96" s="100">
        <v>219.37</v>
      </c>
      <c r="L96" s="100">
        <v>30.31</v>
      </c>
      <c r="M96" s="100">
        <v>53.24</v>
      </c>
      <c r="N96" s="100">
        <v>22.9</v>
      </c>
      <c r="O96" s="100">
        <v>0</v>
      </c>
      <c r="P96" s="100">
        <v>0.47</v>
      </c>
      <c r="Q96" s="100">
        <v>28.98</v>
      </c>
      <c r="R96" s="6"/>
      <c r="S96" s="6"/>
      <c r="T96" s="156"/>
      <c r="U96" s="6"/>
    </row>
    <row r="97" spans="1:28" customFormat="1">
      <c r="A97" s="163" t="s">
        <v>1672</v>
      </c>
      <c r="B97" s="100">
        <v>2.72</v>
      </c>
      <c r="C97" s="100">
        <v>15.13</v>
      </c>
      <c r="D97" s="100">
        <v>9.1</v>
      </c>
      <c r="E97" s="100">
        <v>6.89</v>
      </c>
      <c r="F97" s="100">
        <v>12.01</v>
      </c>
      <c r="G97" s="100">
        <v>24.87</v>
      </c>
      <c r="H97" s="100">
        <v>20.93</v>
      </c>
      <c r="I97" s="100">
        <v>8.48</v>
      </c>
      <c r="J97" s="100">
        <v>3.04</v>
      </c>
      <c r="K97" s="100">
        <v>206.85</v>
      </c>
      <c r="L97" s="100">
        <v>30.17</v>
      </c>
      <c r="M97" s="100">
        <v>53.64</v>
      </c>
      <c r="N97" s="100">
        <v>23</v>
      </c>
      <c r="O97" s="100">
        <v>0</v>
      </c>
      <c r="P97" s="100">
        <v>0.48</v>
      </c>
      <c r="Q97" s="100">
        <v>28.91</v>
      </c>
      <c r="R97" s="6"/>
      <c r="S97" s="6"/>
      <c r="T97" s="156"/>
      <c r="U97" s="6"/>
    </row>
    <row r="98" spans="1:28" customFormat="1">
      <c r="A98" s="163" t="s">
        <v>1673</v>
      </c>
      <c r="B98" s="100">
        <v>2.72</v>
      </c>
      <c r="C98" s="100">
        <v>15.13</v>
      </c>
      <c r="D98" s="100">
        <v>9.09</v>
      </c>
      <c r="E98" s="100">
        <v>6.94</v>
      </c>
      <c r="F98" s="100">
        <v>11.32</v>
      </c>
      <c r="G98" s="100">
        <v>24.87</v>
      </c>
      <c r="H98" s="100">
        <v>20.93</v>
      </c>
      <c r="I98" s="100">
        <v>8.56</v>
      </c>
      <c r="J98" s="100">
        <v>3.17</v>
      </c>
      <c r="K98" s="100">
        <v>181.3</v>
      </c>
      <c r="L98" s="100">
        <v>30.04</v>
      </c>
      <c r="M98" s="100">
        <v>53.87</v>
      </c>
      <c r="N98" s="100">
        <v>23.2</v>
      </c>
      <c r="O98" s="100">
        <v>0</v>
      </c>
      <c r="P98" s="100">
        <v>0.47</v>
      </c>
      <c r="Q98" s="100">
        <v>28.93</v>
      </c>
      <c r="R98" s="6"/>
      <c r="S98" s="6"/>
      <c r="T98" s="156"/>
      <c r="U98" s="6"/>
    </row>
    <row r="99" spans="1:28" customFormat="1">
      <c r="A99" s="163" t="s">
        <v>1674</v>
      </c>
      <c r="B99" s="100">
        <v>2.69</v>
      </c>
      <c r="C99" s="100">
        <v>14.88</v>
      </c>
      <c r="D99" s="100">
        <v>8.94</v>
      </c>
      <c r="E99" s="100">
        <v>6.82</v>
      </c>
      <c r="F99" s="100">
        <v>9.64</v>
      </c>
      <c r="G99" s="100">
        <v>24.87</v>
      </c>
      <c r="H99" s="100">
        <v>20.93</v>
      </c>
      <c r="I99" s="100">
        <v>8.41</v>
      </c>
      <c r="J99" s="100">
        <v>3.41</v>
      </c>
      <c r="K99" s="100">
        <v>178.43</v>
      </c>
      <c r="L99" s="100">
        <v>29.95</v>
      </c>
      <c r="M99" s="100">
        <v>53.86</v>
      </c>
      <c r="N99" s="100">
        <v>23</v>
      </c>
      <c r="O99" s="100">
        <v>0</v>
      </c>
      <c r="P99" s="100">
        <v>0.47</v>
      </c>
      <c r="Q99" s="100">
        <v>28.95</v>
      </c>
      <c r="R99" s="6"/>
      <c r="S99" s="6"/>
      <c r="T99" s="156"/>
      <c r="U99" s="6"/>
    </row>
    <row r="100" spans="1:28" customFormat="1">
      <c r="A100" s="163" t="s">
        <v>1675</v>
      </c>
      <c r="B100" s="100">
        <v>2.67</v>
      </c>
      <c r="C100" s="100">
        <v>16.53</v>
      </c>
      <c r="D100" s="100">
        <v>9.7899999999999991</v>
      </c>
      <c r="E100" s="100">
        <v>6.51</v>
      </c>
      <c r="F100" s="100">
        <v>5.5</v>
      </c>
      <c r="G100" s="100">
        <v>26.13</v>
      </c>
      <c r="H100" s="100">
        <v>20.420000000000002</v>
      </c>
      <c r="I100" s="100">
        <v>8.2899999999999991</v>
      </c>
      <c r="J100" s="100">
        <v>3.22</v>
      </c>
      <c r="K100" s="100">
        <v>211.7</v>
      </c>
      <c r="L100" s="100">
        <v>29.95</v>
      </c>
      <c r="M100" s="100">
        <v>53.82</v>
      </c>
      <c r="N100" s="100">
        <v>22.6</v>
      </c>
      <c r="O100" s="100">
        <v>0</v>
      </c>
      <c r="P100" s="100">
        <v>0.48</v>
      </c>
      <c r="Q100" s="100">
        <v>28.88</v>
      </c>
      <c r="R100" s="6"/>
      <c r="S100" s="6"/>
      <c r="T100" s="156"/>
      <c r="U100" s="6"/>
      <c r="AB100" s="161"/>
    </row>
    <row r="101" spans="1:28" customFormat="1">
      <c r="A101" s="163" t="s">
        <v>1676</v>
      </c>
      <c r="B101" s="100">
        <v>2.96</v>
      </c>
      <c r="C101" s="100">
        <v>20.67</v>
      </c>
      <c r="D101" s="100">
        <v>12.18</v>
      </c>
      <c r="E101" s="100">
        <v>5.3</v>
      </c>
      <c r="F101" s="100">
        <v>4.5</v>
      </c>
      <c r="G101" s="100">
        <v>31.15</v>
      </c>
      <c r="H101" s="100">
        <v>18.510000000000002</v>
      </c>
      <c r="I101" s="100">
        <v>8.31</v>
      </c>
      <c r="J101" s="100">
        <v>3.4</v>
      </c>
      <c r="K101" s="100">
        <v>183</v>
      </c>
      <c r="L101" s="100">
        <v>30.04</v>
      </c>
      <c r="M101" s="100">
        <v>53.41</v>
      </c>
      <c r="N101" s="100">
        <v>22.9</v>
      </c>
      <c r="O101" s="100">
        <v>0</v>
      </c>
      <c r="P101" s="100">
        <v>0.49</v>
      </c>
      <c r="Q101" s="100">
        <v>28.68</v>
      </c>
      <c r="R101" s="6"/>
      <c r="S101" s="6"/>
      <c r="T101" s="156"/>
      <c r="U101" s="6"/>
    </row>
    <row r="102" spans="1:28" customFormat="1">
      <c r="A102" s="163" t="s">
        <v>1677</v>
      </c>
      <c r="B102" s="100">
        <v>3.15</v>
      </c>
      <c r="C102" s="100">
        <v>18.100000000000001</v>
      </c>
      <c r="D102" s="100">
        <v>10.99</v>
      </c>
      <c r="E102" s="100">
        <v>6.56</v>
      </c>
      <c r="F102" s="100">
        <v>4.53</v>
      </c>
      <c r="G102" s="100">
        <v>31.15</v>
      </c>
      <c r="H102" s="100">
        <v>18.510000000000002</v>
      </c>
      <c r="I102" s="100">
        <v>8.32</v>
      </c>
      <c r="J102" s="100">
        <v>2.96</v>
      </c>
      <c r="K102" s="100">
        <v>192.72</v>
      </c>
      <c r="L102" s="100">
        <v>29.91</v>
      </c>
      <c r="M102" s="100">
        <v>53.76</v>
      </c>
      <c r="N102" s="100">
        <v>22.7</v>
      </c>
      <c r="O102" s="100">
        <v>0</v>
      </c>
      <c r="P102" s="100">
        <v>0.52</v>
      </c>
      <c r="Q102" s="100">
        <v>28.8</v>
      </c>
      <c r="R102" s="6"/>
      <c r="S102" s="6"/>
      <c r="T102" s="156"/>
      <c r="U102" s="6"/>
    </row>
    <row r="103" spans="1:28" customFormat="1">
      <c r="A103" s="163" t="s">
        <v>1678</v>
      </c>
      <c r="B103" s="100">
        <v>3.2</v>
      </c>
      <c r="C103" s="100">
        <v>14.7</v>
      </c>
      <c r="D103" s="100">
        <v>9.25</v>
      </c>
      <c r="E103" s="100">
        <v>6.55</v>
      </c>
      <c r="F103" s="100">
        <v>6.49</v>
      </c>
      <c r="G103" s="100">
        <v>31.15</v>
      </c>
      <c r="H103" s="100">
        <v>18.510000000000002</v>
      </c>
      <c r="I103" s="100">
        <v>8.4600000000000009</v>
      </c>
      <c r="J103" s="100">
        <v>2.98</v>
      </c>
      <c r="K103" s="100">
        <v>200.86</v>
      </c>
      <c r="L103" s="100">
        <v>30.03</v>
      </c>
      <c r="M103" s="100">
        <v>53.23</v>
      </c>
      <c r="N103" s="100">
        <v>22.5</v>
      </c>
      <c r="O103" s="100">
        <v>0</v>
      </c>
      <c r="P103" s="100">
        <v>0.5</v>
      </c>
      <c r="Q103" s="100">
        <v>28.93</v>
      </c>
      <c r="R103" s="6"/>
      <c r="S103" s="6"/>
      <c r="T103" s="156"/>
      <c r="U103" s="6"/>
    </row>
    <row r="104" spans="1:28" customFormat="1">
      <c r="A104" s="163" t="s">
        <v>1679</v>
      </c>
      <c r="B104" s="100">
        <v>3.21</v>
      </c>
      <c r="C104" s="100">
        <v>11.58</v>
      </c>
      <c r="D104" s="100">
        <v>7.63</v>
      </c>
      <c r="E104" s="100">
        <v>6.36</v>
      </c>
      <c r="F104" s="100">
        <v>9.76</v>
      </c>
      <c r="G104" s="100">
        <v>32.67</v>
      </c>
      <c r="H104" s="100">
        <v>18.940000000000001</v>
      </c>
      <c r="I104" s="100">
        <v>8.44</v>
      </c>
      <c r="J104" s="100">
        <v>3.01</v>
      </c>
      <c r="K104" s="100">
        <v>208.91</v>
      </c>
      <c r="L104" s="100">
        <v>29.9</v>
      </c>
      <c r="M104" s="100">
        <v>53.61</v>
      </c>
      <c r="N104" s="100">
        <v>22.6</v>
      </c>
      <c r="O104" s="100">
        <v>0</v>
      </c>
      <c r="P104" s="100">
        <v>0.49</v>
      </c>
      <c r="Q104" s="100">
        <v>29.11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1.39</v>
      </c>
      <c r="C106" s="158">
        <f>MIN(C9:C104)</f>
        <v>11.42</v>
      </c>
      <c r="D106" s="158">
        <f t="shared" ref="D106:Q106" si="0">MIN(D9:D104)</f>
        <v>7.15</v>
      </c>
      <c r="E106" s="158">
        <f t="shared" si="0"/>
        <v>3.89</v>
      </c>
      <c r="F106" s="158">
        <f t="shared" si="0"/>
        <v>4.5</v>
      </c>
      <c r="G106" s="158">
        <f t="shared" si="0"/>
        <v>24.87</v>
      </c>
      <c r="H106" s="158">
        <f t="shared" si="0"/>
        <v>16.8</v>
      </c>
      <c r="I106" s="158">
        <f t="shared" si="0"/>
        <v>6.85</v>
      </c>
      <c r="J106" s="158">
        <f t="shared" si="0"/>
        <v>0.79</v>
      </c>
      <c r="K106" s="158">
        <f t="shared" si="0"/>
        <v>10.92</v>
      </c>
      <c r="L106" s="158">
        <f t="shared" si="0"/>
        <v>29.9</v>
      </c>
      <c r="M106" s="158">
        <f t="shared" si="0"/>
        <v>22.57</v>
      </c>
      <c r="N106" s="158">
        <f t="shared" si="0"/>
        <v>22.5</v>
      </c>
      <c r="O106" s="158">
        <f t="shared" si="0"/>
        <v>0</v>
      </c>
      <c r="P106" s="158">
        <f t="shared" si="0"/>
        <v>0.43</v>
      </c>
      <c r="Q106" s="158">
        <f t="shared" si="0"/>
        <v>27.12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10.06</v>
      </c>
      <c r="C107" s="157">
        <f t="shared" ref="C107:Q107" si="1">MAX(C9:C104)</f>
        <v>39.36</v>
      </c>
      <c r="D107" s="157">
        <f t="shared" si="1"/>
        <v>27.55</v>
      </c>
      <c r="E107" s="157">
        <f t="shared" si="1"/>
        <v>13.86</v>
      </c>
      <c r="F107" s="157">
        <f t="shared" si="1"/>
        <v>72.5</v>
      </c>
      <c r="G107" s="157">
        <f t="shared" si="1"/>
        <v>180.44</v>
      </c>
      <c r="H107" s="157">
        <f t="shared" si="1"/>
        <v>30.59</v>
      </c>
      <c r="I107" s="157">
        <f t="shared" si="1"/>
        <v>17.54</v>
      </c>
      <c r="J107" s="157">
        <f t="shared" si="1"/>
        <v>4.66</v>
      </c>
      <c r="K107" s="157">
        <f t="shared" si="1"/>
        <v>308.86</v>
      </c>
      <c r="L107" s="157">
        <f t="shared" si="1"/>
        <v>45.46</v>
      </c>
      <c r="M107" s="157">
        <f t="shared" si="1"/>
        <v>53.87</v>
      </c>
      <c r="N107" s="157">
        <f t="shared" si="1"/>
        <v>801.7</v>
      </c>
      <c r="O107" s="157">
        <f t="shared" si="1"/>
        <v>0</v>
      </c>
      <c r="P107" s="157">
        <f t="shared" si="1"/>
        <v>0.78</v>
      </c>
      <c r="Q107" s="157">
        <f t="shared" si="1"/>
        <v>29.15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3.8571875000000007</v>
      </c>
      <c r="C108" s="158">
        <f t="shared" ref="C108:Q108" si="2">AVERAGE(C9:C104)</f>
        <v>20.86437500000001</v>
      </c>
      <c r="D108" s="158">
        <f t="shared" si="2"/>
        <v>12.999791666666669</v>
      </c>
      <c r="E108" s="158">
        <f t="shared" si="2"/>
        <v>7.6180208333333326</v>
      </c>
      <c r="F108" s="158">
        <f t="shared" si="2"/>
        <v>19.368229166666655</v>
      </c>
      <c r="G108" s="158">
        <f t="shared" si="2"/>
        <v>55.9944791666667</v>
      </c>
      <c r="H108" s="158">
        <f t="shared" si="2"/>
        <v>21.027708333333326</v>
      </c>
      <c r="I108" s="158">
        <f t="shared" si="2"/>
        <v>11.130208333333329</v>
      </c>
      <c r="J108" s="158">
        <f t="shared" si="2"/>
        <v>3.1430208333333347</v>
      </c>
      <c r="K108" s="158">
        <f t="shared" si="2"/>
        <v>208.76187500000003</v>
      </c>
      <c r="L108" s="158">
        <f t="shared" si="2"/>
        <v>35.200208333333329</v>
      </c>
      <c r="M108" s="158">
        <f t="shared" si="2"/>
        <v>39.957187499999996</v>
      </c>
      <c r="N108" s="158">
        <f t="shared" si="2"/>
        <v>194.89791666666667</v>
      </c>
      <c r="O108" s="158">
        <f t="shared" si="2"/>
        <v>0</v>
      </c>
      <c r="P108" s="158">
        <f t="shared" si="2"/>
        <v>0.55333333333333323</v>
      </c>
      <c r="Q108" s="158">
        <f t="shared" si="2"/>
        <v>28.580416666666654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2.1213767640379193</v>
      </c>
      <c r="C109" s="158">
        <f t="shared" ref="C109:Q109" si="3">STDEV(C9:C104)</f>
        <v>6.1711578394128601</v>
      </c>
      <c r="D109" s="158">
        <f t="shared" si="3"/>
        <v>4.5775169042584487</v>
      </c>
      <c r="E109" s="158">
        <f t="shared" si="3"/>
        <v>2.1372114738069223</v>
      </c>
      <c r="F109" s="158">
        <f t="shared" si="3"/>
        <v>16.79667366786725</v>
      </c>
      <c r="G109" s="158">
        <f t="shared" si="3"/>
        <v>28.466068327776917</v>
      </c>
      <c r="H109" s="158">
        <f t="shared" si="3"/>
        <v>2.9527287929239034</v>
      </c>
      <c r="I109" s="158">
        <f t="shared" si="3"/>
        <v>3.066246798583681</v>
      </c>
      <c r="J109" s="158">
        <f t="shared" si="3"/>
        <v>0.72743691322292059</v>
      </c>
      <c r="K109" s="158">
        <f t="shared" si="3"/>
        <v>55.511101294909302</v>
      </c>
      <c r="L109" s="158">
        <f t="shared" si="3"/>
        <v>3.3049477993064214</v>
      </c>
      <c r="M109" s="158">
        <f t="shared" si="3"/>
        <v>8.0596260463236824</v>
      </c>
      <c r="N109" s="158">
        <f t="shared" si="3"/>
        <v>243.27718087082519</v>
      </c>
      <c r="O109" s="158">
        <f t="shared" si="3"/>
        <v>0</v>
      </c>
      <c r="P109" s="158">
        <f t="shared" si="3"/>
        <v>9.0363787188717834E-2</v>
      </c>
      <c r="Q109" s="158">
        <f t="shared" si="3"/>
        <v>0.43086184540356015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11" sqref="E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1680</v>
      </c>
      <c r="B9" s="100">
        <v>4.5</v>
      </c>
      <c r="C9" s="100">
        <v>13.56</v>
      </c>
      <c r="D9" s="100">
        <v>9.69</v>
      </c>
      <c r="E9" s="100">
        <v>6.05</v>
      </c>
      <c r="F9" s="100">
        <v>4.57</v>
      </c>
      <c r="G9" s="100">
        <v>38.33</v>
      </c>
      <c r="H9" s="100">
        <v>20.56</v>
      </c>
      <c r="I9" s="100">
        <v>8.34</v>
      </c>
      <c r="J9" s="100">
        <v>3</v>
      </c>
      <c r="K9" s="100">
        <v>217.11</v>
      </c>
      <c r="L9" s="100">
        <v>29.74</v>
      </c>
      <c r="M9" s="100">
        <v>54.03</v>
      </c>
      <c r="N9" s="100">
        <v>22.7</v>
      </c>
      <c r="O9" s="100">
        <v>0</v>
      </c>
      <c r="P9" s="100">
        <v>0.51</v>
      </c>
      <c r="Q9" s="100">
        <v>29.04</v>
      </c>
      <c r="R9" s="6"/>
      <c r="S9" s="6"/>
      <c r="T9" s="156"/>
      <c r="U9" s="6"/>
    </row>
    <row r="10" spans="1:21" customFormat="1">
      <c r="A10" s="163" t="s">
        <v>1681</v>
      </c>
      <c r="B10" s="100">
        <v>4.3099999999999996</v>
      </c>
      <c r="C10" s="100">
        <v>16.87</v>
      </c>
      <c r="D10" s="100">
        <v>11.28</v>
      </c>
      <c r="E10" s="100">
        <v>6.43</v>
      </c>
      <c r="F10" s="100">
        <v>10.18</v>
      </c>
      <c r="G10" s="100">
        <v>38.33</v>
      </c>
      <c r="H10" s="100">
        <v>20.56</v>
      </c>
      <c r="I10" s="100">
        <v>8.3699999999999992</v>
      </c>
      <c r="J10" s="100">
        <v>2.88</v>
      </c>
      <c r="K10" s="100">
        <v>202.21</v>
      </c>
      <c r="L10" s="100">
        <v>29.48</v>
      </c>
      <c r="M10" s="100">
        <v>54.54</v>
      </c>
      <c r="N10" s="100">
        <v>23</v>
      </c>
      <c r="O10" s="100">
        <v>0</v>
      </c>
      <c r="P10" s="100">
        <v>0.5</v>
      </c>
      <c r="Q10" s="100">
        <v>28.82</v>
      </c>
      <c r="R10" s="6"/>
      <c r="S10" s="6"/>
      <c r="T10" s="156"/>
      <c r="U10" s="6"/>
    </row>
    <row r="11" spans="1:21" customFormat="1">
      <c r="A11" s="163" t="s">
        <v>1682</v>
      </c>
      <c r="B11" s="100">
        <v>4.1100000000000003</v>
      </c>
      <c r="C11" s="100">
        <v>12.63</v>
      </c>
      <c r="D11" s="100">
        <v>8.9</v>
      </c>
      <c r="E11" s="100">
        <v>6.44</v>
      </c>
      <c r="F11" s="100">
        <v>9.9700000000000006</v>
      </c>
      <c r="G11" s="100">
        <v>38.33</v>
      </c>
      <c r="H11" s="100">
        <v>20.56</v>
      </c>
      <c r="I11" s="100">
        <v>8.42</v>
      </c>
      <c r="J11" s="100">
        <v>3.02</v>
      </c>
      <c r="K11" s="100">
        <v>206.87</v>
      </c>
      <c r="L11" s="100">
        <v>29.26</v>
      </c>
      <c r="M11" s="100">
        <v>55.57</v>
      </c>
      <c r="N11" s="100">
        <v>23.1</v>
      </c>
      <c r="O11" s="100">
        <v>0</v>
      </c>
      <c r="P11" s="100">
        <v>0.49</v>
      </c>
      <c r="Q11" s="100">
        <v>29.02</v>
      </c>
      <c r="R11" s="6"/>
      <c r="S11" s="6"/>
      <c r="T11" s="156"/>
      <c r="U11" s="6"/>
    </row>
    <row r="12" spans="1:21" customFormat="1">
      <c r="A12" s="163" t="s">
        <v>1683</v>
      </c>
      <c r="B12" s="100">
        <v>3.89</v>
      </c>
      <c r="C12" s="100">
        <v>12.82</v>
      </c>
      <c r="D12" s="100">
        <v>8.82</v>
      </c>
      <c r="E12" s="100">
        <v>5.96</v>
      </c>
      <c r="F12" s="100">
        <v>12.29</v>
      </c>
      <c r="G12" s="100">
        <v>37.06</v>
      </c>
      <c r="H12" s="100">
        <v>20.059999999999999</v>
      </c>
      <c r="I12" s="100">
        <v>8.25</v>
      </c>
      <c r="J12" s="100">
        <v>3.03</v>
      </c>
      <c r="K12" s="100">
        <v>202.29</v>
      </c>
      <c r="L12" s="100">
        <v>29.1</v>
      </c>
      <c r="M12" s="100">
        <v>56.44</v>
      </c>
      <c r="N12" s="100">
        <v>23.2</v>
      </c>
      <c r="O12" s="100">
        <v>0</v>
      </c>
      <c r="P12" s="100">
        <v>0.49</v>
      </c>
      <c r="Q12" s="100">
        <v>29</v>
      </c>
      <c r="R12" s="6"/>
      <c r="S12" s="6"/>
      <c r="T12" s="156"/>
      <c r="U12" s="6"/>
    </row>
    <row r="13" spans="1:21" customFormat="1">
      <c r="A13" s="163" t="s">
        <v>1684</v>
      </c>
      <c r="B13" s="100">
        <v>3.8</v>
      </c>
      <c r="C13" s="100">
        <v>13.53</v>
      </c>
      <c r="D13" s="100">
        <v>9.1199999999999992</v>
      </c>
      <c r="E13" s="100">
        <v>5.93</v>
      </c>
      <c r="F13" s="100">
        <v>10.06</v>
      </c>
      <c r="G13" s="100">
        <v>32.340000000000003</v>
      </c>
      <c r="H13" s="100">
        <v>18.16</v>
      </c>
      <c r="I13" s="100">
        <v>8.01</v>
      </c>
      <c r="J13" s="100">
        <v>3.18</v>
      </c>
      <c r="K13" s="100">
        <v>205.18</v>
      </c>
      <c r="L13" s="100">
        <v>28.95</v>
      </c>
      <c r="M13" s="100">
        <v>57.47</v>
      </c>
      <c r="N13" s="100">
        <v>23.3</v>
      </c>
      <c r="O13" s="100">
        <v>0</v>
      </c>
      <c r="P13" s="100">
        <v>0.51</v>
      </c>
      <c r="Q13" s="100">
        <v>28.95</v>
      </c>
      <c r="R13" s="6"/>
      <c r="S13" s="6"/>
      <c r="T13" s="156"/>
      <c r="U13" s="6"/>
    </row>
    <row r="14" spans="1:21" customFormat="1">
      <c r="A14" s="163" t="s">
        <v>1685</v>
      </c>
      <c r="B14" s="100">
        <v>3.89</v>
      </c>
      <c r="C14" s="100">
        <v>13.09</v>
      </c>
      <c r="D14" s="100">
        <v>8.9700000000000006</v>
      </c>
      <c r="E14" s="100">
        <v>6.16</v>
      </c>
      <c r="F14" s="100">
        <v>10.11</v>
      </c>
      <c r="G14" s="100">
        <v>32.340000000000003</v>
      </c>
      <c r="H14" s="100">
        <v>18.16</v>
      </c>
      <c r="I14" s="100">
        <v>7.91</v>
      </c>
      <c r="J14" s="100">
        <v>3.06</v>
      </c>
      <c r="K14" s="100">
        <v>195.93</v>
      </c>
      <c r="L14" s="100">
        <v>28.84</v>
      </c>
      <c r="M14" s="100">
        <v>58.14</v>
      </c>
      <c r="N14" s="100">
        <v>23.3</v>
      </c>
      <c r="O14" s="100">
        <v>0</v>
      </c>
      <c r="P14" s="100">
        <v>0.5</v>
      </c>
      <c r="Q14" s="100">
        <v>28.99</v>
      </c>
      <c r="R14" s="6"/>
      <c r="S14" s="6"/>
      <c r="T14" s="156"/>
      <c r="U14" s="6"/>
    </row>
    <row r="15" spans="1:21" customFormat="1">
      <c r="A15" s="163" t="s">
        <v>1686</v>
      </c>
      <c r="B15" s="100">
        <v>3.72</v>
      </c>
      <c r="C15" s="100">
        <v>12.96</v>
      </c>
      <c r="D15" s="100">
        <v>8.76</v>
      </c>
      <c r="E15" s="100">
        <v>5.98</v>
      </c>
      <c r="F15" s="100">
        <v>10.24</v>
      </c>
      <c r="G15" s="100">
        <v>32.340000000000003</v>
      </c>
      <c r="H15" s="100">
        <v>18.16</v>
      </c>
      <c r="I15" s="100">
        <v>7.89</v>
      </c>
      <c r="J15" s="100">
        <v>3.15</v>
      </c>
      <c r="K15" s="100">
        <v>205.03</v>
      </c>
      <c r="L15" s="100">
        <v>28.7</v>
      </c>
      <c r="M15" s="100">
        <v>58.97</v>
      </c>
      <c r="N15" s="100">
        <v>23.2</v>
      </c>
      <c r="O15" s="100">
        <v>0</v>
      </c>
      <c r="P15" s="100">
        <v>0.49</v>
      </c>
      <c r="Q15" s="100">
        <v>29.01</v>
      </c>
      <c r="R15" s="6"/>
      <c r="S15" s="6"/>
      <c r="T15" s="156"/>
      <c r="U15" s="6"/>
    </row>
    <row r="16" spans="1:21" customFormat="1">
      <c r="A16" s="163" t="s">
        <v>1687</v>
      </c>
      <c r="B16" s="100">
        <v>3.68</v>
      </c>
      <c r="C16" s="100">
        <v>13.19</v>
      </c>
      <c r="D16" s="100">
        <v>8.85</v>
      </c>
      <c r="E16" s="100">
        <v>5.73</v>
      </c>
      <c r="F16" s="100">
        <v>12.06</v>
      </c>
      <c r="G16" s="100">
        <v>29.18</v>
      </c>
      <c r="H16" s="100">
        <v>17.25</v>
      </c>
      <c r="I16" s="100">
        <v>7.77</v>
      </c>
      <c r="J16" s="100">
        <v>2.89</v>
      </c>
      <c r="K16" s="100">
        <v>198.41</v>
      </c>
      <c r="L16" s="100">
        <v>28.51</v>
      </c>
      <c r="M16" s="100">
        <v>60.2</v>
      </c>
      <c r="N16" s="100">
        <v>23.2</v>
      </c>
      <c r="O16" s="100">
        <v>0</v>
      </c>
      <c r="P16" s="100">
        <v>0.49</v>
      </c>
      <c r="Q16" s="100">
        <v>28.99</v>
      </c>
      <c r="R16" s="6"/>
      <c r="S16" s="6"/>
      <c r="T16" s="156"/>
      <c r="U16" s="6"/>
    </row>
    <row r="17" spans="1:21" customFormat="1">
      <c r="A17" s="163" t="s">
        <v>1688</v>
      </c>
      <c r="B17" s="100">
        <v>3.91</v>
      </c>
      <c r="C17" s="100">
        <v>15.76</v>
      </c>
      <c r="D17" s="100">
        <v>10.37</v>
      </c>
      <c r="E17" s="100">
        <v>5.95</v>
      </c>
      <c r="F17" s="100">
        <v>4.49</v>
      </c>
      <c r="G17" s="100">
        <v>17.39</v>
      </c>
      <c r="H17" s="100">
        <v>13.86</v>
      </c>
      <c r="I17" s="100">
        <v>7.52</v>
      </c>
      <c r="J17" s="100">
        <v>2.91</v>
      </c>
      <c r="K17" s="100">
        <v>205.63</v>
      </c>
      <c r="L17" s="100">
        <v>28.33</v>
      </c>
      <c r="M17" s="100">
        <v>61.22</v>
      </c>
      <c r="N17" s="100">
        <v>23.1</v>
      </c>
      <c r="O17" s="100">
        <v>0</v>
      </c>
      <c r="P17" s="100">
        <v>0.51</v>
      </c>
      <c r="Q17" s="100">
        <v>28.87</v>
      </c>
      <c r="R17" s="6"/>
      <c r="S17" s="6"/>
      <c r="T17" s="156"/>
      <c r="U17" s="6"/>
    </row>
    <row r="18" spans="1:21" customFormat="1">
      <c r="A18" s="163" t="s">
        <v>1689</v>
      </c>
      <c r="B18" s="100">
        <v>4.25</v>
      </c>
      <c r="C18" s="100">
        <v>20.59</v>
      </c>
      <c r="D18" s="100">
        <v>13.17</v>
      </c>
      <c r="E18" s="100">
        <v>5.78</v>
      </c>
      <c r="F18" s="100">
        <v>4.43</v>
      </c>
      <c r="G18" s="100">
        <v>17.39</v>
      </c>
      <c r="H18" s="100">
        <v>13.86</v>
      </c>
      <c r="I18" s="100">
        <v>7.55</v>
      </c>
      <c r="J18" s="100">
        <v>3.16</v>
      </c>
      <c r="K18" s="100">
        <v>180.75</v>
      </c>
      <c r="L18" s="100">
        <v>28.43</v>
      </c>
      <c r="M18" s="100">
        <v>61.2</v>
      </c>
      <c r="N18" s="100">
        <v>23.1</v>
      </c>
      <c r="O18" s="100">
        <v>0</v>
      </c>
      <c r="P18" s="100">
        <v>0.49</v>
      </c>
      <c r="Q18" s="100">
        <v>28.64</v>
      </c>
      <c r="R18" s="6"/>
      <c r="S18" s="6"/>
      <c r="T18" s="156"/>
      <c r="U18" s="6"/>
    </row>
    <row r="19" spans="1:21" customFormat="1">
      <c r="A19" s="163" t="s">
        <v>1690</v>
      </c>
      <c r="B19" s="100">
        <v>4.49</v>
      </c>
      <c r="C19" s="100">
        <v>19.12</v>
      </c>
      <c r="D19" s="100">
        <v>12.59</v>
      </c>
      <c r="E19" s="100">
        <v>5.98</v>
      </c>
      <c r="F19" s="100">
        <v>4.4800000000000004</v>
      </c>
      <c r="G19" s="100">
        <v>17.39</v>
      </c>
      <c r="H19" s="100">
        <v>13.86</v>
      </c>
      <c r="I19" s="100">
        <v>7.68</v>
      </c>
      <c r="J19" s="100">
        <v>3.03</v>
      </c>
      <c r="K19" s="100">
        <v>203.4</v>
      </c>
      <c r="L19" s="100">
        <v>28.12</v>
      </c>
      <c r="M19" s="100">
        <v>62.55</v>
      </c>
      <c r="N19" s="100">
        <v>23</v>
      </c>
      <c r="O19" s="100">
        <v>0</v>
      </c>
      <c r="P19" s="100">
        <v>0.48</v>
      </c>
      <c r="Q19" s="100">
        <v>28.69</v>
      </c>
      <c r="R19" s="6"/>
      <c r="S19" s="6"/>
      <c r="T19" s="156"/>
      <c r="U19" s="6"/>
    </row>
    <row r="20" spans="1:21" customFormat="1">
      <c r="A20" s="163" t="s">
        <v>1691</v>
      </c>
      <c r="B20" s="100">
        <v>4.67</v>
      </c>
      <c r="C20" s="100">
        <v>16.79</v>
      </c>
      <c r="D20" s="100">
        <v>11.52</v>
      </c>
      <c r="E20" s="100">
        <v>6.04</v>
      </c>
      <c r="F20" s="100">
        <v>4.62</v>
      </c>
      <c r="G20" s="100">
        <v>18.09</v>
      </c>
      <c r="H20" s="100">
        <v>13.54</v>
      </c>
      <c r="I20" s="100">
        <v>7.82</v>
      </c>
      <c r="J20" s="100">
        <v>3.09</v>
      </c>
      <c r="K20" s="100">
        <v>200.97</v>
      </c>
      <c r="L20" s="100">
        <v>28.18</v>
      </c>
      <c r="M20" s="100">
        <v>62.16</v>
      </c>
      <c r="N20" s="100">
        <v>22.9</v>
      </c>
      <c r="O20" s="100">
        <v>0</v>
      </c>
      <c r="P20" s="100">
        <v>0.47</v>
      </c>
      <c r="Q20" s="100">
        <v>28.83</v>
      </c>
      <c r="R20" s="6"/>
      <c r="S20" s="6"/>
      <c r="T20" s="156"/>
      <c r="U20" s="6"/>
    </row>
    <row r="21" spans="1:21" customFormat="1">
      <c r="A21" s="163" t="s">
        <v>1692</v>
      </c>
      <c r="B21" s="100">
        <v>4.6500000000000004</v>
      </c>
      <c r="C21" s="100">
        <v>13.14</v>
      </c>
      <c r="D21" s="100">
        <v>9.6</v>
      </c>
      <c r="E21" s="100">
        <v>5.98</v>
      </c>
      <c r="F21" s="100">
        <v>7.68</v>
      </c>
      <c r="G21" s="100">
        <v>20.69</v>
      </c>
      <c r="H21" s="100">
        <v>12.34</v>
      </c>
      <c r="I21" s="100">
        <v>7.85</v>
      </c>
      <c r="J21" s="100">
        <v>3.08</v>
      </c>
      <c r="K21" s="100">
        <v>203.02</v>
      </c>
      <c r="L21" s="100">
        <v>28.35</v>
      </c>
      <c r="M21" s="100">
        <v>61.58</v>
      </c>
      <c r="N21" s="100">
        <v>23</v>
      </c>
      <c r="O21" s="100">
        <v>0</v>
      </c>
      <c r="P21" s="100">
        <v>0.45</v>
      </c>
      <c r="Q21" s="100">
        <v>28.98</v>
      </c>
      <c r="R21" s="6"/>
      <c r="S21" s="6"/>
      <c r="T21" s="156"/>
      <c r="U21" s="6"/>
    </row>
    <row r="22" spans="1:21" customFormat="1">
      <c r="A22" s="163" t="s">
        <v>1693</v>
      </c>
      <c r="B22" s="100">
        <v>4.91</v>
      </c>
      <c r="C22" s="100">
        <v>11.18</v>
      </c>
      <c r="D22" s="100">
        <v>8.7899999999999991</v>
      </c>
      <c r="E22" s="100">
        <v>5.87</v>
      </c>
      <c r="F22" s="100">
        <v>5.46</v>
      </c>
      <c r="G22" s="100">
        <v>20.69</v>
      </c>
      <c r="H22" s="100">
        <v>12.34</v>
      </c>
      <c r="I22" s="100">
        <v>7.73</v>
      </c>
      <c r="J22" s="100">
        <v>3.14</v>
      </c>
      <c r="K22" s="100">
        <v>212.48</v>
      </c>
      <c r="L22" s="100">
        <v>28.19</v>
      </c>
      <c r="M22" s="100">
        <v>62.26</v>
      </c>
      <c r="N22" s="100">
        <v>23</v>
      </c>
      <c r="O22" s="100">
        <v>0</v>
      </c>
      <c r="P22" s="100">
        <v>0.46</v>
      </c>
      <c r="Q22" s="100">
        <v>29.1</v>
      </c>
      <c r="R22" s="6"/>
      <c r="S22" s="6"/>
      <c r="T22" s="156"/>
      <c r="U22" s="6"/>
    </row>
    <row r="23" spans="1:21" customFormat="1">
      <c r="A23" s="163" t="s">
        <v>1694</v>
      </c>
      <c r="B23" s="100">
        <v>5.22</v>
      </c>
      <c r="C23" s="100">
        <v>14.86</v>
      </c>
      <c r="D23" s="100">
        <v>10.95</v>
      </c>
      <c r="E23" s="100">
        <v>5.95</v>
      </c>
      <c r="F23" s="100">
        <v>6.14</v>
      </c>
      <c r="G23" s="100">
        <v>20.69</v>
      </c>
      <c r="H23" s="100">
        <v>12.34</v>
      </c>
      <c r="I23" s="100">
        <v>7.55</v>
      </c>
      <c r="J23" s="100">
        <v>3.23</v>
      </c>
      <c r="K23" s="100">
        <v>219.37</v>
      </c>
      <c r="L23" s="100">
        <v>28.04</v>
      </c>
      <c r="M23" s="100">
        <v>63</v>
      </c>
      <c r="N23" s="100">
        <v>23.3</v>
      </c>
      <c r="O23" s="100">
        <v>0</v>
      </c>
      <c r="P23" s="100">
        <v>0.46</v>
      </c>
      <c r="Q23" s="100">
        <v>28.88</v>
      </c>
      <c r="R23" s="6"/>
      <c r="S23" s="6"/>
      <c r="T23" s="156"/>
      <c r="U23" s="6"/>
    </row>
    <row r="24" spans="1:21" customFormat="1">
      <c r="A24" s="163" t="s">
        <v>1695</v>
      </c>
      <c r="B24" s="100">
        <v>5.13</v>
      </c>
      <c r="C24" s="100">
        <v>13.28</v>
      </c>
      <c r="D24" s="100">
        <v>10.06</v>
      </c>
      <c r="E24" s="100">
        <v>5.9</v>
      </c>
      <c r="F24" s="100">
        <v>8.18</v>
      </c>
      <c r="G24" s="100">
        <v>22.47</v>
      </c>
      <c r="H24" s="100">
        <v>12.88</v>
      </c>
      <c r="I24" s="100">
        <v>7.74</v>
      </c>
      <c r="J24" s="100">
        <v>3.06</v>
      </c>
      <c r="K24" s="100">
        <v>191.24</v>
      </c>
      <c r="L24" s="100">
        <v>27.97</v>
      </c>
      <c r="M24" s="100">
        <v>63.41</v>
      </c>
      <c r="N24" s="100">
        <v>23.3</v>
      </c>
      <c r="O24" s="100">
        <v>0</v>
      </c>
      <c r="P24" s="100">
        <v>0.47</v>
      </c>
      <c r="Q24" s="100">
        <v>28.92</v>
      </c>
      <c r="R24" s="6"/>
      <c r="S24" s="6"/>
      <c r="T24" s="156"/>
      <c r="U24" s="6"/>
    </row>
    <row r="25" spans="1:21" customFormat="1">
      <c r="A25" s="163" t="s">
        <v>1696</v>
      </c>
      <c r="B25" s="100">
        <v>5.1100000000000003</v>
      </c>
      <c r="C25" s="100">
        <v>13.03</v>
      </c>
      <c r="D25" s="100">
        <v>9.91</v>
      </c>
      <c r="E25" s="100">
        <v>5.42</v>
      </c>
      <c r="F25" s="100">
        <v>7.75</v>
      </c>
      <c r="G25" s="100">
        <v>29.1</v>
      </c>
      <c r="H25" s="100">
        <v>14.89</v>
      </c>
      <c r="I25" s="100">
        <v>7.72</v>
      </c>
      <c r="J25" s="100">
        <v>3.2</v>
      </c>
      <c r="K25" s="100">
        <v>199.72</v>
      </c>
      <c r="L25" s="100">
        <v>27.87</v>
      </c>
      <c r="M25" s="100">
        <v>64.06</v>
      </c>
      <c r="N25" s="100">
        <v>23.3</v>
      </c>
      <c r="O25" s="100">
        <v>0</v>
      </c>
      <c r="P25" s="100">
        <v>0.47</v>
      </c>
      <c r="Q25" s="100">
        <v>28.9</v>
      </c>
      <c r="R25" s="6"/>
      <c r="S25" s="6"/>
      <c r="T25" s="156"/>
      <c r="U25" s="6"/>
    </row>
    <row r="26" spans="1:21" customFormat="1">
      <c r="A26" s="163" t="s">
        <v>1697</v>
      </c>
      <c r="B26" s="100">
        <v>4.9800000000000004</v>
      </c>
      <c r="C26" s="100">
        <v>13.15</v>
      </c>
      <c r="D26" s="100">
        <v>9.8699999999999992</v>
      </c>
      <c r="E26" s="100">
        <v>5.79</v>
      </c>
      <c r="F26" s="100">
        <v>8.82</v>
      </c>
      <c r="G26" s="100">
        <v>29.1</v>
      </c>
      <c r="H26" s="100">
        <v>14.89</v>
      </c>
      <c r="I26" s="100">
        <v>7.47</v>
      </c>
      <c r="J26" s="100">
        <v>2.4900000000000002</v>
      </c>
      <c r="K26" s="100">
        <v>199.36</v>
      </c>
      <c r="L26" s="100">
        <v>27.92</v>
      </c>
      <c r="M26" s="100">
        <v>63.91</v>
      </c>
      <c r="N26" s="100">
        <v>23.1</v>
      </c>
      <c r="O26" s="100">
        <v>0</v>
      </c>
      <c r="P26" s="100">
        <v>0.48</v>
      </c>
      <c r="Q26" s="100">
        <v>29.03</v>
      </c>
      <c r="R26" s="6"/>
      <c r="S26" s="6"/>
      <c r="T26" s="156"/>
      <c r="U26" s="6"/>
    </row>
    <row r="27" spans="1:21" customFormat="1">
      <c r="A27" s="163" t="s">
        <v>1698</v>
      </c>
      <c r="B27" s="100">
        <v>4.92</v>
      </c>
      <c r="C27" s="100">
        <v>13.38</v>
      </c>
      <c r="D27" s="100">
        <v>9.94</v>
      </c>
      <c r="E27" s="100">
        <v>5.89</v>
      </c>
      <c r="F27" s="100">
        <v>7.59</v>
      </c>
      <c r="G27" s="100">
        <v>29.1</v>
      </c>
      <c r="H27" s="100">
        <v>14.89</v>
      </c>
      <c r="I27" s="100">
        <v>7.36</v>
      </c>
      <c r="J27" s="100">
        <v>2.64</v>
      </c>
      <c r="K27" s="100">
        <v>204.34</v>
      </c>
      <c r="L27" s="100">
        <v>27.92</v>
      </c>
      <c r="M27" s="100">
        <v>63.98</v>
      </c>
      <c r="N27" s="100">
        <v>23</v>
      </c>
      <c r="O27" s="100">
        <v>0</v>
      </c>
      <c r="P27" s="100">
        <v>0.49</v>
      </c>
      <c r="Q27" s="100">
        <v>28.99</v>
      </c>
      <c r="R27" s="6"/>
      <c r="S27" s="6"/>
      <c r="T27" s="156"/>
      <c r="U27" s="6"/>
    </row>
    <row r="28" spans="1:21" customFormat="1">
      <c r="A28" s="163" t="s">
        <v>1699</v>
      </c>
      <c r="B28" s="100">
        <v>4.9400000000000004</v>
      </c>
      <c r="C28" s="100">
        <v>13.16</v>
      </c>
      <c r="D28" s="100">
        <v>9.84</v>
      </c>
      <c r="E28" s="100">
        <v>5.55</v>
      </c>
      <c r="F28" s="100">
        <v>9.2799999999999994</v>
      </c>
      <c r="G28" s="100">
        <v>28.6</v>
      </c>
      <c r="H28" s="100">
        <v>15.52</v>
      </c>
      <c r="I28" s="100">
        <v>7.34</v>
      </c>
      <c r="J28" s="100">
        <v>2.2999999999999998</v>
      </c>
      <c r="K28" s="100">
        <v>223.57</v>
      </c>
      <c r="L28" s="100">
        <v>27.86</v>
      </c>
      <c r="M28" s="100">
        <v>64.28</v>
      </c>
      <c r="N28" s="100">
        <v>23.1</v>
      </c>
      <c r="O28" s="100">
        <v>0</v>
      </c>
      <c r="P28" s="100">
        <v>0.49</v>
      </c>
      <c r="Q28" s="100">
        <v>28.96</v>
      </c>
      <c r="R28" s="6"/>
      <c r="S28" s="6"/>
      <c r="T28" s="156"/>
      <c r="U28" s="6"/>
    </row>
    <row r="29" spans="1:21" customFormat="1">
      <c r="A29" s="163" t="s">
        <v>1700</v>
      </c>
      <c r="B29" s="100">
        <v>5.07</v>
      </c>
      <c r="C29" s="100">
        <v>13.94</v>
      </c>
      <c r="D29" s="100">
        <v>10.35</v>
      </c>
      <c r="E29" s="100">
        <v>5.52</v>
      </c>
      <c r="F29" s="100">
        <v>7.28</v>
      </c>
      <c r="G29" s="100">
        <v>26.76</v>
      </c>
      <c r="H29" s="100">
        <v>17.89</v>
      </c>
      <c r="I29" s="100">
        <v>7.33</v>
      </c>
      <c r="J29" s="100">
        <v>2.96</v>
      </c>
      <c r="K29" s="100">
        <v>206.99</v>
      </c>
      <c r="L29" s="100">
        <v>27.95</v>
      </c>
      <c r="M29" s="100">
        <v>64.63</v>
      </c>
      <c r="N29" s="100">
        <v>23.3</v>
      </c>
      <c r="O29" s="100">
        <v>0</v>
      </c>
      <c r="P29" s="100">
        <v>0.43</v>
      </c>
      <c r="Q29" s="100">
        <v>28.88</v>
      </c>
      <c r="R29" s="6"/>
      <c r="S29" s="6"/>
      <c r="T29" s="156"/>
      <c r="U29" s="6"/>
    </row>
    <row r="30" spans="1:21" customFormat="1">
      <c r="A30" s="163" t="s">
        <v>1701</v>
      </c>
      <c r="B30" s="100">
        <v>5.47</v>
      </c>
      <c r="C30" s="100">
        <v>14.74</v>
      </c>
      <c r="D30" s="100">
        <v>11.09</v>
      </c>
      <c r="E30" s="100">
        <v>6.23</v>
      </c>
      <c r="F30" s="100">
        <v>6.19</v>
      </c>
      <c r="G30" s="100">
        <v>26.76</v>
      </c>
      <c r="H30" s="100">
        <v>17.89</v>
      </c>
      <c r="I30" s="100">
        <v>7.4</v>
      </c>
      <c r="J30" s="100">
        <v>3.05</v>
      </c>
      <c r="K30" s="100">
        <v>206.19</v>
      </c>
      <c r="L30" s="100">
        <v>27.85</v>
      </c>
      <c r="M30" s="100">
        <v>65.23</v>
      </c>
      <c r="N30" s="100">
        <v>25.7</v>
      </c>
      <c r="O30" s="100">
        <v>0</v>
      </c>
      <c r="P30" s="100">
        <v>0.46</v>
      </c>
      <c r="Q30" s="100">
        <v>28.84</v>
      </c>
      <c r="R30" s="6"/>
      <c r="S30" s="6"/>
      <c r="T30" s="156"/>
      <c r="U30" s="6"/>
    </row>
    <row r="31" spans="1:21" customFormat="1">
      <c r="A31" s="163" t="s">
        <v>1702</v>
      </c>
      <c r="B31" s="100">
        <v>6.09</v>
      </c>
      <c r="C31" s="100">
        <v>23.48</v>
      </c>
      <c r="D31" s="100">
        <v>16.16</v>
      </c>
      <c r="E31" s="100">
        <v>6.38</v>
      </c>
      <c r="F31" s="100">
        <v>3.39</v>
      </c>
      <c r="G31" s="100">
        <v>26.76</v>
      </c>
      <c r="H31" s="100">
        <v>17.89</v>
      </c>
      <c r="I31" s="100">
        <v>7.63</v>
      </c>
      <c r="J31" s="100">
        <v>3.15</v>
      </c>
      <c r="K31" s="100">
        <v>197.95</v>
      </c>
      <c r="L31" s="100">
        <v>27.79</v>
      </c>
      <c r="M31" s="100">
        <v>65.510000000000005</v>
      </c>
      <c r="N31" s="100">
        <v>35.1</v>
      </c>
      <c r="O31" s="100">
        <v>0</v>
      </c>
      <c r="P31" s="100">
        <v>0.45</v>
      </c>
      <c r="Q31" s="100">
        <v>28.44</v>
      </c>
      <c r="R31" s="6"/>
      <c r="S31" s="6"/>
      <c r="T31" s="156"/>
      <c r="U31" s="6"/>
    </row>
    <row r="32" spans="1:21" customFormat="1">
      <c r="A32" s="163" t="s">
        <v>1703</v>
      </c>
      <c r="B32" s="100">
        <v>6.43</v>
      </c>
      <c r="C32" s="100">
        <v>24.37</v>
      </c>
      <c r="D32" s="100">
        <v>16.89</v>
      </c>
      <c r="E32" s="100">
        <v>6.22</v>
      </c>
      <c r="F32" s="100">
        <v>3.47</v>
      </c>
      <c r="G32" s="100">
        <v>27.5</v>
      </c>
      <c r="H32" s="100">
        <v>17.48</v>
      </c>
      <c r="I32" s="100">
        <v>7.93</v>
      </c>
      <c r="J32" s="100">
        <v>3.11</v>
      </c>
      <c r="K32" s="100">
        <v>212.33</v>
      </c>
      <c r="L32" s="100">
        <v>27.83</v>
      </c>
      <c r="M32" s="100">
        <v>65.489999999999995</v>
      </c>
      <c r="N32" s="100">
        <v>47.4</v>
      </c>
      <c r="O32" s="100">
        <v>0</v>
      </c>
      <c r="P32" s="100">
        <v>0.43</v>
      </c>
      <c r="Q32" s="100">
        <v>28.36</v>
      </c>
      <c r="R32" s="6"/>
      <c r="S32" s="6"/>
      <c r="T32" s="156"/>
      <c r="U32" s="6"/>
    </row>
    <row r="33" spans="1:21" customFormat="1">
      <c r="A33" s="163" t="s">
        <v>1704</v>
      </c>
      <c r="B33" s="100">
        <v>6.73</v>
      </c>
      <c r="C33" s="100">
        <v>22.04</v>
      </c>
      <c r="D33" s="100">
        <v>15.92</v>
      </c>
      <c r="E33" s="100">
        <v>6.54</v>
      </c>
      <c r="F33" s="100">
        <v>3.46</v>
      </c>
      <c r="G33" s="100">
        <v>30.27</v>
      </c>
      <c r="H33" s="100">
        <v>15.93</v>
      </c>
      <c r="I33" s="100">
        <v>7.93</v>
      </c>
      <c r="J33" s="100">
        <v>3.31</v>
      </c>
      <c r="K33" s="100">
        <v>205.23</v>
      </c>
      <c r="L33" s="100">
        <v>27.97</v>
      </c>
      <c r="M33" s="100">
        <v>64.849999999999994</v>
      </c>
      <c r="N33" s="100">
        <v>57.3</v>
      </c>
      <c r="O33" s="100">
        <v>0</v>
      </c>
      <c r="P33" s="100">
        <v>0.43</v>
      </c>
      <c r="Q33" s="100">
        <v>28.44</v>
      </c>
      <c r="R33" s="6"/>
      <c r="S33" s="6"/>
      <c r="T33" s="156"/>
      <c r="U33" s="6"/>
    </row>
    <row r="34" spans="1:21" customFormat="1">
      <c r="A34" s="163" t="s">
        <v>1705</v>
      </c>
      <c r="B34" s="100">
        <v>7.12</v>
      </c>
      <c r="C34" s="100">
        <v>19.12</v>
      </c>
      <c r="D34" s="100">
        <v>14.71</v>
      </c>
      <c r="E34" s="100">
        <v>5.95</v>
      </c>
      <c r="F34" s="100">
        <v>3.27</v>
      </c>
      <c r="G34" s="100">
        <v>30.27</v>
      </c>
      <c r="H34" s="100">
        <v>15.93</v>
      </c>
      <c r="I34" s="100">
        <v>7.96</v>
      </c>
      <c r="J34" s="100">
        <v>3.27</v>
      </c>
      <c r="K34" s="100">
        <v>198.38</v>
      </c>
      <c r="L34" s="100">
        <v>28.1</v>
      </c>
      <c r="M34" s="100">
        <v>64.3</v>
      </c>
      <c r="N34" s="100">
        <v>69.900000000000006</v>
      </c>
      <c r="O34" s="100">
        <v>0</v>
      </c>
      <c r="P34" s="100">
        <v>0.42</v>
      </c>
      <c r="Q34" s="100">
        <v>28.55</v>
      </c>
      <c r="R34" s="6"/>
      <c r="S34" s="6"/>
      <c r="T34" s="156"/>
      <c r="U34" s="6"/>
    </row>
    <row r="35" spans="1:21" customFormat="1">
      <c r="A35" s="163" t="s">
        <v>1706</v>
      </c>
      <c r="B35" s="100">
        <v>7.31</v>
      </c>
      <c r="C35" s="100">
        <v>18.670000000000002</v>
      </c>
      <c r="D35" s="100">
        <v>14.62</v>
      </c>
      <c r="E35" s="100">
        <v>6.23</v>
      </c>
      <c r="F35" s="100">
        <v>3.54</v>
      </c>
      <c r="G35" s="100">
        <v>30.27</v>
      </c>
      <c r="H35" s="100">
        <v>15.93</v>
      </c>
      <c r="I35" s="100">
        <v>8.09</v>
      </c>
      <c r="J35" s="100">
        <v>3.64</v>
      </c>
      <c r="K35" s="100">
        <v>217.84</v>
      </c>
      <c r="L35" s="100">
        <v>28.2</v>
      </c>
      <c r="M35" s="100">
        <v>63.76</v>
      </c>
      <c r="N35" s="100">
        <v>89.5</v>
      </c>
      <c r="O35" s="100">
        <v>0</v>
      </c>
      <c r="P35" s="100">
        <v>0.42</v>
      </c>
      <c r="Q35" s="100">
        <v>28.59</v>
      </c>
      <c r="R35" s="6"/>
      <c r="S35" s="6"/>
      <c r="T35" s="156"/>
      <c r="U35" s="6"/>
    </row>
    <row r="36" spans="1:21" customFormat="1">
      <c r="A36" s="163" t="s">
        <v>1707</v>
      </c>
      <c r="B36" s="100">
        <v>7.4</v>
      </c>
      <c r="C36" s="100">
        <v>19.59</v>
      </c>
      <c r="D36" s="100">
        <v>15.17</v>
      </c>
      <c r="E36" s="100">
        <v>6.12</v>
      </c>
      <c r="F36" s="100">
        <v>5.07</v>
      </c>
      <c r="G36" s="100">
        <v>29.78</v>
      </c>
      <c r="H36" s="100">
        <v>15.97</v>
      </c>
      <c r="I36" s="100">
        <v>8.17</v>
      </c>
      <c r="J36" s="100">
        <v>3.28</v>
      </c>
      <c r="K36" s="100">
        <v>200.33</v>
      </c>
      <c r="L36" s="100">
        <v>28.28</v>
      </c>
      <c r="M36" s="100">
        <v>63.13</v>
      </c>
      <c r="N36" s="100">
        <v>87.9</v>
      </c>
      <c r="O36" s="100">
        <v>0</v>
      </c>
      <c r="P36" s="100">
        <v>0.44</v>
      </c>
      <c r="Q36" s="100">
        <v>28.56</v>
      </c>
      <c r="R36" s="6"/>
      <c r="S36" s="6"/>
      <c r="T36" s="156"/>
      <c r="U36" s="6"/>
    </row>
    <row r="37" spans="1:21" customFormat="1">
      <c r="A37" s="163" t="s">
        <v>1708</v>
      </c>
      <c r="B37" s="100">
        <v>7.37</v>
      </c>
      <c r="C37" s="100">
        <v>15.06</v>
      </c>
      <c r="D37" s="100">
        <v>12.79</v>
      </c>
      <c r="E37" s="100">
        <v>6.08</v>
      </c>
      <c r="F37" s="100">
        <v>6.87</v>
      </c>
      <c r="G37" s="100">
        <v>27.95</v>
      </c>
      <c r="H37" s="100">
        <v>16.11</v>
      </c>
      <c r="I37" s="100">
        <v>8.2200000000000006</v>
      </c>
      <c r="J37" s="100">
        <v>3.22</v>
      </c>
      <c r="K37" s="100">
        <v>217.8</v>
      </c>
      <c r="L37" s="100">
        <v>28.4</v>
      </c>
      <c r="M37" s="100">
        <v>62.44</v>
      </c>
      <c r="N37" s="100">
        <v>110.5</v>
      </c>
      <c r="O37" s="100">
        <v>0</v>
      </c>
      <c r="P37" s="100">
        <v>0.44</v>
      </c>
      <c r="Q37" s="100">
        <v>28.72</v>
      </c>
      <c r="R37" s="6"/>
      <c r="S37" s="6"/>
      <c r="T37" s="156"/>
      <c r="U37" s="6"/>
    </row>
    <row r="38" spans="1:21" customFormat="1">
      <c r="A38" s="163" t="s">
        <v>1709</v>
      </c>
      <c r="B38" s="100">
        <v>7.49</v>
      </c>
      <c r="C38" s="100">
        <v>14.52</v>
      </c>
      <c r="D38" s="100">
        <v>12.6</v>
      </c>
      <c r="E38" s="100">
        <v>5.45</v>
      </c>
      <c r="F38" s="100">
        <v>5.97</v>
      </c>
      <c r="G38" s="100">
        <v>27.95</v>
      </c>
      <c r="H38" s="100">
        <v>16.11</v>
      </c>
      <c r="I38" s="100">
        <v>8.49</v>
      </c>
      <c r="J38" s="100">
        <v>3.28</v>
      </c>
      <c r="K38" s="100">
        <v>233.51</v>
      </c>
      <c r="L38" s="100">
        <v>29.02</v>
      </c>
      <c r="M38" s="100">
        <v>59.79</v>
      </c>
      <c r="N38" s="100">
        <v>133.9</v>
      </c>
      <c r="O38" s="100">
        <v>0</v>
      </c>
      <c r="P38" s="100">
        <v>0.49</v>
      </c>
      <c r="Q38" s="100">
        <v>28.71</v>
      </c>
      <c r="R38" s="6"/>
      <c r="S38" s="6"/>
      <c r="T38" s="156"/>
      <c r="U38" s="6"/>
    </row>
    <row r="39" spans="1:21" customFormat="1">
      <c r="A39" s="163" t="s">
        <v>1710</v>
      </c>
      <c r="B39" s="100">
        <v>7.38</v>
      </c>
      <c r="C39" s="100">
        <v>14.49</v>
      </c>
      <c r="D39" s="100">
        <v>12.5</v>
      </c>
      <c r="E39" s="100">
        <v>5.67</v>
      </c>
      <c r="F39" s="100">
        <v>6.42</v>
      </c>
      <c r="G39" s="100">
        <v>27.95</v>
      </c>
      <c r="H39" s="100">
        <v>16.11</v>
      </c>
      <c r="I39" s="100">
        <v>8.6999999999999993</v>
      </c>
      <c r="J39" s="100">
        <v>3.67</v>
      </c>
      <c r="K39" s="100">
        <v>243.93</v>
      </c>
      <c r="L39" s="100">
        <v>29.39</v>
      </c>
      <c r="M39" s="100">
        <v>57.94</v>
      </c>
      <c r="N39" s="100">
        <v>139.19999999999999</v>
      </c>
      <c r="O39" s="100">
        <v>0</v>
      </c>
      <c r="P39" s="100">
        <v>0.51</v>
      </c>
      <c r="Q39" s="100">
        <v>28.68</v>
      </c>
      <c r="R39" s="6"/>
      <c r="S39" s="6"/>
      <c r="T39" s="156"/>
      <c r="U39" s="6"/>
    </row>
    <row r="40" spans="1:21" customFormat="1">
      <c r="A40" s="163" t="s">
        <v>1711</v>
      </c>
      <c r="B40" s="100">
        <v>7.28</v>
      </c>
      <c r="C40" s="100">
        <v>14.74</v>
      </c>
      <c r="D40" s="100">
        <v>12.55</v>
      </c>
      <c r="E40" s="100">
        <v>5.61</v>
      </c>
      <c r="F40" s="100">
        <v>5.89</v>
      </c>
      <c r="G40" s="100">
        <v>33.4</v>
      </c>
      <c r="H40" s="100">
        <v>16.91</v>
      </c>
      <c r="I40" s="100">
        <v>8.99</v>
      </c>
      <c r="J40" s="100">
        <v>3.92</v>
      </c>
      <c r="K40" s="100">
        <v>250.29</v>
      </c>
      <c r="L40" s="100">
        <v>29.8</v>
      </c>
      <c r="M40" s="100">
        <v>55.94</v>
      </c>
      <c r="N40" s="100">
        <v>249.4</v>
      </c>
      <c r="O40" s="100">
        <v>0</v>
      </c>
      <c r="P40" s="100">
        <v>0.52</v>
      </c>
      <c r="Q40" s="100">
        <v>28.64</v>
      </c>
      <c r="R40" s="6"/>
      <c r="S40" s="6"/>
      <c r="T40" s="156"/>
      <c r="U40" s="6"/>
    </row>
    <row r="41" spans="1:21" customFormat="1">
      <c r="A41" s="163" t="s">
        <v>1712</v>
      </c>
      <c r="B41" s="100">
        <v>7.19</v>
      </c>
      <c r="C41" s="100">
        <v>15.65</v>
      </c>
      <c r="D41" s="100">
        <v>12.94</v>
      </c>
      <c r="E41" s="100">
        <v>5.93</v>
      </c>
      <c r="F41" s="100">
        <v>4.88</v>
      </c>
      <c r="G41" s="100">
        <v>53.78</v>
      </c>
      <c r="H41" s="100">
        <v>19.899999999999999</v>
      </c>
      <c r="I41" s="100">
        <v>9.1300000000000008</v>
      </c>
      <c r="J41" s="100">
        <v>4.7</v>
      </c>
      <c r="K41" s="100">
        <v>246.17</v>
      </c>
      <c r="L41" s="100">
        <v>30.37</v>
      </c>
      <c r="M41" s="100">
        <v>53.9</v>
      </c>
      <c r="N41" s="100">
        <v>322.89999999999998</v>
      </c>
      <c r="O41" s="100">
        <v>0</v>
      </c>
      <c r="P41" s="100">
        <v>0.55000000000000004</v>
      </c>
      <c r="Q41" s="100">
        <v>28.63</v>
      </c>
      <c r="R41" s="6"/>
      <c r="S41" s="6"/>
      <c r="T41" s="156"/>
      <c r="U41" s="6"/>
    </row>
    <row r="42" spans="1:21" customFormat="1">
      <c r="A42" s="163" t="s">
        <v>1713</v>
      </c>
      <c r="B42" s="100">
        <v>6.83</v>
      </c>
      <c r="C42" s="100">
        <v>15.92</v>
      </c>
      <c r="D42" s="100">
        <v>12.8</v>
      </c>
      <c r="E42" s="100">
        <v>5.85</v>
      </c>
      <c r="F42" s="100">
        <v>7</v>
      </c>
      <c r="G42" s="100">
        <v>53.78</v>
      </c>
      <c r="H42" s="100">
        <v>19.899999999999999</v>
      </c>
      <c r="I42" s="100">
        <v>9.41</v>
      </c>
      <c r="J42" s="100">
        <v>3.55</v>
      </c>
      <c r="K42" s="100">
        <v>255.06</v>
      </c>
      <c r="L42" s="100">
        <v>31.62</v>
      </c>
      <c r="M42" s="100">
        <v>48.45</v>
      </c>
      <c r="N42" s="100">
        <v>329.4</v>
      </c>
      <c r="O42" s="100">
        <v>0</v>
      </c>
      <c r="P42" s="100">
        <v>0.66</v>
      </c>
      <c r="Q42" s="100">
        <v>28.64</v>
      </c>
      <c r="R42" s="6"/>
      <c r="S42" s="6"/>
      <c r="T42" s="156"/>
      <c r="U42" s="6"/>
    </row>
    <row r="43" spans="1:21" customFormat="1">
      <c r="A43" s="163" t="s">
        <v>1714</v>
      </c>
      <c r="B43" s="100">
        <v>6.67</v>
      </c>
      <c r="C43" s="100">
        <v>19.32</v>
      </c>
      <c r="D43" s="100">
        <v>14.45</v>
      </c>
      <c r="E43" s="100">
        <v>5.87</v>
      </c>
      <c r="F43" s="100">
        <v>7.87</v>
      </c>
      <c r="G43" s="100">
        <v>53.78</v>
      </c>
      <c r="H43" s="100">
        <v>19.899999999999999</v>
      </c>
      <c r="I43" s="100">
        <v>9.9499999999999993</v>
      </c>
      <c r="J43" s="100">
        <v>3.96</v>
      </c>
      <c r="K43" s="100">
        <v>245.34</v>
      </c>
      <c r="L43" s="100">
        <v>32.200000000000003</v>
      </c>
      <c r="M43" s="100">
        <v>46.53</v>
      </c>
      <c r="N43" s="100">
        <v>264.7</v>
      </c>
      <c r="O43" s="100">
        <v>0</v>
      </c>
      <c r="P43" s="100">
        <v>0.68</v>
      </c>
      <c r="Q43" s="100">
        <v>28.4</v>
      </c>
      <c r="R43" s="6"/>
      <c r="S43" s="6"/>
      <c r="T43" s="156"/>
      <c r="U43" s="6"/>
    </row>
    <row r="44" spans="1:21" customFormat="1">
      <c r="A44" s="163" t="s">
        <v>1715</v>
      </c>
      <c r="B44" s="100">
        <v>6.04</v>
      </c>
      <c r="C44" s="100">
        <v>24.87</v>
      </c>
      <c r="D44" s="100">
        <v>16.84</v>
      </c>
      <c r="E44" s="100">
        <v>5.94</v>
      </c>
      <c r="F44" s="100">
        <v>5.26</v>
      </c>
      <c r="G44" s="100">
        <v>56.41</v>
      </c>
      <c r="H44" s="100">
        <v>20.45</v>
      </c>
      <c r="I44" s="100">
        <v>11.39</v>
      </c>
      <c r="J44" s="100">
        <v>3.69</v>
      </c>
      <c r="K44" s="100">
        <v>263.08</v>
      </c>
      <c r="L44" s="100">
        <v>32.43</v>
      </c>
      <c r="M44" s="100">
        <v>43.34</v>
      </c>
      <c r="N44" s="100">
        <v>227.7</v>
      </c>
      <c r="O44" s="100">
        <v>0</v>
      </c>
      <c r="P44" s="100">
        <v>0.66</v>
      </c>
      <c r="Q44" s="100">
        <v>28.24</v>
      </c>
      <c r="R44" s="6"/>
      <c r="S44" s="6"/>
      <c r="T44" s="156"/>
      <c r="U44" s="6"/>
    </row>
    <row r="45" spans="1:21" customFormat="1">
      <c r="A45" s="163" t="s">
        <v>1716</v>
      </c>
      <c r="B45" s="100">
        <v>5.66</v>
      </c>
      <c r="C45" s="100">
        <v>25.88</v>
      </c>
      <c r="D45" s="100">
        <v>17.059999999999999</v>
      </c>
      <c r="E45" s="100">
        <v>6.5</v>
      </c>
      <c r="F45" s="100">
        <v>7.74</v>
      </c>
      <c r="G45" s="100">
        <v>66.23</v>
      </c>
      <c r="H45" s="100">
        <v>22.51</v>
      </c>
      <c r="I45" s="100">
        <v>12.78</v>
      </c>
      <c r="J45" s="100">
        <v>4.0999999999999996</v>
      </c>
      <c r="K45" s="100">
        <v>254.67</v>
      </c>
      <c r="L45" s="100">
        <v>32.83</v>
      </c>
      <c r="M45" s="100">
        <v>41.89</v>
      </c>
      <c r="N45" s="100">
        <v>258.7</v>
      </c>
      <c r="O45" s="100">
        <v>0</v>
      </c>
      <c r="P45" s="100">
        <v>0.7</v>
      </c>
      <c r="Q45" s="100">
        <v>28.18</v>
      </c>
      <c r="R45" s="6"/>
      <c r="S45" s="6"/>
      <c r="T45" s="156"/>
      <c r="U45" s="6"/>
    </row>
    <row r="46" spans="1:21" customFormat="1">
      <c r="A46" s="163" t="s">
        <v>1717</v>
      </c>
      <c r="B46" s="100">
        <v>5.07</v>
      </c>
      <c r="C46" s="100">
        <v>24.51</v>
      </c>
      <c r="D46" s="100">
        <v>15.88</v>
      </c>
      <c r="E46" s="100">
        <v>7.15</v>
      </c>
      <c r="F46" s="100">
        <v>5.21</v>
      </c>
      <c r="G46" s="100">
        <v>66.23</v>
      </c>
      <c r="H46" s="100">
        <v>22.51</v>
      </c>
      <c r="I46" s="100">
        <v>11.84</v>
      </c>
      <c r="J46" s="100">
        <v>3.43</v>
      </c>
      <c r="K46" s="100">
        <v>266.17</v>
      </c>
      <c r="L46" s="100">
        <v>32.99</v>
      </c>
      <c r="M46" s="100">
        <v>41.16</v>
      </c>
      <c r="N46" s="100">
        <v>270.5</v>
      </c>
      <c r="O46" s="100">
        <v>0</v>
      </c>
      <c r="P46" s="100">
        <v>0.66</v>
      </c>
      <c r="Q46" s="100">
        <v>28.31</v>
      </c>
      <c r="R46" s="6"/>
      <c r="S46" s="6"/>
      <c r="T46" s="156"/>
      <c r="U46" s="6"/>
    </row>
    <row r="47" spans="1:21" customFormat="1">
      <c r="A47" s="163" t="s">
        <v>1718</v>
      </c>
      <c r="B47" s="100">
        <v>4.3899999999999997</v>
      </c>
      <c r="C47" s="100">
        <v>23.34</v>
      </c>
      <c r="D47" s="100">
        <v>14.72</v>
      </c>
      <c r="E47" s="100">
        <v>7.11</v>
      </c>
      <c r="F47" s="100">
        <v>8.2200000000000006</v>
      </c>
      <c r="G47" s="100">
        <v>66.23</v>
      </c>
      <c r="H47" s="100">
        <v>22.51</v>
      </c>
      <c r="I47" s="100">
        <v>12.12</v>
      </c>
      <c r="J47" s="100">
        <v>3.46</v>
      </c>
      <c r="K47" s="100">
        <v>245.12</v>
      </c>
      <c r="L47" s="100">
        <v>33.450000000000003</v>
      </c>
      <c r="M47" s="100">
        <v>42.13</v>
      </c>
      <c r="N47" s="100">
        <v>288.89999999999998</v>
      </c>
      <c r="O47" s="100">
        <v>0</v>
      </c>
      <c r="P47" s="100">
        <v>0.7</v>
      </c>
      <c r="Q47" s="100">
        <v>28.36</v>
      </c>
      <c r="R47" s="6"/>
      <c r="S47" s="6"/>
      <c r="T47" s="156"/>
      <c r="U47" s="6"/>
    </row>
    <row r="48" spans="1:21" customFormat="1">
      <c r="A48" s="163" t="s">
        <v>1719</v>
      </c>
      <c r="B48" s="100">
        <v>4.09</v>
      </c>
      <c r="C48" s="100">
        <v>20.73</v>
      </c>
      <c r="D48" s="100">
        <v>13.12</v>
      </c>
      <c r="E48" s="100">
        <v>7.03</v>
      </c>
      <c r="F48" s="100">
        <v>5.48</v>
      </c>
      <c r="G48" s="100">
        <v>68.27</v>
      </c>
      <c r="H48" s="100">
        <v>22.79</v>
      </c>
      <c r="I48" s="100">
        <v>12.22</v>
      </c>
      <c r="J48" s="100">
        <v>4.1399999999999997</v>
      </c>
      <c r="K48" s="100">
        <v>248.14</v>
      </c>
      <c r="L48" s="100">
        <v>33.32</v>
      </c>
      <c r="M48" s="100">
        <v>42.47</v>
      </c>
      <c r="N48" s="100">
        <v>329.6</v>
      </c>
      <c r="O48" s="100">
        <v>0</v>
      </c>
      <c r="P48" s="100">
        <v>0.74</v>
      </c>
      <c r="Q48" s="100">
        <v>28.55</v>
      </c>
      <c r="R48" s="6"/>
      <c r="S48" s="6"/>
      <c r="T48" s="156"/>
      <c r="U48" s="6"/>
    </row>
    <row r="49" spans="1:21" customFormat="1">
      <c r="A49" s="163" t="s">
        <v>1720</v>
      </c>
      <c r="B49" s="100">
        <v>3.9</v>
      </c>
      <c r="C49" s="100">
        <v>21.26</v>
      </c>
      <c r="D49" s="100">
        <v>13.24</v>
      </c>
      <c r="E49" s="100">
        <v>7.27</v>
      </c>
      <c r="F49" s="100">
        <v>12.99</v>
      </c>
      <c r="G49" s="100">
        <v>75.89</v>
      </c>
      <c r="H49" s="100">
        <v>23.83</v>
      </c>
      <c r="I49" s="100">
        <v>12.83</v>
      </c>
      <c r="J49" s="100">
        <v>3.68</v>
      </c>
      <c r="K49" s="100">
        <v>235.45</v>
      </c>
      <c r="L49" s="100">
        <v>33.75</v>
      </c>
      <c r="M49" s="100">
        <v>41.3</v>
      </c>
      <c r="N49" s="100">
        <v>486.4</v>
      </c>
      <c r="O49" s="100">
        <v>0</v>
      </c>
      <c r="P49" s="100">
        <v>0.82</v>
      </c>
      <c r="Q49" s="100">
        <v>28.51</v>
      </c>
      <c r="R49" s="6"/>
      <c r="S49" s="6"/>
      <c r="T49" s="156"/>
      <c r="U49" s="6"/>
    </row>
    <row r="50" spans="1:21" customFormat="1">
      <c r="A50" s="163" t="s">
        <v>1721</v>
      </c>
      <c r="B50" s="100">
        <v>3.6</v>
      </c>
      <c r="C50" s="100">
        <v>19.850000000000001</v>
      </c>
      <c r="D50" s="100">
        <v>12.26</v>
      </c>
      <c r="E50" s="100">
        <v>8.84</v>
      </c>
      <c r="F50" s="100">
        <v>16.190000000000001</v>
      </c>
      <c r="G50" s="100">
        <v>75.89</v>
      </c>
      <c r="H50" s="100">
        <v>23.83</v>
      </c>
      <c r="I50" s="100">
        <v>13.24</v>
      </c>
      <c r="J50" s="100">
        <v>3.59</v>
      </c>
      <c r="K50" s="100">
        <v>240.05</v>
      </c>
      <c r="L50" s="100">
        <v>34.64</v>
      </c>
      <c r="M50" s="100">
        <v>37.89</v>
      </c>
      <c r="N50" s="100">
        <v>614.79999999999995</v>
      </c>
      <c r="O50" s="100">
        <v>0</v>
      </c>
      <c r="P50" s="100">
        <v>0.85</v>
      </c>
      <c r="Q50" s="100">
        <v>28.55</v>
      </c>
      <c r="R50" s="6"/>
      <c r="S50" s="6"/>
      <c r="T50" s="156"/>
      <c r="U50" s="6"/>
    </row>
    <row r="51" spans="1:21" customFormat="1">
      <c r="A51" s="163" t="s">
        <v>1722</v>
      </c>
      <c r="B51" s="100">
        <v>3.43</v>
      </c>
      <c r="C51" s="100">
        <v>14.89</v>
      </c>
      <c r="D51" s="100">
        <v>9.5299999999999994</v>
      </c>
      <c r="E51" s="100">
        <v>5.96</v>
      </c>
      <c r="F51" s="100">
        <v>72.760000000000005</v>
      </c>
      <c r="G51" s="100">
        <v>75.89</v>
      </c>
      <c r="H51" s="100">
        <v>23.83</v>
      </c>
      <c r="I51" s="100">
        <v>14.31</v>
      </c>
      <c r="J51" s="100">
        <v>3.43</v>
      </c>
      <c r="K51" s="100">
        <v>254.52</v>
      </c>
      <c r="L51" s="100">
        <v>34.97</v>
      </c>
      <c r="M51" s="100">
        <v>34.369999999999997</v>
      </c>
      <c r="N51" s="100">
        <v>694</v>
      </c>
      <c r="O51" s="100">
        <v>0</v>
      </c>
      <c r="P51" s="100">
        <v>0.62</v>
      </c>
      <c r="Q51" s="100">
        <v>28.68</v>
      </c>
      <c r="R51" s="6"/>
      <c r="S51" s="6"/>
      <c r="T51" s="156"/>
      <c r="U51" s="6"/>
    </row>
    <row r="52" spans="1:21" customFormat="1">
      <c r="A52" s="163" t="s">
        <v>1723</v>
      </c>
      <c r="B52" s="100">
        <v>2.0099999999999998</v>
      </c>
      <c r="C52" s="100">
        <v>13.74</v>
      </c>
      <c r="D52" s="100">
        <v>7.8</v>
      </c>
      <c r="E52" s="100">
        <v>5.82</v>
      </c>
      <c r="F52" s="100">
        <v>74.319999999999993</v>
      </c>
      <c r="G52" s="100">
        <v>71.52</v>
      </c>
      <c r="H52" s="100">
        <v>24.16</v>
      </c>
      <c r="I52" s="100">
        <v>14.73</v>
      </c>
      <c r="J52" s="100">
        <v>2.96</v>
      </c>
      <c r="K52" s="100">
        <v>232.57</v>
      </c>
      <c r="L52" s="100">
        <v>35.72</v>
      </c>
      <c r="M52" s="100">
        <v>33.36</v>
      </c>
      <c r="N52" s="100">
        <v>714.8</v>
      </c>
      <c r="O52" s="100">
        <v>0</v>
      </c>
      <c r="P52" s="100">
        <v>0.6</v>
      </c>
      <c r="Q52" s="100">
        <v>28.92</v>
      </c>
      <c r="R52" s="6"/>
      <c r="S52" s="6"/>
      <c r="T52" s="156"/>
      <c r="U52" s="6"/>
    </row>
    <row r="53" spans="1:21" customFormat="1">
      <c r="A53" s="163" t="s">
        <v>1724</v>
      </c>
      <c r="B53" s="100">
        <v>1.69</v>
      </c>
      <c r="C53" s="100">
        <v>14.75</v>
      </c>
      <c r="D53" s="100">
        <v>8.07</v>
      </c>
      <c r="E53" s="100">
        <v>5.61</v>
      </c>
      <c r="F53" s="100">
        <v>47.39</v>
      </c>
      <c r="G53" s="100">
        <v>55.18</v>
      </c>
      <c r="H53" s="100">
        <v>25.41</v>
      </c>
      <c r="I53" s="100">
        <v>12.3</v>
      </c>
      <c r="J53" s="100">
        <v>2.72</v>
      </c>
      <c r="K53" s="100">
        <v>208.04</v>
      </c>
      <c r="L53" s="100">
        <v>36.380000000000003</v>
      </c>
      <c r="M53" s="100">
        <v>33.049999999999997</v>
      </c>
      <c r="N53" s="100">
        <v>718.4</v>
      </c>
      <c r="O53" s="100">
        <v>0</v>
      </c>
      <c r="P53" s="100">
        <v>0.59</v>
      </c>
      <c r="Q53" s="100">
        <v>28.9</v>
      </c>
      <c r="R53" s="6"/>
      <c r="S53" s="6"/>
      <c r="T53" s="156"/>
      <c r="U53" s="6"/>
    </row>
    <row r="54" spans="1:21" customFormat="1">
      <c r="A54" s="163" t="s">
        <v>1725</v>
      </c>
      <c r="B54" s="100">
        <v>1.85</v>
      </c>
      <c r="C54" s="100">
        <v>13.6</v>
      </c>
      <c r="D54" s="100">
        <v>7.6</v>
      </c>
      <c r="E54" s="100">
        <v>7.84</v>
      </c>
      <c r="F54" s="100">
        <v>51.42</v>
      </c>
      <c r="G54" s="100">
        <v>55.18</v>
      </c>
      <c r="H54" s="100">
        <v>25.41</v>
      </c>
      <c r="I54" s="100">
        <v>11.28</v>
      </c>
      <c r="J54" s="100">
        <v>2.1</v>
      </c>
      <c r="K54" s="100">
        <v>282.06</v>
      </c>
      <c r="L54" s="100">
        <v>36.56</v>
      </c>
      <c r="M54" s="100">
        <v>31.78</v>
      </c>
      <c r="N54" s="100">
        <v>741.7</v>
      </c>
      <c r="O54" s="100">
        <v>0</v>
      </c>
      <c r="P54" s="100">
        <v>0.61</v>
      </c>
      <c r="Q54" s="100">
        <v>28.96</v>
      </c>
      <c r="R54" s="6"/>
      <c r="S54" s="6"/>
      <c r="T54" s="156"/>
      <c r="U54" s="6"/>
    </row>
    <row r="55" spans="1:21" customFormat="1">
      <c r="A55" s="163" t="s">
        <v>1726</v>
      </c>
      <c r="B55" s="100">
        <v>2.09</v>
      </c>
      <c r="C55" s="100">
        <v>14.29</v>
      </c>
      <c r="D55" s="100">
        <v>8.15</v>
      </c>
      <c r="E55" s="100">
        <v>7.92</v>
      </c>
      <c r="F55" s="100">
        <v>37.270000000000003</v>
      </c>
      <c r="G55" s="100">
        <v>55.18</v>
      </c>
      <c r="H55" s="100">
        <v>25.41</v>
      </c>
      <c r="I55" s="100">
        <v>12.09</v>
      </c>
      <c r="J55" s="100">
        <v>1.44</v>
      </c>
      <c r="K55" s="100">
        <v>277.45</v>
      </c>
      <c r="L55" s="100">
        <v>36.93</v>
      </c>
      <c r="M55" s="100">
        <v>31.15</v>
      </c>
      <c r="N55" s="100">
        <v>566.6</v>
      </c>
      <c r="O55" s="100">
        <v>0</v>
      </c>
      <c r="P55" s="100">
        <v>0.66</v>
      </c>
      <c r="Q55" s="100">
        <v>28.95</v>
      </c>
      <c r="R55" s="6"/>
      <c r="S55" s="6"/>
      <c r="T55" s="156"/>
      <c r="U55" s="6"/>
    </row>
    <row r="56" spans="1:21" customFormat="1">
      <c r="A56" s="163" t="s">
        <v>1727</v>
      </c>
      <c r="B56" s="100">
        <v>2.29</v>
      </c>
      <c r="C56" s="100">
        <v>15.95</v>
      </c>
      <c r="D56" s="100">
        <v>9.17</v>
      </c>
      <c r="E56" s="100">
        <v>8.25</v>
      </c>
      <c r="F56" s="100">
        <v>40.86</v>
      </c>
      <c r="G56" s="100">
        <v>56.82</v>
      </c>
      <c r="H56" s="100">
        <v>25.63</v>
      </c>
      <c r="I56" s="100">
        <v>12.2</v>
      </c>
      <c r="J56" s="100">
        <v>1.41</v>
      </c>
      <c r="K56" s="100">
        <v>45.94</v>
      </c>
      <c r="L56" s="100">
        <v>37.5</v>
      </c>
      <c r="M56" s="100">
        <v>29.92</v>
      </c>
      <c r="N56" s="100">
        <v>561.4</v>
      </c>
      <c r="O56" s="100">
        <v>0</v>
      </c>
      <c r="P56" s="100">
        <v>0.64</v>
      </c>
      <c r="Q56" s="100">
        <v>28.94</v>
      </c>
      <c r="R56" s="6"/>
      <c r="S56" s="6"/>
      <c r="T56" s="156"/>
      <c r="U56" s="6"/>
    </row>
    <row r="57" spans="1:21" customFormat="1">
      <c r="A57" s="163" t="s">
        <v>1728</v>
      </c>
      <c r="B57" s="100">
        <v>2.3199999999999998</v>
      </c>
      <c r="C57" s="100">
        <v>20.52</v>
      </c>
      <c r="D57" s="100">
        <v>11.58</v>
      </c>
      <c r="E57" s="100">
        <v>8.57</v>
      </c>
      <c r="F57" s="100">
        <v>31.28</v>
      </c>
      <c r="G57" s="100">
        <v>62.95</v>
      </c>
      <c r="H57" s="100">
        <v>26.47</v>
      </c>
      <c r="I57" s="100">
        <v>11.62</v>
      </c>
      <c r="J57" s="100">
        <v>2.08</v>
      </c>
      <c r="K57" s="100">
        <v>255.74</v>
      </c>
      <c r="L57" s="100">
        <v>37.47</v>
      </c>
      <c r="M57" s="100">
        <v>29.32</v>
      </c>
      <c r="N57" s="100">
        <v>669.3</v>
      </c>
      <c r="O57" s="100">
        <v>0</v>
      </c>
      <c r="P57" s="100">
        <v>0.62</v>
      </c>
      <c r="Q57" s="100">
        <v>28.83</v>
      </c>
      <c r="R57" s="6"/>
      <c r="S57" s="6"/>
      <c r="T57" s="156"/>
      <c r="U57" s="6"/>
    </row>
    <row r="58" spans="1:21" customFormat="1">
      <c r="A58" s="163" t="s">
        <v>1729</v>
      </c>
      <c r="B58" s="100">
        <v>2.1800000000000002</v>
      </c>
      <c r="C58" s="100">
        <v>15.42</v>
      </c>
      <c r="D58" s="100">
        <v>8.81</v>
      </c>
      <c r="E58" s="100">
        <v>8.01</v>
      </c>
      <c r="F58" s="100">
        <v>42.82</v>
      </c>
      <c r="G58" s="100">
        <v>62.95</v>
      </c>
      <c r="H58" s="100">
        <v>26.47</v>
      </c>
      <c r="I58" s="100">
        <v>11.44</v>
      </c>
      <c r="J58" s="100">
        <v>1.52</v>
      </c>
      <c r="K58" s="100">
        <v>340.81</v>
      </c>
      <c r="L58" s="100">
        <v>37.880000000000003</v>
      </c>
      <c r="M58" s="100">
        <v>28.77</v>
      </c>
      <c r="N58" s="100">
        <v>696.2</v>
      </c>
      <c r="O58" s="100">
        <v>0</v>
      </c>
      <c r="P58" s="100">
        <v>0.6</v>
      </c>
      <c r="Q58" s="100">
        <v>28.98</v>
      </c>
      <c r="R58" s="6"/>
      <c r="S58" s="6"/>
      <c r="T58" s="156"/>
      <c r="U58" s="6"/>
    </row>
    <row r="59" spans="1:21" customFormat="1">
      <c r="A59" s="163" t="s">
        <v>1730</v>
      </c>
      <c r="B59" s="100">
        <v>2.0699999999999998</v>
      </c>
      <c r="C59" s="100">
        <v>12.95</v>
      </c>
      <c r="D59" s="100">
        <v>7.43</v>
      </c>
      <c r="E59" s="100">
        <v>7.55</v>
      </c>
      <c r="F59" s="100">
        <v>25.34</v>
      </c>
      <c r="G59" s="100">
        <v>62.95</v>
      </c>
      <c r="H59" s="100">
        <v>26.47</v>
      </c>
      <c r="I59" s="100">
        <v>11.69</v>
      </c>
      <c r="J59" s="100">
        <v>3.09</v>
      </c>
      <c r="K59" s="100">
        <v>265.47000000000003</v>
      </c>
      <c r="L59" s="100">
        <v>37.89</v>
      </c>
      <c r="M59" s="100">
        <v>28.16</v>
      </c>
      <c r="N59" s="100">
        <v>704.9</v>
      </c>
      <c r="O59" s="100">
        <v>0</v>
      </c>
      <c r="P59" s="100">
        <v>0.57999999999999996</v>
      </c>
      <c r="Q59" s="100">
        <v>29.06</v>
      </c>
      <c r="R59" s="6"/>
      <c r="S59" s="6"/>
      <c r="T59" s="156"/>
      <c r="U59" s="6"/>
    </row>
    <row r="60" spans="1:21" customFormat="1">
      <c r="A60" s="163" t="s">
        <v>1731</v>
      </c>
      <c r="B60" s="100">
        <v>2.0099999999999998</v>
      </c>
      <c r="C60" s="100">
        <v>12.07</v>
      </c>
      <c r="D60" s="100">
        <v>6.92</v>
      </c>
      <c r="E60" s="100">
        <v>9.99</v>
      </c>
      <c r="F60" s="100">
        <v>45.76</v>
      </c>
      <c r="G60" s="100">
        <v>62.9</v>
      </c>
      <c r="H60" s="100">
        <v>26.62</v>
      </c>
      <c r="I60" s="100">
        <v>11.23</v>
      </c>
      <c r="J60" s="100">
        <v>2.39</v>
      </c>
      <c r="K60" s="100">
        <v>235.05</v>
      </c>
      <c r="L60" s="100">
        <v>37.71</v>
      </c>
      <c r="M60" s="100">
        <v>27.55</v>
      </c>
      <c r="N60" s="100">
        <v>561</v>
      </c>
      <c r="O60" s="100">
        <v>0</v>
      </c>
      <c r="P60" s="100">
        <v>0.53</v>
      </c>
      <c r="Q60" s="100">
        <v>29.17</v>
      </c>
      <c r="R60" s="6"/>
      <c r="S60" s="6"/>
      <c r="T60" s="156"/>
      <c r="U60" s="6"/>
    </row>
    <row r="61" spans="1:21" customFormat="1">
      <c r="A61" s="163" t="s">
        <v>1732</v>
      </c>
      <c r="B61" s="100">
        <v>1.91</v>
      </c>
      <c r="C61" s="100">
        <v>11.65</v>
      </c>
      <c r="D61" s="100">
        <v>6.62</v>
      </c>
      <c r="E61" s="100">
        <v>11.82</v>
      </c>
      <c r="F61" s="100">
        <v>36.25</v>
      </c>
      <c r="G61" s="100">
        <v>62.71</v>
      </c>
      <c r="H61" s="100">
        <v>27.18</v>
      </c>
      <c r="I61" s="100">
        <v>11.39</v>
      </c>
      <c r="J61" s="100">
        <v>3.63</v>
      </c>
      <c r="K61" s="100">
        <v>203.5</v>
      </c>
      <c r="L61" s="100">
        <v>38.08</v>
      </c>
      <c r="M61" s="100">
        <v>28.48</v>
      </c>
      <c r="N61" s="100">
        <v>550.20000000000005</v>
      </c>
      <c r="O61" s="100">
        <v>0</v>
      </c>
      <c r="P61" s="100">
        <v>0.54</v>
      </c>
      <c r="Q61" s="100">
        <v>29.17</v>
      </c>
      <c r="R61" s="6"/>
      <c r="S61" s="6"/>
      <c r="T61" s="156"/>
      <c r="U61" s="6"/>
    </row>
    <row r="62" spans="1:21" customFormat="1">
      <c r="A62" s="163" t="s">
        <v>1733</v>
      </c>
      <c r="B62" s="100">
        <v>2.25</v>
      </c>
      <c r="C62" s="100">
        <v>12.49</v>
      </c>
      <c r="D62" s="100">
        <v>7.34</v>
      </c>
      <c r="E62" s="100">
        <v>9.81</v>
      </c>
      <c r="F62" s="100">
        <v>23.1</v>
      </c>
      <c r="G62" s="100">
        <v>62.71</v>
      </c>
      <c r="H62" s="100">
        <v>27.18</v>
      </c>
      <c r="I62" s="100">
        <v>10.83</v>
      </c>
      <c r="J62" s="100">
        <v>3.63</v>
      </c>
      <c r="K62" s="100">
        <v>214.1</v>
      </c>
      <c r="L62" s="100">
        <v>38.130000000000003</v>
      </c>
      <c r="M62" s="100">
        <v>28.67</v>
      </c>
      <c r="N62" s="100">
        <v>581.79999999999995</v>
      </c>
      <c r="O62" s="100">
        <v>0</v>
      </c>
      <c r="P62" s="100">
        <v>0.54</v>
      </c>
      <c r="Q62" s="100">
        <v>29.12</v>
      </c>
      <c r="R62" s="6"/>
      <c r="S62" s="6"/>
      <c r="T62" s="156"/>
      <c r="U62" s="6"/>
    </row>
    <row r="63" spans="1:21" customFormat="1">
      <c r="A63" s="163" t="s">
        <v>1734</v>
      </c>
      <c r="B63" s="100">
        <v>2.02</v>
      </c>
      <c r="C63" s="100">
        <v>14.93</v>
      </c>
      <c r="D63" s="100">
        <v>8.43</v>
      </c>
      <c r="E63" s="100">
        <v>4.29</v>
      </c>
      <c r="F63" s="100">
        <v>28.57</v>
      </c>
      <c r="G63" s="100">
        <v>62.71</v>
      </c>
      <c r="H63" s="100">
        <v>27.18</v>
      </c>
      <c r="I63" s="100">
        <v>10.86</v>
      </c>
      <c r="J63" s="100">
        <v>4.2699999999999996</v>
      </c>
      <c r="K63" s="100">
        <v>230.3</v>
      </c>
      <c r="L63" s="100">
        <v>37.619999999999997</v>
      </c>
      <c r="M63" s="100">
        <v>28.68</v>
      </c>
      <c r="N63" s="100">
        <v>432</v>
      </c>
      <c r="O63" s="100">
        <v>0</v>
      </c>
      <c r="P63" s="100">
        <v>0.55000000000000004</v>
      </c>
      <c r="Q63" s="100">
        <v>28.99</v>
      </c>
      <c r="R63" s="6"/>
      <c r="S63" s="6"/>
      <c r="T63" s="156"/>
      <c r="U63" s="6"/>
    </row>
    <row r="64" spans="1:21" customFormat="1">
      <c r="A64" s="163" t="s">
        <v>1735</v>
      </c>
      <c r="B64" s="100">
        <v>2.37</v>
      </c>
      <c r="C64" s="100">
        <v>13.22</v>
      </c>
      <c r="D64" s="100">
        <v>7.81</v>
      </c>
      <c r="E64" s="100">
        <v>3.28</v>
      </c>
      <c r="F64" s="100">
        <v>37.979999999999997</v>
      </c>
      <c r="G64" s="100">
        <v>59.89</v>
      </c>
      <c r="H64" s="100">
        <v>26.41</v>
      </c>
      <c r="I64" s="100">
        <v>10.99</v>
      </c>
      <c r="J64" s="100">
        <v>3.02</v>
      </c>
      <c r="K64" s="100">
        <v>204.76</v>
      </c>
      <c r="L64" s="100">
        <v>38.22</v>
      </c>
      <c r="M64" s="100">
        <v>28.24</v>
      </c>
      <c r="N64" s="100">
        <v>592</v>
      </c>
      <c r="O64" s="100">
        <v>0</v>
      </c>
      <c r="P64" s="100">
        <v>0.56999999999999995</v>
      </c>
      <c r="Q64" s="100">
        <v>29.01</v>
      </c>
      <c r="R64" s="6"/>
      <c r="S64" s="6"/>
      <c r="T64" s="156"/>
      <c r="U64" s="6"/>
    </row>
    <row r="65" spans="1:21" customFormat="1">
      <c r="A65" s="163" t="s">
        <v>1736</v>
      </c>
      <c r="B65" s="100">
        <v>2.4300000000000002</v>
      </c>
      <c r="C65" s="100">
        <v>14.43</v>
      </c>
      <c r="D65" s="100">
        <v>8.49</v>
      </c>
      <c r="E65" s="100">
        <v>7.44</v>
      </c>
      <c r="F65" s="100">
        <v>20.93</v>
      </c>
      <c r="G65" s="100">
        <v>49.39</v>
      </c>
      <c r="H65" s="100">
        <v>23.53</v>
      </c>
      <c r="I65" s="100">
        <v>11.18</v>
      </c>
      <c r="J65" s="100">
        <v>3.49</v>
      </c>
      <c r="K65" s="100">
        <v>212.08</v>
      </c>
      <c r="L65" s="100">
        <v>38.380000000000003</v>
      </c>
      <c r="M65" s="100">
        <v>28.66</v>
      </c>
      <c r="N65" s="100">
        <v>647.79999999999995</v>
      </c>
      <c r="O65" s="100">
        <v>0</v>
      </c>
      <c r="P65" s="100">
        <v>0.57999999999999996</v>
      </c>
      <c r="Q65" s="100">
        <v>29.07</v>
      </c>
      <c r="R65" s="6"/>
      <c r="S65" s="6"/>
      <c r="T65" s="156"/>
      <c r="U65" s="6"/>
    </row>
    <row r="66" spans="1:21" customFormat="1">
      <c r="A66" s="163" t="s">
        <v>1737</v>
      </c>
      <c r="B66" s="100">
        <v>2.0699999999999998</v>
      </c>
      <c r="C66" s="100">
        <v>11.62</v>
      </c>
      <c r="D66" s="100">
        <v>6.73</v>
      </c>
      <c r="E66" s="100">
        <v>6.89</v>
      </c>
      <c r="F66" s="100">
        <v>35.06</v>
      </c>
      <c r="G66" s="100">
        <v>49.39</v>
      </c>
      <c r="H66" s="100">
        <v>23.53</v>
      </c>
      <c r="I66" s="100">
        <v>11.61</v>
      </c>
      <c r="J66" s="100">
        <v>3.21</v>
      </c>
      <c r="K66" s="100">
        <v>193.06</v>
      </c>
      <c r="L66" s="100">
        <v>38.83</v>
      </c>
      <c r="M66" s="100">
        <v>28.33</v>
      </c>
      <c r="N66" s="100">
        <v>590</v>
      </c>
      <c r="O66" s="100">
        <v>0</v>
      </c>
      <c r="P66" s="100">
        <v>0.55000000000000004</v>
      </c>
      <c r="Q66" s="100">
        <v>29.18</v>
      </c>
      <c r="R66" s="6"/>
      <c r="S66" s="6"/>
      <c r="T66" s="156"/>
      <c r="U66" s="6"/>
    </row>
    <row r="67" spans="1:21" customFormat="1">
      <c r="A67" s="163" t="s">
        <v>1738</v>
      </c>
      <c r="B67" s="100">
        <v>3.38</v>
      </c>
      <c r="C67" s="100">
        <v>10.88</v>
      </c>
      <c r="D67" s="100">
        <v>7.4</v>
      </c>
      <c r="E67" s="100">
        <v>2.69</v>
      </c>
      <c r="F67" s="100">
        <v>55.26</v>
      </c>
      <c r="G67" s="100">
        <v>49.39</v>
      </c>
      <c r="H67" s="100">
        <v>23.53</v>
      </c>
      <c r="I67" s="100">
        <v>11.41</v>
      </c>
      <c r="J67" s="100">
        <v>3.57</v>
      </c>
      <c r="K67" s="100">
        <v>194.71</v>
      </c>
      <c r="L67" s="100">
        <v>38.950000000000003</v>
      </c>
      <c r="M67" s="100">
        <v>28.27</v>
      </c>
      <c r="N67" s="100">
        <v>437.1</v>
      </c>
      <c r="O67" s="100">
        <v>0</v>
      </c>
      <c r="P67" s="100">
        <v>0.5</v>
      </c>
      <c r="Q67" s="100">
        <v>29.26</v>
      </c>
      <c r="R67" s="6"/>
      <c r="S67" s="6"/>
      <c r="T67" s="156"/>
      <c r="U67" s="6"/>
    </row>
    <row r="68" spans="1:21" customFormat="1">
      <c r="A68" s="163" t="s">
        <v>1739</v>
      </c>
      <c r="B68" s="100">
        <v>2.67</v>
      </c>
      <c r="C68" s="100">
        <v>10.87</v>
      </c>
      <c r="D68" s="100">
        <v>6.82</v>
      </c>
      <c r="E68" s="100">
        <v>2.88</v>
      </c>
      <c r="F68" s="100">
        <v>23.91</v>
      </c>
      <c r="G68" s="100">
        <v>50.37</v>
      </c>
      <c r="H68" s="100">
        <v>24.01</v>
      </c>
      <c r="I68" s="100">
        <v>10.64</v>
      </c>
      <c r="J68" s="100">
        <v>3.31</v>
      </c>
      <c r="K68" s="100">
        <v>208.06</v>
      </c>
      <c r="L68" s="100">
        <v>37.6</v>
      </c>
      <c r="M68" s="100">
        <v>31.24</v>
      </c>
      <c r="N68" s="100">
        <v>469.7</v>
      </c>
      <c r="O68" s="100">
        <v>0</v>
      </c>
      <c r="P68" s="100">
        <v>0.54</v>
      </c>
      <c r="Q68" s="100">
        <v>29.21</v>
      </c>
      <c r="R68" s="6"/>
      <c r="S68" s="6"/>
      <c r="T68" s="156"/>
      <c r="U68" s="6"/>
    </row>
    <row r="69" spans="1:21" customFormat="1">
      <c r="A69" s="163" t="s">
        <v>1740</v>
      </c>
      <c r="B69" s="100">
        <v>2.14</v>
      </c>
      <c r="C69" s="100">
        <v>10.73</v>
      </c>
      <c r="D69" s="100">
        <v>6.33</v>
      </c>
      <c r="E69" s="100">
        <v>6.58</v>
      </c>
      <c r="F69" s="100">
        <v>24.39</v>
      </c>
      <c r="G69" s="100">
        <v>54</v>
      </c>
      <c r="H69" s="100">
        <v>25.81</v>
      </c>
      <c r="I69" s="100">
        <v>9.94</v>
      </c>
      <c r="J69" s="100">
        <v>3.46</v>
      </c>
      <c r="K69" s="100">
        <v>208.9</v>
      </c>
      <c r="L69" s="100">
        <v>36.82</v>
      </c>
      <c r="M69" s="100">
        <v>31.29</v>
      </c>
      <c r="N69" s="100">
        <v>342.8</v>
      </c>
      <c r="O69" s="100">
        <v>0</v>
      </c>
      <c r="P69" s="100">
        <v>0.53</v>
      </c>
      <c r="Q69" s="100">
        <v>29.19</v>
      </c>
      <c r="R69" s="6"/>
      <c r="S69" s="6"/>
      <c r="T69" s="156"/>
      <c r="U69" s="6"/>
    </row>
    <row r="70" spans="1:21" customFormat="1">
      <c r="A70" s="163" t="s">
        <v>1741</v>
      </c>
      <c r="B70" s="100">
        <v>2.15</v>
      </c>
      <c r="C70" s="100">
        <v>13.71</v>
      </c>
      <c r="D70" s="100">
        <v>7.89</v>
      </c>
      <c r="E70" s="100">
        <v>6.96</v>
      </c>
      <c r="F70" s="100">
        <v>15.78</v>
      </c>
      <c r="G70" s="100">
        <v>54</v>
      </c>
      <c r="H70" s="100">
        <v>25.81</v>
      </c>
      <c r="I70" s="100">
        <v>10.48</v>
      </c>
      <c r="J70" s="100">
        <v>3.52</v>
      </c>
      <c r="K70" s="100">
        <v>233.36</v>
      </c>
      <c r="L70" s="100">
        <v>37.21</v>
      </c>
      <c r="M70" s="100">
        <v>30.63</v>
      </c>
      <c r="N70" s="100">
        <v>457.2</v>
      </c>
      <c r="O70" s="100">
        <v>0</v>
      </c>
      <c r="P70" s="100">
        <v>0.54</v>
      </c>
      <c r="Q70" s="100">
        <v>29.03</v>
      </c>
      <c r="R70" s="6"/>
      <c r="S70" s="6"/>
      <c r="T70" s="156"/>
      <c r="U70" s="6"/>
    </row>
    <row r="71" spans="1:21" customFormat="1">
      <c r="A71" s="163" t="s">
        <v>1742</v>
      </c>
      <c r="B71" s="100">
        <v>2.1</v>
      </c>
      <c r="C71" s="100">
        <v>11.83</v>
      </c>
      <c r="D71" s="100">
        <v>6.87</v>
      </c>
      <c r="E71" s="100">
        <v>4.49</v>
      </c>
      <c r="F71" s="100">
        <v>32.869999999999997</v>
      </c>
      <c r="G71" s="100">
        <v>54</v>
      </c>
      <c r="H71" s="100">
        <v>25.81</v>
      </c>
      <c r="I71" s="100">
        <v>10.49</v>
      </c>
      <c r="J71" s="100">
        <v>3.28</v>
      </c>
      <c r="K71" s="100">
        <v>196.52</v>
      </c>
      <c r="L71" s="100">
        <v>38.28</v>
      </c>
      <c r="M71" s="100">
        <v>27.17</v>
      </c>
      <c r="N71" s="100">
        <v>411.6</v>
      </c>
      <c r="O71" s="100">
        <v>0</v>
      </c>
      <c r="P71" s="100">
        <v>0.48</v>
      </c>
      <c r="Q71" s="100">
        <v>29.14</v>
      </c>
      <c r="R71" s="6"/>
      <c r="S71" s="6"/>
      <c r="T71" s="156"/>
      <c r="U71" s="6"/>
    </row>
    <row r="72" spans="1:21" customFormat="1">
      <c r="A72" s="163" t="s">
        <v>1743</v>
      </c>
      <c r="B72" s="100">
        <v>2.13</v>
      </c>
      <c r="C72" s="100">
        <v>10.99</v>
      </c>
      <c r="D72" s="100">
        <v>6.45</v>
      </c>
      <c r="E72" s="100">
        <v>3.37</v>
      </c>
      <c r="F72" s="100">
        <v>33.96</v>
      </c>
      <c r="G72" s="100">
        <v>52.13</v>
      </c>
      <c r="H72" s="100">
        <v>25.85</v>
      </c>
      <c r="I72" s="100">
        <v>10.27</v>
      </c>
      <c r="J72" s="100">
        <v>3.13</v>
      </c>
      <c r="K72" s="100">
        <v>222</v>
      </c>
      <c r="L72" s="100">
        <v>38.71</v>
      </c>
      <c r="M72" s="100">
        <v>26.31</v>
      </c>
      <c r="N72" s="100">
        <v>364.6</v>
      </c>
      <c r="O72" s="100">
        <v>0</v>
      </c>
      <c r="P72" s="100">
        <v>0.47</v>
      </c>
      <c r="Q72" s="100">
        <v>29.25</v>
      </c>
      <c r="R72" s="6"/>
      <c r="S72" s="6"/>
      <c r="T72" s="156"/>
      <c r="U72" s="6"/>
    </row>
    <row r="73" spans="1:21" customFormat="1">
      <c r="A73" s="163" t="s">
        <v>1744</v>
      </c>
      <c r="B73" s="100">
        <v>3.13</v>
      </c>
      <c r="C73" s="100">
        <v>15.23</v>
      </c>
      <c r="D73" s="100">
        <v>9.4700000000000006</v>
      </c>
      <c r="E73" s="100">
        <v>4.04</v>
      </c>
      <c r="F73" s="100">
        <v>31.13</v>
      </c>
      <c r="G73" s="100">
        <v>45.14</v>
      </c>
      <c r="H73" s="100">
        <v>25.99</v>
      </c>
      <c r="I73" s="100">
        <v>9.59</v>
      </c>
      <c r="J73" s="100">
        <v>2.71</v>
      </c>
      <c r="K73" s="100">
        <v>195.74</v>
      </c>
      <c r="L73" s="100">
        <v>38.81</v>
      </c>
      <c r="M73" s="100">
        <v>27.03</v>
      </c>
      <c r="N73" s="100">
        <v>255.4</v>
      </c>
      <c r="O73" s="100">
        <v>0</v>
      </c>
      <c r="P73" s="100">
        <v>0.48</v>
      </c>
      <c r="Q73" s="100">
        <v>29.16</v>
      </c>
      <c r="R73" s="6"/>
      <c r="S73" s="6"/>
      <c r="T73" s="156"/>
      <c r="U73" s="6"/>
    </row>
    <row r="74" spans="1:21" customFormat="1">
      <c r="A74" s="163" t="s">
        <v>1745</v>
      </c>
      <c r="B74" s="100">
        <v>2.17</v>
      </c>
      <c r="C74" s="100">
        <v>11.57</v>
      </c>
      <c r="D74" s="100">
        <v>6.79</v>
      </c>
      <c r="E74" s="100">
        <v>4.2</v>
      </c>
      <c r="F74" s="100">
        <v>36.979999999999997</v>
      </c>
      <c r="G74" s="100">
        <v>45.14</v>
      </c>
      <c r="H74" s="100">
        <v>25.99</v>
      </c>
      <c r="I74" s="100">
        <v>9.44</v>
      </c>
      <c r="J74" s="100">
        <v>2.96</v>
      </c>
      <c r="K74" s="100">
        <v>214.22</v>
      </c>
      <c r="L74" s="100">
        <v>38.47</v>
      </c>
      <c r="M74" s="100">
        <v>27.23</v>
      </c>
      <c r="N74" s="100">
        <v>246.9</v>
      </c>
      <c r="O74" s="100">
        <v>0</v>
      </c>
      <c r="P74" s="100">
        <v>0.47</v>
      </c>
      <c r="Q74" s="100">
        <v>29.2</v>
      </c>
      <c r="R74" s="6"/>
      <c r="S74" s="6"/>
      <c r="T74" s="156"/>
      <c r="U74" s="6"/>
    </row>
    <row r="75" spans="1:21" customFormat="1">
      <c r="A75" s="163" t="s">
        <v>1746</v>
      </c>
      <c r="B75" s="100">
        <v>2.33</v>
      </c>
      <c r="C75" s="100">
        <v>12.12</v>
      </c>
      <c r="D75" s="100">
        <v>7.21</v>
      </c>
      <c r="E75" s="100">
        <v>7.26</v>
      </c>
      <c r="F75" s="100">
        <v>46.71</v>
      </c>
      <c r="G75" s="100">
        <v>45.14</v>
      </c>
      <c r="H75" s="100">
        <v>25.99</v>
      </c>
      <c r="I75" s="100">
        <v>9.7200000000000006</v>
      </c>
      <c r="J75" s="100">
        <v>1.43</v>
      </c>
      <c r="K75" s="100">
        <v>329.01</v>
      </c>
      <c r="L75" s="100">
        <v>38.32</v>
      </c>
      <c r="M75" s="100">
        <v>27.15</v>
      </c>
      <c r="N75" s="100">
        <v>210</v>
      </c>
      <c r="O75" s="100">
        <v>0</v>
      </c>
      <c r="P75" s="100">
        <v>0.5</v>
      </c>
      <c r="Q75" s="100">
        <v>29.15</v>
      </c>
      <c r="R75" s="6"/>
      <c r="S75" s="6"/>
      <c r="T75" s="156"/>
      <c r="U75" s="6"/>
    </row>
    <row r="76" spans="1:21" customFormat="1">
      <c r="A76" s="163" t="s">
        <v>1747</v>
      </c>
      <c r="B76" s="100">
        <v>2.48</v>
      </c>
      <c r="C76" s="100">
        <v>17.13</v>
      </c>
      <c r="D76" s="100">
        <v>9.94</v>
      </c>
      <c r="E76" s="100">
        <v>10.210000000000001</v>
      </c>
      <c r="F76" s="100">
        <v>36.380000000000003</v>
      </c>
      <c r="G76" s="100">
        <v>47.76</v>
      </c>
      <c r="H76" s="100">
        <v>26.91</v>
      </c>
      <c r="I76" s="100">
        <v>9.76</v>
      </c>
      <c r="J76" s="100">
        <v>1.99</v>
      </c>
      <c r="K76" s="100">
        <v>264.39999999999998</v>
      </c>
      <c r="L76" s="100">
        <v>37.96</v>
      </c>
      <c r="M76" s="100">
        <v>27.95</v>
      </c>
      <c r="N76" s="100">
        <v>173.8</v>
      </c>
      <c r="O76" s="100">
        <v>0</v>
      </c>
      <c r="P76" s="100">
        <v>0.48</v>
      </c>
      <c r="Q76" s="100">
        <v>28.85</v>
      </c>
      <c r="R76" s="6"/>
      <c r="S76" s="6"/>
      <c r="T76" s="156"/>
      <c r="U76" s="6"/>
    </row>
    <row r="77" spans="1:21" customFormat="1">
      <c r="A77" s="163" t="s">
        <v>1748</v>
      </c>
      <c r="B77" s="100">
        <v>2.73</v>
      </c>
      <c r="C77" s="100">
        <v>16.59</v>
      </c>
      <c r="D77" s="100">
        <v>9.86</v>
      </c>
      <c r="E77" s="100">
        <v>5.91</v>
      </c>
      <c r="F77" s="100">
        <v>48.92</v>
      </c>
      <c r="G77" s="100">
        <v>57.57</v>
      </c>
      <c r="H77" s="100">
        <v>30.37</v>
      </c>
      <c r="I77" s="100">
        <v>9.51</v>
      </c>
      <c r="J77" s="100">
        <v>2.54</v>
      </c>
      <c r="K77" s="100">
        <v>353.41</v>
      </c>
      <c r="L77" s="100">
        <v>37.25</v>
      </c>
      <c r="M77" s="100">
        <v>28.98</v>
      </c>
      <c r="N77" s="100">
        <v>98.8</v>
      </c>
      <c r="O77" s="100">
        <v>0</v>
      </c>
      <c r="P77" s="100">
        <v>0.6</v>
      </c>
      <c r="Q77" s="100">
        <v>28.71</v>
      </c>
      <c r="R77" s="6"/>
      <c r="S77" s="6"/>
      <c r="T77" s="156"/>
      <c r="U77" s="6"/>
    </row>
    <row r="78" spans="1:21" customFormat="1">
      <c r="A78" s="163" t="s">
        <v>1749</v>
      </c>
      <c r="B78" s="100">
        <v>2.1</v>
      </c>
      <c r="C78" s="100">
        <v>15.64</v>
      </c>
      <c r="D78" s="100">
        <v>8.86</v>
      </c>
      <c r="E78" s="100">
        <v>4.0599999999999996</v>
      </c>
      <c r="F78" s="100">
        <v>35.06</v>
      </c>
      <c r="G78" s="100">
        <v>57.57</v>
      </c>
      <c r="H78" s="100">
        <v>30.37</v>
      </c>
      <c r="I78" s="100">
        <v>9.43</v>
      </c>
      <c r="J78" s="100">
        <v>4.2699999999999996</v>
      </c>
      <c r="K78" s="100">
        <v>247.52</v>
      </c>
      <c r="L78" s="100">
        <v>36.799999999999997</v>
      </c>
      <c r="M78" s="100">
        <v>29.54</v>
      </c>
      <c r="N78" s="100">
        <v>75.7</v>
      </c>
      <c r="O78" s="100">
        <v>0</v>
      </c>
      <c r="P78" s="100">
        <v>0.59</v>
      </c>
      <c r="Q78" s="100">
        <v>28.76</v>
      </c>
      <c r="R78" s="6"/>
      <c r="S78" s="6"/>
      <c r="T78" s="156"/>
      <c r="U78" s="6"/>
    </row>
    <row r="79" spans="1:21" customFormat="1">
      <c r="A79" s="163" t="s">
        <v>1750</v>
      </c>
      <c r="B79" s="100">
        <v>3.94</v>
      </c>
      <c r="C79" s="100">
        <v>20.16</v>
      </c>
      <c r="D79" s="100">
        <v>12.7</v>
      </c>
      <c r="E79" s="100">
        <v>3.85</v>
      </c>
      <c r="F79" s="100">
        <v>45.95</v>
      </c>
      <c r="G79" s="100">
        <v>57.57</v>
      </c>
      <c r="H79" s="100">
        <v>30.37</v>
      </c>
      <c r="I79" s="100">
        <v>9.52</v>
      </c>
      <c r="J79" s="100">
        <v>1.68</v>
      </c>
      <c r="K79" s="100">
        <v>279.19</v>
      </c>
      <c r="L79" s="100">
        <v>36.56</v>
      </c>
      <c r="M79" s="100">
        <v>30.38</v>
      </c>
      <c r="N79" s="100">
        <v>57.1</v>
      </c>
      <c r="O79" s="100">
        <v>0</v>
      </c>
      <c r="P79" s="100">
        <v>0.65</v>
      </c>
      <c r="Q79" s="100">
        <v>28.68</v>
      </c>
      <c r="R79" s="6"/>
      <c r="S79" s="6"/>
      <c r="T79" s="156"/>
      <c r="U79" s="6"/>
    </row>
    <row r="80" spans="1:21" customFormat="1">
      <c r="A80" s="163" t="s">
        <v>1751</v>
      </c>
      <c r="B80" s="100">
        <v>4.54</v>
      </c>
      <c r="C80" s="100">
        <v>22.05</v>
      </c>
      <c r="D80" s="100">
        <v>14.17</v>
      </c>
      <c r="E80" s="100">
        <v>7.31</v>
      </c>
      <c r="F80" s="100">
        <v>45</v>
      </c>
      <c r="G80" s="100">
        <v>57.39</v>
      </c>
      <c r="H80" s="100">
        <v>29.26</v>
      </c>
      <c r="I80" s="100">
        <v>8.66</v>
      </c>
      <c r="J80" s="100">
        <v>3.66</v>
      </c>
      <c r="K80" s="100">
        <v>50.49</v>
      </c>
      <c r="L80" s="100">
        <v>36.15</v>
      </c>
      <c r="M80" s="100">
        <v>31.56</v>
      </c>
      <c r="N80" s="100">
        <v>42.9</v>
      </c>
      <c r="O80" s="100">
        <v>0</v>
      </c>
      <c r="P80" s="100">
        <v>0.7</v>
      </c>
      <c r="Q80" s="100">
        <v>27.34</v>
      </c>
      <c r="R80" s="6"/>
      <c r="S80" s="6"/>
      <c r="T80" s="156"/>
      <c r="U80" s="6"/>
    </row>
    <row r="81" spans="1:21" customFormat="1">
      <c r="A81" s="163" t="s">
        <v>1752</v>
      </c>
      <c r="B81" s="100">
        <v>3.85</v>
      </c>
      <c r="C81" s="100">
        <v>21.76</v>
      </c>
      <c r="D81" s="100">
        <v>13.46</v>
      </c>
      <c r="E81" s="100">
        <v>7.91</v>
      </c>
      <c r="F81" s="100">
        <v>41.48</v>
      </c>
      <c r="G81" s="100">
        <v>56.74</v>
      </c>
      <c r="H81" s="100">
        <v>25.1</v>
      </c>
      <c r="I81" s="100">
        <v>7.41</v>
      </c>
      <c r="J81" s="100">
        <v>3.63</v>
      </c>
      <c r="K81" s="100">
        <v>67.41</v>
      </c>
      <c r="L81" s="100">
        <v>35.56</v>
      </c>
      <c r="M81" s="100">
        <v>33.15</v>
      </c>
      <c r="N81" s="100">
        <v>39.6</v>
      </c>
      <c r="O81" s="100">
        <v>0</v>
      </c>
      <c r="P81" s="100">
        <v>0.76</v>
      </c>
      <c r="Q81" s="100">
        <v>28.03</v>
      </c>
      <c r="R81" s="6"/>
      <c r="S81" s="6"/>
      <c r="T81" s="156"/>
      <c r="U81" s="6"/>
    </row>
    <row r="82" spans="1:21" customFormat="1">
      <c r="A82" s="163" t="s">
        <v>1753</v>
      </c>
      <c r="B82" s="100">
        <v>3.07</v>
      </c>
      <c r="C82" s="100">
        <v>22.14</v>
      </c>
      <c r="D82" s="100">
        <v>13.03</v>
      </c>
      <c r="E82" s="100">
        <v>8.51</v>
      </c>
      <c r="F82" s="100">
        <v>39.82</v>
      </c>
      <c r="G82" s="100">
        <v>56.74</v>
      </c>
      <c r="H82" s="100">
        <v>25.1</v>
      </c>
      <c r="I82" s="100">
        <v>10.48</v>
      </c>
      <c r="J82" s="100">
        <v>3.7</v>
      </c>
      <c r="K82" s="100">
        <v>55.94</v>
      </c>
      <c r="L82" s="100">
        <v>35.380000000000003</v>
      </c>
      <c r="M82" s="100">
        <v>32.729999999999997</v>
      </c>
      <c r="N82" s="100">
        <v>28.1</v>
      </c>
      <c r="O82" s="100">
        <v>0</v>
      </c>
      <c r="P82" s="100">
        <v>0.76</v>
      </c>
      <c r="Q82" s="100">
        <v>28.04</v>
      </c>
      <c r="R82" s="6"/>
      <c r="S82" s="6"/>
      <c r="T82" s="156"/>
      <c r="U82" s="6"/>
    </row>
    <row r="83" spans="1:21" customFormat="1">
      <c r="A83" s="163" t="s">
        <v>1754</v>
      </c>
      <c r="B83" s="100">
        <v>3.49</v>
      </c>
      <c r="C83" s="100">
        <v>23.81</v>
      </c>
      <c r="D83" s="100">
        <v>14.24</v>
      </c>
      <c r="E83" s="100">
        <v>7.74</v>
      </c>
      <c r="F83" s="100">
        <v>14.97</v>
      </c>
      <c r="G83" s="100">
        <v>56.74</v>
      </c>
      <c r="H83" s="100">
        <v>25.1</v>
      </c>
      <c r="I83" s="100">
        <v>10.94</v>
      </c>
      <c r="J83" s="100">
        <v>2.31</v>
      </c>
      <c r="K83" s="100">
        <v>121.39</v>
      </c>
      <c r="L83" s="100">
        <v>34.71</v>
      </c>
      <c r="M83" s="100">
        <v>34.520000000000003</v>
      </c>
      <c r="N83" s="100">
        <v>24.1</v>
      </c>
      <c r="O83" s="100">
        <v>0</v>
      </c>
      <c r="P83" s="100">
        <v>0.79</v>
      </c>
      <c r="Q83" s="100">
        <v>28.04</v>
      </c>
      <c r="R83" s="6"/>
      <c r="S83" s="6"/>
      <c r="T83" s="156"/>
      <c r="U83" s="6"/>
    </row>
    <row r="84" spans="1:21" customFormat="1">
      <c r="A84" s="163" t="s">
        <v>1755</v>
      </c>
      <c r="B84" s="100">
        <v>3.59</v>
      </c>
      <c r="C84" s="100">
        <v>29.29</v>
      </c>
      <c r="D84" s="100">
        <v>17.190000000000001</v>
      </c>
      <c r="E84" s="100">
        <v>14.88</v>
      </c>
      <c r="F84" s="100">
        <v>21.73</v>
      </c>
      <c r="G84" s="100">
        <v>61.6</v>
      </c>
      <c r="H84" s="100">
        <v>26.2</v>
      </c>
      <c r="I84" s="100">
        <v>11.46</v>
      </c>
      <c r="J84" s="100">
        <v>2.15</v>
      </c>
      <c r="K84" s="100">
        <v>132.29</v>
      </c>
      <c r="L84" s="100">
        <v>34.67</v>
      </c>
      <c r="M84" s="100">
        <v>34.54</v>
      </c>
      <c r="N84" s="100">
        <v>22.8</v>
      </c>
      <c r="O84" s="100">
        <v>0</v>
      </c>
      <c r="P84" s="100">
        <v>0.83</v>
      </c>
      <c r="Q84" s="100">
        <v>27.59</v>
      </c>
      <c r="R84" s="6"/>
      <c r="S84" s="6"/>
      <c r="T84" s="156"/>
      <c r="U84" s="6"/>
    </row>
    <row r="85" spans="1:21" customFormat="1">
      <c r="A85" s="163" t="s">
        <v>1756</v>
      </c>
      <c r="B85" s="100">
        <v>3.17</v>
      </c>
      <c r="C85" s="100">
        <v>26.94</v>
      </c>
      <c r="D85" s="100">
        <v>15.62</v>
      </c>
      <c r="E85" s="100">
        <v>21.47</v>
      </c>
      <c r="F85" s="100">
        <v>22.71</v>
      </c>
      <c r="G85" s="100">
        <v>79.760000000000005</v>
      </c>
      <c r="H85" s="100">
        <v>30.32</v>
      </c>
      <c r="I85" s="100">
        <v>11.66</v>
      </c>
      <c r="J85" s="100">
        <v>2.4300000000000002</v>
      </c>
      <c r="K85" s="100">
        <v>156.07</v>
      </c>
      <c r="L85" s="100">
        <v>34.72</v>
      </c>
      <c r="M85" s="100">
        <v>34.14</v>
      </c>
      <c r="N85" s="100">
        <v>22.6</v>
      </c>
      <c r="O85" s="100">
        <v>0</v>
      </c>
      <c r="P85" s="100">
        <v>0.76</v>
      </c>
      <c r="Q85" s="100">
        <v>27.65</v>
      </c>
      <c r="R85" s="6"/>
      <c r="S85" s="6"/>
      <c r="T85" s="156"/>
      <c r="U85" s="6"/>
    </row>
    <row r="86" spans="1:21" customFormat="1">
      <c r="A86" s="163" t="s">
        <v>1757</v>
      </c>
      <c r="B86" s="100">
        <v>2.65</v>
      </c>
      <c r="C86" s="100">
        <v>20.61</v>
      </c>
      <c r="D86" s="100">
        <v>11.89</v>
      </c>
      <c r="E86" s="100">
        <v>20.85</v>
      </c>
      <c r="F86" s="100">
        <v>27.67</v>
      </c>
      <c r="G86" s="100">
        <v>79.760000000000005</v>
      </c>
      <c r="H86" s="100">
        <v>30.32</v>
      </c>
      <c r="I86" s="100">
        <v>12.65</v>
      </c>
      <c r="J86" s="100">
        <v>1.17</v>
      </c>
      <c r="K86" s="100">
        <v>170.01</v>
      </c>
      <c r="L86" s="100">
        <v>34.67</v>
      </c>
      <c r="M86" s="100">
        <v>34.57</v>
      </c>
      <c r="N86" s="100">
        <v>22.7</v>
      </c>
      <c r="O86" s="100">
        <v>0</v>
      </c>
      <c r="P86" s="100">
        <v>0.72</v>
      </c>
      <c r="Q86" s="100">
        <v>28.23</v>
      </c>
      <c r="R86" s="6"/>
      <c r="S86" s="6"/>
      <c r="T86" s="156"/>
      <c r="U86" s="6"/>
    </row>
    <row r="87" spans="1:21" customFormat="1">
      <c r="A87" s="163" t="s">
        <v>1758</v>
      </c>
      <c r="B87" s="100">
        <v>3.01</v>
      </c>
      <c r="C87" s="100">
        <v>14.18</v>
      </c>
      <c r="D87" s="100">
        <v>8.83</v>
      </c>
      <c r="E87" s="100">
        <v>12.47</v>
      </c>
      <c r="F87" s="100">
        <v>25.61</v>
      </c>
      <c r="G87" s="100">
        <v>79.760000000000005</v>
      </c>
      <c r="H87" s="100">
        <v>30.32</v>
      </c>
      <c r="I87" s="100">
        <v>12.4</v>
      </c>
      <c r="J87" s="100">
        <v>1.1399999999999999</v>
      </c>
      <c r="K87" s="100">
        <v>221.95</v>
      </c>
      <c r="L87" s="100">
        <v>33.36</v>
      </c>
      <c r="M87" s="100">
        <v>40.58</v>
      </c>
      <c r="N87" s="100">
        <v>24.3</v>
      </c>
      <c r="O87" s="100">
        <v>0</v>
      </c>
      <c r="P87" s="100">
        <v>0.66</v>
      </c>
      <c r="Q87" s="100">
        <v>28.8</v>
      </c>
      <c r="R87" s="6"/>
      <c r="S87" s="6"/>
      <c r="T87" s="156"/>
      <c r="U87" s="6"/>
    </row>
    <row r="88" spans="1:21" customFormat="1">
      <c r="A88" s="163" t="s">
        <v>1759</v>
      </c>
      <c r="B88" s="100">
        <v>3.22</v>
      </c>
      <c r="C88" s="100">
        <v>11.67</v>
      </c>
      <c r="D88" s="100">
        <v>7.68</v>
      </c>
      <c r="E88" s="100">
        <v>9.09</v>
      </c>
      <c r="F88" s="100">
        <v>19.43</v>
      </c>
      <c r="G88" s="100">
        <v>79.39</v>
      </c>
      <c r="H88" s="100">
        <v>31.01</v>
      </c>
      <c r="I88" s="100">
        <v>11.61</v>
      </c>
      <c r="J88" s="100">
        <v>1.68</v>
      </c>
      <c r="K88" s="100">
        <v>219.24</v>
      </c>
      <c r="L88" s="100">
        <v>32.24</v>
      </c>
      <c r="M88" s="100">
        <v>44.4</v>
      </c>
      <c r="N88" s="100">
        <v>24.8</v>
      </c>
      <c r="O88" s="100">
        <v>0</v>
      </c>
      <c r="P88" s="100">
        <v>0.65</v>
      </c>
      <c r="Q88" s="100">
        <v>29.06</v>
      </c>
      <c r="R88" s="6"/>
      <c r="S88" s="6"/>
      <c r="T88" s="156"/>
      <c r="U88" s="6"/>
    </row>
    <row r="89" spans="1:21" customFormat="1">
      <c r="A89" s="163" t="s">
        <v>1760</v>
      </c>
      <c r="B89" s="100">
        <v>3.12</v>
      </c>
      <c r="C89" s="100">
        <v>13.8</v>
      </c>
      <c r="D89" s="100">
        <v>8.7100000000000009</v>
      </c>
      <c r="E89" s="100">
        <v>7.63</v>
      </c>
      <c r="F89" s="100">
        <v>14.1</v>
      </c>
      <c r="G89" s="100">
        <v>78.02</v>
      </c>
      <c r="H89" s="100">
        <v>33.590000000000003</v>
      </c>
      <c r="I89" s="100">
        <v>10.65</v>
      </c>
      <c r="J89" s="100">
        <v>2.16</v>
      </c>
      <c r="K89" s="100">
        <v>217.52</v>
      </c>
      <c r="L89" s="100">
        <v>31.98</v>
      </c>
      <c r="M89" s="100">
        <v>48.1</v>
      </c>
      <c r="N89" s="100">
        <v>25</v>
      </c>
      <c r="O89" s="100">
        <v>0</v>
      </c>
      <c r="P89" s="100">
        <v>0.67</v>
      </c>
      <c r="Q89" s="100">
        <v>29.07</v>
      </c>
      <c r="R89" s="6"/>
      <c r="S89" s="6"/>
      <c r="T89" s="156"/>
      <c r="U89" s="6"/>
    </row>
    <row r="90" spans="1:21" customFormat="1">
      <c r="A90" s="163" t="s">
        <v>1761</v>
      </c>
      <c r="B90" s="100">
        <v>2.91</v>
      </c>
      <c r="C90" s="100">
        <v>15.39</v>
      </c>
      <c r="D90" s="100">
        <v>9.3800000000000008</v>
      </c>
      <c r="E90" s="100">
        <v>7.12</v>
      </c>
      <c r="F90" s="100">
        <v>16.21</v>
      </c>
      <c r="G90" s="100">
        <v>78.02</v>
      </c>
      <c r="H90" s="100">
        <v>33.590000000000003</v>
      </c>
      <c r="I90" s="100">
        <v>10.39</v>
      </c>
      <c r="J90" s="100">
        <v>2.52</v>
      </c>
      <c r="K90" s="100">
        <v>211.31</v>
      </c>
      <c r="L90" s="100">
        <v>31.36</v>
      </c>
      <c r="M90" s="100">
        <v>52.88</v>
      </c>
      <c r="N90" s="100">
        <v>24.2</v>
      </c>
      <c r="O90" s="100">
        <v>0</v>
      </c>
      <c r="P90" s="100">
        <v>0.66</v>
      </c>
      <c r="Q90" s="100">
        <v>28.95</v>
      </c>
      <c r="R90" s="6"/>
      <c r="S90" s="6"/>
      <c r="T90" s="156"/>
      <c r="U90" s="6"/>
    </row>
    <row r="91" spans="1:21" customFormat="1">
      <c r="A91" s="163" t="s">
        <v>1762</v>
      </c>
      <c r="B91" s="100">
        <v>2.69</v>
      </c>
      <c r="C91" s="100">
        <v>14.98</v>
      </c>
      <c r="D91" s="100">
        <v>8.99</v>
      </c>
      <c r="E91" s="100">
        <v>6.57</v>
      </c>
      <c r="F91" s="100">
        <v>13.3</v>
      </c>
      <c r="G91" s="100">
        <v>78.02</v>
      </c>
      <c r="H91" s="100">
        <v>33.590000000000003</v>
      </c>
      <c r="I91" s="100">
        <v>10.45</v>
      </c>
      <c r="J91" s="100">
        <v>2.29</v>
      </c>
      <c r="K91" s="100">
        <v>219.49</v>
      </c>
      <c r="L91" s="100">
        <v>31.24</v>
      </c>
      <c r="M91" s="100">
        <v>53.63</v>
      </c>
      <c r="N91" s="100">
        <v>23.4</v>
      </c>
      <c r="O91" s="100">
        <v>0</v>
      </c>
      <c r="P91" s="100">
        <v>0.64</v>
      </c>
      <c r="Q91" s="100">
        <v>29</v>
      </c>
      <c r="R91" s="6"/>
      <c r="S91" s="6"/>
      <c r="T91" s="156"/>
      <c r="U91" s="6"/>
    </row>
    <row r="92" spans="1:21" customFormat="1">
      <c r="A92" s="163" t="s">
        <v>1763</v>
      </c>
      <c r="B92" s="100">
        <v>2.4500000000000002</v>
      </c>
      <c r="C92" s="100">
        <v>13.38</v>
      </c>
      <c r="D92" s="100">
        <v>7.96</v>
      </c>
      <c r="E92" s="100">
        <v>6.31</v>
      </c>
      <c r="F92" s="100">
        <v>23.88</v>
      </c>
      <c r="G92" s="100">
        <v>73.760000000000005</v>
      </c>
      <c r="H92" s="100">
        <v>32.299999999999997</v>
      </c>
      <c r="I92" s="100">
        <v>10.18</v>
      </c>
      <c r="J92" s="100">
        <v>1.06</v>
      </c>
      <c r="K92" s="100">
        <v>224.68</v>
      </c>
      <c r="L92" s="100">
        <v>31.38</v>
      </c>
      <c r="M92" s="100">
        <v>51.86</v>
      </c>
      <c r="N92" s="100">
        <v>22.6</v>
      </c>
      <c r="O92" s="100">
        <v>0</v>
      </c>
      <c r="P92" s="100">
        <v>0.6</v>
      </c>
      <c r="Q92" s="100">
        <v>29.1</v>
      </c>
      <c r="R92" s="6"/>
      <c r="S92" s="6"/>
      <c r="T92" s="156"/>
      <c r="U92" s="6"/>
    </row>
    <row r="93" spans="1:21" customFormat="1">
      <c r="A93" s="163" t="s">
        <v>1764</v>
      </c>
      <c r="B93" s="100">
        <v>2.4</v>
      </c>
      <c r="C93" s="100">
        <v>13.06</v>
      </c>
      <c r="D93" s="100">
        <v>7.75</v>
      </c>
      <c r="E93" s="100">
        <v>6.07</v>
      </c>
      <c r="F93" s="100">
        <v>18.39</v>
      </c>
      <c r="G93" s="100">
        <v>57.81</v>
      </c>
      <c r="H93" s="100">
        <v>27.49</v>
      </c>
      <c r="I93" s="100">
        <v>9.67</v>
      </c>
      <c r="J93" s="100">
        <v>2.2000000000000002</v>
      </c>
      <c r="K93" s="100">
        <v>224.74</v>
      </c>
      <c r="L93" s="100">
        <v>31.7</v>
      </c>
      <c r="M93" s="100">
        <v>49.75</v>
      </c>
      <c r="N93" s="100">
        <v>22.7</v>
      </c>
      <c r="O93" s="100">
        <v>0</v>
      </c>
      <c r="P93" s="100">
        <v>0.61</v>
      </c>
      <c r="Q93" s="100">
        <v>29.09</v>
      </c>
      <c r="R93" s="6"/>
      <c r="S93" s="6"/>
      <c r="T93" s="156"/>
      <c r="U93" s="6"/>
    </row>
    <row r="94" spans="1:21" customFormat="1">
      <c r="A94" s="163" t="s">
        <v>1765</v>
      </c>
      <c r="B94" s="100">
        <v>2.44</v>
      </c>
      <c r="C94" s="100">
        <v>12.87</v>
      </c>
      <c r="D94" s="100">
        <v>7.69</v>
      </c>
      <c r="E94" s="100">
        <v>6.09</v>
      </c>
      <c r="F94" s="100">
        <v>10.26</v>
      </c>
      <c r="G94" s="100">
        <v>57.81</v>
      </c>
      <c r="H94" s="100">
        <v>27.49</v>
      </c>
      <c r="I94" s="100">
        <v>9.07</v>
      </c>
      <c r="J94" s="100">
        <v>3.93</v>
      </c>
      <c r="K94" s="100">
        <v>252.87</v>
      </c>
      <c r="L94" s="100">
        <v>31.59</v>
      </c>
      <c r="M94" s="100">
        <v>51</v>
      </c>
      <c r="N94" s="100">
        <v>23.5</v>
      </c>
      <c r="O94" s="100">
        <v>0</v>
      </c>
      <c r="P94" s="100">
        <v>0.62</v>
      </c>
      <c r="Q94" s="100">
        <v>29.11</v>
      </c>
      <c r="R94" s="6"/>
      <c r="S94" s="6"/>
      <c r="T94" s="156"/>
      <c r="U94" s="6"/>
    </row>
    <row r="95" spans="1:21" customFormat="1">
      <c r="A95" s="163" t="s">
        <v>1766</v>
      </c>
      <c r="B95" s="100">
        <v>2.4300000000000002</v>
      </c>
      <c r="C95" s="100">
        <v>13.16</v>
      </c>
      <c r="D95" s="100">
        <v>7.83</v>
      </c>
      <c r="E95" s="100">
        <v>5.73</v>
      </c>
      <c r="F95" s="100">
        <v>7.68</v>
      </c>
      <c r="G95" s="100">
        <v>57.81</v>
      </c>
      <c r="H95" s="100">
        <v>27.49</v>
      </c>
      <c r="I95" s="100">
        <v>8.99</v>
      </c>
      <c r="J95" s="100">
        <v>6.96</v>
      </c>
      <c r="K95" s="100">
        <v>245.83</v>
      </c>
      <c r="L95" s="100">
        <v>30.72</v>
      </c>
      <c r="M95" s="100">
        <v>58.05</v>
      </c>
      <c r="N95" s="100">
        <v>23.9</v>
      </c>
      <c r="O95" s="100">
        <v>0</v>
      </c>
      <c r="P95" s="100">
        <v>0.61</v>
      </c>
      <c r="Q95" s="100">
        <v>29.07</v>
      </c>
      <c r="R95" s="6"/>
      <c r="S95" s="6"/>
      <c r="T95" s="156"/>
      <c r="U95" s="6"/>
    </row>
    <row r="96" spans="1:21" customFormat="1">
      <c r="A96" s="163" t="s">
        <v>1767</v>
      </c>
      <c r="B96" s="100">
        <v>2.37</v>
      </c>
      <c r="C96" s="100">
        <v>13.89</v>
      </c>
      <c r="D96" s="100">
        <v>8.16</v>
      </c>
      <c r="E96" s="100">
        <v>5.61</v>
      </c>
      <c r="F96" s="100">
        <v>8.6</v>
      </c>
      <c r="G96" s="100">
        <v>56.89</v>
      </c>
      <c r="H96" s="100">
        <v>26.32</v>
      </c>
      <c r="I96" s="100">
        <v>9.2799999999999994</v>
      </c>
      <c r="J96" s="100">
        <v>5.09</v>
      </c>
      <c r="K96" s="100">
        <v>218.74</v>
      </c>
      <c r="L96" s="100">
        <v>28.91</v>
      </c>
      <c r="M96" s="100">
        <v>70.680000000000007</v>
      </c>
      <c r="N96" s="100">
        <v>26.4</v>
      </c>
      <c r="O96" s="100">
        <v>0.6</v>
      </c>
      <c r="P96" s="100">
        <v>0.61</v>
      </c>
      <c r="Q96" s="100">
        <v>29.06</v>
      </c>
      <c r="R96" s="6"/>
      <c r="S96" s="6"/>
      <c r="T96" s="156"/>
      <c r="U96" s="6"/>
    </row>
    <row r="97" spans="1:28" customFormat="1">
      <c r="A97" s="163" t="s">
        <v>1768</v>
      </c>
      <c r="B97" s="100">
        <v>2.83</v>
      </c>
      <c r="C97" s="100">
        <v>15.72</v>
      </c>
      <c r="D97" s="100">
        <v>9.49</v>
      </c>
      <c r="E97" s="100">
        <v>6.12</v>
      </c>
      <c r="F97" s="100">
        <v>6.94</v>
      </c>
      <c r="G97" s="100">
        <v>53.46</v>
      </c>
      <c r="H97" s="100">
        <v>21.93</v>
      </c>
      <c r="I97" s="100">
        <v>9.3000000000000007</v>
      </c>
      <c r="J97" s="100">
        <v>5.91</v>
      </c>
      <c r="K97" s="100">
        <v>204.67</v>
      </c>
      <c r="L97" s="100">
        <v>28.13</v>
      </c>
      <c r="M97" s="100">
        <v>76.010000000000005</v>
      </c>
      <c r="N97" s="100">
        <v>23.8</v>
      </c>
      <c r="O97" s="100">
        <v>0</v>
      </c>
      <c r="P97" s="100">
        <v>0.56999999999999995</v>
      </c>
      <c r="Q97" s="100">
        <v>28.95</v>
      </c>
      <c r="R97" s="6"/>
      <c r="S97" s="6"/>
      <c r="T97" s="156"/>
      <c r="U97" s="6"/>
    </row>
    <row r="98" spans="1:28" customFormat="1">
      <c r="A98" s="163" t="s">
        <v>1769</v>
      </c>
      <c r="B98" s="100">
        <v>3.28</v>
      </c>
      <c r="C98" s="100">
        <v>11.02</v>
      </c>
      <c r="D98" s="100">
        <v>7.4</v>
      </c>
      <c r="E98" s="100">
        <v>5.91</v>
      </c>
      <c r="F98" s="100">
        <v>8.18</v>
      </c>
      <c r="G98" s="100">
        <v>53.46</v>
      </c>
      <c r="H98" s="100">
        <v>21.93</v>
      </c>
      <c r="I98" s="100">
        <v>9.02</v>
      </c>
      <c r="J98" s="100">
        <v>6.07</v>
      </c>
      <c r="K98" s="100">
        <v>207.12</v>
      </c>
      <c r="L98" s="100">
        <v>27.87</v>
      </c>
      <c r="M98" s="100">
        <v>76.78</v>
      </c>
      <c r="N98" s="100">
        <v>25.7</v>
      </c>
      <c r="O98" s="100">
        <v>0.2</v>
      </c>
      <c r="P98" s="100">
        <v>0.53</v>
      </c>
      <c r="Q98" s="100">
        <v>29.21</v>
      </c>
      <c r="R98" s="6"/>
      <c r="S98" s="6"/>
      <c r="T98" s="156"/>
      <c r="U98" s="6"/>
    </row>
    <row r="99" spans="1:28" customFormat="1">
      <c r="A99" s="163" t="s">
        <v>1770</v>
      </c>
      <c r="B99" s="100">
        <v>3.18</v>
      </c>
      <c r="C99" s="100">
        <v>9.23</v>
      </c>
      <c r="D99" s="100">
        <v>6.38</v>
      </c>
      <c r="E99" s="100">
        <v>5.67</v>
      </c>
      <c r="F99" s="100">
        <v>8.86</v>
      </c>
      <c r="G99" s="100">
        <v>53.46</v>
      </c>
      <c r="H99" s="100">
        <v>21.93</v>
      </c>
      <c r="I99" s="100">
        <v>8.7200000000000006</v>
      </c>
      <c r="J99" s="100">
        <v>6.05</v>
      </c>
      <c r="K99" s="100">
        <v>199.01</v>
      </c>
      <c r="L99" s="100">
        <v>27.25</v>
      </c>
      <c r="M99" s="100">
        <v>76.62</v>
      </c>
      <c r="N99" s="100">
        <v>27.3</v>
      </c>
      <c r="O99" s="100">
        <v>0</v>
      </c>
      <c r="P99" s="100">
        <v>0.52</v>
      </c>
      <c r="Q99" s="100">
        <v>29.33</v>
      </c>
      <c r="R99" s="6"/>
      <c r="S99" s="6"/>
      <c r="T99" s="156"/>
      <c r="U99" s="6"/>
    </row>
    <row r="100" spans="1:28" customFormat="1">
      <c r="A100" s="163" t="s">
        <v>1771</v>
      </c>
      <c r="B100" s="100">
        <v>2.92</v>
      </c>
      <c r="C100" s="100">
        <v>10.64</v>
      </c>
      <c r="D100" s="100">
        <v>6.9</v>
      </c>
      <c r="E100" s="100">
        <v>5.4</v>
      </c>
      <c r="F100" s="100">
        <v>7.25</v>
      </c>
      <c r="G100" s="100">
        <v>49.93</v>
      </c>
      <c r="H100" s="100">
        <v>21.51</v>
      </c>
      <c r="I100" s="100">
        <v>8.35</v>
      </c>
      <c r="J100" s="100">
        <v>5.64</v>
      </c>
      <c r="K100" s="100">
        <v>210.76</v>
      </c>
      <c r="L100" s="100">
        <v>27.02</v>
      </c>
      <c r="M100" s="100">
        <v>73.790000000000006</v>
      </c>
      <c r="N100" s="100">
        <v>25.9</v>
      </c>
      <c r="O100" s="100">
        <v>0</v>
      </c>
      <c r="P100" s="100">
        <v>0.51</v>
      </c>
      <c r="Q100" s="100">
        <v>29.24</v>
      </c>
      <c r="R100" s="6"/>
      <c r="S100" s="6"/>
      <c r="T100" s="156"/>
      <c r="U100" s="6"/>
      <c r="AB100" s="161"/>
    </row>
    <row r="101" spans="1:28" customFormat="1">
      <c r="A101" s="163" t="s">
        <v>1772</v>
      </c>
      <c r="B101" s="100">
        <v>2.95</v>
      </c>
      <c r="C101" s="100">
        <v>8.99</v>
      </c>
      <c r="D101" s="100">
        <v>6.06</v>
      </c>
      <c r="E101" s="100">
        <v>6.09</v>
      </c>
      <c r="F101" s="100">
        <v>7.48</v>
      </c>
      <c r="G101" s="100">
        <v>36.72</v>
      </c>
      <c r="H101" s="100">
        <v>19.93</v>
      </c>
      <c r="I101" s="100">
        <v>7.95</v>
      </c>
      <c r="J101" s="100">
        <v>5.67</v>
      </c>
      <c r="K101" s="100">
        <v>214.99</v>
      </c>
      <c r="L101" s="100">
        <v>27.26</v>
      </c>
      <c r="M101" s="100">
        <v>73.69</v>
      </c>
      <c r="N101" s="100">
        <v>23.9</v>
      </c>
      <c r="O101" s="100">
        <v>0</v>
      </c>
      <c r="P101" s="100">
        <v>0.48</v>
      </c>
      <c r="Q101" s="100">
        <v>29.36</v>
      </c>
      <c r="R101" s="6"/>
      <c r="S101" s="6"/>
      <c r="T101" s="156"/>
      <c r="U101" s="6"/>
    </row>
    <row r="102" spans="1:28" customFormat="1">
      <c r="A102" s="163" t="s">
        <v>1773</v>
      </c>
      <c r="B102" s="100">
        <v>2.59</v>
      </c>
      <c r="C102" s="100">
        <v>11.35</v>
      </c>
      <c r="D102" s="100">
        <v>7.02</v>
      </c>
      <c r="E102" s="100">
        <v>6.69</v>
      </c>
      <c r="F102" s="100">
        <v>6.2</v>
      </c>
      <c r="G102" s="100">
        <v>36.72</v>
      </c>
      <c r="H102" s="100">
        <v>19.93</v>
      </c>
      <c r="I102" s="100">
        <v>7.63</v>
      </c>
      <c r="J102" s="100">
        <v>5.32</v>
      </c>
      <c r="K102" s="100">
        <v>211.04</v>
      </c>
      <c r="L102" s="100">
        <v>27.42</v>
      </c>
      <c r="M102" s="100">
        <v>72.53</v>
      </c>
      <c r="N102" s="100">
        <v>23.8</v>
      </c>
      <c r="O102" s="100">
        <v>0</v>
      </c>
      <c r="P102" s="100">
        <v>0.5</v>
      </c>
      <c r="Q102" s="100">
        <v>29.27</v>
      </c>
      <c r="R102" s="6"/>
      <c r="S102" s="6"/>
      <c r="T102" s="156"/>
      <c r="U102" s="6"/>
    </row>
    <row r="103" spans="1:28" customFormat="1">
      <c r="A103" s="163" t="s">
        <v>1774</v>
      </c>
      <c r="B103" s="100">
        <v>2.57</v>
      </c>
      <c r="C103" s="100">
        <v>10.71</v>
      </c>
      <c r="D103" s="100">
        <v>6.67</v>
      </c>
      <c r="E103" s="100">
        <v>6.75</v>
      </c>
      <c r="F103" s="100">
        <v>7.4</v>
      </c>
      <c r="G103" s="100">
        <v>36.72</v>
      </c>
      <c r="H103" s="100">
        <v>19.93</v>
      </c>
      <c r="I103" s="100">
        <v>7.43</v>
      </c>
      <c r="J103" s="100">
        <v>5.17</v>
      </c>
      <c r="K103" s="100">
        <v>209.34</v>
      </c>
      <c r="L103" s="100">
        <v>27.48</v>
      </c>
      <c r="M103" s="100">
        <v>69.53</v>
      </c>
      <c r="N103" s="100">
        <v>23.2</v>
      </c>
      <c r="O103" s="100">
        <v>0</v>
      </c>
      <c r="P103" s="100">
        <v>0.49</v>
      </c>
      <c r="Q103" s="100">
        <v>29.3</v>
      </c>
      <c r="R103" s="6"/>
      <c r="S103" s="6"/>
      <c r="T103" s="156"/>
      <c r="U103" s="6"/>
    </row>
    <row r="104" spans="1:28" customFormat="1">
      <c r="A104" s="163" t="s">
        <v>1775</v>
      </c>
      <c r="B104" s="100">
        <v>2.52</v>
      </c>
      <c r="C104" s="100">
        <v>10.6</v>
      </c>
      <c r="D104" s="100">
        <v>6.56</v>
      </c>
      <c r="E104" s="100">
        <v>6.62</v>
      </c>
      <c r="F104" s="100">
        <v>7.89</v>
      </c>
      <c r="G104" s="100">
        <v>35.39</v>
      </c>
      <c r="H104" s="100">
        <v>19.23</v>
      </c>
      <c r="I104" s="100">
        <v>7.37</v>
      </c>
      <c r="J104" s="100">
        <v>5.68</v>
      </c>
      <c r="K104" s="100">
        <v>225.67</v>
      </c>
      <c r="L104" s="100">
        <v>27.76</v>
      </c>
      <c r="M104" s="100">
        <v>66.599999999999994</v>
      </c>
      <c r="N104" s="100">
        <v>22.7</v>
      </c>
      <c r="O104" s="100">
        <v>0</v>
      </c>
      <c r="P104" s="100">
        <v>0.48</v>
      </c>
      <c r="Q104" s="100">
        <v>29.3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1.69</v>
      </c>
      <c r="C106" s="158">
        <f>MIN(C9:C104)</f>
        <v>8.99</v>
      </c>
      <c r="D106" s="158">
        <f t="shared" ref="D106:Q106" si="0">MIN(D9:D104)</f>
        <v>6.06</v>
      </c>
      <c r="E106" s="158">
        <f t="shared" si="0"/>
        <v>2.69</v>
      </c>
      <c r="F106" s="158">
        <f t="shared" si="0"/>
        <v>3.27</v>
      </c>
      <c r="G106" s="158">
        <f t="shared" si="0"/>
        <v>17.39</v>
      </c>
      <c r="H106" s="158">
        <f t="shared" si="0"/>
        <v>12.34</v>
      </c>
      <c r="I106" s="158">
        <f t="shared" si="0"/>
        <v>7.33</v>
      </c>
      <c r="J106" s="158">
        <f t="shared" si="0"/>
        <v>1.06</v>
      </c>
      <c r="K106" s="158">
        <f t="shared" si="0"/>
        <v>45.94</v>
      </c>
      <c r="L106" s="158">
        <f t="shared" si="0"/>
        <v>27.02</v>
      </c>
      <c r="M106" s="158">
        <f t="shared" si="0"/>
        <v>26.31</v>
      </c>
      <c r="N106" s="158">
        <f t="shared" si="0"/>
        <v>22.6</v>
      </c>
      <c r="O106" s="158">
        <f t="shared" si="0"/>
        <v>0</v>
      </c>
      <c r="P106" s="158">
        <f t="shared" si="0"/>
        <v>0.42</v>
      </c>
      <c r="Q106" s="158">
        <f t="shared" si="0"/>
        <v>27.34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7.49</v>
      </c>
      <c r="C107" s="157">
        <f t="shared" ref="C107:Q107" si="1">MAX(C9:C104)</f>
        <v>29.29</v>
      </c>
      <c r="D107" s="157">
        <f t="shared" si="1"/>
        <v>17.190000000000001</v>
      </c>
      <c r="E107" s="157">
        <f t="shared" si="1"/>
        <v>21.47</v>
      </c>
      <c r="F107" s="157">
        <f t="shared" si="1"/>
        <v>74.319999999999993</v>
      </c>
      <c r="G107" s="157">
        <f t="shared" si="1"/>
        <v>79.760000000000005</v>
      </c>
      <c r="H107" s="157">
        <f t="shared" si="1"/>
        <v>33.590000000000003</v>
      </c>
      <c r="I107" s="157">
        <f t="shared" si="1"/>
        <v>14.73</v>
      </c>
      <c r="J107" s="157">
        <f t="shared" si="1"/>
        <v>6.96</v>
      </c>
      <c r="K107" s="157">
        <f t="shared" si="1"/>
        <v>353.41</v>
      </c>
      <c r="L107" s="157">
        <f t="shared" si="1"/>
        <v>38.950000000000003</v>
      </c>
      <c r="M107" s="157">
        <f t="shared" si="1"/>
        <v>76.78</v>
      </c>
      <c r="N107" s="157">
        <f t="shared" si="1"/>
        <v>741.7</v>
      </c>
      <c r="O107" s="157">
        <f t="shared" si="1"/>
        <v>0.6</v>
      </c>
      <c r="P107" s="157">
        <f t="shared" si="1"/>
        <v>0.85</v>
      </c>
      <c r="Q107" s="157">
        <f t="shared" si="1"/>
        <v>29.36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3.8160416666666666</v>
      </c>
      <c r="C108" s="158">
        <f t="shared" ref="C108:Q108" si="2">AVERAGE(C9:C104)</f>
        <v>15.701979166666673</v>
      </c>
      <c r="D108" s="158">
        <f t="shared" si="2"/>
        <v>10.268645833333334</v>
      </c>
      <c r="E108" s="158">
        <f t="shared" si="2"/>
        <v>6.8169791666666688</v>
      </c>
      <c r="F108" s="158">
        <f t="shared" si="2"/>
        <v>19.265729166666677</v>
      </c>
      <c r="G108" s="158">
        <f t="shared" si="2"/>
        <v>48.656666666666702</v>
      </c>
      <c r="H108" s="158">
        <f t="shared" si="2"/>
        <v>22.453854166666655</v>
      </c>
      <c r="I108" s="158">
        <f t="shared" si="2"/>
        <v>9.6844791666666659</v>
      </c>
      <c r="J108" s="158">
        <f t="shared" si="2"/>
        <v>3.265937500000001</v>
      </c>
      <c r="K108" s="158">
        <f t="shared" si="2"/>
        <v>215.22875000000002</v>
      </c>
      <c r="L108" s="158">
        <f t="shared" si="2"/>
        <v>32.380000000000003</v>
      </c>
      <c r="M108" s="158">
        <f t="shared" si="2"/>
        <v>47.858229166666668</v>
      </c>
      <c r="N108" s="158">
        <f t="shared" si="2"/>
        <v>199.87083333333331</v>
      </c>
      <c r="O108" s="158">
        <f t="shared" si="2"/>
        <v>8.3333333333333332E-3</v>
      </c>
      <c r="P108" s="158">
        <f t="shared" si="2"/>
        <v>0.56354166666666639</v>
      </c>
      <c r="Q108" s="158">
        <f t="shared" si="2"/>
        <v>28.823958333333348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1.64516355236648</v>
      </c>
      <c r="C109" s="158">
        <f t="shared" ref="C109:Q109" si="3">STDEV(C9:C104)</f>
        <v>4.3820208315322127</v>
      </c>
      <c r="D109" s="158">
        <f t="shared" si="3"/>
        <v>3.031077494639288</v>
      </c>
      <c r="E109" s="158">
        <f t="shared" si="3"/>
        <v>2.776171585699561</v>
      </c>
      <c r="F109" s="158">
        <f t="shared" si="3"/>
        <v>16.484883074775958</v>
      </c>
      <c r="G109" s="158">
        <f t="shared" si="3"/>
        <v>17.669118029200558</v>
      </c>
      <c r="H109" s="158">
        <f t="shared" si="3"/>
        <v>5.4979365257946577</v>
      </c>
      <c r="I109" s="158">
        <f t="shared" si="3"/>
        <v>1.8314508886279623</v>
      </c>
      <c r="J109" s="158">
        <f t="shared" si="3"/>
        <v>1.1321619543110755</v>
      </c>
      <c r="K109" s="158">
        <f t="shared" si="3"/>
        <v>48.226066772190599</v>
      </c>
      <c r="L109" s="158">
        <f t="shared" si="3"/>
        <v>4.099498557269281</v>
      </c>
      <c r="M109" s="158">
        <f t="shared" si="3"/>
        <v>15.882751584148464</v>
      </c>
      <c r="N109" s="158">
        <f t="shared" si="3"/>
        <v>235.29316894223086</v>
      </c>
      <c r="O109" s="158">
        <f t="shared" si="3"/>
        <v>6.4345558333058092E-2</v>
      </c>
      <c r="P109" s="158">
        <f t="shared" si="3"/>
        <v>0.10255657403205858</v>
      </c>
      <c r="Q109" s="158">
        <f t="shared" si="3"/>
        <v>0.38802191790146323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0" sqref="E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1776</v>
      </c>
      <c r="B9" s="100">
        <v>1.89</v>
      </c>
      <c r="C9" s="100">
        <v>11.36</v>
      </c>
      <c r="D9" s="100">
        <v>6.45</v>
      </c>
      <c r="E9" s="100">
        <v>6.27</v>
      </c>
      <c r="F9" s="100">
        <v>5.9</v>
      </c>
      <c r="G9" s="100">
        <v>30.38</v>
      </c>
      <c r="H9" s="100">
        <v>16.399999999999999</v>
      </c>
      <c r="I9" s="100">
        <v>7.08</v>
      </c>
      <c r="J9" s="100">
        <v>6.13</v>
      </c>
      <c r="K9" s="100">
        <v>235.95</v>
      </c>
      <c r="L9" s="100">
        <v>27.96</v>
      </c>
      <c r="M9" s="100">
        <v>65.91</v>
      </c>
      <c r="N9" s="100">
        <v>23.2</v>
      </c>
      <c r="O9" s="100">
        <v>0</v>
      </c>
      <c r="P9" s="100">
        <v>0.48</v>
      </c>
      <c r="Q9" s="100">
        <v>29.27</v>
      </c>
      <c r="R9" s="6"/>
      <c r="S9" s="6"/>
      <c r="T9" s="156"/>
      <c r="U9" s="6"/>
    </row>
    <row r="10" spans="1:21" customFormat="1">
      <c r="A10" s="163" t="s">
        <v>1777</v>
      </c>
      <c r="B10" s="100">
        <v>1.93</v>
      </c>
      <c r="C10" s="100">
        <v>11.16</v>
      </c>
      <c r="D10" s="100">
        <v>6.38</v>
      </c>
      <c r="E10" s="100">
        <v>6.34</v>
      </c>
      <c r="F10" s="100">
        <v>6.86</v>
      </c>
      <c r="G10" s="100">
        <v>30.38</v>
      </c>
      <c r="H10" s="100">
        <v>16.399999999999999</v>
      </c>
      <c r="I10" s="100">
        <v>6.84</v>
      </c>
      <c r="J10" s="100">
        <v>6.36</v>
      </c>
      <c r="K10" s="100">
        <v>232.13</v>
      </c>
      <c r="L10" s="100">
        <v>28.02</v>
      </c>
      <c r="M10" s="100">
        <v>64.87</v>
      </c>
      <c r="N10" s="100">
        <v>23.1</v>
      </c>
      <c r="O10" s="100">
        <v>0</v>
      </c>
      <c r="P10" s="100">
        <v>0.47</v>
      </c>
      <c r="Q10" s="100">
        <v>29.29</v>
      </c>
      <c r="R10" s="6"/>
      <c r="S10" s="6"/>
      <c r="T10" s="156"/>
      <c r="U10" s="6"/>
    </row>
    <row r="11" spans="1:21" customFormat="1">
      <c r="A11" s="163" t="s">
        <v>1778</v>
      </c>
      <c r="B11" s="100">
        <v>1.93</v>
      </c>
      <c r="C11" s="100">
        <v>11.01</v>
      </c>
      <c r="D11" s="100">
        <v>6.3</v>
      </c>
      <c r="E11" s="100">
        <v>6.31</v>
      </c>
      <c r="F11" s="100">
        <v>6.7</v>
      </c>
      <c r="G11" s="100">
        <v>30.38</v>
      </c>
      <c r="H11" s="100">
        <v>16.399999999999999</v>
      </c>
      <c r="I11" s="100">
        <v>6.72</v>
      </c>
      <c r="J11" s="100">
        <v>6.29</v>
      </c>
      <c r="K11" s="100">
        <v>245.12</v>
      </c>
      <c r="L11" s="100">
        <v>28.14</v>
      </c>
      <c r="M11" s="100">
        <v>62.91</v>
      </c>
      <c r="N11" s="100">
        <v>23.4</v>
      </c>
      <c r="O11" s="100">
        <v>0</v>
      </c>
      <c r="P11" s="100">
        <v>0.46</v>
      </c>
      <c r="Q11" s="100">
        <v>29.27</v>
      </c>
      <c r="R11" s="6"/>
      <c r="S11" s="6"/>
      <c r="T11" s="156"/>
      <c r="U11" s="6"/>
    </row>
    <row r="12" spans="1:21" customFormat="1">
      <c r="A12" s="163" t="s">
        <v>1779</v>
      </c>
      <c r="B12" s="100">
        <v>1.82</v>
      </c>
      <c r="C12" s="100">
        <v>10.89</v>
      </c>
      <c r="D12" s="100">
        <v>6.15</v>
      </c>
      <c r="E12" s="100">
        <v>6.26</v>
      </c>
      <c r="F12" s="100">
        <v>7.16</v>
      </c>
      <c r="G12" s="100">
        <v>30.2</v>
      </c>
      <c r="H12" s="100">
        <v>16.71</v>
      </c>
      <c r="I12" s="100">
        <v>6.58</v>
      </c>
      <c r="J12" s="100">
        <v>6.69</v>
      </c>
      <c r="K12" s="100">
        <v>247.34</v>
      </c>
      <c r="L12" s="100">
        <v>27.69</v>
      </c>
      <c r="M12" s="100">
        <v>65.02</v>
      </c>
      <c r="N12" s="100">
        <v>24.1</v>
      </c>
      <c r="O12" s="100">
        <v>0</v>
      </c>
      <c r="P12" s="100">
        <v>0.46</v>
      </c>
      <c r="Q12" s="100">
        <v>29.3</v>
      </c>
      <c r="R12" s="6"/>
      <c r="S12" s="6"/>
      <c r="T12" s="156"/>
      <c r="U12" s="6"/>
    </row>
    <row r="13" spans="1:21" customFormat="1">
      <c r="A13" s="163" t="s">
        <v>1780</v>
      </c>
      <c r="B13" s="100">
        <v>1.82</v>
      </c>
      <c r="C13" s="100">
        <v>11.84</v>
      </c>
      <c r="D13" s="100">
        <v>6.65</v>
      </c>
      <c r="E13" s="100">
        <v>5.93</v>
      </c>
      <c r="F13" s="100">
        <v>7.01</v>
      </c>
      <c r="G13" s="100">
        <v>29.51</v>
      </c>
      <c r="H13" s="100">
        <v>17.89</v>
      </c>
      <c r="I13" s="100">
        <v>6.33</v>
      </c>
      <c r="J13" s="100">
        <v>6.41</v>
      </c>
      <c r="K13" s="100">
        <v>249.07</v>
      </c>
      <c r="L13" s="100">
        <v>27.01</v>
      </c>
      <c r="M13" s="100">
        <v>68.650000000000006</v>
      </c>
      <c r="N13" s="100">
        <v>24.3</v>
      </c>
      <c r="O13" s="100">
        <v>0</v>
      </c>
      <c r="P13" s="100">
        <v>0.47</v>
      </c>
      <c r="Q13" s="100">
        <v>29.24</v>
      </c>
      <c r="R13" s="6"/>
      <c r="S13" s="6"/>
      <c r="T13" s="156"/>
      <c r="U13" s="6"/>
    </row>
    <row r="14" spans="1:21" customFormat="1">
      <c r="A14" s="163" t="s">
        <v>1781</v>
      </c>
      <c r="B14" s="100">
        <v>1.8</v>
      </c>
      <c r="C14" s="100">
        <v>16.149999999999999</v>
      </c>
      <c r="D14" s="100">
        <v>8.89</v>
      </c>
      <c r="E14" s="100">
        <v>5.89</v>
      </c>
      <c r="F14" s="100">
        <v>5.34</v>
      </c>
      <c r="G14" s="100">
        <v>29.51</v>
      </c>
      <c r="H14" s="100">
        <v>17.89</v>
      </c>
      <c r="I14" s="100">
        <v>6.39</v>
      </c>
      <c r="J14" s="100">
        <v>6.45</v>
      </c>
      <c r="K14" s="100">
        <v>247.13</v>
      </c>
      <c r="L14" s="100">
        <v>26.74</v>
      </c>
      <c r="M14" s="100">
        <v>69.489999999999995</v>
      </c>
      <c r="N14" s="100">
        <v>23.5</v>
      </c>
      <c r="O14" s="100">
        <v>0</v>
      </c>
      <c r="P14" s="100">
        <v>0.49</v>
      </c>
      <c r="Q14" s="100">
        <v>29</v>
      </c>
      <c r="R14" s="6"/>
      <c r="S14" s="6"/>
      <c r="T14" s="156"/>
      <c r="U14" s="6"/>
    </row>
    <row r="15" spans="1:21" customFormat="1">
      <c r="A15" s="163" t="s">
        <v>1782</v>
      </c>
      <c r="B15" s="100">
        <v>1.93</v>
      </c>
      <c r="C15" s="100">
        <v>16.36</v>
      </c>
      <c r="D15" s="100">
        <v>9.1</v>
      </c>
      <c r="E15" s="100">
        <v>6.61</v>
      </c>
      <c r="F15" s="100">
        <v>4.5199999999999996</v>
      </c>
      <c r="G15" s="100">
        <v>29.51</v>
      </c>
      <c r="H15" s="100">
        <v>17.89</v>
      </c>
      <c r="I15" s="100">
        <v>7</v>
      </c>
      <c r="J15" s="100">
        <v>5.44</v>
      </c>
      <c r="K15" s="100">
        <v>244.73</v>
      </c>
      <c r="L15" s="100">
        <v>27.02</v>
      </c>
      <c r="M15" s="100">
        <v>67.930000000000007</v>
      </c>
      <c r="N15" s="100">
        <v>22.9</v>
      </c>
      <c r="O15" s="100">
        <v>0</v>
      </c>
      <c r="P15" s="100">
        <v>0.51</v>
      </c>
      <c r="Q15" s="100">
        <v>28.96</v>
      </c>
      <c r="R15" s="6"/>
      <c r="S15" s="6"/>
      <c r="T15" s="156"/>
      <c r="U15" s="6"/>
    </row>
    <row r="16" spans="1:21" customFormat="1">
      <c r="A16" s="163" t="s">
        <v>1783</v>
      </c>
      <c r="B16" s="100">
        <v>2.2000000000000002</v>
      </c>
      <c r="C16" s="100">
        <v>14.98</v>
      </c>
      <c r="D16" s="100">
        <v>8.59</v>
      </c>
      <c r="E16" s="100">
        <v>6.54</v>
      </c>
      <c r="F16" s="100">
        <v>3.97</v>
      </c>
      <c r="G16" s="100">
        <v>32.65</v>
      </c>
      <c r="H16" s="100">
        <v>17.170000000000002</v>
      </c>
      <c r="I16" s="100">
        <v>7.87</v>
      </c>
      <c r="J16" s="100">
        <v>5.26</v>
      </c>
      <c r="K16" s="100">
        <v>246.81</v>
      </c>
      <c r="L16" s="100">
        <v>27.24</v>
      </c>
      <c r="M16" s="100">
        <v>67.25</v>
      </c>
      <c r="N16" s="100">
        <v>23</v>
      </c>
      <c r="O16" s="100">
        <v>0</v>
      </c>
      <c r="P16" s="100">
        <v>0.54</v>
      </c>
      <c r="Q16" s="100">
        <v>28.99</v>
      </c>
      <c r="R16" s="6"/>
      <c r="S16" s="6"/>
      <c r="T16" s="156"/>
      <c r="U16" s="6"/>
    </row>
    <row r="17" spans="1:21" customFormat="1">
      <c r="A17" s="163" t="s">
        <v>1784</v>
      </c>
      <c r="B17" s="100">
        <v>2.4900000000000002</v>
      </c>
      <c r="C17" s="100">
        <v>12.46</v>
      </c>
      <c r="D17" s="100">
        <v>7.51</v>
      </c>
      <c r="E17" s="100">
        <v>6.29</v>
      </c>
      <c r="F17" s="100">
        <v>3.68</v>
      </c>
      <c r="G17" s="100">
        <v>44.38</v>
      </c>
      <c r="H17" s="100">
        <v>14.49</v>
      </c>
      <c r="I17" s="100">
        <v>9.59</v>
      </c>
      <c r="J17" s="100">
        <v>5.47</v>
      </c>
      <c r="K17" s="100">
        <v>245.16</v>
      </c>
      <c r="L17" s="100">
        <v>27.3</v>
      </c>
      <c r="M17" s="100">
        <v>67.400000000000006</v>
      </c>
      <c r="N17" s="100">
        <v>23.3</v>
      </c>
      <c r="O17" s="100">
        <v>0</v>
      </c>
      <c r="P17" s="100">
        <v>0.59</v>
      </c>
      <c r="Q17" s="100">
        <v>29.09</v>
      </c>
      <c r="R17" s="6"/>
      <c r="S17" s="6"/>
      <c r="T17" s="156"/>
      <c r="U17" s="6"/>
    </row>
    <row r="18" spans="1:21" customFormat="1">
      <c r="A18" s="163" t="s">
        <v>1785</v>
      </c>
      <c r="B18" s="100">
        <v>2.58</v>
      </c>
      <c r="C18" s="100">
        <v>15.48</v>
      </c>
      <c r="D18" s="100">
        <v>9.16</v>
      </c>
      <c r="E18" s="100">
        <v>5.88</v>
      </c>
      <c r="F18" s="100">
        <v>3.49</v>
      </c>
      <c r="G18" s="100">
        <v>44.38</v>
      </c>
      <c r="H18" s="100">
        <v>14.49</v>
      </c>
      <c r="I18" s="100">
        <v>11.95</v>
      </c>
      <c r="J18" s="100">
        <v>5.31</v>
      </c>
      <c r="K18" s="100">
        <v>246.43</v>
      </c>
      <c r="L18" s="100">
        <v>27.23</v>
      </c>
      <c r="M18" s="100">
        <v>67.11</v>
      </c>
      <c r="N18" s="100">
        <v>23.5</v>
      </c>
      <c r="O18" s="100">
        <v>0</v>
      </c>
      <c r="P18" s="100">
        <v>0.67</v>
      </c>
      <c r="Q18" s="100">
        <v>28.98</v>
      </c>
      <c r="R18" s="6"/>
      <c r="S18" s="6"/>
      <c r="T18" s="156"/>
      <c r="U18" s="6"/>
    </row>
    <row r="19" spans="1:21" customFormat="1">
      <c r="A19" s="163" t="s">
        <v>1786</v>
      </c>
      <c r="B19" s="100">
        <v>2.7</v>
      </c>
      <c r="C19" s="100">
        <v>16.98</v>
      </c>
      <c r="D19" s="100">
        <v>10.050000000000001</v>
      </c>
      <c r="E19" s="100">
        <v>6.6</v>
      </c>
      <c r="F19" s="100">
        <v>4.1900000000000004</v>
      </c>
      <c r="G19" s="100">
        <v>44.38</v>
      </c>
      <c r="H19" s="100">
        <v>14.49</v>
      </c>
      <c r="I19" s="100">
        <v>13.75</v>
      </c>
      <c r="J19" s="100">
        <v>4.99</v>
      </c>
      <c r="K19" s="100">
        <v>246.44</v>
      </c>
      <c r="L19" s="100">
        <v>27.23</v>
      </c>
      <c r="M19" s="100">
        <v>66.569999999999993</v>
      </c>
      <c r="N19" s="100">
        <v>23.2</v>
      </c>
      <c r="O19" s="100">
        <v>0</v>
      </c>
      <c r="P19" s="100">
        <v>0.64</v>
      </c>
      <c r="Q19" s="100">
        <v>28.88</v>
      </c>
      <c r="R19" s="6"/>
      <c r="S19" s="6"/>
      <c r="T19" s="156"/>
      <c r="U19" s="6"/>
    </row>
    <row r="20" spans="1:21" customFormat="1">
      <c r="A20" s="163" t="s">
        <v>1787</v>
      </c>
      <c r="B20" s="100">
        <v>2.73</v>
      </c>
      <c r="C20" s="100">
        <v>14.51</v>
      </c>
      <c r="D20" s="100">
        <v>8.7799999999999994</v>
      </c>
      <c r="E20" s="100">
        <v>6.19</v>
      </c>
      <c r="F20" s="100">
        <v>5.25</v>
      </c>
      <c r="G20" s="100">
        <v>43.37</v>
      </c>
      <c r="H20" s="100">
        <v>14.63</v>
      </c>
      <c r="I20" s="100">
        <v>14.17</v>
      </c>
      <c r="J20" s="100">
        <v>5.27</v>
      </c>
      <c r="K20" s="100">
        <v>249.09</v>
      </c>
      <c r="L20" s="100">
        <v>27.16</v>
      </c>
      <c r="M20" s="100">
        <v>66.09</v>
      </c>
      <c r="N20" s="100">
        <v>23.3</v>
      </c>
      <c r="O20" s="100">
        <v>0</v>
      </c>
      <c r="P20" s="100">
        <v>0.62</v>
      </c>
      <c r="Q20" s="100">
        <v>29.01</v>
      </c>
      <c r="R20" s="6"/>
      <c r="S20" s="6"/>
      <c r="T20" s="156"/>
      <c r="U20" s="6"/>
    </row>
    <row r="21" spans="1:21" customFormat="1">
      <c r="A21" s="163" t="s">
        <v>1788</v>
      </c>
      <c r="B21" s="100">
        <v>2.63</v>
      </c>
      <c r="C21" s="100">
        <v>14.13</v>
      </c>
      <c r="D21" s="100">
        <v>8.5</v>
      </c>
      <c r="E21" s="100">
        <v>5.95</v>
      </c>
      <c r="F21" s="100">
        <v>4.71</v>
      </c>
      <c r="G21" s="100">
        <v>39.6</v>
      </c>
      <c r="H21" s="100">
        <v>15.17</v>
      </c>
      <c r="I21" s="100">
        <v>13.76</v>
      </c>
      <c r="J21" s="100">
        <v>4.97</v>
      </c>
      <c r="K21" s="100">
        <v>249.95</v>
      </c>
      <c r="L21" s="100">
        <v>27.38</v>
      </c>
      <c r="M21" s="100">
        <v>64.81</v>
      </c>
      <c r="N21" s="100">
        <v>23</v>
      </c>
      <c r="O21" s="100">
        <v>0</v>
      </c>
      <c r="P21" s="100">
        <v>0.62</v>
      </c>
      <c r="Q21" s="100">
        <v>29.04</v>
      </c>
      <c r="R21" s="6"/>
      <c r="S21" s="6"/>
      <c r="T21" s="156"/>
      <c r="U21" s="6"/>
    </row>
    <row r="22" spans="1:21" customFormat="1">
      <c r="A22" s="163" t="s">
        <v>1789</v>
      </c>
      <c r="B22" s="100">
        <v>2.59</v>
      </c>
      <c r="C22" s="100">
        <v>14.18</v>
      </c>
      <c r="D22" s="100">
        <v>8.49</v>
      </c>
      <c r="E22" s="100">
        <v>5.83</v>
      </c>
      <c r="F22" s="100">
        <v>5.52</v>
      </c>
      <c r="G22" s="100">
        <v>39.6</v>
      </c>
      <c r="H22" s="100">
        <v>15.17</v>
      </c>
      <c r="I22" s="100">
        <v>13.17</v>
      </c>
      <c r="J22" s="100">
        <v>4.63</v>
      </c>
      <c r="K22" s="100">
        <v>241.31</v>
      </c>
      <c r="L22" s="100">
        <v>27.53</v>
      </c>
      <c r="M22" s="100">
        <v>64.510000000000005</v>
      </c>
      <c r="N22" s="100">
        <v>23.2</v>
      </c>
      <c r="O22" s="100">
        <v>0</v>
      </c>
      <c r="P22" s="100">
        <v>0.6</v>
      </c>
      <c r="Q22" s="100">
        <v>29.05</v>
      </c>
      <c r="R22" s="6"/>
      <c r="S22" s="6"/>
      <c r="T22" s="156"/>
      <c r="U22" s="6"/>
    </row>
    <row r="23" spans="1:21" customFormat="1">
      <c r="A23" s="163" t="s">
        <v>1790</v>
      </c>
      <c r="B23" s="100">
        <v>2.74</v>
      </c>
      <c r="C23" s="100">
        <v>14.25</v>
      </c>
      <c r="D23" s="100">
        <v>8.65</v>
      </c>
      <c r="E23" s="100">
        <v>5.99</v>
      </c>
      <c r="F23" s="100">
        <v>7.15</v>
      </c>
      <c r="G23" s="100">
        <v>39.6</v>
      </c>
      <c r="H23" s="100">
        <v>15.17</v>
      </c>
      <c r="I23" s="100">
        <v>12.81</v>
      </c>
      <c r="J23" s="100">
        <v>4.1900000000000004</v>
      </c>
      <c r="K23" s="100">
        <v>192.13</v>
      </c>
      <c r="L23" s="100">
        <v>27.67</v>
      </c>
      <c r="M23" s="100">
        <v>64.38</v>
      </c>
      <c r="N23" s="100">
        <v>23.3</v>
      </c>
      <c r="O23" s="100">
        <v>0</v>
      </c>
      <c r="P23" s="100">
        <v>0.59</v>
      </c>
      <c r="Q23" s="100">
        <v>29</v>
      </c>
      <c r="R23" s="6"/>
      <c r="S23" s="6"/>
      <c r="T23" s="156"/>
      <c r="U23" s="6"/>
    </row>
    <row r="24" spans="1:21" customFormat="1">
      <c r="A24" s="163" t="s">
        <v>1791</v>
      </c>
      <c r="B24" s="100">
        <v>2.83</v>
      </c>
      <c r="C24" s="100">
        <v>14.07</v>
      </c>
      <c r="D24" s="100">
        <v>8.6300000000000008</v>
      </c>
      <c r="E24" s="100">
        <v>5.71</v>
      </c>
      <c r="F24" s="100">
        <v>5.85</v>
      </c>
      <c r="G24" s="100">
        <v>38.409999999999997</v>
      </c>
      <c r="H24" s="100">
        <v>15.35</v>
      </c>
      <c r="I24" s="100">
        <v>12.6</v>
      </c>
      <c r="J24" s="100">
        <v>3.94</v>
      </c>
      <c r="K24" s="100">
        <v>205.98</v>
      </c>
      <c r="L24" s="100">
        <v>27.83</v>
      </c>
      <c r="M24" s="100">
        <v>63.34</v>
      </c>
      <c r="N24" s="100">
        <v>23.2</v>
      </c>
      <c r="O24" s="100">
        <v>0</v>
      </c>
      <c r="P24" s="100">
        <v>0.6</v>
      </c>
      <c r="Q24" s="100">
        <v>28.96</v>
      </c>
      <c r="R24" s="6"/>
      <c r="S24" s="6"/>
      <c r="T24" s="156"/>
      <c r="U24" s="6"/>
    </row>
    <row r="25" spans="1:21" customFormat="1">
      <c r="A25" s="163" t="s">
        <v>1792</v>
      </c>
      <c r="B25" s="100">
        <v>3.01</v>
      </c>
      <c r="C25" s="100">
        <v>14.57</v>
      </c>
      <c r="D25" s="100">
        <v>9.0299999999999994</v>
      </c>
      <c r="E25" s="100">
        <v>5.53</v>
      </c>
      <c r="F25" s="100">
        <v>5.83</v>
      </c>
      <c r="G25" s="100">
        <v>33.97</v>
      </c>
      <c r="H25" s="100">
        <v>16</v>
      </c>
      <c r="I25" s="100">
        <v>12.47</v>
      </c>
      <c r="J25" s="100">
        <v>4.7</v>
      </c>
      <c r="K25" s="100">
        <v>189.78</v>
      </c>
      <c r="L25" s="100">
        <v>27.47</v>
      </c>
      <c r="M25" s="100">
        <v>66.03</v>
      </c>
      <c r="N25" s="100">
        <v>23.7</v>
      </c>
      <c r="O25" s="100">
        <v>0</v>
      </c>
      <c r="P25" s="100">
        <v>0.63</v>
      </c>
      <c r="Q25" s="100">
        <v>28.92</v>
      </c>
      <c r="R25" s="6"/>
      <c r="S25" s="6"/>
      <c r="T25" s="156"/>
      <c r="U25" s="6"/>
    </row>
    <row r="26" spans="1:21" customFormat="1">
      <c r="A26" s="163" t="s">
        <v>1793</v>
      </c>
      <c r="B26" s="100">
        <v>3.15</v>
      </c>
      <c r="C26" s="100">
        <v>14.33</v>
      </c>
      <c r="D26" s="100">
        <v>9.02</v>
      </c>
      <c r="E26" s="100">
        <v>5.59</v>
      </c>
      <c r="F26" s="100">
        <v>5.62</v>
      </c>
      <c r="G26" s="100">
        <v>33.97</v>
      </c>
      <c r="H26" s="100">
        <v>16</v>
      </c>
      <c r="I26" s="100">
        <v>12.39</v>
      </c>
      <c r="J26" s="100">
        <v>4.1900000000000004</v>
      </c>
      <c r="K26" s="100">
        <v>200.55</v>
      </c>
      <c r="L26" s="100">
        <v>27.29</v>
      </c>
      <c r="M26" s="100">
        <v>66.16</v>
      </c>
      <c r="N26" s="100">
        <v>23.5</v>
      </c>
      <c r="O26" s="100">
        <v>0</v>
      </c>
      <c r="P26" s="100">
        <v>0.62</v>
      </c>
      <c r="Q26" s="100">
        <v>29</v>
      </c>
      <c r="R26" s="6"/>
      <c r="S26" s="6"/>
      <c r="T26" s="156"/>
      <c r="U26" s="6"/>
    </row>
    <row r="27" spans="1:21" customFormat="1">
      <c r="A27" s="163" t="s">
        <v>1794</v>
      </c>
      <c r="B27" s="100">
        <v>3.33</v>
      </c>
      <c r="C27" s="100">
        <v>16.420000000000002</v>
      </c>
      <c r="D27" s="100">
        <v>10.26</v>
      </c>
      <c r="E27" s="100">
        <v>5.68</v>
      </c>
      <c r="F27" s="100">
        <v>3.77</v>
      </c>
      <c r="G27" s="100">
        <v>33.97</v>
      </c>
      <c r="H27" s="100">
        <v>16</v>
      </c>
      <c r="I27" s="100">
        <v>12.79</v>
      </c>
      <c r="J27" s="100">
        <v>4.21</v>
      </c>
      <c r="K27" s="100">
        <v>214.6</v>
      </c>
      <c r="L27" s="100">
        <v>27.04</v>
      </c>
      <c r="M27" s="100">
        <v>67.31</v>
      </c>
      <c r="N27" s="100">
        <v>23.4</v>
      </c>
      <c r="O27" s="100">
        <v>0</v>
      </c>
      <c r="P27" s="100">
        <v>0.62</v>
      </c>
      <c r="Q27" s="100">
        <v>28.9</v>
      </c>
      <c r="R27" s="6"/>
      <c r="S27" s="6"/>
      <c r="T27" s="156"/>
      <c r="U27" s="6"/>
    </row>
    <row r="28" spans="1:21" customFormat="1">
      <c r="A28" s="163" t="s">
        <v>1795</v>
      </c>
      <c r="B28" s="100">
        <v>3.51</v>
      </c>
      <c r="C28" s="100">
        <v>14.82</v>
      </c>
      <c r="D28" s="100">
        <v>9.56</v>
      </c>
      <c r="E28" s="100">
        <v>5.81</v>
      </c>
      <c r="F28" s="100">
        <v>5.96</v>
      </c>
      <c r="G28" s="100">
        <v>33.340000000000003</v>
      </c>
      <c r="H28" s="100">
        <v>15.47</v>
      </c>
      <c r="I28" s="100">
        <v>12.46</v>
      </c>
      <c r="J28" s="100">
        <v>3.09</v>
      </c>
      <c r="K28" s="100">
        <v>195.1</v>
      </c>
      <c r="L28" s="100">
        <v>27</v>
      </c>
      <c r="M28" s="100">
        <v>67.989999999999995</v>
      </c>
      <c r="N28" s="100">
        <v>23</v>
      </c>
      <c r="O28" s="100">
        <v>0</v>
      </c>
      <c r="P28" s="100">
        <v>0.56000000000000005</v>
      </c>
      <c r="Q28" s="100">
        <v>28.99</v>
      </c>
      <c r="R28" s="6"/>
      <c r="S28" s="6"/>
      <c r="T28" s="156"/>
      <c r="U28" s="6"/>
    </row>
    <row r="29" spans="1:21" customFormat="1">
      <c r="A29" s="163" t="s">
        <v>1796</v>
      </c>
      <c r="B29" s="100">
        <v>3.72</v>
      </c>
      <c r="C29" s="100">
        <v>10.46</v>
      </c>
      <c r="D29" s="100">
        <v>7.46</v>
      </c>
      <c r="E29" s="100">
        <v>5.68</v>
      </c>
      <c r="F29" s="100">
        <v>7.67</v>
      </c>
      <c r="G29" s="100">
        <v>30.97</v>
      </c>
      <c r="H29" s="100">
        <v>13.47</v>
      </c>
      <c r="I29" s="100">
        <v>12.28</v>
      </c>
      <c r="J29" s="100">
        <v>2.5099999999999998</v>
      </c>
      <c r="K29" s="100">
        <v>196.36</v>
      </c>
      <c r="L29" s="100">
        <v>27.98</v>
      </c>
      <c r="M29" s="100">
        <v>67.37</v>
      </c>
      <c r="N29" s="100">
        <v>23.8</v>
      </c>
      <c r="O29" s="100">
        <v>0</v>
      </c>
      <c r="P29" s="100">
        <v>0.47</v>
      </c>
      <c r="Q29" s="100">
        <v>29.21</v>
      </c>
      <c r="R29" s="6"/>
      <c r="S29" s="6"/>
      <c r="T29" s="156"/>
      <c r="U29" s="6"/>
    </row>
    <row r="30" spans="1:21" customFormat="1">
      <c r="A30" s="163" t="s">
        <v>1797</v>
      </c>
      <c r="B30" s="100">
        <v>4.1100000000000003</v>
      </c>
      <c r="C30" s="100">
        <v>10.23</v>
      </c>
      <c r="D30" s="100">
        <v>7.65</v>
      </c>
      <c r="E30" s="100">
        <v>6.06</v>
      </c>
      <c r="F30" s="100">
        <v>4.33</v>
      </c>
      <c r="G30" s="100">
        <v>30.97</v>
      </c>
      <c r="H30" s="100">
        <v>13.47</v>
      </c>
      <c r="I30" s="100">
        <v>11.76</v>
      </c>
      <c r="J30" s="100">
        <v>2.11</v>
      </c>
      <c r="K30" s="100">
        <v>219.23</v>
      </c>
      <c r="L30" s="100">
        <v>27.83</v>
      </c>
      <c r="M30" s="100">
        <v>68.12</v>
      </c>
      <c r="N30" s="100">
        <v>26.5</v>
      </c>
      <c r="O30" s="100">
        <v>0</v>
      </c>
      <c r="P30" s="100">
        <v>0.52</v>
      </c>
      <c r="Q30" s="100">
        <v>29.19</v>
      </c>
      <c r="R30" s="6"/>
      <c r="S30" s="6"/>
      <c r="T30" s="156"/>
      <c r="U30" s="6"/>
    </row>
    <row r="31" spans="1:21" customFormat="1">
      <c r="A31" s="163" t="s">
        <v>1798</v>
      </c>
      <c r="B31" s="100">
        <v>4.3099999999999996</v>
      </c>
      <c r="C31" s="100">
        <v>14.41</v>
      </c>
      <c r="D31" s="100">
        <v>9.99</v>
      </c>
      <c r="E31" s="100">
        <v>6.09</v>
      </c>
      <c r="F31" s="100">
        <v>3.05</v>
      </c>
      <c r="G31" s="100">
        <v>30.97</v>
      </c>
      <c r="H31" s="100">
        <v>13.47</v>
      </c>
      <c r="I31" s="100">
        <v>11.36</v>
      </c>
      <c r="J31" s="100">
        <v>4.3</v>
      </c>
      <c r="K31" s="100">
        <v>228.18</v>
      </c>
      <c r="L31" s="100">
        <v>27.65</v>
      </c>
      <c r="M31" s="100">
        <v>68.900000000000006</v>
      </c>
      <c r="N31" s="100">
        <v>32.4</v>
      </c>
      <c r="O31" s="100">
        <v>0</v>
      </c>
      <c r="P31" s="100">
        <v>0.53</v>
      </c>
      <c r="Q31" s="100">
        <v>28.98</v>
      </c>
      <c r="R31" s="6"/>
      <c r="S31" s="6"/>
      <c r="T31" s="156"/>
      <c r="U31" s="6"/>
    </row>
    <row r="32" spans="1:21" customFormat="1">
      <c r="A32" s="163" t="s">
        <v>1799</v>
      </c>
      <c r="B32" s="100">
        <v>4.3600000000000003</v>
      </c>
      <c r="C32" s="100">
        <v>14.04</v>
      </c>
      <c r="D32" s="100">
        <v>9.83</v>
      </c>
      <c r="E32" s="100">
        <v>6.65</v>
      </c>
      <c r="F32" s="100">
        <v>4.05</v>
      </c>
      <c r="G32" s="100">
        <v>29.02</v>
      </c>
      <c r="H32" s="100">
        <v>12.75</v>
      </c>
      <c r="I32" s="100">
        <v>11.65</v>
      </c>
      <c r="J32" s="100">
        <v>4.37</v>
      </c>
      <c r="K32" s="100">
        <v>217.52</v>
      </c>
      <c r="L32" s="100">
        <v>27.39</v>
      </c>
      <c r="M32" s="100">
        <v>71.02</v>
      </c>
      <c r="N32" s="100">
        <v>37</v>
      </c>
      <c r="O32" s="100">
        <v>0</v>
      </c>
      <c r="P32" s="100">
        <v>0.5</v>
      </c>
      <c r="Q32" s="100">
        <v>29.03</v>
      </c>
      <c r="R32" s="6"/>
      <c r="S32" s="6"/>
      <c r="T32" s="156"/>
      <c r="U32" s="6"/>
    </row>
    <row r="33" spans="1:21" customFormat="1">
      <c r="A33" s="163" t="s">
        <v>1800</v>
      </c>
      <c r="B33" s="100">
        <v>4.51</v>
      </c>
      <c r="C33" s="100">
        <v>12.45</v>
      </c>
      <c r="D33" s="100">
        <v>9.1300000000000008</v>
      </c>
      <c r="E33" s="100">
        <v>6.02</v>
      </c>
      <c r="F33" s="100">
        <v>4.82</v>
      </c>
      <c r="G33" s="100">
        <v>21.76</v>
      </c>
      <c r="H33" s="100">
        <v>9.8800000000000008</v>
      </c>
      <c r="I33" s="100">
        <v>11.61</v>
      </c>
      <c r="J33" s="100">
        <v>4.07</v>
      </c>
      <c r="K33" s="100">
        <v>212.45</v>
      </c>
      <c r="L33" s="100">
        <v>27.3</v>
      </c>
      <c r="M33" s="100">
        <v>71.790000000000006</v>
      </c>
      <c r="N33" s="100">
        <v>40.6</v>
      </c>
      <c r="O33" s="100">
        <v>0</v>
      </c>
      <c r="P33" s="100">
        <v>0.48</v>
      </c>
      <c r="Q33" s="100">
        <v>29.05</v>
      </c>
      <c r="R33" s="6"/>
      <c r="S33" s="6"/>
      <c r="T33" s="156"/>
      <c r="U33" s="6"/>
    </row>
    <row r="34" spans="1:21" customFormat="1">
      <c r="A34" s="163" t="s">
        <v>1801</v>
      </c>
      <c r="B34" s="100">
        <v>4.49</v>
      </c>
      <c r="C34" s="100">
        <v>11.75</v>
      </c>
      <c r="D34" s="100">
        <v>8.74</v>
      </c>
      <c r="E34" s="100">
        <v>6.44</v>
      </c>
      <c r="F34" s="100">
        <v>4.43</v>
      </c>
      <c r="G34" s="100">
        <v>21.76</v>
      </c>
      <c r="H34" s="100">
        <v>9.8800000000000008</v>
      </c>
      <c r="I34" s="100">
        <v>11.27</v>
      </c>
      <c r="J34" s="100">
        <v>4.16</v>
      </c>
      <c r="K34" s="100">
        <v>197.92</v>
      </c>
      <c r="L34" s="100">
        <v>27.42</v>
      </c>
      <c r="M34" s="100">
        <v>71.239999999999995</v>
      </c>
      <c r="N34" s="100">
        <v>47.8</v>
      </c>
      <c r="O34" s="100">
        <v>0</v>
      </c>
      <c r="P34" s="100">
        <v>0.48</v>
      </c>
      <c r="Q34" s="100">
        <v>29.08</v>
      </c>
      <c r="R34" s="6"/>
      <c r="S34" s="6"/>
      <c r="T34" s="156"/>
      <c r="U34" s="6"/>
    </row>
    <row r="35" spans="1:21" customFormat="1">
      <c r="A35" s="163" t="s">
        <v>1802</v>
      </c>
      <c r="B35" s="100">
        <v>4.3600000000000003</v>
      </c>
      <c r="C35" s="100">
        <v>12.33</v>
      </c>
      <c r="D35" s="100">
        <v>8.94</v>
      </c>
      <c r="E35" s="100">
        <v>6.06</v>
      </c>
      <c r="F35" s="100">
        <v>4.63</v>
      </c>
      <c r="G35" s="100">
        <v>21.76</v>
      </c>
      <c r="H35" s="100">
        <v>9.8800000000000008</v>
      </c>
      <c r="I35" s="100">
        <v>10.95</v>
      </c>
      <c r="J35" s="100">
        <v>3.92</v>
      </c>
      <c r="K35" s="100">
        <v>214.28</v>
      </c>
      <c r="L35" s="100">
        <v>27.52</v>
      </c>
      <c r="M35" s="100">
        <v>71.2</v>
      </c>
      <c r="N35" s="100">
        <v>61.9</v>
      </c>
      <c r="O35" s="100">
        <v>0</v>
      </c>
      <c r="P35" s="100">
        <v>0.48</v>
      </c>
      <c r="Q35" s="100">
        <v>29.03</v>
      </c>
      <c r="R35" s="6"/>
      <c r="S35" s="6"/>
      <c r="T35" s="156"/>
      <c r="U35" s="6"/>
    </row>
    <row r="36" spans="1:21" customFormat="1">
      <c r="A36" s="163" t="s">
        <v>1803</v>
      </c>
      <c r="B36" s="100">
        <v>4.3600000000000003</v>
      </c>
      <c r="C36" s="100">
        <v>12.71</v>
      </c>
      <c r="D36" s="100">
        <v>9.14</v>
      </c>
      <c r="E36" s="100">
        <v>5.93</v>
      </c>
      <c r="F36" s="100">
        <v>5.1100000000000003</v>
      </c>
      <c r="G36" s="100">
        <v>21.8</v>
      </c>
      <c r="H36" s="100">
        <v>9.6999999999999993</v>
      </c>
      <c r="I36" s="100">
        <v>10.72</v>
      </c>
      <c r="J36" s="100">
        <v>4.0599999999999996</v>
      </c>
      <c r="K36" s="100">
        <v>187.25</v>
      </c>
      <c r="L36" s="100">
        <v>27.66</v>
      </c>
      <c r="M36" s="100">
        <v>70.72</v>
      </c>
      <c r="N36" s="100">
        <v>87.6</v>
      </c>
      <c r="O36" s="100">
        <v>0</v>
      </c>
      <c r="P36" s="100">
        <v>0.48</v>
      </c>
      <c r="Q36" s="100">
        <v>29.01</v>
      </c>
      <c r="R36" s="6"/>
      <c r="S36" s="6"/>
      <c r="T36" s="156"/>
      <c r="U36" s="6"/>
    </row>
    <row r="37" spans="1:21" customFormat="1">
      <c r="A37" s="163" t="s">
        <v>1804</v>
      </c>
      <c r="B37" s="100">
        <v>4.26</v>
      </c>
      <c r="C37" s="100">
        <v>13.01</v>
      </c>
      <c r="D37" s="100">
        <v>9.2200000000000006</v>
      </c>
      <c r="E37" s="100">
        <v>5.88</v>
      </c>
      <c r="F37" s="100">
        <v>5.13</v>
      </c>
      <c r="G37" s="100">
        <v>21.97</v>
      </c>
      <c r="H37" s="100">
        <v>9.02</v>
      </c>
      <c r="I37" s="100">
        <v>10.37</v>
      </c>
      <c r="J37" s="100">
        <v>4.0999999999999996</v>
      </c>
      <c r="K37" s="100">
        <v>197.73</v>
      </c>
      <c r="L37" s="100">
        <v>27.92</v>
      </c>
      <c r="M37" s="100">
        <v>70.069999999999993</v>
      </c>
      <c r="N37" s="100">
        <v>119.8</v>
      </c>
      <c r="O37" s="100">
        <v>0</v>
      </c>
      <c r="P37" s="100">
        <v>0.47</v>
      </c>
      <c r="Q37" s="100">
        <v>28.98</v>
      </c>
      <c r="R37" s="6"/>
      <c r="S37" s="6"/>
      <c r="T37" s="156"/>
      <c r="U37" s="6"/>
    </row>
    <row r="38" spans="1:21" customFormat="1">
      <c r="A38" s="163" t="s">
        <v>1805</v>
      </c>
      <c r="B38" s="100">
        <v>4.18</v>
      </c>
      <c r="C38" s="100">
        <v>13.21</v>
      </c>
      <c r="D38" s="100">
        <v>9.26</v>
      </c>
      <c r="E38" s="100">
        <v>6.01</v>
      </c>
      <c r="F38" s="100">
        <v>5.46</v>
      </c>
      <c r="G38" s="100">
        <v>21.97</v>
      </c>
      <c r="H38" s="100">
        <v>9.02</v>
      </c>
      <c r="I38" s="100">
        <v>10.17</v>
      </c>
      <c r="J38" s="100">
        <v>4.0199999999999996</v>
      </c>
      <c r="K38" s="100">
        <v>200.8</v>
      </c>
      <c r="L38" s="100">
        <v>28.12</v>
      </c>
      <c r="M38" s="100">
        <v>69.53</v>
      </c>
      <c r="N38" s="100">
        <v>149</v>
      </c>
      <c r="O38" s="100">
        <v>0</v>
      </c>
      <c r="P38" s="100">
        <v>0.47</v>
      </c>
      <c r="Q38" s="100">
        <v>28.95</v>
      </c>
      <c r="R38" s="6"/>
      <c r="S38" s="6"/>
      <c r="T38" s="156"/>
      <c r="U38" s="6"/>
    </row>
    <row r="39" spans="1:21" customFormat="1">
      <c r="A39" s="163" t="s">
        <v>1806</v>
      </c>
      <c r="B39" s="100">
        <v>4.1900000000000004</v>
      </c>
      <c r="C39" s="100">
        <v>13.22</v>
      </c>
      <c r="D39" s="100">
        <v>9.27</v>
      </c>
      <c r="E39" s="100">
        <v>5.79</v>
      </c>
      <c r="F39" s="100">
        <v>4.0199999999999996</v>
      </c>
      <c r="G39" s="100">
        <v>21.97</v>
      </c>
      <c r="H39" s="100">
        <v>9.02</v>
      </c>
      <c r="I39" s="100">
        <v>9.98</v>
      </c>
      <c r="J39" s="100">
        <v>4.8099999999999996</v>
      </c>
      <c r="K39" s="100">
        <v>233.13</v>
      </c>
      <c r="L39" s="100">
        <v>28.15</v>
      </c>
      <c r="M39" s="100">
        <v>69.06</v>
      </c>
      <c r="N39" s="100">
        <v>155.69999999999999</v>
      </c>
      <c r="O39" s="100">
        <v>0</v>
      </c>
      <c r="P39" s="100">
        <v>0.47</v>
      </c>
      <c r="Q39" s="100">
        <v>28.97</v>
      </c>
      <c r="R39" s="6"/>
      <c r="S39" s="6"/>
      <c r="T39" s="156"/>
      <c r="U39" s="6"/>
    </row>
    <row r="40" spans="1:21" customFormat="1">
      <c r="A40" s="163" t="s">
        <v>1807</v>
      </c>
      <c r="B40" s="100">
        <v>4.1900000000000004</v>
      </c>
      <c r="C40" s="100">
        <v>17.399999999999999</v>
      </c>
      <c r="D40" s="100">
        <v>11.45</v>
      </c>
      <c r="E40" s="100">
        <v>5.81</v>
      </c>
      <c r="F40" s="100">
        <v>3.33</v>
      </c>
      <c r="G40" s="100">
        <v>22.51</v>
      </c>
      <c r="H40" s="100">
        <v>9.2200000000000006</v>
      </c>
      <c r="I40" s="100">
        <v>9.7899999999999991</v>
      </c>
      <c r="J40" s="100">
        <v>4.8899999999999997</v>
      </c>
      <c r="K40" s="100">
        <v>224.71</v>
      </c>
      <c r="L40" s="100">
        <v>28.44</v>
      </c>
      <c r="M40" s="100">
        <v>67.33</v>
      </c>
      <c r="N40" s="100">
        <v>151.19999999999999</v>
      </c>
      <c r="O40" s="100">
        <v>0</v>
      </c>
      <c r="P40" s="100">
        <v>0.48</v>
      </c>
      <c r="Q40" s="100">
        <v>28.79</v>
      </c>
      <c r="R40" s="6"/>
      <c r="S40" s="6"/>
      <c r="T40" s="156"/>
      <c r="U40" s="6"/>
    </row>
    <row r="41" spans="1:21" customFormat="1">
      <c r="A41" s="163" t="s">
        <v>1808</v>
      </c>
      <c r="B41" s="100">
        <v>4.59</v>
      </c>
      <c r="C41" s="100">
        <v>15.55</v>
      </c>
      <c r="D41" s="100">
        <v>10.81</v>
      </c>
      <c r="E41" s="100">
        <v>6.2</v>
      </c>
      <c r="F41" s="100">
        <v>4.2699999999999996</v>
      </c>
      <c r="G41" s="100">
        <v>24.53</v>
      </c>
      <c r="H41" s="100">
        <v>9.9600000000000009</v>
      </c>
      <c r="I41" s="100">
        <v>9.7899999999999991</v>
      </c>
      <c r="J41" s="100">
        <v>4.82</v>
      </c>
      <c r="K41" s="100">
        <v>222.77</v>
      </c>
      <c r="L41" s="100">
        <v>28.7</v>
      </c>
      <c r="M41" s="100">
        <v>66.27</v>
      </c>
      <c r="N41" s="100">
        <v>146.6</v>
      </c>
      <c r="O41" s="100">
        <v>0</v>
      </c>
      <c r="P41" s="100">
        <v>0.45</v>
      </c>
      <c r="Q41" s="100">
        <v>28.84</v>
      </c>
      <c r="R41" s="6"/>
      <c r="S41" s="6"/>
      <c r="T41" s="156"/>
      <c r="U41" s="6"/>
    </row>
    <row r="42" spans="1:21" customFormat="1">
      <c r="A42" s="163" t="s">
        <v>1809</v>
      </c>
      <c r="B42" s="100">
        <v>4.67</v>
      </c>
      <c r="C42" s="100">
        <v>12.34</v>
      </c>
      <c r="D42" s="100">
        <v>9.1999999999999993</v>
      </c>
      <c r="E42" s="100">
        <v>5.65</v>
      </c>
      <c r="F42" s="100">
        <v>3.74</v>
      </c>
      <c r="G42" s="100">
        <v>24.53</v>
      </c>
      <c r="H42" s="100">
        <v>9.9600000000000009</v>
      </c>
      <c r="I42" s="100">
        <v>9.77</v>
      </c>
      <c r="J42" s="100">
        <v>5.35</v>
      </c>
      <c r="K42" s="100">
        <v>253.46</v>
      </c>
      <c r="L42" s="100">
        <v>28.75</v>
      </c>
      <c r="M42" s="100">
        <v>66.98</v>
      </c>
      <c r="N42" s="100">
        <v>175.3</v>
      </c>
      <c r="O42" s="100">
        <v>0</v>
      </c>
      <c r="P42" s="100">
        <v>0.47</v>
      </c>
      <c r="Q42" s="100">
        <v>29</v>
      </c>
      <c r="R42" s="6"/>
      <c r="S42" s="6"/>
      <c r="T42" s="156"/>
      <c r="U42" s="6"/>
    </row>
    <row r="43" spans="1:21" customFormat="1">
      <c r="A43" s="163" t="s">
        <v>1810</v>
      </c>
      <c r="B43" s="100">
        <v>4.66</v>
      </c>
      <c r="C43" s="100">
        <v>16.79</v>
      </c>
      <c r="D43" s="100">
        <v>11.51</v>
      </c>
      <c r="E43" s="100">
        <v>5.82</v>
      </c>
      <c r="F43" s="100">
        <v>3.09</v>
      </c>
      <c r="G43" s="100">
        <v>24.53</v>
      </c>
      <c r="H43" s="100">
        <v>9.9600000000000009</v>
      </c>
      <c r="I43" s="100">
        <v>9.77</v>
      </c>
      <c r="J43" s="100">
        <v>5.54</v>
      </c>
      <c r="K43" s="100">
        <v>252.11</v>
      </c>
      <c r="L43" s="100">
        <v>29</v>
      </c>
      <c r="M43" s="100">
        <v>66.680000000000007</v>
      </c>
      <c r="N43" s="100">
        <v>195.3</v>
      </c>
      <c r="O43" s="100">
        <v>0</v>
      </c>
      <c r="P43" s="100">
        <v>0.5</v>
      </c>
      <c r="Q43" s="100">
        <v>28.77</v>
      </c>
      <c r="R43" s="6"/>
      <c r="S43" s="6"/>
      <c r="T43" s="156"/>
      <c r="U43" s="6"/>
    </row>
    <row r="44" spans="1:21" customFormat="1">
      <c r="A44" s="163" t="s">
        <v>1811</v>
      </c>
      <c r="B44" s="100">
        <v>4.96</v>
      </c>
      <c r="C44" s="100">
        <v>14.11</v>
      </c>
      <c r="D44" s="100">
        <v>10.35</v>
      </c>
      <c r="E44" s="100">
        <v>6.13</v>
      </c>
      <c r="F44" s="100">
        <v>4.92</v>
      </c>
      <c r="G44" s="100">
        <v>25.08</v>
      </c>
      <c r="H44" s="100">
        <v>10.43</v>
      </c>
      <c r="I44" s="100">
        <v>9.93</v>
      </c>
      <c r="J44" s="100">
        <v>5.2</v>
      </c>
      <c r="K44" s="100">
        <v>247.72</v>
      </c>
      <c r="L44" s="100">
        <v>29.33</v>
      </c>
      <c r="M44" s="100">
        <v>66.010000000000005</v>
      </c>
      <c r="N44" s="100">
        <v>185.5</v>
      </c>
      <c r="O44" s="100">
        <v>0</v>
      </c>
      <c r="P44" s="100">
        <v>0.52</v>
      </c>
      <c r="Q44" s="100">
        <v>28.84</v>
      </c>
      <c r="R44" s="6"/>
      <c r="S44" s="6"/>
      <c r="T44" s="156"/>
      <c r="U44" s="6"/>
    </row>
    <row r="45" spans="1:21" customFormat="1">
      <c r="A45" s="163" t="s">
        <v>1812</v>
      </c>
      <c r="B45" s="100">
        <v>5.17</v>
      </c>
      <c r="C45" s="100">
        <v>12.31</v>
      </c>
      <c r="D45" s="100">
        <v>9.58</v>
      </c>
      <c r="E45" s="100">
        <v>6.19</v>
      </c>
      <c r="F45" s="100">
        <v>4.3</v>
      </c>
      <c r="G45" s="100">
        <v>27.12</v>
      </c>
      <c r="H45" s="100">
        <v>12.18</v>
      </c>
      <c r="I45" s="100">
        <v>10.26</v>
      </c>
      <c r="J45" s="100">
        <v>4.87</v>
      </c>
      <c r="K45" s="100">
        <v>247.38</v>
      </c>
      <c r="L45" s="100">
        <v>29.9</v>
      </c>
      <c r="M45" s="100">
        <v>64.7</v>
      </c>
      <c r="N45" s="100">
        <v>212.2</v>
      </c>
      <c r="O45" s="100">
        <v>0</v>
      </c>
      <c r="P45" s="100">
        <v>0.54</v>
      </c>
      <c r="Q45" s="100">
        <v>28.97</v>
      </c>
      <c r="R45" s="6"/>
      <c r="S45" s="6"/>
      <c r="T45" s="156"/>
      <c r="U45" s="6"/>
    </row>
    <row r="46" spans="1:21" customFormat="1">
      <c r="A46" s="163" t="s">
        <v>1813</v>
      </c>
      <c r="B46" s="100">
        <v>5.23</v>
      </c>
      <c r="C46" s="100">
        <v>13.59</v>
      </c>
      <c r="D46" s="100">
        <v>10.3</v>
      </c>
      <c r="E46" s="100">
        <v>5.1100000000000003</v>
      </c>
      <c r="F46" s="100">
        <v>4.45</v>
      </c>
      <c r="G46" s="100">
        <v>27.12</v>
      </c>
      <c r="H46" s="100">
        <v>12.18</v>
      </c>
      <c r="I46" s="100">
        <v>10.9</v>
      </c>
      <c r="J46" s="100">
        <v>4.37</v>
      </c>
      <c r="K46" s="100">
        <v>246.6</v>
      </c>
      <c r="L46" s="100">
        <v>30.35</v>
      </c>
      <c r="M46" s="100">
        <v>62.61</v>
      </c>
      <c r="N46" s="100">
        <v>288.7</v>
      </c>
      <c r="O46" s="100">
        <v>0</v>
      </c>
      <c r="P46" s="100">
        <v>0.56999999999999995</v>
      </c>
      <c r="Q46" s="100">
        <v>28.86</v>
      </c>
      <c r="R46" s="6"/>
      <c r="S46" s="6"/>
      <c r="T46" s="156"/>
      <c r="U46" s="6"/>
    </row>
    <row r="47" spans="1:21" customFormat="1">
      <c r="A47" s="163" t="s">
        <v>1814</v>
      </c>
      <c r="B47" s="100">
        <v>4.8099999999999996</v>
      </c>
      <c r="C47" s="100">
        <v>13.85</v>
      </c>
      <c r="D47" s="100">
        <v>10.1</v>
      </c>
      <c r="E47" s="100">
        <v>5.1100000000000003</v>
      </c>
      <c r="F47" s="100">
        <v>6.51</v>
      </c>
      <c r="G47" s="100">
        <v>27.12</v>
      </c>
      <c r="H47" s="100">
        <v>12.18</v>
      </c>
      <c r="I47" s="100">
        <v>11.2</v>
      </c>
      <c r="J47" s="100">
        <v>4.4400000000000004</v>
      </c>
      <c r="K47" s="100">
        <v>226.75</v>
      </c>
      <c r="L47" s="100">
        <v>30.94</v>
      </c>
      <c r="M47" s="100">
        <v>60.54</v>
      </c>
      <c r="N47" s="100">
        <v>409.4</v>
      </c>
      <c r="O47" s="100">
        <v>0</v>
      </c>
      <c r="P47" s="100">
        <v>0.59</v>
      </c>
      <c r="Q47" s="100">
        <v>28.86</v>
      </c>
      <c r="R47" s="6"/>
      <c r="S47" s="6"/>
      <c r="T47" s="156"/>
      <c r="U47" s="6"/>
    </row>
    <row r="48" spans="1:21" customFormat="1">
      <c r="A48" s="163" t="s">
        <v>1815</v>
      </c>
      <c r="B48" s="100">
        <v>4.38</v>
      </c>
      <c r="C48" s="100">
        <v>14.17</v>
      </c>
      <c r="D48" s="100">
        <v>9.92</v>
      </c>
      <c r="E48" s="100">
        <v>5.49</v>
      </c>
      <c r="F48" s="100">
        <v>6.65</v>
      </c>
      <c r="G48" s="100">
        <v>27.83</v>
      </c>
      <c r="H48" s="100">
        <v>11.83</v>
      </c>
      <c r="I48" s="100">
        <v>11.5</v>
      </c>
      <c r="J48" s="100">
        <v>4.17</v>
      </c>
      <c r="K48" s="100">
        <v>214.88</v>
      </c>
      <c r="L48" s="100">
        <v>32.130000000000003</v>
      </c>
      <c r="M48" s="100">
        <v>57.55</v>
      </c>
      <c r="N48" s="100">
        <v>623.79999999999995</v>
      </c>
      <c r="O48" s="100">
        <v>0</v>
      </c>
      <c r="P48" s="100">
        <v>0.61</v>
      </c>
      <c r="Q48" s="100">
        <v>28.85</v>
      </c>
      <c r="R48" s="6"/>
      <c r="S48" s="6"/>
      <c r="T48" s="156"/>
      <c r="U48" s="6"/>
    </row>
    <row r="49" spans="1:21" customFormat="1">
      <c r="A49" s="163" t="s">
        <v>1816</v>
      </c>
      <c r="B49" s="100">
        <v>4.03</v>
      </c>
      <c r="C49" s="100">
        <v>14.46</v>
      </c>
      <c r="D49" s="100">
        <v>9.8000000000000007</v>
      </c>
      <c r="E49" s="100">
        <v>5.82</v>
      </c>
      <c r="F49" s="100">
        <v>5.4</v>
      </c>
      <c r="G49" s="100">
        <v>30.48</v>
      </c>
      <c r="H49" s="100">
        <v>10.53</v>
      </c>
      <c r="I49" s="100">
        <v>11.6</v>
      </c>
      <c r="J49" s="100">
        <v>5.17</v>
      </c>
      <c r="K49" s="100">
        <v>245.74</v>
      </c>
      <c r="L49" s="100">
        <v>32.79</v>
      </c>
      <c r="M49" s="100">
        <v>54.71</v>
      </c>
      <c r="N49" s="100">
        <v>658.4</v>
      </c>
      <c r="O49" s="100">
        <v>0</v>
      </c>
      <c r="P49" s="100">
        <v>0.62</v>
      </c>
      <c r="Q49" s="100">
        <v>28.84</v>
      </c>
      <c r="R49" s="6"/>
      <c r="S49" s="6"/>
      <c r="T49" s="156"/>
      <c r="U49" s="6"/>
    </row>
    <row r="50" spans="1:21" customFormat="1">
      <c r="A50" s="163" t="s">
        <v>1817</v>
      </c>
      <c r="B50" s="100">
        <v>3.56</v>
      </c>
      <c r="C50" s="100">
        <v>14.01</v>
      </c>
      <c r="D50" s="100">
        <v>9.18</v>
      </c>
      <c r="E50" s="100">
        <v>5.7</v>
      </c>
      <c r="F50" s="100">
        <v>5.99</v>
      </c>
      <c r="G50" s="100">
        <v>30.48</v>
      </c>
      <c r="H50" s="100">
        <v>10.53</v>
      </c>
      <c r="I50" s="100">
        <v>11.63</v>
      </c>
      <c r="J50" s="100">
        <v>6.34</v>
      </c>
      <c r="K50" s="100">
        <v>241.23</v>
      </c>
      <c r="L50" s="100">
        <v>32.909999999999997</v>
      </c>
      <c r="M50" s="100">
        <v>51.92</v>
      </c>
      <c r="N50" s="100">
        <v>664.7</v>
      </c>
      <c r="O50" s="100">
        <v>0</v>
      </c>
      <c r="P50" s="100">
        <v>0.63</v>
      </c>
      <c r="Q50" s="100">
        <v>28.88</v>
      </c>
      <c r="R50" s="6"/>
      <c r="S50" s="6"/>
      <c r="T50" s="156"/>
      <c r="U50" s="6"/>
    </row>
    <row r="51" spans="1:21" customFormat="1">
      <c r="A51" s="163" t="s">
        <v>1818</v>
      </c>
      <c r="B51" s="100">
        <v>2.69</v>
      </c>
      <c r="C51" s="100">
        <v>14.05</v>
      </c>
      <c r="D51" s="100">
        <v>8.51</v>
      </c>
      <c r="E51" s="100">
        <v>5.89</v>
      </c>
      <c r="F51" s="100">
        <v>7.66</v>
      </c>
      <c r="G51" s="100">
        <v>30.48</v>
      </c>
      <c r="H51" s="100">
        <v>10.53</v>
      </c>
      <c r="I51" s="100">
        <v>11.9</v>
      </c>
      <c r="J51" s="100">
        <v>5.66</v>
      </c>
      <c r="K51" s="100">
        <v>246.67</v>
      </c>
      <c r="L51" s="100">
        <v>32.82</v>
      </c>
      <c r="M51" s="100">
        <v>52.4</v>
      </c>
      <c r="N51" s="100">
        <v>463.6</v>
      </c>
      <c r="O51" s="100">
        <v>0</v>
      </c>
      <c r="P51" s="100">
        <v>0.64</v>
      </c>
      <c r="Q51" s="100">
        <v>28.91</v>
      </c>
      <c r="R51" s="6"/>
      <c r="S51" s="6"/>
      <c r="T51" s="156"/>
      <c r="U51" s="6"/>
    </row>
    <row r="52" spans="1:21" customFormat="1">
      <c r="A52" s="163" t="s">
        <v>1819</v>
      </c>
      <c r="B52" s="100">
        <v>2.16</v>
      </c>
      <c r="C52" s="100">
        <v>14.32</v>
      </c>
      <c r="D52" s="100">
        <v>8.2200000000000006</v>
      </c>
      <c r="E52" s="100">
        <v>5.44</v>
      </c>
      <c r="F52" s="100">
        <v>6.94</v>
      </c>
      <c r="G52" s="100">
        <v>30.71</v>
      </c>
      <c r="H52" s="100">
        <v>10.84</v>
      </c>
      <c r="I52" s="100">
        <v>12.21</v>
      </c>
      <c r="J52" s="100">
        <v>4.54</v>
      </c>
      <c r="K52" s="100">
        <v>248.07</v>
      </c>
      <c r="L52" s="100">
        <v>33.46</v>
      </c>
      <c r="M52" s="100">
        <v>51.68</v>
      </c>
      <c r="N52" s="100">
        <v>415.6</v>
      </c>
      <c r="O52" s="100">
        <v>0</v>
      </c>
      <c r="P52" s="100">
        <v>0.66</v>
      </c>
      <c r="Q52" s="100">
        <v>28.94</v>
      </c>
      <c r="R52" s="6"/>
      <c r="S52" s="6"/>
      <c r="T52" s="156"/>
      <c r="U52" s="6"/>
    </row>
    <row r="53" spans="1:21" customFormat="1">
      <c r="A53" s="163" t="s">
        <v>1820</v>
      </c>
      <c r="B53" s="100">
        <v>2.0099999999999998</v>
      </c>
      <c r="C53" s="100">
        <v>18.579999999999998</v>
      </c>
      <c r="D53" s="100">
        <v>10.33</v>
      </c>
      <c r="E53" s="100">
        <v>5.01</v>
      </c>
      <c r="F53" s="100">
        <v>6.58</v>
      </c>
      <c r="G53" s="100">
        <v>31.53</v>
      </c>
      <c r="H53" s="100">
        <v>11.99</v>
      </c>
      <c r="I53" s="100">
        <v>12.29</v>
      </c>
      <c r="J53" s="100">
        <v>4.34</v>
      </c>
      <c r="K53" s="100">
        <v>214.12</v>
      </c>
      <c r="L53" s="100">
        <v>33.94</v>
      </c>
      <c r="M53" s="100">
        <v>51.52</v>
      </c>
      <c r="N53" s="100">
        <v>354.4</v>
      </c>
      <c r="O53" s="100">
        <v>0</v>
      </c>
      <c r="P53" s="100">
        <v>0.68</v>
      </c>
      <c r="Q53" s="100">
        <v>28.74</v>
      </c>
      <c r="R53" s="6"/>
      <c r="S53" s="6"/>
      <c r="T53" s="156"/>
      <c r="U53" s="6"/>
    </row>
    <row r="54" spans="1:21" customFormat="1">
      <c r="A54" s="163" t="s">
        <v>1821</v>
      </c>
      <c r="B54" s="100">
        <v>2.0099999999999998</v>
      </c>
      <c r="C54" s="100">
        <v>19.68</v>
      </c>
      <c r="D54" s="100">
        <v>10.9</v>
      </c>
      <c r="E54" s="100">
        <v>5.78</v>
      </c>
      <c r="F54" s="100">
        <v>6.94</v>
      </c>
      <c r="G54" s="100">
        <v>31.53</v>
      </c>
      <c r="H54" s="100">
        <v>11.99</v>
      </c>
      <c r="I54" s="100">
        <v>12.78</v>
      </c>
      <c r="J54" s="100">
        <v>3.88</v>
      </c>
      <c r="K54" s="100">
        <v>234.28</v>
      </c>
      <c r="L54" s="100">
        <v>34.22</v>
      </c>
      <c r="M54" s="100">
        <v>50.13</v>
      </c>
      <c r="N54" s="100">
        <v>340.8</v>
      </c>
      <c r="O54" s="100">
        <v>0</v>
      </c>
      <c r="P54" s="100">
        <v>0.72</v>
      </c>
      <c r="Q54" s="100">
        <v>28.74</v>
      </c>
      <c r="R54" s="6"/>
      <c r="S54" s="6"/>
      <c r="T54" s="156"/>
      <c r="U54" s="6"/>
    </row>
    <row r="55" spans="1:21" customFormat="1">
      <c r="A55" s="163" t="s">
        <v>1822</v>
      </c>
      <c r="B55" s="100">
        <v>1.95</v>
      </c>
      <c r="C55" s="100">
        <v>17.559999999999999</v>
      </c>
      <c r="D55" s="100">
        <v>9.74</v>
      </c>
      <c r="E55" s="100">
        <v>6.14</v>
      </c>
      <c r="F55" s="100">
        <v>7.11</v>
      </c>
      <c r="G55" s="100">
        <v>31.53</v>
      </c>
      <c r="H55" s="100">
        <v>11.99</v>
      </c>
      <c r="I55" s="100">
        <v>13.68</v>
      </c>
      <c r="J55" s="100">
        <v>4.32</v>
      </c>
      <c r="K55" s="100">
        <v>239.5</v>
      </c>
      <c r="L55" s="100">
        <v>34.6</v>
      </c>
      <c r="M55" s="100">
        <v>49.24</v>
      </c>
      <c r="N55" s="100">
        <v>359</v>
      </c>
      <c r="O55" s="100">
        <v>0</v>
      </c>
      <c r="P55" s="100">
        <v>0.72</v>
      </c>
      <c r="Q55" s="100">
        <v>28.83</v>
      </c>
      <c r="R55" s="6"/>
      <c r="S55" s="6"/>
      <c r="T55" s="156"/>
      <c r="U55" s="6"/>
    </row>
    <row r="56" spans="1:21" customFormat="1">
      <c r="A56" s="163" t="s">
        <v>1823</v>
      </c>
      <c r="B56" s="100">
        <v>2.0299999999999998</v>
      </c>
      <c r="C56" s="100">
        <v>15.98</v>
      </c>
      <c r="D56" s="100">
        <v>8.98</v>
      </c>
      <c r="E56" s="100">
        <v>6.44</v>
      </c>
      <c r="F56" s="100">
        <v>13.72</v>
      </c>
      <c r="G56" s="100">
        <v>33.01</v>
      </c>
      <c r="H56" s="100">
        <v>13.16</v>
      </c>
      <c r="I56" s="100">
        <v>14.45</v>
      </c>
      <c r="J56" s="100">
        <v>3.71</v>
      </c>
      <c r="K56" s="100">
        <v>196.01</v>
      </c>
      <c r="L56" s="100">
        <v>35.56</v>
      </c>
      <c r="M56" s="100">
        <v>47.09</v>
      </c>
      <c r="N56" s="100">
        <v>407.8</v>
      </c>
      <c r="O56" s="100">
        <v>0</v>
      </c>
      <c r="P56" s="100">
        <v>0.7</v>
      </c>
      <c r="Q56" s="100">
        <v>28.89</v>
      </c>
      <c r="R56" s="6"/>
      <c r="S56" s="6"/>
      <c r="T56" s="156"/>
      <c r="U56" s="6"/>
    </row>
    <row r="57" spans="1:21" customFormat="1">
      <c r="A57" s="163" t="s">
        <v>1824</v>
      </c>
      <c r="B57" s="100">
        <v>2.29</v>
      </c>
      <c r="C57" s="100">
        <v>12.85</v>
      </c>
      <c r="D57" s="100">
        <v>7.55</v>
      </c>
      <c r="E57" s="100">
        <v>7.44</v>
      </c>
      <c r="F57" s="100">
        <v>14.07</v>
      </c>
      <c r="G57" s="100">
        <v>38.520000000000003</v>
      </c>
      <c r="H57" s="100">
        <v>17.559999999999999</v>
      </c>
      <c r="I57" s="100">
        <v>14.94</v>
      </c>
      <c r="J57" s="100">
        <v>3.97</v>
      </c>
      <c r="K57" s="100">
        <v>246.38</v>
      </c>
      <c r="L57" s="100">
        <v>35.6</v>
      </c>
      <c r="M57" s="100">
        <v>46.98</v>
      </c>
      <c r="N57" s="100">
        <v>572.6</v>
      </c>
      <c r="O57" s="100">
        <v>0</v>
      </c>
      <c r="P57" s="100">
        <v>0.72</v>
      </c>
      <c r="Q57" s="100">
        <v>29</v>
      </c>
      <c r="R57" s="6"/>
      <c r="S57" s="6"/>
      <c r="T57" s="156"/>
      <c r="U57" s="6"/>
    </row>
    <row r="58" spans="1:21" customFormat="1">
      <c r="A58" s="163" t="s">
        <v>1825</v>
      </c>
      <c r="B58" s="100">
        <v>2.2599999999999998</v>
      </c>
      <c r="C58" s="100">
        <v>12.38</v>
      </c>
      <c r="D58" s="100">
        <v>7.28</v>
      </c>
      <c r="E58" s="100">
        <v>7.72</v>
      </c>
      <c r="F58" s="100">
        <v>22.78</v>
      </c>
      <c r="G58" s="100">
        <v>38.520000000000003</v>
      </c>
      <c r="H58" s="100">
        <v>17.559999999999999</v>
      </c>
      <c r="I58" s="100">
        <v>15.64</v>
      </c>
      <c r="J58" s="100">
        <v>1.8</v>
      </c>
      <c r="K58" s="100">
        <v>336.24</v>
      </c>
      <c r="L58" s="100">
        <v>36.049999999999997</v>
      </c>
      <c r="M58" s="100">
        <v>44.74</v>
      </c>
      <c r="N58" s="100">
        <v>535.79999999999995</v>
      </c>
      <c r="O58" s="100">
        <v>0</v>
      </c>
      <c r="P58" s="100">
        <v>0.75</v>
      </c>
      <c r="Q58" s="100">
        <v>29.04</v>
      </c>
      <c r="R58" s="6"/>
      <c r="S58" s="6"/>
      <c r="T58" s="156"/>
      <c r="U58" s="6"/>
    </row>
    <row r="59" spans="1:21" customFormat="1">
      <c r="A59" s="163" t="s">
        <v>1826</v>
      </c>
      <c r="B59" s="100">
        <v>2.2000000000000002</v>
      </c>
      <c r="C59" s="100">
        <v>13.88</v>
      </c>
      <c r="D59" s="100">
        <v>8.02</v>
      </c>
      <c r="E59" s="100">
        <v>7.1</v>
      </c>
      <c r="F59" s="100">
        <v>14</v>
      </c>
      <c r="G59" s="100">
        <v>38.520000000000003</v>
      </c>
      <c r="H59" s="100">
        <v>17.559999999999999</v>
      </c>
      <c r="I59" s="100">
        <v>16.48</v>
      </c>
      <c r="J59" s="100">
        <v>3.37</v>
      </c>
      <c r="K59" s="100">
        <v>270.45999999999998</v>
      </c>
      <c r="L59" s="100">
        <v>36.22</v>
      </c>
      <c r="M59" s="100">
        <v>43.56</v>
      </c>
      <c r="N59" s="100">
        <v>606.79999999999995</v>
      </c>
      <c r="O59" s="100">
        <v>0</v>
      </c>
      <c r="P59" s="100">
        <v>0.71</v>
      </c>
      <c r="Q59" s="100">
        <v>28.99</v>
      </c>
      <c r="R59" s="6"/>
      <c r="S59" s="6"/>
      <c r="T59" s="156"/>
      <c r="U59" s="6"/>
    </row>
    <row r="60" spans="1:21" customFormat="1">
      <c r="A60" s="163" t="s">
        <v>1827</v>
      </c>
      <c r="B60" s="100">
        <v>1.97</v>
      </c>
      <c r="C60" s="100">
        <v>12.95</v>
      </c>
      <c r="D60" s="100">
        <v>7.35</v>
      </c>
      <c r="E60" s="100">
        <v>6.7</v>
      </c>
      <c r="F60" s="100">
        <v>25.35</v>
      </c>
      <c r="G60" s="100">
        <v>39.31</v>
      </c>
      <c r="H60" s="100">
        <v>17.86</v>
      </c>
      <c r="I60" s="100">
        <v>16.61</v>
      </c>
      <c r="J60" s="100">
        <v>2.86</v>
      </c>
      <c r="K60" s="100">
        <v>201.78</v>
      </c>
      <c r="L60" s="100">
        <v>37.72</v>
      </c>
      <c r="M60" s="100">
        <v>40.770000000000003</v>
      </c>
      <c r="N60" s="100">
        <v>834.4</v>
      </c>
      <c r="O60" s="100">
        <v>0</v>
      </c>
      <c r="P60" s="100">
        <v>0.67</v>
      </c>
      <c r="Q60" s="100">
        <v>29.05</v>
      </c>
      <c r="R60" s="6"/>
      <c r="S60" s="6"/>
      <c r="T60" s="156"/>
      <c r="U60" s="6"/>
    </row>
    <row r="61" spans="1:21" customFormat="1">
      <c r="A61" s="163" t="s">
        <v>1828</v>
      </c>
      <c r="B61" s="100">
        <v>1.81</v>
      </c>
      <c r="C61" s="100">
        <v>14</v>
      </c>
      <c r="D61" s="100">
        <v>7.77</v>
      </c>
      <c r="E61" s="100">
        <v>6.16</v>
      </c>
      <c r="F61" s="100">
        <v>24.51</v>
      </c>
      <c r="G61" s="100">
        <v>42.24</v>
      </c>
      <c r="H61" s="100">
        <v>19</v>
      </c>
      <c r="I61" s="100">
        <v>15.09</v>
      </c>
      <c r="J61" s="100">
        <v>3.19</v>
      </c>
      <c r="K61" s="100">
        <v>244.06</v>
      </c>
      <c r="L61" s="100">
        <v>37.950000000000003</v>
      </c>
      <c r="M61" s="100">
        <v>40.229999999999997</v>
      </c>
      <c r="N61" s="100">
        <v>778</v>
      </c>
      <c r="O61" s="100">
        <v>0</v>
      </c>
      <c r="P61" s="100">
        <v>0.68</v>
      </c>
      <c r="Q61" s="100">
        <v>29.01</v>
      </c>
      <c r="R61" s="6"/>
      <c r="S61" s="6"/>
      <c r="T61" s="156"/>
      <c r="U61" s="6"/>
    </row>
    <row r="62" spans="1:21" customFormat="1">
      <c r="A62" s="163" t="s">
        <v>1829</v>
      </c>
      <c r="B62" s="100">
        <v>1.69</v>
      </c>
      <c r="C62" s="100">
        <v>12.62</v>
      </c>
      <c r="D62" s="100">
        <v>6.96</v>
      </c>
      <c r="E62" s="100">
        <v>6.39</v>
      </c>
      <c r="F62" s="100">
        <v>29.41</v>
      </c>
      <c r="G62" s="100">
        <v>42.24</v>
      </c>
      <c r="H62" s="100">
        <v>19</v>
      </c>
      <c r="I62" s="100">
        <v>14.21</v>
      </c>
      <c r="J62" s="100">
        <v>1.56</v>
      </c>
      <c r="K62" s="100">
        <v>237.15</v>
      </c>
      <c r="L62" s="100">
        <v>38.96</v>
      </c>
      <c r="M62" s="100">
        <v>38.369999999999997</v>
      </c>
      <c r="N62" s="100">
        <v>750.6</v>
      </c>
      <c r="O62" s="100">
        <v>0</v>
      </c>
      <c r="P62" s="100">
        <v>0.64</v>
      </c>
      <c r="Q62" s="100">
        <v>29.06</v>
      </c>
      <c r="R62" s="6"/>
      <c r="S62" s="6"/>
      <c r="T62" s="156"/>
      <c r="U62" s="6"/>
    </row>
    <row r="63" spans="1:21" customFormat="1">
      <c r="A63" s="163" t="s">
        <v>1830</v>
      </c>
      <c r="B63" s="100">
        <v>1.72</v>
      </c>
      <c r="C63" s="100">
        <v>12.38</v>
      </c>
      <c r="D63" s="100">
        <v>6.85</v>
      </c>
      <c r="E63" s="100">
        <v>6.72</v>
      </c>
      <c r="F63" s="100">
        <v>34.49</v>
      </c>
      <c r="G63" s="100">
        <v>42.24</v>
      </c>
      <c r="H63" s="100">
        <v>19</v>
      </c>
      <c r="I63" s="100">
        <v>14.18</v>
      </c>
      <c r="J63" s="100">
        <v>1.38</v>
      </c>
      <c r="K63" s="100">
        <v>349.13</v>
      </c>
      <c r="L63" s="100">
        <v>39.36</v>
      </c>
      <c r="M63" s="100">
        <v>37.75</v>
      </c>
      <c r="N63" s="100">
        <v>724.7</v>
      </c>
      <c r="O63" s="100">
        <v>0</v>
      </c>
      <c r="P63" s="100">
        <v>0.64</v>
      </c>
      <c r="Q63" s="100">
        <v>29.09</v>
      </c>
      <c r="R63" s="6"/>
      <c r="S63" s="6"/>
      <c r="T63" s="156"/>
      <c r="U63" s="6"/>
    </row>
    <row r="64" spans="1:21" customFormat="1">
      <c r="A64" s="163" t="s">
        <v>1831</v>
      </c>
      <c r="B64" s="100">
        <v>1.76</v>
      </c>
      <c r="C64" s="100">
        <v>11.98</v>
      </c>
      <c r="D64" s="100">
        <v>6.68</v>
      </c>
      <c r="E64" s="100">
        <v>6.58</v>
      </c>
      <c r="F64" s="100">
        <v>26.34</v>
      </c>
      <c r="G64" s="100">
        <v>41.49</v>
      </c>
      <c r="H64" s="100">
        <v>18.05</v>
      </c>
      <c r="I64" s="100">
        <v>13.67</v>
      </c>
      <c r="J64" s="100">
        <v>4.33</v>
      </c>
      <c r="K64" s="100">
        <v>260.36</v>
      </c>
      <c r="L64" s="100">
        <v>39.520000000000003</v>
      </c>
      <c r="M64" s="100">
        <v>37.08</v>
      </c>
      <c r="N64" s="100">
        <v>695.5</v>
      </c>
      <c r="O64" s="100">
        <v>0</v>
      </c>
      <c r="P64" s="100">
        <v>0.67</v>
      </c>
      <c r="Q64" s="100">
        <v>29.06</v>
      </c>
      <c r="R64" s="6"/>
      <c r="S64" s="6"/>
      <c r="T64" s="156"/>
      <c r="U64" s="6"/>
    </row>
    <row r="65" spans="1:21" customFormat="1">
      <c r="A65" s="163" t="s">
        <v>1832</v>
      </c>
      <c r="B65" s="100">
        <v>1.7</v>
      </c>
      <c r="C65" s="100">
        <v>11.39</v>
      </c>
      <c r="D65" s="100">
        <v>6.32</v>
      </c>
      <c r="E65" s="100">
        <v>6.55</v>
      </c>
      <c r="F65" s="100">
        <v>34.61</v>
      </c>
      <c r="G65" s="100">
        <v>38.69</v>
      </c>
      <c r="H65" s="100">
        <v>14.48</v>
      </c>
      <c r="I65" s="100">
        <v>13.31</v>
      </c>
      <c r="J65" s="100">
        <v>1.45</v>
      </c>
      <c r="K65" s="100">
        <v>4.0199999999999996</v>
      </c>
      <c r="L65" s="100">
        <v>40.08</v>
      </c>
      <c r="M65" s="100">
        <v>36.24</v>
      </c>
      <c r="N65" s="100">
        <v>651</v>
      </c>
      <c r="O65" s="100">
        <v>0</v>
      </c>
      <c r="P65" s="100">
        <v>0.64</v>
      </c>
      <c r="Q65" s="100">
        <v>29.1</v>
      </c>
      <c r="R65" s="6"/>
      <c r="S65" s="6"/>
      <c r="T65" s="156"/>
      <c r="U65" s="6"/>
    </row>
    <row r="66" spans="1:21" customFormat="1">
      <c r="A66" s="163" t="s">
        <v>1833</v>
      </c>
      <c r="B66" s="100">
        <v>1.65</v>
      </c>
      <c r="C66" s="100">
        <v>13.62</v>
      </c>
      <c r="D66" s="100">
        <v>7.45</v>
      </c>
      <c r="E66" s="100">
        <v>6.2</v>
      </c>
      <c r="F66" s="100">
        <v>11.07</v>
      </c>
      <c r="G66" s="100">
        <v>38.69</v>
      </c>
      <c r="H66" s="100">
        <v>14.48</v>
      </c>
      <c r="I66" s="100">
        <v>13.37</v>
      </c>
      <c r="J66" s="100">
        <v>3.95</v>
      </c>
      <c r="K66" s="100">
        <v>241.85</v>
      </c>
      <c r="L66" s="100">
        <v>40.49</v>
      </c>
      <c r="M66" s="100">
        <v>34.93</v>
      </c>
      <c r="N66" s="100">
        <v>629</v>
      </c>
      <c r="O66" s="100">
        <v>0</v>
      </c>
      <c r="P66" s="100">
        <v>0.67</v>
      </c>
      <c r="Q66" s="100">
        <v>29.04</v>
      </c>
      <c r="R66" s="6"/>
      <c r="S66" s="6"/>
      <c r="T66" s="156"/>
      <c r="U66" s="6"/>
    </row>
    <row r="67" spans="1:21" customFormat="1">
      <c r="A67" s="163" t="s">
        <v>1834</v>
      </c>
      <c r="B67" s="100">
        <v>1.6</v>
      </c>
      <c r="C67" s="100">
        <v>14.12</v>
      </c>
      <c r="D67" s="100">
        <v>7.67</v>
      </c>
      <c r="E67" s="100">
        <v>7.39</v>
      </c>
      <c r="F67" s="100">
        <v>29.38</v>
      </c>
      <c r="G67" s="100">
        <v>38.69</v>
      </c>
      <c r="H67" s="100">
        <v>14.48</v>
      </c>
      <c r="I67" s="100">
        <v>13.09</v>
      </c>
      <c r="J67" s="100">
        <v>0.51</v>
      </c>
      <c r="K67" s="100">
        <v>216.18</v>
      </c>
      <c r="L67" s="100">
        <v>41.26</v>
      </c>
      <c r="M67" s="100">
        <v>33.99</v>
      </c>
      <c r="N67" s="100">
        <v>590.5</v>
      </c>
      <c r="O67" s="100">
        <v>0</v>
      </c>
      <c r="P67" s="100">
        <v>0.61</v>
      </c>
      <c r="Q67" s="100">
        <v>29.02</v>
      </c>
      <c r="R67" s="6"/>
      <c r="S67" s="6"/>
      <c r="T67" s="156"/>
      <c r="U67" s="6"/>
    </row>
    <row r="68" spans="1:21" customFormat="1">
      <c r="A68" s="163" t="s">
        <v>1835</v>
      </c>
      <c r="B68" s="100">
        <v>1.47</v>
      </c>
      <c r="C68" s="100">
        <v>10.61</v>
      </c>
      <c r="D68" s="100">
        <v>5.73</v>
      </c>
      <c r="E68" s="100">
        <v>7.78</v>
      </c>
      <c r="F68" s="100">
        <v>35.43</v>
      </c>
      <c r="G68" s="100">
        <v>39.17</v>
      </c>
      <c r="H68" s="100">
        <v>15.07</v>
      </c>
      <c r="I68" s="100">
        <v>13.63</v>
      </c>
      <c r="J68" s="100">
        <v>3.46</v>
      </c>
      <c r="K68" s="100">
        <v>236.78</v>
      </c>
      <c r="L68" s="100">
        <v>41.5</v>
      </c>
      <c r="M68" s="100">
        <v>32.950000000000003</v>
      </c>
      <c r="N68" s="100">
        <v>441.8</v>
      </c>
      <c r="O68" s="100">
        <v>0</v>
      </c>
      <c r="P68" s="100">
        <v>0.56999999999999995</v>
      </c>
      <c r="Q68" s="100">
        <v>29.23</v>
      </c>
      <c r="R68" s="6"/>
      <c r="S68" s="6"/>
      <c r="T68" s="156"/>
      <c r="U68" s="6"/>
    </row>
    <row r="69" spans="1:21" customFormat="1">
      <c r="A69" s="163" t="s">
        <v>1836</v>
      </c>
      <c r="B69" s="100">
        <v>1.58</v>
      </c>
      <c r="C69" s="100">
        <v>9.23</v>
      </c>
      <c r="D69" s="100">
        <v>5.09</v>
      </c>
      <c r="E69" s="100">
        <v>7.82</v>
      </c>
      <c r="F69" s="100">
        <v>28.01</v>
      </c>
      <c r="G69" s="100">
        <v>40.94</v>
      </c>
      <c r="H69" s="100">
        <v>17.28</v>
      </c>
      <c r="I69" s="100">
        <v>13.03</v>
      </c>
      <c r="J69" s="100">
        <v>3.66</v>
      </c>
      <c r="K69" s="100">
        <v>239.94</v>
      </c>
      <c r="L69" s="100">
        <v>41.05</v>
      </c>
      <c r="M69" s="100">
        <v>32.78</v>
      </c>
      <c r="N69" s="100">
        <v>406.1</v>
      </c>
      <c r="O69" s="100">
        <v>0</v>
      </c>
      <c r="P69" s="100">
        <v>0.56000000000000005</v>
      </c>
      <c r="Q69" s="100">
        <v>29.32</v>
      </c>
      <c r="R69" s="6"/>
      <c r="S69" s="6"/>
      <c r="T69" s="156"/>
      <c r="U69" s="6"/>
    </row>
    <row r="70" spans="1:21" customFormat="1">
      <c r="A70" s="163" t="s">
        <v>1837</v>
      </c>
      <c r="B70" s="100">
        <v>1.83</v>
      </c>
      <c r="C70" s="100">
        <v>9.7799999999999994</v>
      </c>
      <c r="D70" s="100">
        <v>5.58</v>
      </c>
      <c r="E70" s="100">
        <v>7.69</v>
      </c>
      <c r="F70" s="100">
        <v>30.55</v>
      </c>
      <c r="G70" s="100">
        <v>40.94</v>
      </c>
      <c r="H70" s="100">
        <v>17.28</v>
      </c>
      <c r="I70" s="100">
        <v>12.39</v>
      </c>
      <c r="J70" s="100">
        <v>4.1399999999999997</v>
      </c>
      <c r="K70" s="100">
        <v>213.36</v>
      </c>
      <c r="L70" s="100">
        <v>40.880000000000003</v>
      </c>
      <c r="M70" s="100">
        <v>32.659999999999997</v>
      </c>
      <c r="N70" s="100">
        <v>353</v>
      </c>
      <c r="O70" s="100">
        <v>0</v>
      </c>
      <c r="P70" s="100">
        <v>0.56999999999999995</v>
      </c>
      <c r="Q70" s="100">
        <v>29.35</v>
      </c>
      <c r="R70" s="6"/>
      <c r="S70" s="6"/>
      <c r="T70" s="156"/>
      <c r="U70" s="6"/>
    </row>
    <row r="71" spans="1:21" customFormat="1">
      <c r="A71" s="163" t="s">
        <v>1838</v>
      </c>
      <c r="B71" s="100">
        <v>1.76</v>
      </c>
      <c r="C71" s="100">
        <v>8.75</v>
      </c>
      <c r="D71" s="100">
        <v>4.99</v>
      </c>
      <c r="E71" s="100">
        <v>8.2100000000000009</v>
      </c>
      <c r="F71" s="100">
        <v>25.09</v>
      </c>
      <c r="G71" s="100">
        <v>40.94</v>
      </c>
      <c r="H71" s="100">
        <v>17.28</v>
      </c>
      <c r="I71" s="100">
        <v>12.21</v>
      </c>
      <c r="J71" s="100">
        <v>4.59</v>
      </c>
      <c r="K71" s="100">
        <v>215.81</v>
      </c>
      <c r="L71" s="100">
        <v>41.01</v>
      </c>
      <c r="M71" s="100">
        <v>32.08</v>
      </c>
      <c r="N71" s="100">
        <v>275.8</v>
      </c>
      <c r="O71" s="100">
        <v>0</v>
      </c>
      <c r="P71" s="100">
        <v>0.54</v>
      </c>
      <c r="Q71" s="100">
        <v>29.4</v>
      </c>
      <c r="R71" s="6"/>
      <c r="S71" s="6"/>
      <c r="T71" s="156"/>
      <c r="U71" s="6"/>
    </row>
    <row r="72" spans="1:21" customFormat="1">
      <c r="A72" s="163" t="s">
        <v>1839</v>
      </c>
      <c r="B72" s="100">
        <v>1.64</v>
      </c>
      <c r="C72" s="100">
        <v>10.69</v>
      </c>
      <c r="D72" s="100">
        <v>5.9</v>
      </c>
      <c r="E72" s="100">
        <v>7.87</v>
      </c>
      <c r="F72" s="100">
        <v>45.78</v>
      </c>
      <c r="G72" s="100">
        <v>40.31</v>
      </c>
      <c r="H72" s="100">
        <v>17.7</v>
      </c>
      <c r="I72" s="100">
        <v>12.34</v>
      </c>
      <c r="J72" s="100">
        <v>4.16</v>
      </c>
      <c r="K72" s="100">
        <v>208.38</v>
      </c>
      <c r="L72" s="100">
        <v>40.28</v>
      </c>
      <c r="M72" s="100">
        <v>33.08</v>
      </c>
      <c r="N72" s="100">
        <v>233.7</v>
      </c>
      <c r="O72" s="100">
        <v>0</v>
      </c>
      <c r="P72" s="100">
        <v>0.5</v>
      </c>
      <c r="Q72" s="100">
        <v>29.31</v>
      </c>
      <c r="R72" s="6"/>
      <c r="S72" s="6"/>
      <c r="T72" s="156"/>
      <c r="U72" s="6"/>
    </row>
    <row r="73" spans="1:21" customFormat="1">
      <c r="A73" s="163" t="s">
        <v>1840</v>
      </c>
      <c r="B73" s="100">
        <v>1.67</v>
      </c>
      <c r="C73" s="100">
        <v>11.29</v>
      </c>
      <c r="D73" s="100">
        <v>6.24</v>
      </c>
      <c r="E73" s="100">
        <v>7.43</v>
      </c>
      <c r="F73" s="100">
        <v>44.62</v>
      </c>
      <c r="G73" s="100">
        <v>37.92</v>
      </c>
      <c r="H73" s="100">
        <v>19.29</v>
      </c>
      <c r="I73" s="100">
        <v>11.39</v>
      </c>
      <c r="J73" s="100">
        <v>4.99</v>
      </c>
      <c r="K73" s="100">
        <v>211.21</v>
      </c>
      <c r="L73" s="100">
        <v>40.19</v>
      </c>
      <c r="M73" s="100">
        <v>34.299999999999997</v>
      </c>
      <c r="N73" s="100">
        <v>204</v>
      </c>
      <c r="O73" s="100">
        <v>0</v>
      </c>
      <c r="P73" s="100">
        <v>0.53</v>
      </c>
      <c r="Q73" s="100">
        <v>29.3</v>
      </c>
      <c r="R73" s="6"/>
      <c r="S73" s="6"/>
      <c r="T73" s="156"/>
      <c r="U73" s="6"/>
    </row>
    <row r="74" spans="1:21" customFormat="1">
      <c r="A74" s="163" t="s">
        <v>1841</v>
      </c>
      <c r="B74" s="100">
        <v>1.53</v>
      </c>
      <c r="C74" s="100">
        <v>10.37</v>
      </c>
      <c r="D74" s="100">
        <v>5.65</v>
      </c>
      <c r="E74" s="100">
        <v>7.14</v>
      </c>
      <c r="F74" s="100">
        <v>45.6</v>
      </c>
      <c r="G74" s="100">
        <v>37.92</v>
      </c>
      <c r="H74" s="100">
        <v>19.29</v>
      </c>
      <c r="I74" s="100">
        <v>10.99</v>
      </c>
      <c r="J74" s="100">
        <v>4.91</v>
      </c>
      <c r="K74" s="100">
        <v>203.72</v>
      </c>
      <c r="L74" s="100">
        <v>40.159999999999997</v>
      </c>
      <c r="M74" s="100">
        <v>35</v>
      </c>
      <c r="N74" s="100">
        <v>240.7</v>
      </c>
      <c r="O74" s="100">
        <v>0</v>
      </c>
      <c r="P74" s="100">
        <v>0.55000000000000004</v>
      </c>
      <c r="Q74" s="100">
        <v>29.31</v>
      </c>
      <c r="R74" s="6"/>
      <c r="S74" s="6"/>
      <c r="T74" s="156"/>
      <c r="U74" s="6"/>
    </row>
    <row r="75" spans="1:21" customFormat="1">
      <c r="A75" s="163" t="s">
        <v>1842</v>
      </c>
      <c r="B75" s="100">
        <v>1.49</v>
      </c>
      <c r="C75" s="100">
        <v>10.36</v>
      </c>
      <c r="D75" s="100">
        <v>5.62</v>
      </c>
      <c r="E75" s="100">
        <v>7.52</v>
      </c>
      <c r="F75" s="100">
        <v>40.99</v>
      </c>
      <c r="G75" s="100">
        <v>37.92</v>
      </c>
      <c r="H75" s="100">
        <v>19.29</v>
      </c>
      <c r="I75" s="100">
        <v>10.96</v>
      </c>
      <c r="J75" s="100">
        <v>4.1399999999999997</v>
      </c>
      <c r="K75" s="100">
        <v>218.1</v>
      </c>
      <c r="L75" s="100">
        <v>40.299999999999997</v>
      </c>
      <c r="M75" s="100">
        <v>35.93</v>
      </c>
      <c r="N75" s="100">
        <v>223.1</v>
      </c>
      <c r="O75" s="100">
        <v>0</v>
      </c>
      <c r="P75" s="100">
        <v>0.57999999999999996</v>
      </c>
      <c r="Q75" s="100">
        <v>29.26</v>
      </c>
      <c r="R75" s="6"/>
      <c r="S75" s="6"/>
      <c r="T75" s="156"/>
      <c r="U75" s="6"/>
    </row>
    <row r="76" spans="1:21" customFormat="1">
      <c r="A76" s="163" t="s">
        <v>1843</v>
      </c>
      <c r="B76" s="100">
        <v>1.36</v>
      </c>
      <c r="C76" s="100">
        <v>9.99</v>
      </c>
      <c r="D76" s="100">
        <v>5.32</v>
      </c>
      <c r="E76" s="100">
        <v>6.97</v>
      </c>
      <c r="F76" s="100">
        <v>44.21</v>
      </c>
      <c r="G76" s="100">
        <v>39.369999999999997</v>
      </c>
      <c r="H76" s="100">
        <v>19.95</v>
      </c>
      <c r="I76" s="100">
        <v>11.44</v>
      </c>
      <c r="J76" s="100">
        <v>5.09</v>
      </c>
      <c r="K76" s="100">
        <v>212.83</v>
      </c>
      <c r="L76" s="100">
        <v>40.14</v>
      </c>
      <c r="M76" s="100">
        <v>37.11</v>
      </c>
      <c r="N76" s="100">
        <v>177.8</v>
      </c>
      <c r="O76" s="100">
        <v>0</v>
      </c>
      <c r="P76" s="100">
        <v>0.56999999999999995</v>
      </c>
      <c r="Q76" s="100">
        <v>29.27</v>
      </c>
      <c r="R76" s="6"/>
      <c r="S76" s="6"/>
      <c r="T76" s="156"/>
      <c r="U76" s="6"/>
    </row>
    <row r="77" spans="1:21" customFormat="1">
      <c r="A77" s="163" t="s">
        <v>1844</v>
      </c>
      <c r="B77" s="100">
        <v>1.34</v>
      </c>
      <c r="C77" s="100">
        <v>9.49</v>
      </c>
      <c r="D77" s="100">
        <v>5.04</v>
      </c>
      <c r="E77" s="100">
        <v>5.26</v>
      </c>
      <c r="F77" s="100">
        <v>46.64</v>
      </c>
      <c r="G77" s="100">
        <v>44.8</v>
      </c>
      <c r="H77" s="100">
        <v>22.43</v>
      </c>
      <c r="I77" s="100">
        <v>11.87</v>
      </c>
      <c r="J77" s="100">
        <v>4.74</v>
      </c>
      <c r="K77" s="100">
        <v>199.07</v>
      </c>
      <c r="L77" s="100">
        <v>39.92</v>
      </c>
      <c r="M77" s="100">
        <v>37.9</v>
      </c>
      <c r="N77" s="100">
        <v>133.5</v>
      </c>
      <c r="O77" s="100">
        <v>0</v>
      </c>
      <c r="P77" s="100">
        <v>0.52</v>
      </c>
      <c r="Q77" s="100">
        <v>29.26</v>
      </c>
      <c r="R77" s="6"/>
      <c r="S77" s="6"/>
      <c r="T77" s="156"/>
      <c r="U77" s="6"/>
    </row>
    <row r="78" spans="1:21" customFormat="1">
      <c r="A78" s="163" t="s">
        <v>1845</v>
      </c>
      <c r="B78" s="100">
        <v>1.37</v>
      </c>
      <c r="C78" s="100">
        <v>10.5</v>
      </c>
      <c r="D78" s="100">
        <v>5.59</v>
      </c>
      <c r="E78" s="100">
        <v>6.04</v>
      </c>
      <c r="F78" s="100">
        <v>39.43</v>
      </c>
      <c r="G78" s="100">
        <v>44.8</v>
      </c>
      <c r="H78" s="100">
        <v>22.43</v>
      </c>
      <c r="I78" s="100">
        <v>11.69</v>
      </c>
      <c r="J78" s="100">
        <v>4.8899999999999997</v>
      </c>
      <c r="K78" s="100">
        <v>199.18</v>
      </c>
      <c r="L78" s="100">
        <v>39.369999999999997</v>
      </c>
      <c r="M78" s="100">
        <v>38.96</v>
      </c>
      <c r="N78" s="100">
        <v>97.1</v>
      </c>
      <c r="O78" s="100">
        <v>0</v>
      </c>
      <c r="P78" s="100">
        <v>0.56999999999999995</v>
      </c>
      <c r="Q78" s="100">
        <v>29.2</v>
      </c>
      <c r="R78" s="6"/>
      <c r="S78" s="6"/>
      <c r="T78" s="156"/>
      <c r="U78" s="6"/>
    </row>
    <row r="79" spans="1:21" customFormat="1">
      <c r="A79" s="163" t="s">
        <v>1846</v>
      </c>
      <c r="B79" s="100">
        <v>1.33</v>
      </c>
      <c r="C79" s="100">
        <v>11.87</v>
      </c>
      <c r="D79" s="100">
        <v>6.28</v>
      </c>
      <c r="E79" s="100">
        <v>6.29</v>
      </c>
      <c r="F79" s="100">
        <v>25.99</v>
      </c>
      <c r="G79" s="100">
        <v>44.8</v>
      </c>
      <c r="H79" s="100">
        <v>22.43</v>
      </c>
      <c r="I79" s="100">
        <v>11.65</v>
      </c>
      <c r="J79" s="100">
        <v>5.16</v>
      </c>
      <c r="K79" s="100">
        <v>214.21</v>
      </c>
      <c r="L79" s="100">
        <v>38.78</v>
      </c>
      <c r="M79" s="100">
        <v>39.409999999999997</v>
      </c>
      <c r="N79" s="100">
        <v>73.3</v>
      </c>
      <c r="O79" s="100">
        <v>0</v>
      </c>
      <c r="P79" s="100">
        <v>0.56000000000000005</v>
      </c>
      <c r="Q79" s="100">
        <v>29.19</v>
      </c>
      <c r="R79" s="6"/>
      <c r="S79" s="6"/>
      <c r="T79" s="156"/>
      <c r="U79" s="6"/>
    </row>
    <row r="80" spans="1:21" customFormat="1">
      <c r="A80" s="163" t="s">
        <v>1847</v>
      </c>
      <c r="B80" s="100">
        <v>1.41</v>
      </c>
      <c r="C80" s="100">
        <v>12.48</v>
      </c>
      <c r="D80" s="100">
        <v>6.66</v>
      </c>
      <c r="E80" s="100">
        <v>6.87</v>
      </c>
      <c r="F80" s="100">
        <v>39.53</v>
      </c>
      <c r="G80" s="100">
        <v>44.63</v>
      </c>
      <c r="H80" s="100">
        <v>22.58</v>
      </c>
      <c r="I80" s="100">
        <v>11.87</v>
      </c>
      <c r="J80" s="100">
        <v>5.31</v>
      </c>
      <c r="K80" s="100">
        <v>214.68</v>
      </c>
      <c r="L80" s="100">
        <v>38.36</v>
      </c>
      <c r="M80" s="100">
        <v>39.22</v>
      </c>
      <c r="N80" s="100">
        <v>54.5</v>
      </c>
      <c r="O80" s="100">
        <v>0</v>
      </c>
      <c r="P80" s="100">
        <v>0.53</v>
      </c>
      <c r="Q80" s="100">
        <v>29.17</v>
      </c>
      <c r="R80" s="6"/>
      <c r="S80" s="6"/>
      <c r="T80" s="156"/>
      <c r="U80" s="6"/>
    </row>
    <row r="81" spans="1:21" customFormat="1">
      <c r="A81" s="163" t="s">
        <v>1848</v>
      </c>
      <c r="B81" s="100">
        <v>1.45</v>
      </c>
      <c r="C81" s="100">
        <v>10.58</v>
      </c>
      <c r="D81" s="100">
        <v>5.69</v>
      </c>
      <c r="E81" s="100">
        <v>7.61</v>
      </c>
      <c r="F81" s="100">
        <v>46.18</v>
      </c>
      <c r="G81" s="100">
        <v>43.96</v>
      </c>
      <c r="H81" s="100">
        <v>23.18</v>
      </c>
      <c r="I81" s="100">
        <v>11.74</v>
      </c>
      <c r="J81" s="100">
        <v>4.7300000000000004</v>
      </c>
      <c r="K81" s="100">
        <v>201.9</v>
      </c>
      <c r="L81" s="100">
        <v>38.24</v>
      </c>
      <c r="M81" s="100">
        <v>39.49</v>
      </c>
      <c r="N81" s="100">
        <v>39.1</v>
      </c>
      <c r="O81" s="100">
        <v>0</v>
      </c>
      <c r="P81" s="100">
        <v>0.51</v>
      </c>
      <c r="Q81" s="100">
        <v>29.23</v>
      </c>
      <c r="R81" s="6"/>
      <c r="S81" s="6"/>
      <c r="T81" s="156"/>
      <c r="U81" s="6"/>
    </row>
    <row r="82" spans="1:21" customFormat="1">
      <c r="A82" s="163" t="s">
        <v>1849</v>
      </c>
      <c r="B82" s="100">
        <v>1.37</v>
      </c>
      <c r="C82" s="100">
        <v>9.93</v>
      </c>
      <c r="D82" s="100">
        <v>5.3</v>
      </c>
      <c r="E82" s="100">
        <v>7.76</v>
      </c>
      <c r="F82" s="100">
        <v>32.799999999999997</v>
      </c>
      <c r="G82" s="100">
        <v>43.96</v>
      </c>
      <c r="H82" s="100">
        <v>23.18</v>
      </c>
      <c r="I82" s="100">
        <v>11.36</v>
      </c>
      <c r="J82" s="100">
        <v>5.14</v>
      </c>
      <c r="K82" s="100">
        <v>211.2</v>
      </c>
      <c r="L82" s="100">
        <v>37.770000000000003</v>
      </c>
      <c r="M82" s="100">
        <v>42.46</v>
      </c>
      <c r="N82" s="100">
        <v>27.9</v>
      </c>
      <c r="O82" s="100">
        <v>0</v>
      </c>
      <c r="P82" s="100">
        <v>0.49</v>
      </c>
      <c r="Q82" s="100">
        <v>29.25</v>
      </c>
      <c r="R82" s="6"/>
      <c r="S82" s="6"/>
      <c r="T82" s="156"/>
      <c r="U82" s="6"/>
    </row>
    <row r="83" spans="1:21" customFormat="1">
      <c r="A83" s="163" t="s">
        <v>1850</v>
      </c>
      <c r="B83" s="100">
        <v>1.45</v>
      </c>
      <c r="C83" s="100">
        <v>9.2100000000000009</v>
      </c>
      <c r="D83" s="100">
        <v>4.9800000000000004</v>
      </c>
      <c r="E83" s="100">
        <v>7.42</v>
      </c>
      <c r="F83" s="100">
        <v>35.56</v>
      </c>
      <c r="G83" s="100">
        <v>43.96</v>
      </c>
      <c r="H83" s="100">
        <v>23.18</v>
      </c>
      <c r="I83" s="100">
        <v>10.95</v>
      </c>
      <c r="J83" s="100">
        <v>5.08</v>
      </c>
      <c r="K83" s="100">
        <v>197.79</v>
      </c>
      <c r="L83" s="100">
        <v>37.19</v>
      </c>
      <c r="M83" s="100">
        <v>45.52</v>
      </c>
      <c r="N83" s="100">
        <v>24</v>
      </c>
      <c r="O83" s="100">
        <v>0</v>
      </c>
      <c r="P83" s="100">
        <v>0.47</v>
      </c>
      <c r="Q83" s="100">
        <v>29.26</v>
      </c>
      <c r="R83" s="6"/>
      <c r="S83" s="6"/>
      <c r="T83" s="156"/>
      <c r="U83" s="6"/>
    </row>
    <row r="84" spans="1:21" customFormat="1">
      <c r="A84" s="163" t="s">
        <v>1851</v>
      </c>
      <c r="B84" s="100">
        <v>1.58</v>
      </c>
      <c r="C84" s="100">
        <v>9.01</v>
      </c>
      <c r="D84" s="100">
        <v>4.9800000000000004</v>
      </c>
      <c r="E84" s="100">
        <v>6.86</v>
      </c>
      <c r="F84" s="100">
        <v>37.36</v>
      </c>
      <c r="G84" s="100">
        <v>42.96</v>
      </c>
      <c r="H84" s="100">
        <v>22.79</v>
      </c>
      <c r="I84" s="100">
        <v>10.45</v>
      </c>
      <c r="J84" s="100">
        <v>4.57</v>
      </c>
      <c r="K84" s="100">
        <v>194.57</v>
      </c>
      <c r="L84" s="100">
        <v>36.869999999999997</v>
      </c>
      <c r="M84" s="100">
        <v>47.03</v>
      </c>
      <c r="N84" s="100">
        <v>23</v>
      </c>
      <c r="O84" s="100">
        <v>0</v>
      </c>
      <c r="P84" s="100">
        <v>0.48</v>
      </c>
      <c r="Q84" s="100">
        <v>29.26</v>
      </c>
      <c r="R84" s="6"/>
      <c r="S84" s="6"/>
      <c r="T84" s="156"/>
      <c r="U84" s="6"/>
    </row>
    <row r="85" spans="1:21" customFormat="1">
      <c r="A85" s="163" t="s">
        <v>1852</v>
      </c>
      <c r="B85" s="100">
        <v>1.62</v>
      </c>
      <c r="C85" s="100">
        <v>11.6</v>
      </c>
      <c r="D85" s="100">
        <v>6.37</v>
      </c>
      <c r="E85" s="100">
        <v>7.26</v>
      </c>
      <c r="F85" s="100">
        <v>34.020000000000003</v>
      </c>
      <c r="G85" s="100">
        <v>39.21</v>
      </c>
      <c r="H85" s="100">
        <v>21.34</v>
      </c>
      <c r="I85" s="100">
        <v>9.77</v>
      </c>
      <c r="J85" s="100">
        <v>4.91</v>
      </c>
      <c r="K85" s="100">
        <v>205.89</v>
      </c>
      <c r="L85" s="100">
        <v>36.72</v>
      </c>
      <c r="M85" s="100">
        <v>48.1</v>
      </c>
      <c r="N85" s="100">
        <v>23</v>
      </c>
      <c r="O85" s="100">
        <v>0</v>
      </c>
      <c r="P85" s="100">
        <v>0.5</v>
      </c>
      <c r="Q85" s="100">
        <v>29.15</v>
      </c>
      <c r="R85" s="6"/>
      <c r="S85" s="6"/>
      <c r="T85" s="156"/>
      <c r="U85" s="6"/>
    </row>
    <row r="86" spans="1:21" customFormat="1">
      <c r="A86" s="163" t="s">
        <v>1853</v>
      </c>
      <c r="B86" s="100">
        <v>1.55</v>
      </c>
      <c r="C86" s="100">
        <v>12.4</v>
      </c>
      <c r="D86" s="100">
        <v>6.72</v>
      </c>
      <c r="E86" s="100">
        <v>6.75</v>
      </c>
      <c r="F86" s="100">
        <v>32.68</v>
      </c>
      <c r="G86" s="100">
        <v>39.21</v>
      </c>
      <c r="H86" s="100">
        <v>21.34</v>
      </c>
      <c r="I86" s="100">
        <v>9.56</v>
      </c>
      <c r="J86" s="100">
        <v>5</v>
      </c>
      <c r="K86" s="100">
        <v>197.18</v>
      </c>
      <c r="L86" s="100">
        <v>36.409999999999997</v>
      </c>
      <c r="M86" s="100">
        <v>48.64</v>
      </c>
      <c r="N86" s="100">
        <v>23</v>
      </c>
      <c r="O86" s="100">
        <v>0</v>
      </c>
      <c r="P86" s="100">
        <v>0.49</v>
      </c>
      <c r="Q86" s="100">
        <v>29.1</v>
      </c>
      <c r="R86" s="6"/>
      <c r="S86" s="6"/>
      <c r="T86" s="156"/>
      <c r="U86" s="6"/>
    </row>
    <row r="87" spans="1:21" customFormat="1">
      <c r="A87" s="163" t="s">
        <v>1854</v>
      </c>
      <c r="B87" s="100">
        <v>1.53</v>
      </c>
      <c r="C87" s="100">
        <v>12.46</v>
      </c>
      <c r="D87" s="100">
        <v>6.74</v>
      </c>
      <c r="E87" s="100">
        <v>6.51</v>
      </c>
      <c r="F87" s="100">
        <v>31.56</v>
      </c>
      <c r="G87" s="100">
        <v>39.21</v>
      </c>
      <c r="H87" s="100">
        <v>21.34</v>
      </c>
      <c r="I87" s="100">
        <v>9.5399999999999991</v>
      </c>
      <c r="J87" s="100">
        <v>4.51</v>
      </c>
      <c r="K87" s="100">
        <v>211.87</v>
      </c>
      <c r="L87" s="100">
        <v>36.270000000000003</v>
      </c>
      <c r="M87" s="100">
        <v>48.91</v>
      </c>
      <c r="N87" s="100">
        <v>22.6</v>
      </c>
      <c r="O87" s="100">
        <v>0</v>
      </c>
      <c r="P87" s="100">
        <v>0.52</v>
      </c>
      <c r="Q87" s="100">
        <v>29.08</v>
      </c>
      <c r="R87" s="6"/>
      <c r="S87" s="6"/>
      <c r="T87" s="156"/>
      <c r="U87" s="6"/>
    </row>
    <row r="88" spans="1:21" customFormat="1">
      <c r="A88" s="163" t="s">
        <v>1855</v>
      </c>
      <c r="B88" s="100">
        <v>1.39</v>
      </c>
      <c r="C88" s="100">
        <v>13.13</v>
      </c>
      <c r="D88" s="100">
        <v>6.98</v>
      </c>
      <c r="E88" s="100">
        <v>6.3</v>
      </c>
      <c r="F88" s="100">
        <v>35.590000000000003</v>
      </c>
      <c r="G88" s="100">
        <v>38.380000000000003</v>
      </c>
      <c r="H88" s="100">
        <v>21.2</v>
      </c>
      <c r="I88" s="100">
        <v>9.4700000000000006</v>
      </c>
      <c r="J88" s="100">
        <v>4.53</v>
      </c>
      <c r="K88" s="100">
        <v>200.8</v>
      </c>
      <c r="L88" s="100">
        <v>36.07</v>
      </c>
      <c r="M88" s="100">
        <v>49.87</v>
      </c>
      <c r="N88" s="100">
        <v>22.9</v>
      </c>
      <c r="O88" s="100">
        <v>0</v>
      </c>
      <c r="P88" s="100">
        <v>0.51</v>
      </c>
      <c r="Q88" s="100">
        <v>29</v>
      </c>
      <c r="R88" s="6"/>
      <c r="S88" s="6"/>
      <c r="T88" s="156"/>
      <c r="U88" s="6"/>
    </row>
    <row r="89" spans="1:21" customFormat="1">
      <c r="A89" s="163" t="s">
        <v>1856</v>
      </c>
      <c r="B89" s="100">
        <v>1.51</v>
      </c>
      <c r="C89" s="100">
        <v>13.67</v>
      </c>
      <c r="D89" s="100">
        <v>7.35</v>
      </c>
      <c r="E89" s="100">
        <v>6.8</v>
      </c>
      <c r="F89" s="100">
        <v>26.97</v>
      </c>
      <c r="G89" s="100">
        <v>35.26</v>
      </c>
      <c r="H89" s="100">
        <v>20.66</v>
      </c>
      <c r="I89" s="100">
        <v>9.4499999999999993</v>
      </c>
      <c r="J89" s="100">
        <v>4</v>
      </c>
      <c r="K89" s="100">
        <v>215.81</v>
      </c>
      <c r="L89" s="100">
        <v>35.950000000000003</v>
      </c>
      <c r="M89" s="100">
        <v>49.77</v>
      </c>
      <c r="N89" s="100">
        <v>22.6</v>
      </c>
      <c r="O89" s="100">
        <v>0</v>
      </c>
      <c r="P89" s="100">
        <v>0.54</v>
      </c>
      <c r="Q89" s="100">
        <v>28.96</v>
      </c>
      <c r="R89" s="6"/>
      <c r="S89" s="6"/>
      <c r="T89" s="156"/>
      <c r="U89" s="6"/>
    </row>
    <row r="90" spans="1:21" customFormat="1">
      <c r="A90" s="163" t="s">
        <v>1857</v>
      </c>
      <c r="B90" s="100">
        <v>1.55</v>
      </c>
      <c r="C90" s="100">
        <v>13.26</v>
      </c>
      <c r="D90" s="100">
        <v>7.18</v>
      </c>
      <c r="E90" s="100">
        <v>6.6</v>
      </c>
      <c r="F90" s="100">
        <v>26.7</v>
      </c>
      <c r="G90" s="100">
        <v>35.26</v>
      </c>
      <c r="H90" s="100">
        <v>20.66</v>
      </c>
      <c r="I90" s="100">
        <v>9.64</v>
      </c>
      <c r="J90" s="100">
        <v>5.73</v>
      </c>
      <c r="K90" s="100">
        <v>212.77</v>
      </c>
      <c r="L90" s="100">
        <v>35.71</v>
      </c>
      <c r="M90" s="100">
        <v>50.67</v>
      </c>
      <c r="N90" s="100">
        <v>22.7</v>
      </c>
      <c r="O90" s="100">
        <v>0</v>
      </c>
      <c r="P90" s="100">
        <v>0.54</v>
      </c>
      <c r="Q90" s="100">
        <v>29.03</v>
      </c>
      <c r="R90" s="6"/>
      <c r="S90" s="6"/>
      <c r="T90" s="156"/>
      <c r="U90" s="6"/>
    </row>
    <row r="91" spans="1:21" customFormat="1">
      <c r="A91" s="163" t="s">
        <v>1858</v>
      </c>
      <c r="B91" s="100">
        <v>1.72</v>
      </c>
      <c r="C91" s="100">
        <v>14.36</v>
      </c>
      <c r="D91" s="100">
        <v>7.89</v>
      </c>
      <c r="E91" s="100">
        <v>6.49</v>
      </c>
      <c r="F91" s="100">
        <v>25.23</v>
      </c>
      <c r="G91" s="100">
        <v>35.26</v>
      </c>
      <c r="H91" s="100">
        <v>20.66</v>
      </c>
      <c r="I91" s="100">
        <v>9.8800000000000008</v>
      </c>
      <c r="J91" s="100">
        <v>5.13</v>
      </c>
      <c r="K91" s="100">
        <v>211.43</v>
      </c>
      <c r="L91" s="100">
        <v>35.65</v>
      </c>
      <c r="M91" s="100">
        <v>51.05</v>
      </c>
      <c r="N91" s="100">
        <v>22.7</v>
      </c>
      <c r="O91" s="100">
        <v>0</v>
      </c>
      <c r="P91" s="100">
        <v>0.56000000000000005</v>
      </c>
      <c r="Q91" s="100">
        <v>28.89</v>
      </c>
      <c r="R91" s="6"/>
      <c r="S91" s="6"/>
      <c r="T91" s="156"/>
      <c r="U91" s="6"/>
    </row>
    <row r="92" spans="1:21" customFormat="1">
      <c r="A92" s="163" t="s">
        <v>1859</v>
      </c>
      <c r="B92" s="100">
        <v>1.73</v>
      </c>
      <c r="C92" s="100">
        <v>13.98</v>
      </c>
      <c r="D92" s="100">
        <v>7.69</v>
      </c>
      <c r="E92" s="100">
        <v>6.54</v>
      </c>
      <c r="F92" s="100">
        <v>15.61</v>
      </c>
      <c r="G92" s="100">
        <v>36.049999999999997</v>
      </c>
      <c r="H92" s="100">
        <v>20.52</v>
      </c>
      <c r="I92" s="100">
        <v>9.8800000000000008</v>
      </c>
      <c r="J92" s="100">
        <v>5.19</v>
      </c>
      <c r="K92" s="100">
        <v>215.49</v>
      </c>
      <c r="L92" s="100">
        <v>35.5</v>
      </c>
      <c r="M92" s="100">
        <v>51.44</v>
      </c>
      <c r="N92" s="100">
        <v>22.8</v>
      </c>
      <c r="O92" s="100">
        <v>0</v>
      </c>
      <c r="P92" s="100">
        <v>0.55000000000000004</v>
      </c>
      <c r="Q92" s="100">
        <v>28.93</v>
      </c>
      <c r="R92" s="6"/>
      <c r="S92" s="6"/>
      <c r="T92" s="156"/>
      <c r="U92" s="6"/>
    </row>
    <row r="93" spans="1:21" customFormat="1">
      <c r="A93" s="163" t="s">
        <v>1860</v>
      </c>
      <c r="B93" s="100">
        <v>1.79</v>
      </c>
      <c r="C93" s="100">
        <v>15.97</v>
      </c>
      <c r="D93" s="100">
        <v>8.7799999999999994</v>
      </c>
      <c r="E93" s="100">
        <v>6.54</v>
      </c>
      <c r="F93" s="100">
        <v>17.87</v>
      </c>
      <c r="G93" s="100">
        <v>39.01</v>
      </c>
      <c r="H93" s="100">
        <v>19.96</v>
      </c>
      <c r="I93" s="100">
        <v>10</v>
      </c>
      <c r="J93" s="100">
        <v>4.93</v>
      </c>
      <c r="K93" s="100">
        <v>188.31</v>
      </c>
      <c r="L93" s="100">
        <v>35.549999999999997</v>
      </c>
      <c r="M93" s="100">
        <v>51.78</v>
      </c>
      <c r="N93" s="100">
        <v>22.7</v>
      </c>
      <c r="O93" s="100">
        <v>0</v>
      </c>
      <c r="P93" s="100">
        <v>0.56000000000000005</v>
      </c>
      <c r="Q93" s="100">
        <v>28.84</v>
      </c>
      <c r="R93" s="6"/>
      <c r="S93" s="6"/>
      <c r="T93" s="156"/>
      <c r="U93" s="6"/>
    </row>
    <row r="94" spans="1:21" customFormat="1">
      <c r="A94" s="163" t="s">
        <v>1861</v>
      </c>
      <c r="B94" s="100">
        <v>1.64</v>
      </c>
      <c r="C94" s="100">
        <v>14.01</v>
      </c>
      <c r="D94" s="100">
        <v>7.64</v>
      </c>
      <c r="E94" s="100">
        <v>6.78</v>
      </c>
      <c r="F94" s="100">
        <v>26.18</v>
      </c>
      <c r="G94" s="100">
        <v>39.01</v>
      </c>
      <c r="H94" s="100">
        <v>19.96</v>
      </c>
      <c r="I94" s="100">
        <v>10.210000000000001</v>
      </c>
      <c r="J94" s="100">
        <v>5.76</v>
      </c>
      <c r="K94" s="100">
        <v>174.34</v>
      </c>
      <c r="L94" s="100">
        <v>35.74</v>
      </c>
      <c r="M94" s="100">
        <v>50.91</v>
      </c>
      <c r="N94" s="100">
        <v>22.6</v>
      </c>
      <c r="O94" s="100">
        <v>0</v>
      </c>
      <c r="P94" s="100">
        <v>0.51</v>
      </c>
      <c r="Q94" s="100">
        <v>28.9</v>
      </c>
      <c r="R94" s="6"/>
      <c r="S94" s="6"/>
      <c r="T94" s="156"/>
      <c r="U94" s="6"/>
    </row>
    <row r="95" spans="1:21" customFormat="1">
      <c r="A95" s="163" t="s">
        <v>1862</v>
      </c>
      <c r="B95" s="100">
        <v>1.63</v>
      </c>
      <c r="C95" s="100">
        <v>12.33</v>
      </c>
      <c r="D95" s="100">
        <v>6.76</v>
      </c>
      <c r="E95" s="100">
        <v>6.54</v>
      </c>
      <c r="F95" s="100">
        <v>26.92</v>
      </c>
      <c r="G95" s="100">
        <v>39.01</v>
      </c>
      <c r="H95" s="100">
        <v>19.96</v>
      </c>
      <c r="I95" s="100">
        <v>10.27</v>
      </c>
      <c r="J95" s="100">
        <v>5.04</v>
      </c>
      <c r="K95" s="100">
        <v>177.97</v>
      </c>
      <c r="L95" s="100">
        <v>35.81</v>
      </c>
      <c r="M95" s="100">
        <v>50.48</v>
      </c>
      <c r="N95" s="100">
        <v>22.7</v>
      </c>
      <c r="O95" s="100">
        <v>0</v>
      </c>
      <c r="P95" s="100">
        <v>0.52</v>
      </c>
      <c r="Q95" s="100">
        <v>28.99</v>
      </c>
      <c r="R95" s="6"/>
      <c r="S95" s="6"/>
      <c r="T95" s="156"/>
      <c r="U95" s="6"/>
    </row>
    <row r="96" spans="1:21" customFormat="1">
      <c r="A96" s="163" t="s">
        <v>1863</v>
      </c>
      <c r="B96" s="100">
        <v>1.64</v>
      </c>
      <c r="C96" s="100">
        <v>12.17</v>
      </c>
      <c r="D96" s="100">
        <v>6.68</v>
      </c>
      <c r="E96" s="100">
        <v>6.74</v>
      </c>
      <c r="F96" s="100">
        <v>26.83</v>
      </c>
      <c r="G96" s="100">
        <v>38.78</v>
      </c>
      <c r="H96" s="100">
        <v>18.98</v>
      </c>
      <c r="I96" s="100">
        <v>9.83</v>
      </c>
      <c r="J96" s="100">
        <v>5.83</v>
      </c>
      <c r="K96" s="100">
        <v>172.82</v>
      </c>
      <c r="L96" s="100">
        <v>35.69</v>
      </c>
      <c r="M96" s="100">
        <v>49.51</v>
      </c>
      <c r="N96" s="100">
        <v>22.8</v>
      </c>
      <c r="O96" s="100">
        <v>0</v>
      </c>
      <c r="P96" s="100">
        <v>0.51</v>
      </c>
      <c r="Q96" s="100">
        <v>28.96</v>
      </c>
      <c r="R96" s="6"/>
      <c r="S96" s="6"/>
      <c r="T96" s="156"/>
      <c r="U96" s="6"/>
    </row>
    <row r="97" spans="1:28" customFormat="1">
      <c r="A97" s="163" t="s">
        <v>1864</v>
      </c>
      <c r="B97" s="100">
        <v>1.85</v>
      </c>
      <c r="C97" s="100">
        <v>12.64</v>
      </c>
      <c r="D97" s="100">
        <v>7.09</v>
      </c>
      <c r="E97" s="100">
        <v>6.57</v>
      </c>
      <c r="F97" s="100">
        <v>21.69</v>
      </c>
      <c r="G97" s="100">
        <v>37.92</v>
      </c>
      <c r="H97" s="100">
        <v>15.31</v>
      </c>
      <c r="I97" s="100">
        <v>9.51</v>
      </c>
      <c r="J97" s="100">
        <v>5.64</v>
      </c>
      <c r="K97" s="100">
        <v>190.05</v>
      </c>
      <c r="L97" s="100">
        <v>35.58</v>
      </c>
      <c r="M97" s="100">
        <v>47.8</v>
      </c>
      <c r="N97" s="100">
        <v>22.9</v>
      </c>
      <c r="O97" s="100">
        <v>0</v>
      </c>
      <c r="P97" s="100">
        <v>0.52</v>
      </c>
      <c r="Q97" s="100">
        <v>29.01</v>
      </c>
      <c r="R97" s="6"/>
      <c r="S97" s="6"/>
      <c r="T97" s="156"/>
      <c r="U97" s="6"/>
    </row>
    <row r="98" spans="1:28" customFormat="1">
      <c r="A98" s="163" t="s">
        <v>1865</v>
      </c>
      <c r="B98" s="100">
        <v>1.92</v>
      </c>
      <c r="C98" s="100">
        <v>14</v>
      </c>
      <c r="D98" s="100">
        <v>7.86</v>
      </c>
      <c r="E98" s="100">
        <v>6.6</v>
      </c>
      <c r="F98" s="100">
        <v>27.92</v>
      </c>
      <c r="G98" s="100">
        <v>37.92</v>
      </c>
      <c r="H98" s="100">
        <v>15.31</v>
      </c>
      <c r="I98" s="100">
        <v>9.34</v>
      </c>
      <c r="J98" s="100">
        <v>4.88</v>
      </c>
      <c r="K98" s="100">
        <v>189.14</v>
      </c>
      <c r="L98" s="100">
        <v>35.659999999999997</v>
      </c>
      <c r="M98" s="100">
        <v>46.98</v>
      </c>
      <c r="N98" s="100">
        <v>22.9</v>
      </c>
      <c r="O98" s="100">
        <v>0</v>
      </c>
      <c r="P98" s="100">
        <v>0.52</v>
      </c>
      <c r="Q98" s="100">
        <v>28.9</v>
      </c>
      <c r="R98" s="6"/>
      <c r="S98" s="6"/>
      <c r="T98" s="156"/>
      <c r="U98" s="6"/>
    </row>
    <row r="99" spans="1:28" customFormat="1">
      <c r="A99" s="163" t="s">
        <v>1866</v>
      </c>
      <c r="B99" s="100">
        <v>1.89</v>
      </c>
      <c r="C99" s="100">
        <v>15.88</v>
      </c>
      <c r="D99" s="100">
        <v>8.81</v>
      </c>
      <c r="E99" s="100">
        <v>6.94</v>
      </c>
      <c r="F99" s="100">
        <v>26.71</v>
      </c>
      <c r="G99" s="100">
        <v>37.92</v>
      </c>
      <c r="H99" s="100">
        <v>15.31</v>
      </c>
      <c r="I99" s="100">
        <v>9.7200000000000006</v>
      </c>
      <c r="J99" s="100">
        <v>4.58</v>
      </c>
      <c r="K99" s="100">
        <v>136.19999999999999</v>
      </c>
      <c r="L99" s="100">
        <v>35</v>
      </c>
      <c r="M99" s="100">
        <v>48.4</v>
      </c>
      <c r="N99" s="100">
        <v>23.2</v>
      </c>
      <c r="O99" s="100">
        <v>0</v>
      </c>
      <c r="P99" s="100">
        <v>0.53</v>
      </c>
      <c r="Q99" s="100">
        <v>28.75</v>
      </c>
      <c r="R99" s="6"/>
      <c r="S99" s="6"/>
      <c r="T99" s="156"/>
      <c r="U99" s="6"/>
    </row>
    <row r="100" spans="1:28" customFormat="1">
      <c r="A100" s="163" t="s">
        <v>1867</v>
      </c>
      <c r="B100" s="100">
        <v>1.89</v>
      </c>
      <c r="C100" s="100">
        <v>14.38</v>
      </c>
      <c r="D100" s="100">
        <v>8.0299999999999994</v>
      </c>
      <c r="E100" s="100">
        <v>6.59</v>
      </c>
      <c r="F100" s="100">
        <v>31.77</v>
      </c>
      <c r="G100" s="100">
        <v>38.299999999999997</v>
      </c>
      <c r="H100" s="100">
        <v>15.91</v>
      </c>
      <c r="I100" s="100">
        <v>9.5500000000000007</v>
      </c>
      <c r="J100" s="100">
        <v>4.42</v>
      </c>
      <c r="K100" s="100">
        <v>125.1</v>
      </c>
      <c r="L100" s="100">
        <v>34.520000000000003</v>
      </c>
      <c r="M100" s="100">
        <v>49.06</v>
      </c>
      <c r="N100" s="100">
        <v>22.9</v>
      </c>
      <c r="O100" s="100">
        <v>0</v>
      </c>
      <c r="P100" s="100">
        <v>0.5</v>
      </c>
      <c r="Q100" s="100">
        <v>28.85</v>
      </c>
      <c r="R100" s="6"/>
      <c r="S100" s="6"/>
      <c r="T100" s="156"/>
      <c r="U100" s="6"/>
      <c r="AB100" s="161"/>
    </row>
    <row r="101" spans="1:28" customFormat="1">
      <c r="A101" s="163" t="s">
        <v>1868</v>
      </c>
      <c r="B101" s="100">
        <v>1.83</v>
      </c>
      <c r="C101" s="100">
        <v>13.81</v>
      </c>
      <c r="D101" s="100">
        <v>7.69</v>
      </c>
      <c r="E101" s="100">
        <v>5.75</v>
      </c>
      <c r="F101" s="100">
        <v>30.62</v>
      </c>
      <c r="G101" s="100">
        <v>39.69</v>
      </c>
      <c r="H101" s="100">
        <v>18.190000000000001</v>
      </c>
      <c r="I101" s="100">
        <v>9.11</v>
      </c>
      <c r="J101" s="100">
        <v>4.37</v>
      </c>
      <c r="K101" s="100">
        <v>125.37</v>
      </c>
      <c r="L101" s="100">
        <v>34.450000000000003</v>
      </c>
      <c r="M101" s="100">
        <v>49.87</v>
      </c>
      <c r="N101" s="100">
        <v>22.9</v>
      </c>
      <c r="O101" s="100">
        <v>0</v>
      </c>
      <c r="P101" s="100">
        <v>0.49</v>
      </c>
      <c r="Q101" s="100">
        <v>28.9</v>
      </c>
      <c r="R101" s="6"/>
      <c r="S101" s="6"/>
      <c r="T101" s="156"/>
      <c r="U101" s="6"/>
    </row>
    <row r="102" spans="1:28" customFormat="1">
      <c r="A102" s="163" t="s">
        <v>1869</v>
      </c>
      <c r="B102" s="100">
        <v>1.81</v>
      </c>
      <c r="C102" s="100">
        <v>13.39</v>
      </c>
      <c r="D102" s="100">
        <v>7.45</v>
      </c>
      <c r="E102" s="100">
        <v>6.77</v>
      </c>
      <c r="F102" s="100">
        <v>33.08</v>
      </c>
      <c r="G102" s="100">
        <v>39.69</v>
      </c>
      <c r="H102" s="100">
        <v>18.190000000000001</v>
      </c>
      <c r="I102" s="100">
        <v>8.8800000000000008</v>
      </c>
      <c r="J102" s="100">
        <v>3.66</v>
      </c>
      <c r="K102" s="100">
        <v>144.63</v>
      </c>
      <c r="L102" s="100">
        <v>34.57</v>
      </c>
      <c r="M102" s="100">
        <v>50.13</v>
      </c>
      <c r="N102" s="100">
        <v>22.9</v>
      </c>
      <c r="O102" s="100">
        <v>0</v>
      </c>
      <c r="P102" s="100">
        <v>0.5</v>
      </c>
      <c r="Q102" s="100">
        <v>28.93</v>
      </c>
      <c r="R102" s="6"/>
      <c r="S102" s="6"/>
      <c r="T102" s="156"/>
      <c r="U102" s="6"/>
    </row>
    <row r="103" spans="1:28" customFormat="1">
      <c r="A103" s="163" t="s">
        <v>1870</v>
      </c>
      <c r="B103" s="100">
        <v>1.82</v>
      </c>
      <c r="C103" s="100">
        <v>15.35</v>
      </c>
      <c r="D103" s="100">
        <v>8.48</v>
      </c>
      <c r="E103" s="100">
        <v>6.99</v>
      </c>
      <c r="F103" s="100">
        <v>25.64</v>
      </c>
      <c r="G103" s="100">
        <v>39.69</v>
      </c>
      <c r="H103" s="100">
        <v>18.190000000000001</v>
      </c>
      <c r="I103" s="100">
        <v>9.0299999999999994</v>
      </c>
      <c r="J103" s="100">
        <v>4.9000000000000004</v>
      </c>
      <c r="K103" s="100">
        <v>144.26</v>
      </c>
      <c r="L103" s="100">
        <v>34.64</v>
      </c>
      <c r="M103" s="100">
        <v>50.21</v>
      </c>
      <c r="N103" s="100">
        <v>23</v>
      </c>
      <c r="O103" s="100">
        <v>0</v>
      </c>
      <c r="P103" s="100">
        <v>0.52</v>
      </c>
      <c r="Q103" s="100">
        <v>28.76</v>
      </c>
      <c r="R103" s="6"/>
      <c r="S103" s="6"/>
      <c r="T103" s="156"/>
      <c r="U103" s="6"/>
    </row>
    <row r="104" spans="1:28" customFormat="1">
      <c r="A104" s="163" t="s">
        <v>1871</v>
      </c>
      <c r="B104" s="100">
        <v>2.23</v>
      </c>
      <c r="C104" s="100">
        <v>16.82</v>
      </c>
      <c r="D104" s="100">
        <v>9.58</v>
      </c>
      <c r="E104" s="100">
        <v>7.26</v>
      </c>
      <c r="F104" s="100">
        <v>24.82</v>
      </c>
      <c r="G104" s="100">
        <v>39.659999999999997</v>
      </c>
      <c r="H104" s="100">
        <v>17.760000000000002</v>
      </c>
      <c r="I104" s="100">
        <v>8.86</v>
      </c>
      <c r="J104" s="100">
        <v>4.66</v>
      </c>
      <c r="K104" s="100">
        <v>208.63</v>
      </c>
      <c r="L104" s="100">
        <v>34.85</v>
      </c>
      <c r="M104" s="100">
        <v>49.52</v>
      </c>
      <c r="N104" s="100">
        <v>22.7</v>
      </c>
      <c r="O104" s="100">
        <v>0</v>
      </c>
      <c r="P104" s="100">
        <v>0.51</v>
      </c>
      <c r="Q104" s="100">
        <v>28.64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1.33</v>
      </c>
      <c r="C106" s="158">
        <f>MIN(C9:C104)</f>
        <v>8.75</v>
      </c>
      <c r="D106" s="158">
        <f t="shared" ref="D106:Q106" si="0">MIN(D9:D104)</f>
        <v>4.9800000000000004</v>
      </c>
      <c r="E106" s="158">
        <f t="shared" si="0"/>
        <v>5.01</v>
      </c>
      <c r="F106" s="158">
        <f t="shared" si="0"/>
        <v>3.05</v>
      </c>
      <c r="G106" s="158">
        <f t="shared" si="0"/>
        <v>21.76</v>
      </c>
      <c r="H106" s="158">
        <f t="shared" si="0"/>
        <v>9.02</v>
      </c>
      <c r="I106" s="158">
        <f t="shared" si="0"/>
        <v>6.33</v>
      </c>
      <c r="J106" s="158">
        <f t="shared" si="0"/>
        <v>0.51</v>
      </c>
      <c r="K106" s="158">
        <f t="shared" si="0"/>
        <v>4.0199999999999996</v>
      </c>
      <c r="L106" s="158">
        <f t="shared" si="0"/>
        <v>26.74</v>
      </c>
      <c r="M106" s="158">
        <f t="shared" si="0"/>
        <v>32.08</v>
      </c>
      <c r="N106" s="158">
        <f t="shared" si="0"/>
        <v>22.6</v>
      </c>
      <c r="O106" s="158">
        <f t="shared" si="0"/>
        <v>0</v>
      </c>
      <c r="P106" s="158">
        <f t="shared" si="0"/>
        <v>0.45</v>
      </c>
      <c r="Q106" s="158">
        <f t="shared" si="0"/>
        <v>28.64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5.23</v>
      </c>
      <c r="C107" s="157">
        <f t="shared" ref="C107:Q107" si="1">MAX(C9:C104)</f>
        <v>19.68</v>
      </c>
      <c r="D107" s="157">
        <f t="shared" si="1"/>
        <v>11.51</v>
      </c>
      <c r="E107" s="157">
        <f t="shared" si="1"/>
        <v>8.2100000000000009</v>
      </c>
      <c r="F107" s="157">
        <f t="shared" si="1"/>
        <v>46.64</v>
      </c>
      <c r="G107" s="157">
        <f t="shared" si="1"/>
        <v>44.8</v>
      </c>
      <c r="H107" s="157">
        <f t="shared" si="1"/>
        <v>23.18</v>
      </c>
      <c r="I107" s="157">
        <f t="shared" si="1"/>
        <v>16.61</v>
      </c>
      <c r="J107" s="157">
        <f t="shared" si="1"/>
        <v>6.69</v>
      </c>
      <c r="K107" s="157">
        <f t="shared" si="1"/>
        <v>349.13</v>
      </c>
      <c r="L107" s="157">
        <f t="shared" si="1"/>
        <v>41.5</v>
      </c>
      <c r="M107" s="157">
        <f t="shared" si="1"/>
        <v>71.790000000000006</v>
      </c>
      <c r="N107" s="157">
        <f t="shared" si="1"/>
        <v>834.4</v>
      </c>
      <c r="O107" s="157">
        <f t="shared" si="1"/>
        <v>0</v>
      </c>
      <c r="P107" s="157">
        <f t="shared" si="1"/>
        <v>0.75</v>
      </c>
      <c r="Q107" s="157">
        <f t="shared" si="1"/>
        <v>29.4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2.503958333333332</v>
      </c>
      <c r="C108" s="158">
        <f t="shared" ref="C108:Q108" si="2">AVERAGE(C9:C104)</f>
        <v>13.212916666666672</v>
      </c>
      <c r="D108" s="158">
        <f t="shared" si="2"/>
        <v>7.916354166666669</v>
      </c>
      <c r="E108" s="158">
        <f t="shared" si="2"/>
        <v>6.4203125000000005</v>
      </c>
      <c r="F108" s="158">
        <f t="shared" si="2"/>
        <v>17.926770833333332</v>
      </c>
      <c r="G108" s="158">
        <f t="shared" si="2"/>
        <v>35.202291666666703</v>
      </c>
      <c r="H108" s="158">
        <f t="shared" si="2"/>
        <v>16.068854166666668</v>
      </c>
      <c r="I108" s="158">
        <f t="shared" si="2"/>
        <v>11.191041666666669</v>
      </c>
      <c r="J108" s="158">
        <f t="shared" si="2"/>
        <v>4.5086458333333326</v>
      </c>
      <c r="K108" s="158">
        <f t="shared" si="2"/>
        <v>216.4588541666667</v>
      </c>
      <c r="L108" s="158">
        <f t="shared" si="2"/>
        <v>33.294687499999988</v>
      </c>
      <c r="M108" s="158">
        <f t="shared" si="2"/>
        <v>53.580520833333317</v>
      </c>
      <c r="N108" s="158">
        <f t="shared" si="2"/>
        <v>189.11770833333335</v>
      </c>
      <c r="O108" s="158">
        <f t="shared" si="2"/>
        <v>0</v>
      </c>
      <c r="P108" s="158">
        <f t="shared" si="2"/>
        <v>0.55822916666666678</v>
      </c>
      <c r="Q108" s="158">
        <f t="shared" si="2"/>
        <v>29.028854166666665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1.149087032722909</v>
      </c>
      <c r="C109" s="158">
        <f t="shared" ref="C109:Q109" si="3">STDEV(C9:C104)</f>
        <v>2.210344539309637</v>
      </c>
      <c r="D109" s="158">
        <f t="shared" si="3"/>
        <v>1.6425174002389338</v>
      </c>
      <c r="E109" s="158">
        <f t="shared" si="3"/>
        <v>0.68768330092306384</v>
      </c>
      <c r="F109" s="158">
        <f t="shared" si="3"/>
        <v>13.9920784728015</v>
      </c>
      <c r="G109" s="158">
        <f t="shared" si="3"/>
        <v>6.6953161128414829</v>
      </c>
      <c r="H109" s="158">
        <f t="shared" si="3"/>
        <v>3.9988450621573799</v>
      </c>
      <c r="I109" s="158">
        <f t="shared" si="3"/>
        <v>2.1667358322293513</v>
      </c>
      <c r="J109" s="158">
        <f t="shared" si="3"/>
        <v>1.1233705109288572</v>
      </c>
      <c r="K109" s="158">
        <f t="shared" si="3"/>
        <v>40.544411799247179</v>
      </c>
      <c r="L109" s="158">
        <f t="shared" si="3"/>
        <v>4.9285246971878092</v>
      </c>
      <c r="M109" s="158">
        <f t="shared" si="3"/>
        <v>12.509334650975223</v>
      </c>
      <c r="N109" s="158">
        <f t="shared" si="3"/>
        <v>233.07669169058877</v>
      </c>
      <c r="O109" s="158">
        <f t="shared" si="3"/>
        <v>0</v>
      </c>
      <c r="P109" s="158">
        <f t="shared" si="3"/>
        <v>7.4692278071489177E-2</v>
      </c>
      <c r="Q109" s="158">
        <f t="shared" si="3"/>
        <v>0.16500634623627558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5" sqref="J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1872</v>
      </c>
      <c r="B9" s="100">
        <v>2.48</v>
      </c>
      <c r="C9" s="100">
        <v>15.06</v>
      </c>
      <c r="D9" s="100">
        <v>8.8699999999999992</v>
      </c>
      <c r="E9" s="100">
        <v>6.75</v>
      </c>
      <c r="F9" s="100">
        <v>23.44</v>
      </c>
      <c r="G9" s="100">
        <v>39.57</v>
      </c>
      <c r="H9" s="100">
        <v>16.16</v>
      </c>
      <c r="I9" s="100">
        <v>9.83</v>
      </c>
      <c r="J9" s="100">
        <v>4.71</v>
      </c>
      <c r="K9" s="100">
        <v>158.66999999999999</v>
      </c>
      <c r="L9" s="100">
        <v>34.590000000000003</v>
      </c>
      <c r="M9" s="100">
        <v>50.49</v>
      </c>
      <c r="N9" s="100">
        <v>23.1</v>
      </c>
      <c r="O9" s="100">
        <v>0</v>
      </c>
      <c r="P9" s="100">
        <v>0.5</v>
      </c>
      <c r="Q9" s="100">
        <v>28.71</v>
      </c>
      <c r="R9" s="6"/>
      <c r="S9" s="6"/>
      <c r="T9" s="156"/>
      <c r="U9" s="6"/>
    </row>
    <row r="10" spans="1:21" customFormat="1">
      <c r="A10" s="163" t="s">
        <v>1873</v>
      </c>
      <c r="B10" s="100">
        <v>2.64</v>
      </c>
      <c r="C10" s="100">
        <v>16.399999999999999</v>
      </c>
      <c r="D10" s="100">
        <v>9.69</v>
      </c>
      <c r="E10" s="100">
        <v>6.73</v>
      </c>
      <c r="F10" s="100">
        <v>16.61</v>
      </c>
      <c r="G10" s="100">
        <v>39.57</v>
      </c>
      <c r="H10" s="100">
        <v>16.16</v>
      </c>
      <c r="I10" s="100">
        <v>10.53</v>
      </c>
      <c r="J10" s="100">
        <v>4.3</v>
      </c>
      <c r="K10" s="100">
        <v>167.35</v>
      </c>
      <c r="L10" s="100">
        <v>34.47</v>
      </c>
      <c r="M10" s="100">
        <v>51.11</v>
      </c>
      <c r="N10" s="100">
        <v>23</v>
      </c>
      <c r="O10" s="100">
        <v>0</v>
      </c>
      <c r="P10" s="100">
        <v>0.51</v>
      </c>
      <c r="Q10" s="100">
        <v>28.74</v>
      </c>
      <c r="R10" s="6"/>
      <c r="S10" s="6"/>
      <c r="T10" s="156"/>
      <c r="U10" s="6"/>
    </row>
    <row r="11" spans="1:21" customFormat="1">
      <c r="A11" s="163" t="s">
        <v>1874</v>
      </c>
      <c r="B11" s="100">
        <v>3.4</v>
      </c>
      <c r="C11" s="100">
        <v>17.010000000000002</v>
      </c>
      <c r="D11" s="100">
        <v>10.62</v>
      </c>
      <c r="E11" s="100">
        <v>7.72</v>
      </c>
      <c r="F11" s="100">
        <v>24.48</v>
      </c>
      <c r="G11" s="100">
        <v>39.57</v>
      </c>
      <c r="H11" s="100">
        <v>16.16</v>
      </c>
      <c r="I11" s="100">
        <v>9.8699999999999992</v>
      </c>
      <c r="J11" s="100">
        <v>4.47</v>
      </c>
      <c r="K11" s="100">
        <v>138.03</v>
      </c>
      <c r="L11" s="100">
        <v>34.979999999999997</v>
      </c>
      <c r="M11" s="100">
        <v>49.61</v>
      </c>
      <c r="N11" s="100">
        <v>22.7</v>
      </c>
      <c r="O11" s="100">
        <v>0</v>
      </c>
      <c r="P11" s="100">
        <v>0.49</v>
      </c>
      <c r="Q11" s="100">
        <v>28.79</v>
      </c>
      <c r="R11" s="6"/>
      <c r="S11" s="6"/>
      <c r="T11" s="156"/>
      <c r="U11" s="6"/>
    </row>
    <row r="12" spans="1:21" customFormat="1">
      <c r="A12" s="163" t="s">
        <v>1875</v>
      </c>
      <c r="B12" s="100">
        <v>6.32</v>
      </c>
      <c r="C12" s="100">
        <v>23.16</v>
      </c>
      <c r="D12" s="100">
        <v>16.18</v>
      </c>
      <c r="E12" s="100">
        <v>7.61</v>
      </c>
      <c r="F12" s="100">
        <v>21.85</v>
      </c>
      <c r="G12" s="100">
        <v>39.24</v>
      </c>
      <c r="H12" s="100">
        <v>16.899999999999999</v>
      </c>
      <c r="I12" s="100">
        <v>9.33</v>
      </c>
      <c r="J12" s="100">
        <v>4.32</v>
      </c>
      <c r="K12" s="100">
        <v>136.77000000000001</v>
      </c>
      <c r="L12" s="100">
        <v>35.130000000000003</v>
      </c>
      <c r="M12" s="100">
        <v>48.71</v>
      </c>
      <c r="N12" s="100">
        <v>22.8</v>
      </c>
      <c r="O12" s="100">
        <v>0</v>
      </c>
      <c r="P12" s="100">
        <v>0.53</v>
      </c>
      <c r="Q12" s="100">
        <v>27.95</v>
      </c>
      <c r="R12" s="6"/>
      <c r="S12" s="6"/>
      <c r="T12" s="156"/>
      <c r="U12" s="6"/>
    </row>
    <row r="13" spans="1:21" customFormat="1">
      <c r="A13" s="163" t="s">
        <v>1876</v>
      </c>
      <c r="B13" s="100">
        <v>3.61</v>
      </c>
      <c r="C13" s="100">
        <v>18.68</v>
      </c>
      <c r="D13" s="100">
        <v>11.66</v>
      </c>
      <c r="E13" s="100">
        <v>7.37</v>
      </c>
      <c r="F13" s="100">
        <v>13.16</v>
      </c>
      <c r="G13" s="100">
        <v>37.99</v>
      </c>
      <c r="H13" s="100">
        <v>19.64</v>
      </c>
      <c r="I13" s="100">
        <v>9.0399999999999991</v>
      </c>
      <c r="J13" s="100">
        <v>5.07</v>
      </c>
      <c r="K13" s="100">
        <v>152.54</v>
      </c>
      <c r="L13" s="100">
        <v>34.659999999999997</v>
      </c>
      <c r="M13" s="100">
        <v>49.81</v>
      </c>
      <c r="N13" s="100">
        <v>23.3</v>
      </c>
      <c r="O13" s="100">
        <v>0</v>
      </c>
      <c r="P13" s="100">
        <v>0.51</v>
      </c>
      <c r="Q13" s="100">
        <v>28.22</v>
      </c>
      <c r="R13" s="6"/>
      <c r="S13" s="6"/>
      <c r="T13" s="156"/>
      <c r="U13" s="6"/>
    </row>
    <row r="14" spans="1:21" customFormat="1">
      <c r="A14" s="163" t="s">
        <v>1877</v>
      </c>
      <c r="B14" s="100">
        <v>3.45</v>
      </c>
      <c r="C14" s="100">
        <v>17.350000000000001</v>
      </c>
      <c r="D14" s="100">
        <v>10.83</v>
      </c>
      <c r="E14" s="100">
        <v>7.16</v>
      </c>
      <c r="F14" s="100">
        <v>16.37</v>
      </c>
      <c r="G14" s="100">
        <v>37.99</v>
      </c>
      <c r="H14" s="100">
        <v>19.64</v>
      </c>
      <c r="I14" s="100">
        <v>9.26</v>
      </c>
      <c r="J14" s="100">
        <v>2.81</v>
      </c>
      <c r="K14" s="100">
        <v>148.28</v>
      </c>
      <c r="L14" s="100">
        <v>34.71</v>
      </c>
      <c r="M14" s="100">
        <v>50.17</v>
      </c>
      <c r="N14" s="100">
        <v>22.8</v>
      </c>
      <c r="O14" s="100">
        <v>0</v>
      </c>
      <c r="P14" s="100">
        <v>0.51</v>
      </c>
      <c r="Q14" s="100">
        <v>28.6</v>
      </c>
      <c r="R14" s="6"/>
      <c r="S14" s="6"/>
      <c r="T14" s="156"/>
      <c r="U14" s="6"/>
    </row>
    <row r="15" spans="1:21" customFormat="1">
      <c r="A15" s="163" t="s">
        <v>1878</v>
      </c>
      <c r="B15" s="100">
        <v>3.95</v>
      </c>
      <c r="C15" s="100">
        <v>17.27</v>
      </c>
      <c r="D15" s="100">
        <v>11.2</v>
      </c>
      <c r="E15" s="100">
        <v>7.67</v>
      </c>
      <c r="F15" s="100">
        <v>18.73</v>
      </c>
      <c r="G15" s="100">
        <v>37.99</v>
      </c>
      <c r="H15" s="100">
        <v>19.64</v>
      </c>
      <c r="I15" s="100">
        <v>9.39</v>
      </c>
      <c r="J15" s="100">
        <v>3.97</v>
      </c>
      <c r="K15" s="100">
        <v>136.33000000000001</v>
      </c>
      <c r="L15" s="100">
        <v>34.75</v>
      </c>
      <c r="M15" s="100">
        <v>49.8</v>
      </c>
      <c r="N15" s="100">
        <v>22.9</v>
      </c>
      <c r="O15" s="100">
        <v>0</v>
      </c>
      <c r="P15" s="100">
        <v>0.48</v>
      </c>
      <c r="Q15" s="100">
        <v>28.69</v>
      </c>
      <c r="R15" s="6"/>
      <c r="S15" s="6"/>
      <c r="T15" s="156"/>
      <c r="U15" s="6"/>
    </row>
    <row r="16" spans="1:21" customFormat="1">
      <c r="A16" s="163" t="s">
        <v>1879</v>
      </c>
      <c r="B16" s="100">
        <v>3.84</v>
      </c>
      <c r="C16" s="100">
        <v>17.59</v>
      </c>
      <c r="D16" s="100">
        <v>11.27</v>
      </c>
      <c r="E16" s="100">
        <v>7.5</v>
      </c>
      <c r="F16" s="100">
        <v>22.1</v>
      </c>
      <c r="G16" s="100">
        <v>38.57</v>
      </c>
      <c r="H16" s="100">
        <v>18.54</v>
      </c>
      <c r="I16" s="100">
        <v>9.35</v>
      </c>
      <c r="J16" s="100">
        <v>5.05</v>
      </c>
      <c r="K16" s="100">
        <v>49.14</v>
      </c>
      <c r="L16" s="100">
        <v>34.369999999999997</v>
      </c>
      <c r="M16" s="100">
        <v>51.09</v>
      </c>
      <c r="N16" s="100">
        <v>23.6</v>
      </c>
      <c r="O16" s="100">
        <v>0</v>
      </c>
      <c r="P16" s="100">
        <v>0.5</v>
      </c>
      <c r="Q16" s="100">
        <v>28.64</v>
      </c>
      <c r="R16" s="6"/>
      <c r="S16" s="6"/>
      <c r="T16" s="156"/>
      <c r="U16" s="6"/>
    </row>
    <row r="17" spans="1:21" customFormat="1">
      <c r="A17" s="163" t="s">
        <v>1880</v>
      </c>
      <c r="B17" s="100">
        <v>3.42</v>
      </c>
      <c r="C17" s="100">
        <v>16.55</v>
      </c>
      <c r="D17" s="100">
        <v>10.4</v>
      </c>
      <c r="E17" s="100">
        <v>7.85</v>
      </c>
      <c r="F17" s="100">
        <v>13.48</v>
      </c>
      <c r="G17" s="100">
        <v>40.74</v>
      </c>
      <c r="H17" s="100">
        <v>14.42</v>
      </c>
      <c r="I17" s="100">
        <v>9.11</v>
      </c>
      <c r="J17" s="100">
        <v>5.37</v>
      </c>
      <c r="K17" s="100">
        <v>49.45</v>
      </c>
      <c r="L17" s="100">
        <v>32.15</v>
      </c>
      <c r="M17" s="100">
        <v>51.65</v>
      </c>
      <c r="N17" s="100">
        <v>25.8</v>
      </c>
      <c r="O17" s="100">
        <v>0</v>
      </c>
      <c r="P17" s="100">
        <v>0.5</v>
      </c>
      <c r="Q17" s="100">
        <v>28.68</v>
      </c>
      <c r="R17" s="6"/>
      <c r="S17" s="6"/>
      <c r="T17" s="156"/>
      <c r="U17" s="6"/>
    </row>
    <row r="18" spans="1:21" customFormat="1">
      <c r="A18" s="163" t="s">
        <v>1881</v>
      </c>
      <c r="B18" s="100">
        <v>3.64</v>
      </c>
      <c r="C18" s="100">
        <v>18.579999999999998</v>
      </c>
      <c r="D18" s="100">
        <v>11.63</v>
      </c>
      <c r="E18" s="100">
        <v>8.0399999999999991</v>
      </c>
      <c r="F18" s="100">
        <v>10.43</v>
      </c>
      <c r="G18" s="100">
        <v>40.74</v>
      </c>
      <c r="H18" s="100">
        <v>14.42</v>
      </c>
      <c r="I18" s="100">
        <v>9.25</v>
      </c>
      <c r="J18" s="100">
        <v>3.99</v>
      </c>
      <c r="K18" s="100">
        <v>55.63</v>
      </c>
      <c r="L18" s="100">
        <v>31.35</v>
      </c>
      <c r="M18" s="100">
        <v>58.12</v>
      </c>
      <c r="N18" s="100">
        <v>24.3</v>
      </c>
      <c r="O18" s="100">
        <v>0</v>
      </c>
      <c r="P18" s="100">
        <v>0.51</v>
      </c>
      <c r="Q18" s="100">
        <v>28.62</v>
      </c>
      <c r="R18" s="6"/>
      <c r="S18" s="6"/>
      <c r="T18" s="156"/>
      <c r="U18" s="6"/>
    </row>
    <row r="19" spans="1:21" customFormat="1">
      <c r="A19" s="163" t="s">
        <v>1882</v>
      </c>
      <c r="B19" s="100">
        <v>4.0199999999999996</v>
      </c>
      <c r="C19" s="100">
        <v>23.86</v>
      </c>
      <c r="D19" s="100">
        <v>14.7</v>
      </c>
      <c r="E19" s="100">
        <v>8.08</v>
      </c>
      <c r="F19" s="100">
        <v>10.56</v>
      </c>
      <c r="G19" s="100">
        <v>40.74</v>
      </c>
      <c r="H19" s="100">
        <v>14.42</v>
      </c>
      <c r="I19" s="100">
        <v>9.35</v>
      </c>
      <c r="J19" s="100">
        <v>3.31</v>
      </c>
      <c r="K19" s="100">
        <v>63.01</v>
      </c>
      <c r="L19" s="100">
        <v>31.2</v>
      </c>
      <c r="M19" s="100">
        <v>63.03</v>
      </c>
      <c r="N19" s="100">
        <v>23.4</v>
      </c>
      <c r="O19" s="100">
        <v>0</v>
      </c>
      <c r="P19" s="100">
        <v>0.55000000000000004</v>
      </c>
      <c r="Q19" s="100">
        <v>28.41</v>
      </c>
      <c r="R19" s="6"/>
      <c r="S19" s="6"/>
      <c r="T19" s="156"/>
      <c r="U19" s="6"/>
    </row>
    <row r="20" spans="1:21" customFormat="1">
      <c r="A20" s="163" t="s">
        <v>1883</v>
      </c>
      <c r="B20" s="100">
        <v>3.78</v>
      </c>
      <c r="C20" s="100">
        <v>19.71</v>
      </c>
      <c r="D20" s="100">
        <v>12.33</v>
      </c>
      <c r="E20" s="100">
        <v>7.65</v>
      </c>
      <c r="F20" s="100">
        <v>8.4700000000000006</v>
      </c>
      <c r="G20" s="100">
        <v>62.38</v>
      </c>
      <c r="H20" s="100">
        <v>16.7</v>
      </c>
      <c r="I20" s="100">
        <v>9.6300000000000008</v>
      </c>
      <c r="J20" s="100">
        <v>4.47</v>
      </c>
      <c r="K20" s="100">
        <v>67.69</v>
      </c>
      <c r="L20" s="100">
        <v>30.93</v>
      </c>
      <c r="M20" s="100">
        <v>63.76</v>
      </c>
      <c r="N20" s="100">
        <v>23.4</v>
      </c>
      <c r="O20" s="100">
        <v>0</v>
      </c>
      <c r="P20" s="100">
        <v>0.55000000000000004</v>
      </c>
      <c r="Q20" s="100">
        <v>28.42</v>
      </c>
      <c r="R20" s="6"/>
      <c r="S20" s="6"/>
      <c r="T20" s="156"/>
      <c r="U20" s="6"/>
    </row>
    <row r="21" spans="1:21" customFormat="1">
      <c r="A21" s="163" t="s">
        <v>1884</v>
      </c>
      <c r="B21" s="100">
        <v>3.93</v>
      </c>
      <c r="C21" s="100">
        <v>19.66</v>
      </c>
      <c r="D21" s="100">
        <v>12.43</v>
      </c>
      <c r="E21" s="100">
        <v>7.96</v>
      </c>
      <c r="F21" s="100">
        <v>11.23</v>
      </c>
      <c r="G21" s="100">
        <v>143.26</v>
      </c>
      <c r="H21" s="100">
        <v>25.84</v>
      </c>
      <c r="I21" s="100">
        <v>9.9600000000000009</v>
      </c>
      <c r="J21" s="100">
        <v>4.58</v>
      </c>
      <c r="K21" s="100">
        <v>57.91</v>
      </c>
      <c r="L21" s="100">
        <v>30.75</v>
      </c>
      <c r="M21" s="100">
        <v>59.93</v>
      </c>
      <c r="N21" s="100">
        <v>23.5</v>
      </c>
      <c r="O21" s="100">
        <v>0</v>
      </c>
      <c r="P21" s="100">
        <v>0.53</v>
      </c>
      <c r="Q21" s="100">
        <v>28.41</v>
      </c>
      <c r="R21" s="6"/>
      <c r="S21" s="6"/>
      <c r="T21" s="156"/>
      <c r="U21" s="6"/>
    </row>
    <row r="22" spans="1:21" customFormat="1">
      <c r="A22" s="163" t="s">
        <v>1885</v>
      </c>
      <c r="B22" s="100">
        <v>4.0199999999999996</v>
      </c>
      <c r="C22" s="100">
        <v>20.420000000000002</v>
      </c>
      <c r="D22" s="100">
        <v>12.9</v>
      </c>
      <c r="E22" s="100">
        <v>8.0500000000000007</v>
      </c>
      <c r="F22" s="100">
        <v>6.58</v>
      </c>
      <c r="G22" s="100">
        <v>143.26</v>
      </c>
      <c r="H22" s="100">
        <v>25.84</v>
      </c>
      <c r="I22" s="100">
        <v>10</v>
      </c>
      <c r="J22" s="100">
        <v>4.9800000000000004</v>
      </c>
      <c r="K22" s="100">
        <v>41.01</v>
      </c>
      <c r="L22" s="100">
        <v>30.6</v>
      </c>
      <c r="M22" s="100">
        <v>61.85</v>
      </c>
      <c r="N22" s="100">
        <v>23.3</v>
      </c>
      <c r="O22" s="100">
        <v>0</v>
      </c>
      <c r="P22" s="100">
        <v>0.57999999999999996</v>
      </c>
      <c r="Q22" s="100">
        <v>28.33</v>
      </c>
      <c r="R22" s="6"/>
      <c r="S22" s="6"/>
      <c r="T22" s="156"/>
      <c r="U22" s="6"/>
    </row>
    <row r="23" spans="1:21" customFormat="1">
      <c r="A23" s="163" t="s">
        <v>1886</v>
      </c>
      <c r="B23" s="100">
        <v>4.47</v>
      </c>
      <c r="C23" s="100">
        <v>21.26</v>
      </c>
      <c r="D23" s="100">
        <v>13.7</v>
      </c>
      <c r="E23" s="100">
        <v>7.16</v>
      </c>
      <c r="F23" s="100">
        <v>4.34</v>
      </c>
      <c r="G23" s="100">
        <v>143.26</v>
      </c>
      <c r="H23" s="100">
        <v>25.84</v>
      </c>
      <c r="I23" s="100">
        <v>9.89</v>
      </c>
      <c r="J23" s="100">
        <v>5.13</v>
      </c>
      <c r="K23" s="100">
        <v>39.549999999999997</v>
      </c>
      <c r="L23" s="100">
        <v>30.39</v>
      </c>
      <c r="M23" s="100">
        <v>64.459999999999994</v>
      </c>
      <c r="N23" s="100">
        <v>23.5</v>
      </c>
      <c r="O23" s="100">
        <v>0</v>
      </c>
      <c r="P23" s="100">
        <v>0.59</v>
      </c>
      <c r="Q23" s="100">
        <v>28.3</v>
      </c>
      <c r="R23" s="6"/>
      <c r="S23" s="6"/>
      <c r="T23" s="156"/>
      <c r="U23" s="6"/>
    </row>
    <row r="24" spans="1:21" customFormat="1">
      <c r="A24" s="163" t="s">
        <v>1887</v>
      </c>
      <c r="B24" s="100">
        <v>4.9800000000000004</v>
      </c>
      <c r="C24" s="100">
        <v>20.92</v>
      </c>
      <c r="D24" s="100">
        <v>13.93</v>
      </c>
      <c r="E24" s="100">
        <v>7.31</v>
      </c>
      <c r="F24" s="100">
        <v>4.18</v>
      </c>
      <c r="G24" s="100">
        <v>134.07</v>
      </c>
      <c r="H24" s="100">
        <v>26.69</v>
      </c>
      <c r="I24" s="100">
        <v>9.8000000000000007</v>
      </c>
      <c r="J24" s="100">
        <v>6.69</v>
      </c>
      <c r="K24" s="100">
        <v>13.16</v>
      </c>
      <c r="L24" s="100">
        <v>30.09</v>
      </c>
      <c r="M24" s="100">
        <v>64.98</v>
      </c>
      <c r="N24" s="100">
        <v>23.8</v>
      </c>
      <c r="O24" s="100">
        <v>0</v>
      </c>
      <c r="P24" s="100">
        <v>0.56999999999999995</v>
      </c>
      <c r="Q24" s="100">
        <v>28.29</v>
      </c>
      <c r="R24" s="6"/>
      <c r="S24" s="6"/>
      <c r="T24" s="156"/>
      <c r="U24" s="6"/>
    </row>
    <row r="25" spans="1:21" customFormat="1">
      <c r="A25" s="163" t="s">
        <v>1888</v>
      </c>
      <c r="B25" s="100">
        <v>5.1100000000000003</v>
      </c>
      <c r="C25" s="100">
        <v>18.73</v>
      </c>
      <c r="D25" s="100">
        <v>12.89</v>
      </c>
      <c r="E25" s="100">
        <v>7.77</v>
      </c>
      <c r="F25" s="100">
        <v>9.61</v>
      </c>
      <c r="G25" s="100">
        <v>99.73</v>
      </c>
      <c r="H25" s="100">
        <v>29.87</v>
      </c>
      <c r="I25" s="100">
        <v>9.9700000000000006</v>
      </c>
      <c r="J25" s="100">
        <v>4.8899999999999997</v>
      </c>
      <c r="K25" s="100">
        <v>24.37</v>
      </c>
      <c r="L25" s="100">
        <v>29.69</v>
      </c>
      <c r="M25" s="100">
        <v>65.92</v>
      </c>
      <c r="N25" s="100">
        <v>23.6</v>
      </c>
      <c r="O25" s="100">
        <v>0</v>
      </c>
      <c r="P25" s="100">
        <v>0.52</v>
      </c>
      <c r="Q25" s="100">
        <v>28.36</v>
      </c>
      <c r="R25" s="6"/>
      <c r="S25" s="6"/>
      <c r="T25" s="156"/>
      <c r="U25" s="6"/>
    </row>
    <row r="26" spans="1:21" customFormat="1">
      <c r="A26" s="163" t="s">
        <v>1889</v>
      </c>
      <c r="B26" s="100">
        <v>4.9800000000000004</v>
      </c>
      <c r="C26" s="100">
        <v>15.25</v>
      </c>
      <c r="D26" s="100">
        <v>10.96</v>
      </c>
      <c r="E26" s="100">
        <v>8.06</v>
      </c>
      <c r="F26" s="100">
        <v>16.53</v>
      </c>
      <c r="G26" s="100">
        <v>99.73</v>
      </c>
      <c r="H26" s="100">
        <v>29.87</v>
      </c>
      <c r="I26" s="100">
        <v>9.9600000000000009</v>
      </c>
      <c r="J26" s="100">
        <v>2.4700000000000002</v>
      </c>
      <c r="K26" s="100">
        <v>46.55</v>
      </c>
      <c r="L26" s="100">
        <v>29.9</v>
      </c>
      <c r="M26" s="100">
        <v>64.23</v>
      </c>
      <c r="N26" s="100">
        <v>23.3</v>
      </c>
      <c r="O26" s="100">
        <v>0</v>
      </c>
      <c r="P26" s="100">
        <v>0.48</v>
      </c>
      <c r="Q26" s="100">
        <v>28.71</v>
      </c>
      <c r="R26" s="6"/>
      <c r="S26" s="6"/>
      <c r="T26" s="156"/>
      <c r="U26" s="6"/>
    </row>
    <row r="27" spans="1:21" customFormat="1">
      <c r="A27" s="163" t="s">
        <v>1890</v>
      </c>
      <c r="B27" s="100">
        <v>4.8600000000000003</v>
      </c>
      <c r="C27" s="100">
        <v>14.6</v>
      </c>
      <c r="D27" s="100">
        <v>10.53</v>
      </c>
      <c r="E27" s="100">
        <v>7.82</v>
      </c>
      <c r="F27" s="100">
        <v>4.09</v>
      </c>
      <c r="G27" s="100">
        <v>99.73</v>
      </c>
      <c r="H27" s="100">
        <v>29.87</v>
      </c>
      <c r="I27" s="100">
        <v>9.42</v>
      </c>
      <c r="J27" s="100">
        <v>1.7</v>
      </c>
      <c r="K27" s="100">
        <v>88.45</v>
      </c>
      <c r="L27" s="100">
        <v>29.27</v>
      </c>
      <c r="M27" s="100">
        <v>70.84</v>
      </c>
      <c r="N27" s="100">
        <v>22.8</v>
      </c>
      <c r="O27" s="100">
        <v>0</v>
      </c>
      <c r="P27" s="100">
        <v>0.52</v>
      </c>
      <c r="Q27" s="100">
        <v>28.8</v>
      </c>
      <c r="R27" s="6"/>
      <c r="S27" s="6"/>
      <c r="T27" s="156"/>
      <c r="U27" s="6"/>
    </row>
    <row r="28" spans="1:21" customFormat="1">
      <c r="A28" s="163" t="s">
        <v>1891</v>
      </c>
      <c r="B28" s="100">
        <v>5</v>
      </c>
      <c r="C28" s="100">
        <v>18.11</v>
      </c>
      <c r="D28" s="100">
        <v>12.48</v>
      </c>
      <c r="E28" s="100">
        <v>7.01</v>
      </c>
      <c r="F28" s="100">
        <v>3.45</v>
      </c>
      <c r="G28" s="100">
        <v>87.5</v>
      </c>
      <c r="H28" s="100">
        <v>29.23</v>
      </c>
      <c r="I28" s="100">
        <v>8.9700000000000006</v>
      </c>
      <c r="J28" s="100">
        <v>1.04</v>
      </c>
      <c r="K28" s="100">
        <v>129.03</v>
      </c>
      <c r="L28" s="100">
        <v>28.47</v>
      </c>
      <c r="M28" s="100">
        <v>79.92</v>
      </c>
      <c r="N28" s="100">
        <v>22.7</v>
      </c>
      <c r="O28" s="100">
        <v>0.2</v>
      </c>
      <c r="P28" s="100">
        <v>0.54</v>
      </c>
      <c r="Q28" s="100">
        <v>28.63</v>
      </c>
      <c r="R28" s="6"/>
      <c r="S28" s="6"/>
      <c r="T28" s="156"/>
      <c r="U28" s="6"/>
    </row>
    <row r="29" spans="1:21" customFormat="1">
      <c r="A29" s="163" t="s">
        <v>1892</v>
      </c>
      <c r="B29" s="100">
        <v>5.26</v>
      </c>
      <c r="C29" s="100">
        <v>17.48</v>
      </c>
      <c r="D29" s="100">
        <v>12.35</v>
      </c>
      <c r="E29" s="100">
        <v>5.53</v>
      </c>
      <c r="F29" s="100">
        <v>5</v>
      </c>
      <c r="G29" s="100">
        <v>41.77</v>
      </c>
      <c r="H29" s="100">
        <v>26.84</v>
      </c>
      <c r="I29" s="100">
        <v>9.2899999999999991</v>
      </c>
      <c r="J29" s="100">
        <v>0.8</v>
      </c>
      <c r="K29" s="100">
        <v>131.91</v>
      </c>
      <c r="L29" s="100">
        <v>28.28</v>
      </c>
      <c r="M29" s="100">
        <v>83.3</v>
      </c>
      <c r="N29" s="100">
        <v>23.3</v>
      </c>
      <c r="O29" s="100">
        <v>0.2</v>
      </c>
      <c r="P29" s="100">
        <v>0.51</v>
      </c>
      <c r="Q29" s="100">
        <v>28.62</v>
      </c>
      <c r="R29" s="6"/>
      <c r="S29" s="6"/>
      <c r="T29" s="156"/>
      <c r="U29" s="6"/>
    </row>
    <row r="30" spans="1:21" customFormat="1">
      <c r="A30" s="163" t="s">
        <v>1893</v>
      </c>
      <c r="B30" s="100">
        <v>5.38</v>
      </c>
      <c r="C30" s="100">
        <v>15.9</v>
      </c>
      <c r="D30" s="100">
        <v>11.63</v>
      </c>
      <c r="E30" s="100">
        <v>6.1</v>
      </c>
      <c r="F30" s="100">
        <v>5.08</v>
      </c>
      <c r="G30" s="100">
        <v>41.77</v>
      </c>
      <c r="H30" s="100">
        <v>26.84</v>
      </c>
      <c r="I30" s="100">
        <v>9.52</v>
      </c>
      <c r="J30" s="100">
        <v>1.19</v>
      </c>
      <c r="K30" s="100">
        <v>101.88</v>
      </c>
      <c r="L30" s="100">
        <v>27.85</v>
      </c>
      <c r="M30" s="100">
        <v>85.3</v>
      </c>
      <c r="N30" s="100">
        <v>23.5</v>
      </c>
      <c r="O30" s="100">
        <v>0</v>
      </c>
      <c r="P30" s="100">
        <v>0.54</v>
      </c>
      <c r="Q30" s="100">
        <v>28.67</v>
      </c>
      <c r="R30" s="6"/>
      <c r="S30" s="6"/>
      <c r="T30" s="156"/>
      <c r="U30" s="6"/>
    </row>
    <row r="31" spans="1:21" customFormat="1">
      <c r="A31" s="163" t="s">
        <v>1894</v>
      </c>
      <c r="B31" s="100">
        <v>5.62</v>
      </c>
      <c r="C31" s="100">
        <v>15.77</v>
      </c>
      <c r="D31" s="100">
        <v>11.75</v>
      </c>
      <c r="E31" s="100">
        <v>6.52</v>
      </c>
      <c r="F31" s="100">
        <v>4.4800000000000004</v>
      </c>
      <c r="G31" s="100">
        <v>41.77</v>
      </c>
      <c r="H31" s="100">
        <v>26.84</v>
      </c>
      <c r="I31" s="100">
        <v>9.41</v>
      </c>
      <c r="J31" s="100">
        <v>1.94</v>
      </c>
      <c r="K31" s="100">
        <v>148.57</v>
      </c>
      <c r="L31" s="100">
        <v>27.67</v>
      </c>
      <c r="M31" s="100">
        <v>86.66</v>
      </c>
      <c r="N31" s="100">
        <v>26.1</v>
      </c>
      <c r="O31" s="100">
        <v>0.2</v>
      </c>
      <c r="P31" s="100">
        <v>0.54</v>
      </c>
      <c r="Q31" s="100">
        <v>28.64</v>
      </c>
      <c r="R31" s="6"/>
      <c r="S31" s="6"/>
      <c r="T31" s="156"/>
      <c r="U31" s="6"/>
    </row>
    <row r="32" spans="1:21" customFormat="1">
      <c r="A32" s="163" t="s">
        <v>1895</v>
      </c>
      <c r="B32" s="100">
        <v>5.66</v>
      </c>
      <c r="C32" s="100">
        <v>15.56</v>
      </c>
      <c r="D32" s="100">
        <v>11.67</v>
      </c>
      <c r="E32" s="100">
        <v>6.24</v>
      </c>
      <c r="F32" s="100">
        <v>6</v>
      </c>
      <c r="G32" s="100">
        <v>42.46</v>
      </c>
      <c r="H32" s="100">
        <v>25.79</v>
      </c>
      <c r="I32" s="100">
        <v>9.43</v>
      </c>
      <c r="J32" s="100">
        <v>0.99</v>
      </c>
      <c r="K32" s="100">
        <v>216.42</v>
      </c>
      <c r="L32" s="100">
        <v>27.84</v>
      </c>
      <c r="M32" s="100">
        <v>87.61</v>
      </c>
      <c r="N32" s="100">
        <v>33.4</v>
      </c>
      <c r="O32" s="100">
        <v>0.4</v>
      </c>
      <c r="P32" s="100">
        <v>0.54</v>
      </c>
      <c r="Q32" s="100">
        <v>28.67</v>
      </c>
      <c r="R32" s="6"/>
      <c r="S32" s="6"/>
      <c r="T32" s="156"/>
      <c r="U32" s="6"/>
    </row>
    <row r="33" spans="1:21" customFormat="1">
      <c r="A33" s="163" t="s">
        <v>1896</v>
      </c>
      <c r="B33" s="100">
        <v>5.62</v>
      </c>
      <c r="C33" s="100">
        <v>15.55</v>
      </c>
      <c r="D33" s="100">
        <v>11.64</v>
      </c>
      <c r="E33" s="100">
        <v>5.93</v>
      </c>
      <c r="F33" s="100">
        <v>5.28</v>
      </c>
      <c r="G33" s="100">
        <v>45.05</v>
      </c>
      <c r="H33" s="100">
        <v>21.88</v>
      </c>
      <c r="I33" s="100">
        <v>9.35</v>
      </c>
      <c r="J33" s="100">
        <v>1.36</v>
      </c>
      <c r="K33" s="100">
        <v>200.31</v>
      </c>
      <c r="L33" s="100">
        <v>27.94</v>
      </c>
      <c r="M33" s="100">
        <v>85.31</v>
      </c>
      <c r="N33" s="100">
        <v>45.8</v>
      </c>
      <c r="O33" s="100">
        <v>0</v>
      </c>
      <c r="P33" s="100">
        <v>0.53</v>
      </c>
      <c r="Q33" s="100">
        <v>28.69</v>
      </c>
      <c r="R33" s="6"/>
      <c r="S33" s="6"/>
      <c r="T33" s="156"/>
      <c r="U33" s="6"/>
    </row>
    <row r="34" spans="1:21" customFormat="1">
      <c r="A34" s="163" t="s">
        <v>1897</v>
      </c>
      <c r="B34" s="100">
        <v>5.56</v>
      </c>
      <c r="C34" s="100">
        <v>15.19</v>
      </c>
      <c r="D34" s="100">
        <v>11.4</v>
      </c>
      <c r="E34" s="100">
        <v>6.05</v>
      </c>
      <c r="F34" s="100">
        <v>5.0599999999999996</v>
      </c>
      <c r="G34" s="100">
        <v>45.05</v>
      </c>
      <c r="H34" s="100">
        <v>21.88</v>
      </c>
      <c r="I34" s="100">
        <v>9.27</v>
      </c>
      <c r="J34" s="100">
        <v>0.39</v>
      </c>
      <c r="K34" s="100">
        <v>173.11</v>
      </c>
      <c r="L34" s="100">
        <v>27.96</v>
      </c>
      <c r="M34" s="100">
        <v>86.21</v>
      </c>
      <c r="N34" s="100">
        <v>49.6</v>
      </c>
      <c r="O34" s="100">
        <v>0.2</v>
      </c>
      <c r="P34" s="100">
        <v>0.52</v>
      </c>
      <c r="Q34" s="100">
        <v>28.71</v>
      </c>
      <c r="R34" s="6"/>
      <c r="S34" s="6"/>
      <c r="T34" s="156"/>
      <c r="U34" s="6"/>
    </row>
    <row r="35" spans="1:21" customFormat="1">
      <c r="A35" s="163" t="s">
        <v>1898</v>
      </c>
      <c r="B35" s="100">
        <v>5.37</v>
      </c>
      <c r="C35" s="100">
        <v>15.02</v>
      </c>
      <c r="D35" s="100">
        <v>11.16</v>
      </c>
      <c r="E35" s="100">
        <v>6.16</v>
      </c>
      <c r="F35" s="100">
        <v>5.21</v>
      </c>
      <c r="G35" s="100">
        <v>45.05</v>
      </c>
      <c r="H35" s="100">
        <v>21.88</v>
      </c>
      <c r="I35" s="100">
        <v>9.16</v>
      </c>
      <c r="J35" s="100">
        <v>0.36</v>
      </c>
      <c r="K35" s="100">
        <v>209.21</v>
      </c>
      <c r="L35" s="100">
        <v>27.97</v>
      </c>
      <c r="M35" s="100">
        <v>84.02</v>
      </c>
      <c r="N35" s="100">
        <v>54.8</v>
      </c>
      <c r="O35" s="100">
        <v>0</v>
      </c>
      <c r="P35" s="100">
        <v>0.52</v>
      </c>
      <c r="Q35" s="100">
        <v>28.74</v>
      </c>
      <c r="R35" s="6"/>
      <c r="S35" s="6"/>
      <c r="T35" s="156"/>
      <c r="U35" s="6"/>
    </row>
    <row r="36" spans="1:21" customFormat="1">
      <c r="A36" s="163" t="s">
        <v>1899</v>
      </c>
      <c r="B36" s="100">
        <v>5.29</v>
      </c>
      <c r="C36" s="100">
        <v>19.149999999999999</v>
      </c>
      <c r="D36" s="100">
        <v>13.25</v>
      </c>
      <c r="E36" s="100">
        <v>5.49</v>
      </c>
      <c r="F36" s="100">
        <v>4.0999999999999996</v>
      </c>
      <c r="G36" s="100">
        <v>40.17</v>
      </c>
      <c r="H36" s="100">
        <v>21.77</v>
      </c>
      <c r="I36" s="100">
        <v>9.09</v>
      </c>
      <c r="J36" s="100">
        <v>0.47</v>
      </c>
      <c r="K36" s="100">
        <v>225.18</v>
      </c>
      <c r="L36" s="100">
        <v>28.31</v>
      </c>
      <c r="M36" s="100">
        <v>81.06</v>
      </c>
      <c r="N36" s="100">
        <v>76.3</v>
      </c>
      <c r="O36" s="100">
        <v>0</v>
      </c>
      <c r="P36" s="100">
        <v>0.52</v>
      </c>
      <c r="Q36" s="100">
        <v>28.6</v>
      </c>
      <c r="R36" s="6"/>
      <c r="S36" s="6"/>
      <c r="T36" s="156"/>
      <c r="U36" s="6"/>
    </row>
    <row r="37" spans="1:21" customFormat="1">
      <c r="A37" s="163" t="s">
        <v>1900</v>
      </c>
      <c r="B37" s="100">
        <v>5.49</v>
      </c>
      <c r="C37" s="100">
        <v>22</v>
      </c>
      <c r="D37" s="100">
        <v>14.9</v>
      </c>
      <c r="E37" s="100">
        <v>5.83</v>
      </c>
      <c r="F37" s="100">
        <v>3.68</v>
      </c>
      <c r="G37" s="100">
        <v>21.95</v>
      </c>
      <c r="H37" s="100">
        <v>21.37</v>
      </c>
      <c r="I37" s="100">
        <v>9</v>
      </c>
      <c r="J37" s="100">
        <v>0.49</v>
      </c>
      <c r="K37" s="100">
        <v>277.75</v>
      </c>
      <c r="L37" s="100">
        <v>28.86</v>
      </c>
      <c r="M37" s="100">
        <v>77.680000000000007</v>
      </c>
      <c r="N37" s="100">
        <v>92.7</v>
      </c>
      <c r="O37" s="100">
        <v>0</v>
      </c>
      <c r="P37" s="100">
        <v>0.5</v>
      </c>
      <c r="Q37" s="100">
        <v>28.45</v>
      </c>
      <c r="R37" s="6"/>
      <c r="S37" s="6"/>
      <c r="T37" s="156"/>
      <c r="U37" s="6"/>
    </row>
    <row r="38" spans="1:21" customFormat="1">
      <c r="A38" s="163" t="s">
        <v>1901</v>
      </c>
      <c r="B38" s="100">
        <v>5.56</v>
      </c>
      <c r="C38" s="100">
        <v>20.48</v>
      </c>
      <c r="D38" s="100">
        <v>14.16</v>
      </c>
      <c r="E38" s="100">
        <v>5.85</v>
      </c>
      <c r="F38" s="100">
        <v>3.17</v>
      </c>
      <c r="G38" s="100">
        <v>21.95</v>
      </c>
      <c r="H38" s="100">
        <v>21.37</v>
      </c>
      <c r="I38" s="100">
        <v>8.98</v>
      </c>
      <c r="J38" s="100">
        <v>2.73</v>
      </c>
      <c r="K38" s="100">
        <v>251.42</v>
      </c>
      <c r="L38" s="100">
        <v>29.14</v>
      </c>
      <c r="M38" s="100">
        <v>75.040000000000006</v>
      </c>
      <c r="N38" s="100">
        <v>97.1</v>
      </c>
      <c r="O38" s="100">
        <v>0</v>
      </c>
      <c r="P38" s="100">
        <v>0.48</v>
      </c>
      <c r="Q38" s="100">
        <v>28.55</v>
      </c>
      <c r="R38" s="6"/>
      <c r="S38" s="6"/>
      <c r="T38" s="156"/>
      <c r="U38" s="6"/>
    </row>
    <row r="39" spans="1:21" customFormat="1">
      <c r="A39" s="163" t="s">
        <v>1902</v>
      </c>
      <c r="B39" s="100">
        <v>5.54</v>
      </c>
      <c r="C39" s="100">
        <v>17</v>
      </c>
      <c r="D39" s="100">
        <v>12.33</v>
      </c>
      <c r="E39" s="100">
        <v>6.02</v>
      </c>
      <c r="F39" s="100">
        <v>2.95</v>
      </c>
      <c r="G39" s="100">
        <v>21.95</v>
      </c>
      <c r="H39" s="100">
        <v>21.37</v>
      </c>
      <c r="I39" s="100">
        <v>8.93</v>
      </c>
      <c r="J39" s="100">
        <v>3.69</v>
      </c>
      <c r="K39" s="100">
        <v>245.17</v>
      </c>
      <c r="L39" s="100">
        <v>28.61</v>
      </c>
      <c r="M39" s="100">
        <v>77.67</v>
      </c>
      <c r="N39" s="100">
        <v>89.5</v>
      </c>
      <c r="O39" s="100">
        <v>0</v>
      </c>
      <c r="P39" s="100">
        <v>0.47</v>
      </c>
      <c r="Q39" s="100">
        <v>28.72</v>
      </c>
      <c r="R39" s="6"/>
      <c r="S39" s="6"/>
      <c r="T39" s="156"/>
      <c r="U39" s="6"/>
    </row>
    <row r="40" spans="1:21" customFormat="1">
      <c r="A40" s="163" t="s">
        <v>1903</v>
      </c>
      <c r="B40" s="100">
        <v>5.1100000000000003</v>
      </c>
      <c r="C40" s="100">
        <v>11.97</v>
      </c>
      <c r="D40" s="100">
        <v>9.36</v>
      </c>
      <c r="E40" s="100">
        <v>5.59</v>
      </c>
      <c r="F40" s="100">
        <v>4.3</v>
      </c>
      <c r="G40" s="100">
        <v>22.21</v>
      </c>
      <c r="H40" s="100">
        <v>20.84</v>
      </c>
      <c r="I40" s="100">
        <v>9.0399999999999991</v>
      </c>
      <c r="J40" s="100">
        <v>3.16</v>
      </c>
      <c r="K40" s="100">
        <v>233.01</v>
      </c>
      <c r="L40" s="100">
        <v>28.7</v>
      </c>
      <c r="M40" s="100">
        <v>79.73</v>
      </c>
      <c r="N40" s="100">
        <v>88.5</v>
      </c>
      <c r="O40" s="100">
        <v>0</v>
      </c>
      <c r="P40" s="100">
        <v>0.47</v>
      </c>
      <c r="Q40" s="100">
        <v>29.03</v>
      </c>
      <c r="R40" s="6"/>
      <c r="S40" s="6"/>
      <c r="T40" s="156"/>
      <c r="U40" s="6"/>
    </row>
    <row r="41" spans="1:21" customFormat="1">
      <c r="A41" s="163" t="s">
        <v>1904</v>
      </c>
      <c r="B41" s="100">
        <v>4.82</v>
      </c>
      <c r="C41" s="100">
        <v>13.57</v>
      </c>
      <c r="D41" s="100">
        <v>9.9600000000000009</v>
      </c>
      <c r="E41" s="100">
        <v>5.42</v>
      </c>
      <c r="F41" s="100">
        <v>4</v>
      </c>
      <c r="G41" s="100">
        <v>23.19</v>
      </c>
      <c r="H41" s="100">
        <v>18.850000000000001</v>
      </c>
      <c r="I41" s="100">
        <v>8.94</v>
      </c>
      <c r="J41" s="100">
        <v>2.5299999999999998</v>
      </c>
      <c r="K41" s="100">
        <v>208.36</v>
      </c>
      <c r="L41" s="100">
        <v>29.64</v>
      </c>
      <c r="M41" s="100">
        <v>78.95</v>
      </c>
      <c r="N41" s="100">
        <v>105.4</v>
      </c>
      <c r="O41" s="100">
        <v>0</v>
      </c>
      <c r="P41" s="100">
        <v>0.49</v>
      </c>
      <c r="Q41" s="100">
        <v>29.01</v>
      </c>
      <c r="R41" s="6"/>
      <c r="S41" s="6"/>
      <c r="T41" s="156"/>
      <c r="U41" s="6"/>
    </row>
    <row r="42" spans="1:21" customFormat="1">
      <c r="A42" s="163" t="s">
        <v>1905</v>
      </c>
      <c r="B42" s="100">
        <v>4.74</v>
      </c>
      <c r="C42" s="100">
        <v>14.52</v>
      </c>
      <c r="D42" s="100">
        <v>10.39</v>
      </c>
      <c r="E42" s="100">
        <v>5.5</v>
      </c>
      <c r="F42" s="100">
        <v>3.23</v>
      </c>
      <c r="G42" s="100">
        <v>23.19</v>
      </c>
      <c r="H42" s="100">
        <v>18.850000000000001</v>
      </c>
      <c r="I42" s="100">
        <v>8.8000000000000007</v>
      </c>
      <c r="J42" s="100">
        <v>2.65</v>
      </c>
      <c r="K42" s="100">
        <v>245.97</v>
      </c>
      <c r="L42" s="100">
        <v>29.33</v>
      </c>
      <c r="M42" s="100">
        <v>78.64</v>
      </c>
      <c r="N42" s="100">
        <v>127.2</v>
      </c>
      <c r="O42" s="100">
        <v>0</v>
      </c>
      <c r="P42" s="100">
        <v>0.48</v>
      </c>
      <c r="Q42" s="100">
        <v>28.9</v>
      </c>
      <c r="R42" s="6"/>
      <c r="S42" s="6"/>
      <c r="T42" s="156"/>
      <c r="U42" s="6"/>
    </row>
    <row r="43" spans="1:21" customFormat="1">
      <c r="A43" s="163" t="s">
        <v>1906</v>
      </c>
      <c r="B43" s="100">
        <v>4.54</v>
      </c>
      <c r="C43" s="100">
        <v>12.74</v>
      </c>
      <c r="D43" s="100">
        <v>9.3000000000000007</v>
      </c>
      <c r="E43" s="100">
        <v>5.49</v>
      </c>
      <c r="F43" s="100">
        <v>3.64</v>
      </c>
      <c r="G43" s="100">
        <v>23.19</v>
      </c>
      <c r="H43" s="100">
        <v>18.850000000000001</v>
      </c>
      <c r="I43" s="100">
        <v>8.7899999999999991</v>
      </c>
      <c r="J43" s="100">
        <v>2.29</v>
      </c>
      <c r="K43" s="100">
        <v>256.14999999999998</v>
      </c>
      <c r="L43" s="100">
        <v>29.59</v>
      </c>
      <c r="M43" s="100">
        <v>78.09</v>
      </c>
      <c r="N43" s="100">
        <v>114.5</v>
      </c>
      <c r="O43" s="100">
        <v>0</v>
      </c>
      <c r="P43" s="100">
        <v>0.48</v>
      </c>
      <c r="Q43" s="100">
        <v>28.99</v>
      </c>
      <c r="R43" s="6"/>
      <c r="S43" s="6"/>
      <c r="T43" s="156"/>
      <c r="U43" s="6"/>
    </row>
    <row r="44" spans="1:21" customFormat="1">
      <c r="A44" s="163" t="s">
        <v>1907</v>
      </c>
      <c r="B44" s="100">
        <v>4.32</v>
      </c>
      <c r="C44" s="100">
        <v>12.67</v>
      </c>
      <c r="D44" s="100">
        <v>9.09</v>
      </c>
      <c r="E44" s="100">
        <v>5.39</v>
      </c>
      <c r="F44" s="100">
        <v>6.33</v>
      </c>
      <c r="G44" s="100">
        <v>27.58</v>
      </c>
      <c r="H44" s="100">
        <v>18.82</v>
      </c>
      <c r="I44" s="100">
        <v>8.66</v>
      </c>
      <c r="J44" s="100">
        <v>1.98</v>
      </c>
      <c r="K44" s="100">
        <v>245.46</v>
      </c>
      <c r="L44" s="100">
        <v>30.06</v>
      </c>
      <c r="M44" s="100">
        <v>76.08</v>
      </c>
      <c r="N44" s="100">
        <v>128</v>
      </c>
      <c r="O44" s="100">
        <v>0</v>
      </c>
      <c r="P44" s="100">
        <v>0.49</v>
      </c>
      <c r="Q44" s="100">
        <v>29</v>
      </c>
      <c r="R44" s="6"/>
      <c r="S44" s="6"/>
      <c r="T44" s="156"/>
      <c r="U44" s="6"/>
    </row>
    <row r="45" spans="1:21" customFormat="1">
      <c r="A45" s="163" t="s">
        <v>1908</v>
      </c>
      <c r="B45" s="100">
        <v>5.32</v>
      </c>
      <c r="C45" s="100">
        <v>15.02</v>
      </c>
      <c r="D45" s="100">
        <v>11.12</v>
      </c>
      <c r="E45" s="100">
        <v>5.44</v>
      </c>
      <c r="F45" s="100">
        <v>6.41</v>
      </c>
      <c r="G45" s="100">
        <v>43.98</v>
      </c>
      <c r="H45" s="100">
        <v>18.690000000000001</v>
      </c>
      <c r="I45" s="100">
        <v>8.5299999999999994</v>
      </c>
      <c r="J45" s="100">
        <v>1.85</v>
      </c>
      <c r="K45" s="100">
        <v>358.76</v>
      </c>
      <c r="L45" s="100">
        <v>30.62</v>
      </c>
      <c r="M45" s="100">
        <v>74.92</v>
      </c>
      <c r="N45" s="100">
        <v>189.4</v>
      </c>
      <c r="O45" s="100">
        <v>0</v>
      </c>
      <c r="P45" s="100">
        <v>0.54</v>
      </c>
      <c r="Q45" s="100">
        <v>28.89</v>
      </c>
      <c r="R45" s="6"/>
      <c r="S45" s="6"/>
      <c r="T45" s="156"/>
      <c r="U45" s="6"/>
    </row>
    <row r="46" spans="1:21" customFormat="1">
      <c r="A46" s="163" t="s">
        <v>1909</v>
      </c>
      <c r="B46" s="100">
        <v>5.15</v>
      </c>
      <c r="C46" s="100">
        <v>14.63</v>
      </c>
      <c r="D46" s="100">
        <v>10.77</v>
      </c>
      <c r="E46" s="100">
        <v>5.45</v>
      </c>
      <c r="F46" s="100">
        <v>5.86</v>
      </c>
      <c r="G46" s="100">
        <v>43.98</v>
      </c>
      <c r="H46" s="100">
        <v>18.690000000000001</v>
      </c>
      <c r="I46" s="100">
        <v>8.8699999999999992</v>
      </c>
      <c r="J46" s="100">
        <v>1.74</v>
      </c>
      <c r="K46" s="100">
        <v>18.809999999999999</v>
      </c>
      <c r="L46" s="100">
        <v>31.04</v>
      </c>
      <c r="M46" s="100">
        <v>75.59</v>
      </c>
      <c r="N46" s="100">
        <v>230.7</v>
      </c>
      <c r="O46" s="100">
        <v>0</v>
      </c>
      <c r="P46" s="100">
        <v>0.56000000000000005</v>
      </c>
      <c r="Q46" s="100">
        <v>28.83</v>
      </c>
      <c r="R46" s="6"/>
      <c r="S46" s="6"/>
      <c r="T46" s="156"/>
      <c r="U46" s="6"/>
    </row>
    <row r="47" spans="1:21" customFormat="1">
      <c r="A47" s="163" t="s">
        <v>1910</v>
      </c>
      <c r="B47" s="100">
        <v>5.22</v>
      </c>
      <c r="C47" s="100">
        <v>15.64</v>
      </c>
      <c r="D47" s="100">
        <v>11.36</v>
      </c>
      <c r="E47" s="100">
        <v>5.63</v>
      </c>
      <c r="F47" s="100">
        <v>7.49</v>
      </c>
      <c r="G47" s="100">
        <v>43.98</v>
      </c>
      <c r="H47" s="100">
        <v>18.690000000000001</v>
      </c>
      <c r="I47" s="100">
        <v>10.28</v>
      </c>
      <c r="J47" s="100">
        <v>0.65</v>
      </c>
      <c r="K47" s="100">
        <v>5.88</v>
      </c>
      <c r="L47" s="100">
        <v>31.23</v>
      </c>
      <c r="M47" s="100">
        <v>74.77</v>
      </c>
      <c r="N47" s="100">
        <v>241.7</v>
      </c>
      <c r="O47" s="100">
        <v>0</v>
      </c>
      <c r="P47" s="100">
        <v>0.56999999999999995</v>
      </c>
      <c r="Q47" s="100">
        <v>28.75</v>
      </c>
      <c r="R47" s="6"/>
      <c r="S47" s="6"/>
      <c r="T47" s="156"/>
      <c r="U47" s="6"/>
    </row>
    <row r="48" spans="1:21" customFormat="1">
      <c r="A48" s="163" t="s">
        <v>1911</v>
      </c>
      <c r="B48" s="100">
        <v>4.9800000000000004</v>
      </c>
      <c r="C48" s="100">
        <v>14.8</v>
      </c>
      <c r="D48" s="100">
        <v>10.73</v>
      </c>
      <c r="E48" s="100">
        <v>4.63</v>
      </c>
      <c r="F48" s="100">
        <v>8.5</v>
      </c>
      <c r="G48" s="100">
        <v>46.83</v>
      </c>
      <c r="H48" s="100">
        <v>18.600000000000001</v>
      </c>
      <c r="I48" s="100">
        <v>11.74</v>
      </c>
      <c r="J48" s="100">
        <v>1.81</v>
      </c>
      <c r="K48" s="100">
        <v>17.63</v>
      </c>
      <c r="L48" s="100">
        <v>31.32</v>
      </c>
      <c r="M48" s="100">
        <v>73.260000000000005</v>
      </c>
      <c r="N48" s="100">
        <v>234.5</v>
      </c>
      <c r="O48" s="100">
        <v>0</v>
      </c>
      <c r="P48" s="100">
        <v>0.57999999999999996</v>
      </c>
      <c r="Q48" s="100">
        <v>28.76</v>
      </c>
      <c r="R48" s="6"/>
      <c r="S48" s="6"/>
      <c r="T48" s="156"/>
      <c r="U48" s="6"/>
    </row>
    <row r="49" spans="1:21" customFormat="1">
      <c r="A49" s="163" t="s">
        <v>1912</v>
      </c>
      <c r="B49" s="100">
        <v>5.2</v>
      </c>
      <c r="C49" s="100">
        <v>18.510000000000002</v>
      </c>
      <c r="D49" s="100">
        <v>12.84</v>
      </c>
      <c r="E49" s="100">
        <v>5.0599999999999996</v>
      </c>
      <c r="F49" s="100">
        <v>5.37</v>
      </c>
      <c r="G49" s="100">
        <v>57.47</v>
      </c>
      <c r="H49" s="100">
        <v>18.27</v>
      </c>
      <c r="I49" s="100">
        <v>12.16</v>
      </c>
      <c r="J49" s="100">
        <v>1.57</v>
      </c>
      <c r="K49" s="100">
        <v>33</v>
      </c>
      <c r="L49" s="100">
        <v>32.01</v>
      </c>
      <c r="M49" s="100">
        <v>70.89</v>
      </c>
      <c r="N49" s="100">
        <v>203.9</v>
      </c>
      <c r="O49" s="100">
        <v>0</v>
      </c>
      <c r="P49" s="100">
        <v>0.57999999999999996</v>
      </c>
      <c r="Q49" s="100">
        <v>28.56</v>
      </c>
      <c r="R49" s="6"/>
      <c r="S49" s="6"/>
      <c r="T49" s="156"/>
      <c r="U49" s="6"/>
    </row>
    <row r="50" spans="1:21" customFormat="1">
      <c r="A50" s="163" t="s">
        <v>1913</v>
      </c>
      <c r="B50" s="100">
        <v>5.36</v>
      </c>
      <c r="C50" s="100">
        <v>20.85</v>
      </c>
      <c r="D50" s="100">
        <v>14.2</v>
      </c>
      <c r="E50" s="100">
        <v>5.73</v>
      </c>
      <c r="F50" s="100">
        <v>6.24</v>
      </c>
      <c r="G50" s="100">
        <v>57.47</v>
      </c>
      <c r="H50" s="100">
        <v>18.27</v>
      </c>
      <c r="I50" s="100">
        <v>12.28</v>
      </c>
      <c r="J50" s="100">
        <v>2.2599999999999998</v>
      </c>
      <c r="K50" s="100">
        <v>40.729999999999997</v>
      </c>
      <c r="L50" s="100">
        <v>32.07</v>
      </c>
      <c r="M50" s="100">
        <v>70.47</v>
      </c>
      <c r="N50" s="100">
        <v>191.1</v>
      </c>
      <c r="O50" s="100">
        <v>0</v>
      </c>
      <c r="P50" s="100">
        <v>0.6</v>
      </c>
      <c r="Q50" s="100">
        <v>28.45</v>
      </c>
      <c r="R50" s="6"/>
      <c r="S50" s="6"/>
      <c r="T50" s="156"/>
      <c r="U50" s="6"/>
    </row>
    <row r="51" spans="1:21" customFormat="1">
      <c r="A51" s="163" t="s">
        <v>1914</v>
      </c>
      <c r="B51" s="100">
        <v>5.3</v>
      </c>
      <c r="C51" s="100">
        <v>17.22</v>
      </c>
      <c r="D51" s="100">
        <v>12.26</v>
      </c>
      <c r="E51" s="100">
        <v>6.09</v>
      </c>
      <c r="F51" s="100">
        <v>11.28</v>
      </c>
      <c r="G51" s="100">
        <v>57.47</v>
      </c>
      <c r="H51" s="100">
        <v>18.27</v>
      </c>
      <c r="I51" s="100">
        <v>12.43</v>
      </c>
      <c r="J51" s="100">
        <v>1.42</v>
      </c>
      <c r="K51" s="100">
        <v>70.02</v>
      </c>
      <c r="L51" s="100">
        <v>32.36</v>
      </c>
      <c r="M51" s="100">
        <v>70.17</v>
      </c>
      <c r="N51" s="100">
        <v>199.6</v>
      </c>
      <c r="O51" s="100">
        <v>0</v>
      </c>
      <c r="P51" s="100">
        <v>0.61</v>
      </c>
      <c r="Q51" s="100">
        <v>28.58</v>
      </c>
      <c r="R51" s="6"/>
      <c r="S51" s="6"/>
      <c r="T51" s="156"/>
      <c r="U51" s="6"/>
    </row>
    <row r="52" spans="1:21" customFormat="1">
      <c r="A52" s="163" t="s">
        <v>1915</v>
      </c>
      <c r="B52" s="100">
        <v>5.08</v>
      </c>
      <c r="C52" s="100">
        <v>14.03</v>
      </c>
      <c r="D52" s="100">
        <v>10.41</v>
      </c>
      <c r="E52" s="100">
        <v>6.1</v>
      </c>
      <c r="F52" s="100">
        <v>12.27</v>
      </c>
      <c r="G52" s="100">
        <v>56.84</v>
      </c>
      <c r="H52" s="100">
        <v>18.809999999999999</v>
      </c>
      <c r="I52" s="100">
        <v>13.25</v>
      </c>
      <c r="J52" s="100">
        <v>0.98</v>
      </c>
      <c r="K52" s="100">
        <v>59.11</v>
      </c>
      <c r="L52" s="100">
        <v>32.54</v>
      </c>
      <c r="M52" s="100">
        <v>68.739999999999995</v>
      </c>
      <c r="N52" s="100">
        <v>197.4</v>
      </c>
      <c r="O52" s="100">
        <v>0</v>
      </c>
      <c r="P52" s="100">
        <v>0.63</v>
      </c>
      <c r="Q52" s="100">
        <v>28.76</v>
      </c>
      <c r="R52" s="6"/>
      <c r="S52" s="6"/>
      <c r="T52" s="156"/>
      <c r="U52" s="6"/>
    </row>
    <row r="53" spans="1:21" customFormat="1">
      <c r="A53" s="163" t="s">
        <v>1916</v>
      </c>
      <c r="B53" s="100">
        <v>5.28</v>
      </c>
      <c r="C53" s="100">
        <v>17.07</v>
      </c>
      <c r="D53" s="100">
        <v>12.16</v>
      </c>
      <c r="E53" s="100">
        <v>5.45</v>
      </c>
      <c r="F53" s="100">
        <v>4.7699999999999996</v>
      </c>
      <c r="G53" s="100">
        <v>54.48</v>
      </c>
      <c r="H53" s="100">
        <v>20.94</v>
      </c>
      <c r="I53" s="100">
        <v>14.19</v>
      </c>
      <c r="J53" s="100">
        <v>0.73</v>
      </c>
      <c r="K53" s="100">
        <v>345.19</v>
      </c>
      <c r="L53" s="100">
        <v>32.619999999999997</v>
      </c>
      <c r="M53" s="100">
        <v>68.239999999999995</v>
      </c>
      <c r="N53" s="100">
        <v>214.2</v>
      </c>
      <c r="O53" s="100">
        <v>0</v>
      </c>
      <c r="P53" s="100">
        <v>0.59</v>
      </c>
      <c r="Q53" s="100">
        <v>28.66</v>
      </c>
      <c r="R53" s="6"/>
      <c r="S53" s="6"/>
      <c r="T53" s="156"/>
      <c r="U53" s="6"/>
    </row>
    <row r="54" spans="1:21" customFormat="1">
      <c r="A54" s="163" t="s">
        <v>1917</v>
      </c>
      <c r="B54" s="100">
        <v>5.28</v>
      </c>
      <c r="C54" s="100">
        <v>18.920000000000002</v>
      </c>
      <c r="D54" s="100">
        <v>13.13</v>
      </c>
      <c r="E54" s="100">
        <v>6.42</v>
      </c>
      <c r="F54" s="100">
        <v>4.59</v>
      </c>
      <c r="G54" s="100">
        <v>54.48</v>
      </c>
      <c r="H54" s="100">
        <v>20.94</v>
      </c>
      <c r="I54" s="100">
        <v>14.27</v>
      </c>
      <c r="J54" s="100">
        <v>1.1299999999999999</v>
      </c>
      <c r="K54" s="100">
        <v>61.09</v>
      </c>
      <c r="L54" s="100">
        <v>32.82</v>
      </c>
      <c r="M54" s="100">
        <v>66.900000000000006</v>
      </c>
      <c r="N54" s="100">
        <v>245.9</v>
      </c>
      <c r="O54" s="100">
        <v>0</v>
      </c>
      <c r="P54" s="100">
        <v>0.63</v>
      </c>
      <c r="Q54" s="100">
        <v>28.54</v>
      </c>
      <c r="R54" s="6"/>
      <c r="S54" s="6"/>
      <c r="T54" s="156"/>
      <c r="U54" s="6"/>
    </row>
    <row r="55" spans="1:21" customFormat="1">
      <c r="A55" s="163" t="s">
        <v>1918</v>
      </c>
      <c r="B55" s="100">
        <v>5.16</v>
      </c>
      <c r="C55" s="100">
        <v>19.18</v>
      </c>
      <c r="D55" s="100">
        <v>13.17</v>
      </c>
      <c r="E55" s="100">
        <v>7.16</v>
      </c>
      <c r="F55" s="100">
        <v>14.25</v>
      </c>
      <c r="G55" s="100">
        <v>54.48</v>
      </c>
      <c r="H55" s="100">
        <v>20.94</v>
      </c>
      <c r="I55" s="100">
        <v>13.64</v>
      </c>
      <c r="J55" s="100">
        <v>1.41</v>
      </c>
      <c r="K55" s="100">
        <v>17.43</v>
      </c>
      <c r="L55" s="100">
        <v>35.42</v>
      </c>
      <c r="M55" s="100">
        <v>65</v>
      </c>
      <c r="N55" s="100">
        <v>264.7</v>
      </c>
      <c r="O55" s="100">
        <v>0</v>
      </c>
      <c r="P55" s="100">
        <v>0.69</v>
      </c>
      <c r="Q55" s="100">
        <v>28.48</v>
      </c>
      <c r="R55" s="6"/>
      <c r="S55" s="6"/>
      <c r="T55" s="156"/>
      <c r="U55" s="6"/>
    </row>
    <row r="56" spans="1:21" customFormat="1">
      <c r="A56" s="163" t="s">
        <v>1919</v>
      </c>
      <c r="B56" s="100">
        <v>5.16</v>
      </c>
      <c r="C56" s="100">
        <v>16.38</v>
      </c>
      <c r="D56" s="100">
        <v>11.7</v>
      </c>
      <c r="E56" s="100">
        <v>6.88</v>
      </c>
      <c r="F56" s="100">
        <v>12.65</v>
      </c>
      <c r="G56" s="100">
        <v>59.01</v>
      </c>
      <c r="H56" s="100">
        <v>21.79</v>
      </c>
      <c r="I56" s="100">
        <v>14.31</v>
      </c>
      <c r="J56" s="100">
        <v>0.88</v>
      </c>
      <c r="K56" s="100">
        <v>266.57</v>
      </c>
      <c r="L56" s="100">
        <v>36.24</v>
      </c>
      <c r="M56" s="100">
        <v>63.11</v>
      </c>
      <c r="N56" s="100">
        <v>263.8</v>
      </c>
      <c r="O56" s="100">
        <v>0</v>
      </c>
      <c r="P56" s="100">
        <v>0.67</v>
      </c>
      <c r="Q56" s="100">
        <v>28.59</v>
      </c>
      <c r="R56" s="6"/>
      <c r="S56" s="6"/>
      <c r="T56" s="156"/>
      <c r="U56" s="6"/>
    </row>
    <row r="57" spans="1:21" customFormat="1">
      <c r="A57" s="163" t="s">
        <v>1920</v>
      </c>
      <c r="B57" s="100">
        <v>4.91</v>
      </c>
      <c r="C57" s="100">
        <v>16.11</v>
      </c>
      <c r="D57" s="100">
        <v>11.36</v>
      </c>
      <c r="E57" s="100">
        <v>6.78</v>
      </c>
      <c r="F57" s="100">
        <v>10.69</v>
      </c>
      <c r="G57" s="100">
        <v>75.92</v>
      </c>
      <c r="H57" s="100">
        <v>24.97</v>
      </c>
      <c r="I57" s="100">
        <v>15.28</v>
      </c>
      <c r="J57" s="100">
        <v>1.1499999999999999</v>
      </c>
      <c r="K57" s="100">
        <v>198.15</v>
      </c>
      <c r="L57" s="100">
        <v>37</v>
      </c>
      <c r="M57" s="100">
        <v>62.35</v>
      </c>
      <c r="N57" s="100">
        <v>277.3</v>
      </c>
      <c r="O57" s="100">
        <v>0</v>
      </c>
      <c r="P57" s="100">
        <v>0.67</v>
      </c>
      <c r="Q57" s="100">
        <v>28.51</v>
      </c>
      <c r="R57" s="6"/>
      <c r="S57" s="6"/>
      <c r="T57" s="156"/>
      <c r="U57" s="6"/>
    </row>
    <row r="58" spans="1:21" customFormat="1">
      <c r="A58" s="163" t="s">
        <v>1921</v>
      </c>
      <c r="B58" s="100">
        <v>4.46</v>
      </c>
      <c r="C58" s="100">
        <v>16.079999999999998</v>
      </c>
      <c r="D58" s="100">
        <v>10.99</v>
      </c>
      <c r="E58" s="100">
        <v>6.71</v>
      </c>
      <c r="F58" s="100">
        <v>12.05</v>
      </c>
      <c r="G58" s="100">
        <v>75.92</v>
      </c>
      <c r="H58" s="100">
        <v>24.97</v>
      </c>
      <c r="I58" s="100">
        <v>15.41</v>
      </c>
      <c r="J58" s="100">
        <v>1.1499999999999999</v>
      </c>
      <c r="K58" s="100">
        <v>204.69</v>
      </c>
      <c r="L58" s="100">
        <v>36.96</v>
      </c>
      <c r="M58" s="100">
        <v>62.07</v>
      </c>
      <c r="N58" s="100">
        <v>288.10000000000002</v>
      </c>
      <c r="O58" s="100">
        <v>0</v>
      </c>
      <c r="P58" s="100">
        <v>0.69</v>
      </c>
      <c r="Q58" s="100">
        <v>28.72</v>
      </c>
      <c r="R58" s="6"/>
      <c r="S58" s="6"/>
      <c r="T58" s="156"/>
      <c r="U58" s="6"/>
    </row>
    <row r="59" spans="1:21" customFormat="1">
      <c r="A59" s="163" t="s">
        <v>1922</v>
      </c>
      <c r="B59" s="100">
        <v>4.33</v>
      </c>
      <c r="C59" s="100">
        <v>16.84</v>
      </c>
      <c r="D59" s="100">
        <v>11.27</v>
      </c>
      <c r="E59" s="100">
        <v>6.8</v>
      </c>
      <c r="F59" s="100">
        <v>9.18</v>
      </c>
      <c r="G59" s="100">
        <v>75.92</v>
      </c>
      <c r="H59" s="100">
        <v>24.97</v>
      </c>
      <c r="I59" s="100">
        <v>15.67</v>
      </c>
      <c r="J59" s="100">
        <v>1.49</v>
      </c>
      <c r="K59" s="100">
        <v>268.2</v>
      </c>
      <c r="L59" s="100">
        <v>37.35</v>
      </c>
      <c r="M59" s="100">
        <v>61.44</v>
      </c>
      <c r="N59" s="100">
        <v>296.5</v>
      </c>
      <c r="O59" s="100">
        <v>0</v>
      </c>
      <c r="P59" s="100">
        <v>0.72</v>
      </c>
      <c r="Q59" s="100">
        <v>28.59</v>
      </c>
      <c r="R59" s="6"/>
      <c r="S59" s="6"/>
      <c r="T59" s="156"/>
      <c r="U59" s="6"/>
    </row>
    <row r="60" spans="1:21" customFormat="1">
      <c r="A60" s="163" t="s">
        <v>1923</v>
      </c>
      <c r="B60" s="100">
        <v>4.12</v>
      </c>
      <c r="C60" s="100">
        <v>16.61</v>
      </c>
      <c r="D60" s="100">
        <v>10.98</v>
      </c>
      <c r="E60" s="100">
        <v>6.83</v>
      </c>
      <c r="F60" s="100">
        <v>13.23</v>
      </c>
      <c r="G60" s="100">
        <v>77.09</v>
      </c>
      <c r="H60" s="100">
        <v>25.83</v>
      </c>
      <c r="I60" s="100">
        <v>16.36</v>
      </c>
      <c r="J60" s="100">
        <v>1.4</v>
      </c>
      <c r="K60" s="100">
        <v>215.03</v>
      </c>
      <c r="L60" s="100">
        <v>37</v>
      </c>
      <c r="M60" s="100">
        <v>60.78</v>
      </c>
      <c r="N60" s="100">
        <v>351.4</v>
      </c>
      <c r="O60" s="100">
        <v>0</v>
      </c>
      <c r="P60" s="100">
        <v>0.74</v>
      </c>
      <c r="Q60" s="100">
        <v>28.59</v>
      </c>
      <c r="R60" s="6"/>
      <c r="S60" s="6"/>
      <c r="T60" s="156"/>
      <c r="U60" s="6"/>
    </row>
    <row r="61" spans="1:21" customFormat="1">
      <c r="A61" s="163" t="s">
        <v>1924</v>
      </c>
      <c r="B61" s="100">
        <v>3.8</v>
      </c>
      <c r="C61" s="100">
        <v>17.809999999999999</v>
      </c>
      <c r="D61" s="100">
        <v>11.36</v>
      </c>
      <c r="E61" s="100">
        <v>6.85</v>
      </c>
      <c r="F61" s="100">
        <v>15.8</v>
      </c>
      <c r="G61" s="100">
        <v>81.45</v>
      </c>
      <c r="H61" s="100">
        <v>29.03</v>
      </c>
      <c r="I61" s="100">
        <v>17.68</v>
      </c>
      <c r="J61" s="100">
        <v>1.07</v>
      </c>
      <c r="K61" s="100">
        <v>302.79000000000002</v>
      </c>
      <c r="L61" s="100">
        <v>38.549999999999997</v>
      </c>
      <c r="M61" s="100">
        <v>58.67</v>
      </c>
      <c r="N61" s="100">
        <v>398.9</v>
      </c>
      <c r="O61" s="100">
        <v>0</v>
      </c>
      <c r="P61" s="100">
        <v>0.83</v>
      </c>
      <c r="Q61" s="100">
        <v>28.52</v>
      </c>
      <c r="R61" s="6"/>
      <c r="S61" s="6"/>
      <c r="T61" s="156"/>
      <c r="U61" s="6"/>
    </row>
    <row r="62" spans="1:21" customFormat="1">
      <c r="A62" s="163" t="s">
        <v>1925</v>
      </c>
      <c r="B62" s="100">
        <v>3.66</v>
      </c>
      <c r="C62" s="100">
        <v>18.829999999999998</v>
      </c>
      <c r="D62" s="100">
        <v>11.77</v>
      </c>
      <c r="E62" s="100">
        <v>6.97</v>
      </c>
      <c r="F62" s="100">
        <v>8.92</v>
      </c>
      <c r="G62" s="100">
        <v>81.45</v>
      </c>
      <c r="H62" s="100">
        <v>29.03</v>
      </c>
      <c r="I62" s="100">
        <v>19.89</v>
      </c>
      <c r="J62" s="100">
        <v>0.98</v>
      </c>
      <c r="K62" s="100">
        <v>267.82</v>
      </c>
      <c r="L62" s="100">
        <v>39.869999999999997</v>
      </c>
      <c r="M62" s="100">
        <v>58.11</v>
      </c>
      <c r="N62" s="100">
        <v>395.1</v>
      </c>
      <c r="O62" s="100">
        <v>0</v>
      </c>
      <c r="P62" s="100">
        <v>0.77</v>
      </c>
      <c r="Q62" s="100">
        <v>28.53</v>
      </c>
      <c r="R62" s="6"/>
      <c r="S62" s="6"/>
      <c r="T62" s="156"/>
      <c r="U62" s="6"/>
    </row>
    <row r="63" spans="1:21" customFormat="1">
      <c r="A63" s="163" t="s">
        <v>1926</v>
      </c>
      <c r="B63" s="100">
        <v>3.44</v>
      </c>
      <c r="C63" s="100">
        <v>19.190000000000001</v>
      </c>
      <c r="D63" s="100">
        <v>11.79</v>
      </c>
      <c r="E63" s="100">
        <v>7.26</v>
      </c>
      <c r="F63" s="100">
        <v>16.61</v>
      </c>
      <c r="G63" s="100">
        <v>81.45</v>
      </c>
      <c r="H63" s="100">
        <v>29.03</v>
      </c>
      <c r="I63" s="100">
        <v>22.49</v>
      </c>
      <c r="J63" s="100">
        <v>1.48</v>
      </c>
      <c r="K63" s="100">
        <v>248.25</v>
      </c>
      <c r="L63" s="100">
        <v>38.22</v>
      </c>
      <c r="M63" s="100">
        <v>57.04</v>
      </c>
      <c r="N63" s="100">
        <v>635.6</v>
      </c>
      <c r="O63" s="100">
        <v>0</v>
      </c>
      <c r="P63" s="100">
        <v>0.76</v>
      </c>
      <c r="Q63" s="100">
        <v>28.57</v>
      </c>
      <c r="R63" s="6"/>
      <c r="S63" s="6"/>
      <c r="T63" s="156"/>
      <c r="U63" s="6"/>
    </row>
    <row r="64" spans="1:21" customFormat="1">
      <c r="A64" s="163" t="s">
        <v>1927</v>
      </c>
      <c r="B64" s="100">
        <v>2.93</v>
      </c>
      <c r="C64" s="100">
        <v>14.58</v>
      </c>
      <c r="D64" s="100">
        <v>8.98</v>
      </c>
      <c r="E64" s="100">
        <v>8.01</v>
      </c>
      <c r="F64" s="100">
        <v>29.66</v>
      </c>
      <c r="G64" s="100">
        <v>78.75</v>
      </c>
      <c r="H64" s="100">
        <v>29.48</v>
      </c>
      <c r="I64" s="100">
        <v>19.57</v>
      </c>
      <c r="J64" s="100">
        <v>1.57</v>
      </c>
      <c r="K64" s="100">
        <v>183.56</v>
      </c>
      <c r="L64" s="100">
        <v>38.700000000000003</v>
      </c>
      <c r="M64" s="100">
        <v>53.96</v>
      </c>
      <c r="N64" s="100">
        <v>674.5</v>
      </c>
      <c r="O64" s="100">
        <v>0</v>
      </c>
      <c r="P64" s="100">
        <v>0.73</v>
      </c>
      <c r="Q64" s="100">
        <v>28.88</v>
      </c>
      <c r="R64" s="6"/>
      <c r="S64" s="6"/>
      <c r="T64" s="156"/>
      <c r="U64" s="6"/>
    </row>
    <row r="65" spans="1:21" customFormat="1">
      <c r="A65" s="163" t="s">
        <v>1928</v>
      </c>
      <c r="B65" s="100">
        <v>2.69</v>
      </c>
      <c r="C65" s="100">
        <v>12.84</v>
      </c>
      <c r="D65" s="100">
        <v>7.87</v>
      </c>
      <c r="E65" s="100">
        <v>7.79</v>
      </c>
      <c r="F65" s="100">
        <v>33.380000000000003</v>
      </c>
      <c r="G65" s="100">
        <v>68.63</v>
      </c>
      <c r="H65" s="100">
        <v>31.18</v>
      </c>
      <c r="I65" s="100">
        <v>19.239999999999998</v>
      </c>
      <c r="J65" s="100">
        <v>1.63</v>
      </c>
      <c r="K65" s="100">
        <v>11.04</v>
      </c>
      <c r="L65" s="100">
        <v>40.619999999999997</v>
      </c>
      <c r="M65" s="100">
        <v>49.95</v>
      </c>
      <c r="N65" s="100">
        <v>513.9</v>
      </c>
      <c r="O65" s="100">
        <v>0</v>
      </c>
      <c r="P65" s="100">
        <v>0.76</v>
      </c>
      <c r="Q65" s="100">
        <v>28.98</v>
      </c>
      <c r="R65" s="6"/>
      <c r="S65" s="6"/>
      <c r="T65" s="156"/>
      <c r="U65" s="6"/>
    </row>
    <row r="66" spans="1:21" customFormat="1">
      <c r="A66" s="163" t="s">
        <v>1929</v>
      </c>
      <c r="B66" s="100">
        <v>2.54</v>
      </c>
      <c r="C66" s="100">
        <v>12.57</v>
      </c>
      <c r="D66" s="100">
        <v>7.61</v>
      </c>
      <c r="E66" s="100">
        <v>8.02</v>
      </c>
      <c r="F66" s="100">
        <v>31.48</v>
      </c>
      <c r="G66" s="100">
        <v>68.63</v>
      </c>
      <c r="H66" s="100">
        <v>31.18</v>
      </c>
      <c r="I66" s="100">
        <v>19.149999999999999</v>
      </c>
      <c r="J66" s="100">
        <v>1.22</v>
      </c>
      <c r="K66" s="100">
        <v>248.56</v>
      </c>
      <c r="L66" s="100">
        <v>40.729999999999997</v>
      </c>
      <c r="M66" s="100">
        <v>48.64</v>
      </c>
      <c r="N66" s="100">
        <v>490.9</v>
      </c>
      <c r="O66" s="100">
        <v>0</v>
      </c>
      <c r="P66" s="100">
        <v>0.79</v>
      </c>
      <c r="Q66" s="100">
        <v>29.03</v>
      </c>
      <c r="R66" s="6"/>
      <c r="S66" s="6"/>
      <c r="T66" s="156"/>
      <c r="U66" s="6"/>
    </row>
    <row r="67" spans="1:21" customFormat="1">
      <c r="A67" s="163" t="s">
        <v>1930</v>
      </c>
      <c r="B67" s="100">
        <v>2.39</v>
      </c>
      <c r="C67" s="100">
        <v>13.1</v>
      </c>
      <c r="D67" s="100">
        <v>7.77</v>
      </c>
      <c r="E67" s="100">
        <v>7.96</v>
      </c>
      <c r="F67" s="100">
        <v>31.37</v>
      </c>
      <c r="G67" s="100">
        <v>68.63</v>
      </c>
      <c r="H67" s="100">
        <v>31.18</v>
      </c>
      <c r="I67" s="100">
        <v>19.21</v>
      </c>
      <c r="J67" s="100">
        <v>0.76</v>
      </c>
      <c r="K67" s="100">
        <v>61.5</v>
      </c>
      <c r="L67" s="100">
        <v>40.64</v>
      </c>
      <c r="M67" s="100">
        <v>47.96</v>
      </c>
      <c r="N67" s="100">
        <v>281.10000000000002</v>
      </c>
      <c r="O67" s="100">
        <v>0</v>
      </c>
      <c r="P67" s="100">
        <v>0.82</v>
      </c>
      <c r="Q67" s="100">
        <v>28.96</v>
      </c>
      <c r="R67" s="6"/>
      <c r="S67" s="6"/>
      <c r="T67" s="156"/>
      <c r="U67" s="6"/>
    </row>
    <row r="68" spans="1:21" customFormat="1">
      <c r="A68" s="163" t="s">
        <v>1931</v>
      </c>
      <c r="B68" s="100">
        <v>2.2200000000000002</v>
      </c>
      <c r="C68" s="100">
        <v>14.49</v>
      </c>
      <c r="D68" s="100">
        <v>8.35</v>
      </c>
      <c r="E68" s="100">
        <v>7.79</v>
      </c>
      <c r="F68" s="100">
        <v>37.479999999999997</v>
      </c>
      <c r="G68" s="100">
        <v>69.13</v>
      </c>
      <c r="H68" s="100">
        <v>31.55</v>
      </c>
      <c r="I68" s="100">
        <v>19.78</v>
      </c>
      <c r="J68" s="100">
        <v>0.67</v>
      </c>
      <c r="K68" s="100">
        <v>284.94</v>
      </c>
      <c r="L68" s="100">
        <v>40.17</v>
      </c>
      <c r="M68" s="100">
        <v>46.62</v>
      </c>
      <c r="N68" s="100">
        <v>466</v>
      </c>
      <c r="O68" s="100">
        <v>0</v>
      </c>
      <c r="P68" s="100">
        <v>0.82</v>
      </c>
      <c r="Q68" s="100">
        <v>28.87</v>
      </c>
      <c r="R68" s="6"/>
      <c r="S68" s="6"/>
      <c r="T68" s="156"/>
      <c r="U68" s="6"/>
    </row>
    <row r="69" spans="1:21" customFormat="1">
      <c r="A69" s="163" t="s">
        <v>1932</v>
      </c>
      <c r="B69" s="100">
        <v>2.14</v>
      </c>
      <c r="C69" s="100">
        <v>13.58</v>
      </c>
      <c r="D69" s="100">
        <v>7.82</v>
      </c>
      <c r="E69" s="100">
        <v>7.17</v>
      </c>
      <c r="F69" s="100">
        <v>37.130000000000003</v>
      </c>
      <c r="G69" s="100">
        <v>70.98</v>
      </c>
      <c r="H69" s="100">
        <v>32.94</v>
      </c>
      <c r="I69" s="100">
        <v>20.25</v>
      </c>
      <c r="J69" s="100">
        <v>1.78</v>
      </c>
      <c r="K69" s="100">
        <v>251.5</v>
      </c>
      <c r="L69" s="100">
        <v>40.450000000000003</v>
      </c>
      <c r="M69" s="100">
        <v>44.31</v>
      </c>
      <c r="N69" s="100">
        <v>538.5</v>
      </c>
      <c r="O69" s="100">
        <v>0</v>
      </c>
      <c r="P69" s="100">
        <v>0.81</v>
      </c>
      <c r="Q69" s="100">
        <v>28.93</v>
      </c>
      <c r="R69" s="6"/>
      <c r="S69" s="6"/>
      <c r="T69" s="156"/>
      <c r="U69" s="6"/>
    </row>
    <row r="70" spans="1:21" customFormat="1">
      <c r="A70" s="163" t="s">
        <v>1933</v>
      </c>
      <c r="B70" s="100">
        <v>1.97</v>
      </c>
      <c r="C70" s="100">
        <v>13.03</v>
      </c>
      <c r="D70" s="100">
        <v>7.39</v>
      </c>
      <c r="E70" s="100">
        <v>7.22</v>
      </c>
      <c r="F70" s="100">
        <v>37.79</v>
      </c>
      <c r="G70" s="100">
        <v>70.98</v>
      </c>
      <c r="H70" s="100">
        <v>32.94</v>
      </c>
      <c r="I70" s="100">
        <v>20.71</v>
      </c>
      <c r="J70" s="100">
        <v>0.55000000000000004</v>
      </c>
      <c r="K70" s="100">
        <v>60.72</v>
      </c>
      <c r="L70" s="100">
        <v>41.36</v>
      </c>
      <c r="M70" s="100">
        <v>42.31</v>
      </c>
      <c r="N70" s="100">
        <v>473.5</v>
      </c>
      <c r="O70" s="100">
        <v>0</v>
      </c>
      <c r="P70" s="100">
        <v>0.82</v>
      </c>
      <c r="Q70" s="100">
        <v>29.03</v>
      </c>
      <c r="R70" s="6"/>
      <c r="S70" s="6"/>
      <c r="T70" s="156"/>
      <c r="U70" s="6"/>
    </row>
    <row r="71" spans="1:21" customFormat="1">
      <c r="A71" s="163" t="s">
        <v>1934</v>
      </c>
      <c r="B71" s="100">
        <v>1.82</v>
      </c>
      <c r="C71" s="100">
        <v>13.09</v>
      </c>
      <c r="D71" s="100">
        <v>7.3</v>
      </c>
      <c r="E71" s="100">
        <v>7.08</v>
      </c>
      <c r="F71" s="100">
        <v>41.56</v>
      </c>
      <c r="G71" s="100">
        <v>70.98</v>
      </c>
      <c r="H71" s="100">
        <v>32.94</v>
      </c>
      <c r="I71" s="100">
        <v>20.79</v>
      </c>
      <c r="J71" s="100">
        <v>0.28000000000000003</v>
      </c>
      <c r="K71" s="100">
        <v>288.10000000000002</v>
      </c>
      <c r="L71" s="100">
        <v>41.78</v>
      </c>
      <c r="M71" s="100">
        <v>40.97</v>
      </c>
      <c r="N71" s="100">
        <v>416.9</v>
      </c>
      <c r="O71" s="100">
        <v>0</v>
      </c>
      <c r="P71" s="100">
        <v>0.81</v>
      </c>
      <c r="Q71" s="100">
        <v>29.04</v>
      </c>
      <c r="R71" s="6"/>
      <c r="S71" s="6"/>
      <c r="T71" s="156"/>
      <c r="U71" s="6"/>
    </row>
    <row r="72" spans="1:21" customFormat="1">
      <c r="A72" s="163" t="s">
        <v>1935</v>
      </c>
      <c r="B72" s="100">
        <v>1.72</v>
      </c>
      <c r="C72" s="100">
        <v>12.1</v>
      </c>
      <c r="D72" s="100">
        <v>6.71</v>
      </c>
      <c r="E72" s="100">
        <v>7.31</v>
      </c>
      <c r="F72" s="100">
        <v>41.43</v>
      </c>
      <c r="G72" s="100">
        <v>72.53</v>
      </c>
      <c r="H72" s="100">
        <v>32.770000000000003</v>
      </c>
      <c r="I72" s="100">
        <v>20.72</v>
      </c>
      <c r="J72" s="100">
        <v>0.83</v>
      </c>
      <c r="K72" s="100">
        <v>132.72</v>
      </c>
      <c r="L72" s="100">
        <v>42.17</v>
      </c>
      <c r="M72" s="100">
        <v>41.76</v>
      </c>
      <c r="N72" s="100">
        <v>370.1</v>
      </c>
      <c r="O72" s="100">
        <v>0</v>
      </c>
      <c r="P72" s="100">
        <v>0.79</v>
      </c>
      <c r="Q72" s="100">
        <v>29.09</v>
      </c>
      <c r="R72" s="6"/>
      <c r="S72" s="6"/>
      <c r="T72" s="156"/>
      <c r="U72" s="6"/>
    </row>
    <row r="73" spans="1:21" customFormat="1">
      <c r="A73" s="163" t="s">
        <v>1936</v>
      </c>
      <c r="B73" s="100">
        <v>1.78</v>
      </c>
      <c r="C73" s="100">
        <v>13.22</v>
      </c>
      <c r="D73" s="100">
        <v>7.33</v>
      </c>
      <c r="E73" s="100">
        <v>7.02</v>
      </c>
      <c r="F73" s="100">
        <v>34.799999999999997</v>
      </c>
      <c r="G73" s="100">
        <v>78.33</v>
      </c>
      <c r="H73" s="100">
        <v>32.1</v>
      </c>
      <c r="I73" s="100">
        <v>20.65</v>
      </c>
      <c r="J73" s="100">
        <v>1.39</v>
      </c>
      <c r="K73" s="100">
        <v>228.34</v>
      </c>
      <c r="L73" s="100">
        <v>41.9</v>
      </c>
      <c r="M73" s="100">
        <v>40.79</v>
      </c>
      <c r="N73" s="100">
        <v>347</v>
      </c>
      <c r="O73" s="100">
        <v>0</v>
      </c>
      <c r="P73" s="100">
        <v>0.82</v>
      </c>
      <c r="Q73" s="100">
        <v>29.01</v>
      </c>
      <c r="R73" s="6"/>
      <c r="S73" s="6"/>
      <c r="T73" s="156"/>
      <c r="U73" s="6"/>
    </row>
    <row r="74" spans="1:21" customFormat="1">
      <c r="A74" s="163" t="s">
        <v>1937</v>
      </c>
      <c r="B74" s="100">
        <v>1.74</v>
      </c>
      <c r="C74" s="100">
        <v>11.67</v>
      </c>
      <c r="D74" s="100">
        <v>6.5</v>
      </c>
      <c r="E74" s="100">
        <v>7.36</v>
      </c>
      <c r="F74" s="100">
        <v>32.6</v>
      </c>
      <c r="G74" s="100">
        <v>78.33</v>
      </c>
      <c r="H74" s="100">
        <v>32.1</v>
      </c>
      <c r="I74" s="100">
        <v>20.16</v>
      </c>
      <c r="J74" s="100">
        <v>1.54</v>
      </c>
      <c r="K74" s="100">
        <v>201.83</v>
      </c>
      <c r="L74" s="100">
        <v>41.96</v>
      </c>
      <c r="M74" s="100">
        <v>40.15</v>
      </c>
      <c r="N74" s="100">
        <v>304.89999999999998</v>
      </c>
      <c r="O74" s="100">
        <v>0</v>
      </c>
      <c r="P74" s="100">
        <v>0.77</v>
      </c>
      <c r="Q74" s="100">
        <v>29.12</v>
      </c>
      <c r="R74" s="6"/>
      <c r="S74" s="6"/>
      <c r="T74" s="156"/>
      <c r="U74" s="6"/>
    </row>
    <row r="75" spans="1:21" customFormat="1">
      <c r="A75" s="163" t="s">
        <v>1938</v>
      </c>
      <c r="B75" s="100">
        <v>1.68</v>
      </c>
      <c r="C75" s="100">
        <v>12.06</v>
      </c>
      <c r="D75" s="100">
        <v>6.65</v>
      </c>
      <c r="E75" s="100">
        <v>7.01</v>
      </c>
      <c r="F75" s="100">
        <v>24.45</v>
      </c>
      <c r="G75" s="100">
        <v>78.33</v>
      </c>
      <c r="H75" s="100">
        <v>32.1</v>
      </c>
      <c r="I75" s="100">
        <v>19.899999999999999</v>
      </c>
      <c r="J75" s="100">
        <v>1.47</v>
      </c>
      <c r="K75" s="100">
        <v>209.5</v>
      </c>
      <c r="L75" s="100">
        <v>42.06</v>
      </c>
      <c r="M75" s="100">
        <v>38.47</v>
      </c>
      <c r="N75" s="100">
        <v>264.3</v>
      </c>
      <c r="O75" s="100">
        <v>0</v>
      </c>
      <c r="P75" s="100">
        <v>0.75</v>
      </c>
      <c r="Q75" s="100">
        <v>29.17</v>
      </c>
      <c r="R75" s="6"/>
      <c r="S75" s="6"/>
      <c r="T75" s="156"/>
      <c r="U75" s="6"/>
    </row>
    <row r="76" spans="1:21" customFormat="1">
      <c r="A76" s="163" t="s">
        <v>1939</v>
      </c>
      <c r="B76" s="100">
        <v>1.71</v>
      </c>
      <c r="C76" s="100">
        <v>13.14</v>
      </c>
      <c r="D76" s="100">
        <v>7.24</v>
      </c>
      <c r="E76" s="100">
        <v>7.34</v>
      </c>
      <c r="F76" s="100">
        <v>31.67</v>
      </c>
      <c r="G76" s="100">
        <v>71.319999999999993</v>
      </c>
      <c r="H76" s="100">
        <v>31.25</v>
      </c>
      <c r="I76" s="100">
        <v>19.12</v>
      </c>
      <c r="J76" s="100">
        <v>1.23</v>
      </c>
      <c r="K76" s="100">
        <v>171.07</v>
      </c>
      <c r="L76" s="100">
        <v>42.33</v>
      </c>
      <c r="M76" s="100">
        <v>35.43</v>
      </c>
      <c r="N76" s="100">
        <v>210.1</v>
      </c>
      <c r="O76" s="100">
        <v>0</v>
      </c>
      <c r="P76" s="100">
        <v>0.69</v>
      </c>
      <c r="Q76" s="100">
        <v>29.14</v>
      </c>
      <c r="R76" s="6"/>
      <c r="S76" s="6"/>
      <c r="T76" s="156"/>
      <c r="U76" s="6"/>
    </row>
    <row r="77" spans="1:21" customFormat="1">
      <c r="A77" s="163" t="s">
        <v>1940</v>
      </c>
      <c r="B77" s="100">
        <v>1.73</v>
      </c>
      <c r="C77" s="100">
        <v>11.99</v>
      </c>
      <c r="D77" s="100">
        <v>6.65</v>
      </c>
      <c r="E77" s="100">
        <v>5.71</v>
      </c>
      <c r="F77" s="100">
        <v>29.39</v>
      </c>
      <c r="G77" s="100">
        <v>45.13</v>
      </c>
      <c r="H77" s="100">
        <v>28.07</v>
      </c>
      <c r="I77" s="100">
        <v>18.600000000000001</v>
      </c>
      <c r="J77" s="100">
        <v>1.47</v>
      </c>
      <c r="K77" s="100">
        <v>140.77000000000001</v>
      </c>
      <c r="L77" s="100">
        <v>42.01</v>
      </c>
      <c r="M77" s="100">
        <v>36.630000000000003</v>
      </c>
      <c r="N77" s="100">
        <v>132.30000000000001</v>
      </c>
      <c r="O77" s="100">
        <v>0</v>
      </c>
      <c r="P77" s="100">
        <v>0.65</v>
      </c>
      <c r="Q77" s="100">
        <v>29.2</v>
      </c>
      <c r="R77" s="6"/>
      <c r="S77" s="6"/>
      <c r="T77" s="156"/>
      <c r="U77" s="6"/>
    </row>
    <row r="78" spans="1:21" customFormat="1">
      <c r="A78" s="163" t="s">
        <v>1941</v>
      </c>
      <c r="B78" s="100">
        <v>1.62</v>
      </c>
      <c r="C78" s="100">
        <v>9.81</v>
      </c>
      <c r="D78" s="100">
        <v>5.43</v>
      </c>
      <c r="E78" s="100">
        <v>7.52</v>
      </c>
      <c r="F78" s="100">
        <v>44.01</v>
      </c>
      <c r="G78" s="100">
        <v>45.13</v>
      </c>
      <c r="H78" s="100">
        <v>28.07</v>
      </c>
      <c r="I78" s="100">
        <v>17.75</v>
      </c>
      <c r="J78" s="100">
        <v>1.37</v>
      </c>
      <c r="K78" s="100">
        <v>144.66999999999999</v>
      </c>
      <c r="L78" s="100">
        <v>41.44</v>
      </c>
      <c r="M78" s="100">
        <v>39.42</v>
      </c>
      <c r="N78" s="100">
        <v>95.7</v>
      </c>
      <c r="O78" s="100">
        <v>0</v>
      </c>
      <c r="P78" s="100">
        <v>0.6</v>
      </c>
      <c r="Q78" s="100">
        <v>29.37</v>
      </c>
      <c r="R78" s="6"/>
      <c r="S78" s="6"/>
      <c r="T78" s="156"/>
      <c r="U78" s="6"/>
    </row>
    <row r="79" spans="1:21" customFormat="1">
      <c r="A79" s="163" t="s">
        <v>1942</v>
      </c>
      <c r="B79" s="100">
        <v>1.54</v>
      </c>
      <c r="C79" s="100">
        <v>7.92</v>
      </c>
      <c r="D79" s="100">
        <v>4.38</v>
      </c>
      <c r="E79" s="100">
        <v>7.54</v>
      </c>
      <c r="F79" s="100">
        <v>50.87</v>
      </c>
      <c r="G79" s="100">
        <v>45.13</v>
      </c>
      <c r="H79" s="100">
        <v>28.07</v>
      </c>
      <c r="I79" s="100">
        <v>16.690000000000001</v>
      </c>
      <c r="J79" s="100">
        <v>1.26</v>
      </c>
      <c r="K79" s="100">
        <v>120.92</v>
      </c>
      <c r="L79" s="100">
        <v>40.49</v>
      </c>
      <c r="M79" s="100">
        <v>42.91</v>
      </c>
      <c r="N79" s="100">
        <v>71.8</v>
      </c>
      <c r="O79" s="100">
        <v>0</v>
      </c>
      <c r="P79" s="100">
        <v>0.57999999999999996</v>
      </c>
      <c r="Q79" s="100">
        <v>29.46</v>
      </c>
      <c r="R79" s="6"/>
      <c r="S79" s="6"/>
      <c r="T79" s="156"/>
      <c r="U79" s="6"/>
    </row>
    <row r="80" spans="1:21" customFormat="1">
      <c r="A80" s="163" t="s">
        <v>1943</v>
      </c>
      <c r="B80" s="100">
        <v>1.48</v>
      </c>
      <c r="C80" s="100">
        <v>7.48</v>
      </c>
      <c r="D80" s="100">
        <v>4.0999999999999996</v>
      </c>
      <c r="E80" s="100">
        <v>6.59</v>
      </c>
      <c r="F80" s="100">
        <v>51.78</v>
      </c>
      <c r="G80" s="100">
        <v>43.6</v>
      </c>
      <c r="H80" s="100">
        <v>28.24</v>
      </c>
      <c r="I80" s="100">
        <v>14.59</v>
      </c>
      <c r="J80" s="100">
        <v>1.64</v>
      </c>
      <c r="K80" s="100">
        <v>152.61000000000001</v>
      </c>
      <c r="L80" s="100">
        <v>40.03</v>
      </c>
      <c r="M80" s="100">
        <v>44.93</v>
      </c>
      <c r="N80" s="100">
        <v>54.6</v>
      </c>
      <c r="O80" s="100">
        <v>0</v>
      </c>
      <c r="P80" s="100">
        <v>0.55000000000000004</v>
      </c>
      <c r="Q80" s="100">
        <v>29.5</v>
      </c>
      <c r="R80" s="6"/>
      <c r="S80" s="6"/>
      <c r="T80" s="156"/>
      <c r="U80" s="6"/>
    </row>
    <row r="81" spans="1:21" customFormat="1">
      <c r="A81" s="163" t="s">
        <v>1944</v>
      </c>
      <c r="B81" s="100">
        <v>1.51</v>
      </c>
      <c r="C81" s="100">
        <v>8.5299999999999994</v>
      </c>
      <c r="D81" s="100">
        <v>4.67</v>
      </c>
      <c r="E81" s="100">
        <v>6.67</v>
      </c>
      <c r="F81" s="100">
        <v>47.64</v>
      </c>
      <c r="G81" s="100">
        <v>37.880000000000003</v>
      </c>
      <c r="H81" s="100">
        <v>28.88</v>
      </c>
      <c r="I81" s="100">
        <v>13.49</v>
      </c>
      <c r="J81" s="100">
        <v>1.24</v>
      </c>
      <c r="K81" s="100">
        <v>135.46</v>
      </c>
      <c r="L81" s="100">
        <v>40.03</v>
      </c>
      <c r="M81" s="100">
        <v>46.28</v>
      </c>
      <c r="N81" s="100">
        <v>41.2</v>
      </c>
      <c r="O81" s="100">
        <v>0</v>
      </c>
      <c r="P81" s="100">
        <v>0.56000000000000005</v>
      </c>
      <c r="Q81" s="100">
        <v>29.47</v>
      </c>
      <c r="R81" s="6"/>
      <c r="S81" s="6"/>
      <c r="T81" s="156"/>
      <c r="U81" s="6"/>
    </row>
    <row r="82" spans="1:21" customFormat="1">
      <c r="A82" s="163" t="s">
        <v>1945</v>
      </c>
      <c r="B82" s="100">
        <v>1.54</v>
      </c>
      <c r="C82" s="100">
        <v>10.94</v>
      </c>
      <c r="D82" s="100">
        <v>5.96</v>
      </c>
      <c r="E82" s="100">
        <v>6.67</v>
      </c>
      <c r="F82" s="100">
        <v>46.11</v>
      </c>
      <c r="G82" s="100">
        <v>37.880000000000003</v>
      </c>
      <c r="H82" s="100">
        <v>28.88</v>
      </c>
      <c r="I82" s="100">
        <v>12.77</v>
      </c>
      <c r="J82" s="100">
        <v>1.66</v>
      </c>
      <c r="K82" s="100">
        <v>108.24</v>
      </c>
      <c r="L82" s="100">
        <v>39.340000000000003</v>
      </c>
      <c r="M82" s="100">
        <v>48.61</v>
      </c>
      <c r="N82" s="100">
        <v>29.2</v>
      </c>
      <c r="O82" s="100">
        <v>0</v>
      </c>
      <c r="P82" s="100">
        <v>0.57999999999999996</v>
      </c>
      <c r="Q82" s="100">
        <v>29.2</v>
      </c>
      <c r="R82" s="6"/>
      <c r="S82" s="6"/>
      <c r="T82" s="156"/>
      <c r="U82" s="6"/>
    </row>
    <row r="83" spans="1:21" customFormat="1">
      <c r="A83" s="163" t="s">
        <v>1946</v>
      </c>
      <c r="B83" s="100">
        <v>1.55</v>
      </c>
      <c r="C83" s="100">
        <v>11.23</v>
      </c>
      <c r="D83" s="100">
        <v>6.12</v>
      </c>
      <c r="E83" s="100">
        <v>6.88</v>
      </c>
      <c r="F83" s="100">
        <v>45.27</v>
      </c>
      <c r="G83" s="100">
        <v>37.880000000000003</v>
      </c>
      <c r="H83" s="100">
        <v>28.88</v>
      </c>
      <c r="I83" s="100">
        <v>12.45</v>
      </c>
      <c r="J83" s="100">
        <v>1.6</v>
      </c>
      <c r="K83" s="100">
        <v>109.48</v>
      </c>
      <c r="L83" s="100">
        <v>39.5</v>
      </c>
      <c r="M83" s="100">
        <v>49.61</v>
      </c>
      <c r="N83" s="100">
        <v>24.2</v>
      </c>
      <c r="O83" s="100">
        <v>0</v>
      </c>
      <c r="P83" s="100">
        <v>0.56999999999999995</v>
      </c>
      <c r="Q83" s="100">
        <v>29.15</v>
      </c>
      <c r="R83" s="6"/>
      <c r="S83" s="6"/>
      <c r="T83" s="156"/>
      <c r="U83" s="6"/>
    </row>
    <row r="84" spans="1:21" customFormat="1">
      <c r="A84" s="163" t="s">
        <v>1947</v>
      </c>
      <c r="B84" s="100">
        <v>1.51</v>
      </c>
      <c r="C84" s="100">
        <v>11.53</v>
      </c>
      <c r="D84" s="100">
        <v>6.24</v>
      </c>
      <c r="E84" s="100">
        <v>6.66</v>
      </c>
      <c r="F84" s="100">
        <v>44.39</v>
      </c>
      <c r="G84" s="100">
        <v>36.36</v>
      </c>
      <c r="H84" s="100">
        <v>28.07</v>
      </c>
      <c r="I84" s="100">
        <v>11.86</v>
      </c>
      <c r="J84" s="100">
        <v>1.53</v>
      </c>
      <c r="K84" s="100">
        <v>103.09</v>
      </c>
      <c r="L84" s="100">
        <v>40.32</v>
      </c>
      <c r="M84" s="100">
        <v>51.35</v>
      </c>
      <c r="N84" s="100">
        <v>23.1</v>
      </c>
      <c r="O84" s="100">
        <v>0</v>
      </c>
      <c r="P84" s="100">
        <v>0.62</v>
      </c>
      <c r="Q84" s="100">
        <v>29.16</v>
      </c>
      <c r="R84" s="6"/>
      <c r="S84" s="6"/>
      <c r="T84" s="156"/>
      <c r="U84" s="6"/>
    </row>
    <row r="85" spans="1:21" customFormat="1">
      <c r="A85" s="163" t="s">
        <v>1948</v>
      </c>
      <c r="B85" s="100">
        <v>1.59</v>
      </c>
      <c r="C85" s="100">
        <v>12.42</v>
      </c>
      <c r="D85" s="100">
        <v>6.77</v>
      </c>
      <c r="E85" s="100">
        <v>6.51</v>
      </c>
      <c r="F85" s="100">
        <v>39.479999999999997</v>
      </c>
      <c r="G85" s="100">
        <v>30.7</v>
      </c>
      <c r="H85" s="100">
        <v>25.08</v>
      </c>
      <c r="I85" s="100">
        <v>11.68</v>
      </c>
      <c r="J85" s="100">
        <v>1.92</v>
      </c>
      <c r="K85" s="100">
        <v>114.67</v>
      </c>
      <c r="L85" s="100">
        <v>39.869999999999997</v>
      </c>
      <c r="M85" s="100">
        <v>52.84</v>
      </c>
      <c r="N85" s="100">
        <v>22.9</v>
      </c>
      <c r="O85" s="100">
        <v>0</v>
      </c>
      <c r="P85" s="100">
        <v>0.64</v>
      </c>
      <c r="Q85" s="100">
        <v>29.07</v>
      </c>
      <c r="R85" s="6"/>
      <c r="S85" s="6"/>
      <c r="T85" s="156"/>
      <c r="U85" s="6"/>
    </row>
    <row r="86" spans="1:21" customFormat="1">
      <c r="A86" s="163" t="s">
        <v>1949</v>
      </c>
      <c r="B86" s="100">
        <v>1.71</v>
      </c>
      <c r="C86" s="100">
        <v>13.97</v>
      </c>
      <c r="D86" s="100">
        <v>7.68</v>
      </c>
      <c r="E86" s="100">
        <v>6.83</v>
      </c>
      <c r="F86" s="100">
        <v>32.11</v>
      </c>
      <c r="G86" s="100">
        <v>30.7</v>
      </c>
      <c r="H86" s="100">
        <v>25.08</v>
      </c>
      <c r="I86" s="100">
        <v>12.41</v>
      </c>
      <c r="J86" s="100">
        <v>3.38</v>
      </c>
      <c r="K86" s="100">
        <v>109.93</v>
      </c>
      <c r="L86" s="100">
        <v>39.22</v>
      </c>
      <c r="M86" s="100">
        <v>54.01</v>
      </c>
      <c r="N86" s="100">
        <v>22.9</v>
      </c>
      <c r="O86" s="100">
        <v>0</v>
      </c>
      <c r="P86" s="100">
        <v>0.72</v>
      </c>
      <c r="Q86" s="100">
        <v>28.92</v>
      </c>
      <c r="R86" s="6"/>
      <c r="S86" s="6"/>
      <c r="T86" s="156"/>
      <c r="U86" s="6"/>
    </row>
    <row r="87" spans="1:21" customFormat="1">
      <c r="A87" s="163" t="s">
        <v>1950</v>
      </c>
      <c r="B87" s="100">
        <v>1.69</v>
      </c>
      <c r="C87" s="100">
        <v>14.63</v>
      </c>
      <c r="D87" s="100">
        <v>8</v>
      </c>
      <c r="E87" s="100">
        <v>6.64</v>
      </c>
      <c r="F87" s="100">
        <v>32.520000000000003</v>
      </c>
      <c r="G87" s="100">
        <v>30.7</v>
      </c>
      <c r="H87" s="100">
        <v>25.08</v>
      </c>
      <c r="I87" s="100">
        <v>13.57</v>
      </c>
      <c r="J87" s="100">
        <v>0.7</v>
      </c>
      <c r="K87" s="100">
        <v>164.12</v>
      </c>
      <c r="L87" s="100">
        <v>38.64</v>
      </c>
      <c r="M87" s="100">
        <v>54.26</v>
      </c>
      <c r="N87" s="100">
        <v>22.7</v>
      </c>
      <c r="O87" s="100">
        <v>0</v>
      </c>
      <c r="P87" s="100">
        <v>0.74</v>
      </c>
      <c r="Q87" s="100">
        <v>28.83</v>
      </c>
      <c r="R87" s="6"/>
      <c r="S87" s="6"/>
      <c r="T87" s="156"/>
      <c r="U87" s="6"/>
    </row>
    <row r="88" spans="1:21" customFormat="1">
      <c r="A88" s="163" t="s">
        <v>1951</v>
      </c>
      <c r="B88" s="100">
        <v>1.62</v>
      </c>
      <c r="C88" s="100">
        <v>13.9</v>
      </c>
      <c r="D88" s="100">
        <v>7.57</v>
      </c>
      <c r="E88" s="100">
        <v>6.8</v>
      </c>
      <c r="F88" s="100">
        <v>32.07</v>
      </c>
      <c r="G88" s="100">
        <v>33.32</v>
      </c>
      <c r="H88" s="100">
        <v>25.04</v>
      </c>
      <c r="I88" s="100">
        <v>15.19</v>
      </c>
      <c r="J88" s="100">
        <v>2.2000000000000002</v>
      </c>
      <c r="K88" s="100">
        <v>125.34</v>
      </c>
      <c r="L88" s="100">
        <v>37.26</v>
      </c>
      <c r="M88" s="100">
        <v>55.3</v>
      </c>
      <c r="N88" s="100">
        <v>22.9</v>
      </c>
      <c r="O88" s="100">
        <v>0</v>
      </c>
      <c r="P88" s="100">
        <v>0.7</v>
      </c>
      <c r="Q88" s="100">
        <v>28.91</v>
      </c>
      <c r="R88" s="6"/>
      <c r="S88" s="6"/>
      <c r="T88" s="156"/>
      <c r="U88" s="6"/>
    </row>
    <row r="89" spans="1:21" customFormat="1">
      <c r="A89" s="163" t="s">
        <v>1952</v>
      </c>
      <c r="B89" s="100">
        <v>1.78</v>
      </c>
      <c r="C89" s="100">
        <v>16.760000000000002</v>
      </c>
      <c r="D89" s="100">
        <v>9.19</v>
      </c>
      <c r="E89" s="100">
        <v>6.62</v>
      </c>
      <c r="F89" s="100">
        <v>23.4</v>
      </c>
      <c r="G89" s="100">
        <v>43.12</v>
      </c>
      <c r="H89" s="100">
        <v>24.92</v>
      </c>
      <c r="I89" s="100">
        <v>15.65</v>
      </c>
      <c r="J89" s="100">
        <v>2.6</v>
      </c>
      <c r="K89" s="100">
        <v>145.12</v>
      </c>
      <c r="L89" s="100">
        <v>37.119999999999997</v>
      </c>
      <c r="M89" s="100">
        <v>56.5</v>
      </c>
      <c r="N89" s="100">
        <v>22.7</v>
      </c>
      <c r="O89" s="100">
        <v>0</v>
      </c>
      <c r="P89" s="100">
        <v>0.72</v>
      </c>
      <c r="Q89" s="100">
        <v>28.9</v>
      </c>
      <c r="R89" s="6"/>
      <c r="S89" s="6"/>
      <c r="T89" s="156"/>
      <c r="U89" s="6"/>
    </row>
    <row r="90" spans="1:21" customFormat="1">
      <c r="A90" s="163" t="s">
        <v>1953</v>
      </c>
      <c r="B90" s="100">
        <v>1.64</v>
      </c>
      <c r="C90" s="100">
        <v>15.21</v>
      </c>
      <c r="D90" s="100">
        <v>8.27</v>
      </c>
      <c r="E90" s="100">
        <v>7.13</v>
      </c>
      <c r="F90" s="100">
        <v>35.090000000000003</v>
      </c>
      <c r="G90" s="100">
        <v>43.12</v>
      </c>
      <c r="H90" s="100">
        <v>24.92</v>
      </c>
      <c r="I90" s="100">
        <v>15.13</v>
      </c>
      <c r="J90" s="100">
        <v>2.5299999999999998</v>
      </c>
      <c r="K90" s="100">
        <v>140.05000000000001</v>
      </c>
      <c r="L90" s="100">
        <v>38.06</v>
      </c>
      <c r="M90" s="100">
        <v>54.74</v>
      </c>
      <c r="N90" s="100">
        <v>22.4</v>
      </c>
      <c r="O90" s="100">
        <v>0</v>
      </c>
      <c r="P90" s="100">
        <v>0.71</v>
      </c>
      <c r="Q90" s="100">
        <v>28.86</v>
      </c>
      <c r="R90" s="6"/>
      <c r="S90" s="6"/>
      <c r="T90" s="156"/>
      <c r="U90" s="6"/>
    </row>
    <row r="91" spans="1:21" customFormat="1">
      <c r="A91" s="163" t="s">
        <v>1954</v>
      </c>
      <c r="B91" s="100">
        <v>1.69</v>
      </c>
      <c r="C91" s="100">
        <v>12.2</v>
      </c>
      <c r="D91" s="100">
        <v>6.73</v>
      </c>
      <c r="E91" s="100">
        <v>7.33</v>
      </c>
      <c r="F91" s="100">
        <v>36.200000000000003</v>
      </c>
      <c r="G91" s="100">
        <v>43.12</v>
      </c>
      <c r="H91" s="100">
        <v>24.92</v>
      </c>
      <c r="I91" s="100">
        <v>15.61</v>
      </c>
      <c r="J91" s="100">
        <v>2.58</v>
      </c>
      <c r="K91" s="100">
        <v>189.11</v>
      </c>
      <c r="L91" s="100">
        <v>37.69</v>
      </c>
      <c r="M91" s="100">
        <v>54.29</v>
      </c>
      <c r="N91" s="100">
        <v>22.5</v>
      </c>
      <c r="O91" s="100">
        <v>0</v>
      </c>
      <c r="P91" s="100">
        <v>0.66</v>
      </c>
      <c r="Q91" s="100">
        <v>29.05</v>
      </c>
      <c r="R91" s="6"/>
      <c r="S91" s="6"/>
      <c r="T91" s="156"/>
      <c r="U91" s="6"/>
    </row>
    <row r="92" spans="1:21" customFormat="1">
      <c r="A92" s="163" t="s">
        <v>1955</v>
      </c>
      <c r="B92" s="100">
        <v>1.72</v>
      </c>
      <c r="C92" s="100">
        <v>11.52</v>
      </c>
      <c r="D92" s="100">
        <v>6.4</v>
      </c>
      <c r="E92" s="100">
        <v>6.74</v>
      </c>
      <c r="F92" s="100">
        <v>29.16</v>
      </c>
      <c r="G92" s="100">
        <v>42.61</v>
      </c>
      <c r="H92" s="100">
        <v>24.81</v>
      </c>
      <c r="I92" s="100">
        <v>15.11</v>
      </c>
      <c r="J92" s="100">
        <v>2.06</v>
      </c>
      <c r="K92" s="100">
        <v>140.94</v>
      </c>
      <c r="L92" s="100">
        <v>37.21</v>
      </c>
      <c r="M92" s="100">
        <v>55.96</v>
      </c>
      <c r="N92" s="100">
        <v>23.2</v>
      </c>
      <c r="O92" s="100">
        <v>0</v>
      </c>
      <c r="P92" s="100">
        <v>0.63</v>
      </c>
      <c r="Q92" s="100">
        <v>29.16</v>
      </c>
      <c r="R92" s="6"/>
      <c r="S92" s="6"/>
      <c r="T92" s="156"/>
      <c r="U92" s="6"/>
    </row>
    <row r="93" spans="1:21" customFormat="1">
      <c r="A93" s="163" t="s">
        <v>1956</v>
      </c>
      <c r="B93" s="100">
        <v>3.81</v>
      </c>
      <c r="C93" s="100">
        <v>19.62</v>
      </c>
      <c r="D93" s="100">
        <v>12.32</v>
      </c>
      <c r="E93" s="100">
        <v>7.15</v>
      </c>
      <c r="F93" s="100">
        <v>20.39</v>
      </c>
      <c r="G93" s="100">
        <v>40.700000000000003</v>
      </c>
      <c r="H93" s="100">
        <v>24.41</v>
      </c>
      <c r="I93" s="100">
        <v>14.08</v>
      </c>
      <c r="J93" s="100">
        <v>2.5299999999999998</v>
      </c>
      <c r="K93" s="100">
        <v>37.24</v>
      </c>
      <c r="L93" s="100">
        <v>37.03</v>
      </c>
      <c r="M93" s="100">
        <v>56.57</v>
      </c>
      <c r="N93" s="100">
        <v>22.6</v>
      </c>
      <c r="O93" s="100">
        <v>0</v>
      </c>
      <c r="P93" s="100">
        <v>0.99</v>
      </c>
      <c r="Q93" s="100">
        <v>28.55</v>
      </c>
      <c r="R93" s="6"/>
      <c r="S93" s="6"/>
      <c r="T93" s="156"/>
      <c r="U93" s="6"/>
    </row>
    <row r="94" spans="1:21" customFormat="1">
      <c r="A94" s="163" t="s">
        <v>1957</v>
      </c>
      <c r="B94" s="100">
        <v>3.7</v>
      </c>
      <c r="C94" s="100">
        <v>19.3</v>
      </c>
      <c r="D94" s="100">
        <v>12.06</v>
      </c>
      <c r="E94" s="100">
        <v>7.1</v>
      </c>
      <c r="F94" s="100">
        <v>18.399999999999999</v>
      </c>
      <c r="G94" s="100">
        <v>40.700000000000003</v>
      </c>
      <c r="H94" s="100">
        <v>24.41</v>
      </c>
      <c r="I94" s="100">
        <v>14.25</v>
      </c>
      <c r="J94" s="100">
        <v>1.69</v>
      </c>
      <c r="K94" s="100">
        <v>55.61</v>
      </c>
      <c r="L94" s="100">
        <v>37.28</v>
      </c>
      <c r="M94" s="100">
        <v>56.93</v>
      </c>
      <c r="N94" s="100">
        <v>23</v>
      </c>
      <c r="O94" s="100">
        <v>0</v>
      </c>
      <c r="P94" s="100">
        <v>0.84</v>
      </c>
      <c r="Q94" s="100">
        <v>28.35</v>
      </c>
      <c r="R94" s="6"/>
      <c r="S94" s="6"/>
      <c r="T94" s="156"/>
      <c r="U94" s="6"/>
    </row>
    <row r="95" spans="1:21" customFormat="1">
      <c r="A95" s="163" t="s">
        <v>1958</v>
      </c>
      <c r="B95" s="100">
        <v>2.65</v>
      </c>
      <c r="C95" s="100">
        <v>18.84</v>
      </c>
      <c r="D95" s="100">
        <v>10.98</v>
      </c>
      <c r="E95" s="100">
        <v>7.2</v>
      </c>
      <c r="F95" s="100">
        <v>16.5</v>
      </c>
      <c r="G95" s="100">
        <v>40.700000000000003</v>
      </c>
      <c r="H95" s="100">
        <v>24.41</v>
      </c>
      <c r="I95" s="100">
        <v>16.100000000000001</v>
      </c>
      <c r="J95" s="100">
        <v>1.65</v>
      </c>
      <c r="K95" s="100">
        <v>332.15</v>
      </c>
      <c r="L95" s="100">
        <v>37.159999999999997</v>
      </c>
      <c r="M95" s="100">
        <v>59.06</v>
      </c>
      <c r="N95" s="100">
        <v>23</v>
      </c>
      <c r="O95" s="100">
        <v>0</v>
      </c>
      <c r="P95" s="100">
        <v>0.87</v>
      </c>
      <c r="Q95" s="100">
        <v>28.44</v>
      </c>
      <c r="R95" s="6"/>
      <c r="S95" s="6"/>
      <c r="T95" s="156"/>
      <c r="U95" s="6"/>
    </row>
    <row r="96" spans="1:21" customFormat="1">
      <c r="A96" s="163" t="s">
        <v>1959</v>
      </c>
      <c r="B96" s="100">
        <v>2.97</v>
      </c>
      <c r="C96" s="100">
        <v>18.760000000000002</v>
      </c>
      <c r="D96" s="100">
        <v>11.19</v>
      </c>
      <c r="E96" s="100">
        <v>6.34</v>
      </c>
      <c r="F96" s="100">
        <v>16.3</v>
      </c>
      <c r="G96" s="100">
        <v>46.53</v>
      </c>
      <c r="H96" s="100">
        <v>23.96</v>
      </c>
      <c r="I96" s="100">
        <v>16.690000000000001</v>
      </c>
      <c r="J96" s="100">
        <v>1.46</v>
      </c>
      <c r="K96" s="100">
        <v>205.66</v>
      </c>
      <c r="L96" s="100">
        <v>34.659999999999997</v>
      </c>
      <c r="M96" s="100">
        <v>59.96</v>
      </c>
      <c r="N96" s="100">
        <v>23.1</v>
      </c>
      <c r="O96" s="100">
        <v>0</v>
      </c>
      <c r="P96" s="100">
        <v>0.78</v>
      </c>
      <c r="Q96" s="100">
        <v>28.42</v>
      </c>
      <c r="R96" s="6"/>
      <c r="S96" s="6"/>
      <c r="T96" s="156"/>
      <c r="U96" s="6"/>
    </row>
    <row r="97" spans="1:28" customFormat="1">
      <c r="A97" s="163" t="s">
        <v>1960</v>
      </c>
      <c r="B97" s="100">
        <v>4.6100000000000003</v>
      </c>
      <c r="C97" s="100">
        <v>21.62</v>
      </c>
      <c r="D97" s="100">
        <v>14</v>
      </c>
      <c r="E97" s="100">
        <v>6.77</v>
      </c>
      <c r="F97" s="100">
        <v>13.59</v>
      </c>
      <c r="G97" s="100">
        <v>68.31</v>
      </c>
      <c r="H97" s="100">
        <v>22.26</v>
      </c>
      <c r="I97" s="100">
        <v>16.48</v>
      </c>
      <c r="J97" s="100">
        <v>3.62</v>
      </c>
      <c r="K97" s="100">
        <v>9.5500000000000007</v>
      </c>
      <c r="L97" s="100">
        <v>33.380000000000003</v>
      </c>
      <c r="M97" s="100">
        <v>58.92</v>
      </c>
      <c r="N97" s="100">
        <v>23.3</v>
      </c>
      <c r="O97" s="100">
        <v>0</v>
      </c>
      <c r="P97" s="100">
        <v>0.82</v>
      </c>
      <c r="Q97" s="100">
        <v>28.35</v>
      </c>
      <c r="R97" s="6"/>
      <c r="S97" s="6"/>
      <c r="T97" s="156"/>
      <c r="U97" s="6"/>
    </row>
    <row r="98" spans="1:28" customFormat="1">
      <c r="A98" s="163" t="s">
        <v>1961</v>
      </c>
      <c r="B98" s="100">
        <v>3.8</v>
      </c>
      <c r="C98" s="100">
        <v>16.47</v>
      </c>
      <c r="D98" s="100">
        <v>10.66</v>
      </c>
      <c r="E98" s="100">
        <v>6.21</v>
      </c>
      <c r="F98" s="100">
        <v>16.7</v>
      </c>
      <c r="G98" s="100">
        <v>68.31</v>
      </c>
      <c r="H98" s="100">
        <v>22.26</v>
      </c>
      <c r="I98" s="100">
        <v>15.84</v>
      </c>
      <c r="J98" s="100">
        <v>3.85</v>
      </c>
      <c r="K98" s="100">
        <v>20.47</v>
      </c>
      <c r="L98" s="100">
        <v>32.9</v>
      </c>
      <c r="M98" s="100">
        <v>55.74</v>
      </c>
      <c r="N98" s="100">
        <v>23.7</v>
      </c>
      <c r="O98" s="100">
        <v>0</v>
      </c>
      <c r="P98" s="100">
        <v>0.7</v>
      </c>
      <c r="Q98" s="100">
        <v>28.65</v>
      </c>
      <c r="R98" s="6"/>
      <c r="S98" s="6"/>
      <c r="T98" s="156"/>
      <c r="U98" s="6"/>
    </row>
    <row r="99" spans="1:28" customFormat="1">
      <c r="A99" s="163" t="s">
        <v>1962</v>
      </c>
      <c r="B99" s="100">
        <v>3.95</v>
      </c>
      <c r="C99" s="100">
        <v>14.65</v>
      </c>
      <c r="D99" s="100">
        <v>9.82</v>
      </c>
      <c r="E99" s="100">
        <v>6.35</v>
      </c>
      <c r="F99" s="100">
        <v>19.559999999999999</v>
      </c>
      <c r="G99" s="100">
        <v>68.31</v>
      </c>
      <c r="H99" s="100">
        <v>22.26</v>
      </c>
      <c r="I99" s="100">
        <v>15.05</v>
      </c>
      <c r="J99" s="100">
        <v>3.34</v>
      </c>
      <c r="K99" s="100">
        <v>37.909999999999997</v>
      </c>
      <c r="L99" s="100">
        <v>32.72</v>
      </c>
      <c r="M99" s="100">
        <v>56.03</v>
      </c>
      <c r="N99" s="100">
        <v>23.5</v>
      </c>
      <c r="O99" s="100">
        <v>0</v>
      </c>
      <c r="P99" s="100">
        <v>0.66</v>
      </c>
      <c r="Q99" s="100">
        <v>28.82</v>
      </c>
      <c r="R99" s="6"/>
      <c r="S99" s="6"/>
      <c r="T99" s="156"/>
      <c r="U99" s="6"/>
    </row>
    <row r="100" spans="1:28" customFormat="1">
      <c r="A100" s="163" t="s">
        <v>1963</v>
      </c>
      <c r="B100" s="100">
        <v>3.05</v>
      </c>
      <c r="C100" s="100">
        <v>14.27</v>
      </c>
      <c r="D100" s="100">
        <v>8.91</v>
      </c>
      <c r="E100" s="100">
        <v>6.31</v>
      </c>
      <c r="F100" s="100">
        <v>19.21</v>
      </c>
      <c r="G100" s="100">
        <v>64.75</v>
      </c>
      <c r="H100" s="100">
        <v>21.63</v>
      </c>
      <c r="I100" s="100">
        <v>13.97</v>
      </c>
      <c r="J100" s="100">
        <v>2.6</v>
      </c>
      <c r="K100" s="100">
        <v>73.64</v>
      </c>
      <c r="L100" s="100">
        <v>32.96</v>
      </c>
      <c r="M100" s="100">
        <v>56.1</v>
      </c>
      <c r="N100" s="100">
        <v>23.3</v>
      </c>
      <c r="O100" s="100">
        <v>0</v>
      </c>
      <c r="P100" s="100">
        <v>0.62</v>
      </c>
      <c r="Q100" s="100">
        <v>28.89</v>
      </c>
      <c r="R100" s="6"/>
      <c r="S100" s="6"/>
      <c r="T100" s="156"/>
      <c r="U100" s="6"/>
      <c r="AB100" s="161"/>
    </row>
    <row r="101" spans="1:28" customFormat="1">
      <c r="A101" s="163" t="s">
        <v>1964</v>
      </c>
      <c r="B101" s="100">
        <v>2.77</v>
      </c>
      <c r="C101" s="100">
        <v>14.49</v>
      </c>
      <c r="D101" s="100">
        <v>8.8000000000000007</v>
      </c>
      <c r="E101" s="100">
        <v>6.04</v>
      </c>
      <c r="F101" s="100">
        <v>12.75</v>
      </c>
      <c r="G101" s="100">
        <v>51.45</v>
      </c>
      <c r="H101" s="100">
        <v>19.260000000000002</v>
      </c>
      <c r="I101" s="100">
        <v>13.11</v>
      </c>
      <c r="J101" s="100">
        <v>3.03</v>
      </c>
      <c r="K101" s="100">
        <v>78.459999999999994</v>
      </c>
      <c r="L101" s="100">
        <v>32.83</v>
      </c>
      <c r="M101" s="100">
        <v>56.72</v>
      </c>
      <c r="N101" s="100">
        <v>23.3</v>
      </c>
      <c r="O101" s="100">
        <v>0</v>
      </c>
      <c r="P101" s="100">
        <v>0.64</v>
      </c>
      <c r="Q101" s="100">
        <v>28.94</v>
      </c>
      <c r="R101" s="6"/>
      <c r="S101" s="6"/>
      <c r="T101" s="156"/>
      <c r="U101" s="6"/>
    </row>
    <row r="102" spans="1:28" customFormat="1">
      <c r="A102" s="163" t="s">
        <v>1965</v>
      </c>
      <c r="B102" s="100">
        <v>2.95</v>
      </c>
      <c r="C102" s="100">
        <v>16.78</v>
      </c>
      <c r="D102" s="100">
        <v>10.14</v>
      </c>
      <c r="E102" s="100">
        <v>6.16</v>
      </c>
      <c r="F102" s="100">
        <v>6.4</v>
      </c>
      <c r="G102" s="100">
        <v>51.45</v>
      </c>
      <c r="H102" s="100">
        <v>19.260000000000002</v>
      </c>
      <c r="I102" s="100">
        <v>12.48</v>
      </c>
      <c r="J102" s="100">
        <v>2.84</v>
      </c>
      <c r="K102" s="100">
        <v>123.39</v>
      </c>
      <c r="L102" s="100">
        <v>32.72</v>
      </c>
      <c r="M102" s="100">
        <v>57.43</v>
      </c>
      <c r="N102" s="100">
        <v>23.2</v>
      </c>
      <c r="O102" s="100">
        <v>0</v>
      </c>
      <c r="P102" s="100">
        <v>0.68</v>
      </c>
      <c r="Q102" s="100">
        <v>28.77</v>
      </c>
      <c r="R102" s="6"/>
      <c r="S102" s="6"/>
      <c r="T102" s="156"/>
      <c r="U102" s="6"/>
    </row>
    <row r="103" spans="1:28" customFormat="1">
      <c r="A103" s="163" t="s">
        <v>1966</v>
      </c>
      <c r="B103" s="100">
        <v>2.69</v>
      </c>
      <c r="C103" s="100">
        <v>17.39</v>
      </c>
      <c r="D103" s="100">
        <v>10.25</v>
      </c>
      <c r="E103" s="100">
        <v>7.3</v>
      </c>
      <c r="F103" s="100">
        <v>12.27</v>
      </c>
      <c r="G103" s="100">
        <v>51.45</v>
      </c>
      <c r="H103" s="100">
        <v>19.260000000000002</v>
      </c>
      <c r="I103" s="100">
        <v>12.83</v>
      </c>
      <c r="J103" s="100">
        <v>3.33</v>
      </c>
      <c r="K103" s="100">
        <v>145.12</v>
      </c>
      <c r="L103" s="100">
        <v>34.39</v>
      </c>
      <c r="M103" s="100">
        <v>55.36</v>
      </c>
      <c r="N103" s="100">
        <v>22.6</v>
      </c>
      <c r="O103" s="100">
        <v>0</v>
      </c>
      <c r="P103" s="100">
        <v>0.68</v>
      </c>
      <c r="Q103" s="100">
        <v>28.68</v>
      </c>
      <c r="R103" s="6"/>
      <c r="S103" s="6"/>
      <c r="T103" s="156"/>
      <c r="U103" s="6"/>
    </row>
    <row r="104" spans="1:28" customFormat="1">
      <c r="A104" s="163" t="s">
        <v>1967</v>
      </c>
      <c r="B104" s="100">
        <v>2.86</v>
      </c>
      <c r="C104" s="100">
        <v>17.649999999999999</v>
      </c>
      <c r="D104" s="100">
        <v>10.52</v>
      </c>
      <c r="E104" s="100">
        <v>8.64</v>
      </c>
      <c r="F104" s="100">
        <v>11.03</v>
      </c>
      <c r="G104" s="100">
        <v>53.92</v>
      </c>
      <c r="H104" s="100">
        <v>19.95</v>
      </c>
      <c r="I104" s="100">
        <v>14.14</v>
      </c>
      <c r="J104" s="100">
        <v>3.13</v>
      </c>
      <c r="K104" s="100">
        <v>160.44</v>
      </c>
      <c r="L104" s="100">
        <v>35.369999999999997</v>
      </c>
      <c r="M104" s="100">
        <v>54.51</v>
      </c>
      <c r="N104" s="100">
        <v>22.7</v>
      </c>
      <c r="O104" s="100">
        <v>0</v>
      </c>
      <c r="P104" s="100">
        <v>0.76</v>
      </c>
      <c r="Q104" s="100">
        <v>28.55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1.48</v>
      </c>
      <c r="C106" s="158">
        <f>MIN(C9:C104)</f>
        <v>7.48</v>
      </c>
      <c r="D106" s="158">
        <f t="shared" ref="D106:Q106" si="0">MIN(D9:D104)</f>
        <v>4.0999999999999996</v>
      </c>
      <c r="E106" s="158">
        <f t="shared" si="0"/>
        <v>4.63</v>
      </c>
      <c r="F106" s="158">
        <f t="shared" si="0"/>
        <v>2.95</v>
      </c>
      <c r="G106" s="158">
        <f t="shared" si="0"/>
        <v>21.95</v>
      </c>
      <c r="H106" s="158">
        <f t="shared" si="0"/>
        <v>14.42</v>
      </c>
      <c r="I106" s="158">
        <f t="shared" si="0"/>
        <v>8.5299999999999994</v>
      </c>
      <c r="J106" s="158">
        <f t="shared" si="0"/>
        <v>0.28000000000000003</v>
      </c>
      <c r="K106" s="158">
        <f t="shared" si="0"/>
        <v>5.88</v>
      </c>
      <c r="L106" s="158">
        <f t="shared" si="0"/>
        <v>27.67</v>
      </c>
      <c r="M106" s="158">
        <f t="shared" si="0"/>
        <v>35.43</v>
      </c>
      <c r="N106" s="158">
        <f t="shared" si="0"/>
        <v>22.4</v>
      </c>
      <c r="O106" s="158">
        <f t="shared" si="0"/>
        <v>0</v>
      </c>
      <c r="P106" s="158">
        <f t="shared" si="0"/>
        <v>0.47</v>
      </c>
      <c r="Q106" s="158">
        <f t="shared" si="0"/>
        <v>27.95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6.32</v>
      </c>
      <c r="C107" s="157">
        <f t="shared" ref="C107:Q107" si="1">MAX(C9:C104)</f>
        <v>23.86</v>
      </c>
      <c r="D107" s="157">
        <f t="shared" si="1"/>
        <v>16.18</v>
      </c>
      <c r="E107" s="157">
        <f t="shared" si="1"/>
        <v>8.64</v>
      </c>
      <c r="F107" s="157">
        <f t="shared" si="1"/>
        <v>51.78</v>
      </c>
      <c r="G107" s="157">
        <f t="shared" si="1"/>
        <v>143.26</v>
      </c>
      <c r="H107" s="157">
        <f t="shared" si="1"/>
        <v>32.94</v>
      </c>
      <c r="I107" s="157">
        <f t="shared" si="1"/>
        <v>22.49</v>
      </c>
      <c r="J107" s="157">
        <f t="shared" si="1"/>
        <v>6.69</v>
      </c>
      <c r="K107" s="157">
        <f t="shared" si="1"/>
        <v>358.76</v>
      </c>
      <c r="L107" s="157">
        <f t="shared" si="1"/>
        <v>42.33</v>
      </c>
      <c r="M107" s="157">
        <f t="shared" si="1"/>
        <v>87.61</v>
      </c>
      <c r="N107" s="157">
        <f t="shared" si="1"/>
        <v>674.5</v>
      </c>
      <c r="O107" s="157">
        <f t="shared" si="1"/>
        <v>0.4</v>
      </c>
      <c r="P107" s="157">
        <f t="shared" si="1"/>
        <v>0.99</v>
      </c>
      <c r="Q107" s="157">
        <f t="shared" si="1"/>
        <v>29.5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3.6463541666666681</v>
      </c>
      <c r="C108" s="158">
        <f t="shared" ref="C108:Q108" si="2">AVERAGE(C9:C104)</f>
        <v>15.810520833333337</v>
      </c>
      <c r="D108" s="158">
        <f t="shared" si="2"/>
        <v>10.19</v>
      </c>
      <c r="E108" s="158">
        <f t="shared" si="2"/>
        <v>6.7719791666666671</v>
      </c>
      <c r="F108" s="158">
        <f t="shared" si="2"/>
        <v>18.3828125</v>
      </c>
      <c r="G108" s="158">
        <f t="shared" si="2"/>
        <v>55.959479166666661</v>
      </c>
      <c r="H108" s="158">
        <f t="shared" si="2"/>
        <v>24.006979166666678</v>
      </c>
      <c r="I108" s="158">
        <f t="shared" si="2"/>
        <v>13.261666666666663</v>
      </c>
      <c r="J108" s="158">
        <f t="shared" si="2"/>
        <v>2.2210416666666659</v>
      </c>
      <c r="K108" s="158">
        <f t="shared" si="2"/>
        <v>144.68218749999997</v>
      </c>
      <c r="L108" s="158">
        <f t="shared" si="2"/>
        <v>34.707708333333329</v>
      </c>
      <c r="M108" s="158">
        <f t="shared" si="2"/>
        <v>60.267083333333346</v>
      </c>
      <c r="N108" s="158">
        <f t="shared" si="2"/>
        <v>137.98333333333338</v>
      </c>
      <c r="O108" s="158">
        <f t="shared" si="2"/>
        <v>1.2499999999999999E-2</v>
      </c>
      <c r="P108" s="158">
        <f t="shared" si="2"/>
        <v>0.62947916666666659</v>
      </c>
      <c r="Q108" s="158">
        <f t="shared" si="2"/>
        <v>28.760833333333334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1.4519606488735095</v>
      </c>
      <c r="C109" s="158">
        <f t="shared" ref="C109:Q109" si="3">STDEV(C9:C104)</f>
        <v>3.286883460631322</v>
      </c>
      <c r="D109" s="158">
        <f t="shared" si="3"/>
        <v>2.5785932517352954</v>
      </c>
      <c r="E109" s="158">
        <f t="shared" si="3"/>
        <v>0.83334913362214402</v>
      </c>
      <c r="F109" s="158">
        <f t="shared" si="3"/>
        <v>13.693038930948594</v>
      </c>
      <c r="G109" s="158">
        <f t="shared" si="3"/>
        <v>25.787957016683126</v>
      </c>
      <c r="H109" s="158">
        <f t="shared" si="3"/>
        <v>5.0323557567722403</v>
      </c>
      <c r="I109" s="158">
        <f t="shared" si="3"/>
        <v>3.9740891486482335</v>
      </c>
      <c r="J109" s="158">
        <f t="shared" si="3"/>
        <v>1.401181816345096</v>
      </c>
      <c r="K109" s="158">
        <f t="shared" si="3"/>
        <v>88.438016917031348</v>
      </c>
      <c r="L109" s="158">
        <f t="shared" si="3"/>
        <v>4.540426940084628</v>
      </c>
      <c r="M109" s="158">
        <f t="shared" si="3"/>
        <v>13.183655663990432</v>
      </c>
      <c r="N109" s="158">
        <f t="shared" si="3"/>
        <v>160.37965855180317</v>
      </c>
      <c r="O109" s="158">
        <f t="shared" si="3"/>
        <v>5.6661506472996941E-2</v>
      </c>
      <c r="P109" s="158">
        <f t="shared" si="3"/>
        <v>0.11883973986815133</v>
      </c>
      <c r="Q109" s="158">
        <f t="shared" si="3"/>
        <v>0.29070030386407691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B110" sqref="B110:D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1968</v>
      </c>
      <c r="B9" s="100">
        <v>3.67</v>
      </c>
      <c r="C9" s="100">
        <v>16.91</v>
      </c>
      <c r="D9" s="100">
        <v>10.78</v>
      </c>
      <c r="E9" s="100">
        <v>8.4700000000000006</v>
      </c>
      <c r="F9" s="100">
        <v>7.55</v>
      </c>
      <c r="G9" s="100">
        <v>63.13</v>
      </c>
      <c r="H9" s="100">
        <v>22.53</v>
      </c>
      <c r="I9" s="100">
        <v>14.56</v>
      </c>
      <c r="J9" s="100">
        <v>2.42</v>
      </c>
      <c r="K9" s="100">
        <v>131.88999999999999</v>
      </c>
      <c r="L9" s="100">
        <v>35.520000000000003</v>
      </c>
      <c r="M9" s="100">
        <v>55.32</v>
      </c>
      <c r="N9" s="100">
        <v>23</v>
      </c>
      <c r="O9" s="100">
        <v>0</v>
      </c>
      <c r="P9" s="100">
        <v>0.71</v>
      </c>
      <c r="Q9" s="100">
        <v>28.54</v>
      </c>
      <c r="R9" s="6"/>
      <c r="S9" s="6"/>
      <c r="T9" s="156"/>
      <c r="U9" s="6"/>
    </row>
    <row r="10" spans="1:21" customFormat="1">
      <c r="A10" s="163" t="s">
        <v>1969</v>
      </c>
      <c r="B10" s="100">
        <v>7.99</v>
      </c>
      <c r="C10" s="100">
        <v>20.7</v>
      </c>
      <c r="D10" s="100">
        <v>16.22</v>
      </c>
      <c r="E10" s="100">
        <v>8.01</v>
      </c>
      <c r="F10" s="100">
        <v>6.77</v>
      </c>
      <c r="G10" s="100">
        <v>63.13</v>
      </c>
      <c r="H10" s="100">
        <v>22.53</v>
      </c>
      <c r="I10" s="100">
        <v>13.77</v>
      </c>
      <c r="J10" s="100">
        <v>0.37</v>
      </c>
      <c r="K10" s="100">
        <v>105.95</v>
      </c>
      <c r="L10" s="100">
        <v>33.93</v>
      </c>
      <c r="M10" s="100">
        <v>54.15</v>
      </c>
      <c r="N10" s="100">
        <v>22.5</v>
      </c>
      <c r="O10" s="100">
        <v>0</v>
      </c>
      <c r="P10" s="100">
        <v>0.74</v>
      </c>
      <c r="Q10" s="100">
        <v>28.27</v>
      </c>
      <c r="R10" s="6"/>
      <c r="S10" s="6"/>
      <c r="T10" s="156"/>
      <c r="U10" s="6"/>
    </row>
    <row r="11" spans="1:21" customFormat="1">
      <c r="A11" s="163" t="s">
        <v>1970</v>
      </c>
      <c r="B11" s="100">
        <v>6.81</v>
      </c>
      <c r="C11" s="100">
        <v>21.27</v>
      </c>
      <c r="D11" s="100">
        <v>15.58</v>
      </c>
      <c r="E11" s="100">
        <v>8.9</v>
      </c>
      <c r="F11" s="100">
        <v>5.14</v>
      </c>
      <c r="G11" s="100">
        <v>63.13</v>
      </c>
      <c r="H11" s="100">
        <v>22.53</v>
      </c>
      <c r="I11" s="100">
        <v>13.7</v>
      </c>
      <c r="J11" s="100">
        <v>2.56</v>
      </c>
      <c r="K11" s="100">
        <v>137.88999999999999</v>
      </c>
      <c r="L11" s="100">
        <v>33.72</v>
      </c>
      <c r="M11" s="100">
        <v>55.19</v>
      </c>
      <c r="N11" s="100">
        <v>23.3</v>
      </c>
      <c r="O11" s="100">
        <v>0</v>
      </c>
      <c r="P11" s="100">
        <v>0.78</v>
      </c>
      <c r="Q11" s="100">
        <v>28.13</v>
      </c>
      <c r="R11" s="6"/>
      <c r="S11" s="6"/>
      <c r="T11" s="156"/>
      <c r="U11" s="6"/>
    </row>
    <row r="12" spans="1:21" customFormat="1">
      <c r="A12" s="163" t="s">
        <v>1971</v>
      </c>
      <c r="B12" s="100">
        <v>5.77</v>
      </c>
      <c r="C12" s="100">
        <v>21.6</v>
      </c>
      <c r="D12" s="100">
        <v>14.92</v>
      </c>
      <c r="E12" s="100">
        <v>7.99</v>
      </c>
      <c r="F12" s="100">
        <v>5.64</v>
      </c>
      <c r="G12" s="100">
        <v>71.069999999999993</v>
      </c>
      <c r="H12" s="100">
        <v>25.42</v>
      </c>
      <c r="I12" s="100">
        <v>13.66</v>
      </c>
      <c r="J12" s="100">
        <v>2.5099999999999998</v>
      </c>
      <c r="K12" s="100">
        <v>115</v>
      </c>
      <c r="L12" s="100">
        <v>33.18</v>
      </c>
      <c r="M12" s="100">
        <v>57.43</v>
      </c>
      <c r="N12" s="100">
        <v>23.3</v>
      </c>
      <c r="O12" s="100">
        <v>0</v>
      </c>
      <c r="P12" s="100">
        <v>0.8</v>
      </c>
      <c r="Q12" s="100">
        <v>28.14</v>
      </c>
      <c r="R12" s="6"/>
      <c r="S12" s="6"/>
      <c r="T12" s="156"/>
      <c r="U12" s="6"/>
    </row>
    <row r="13" spans="1:21" customFormat="1">
      <c r="A13" s="163" t="s">
        <v>1972</v>
      </c>
      <c r="B13" s="100">
        <v>5.5</v>
      </c>
      <c r="C13" s="100">
        <v>22.89</v>
      </c>
      <c r="D13" s="100">
        <v>15.37</v>
      </c>
      <c r="E13" s="100">
        <v>7.56</v>
      </c>
      <c r="F13" s="100">
        <v>4.62</v>
      </c>
      <c r="G13" s="100">
        <v>100.73</v>
      </c>
      <c r="H13" s="100">
        <v>36.229999999999997</v>
      </c>
      <c r="I13" s="100">
        <v>13.95</v>
      </c>
      <c r="J13" s="100">
        <v>2.81</v>
      </c>
      <c r="K13" s="100">
        <v>119.81</v>
      </c>
      <c r="L13" s="100">
        <v>32.94</v>
      </c>
      <c r="M13" s="100">
        <v>58.15</v>
      </c>
      <c r="N13" s="100">
        <v>23.2</v>
      </c>
      <c r="O13" s="100">
        <v>0</v>
      </c>
      <c r="P13" s="100">
        <v>0.8</v>
      </c>
      <c r="Q13" s="100">
        <v>28.03</v>
      </c>
      <c r="R13" s="6"/>
      <c r="S13" s="6"/>
      <c r="T13" s="156"/>
      <c r="U13" s="6"/>
    </row>
    <row r="14" spans="1:21" customFormat="1">
      <c r="A14" s="163" t="s">
        <v>1973</v>
      </c>
      <c r="B14" s="100">
        <v>5.66</v>
      </c>
      <c r="C14" s="100">
        <v>22.9</v>
      </c>
      <c r="D14" s="100">
        <v>15.51</v>
      </c>
      <c r="E14" s="100">
        <v>7.39</v>
      </c>
      <c r="F14" s="100">
        <v>4.76</v>
      </c>
      <c r="G14" s="100">
        <v>100.73</v>
      </c>
      <c r="H14" s="100">
        <v>36.229999999999997</v>
      </c>
      <c r="I14" s="100">
        <v>14.01</v>
      </c>
      <c r="J14" s="100">
        <v>2.59</v>
      </c>
      <c r="K14" s="100">
        <v>120.27</v>
      </c>
      <c r="L14" s="100">
        <v>32.93</v>
      </c>
      <c r="M14" s="100">
        <v>58.28</v>
      </c>
      <c r="N14" s="100">
        <v>23.2</v>
      </c>
      <c r="O14" s="100">
        <v>0</v>
      </c>
      <c r="P14" s="100">
        <v>0.79</v>
      </c>
      <c r="Q14" s="100">
        <v>28</v>
      </c>
      <c r="R14" s="6"/>
      <c r="S14" s="6"/>
      <c r="T14" s="156"/>
      <c r="U14" s="6"/>
    </row>
    <row r="15" spans="1:21" customFormat="1">
      <c r="A15" s="163" t="s">
        <v>1974</v>
      </c>
      <c r="B15" s="100">
        <v>6.07</v>
      </c>
      <c r="C15" s="100">
        <v>21.44</v>
      </c>
      <c r="D15" s="100">
        <v>15.07</v>
      </c>
      <c r="E15" s="100">
        <v>6.87</v>
      </c>
      <c r="F15" s="100">
        <v>5.0199999999999996</v>
      </c>
      <c r="G15" s="100">
        <v>100.73</v>
      </c>
      <c r="H15" s="100">
        <v>36.229999999999997</v>
      </c>
      <c r="I15" s="100">
        <v>14.14</v>
      </c>
      <c r="J15" s="100">
        <v>2.17</v>
      </c>
      <c r="K15" s="100">
        <v>115.61</v>
      </c>
      <c r="L15" s="100">
        <v>32.85</v>
      </c>
      <c r="M15" s="100">
        <v>60.2</v>
      </c>
      <c r="N15" s="100">
        <v>23.2</v>
      </c>
      <c r="O15" s="100">
        <v>0</v>
      </c>
      <c r="P15" s="100">
        <v>0.79</v>
      </c>
      <c r="Q15" s="100">
        <v>28.11</v>
      </c>
      <c r="R15" s="6"/>
      <c r="S15" s="6"/>
      <c r="T15" s="156"/>
      <c r="U15" s="6"/>
    </row>
    <row r="16" spans="1:21" customFormat="1">
      <c r="A16" s="163" t="s">
        <v>1975</v>
      </c>
      <c r="B16" s="100">
        <v>6.72</v>
      </c>
      <c r="C16" s="100">
        <v>20.239999999999998</v>
      </c>
      <c r="D16" s="100">
        <v>14.97</v>
      </c>
      <c r="E16" s="100">
        <v>6.83</v>
      </c>
      <c r="F16" s="100">
        <v>5.22</v>
      </c>
      <c r="G16" s="100">
        <v>101.17</v>
      </c>
      <c r="H16" s="100">
        <v>35.85</v>
      </c>
      <c r="I16" s="100">
        <v>14</v>
      </c>
      <c r="J16" s="100">
        <v>1.83</v>
      </c>
      <c r="K16" s="100">
        <v>77.930000000000007</v>
      </c>
      <c r="L16" s="100">
        <v>32.880000000000003</v>
      </c>
      <c r="M16" s="100">
        <v>61.39</v>
      </c>
      <c r="N16" s="100">
        <v>23.2</v>
      </c>
      <c r="O16" s="100">
        <v>0</v>
      </c>
      <c r="P16" s="100">
        <v>0.79</v>
      </c>
      <c r="Q16" s="100">
        <v>28.16</v>
      </c>
      <c r="R16" s="6"/>
      <c r="S16" s="6"/>
      <c r="T16" s="156"/>
      <c r="U16" s="6"/>
    </row>
    <row r="17" spans="1:21" customFormat="1">
      <c r="A17" s="163" t="s">
        <v>1976</v>
      </c>
      <c r="B17" s="100">
        <v>7.2</v>
      </c>
      <c r="C17" s="100">
        <v>20.38</v>
      </c>
      <c r="D17" s="100">
        <v>15.43</v>
      </c>
      <c r="E17" s="100">
        <v>6.08</v>
      </c>
      <c r="F17" s="100">
        <v>5.32</v>
      </c>
      <c r="G17" s="100">
        <v>102.8</v>
      </c>
      <c r="H17" s="100">
        <v>34.42</v>
      </c>
      <c r="I17" s="100">
        <v>14.1</v>
      </c>
      <c r="J17" s="100">
        <v>2.33</v>
      </c>
      <c r="K17" s="100">
        <v>94.68</v>
      </c>
      <c r="L17" s="100">
        <v>32.840000000000003</v>
      </c>
      <c r="M17" s="100">
        <v>62.82</v>
      </c>
      <c r="N17" s="100">
        <v>23.3</v>
      </c>
      <c r="O17" s="100">
        <v>0</v>
      </c>
      <c r="P17" s="100">
        <v>0.8</v>
      </c>
      <c r="Q17" s="100">
        <v>28.1</v>
      </c>
      <c r="R17" s="6"/>
      <c r="S17" s="6"/>
      <c r="T17" s="156"/>
      <c r="U17" s="6"/>
    </row>
    <row r="18" spans="1:21" customFormat="1">
      <c r="A18" s="163" t="s">
        <v>1977</v>
      </c>
      <c r="B18" s="100">
        <v>7.73</v>
      </c>
      <c r="C18" s="100">
        <v>19.98</v>
      </c>
      <c r="D18" s="100">
        <v>15.64</v>
      </c>
      <c r="E18" s="100">
        <v>6.15</v>
      </c>
      <c r="F18" s="100">
        <v>4.8499999999999996</v>
      </c>
      <c r="G18" s="100">
        <v>102.8</v>
      </c>
      <c r="H18" s="100">
        <v>34.42</v>
      </c>
      <c r="I18" s="100">
        <v>14.27</v>
      </c>
      <c r="J18" s="100">
        <v>2.2599999999999998</v>
      </c>
      <c r="K18" s="100">
        <v>69.040000000000006</v>
      </c>
      <c r="L18" s="100">
        <v>32.74</v>
      </c>
      <c r="M18" s="100">
        <v>64.36</v>
      </c>
      <c r="N18" s="100">
        <v>23.2</v>
      </c>
      <c r="O18" s="100">
        <v>0</v>
      </c>
      <c r="P18" s="100">
        <v>0.79</v>
      </c>
      <c r="Q18" s="100">
        <v>28.12</v>
      </c>
      <c r="R18" s="6"/>
      <c r="S18" s="6"/>
      <c r="T18" s="156"/>
      <c r="U18" s="6"/>
    </row>
    <row r="19" spans="1:21" customFormat="1">
      <c r="A19" s="163" t="s">
        <v>1978</v>
      </c>
      <c r="B19" s="100">
        <v>8.67</v>
      </c>
      <c r="C19" s="100">
        <v>18.03</v>
      </c>
      <c r="D19" s="100">
        <v>15.37</v>
      </c>
      <c r="E19" s="100">
        <v>6</v>
      </c>
      <c r="F19" s="100">
        <v>3.61</v>
      </c>
      <c r="G19" s="100">
        <v>102.8</v>
      </c>
      <c r="H19" s="100">
        <v>34.42</v>
      </c>
      <c r="I19" s="100">
        <v>14.46</v>
      </c>
      <c r="J19" s="100">
        <v>2.11</v>
      </c>
      <c r="K19" s="100">
        <v>114.34</v>
      </c>
      <c r="L19" s="100">
        <v>32.65</v>
      </c>
      <c r="M19" s="100">
        <v>64.77</v>
      </c>
      <c r="N19" s="100">
        <v>23.2</v>
      </c>
      <c r="O19" s="100">
        <v>0</v>
      </c>
      <c r="P19" s="100">
        <v>0.79</v>
      </c>
      <c r="Q19" s="100">
        <v>28.27</v>
      </c>
      <c r="R19" s="6"/>
      <c r="S19" s="6"/>
      <c r="T19" s="156"/>
      <c r="U19" s="6"/>
    </row>
    <row r="20" spans="1:21" customFormat="1">
      <c r="A20" s="163" t="s">
        <v>1979</v>
      </c>
      <c r="B20" s="100">
        <v>7.76</v>
      </c>
      <c r="C20" s="100">
        <v>18.21</v>
      </c>
      <c r="D20" s="100">
        <v>14.74</v>
      </c>
      <c r="E20" s="100">
        <v>6.39</v>
      </c>
      <c r="F20" s="100">
        <v>5.1100000000000003</v>
      </c>
      <c r="G20" s="100">
        <v>101.77</v>
      </c>
      <c r="H20" s="100">
        <v>34.49</v>
      </c>
      <c r="I20" s="100">
        <v>14.59</v>
      </c>
      <c r="J20" s="100">
        <v>2.8</v>
      </c>
      <c r="K20" s="100">
        <v>142.72999999999999</v>
      </c>
      <c r="L20" s="100">
        <v>32.979999999999997</v>
      </c>
      <c r="M20" s="100">
        <v>63.99</v>
      </c>
      <c r="N20" s="100">
        <v>22.6</v>
      </c>
      <c r="O20" s="100">
        <v>0</v>
      </c>
      <c r="P20" s="100">
        <v>0.72</v>
      </c>
      <c r="Q20" s="100">
        <v>28.33</v>
      </c>
      <c r="R20" s="6"/>
      <c r="S20" s="6"/>
      <c r="T20" s="156"/>
      <c r="U20" s="6"/>
    </row>
    <row r="21" spans="1:21" customFormat="1">
      <c r="A21" s="163" t="s">
        <v>1980</v>
      </c>
      <c r="B21" s="100">
        <v>7.14</v>
      </c>
      <c r="C21" s="100">
        <v>14.71</v>
      </c>
      <c r="D21" s="100">
        <v>12.41</v>
      </c>
      <c r="E21" s="100">
        <v>6.63</v>
      </c>
      <c r="F21" s="100">
        <v>8.2899999999999991</v>
      </c>
      <c r="G21" s="100">
        <v>97.92</v>
      </c>
      <c r="H21" s="100">
        <v>34.72</v>
      </c>
      <c r="I21" s="100">
        <v>14.31</v>
      </c>
      <c r="J21" s="100">
        <v>2.61</v>
      </c>
      <c r="K21" s="100">
        <v>130.66</v>
      </c>
      <c r="L21" s="100">
        <v>32.880000000000003</v>
      </c>
      <c r="M21" s="100">
        <v>61.89</v>
      </c>
      <c r="N21" s="100">
        <v>22.7</v>
      </c>
      <c r="O21" s="100">
        <v>0</v>
      </c>
      <c r="P21" s="100">
        <v>0.67</v>
      </c>
      <c r="Q21" s="100">
        <v>28.55</v>
      </c>
      <c r="R21" s="6"/>
      <c r="S21" s="6"/>
      <c r="T21" s="156"/>
      <c r="U21" s="6"/>
    </row>
    <row r="22" spans="1:21" customFormat="1">
      <c r="A22" s="163" t="s">
        <v>1981</v>
      </c>
      <c r="B22" s="100">
        <v>7.74</v>
      </c>
      <c r="C22" s="100">
        <v>12.47</v>
      </c>
      <c r="D22" s="100">
        <v>11.73</v>
      </c>
      <c r="E22" s="100">
        <v>6.52</v>
      </c>
      <c r="F22" s="100">
        <v>7.66</v>
      </c>
      <c r="G22" s="100">
        <v>97.92</v>
      </c>
      <c r="H22" s="100">
        <v>34.72</v>
      </c>
      <c r="I22" s="100">
        <v>13.99</v>
      </c>
      <c r="J22" s="100">
        <v>2.0099999999999998</v>
      </c>
      <c r="K22" s="100">
        <v>122.87</v>
      </c>
      <c r="L22" s="100">
        <v>32.409999999999997</v>
      </c>
      <c r="M22" s="100">
        <v>59.95</v>
      </c>
      <c r="N22" s="100">
        <v>23.2</v>
      </c>
      <c r="O22" s="100">
        <v>0</v>
      </c>
      <c r="P22" s="100">
        <v>0.69</v>
      </c>
      <c r="Q22" s="100">
        <v>28.72</v>
      </c>
      <c r="R22" s="6"/>
      <c r="S22" s="6"/>
      <c r="T22" s="156"/>
      <c r="U22" s="6"/>
    </row>
    <row r="23" spans="1:21" customFormat="1">
      <c r="A23" s="163" t="s">
        <v>1982</v>
      </c>
      <c r="B23" s="100">
        <v>7.66</v>
      </c>
      <c r="C23" s="100">
        <v>12.27</v>
      </c>
      <c r="D23" s="100">
        <v>11.56</v>
      </c>
      <c r="E23" s="100">
        <v>6.37</v>
      </c>
      <c r="F23" s="100">
        <v>9.32</v>
      </c>
      <c r="G23" s="100">
        <v>97.92</v>
      </c>
      <c r="H23" s="100">
        <v>34.72</v>
      </c>
      <c r="I23" s="100">
        <v>13.3</v>
      </c>
      <c r="J23" s="100">
        <v>2.2599999999999998</v>
      </c>
      <c r="K23" s="100">
        <v>150.63</v>
      </c>
      <c r="L23" s="100">
        <v>32.39</v>
      </c>
      <c r="M23" s="100">
        <v>56.7</v>
      </c>
      <c r="N23" s="100">
        <v>22.9</v>
      </c>
      <c r="O23" s="100">
        <v>0</v>
      </c>
      <c r="P23" s="100">
        <v>0.63</v>
      </c>
      <c r="Q23" s="100">
        <v>28.76</v>
      </c>
      <c r="R23" s="6"/>
      <c r="S23" s="6"/>
      <c r="T23" s="156"/>
      <c r="U23" s="6"/>
    </row>
    <row r="24" spans="1:21" customFormat="1">
      <c r="A24" s="163" t="s">
        <v>1983</v>
      </c>
      <c r="B24" s="100">
        <v>7.4</v>
      </c>
      <c r="C24" s="100">
        <v>10.54</v>
      </c>
      <c r="D24" s="100">
        <v>10.45</v>
      </c>
      <c r="E24" s="100">
        <v>6.5</v>
      </c>
      <c r="F24" s="100">
        <v>9.7799999999999994</v>
      </c>
      <c r="G24" s="100">
        <v>90.97</v>
      </c>
      <c r="H24" s="100">
        <v>33.4</v>
      </c>
      <c r="I24" s="100">
        <v>12.74</v>
      </c>
      <c r="J24" s="100">
        <v>1.97</v>
      </c>
      <c r="K24" s="100">
        <v>149.71</v>
      </c>
      <c r="L24" s="100">
        <v>32.26</v>
      </c>
      <c r="M24" s="100">
        <v>56.51</v>
      </c>
      <c r="N24" s="100">
        <v>23.2</v>
      </c>
      <c r="O24" s="100">
        <v>0</v>
      </c>
      <c r="P24" s="100">
        <v>0.63</v>
      </c>
      <c r="Q24" s="100">
        <v>28.92</v>
      </c>
      <c r="R24" s="6"/>
      <c r="S24" s="6"/>
      <c r="T24" s="156"/>
      <c r="U24" s="6"/>
    </row>
    <row r="25" spans="1:21" customFormat="1">
      <c r="A25" s="163" t="s">
        <v>1984</v>
      </c>
      <c r="B25" s="100">
        <v>7.27</v>
      </c>
      <c r="C25" s="100">
        <v>11.88</v>
      </c>
      <c r="D25" s="100">
        <v>11.04</v>
      </c>
      <c r="E25" s="100">
        <v>6.3</v>
      </c>
      <c r="F25" s="100">
        <v>9.1999999999999993</v>
      </c>
      <c r="G25" s="100">
        <v>65.010000000000005</v>
      </c>
      <c r="H25" s="100">
        <v>28.45</v>
      </c>
      <c r="I25" s="100">
        <v>12.35</v>
      </c>
      <c r="J25" s="100">
        <v>2.83</v>
      </c>
      <c r="K25" s="100">
        <v>139.34</v>
      </c>
      <c r="L25" s="100">
        <v>31.78</v>
      </c>
      <c r="M25" s="100">
        <v>58.7</v>
      </c>
      <c r="N25" s="100">
        <v>23.4</v>
      </c>
      <c r="O25" s="100">
        <v>0</v>
      </c>
      <c r="P25" s="100">
        <v>0.64</v>
      </c>
      <c r="Q25" s="100">
        <v>28.87</v>
      </c>
      <c r="R25" s="6"/>
      <c r="S25" s="6"/>
      <c r="T25" s="156"/>
      <c r="U25" s="6"/>
    </row>
    <row r="26" spans="1:21" customFormat="1">
      <c r="A26" s="163" t="s">
        <v>1985</v>
      </c>
      <c r="B26" s="100">
        <v>7.2</v>
      </c>
      <c r="C26" s="100">
        <v>12.91</v>
      </c>
      <c r="D26" s="100">
        <v>11.52</v>
      </c>
      <c r="E26" s="100">
        <v>6.08</v>
      </c>
      <c r="F26" s="100">
        <v>7.37</v>
      </c>
      <c r="G26" s="100">
        <v>65.010000000000005</v>
      </c>
      <c r="H26" s="100">
        <v>28.45</v>
      </c>
      <c r="I26" s="100">
        <v>12.15</v>
      </c>
      <c r="J26" s="100">
        <v>2.67</v>
      </c>
      <c r="K26" s="100">
        <v>115.53</v>
      </c>
      <c r="L26" s="100">
        <v>31.44</v>
      </c>
      <c r="M26" s="100">
        <v>59.93</v>
      </c>
      <c r="N26" s="100">
        <v>23.4</v>
      </c>
      <c r="O26" s="100">
        <v>0</v>
      </c>
      <c r="P26" s="100">
        <v>0.63</v>
      </c>
      <c r="Q26" s="100">
        <v>28.84</v>
      </c>
      <c r="R26" s="6"/>
      <c r="S26" s="6"/>
      <c r="T26" s="156"/>
      <c r="U26" s="6"/>
    </row>
    <row r="27" spans="1:21" customFormat="1">
      <c r="A27" s="163" t="s">
        <v>1986</v>
      </c>
      <c r="B27" s="100">
        <v>7.37</v>
      </c>
      <c r="C27" s="100">
        <v>14.62</v>
      </c>
      <c r="D27" s="100">
        <v>12.56</v>
      </c>
      <c r="E27" s="100">
        <v>6.16</v>
      </c>
      <c r="F27" s="100">
        <v>7.37</v>
      </c>
      <c r="G27" s="100">
        <v>65.010000000000005</v>
      </c>
      <c r="H27" s="100">
        <v>28.45</v>
      </c>
      <c r="I27" s="100">
        <v>12.25</v>
      </c>
      <c r="J27" s="100">
        <v>1.41</v>
      </c>
      <c r="K27" s="100">
        <v>86.15</v>
      </c>
      <c r="L27" s="100">
        <v>31.22</v>
      </c>
      <c r="M27" s="100">
        <v>61.06</v>
      </c>
      <c r="N27" s="100">
        <v>23.3</v>
      </c>
      <c r="O27" s="100">
        <v>0</v>
      </c>
      <c r="P27" s="100">
        <v>0.61</v>
      </c>
      <c r="Q27" s="100">
        <v>28.61</v>
      </c>
      <c r="R27" s="6"/>
      <c r="S27" s="6"/>
      <c r="T27" s="156"/>
      <c r="U27" s="6"/>
    </row>
    <row r="28" spans="1:21" customFormat="1">
      <c r="A28" s="163" t="s">
        <v>1987</v>
      </c>
      <c r="B28" s="100">
        <v>6.94</v>
      </c>
      <c r="C28" s="100">
        <v>14.32</v>
      </c>
      <c r="D28" s="100">
        <v>12.05</v>
      </c>
      <c r="E28" s="100">
        <v>6.01</v>
      </c>
      <c r="F28" s="100">
        <v>7.2</v>
      </c>
      <c r="G28" s="100">
        <v>64.31</v>
      </c>
      <c r="H28" s="100">
        <v>28.14</v>
      </c>
      <c r="I28" s="100">
        <v>12.45</v>
      </c>
      <c r="J28" s="100">
        <v>2.36</v>
      </c>
      <c r="K28" s="100">
        <v>92.38</v>
      </c>
      <c r="L28" s="100">
        <v>30.97</v>
      </c>
      <c r="M28" s="100">
        <v>62.46</v>
      </c>
      <c r="N28" s="100">
        <v>23.3</v>
      </c>
      <c r="O28" s="100">
        <v>0</v>
      </c>
      <c r="P28" s="100">
        <v>0.6</v>
      </c>
      <c r="Q28" s="100">
        <v>28.64</v>
      </c>
      <c r="R28" s="6"/>
      <c r="S28" s="6"/>
      <c r="T28" s="156"/>
      <c r="U28" s="6"/>
    </row>
    <row r="29" spans="1:21" customFormat="1">
      <c r="A29" s="163" t="s">
        <v>1988</v>
      </c>
      <c r="B29" s="100">
        <v>6.96</v>
      </c>
      <c r="C29" s="100">
        <v>14.74</v>
      </c>
      <c r="D29" s="100">
        <v>12.29</v>
      </c>
      <c r="E29" s="100">
        <v>4.87</v>
      </c>
      <c r="F29" s="100">
        <v>7.63</v>
      </c>
      <c r="G29" s="100">
        <v>61.69</v>
      </c>
      <c r="H29" s="100">
        <v>26.95</v>
      </c>
      <c r="I29" s="100">
        <v>12.21</v>
      </c>
      <c r="J29" s="100">
        <v>2.33</v>
      </c>
      <c r="K29" s="100">
        <v>99.13</v>
      </c>
      <c r="L29" s="100">
        <v>30.78</v>
      </c>
      <c r="M29" s="100">
        <v>63.14</v>
      </c>
      <c r="N29" s="100">
        <v>23.9</v>
      </c>
      <c r="O29" s="100">
        <v>0</v>
      </c>
      <c r="P29" s="100">
        <v>0.56999999999999995</v>
      </c>
      <c r="Q29" s="100">
        <v>28.65</v>
      </c>
      <c r="R29" s="6"/>
      <c r="S29" s="6"/>
      <c r="T29" s="156"/>
      <c r="U29" s="6"/>
    </row>
    <row r="30" spans="1:21" customFormat="1">
      <c r="A30" s="163" t="s">
        <v>1989</v>
      </c>
      <c r="B30" s="100">
        <v>7.04</v>
      </c>
      <c r="C30" s="100">
        <v>14.57</v>
      </c>
      <c r="D30" s="100">
        <v>12.26</v>
      </c>
      <c r="E30" s="100">
        <v>6.44</v>
      </c>
      <c r="F30" s="100">
        <v>7.13</v>
      </c>
      <c r="G30" s="100">
        <v>61.69</v>
      </c>
      <c r="H30" s="100">
        <v>26.95</v>
      </c>
      <c r="I30" s="100">
        <v>11.89</v>
      </c>
      <c r="J30" s="100">
        <v>2.64</v>
      </c>
      <c r="K30" s="100">
        <v>89.95</v>
      </c>
      <c r="L30" s="100">
        <v>30.56</v>
      </c>
      <c r="M30" s="100">
        <v>64.13</v>
      </c>
      <c r="N30" s="100">
        <v>26.7</v>
      </c>
      <c r="O30" s="100">
        <v>0</v>
      </c>
      <c r="P30" s="100">
        <v>0.57999999999999996</v>
      </c>
      <c r="Q30" s="100">
        <v>28.6</v>
      </c>
      <c r="R30" s="6"/>
      <c r="S30" s="6"/>
      <c r="T30" s="156"/>
      <c r="U30" s="6"/>
    </row>
    <row r="31" spans="1:21" customFormat="1">
      <c r="A31" s="163" t="s">
        <v>1990</v>
      </c>
      <c r="B31" s="100">
        <v>7.17</v>
      </c>
      <c r="C31" s="100">
        <v>14.51</v>
      </c>
      <c r="D31" s="100">
        <v>12.34</v>
      </c>
      <c r="E31" s="100">
        <v>6.08</v>
      </c>
      <c r="F31" s="100">
        <v>6.58</v>
      </c>
      <c r="G31" s="100">
        <v>61.69</v>
      </c>
      <c r="H31" s="100">
        <v>26.95</v>
      </c>
      <c r="I31" s="100">
        <v>11.62</v>
      </c>
      <c r="J31" s="100">
        <v>2.89</v>
      </c>
      <c r="K31" s="100">
        <v>97.09</v>
      </c>
      <c r="L31" s="100">
        <v>30.51</v>
      </c>
      <c r="M31" s="100">
        <v>65.19</v>
      </c>
      <c r="N31" s="100">
        <v>33.1</v>
      </c>
      <c r="O31" s="100">
        <v>0</v>
      </c>
      <c r="P31" s="100">
        <v>0.59</v>
      </c>
      <c r="Q31" s="100">
        <v>28.6</v>
      </c>
      <c r="R31" s="6"/>
      <c r="S31" s="6"/>
      <c r="T31" s="156"/>
      <c r="U31" s="6"/>
    </row>
    <row r="32" spans="1:21" customFormat="1">
      <c r="A32" s="163" t="s">
        <v>1991</v>
      </c>
      <c r="B32" s="100">
        <v>8.44</v>
      </c>
      <c r="C32" s="100">
        <v>15.91</v>
      </c>
      <c r="D32" s="100">
        <v>14.09</v>
      </c>
      <c r="E32" s="100">
        <v>6.25</v>
      </c>
      <c r="F32" s="100">
        <v>3.97</v>
      </c>
      <c r="G32" s="100">
        <v>58.88</v>
      </c>
      <c r="H32" s="100">
        <v>26.63</v>
      </c>
      <c r="I32" s="100">
        <v>11.59</v>
      </c>
      <c r="J32" s="100">
        <v>2.75</v>
      </c>
      <c r="K32" s="100">
        <v>101.93</v>
      </c>
      <c r="L32" s="100">
        <v>30.7</v>
      </c>
      <c r="M32" s="100">
        <v>65.41</v>
      </c>
      <c r="N32" s="100">
        <v>45.4</v>
      </c>
      <c r="O32" s="100">
        <v>0</v>
      </c>
      <c r="P32" s="100">
        <v>0.62</v>
      </c>
      <c r="Q32" s="100">
        <v>28.46</v>
      </c>
      <c r="R32" s="6"/>
      <c r="S32" s="6"/>
      <c r="T32" s="156"/>
      <c r="U32" s="6"/>
    </row>
    <row r="33" spans="1:21" customFormat="1">
      <c r="A33" s="163" t="s">
        <v>1992</v>
      </c>
      <c r="B33" s="100">
        <v>8.83</v>
      </c>
      <c r="C33" s="100">
        <v>18.329999999999998</v>
      </c>
      <c r="D33" s="100">
        <v>15.66</v>
      </c>
      <c r="E33" s="100">
        <v>6.34</v>
      </c>
      <c r="F33" s="100">
        <v>3.77</v>
      </c>
      <c r="G33" s="100">
        <v>47.63</v>
      </c>
      <c r="H33" s="100">
        <v>25.43</v>
      </c>
      <c r="I33" s="100">
        <v>11.76</v>
      </c>
      <c r="J33" s="100">
        <v>3.53</v>
      </c>
      <c r="K33" s="100">
        <v>146.49</v>
      </c>
      <c r="L33" s="100">
        <v>31.12</v>
      </c>
      <c r="M33" s="100">
        <v>64.11</v>
      </c>
      <c r="N33" s="100">
        <v>60.4</v>
      </c>
      <c r="O33" s="100">
        <v>0</v>
      </c>
      <c r="P33" s="100">
        <v>0.6</v>
      </c>
      <c r="Q33" s="100">
        <v>28.37</v>
      </c>
      <c r="R33" s="6"/>
      <c r="S33" s="6"/>
      <c r="T33" s="156"/>
      <c r="U33" s="6"/>
    </row>
    <row r="34" spans="1:21" customFormat="1">
      <c r="A34" s="163" t="s">
        <v>1993</v>
      </c>
      <c r="B34" s="100">
        <v>8.68</v>
      </c>
      <c r="C34" s="100">
        <v>18.48</v>
      </c>
      <c r="D34" s="100">
        <v>15.62</v>
      </c>
      <c r="E34" s="100">
        <v>6.63</v>
      </c>
      <c r="F34" s="100">
        <v>5.85</v>
      </c>
      <c r="G34" s="100">
        <v>47.63</v>
      </c>
      <c r="H34" s="100">
        <v>25.43</v>
      </c>
      <c r="I34" s="100">
        <v>12.25</v>
      </c>
      <c r="J34" s="100">
        <v>3.21</v>
      </c>
      <c r="K34" s="100">
        <v>144.69999999999999</v>
      </c>
      <c r="L34" s="100">
        <v>31.93</v>
      </c>
      <c r="M34" s="100">
        <v>61.93</v>
      </c>
      <c r="N34" s="100">
        <v>73.2</v>
      </c>
      <c r="O34" s="100">
        <v>0</v>
      </c>
      <c r="P34" s="100">
        <v>0.56000000000000005</v>
      </c>
      <c r="Q34" s="100">
        <v>28.59</v>
      </c>
      <c r="R34" s="6"/>
      <c r="S34" s="6"/>
      <c r="T34" s="156"/>
      <c r="U34" s="6"/>
    </row>
    <row r="35" spans="1:21" customFormat="1">
      <c r="A35" s="163" t="s">
        <v>1994</v>
      </c>
      <c r="B35" s="100">
        <v>8.68</v>
      </c>
      <c r="C35" s="100">
        <v>18.48</v>
      </c>
      <c r="D35" s="100">
        <v>15.62</v>
      </c>
      <c r="E35" s="100">
        <v>6.08</v>
      </c>
      <c r="F35" s="100">
        <v>3.96</v>
      </c>
      <c r="G35" s="100">
        <v>47.63</v>
      </c>
      <c r="H35" s="100">
        <v>25.43</v>
      </c>
      <c r="I35" s="100">
        <v>12.33</v>
      </c>
      <c r="J35" s="100">
        <v>2.94</v>
      </c>
      <c r="K35" s="100">
        <v>127.35</v>
      </c>
      <c r="L35" s="100">
        <v>31.92</v>
      </c>
      <c r="M35" s="100">
        <v>61.6</v>
      </c>
      <c r="N35" s="100">
        <v>89.9</v>
      </c>
      <c r="O35" s="100">
        <v>0</v>
      </c>
      <c r="P35" s="100">
        <v>0.6</v>
      </c>
      <c r="Q35" s="100">
        <v>28.72</v>
      </c>
      <c r="R35" s="6"/>
      <c r="S35" s="6"/>
      <c r="T35" s="156"/>
      <c r="U35" s="6"/>
    </row>
    <row r="36" spans="1:21" customFormat="1">
      <c r="A36" s="163" t="s">
        <v>1995</v>
      </c>
      <c r="B36" s="100">
        <v>8.68</v>
      </c>
      <c r="C36" s="100">
        <v>18.48</v>
      </c>
      <c r="D36" s="100">
        <v>15.62</v>
      </c>
      <c r="E36" s="100">
        <v>6.39</v>
      </c>
      <c r="F36" s="100">
        <v>5.3</v>
      </c>
      <c r="G36" s="100">
        <v>48.53</v>
      </c>
      <c r="H36" s="100">
        <v>23.65</v>
      </c>
      <c r="I36" s="100">
        <v>12.1</v>
      </c>
      <c r="J36" s="100">
        <v>1.75</v>
      </c>
      <c r="K36" s="100">
        <v>187.02</v>
      </c>
      <c r="L36" s="100">
        <v>32.29</v>
      </c>
      <c r="M36" s="100">
        <v>59.11</v>
      </c>
      <c r="N36" s="100">
        <v>137.6</v>
      </c>
      <c r="O36" s="100">
        <v>0</v>
      </c>
      <c r="P36" s="100">
        <v>0.57999999999999996</v>
      </c>
      <c r="Q36" s="100">
        <v>28.59</v>
      </c>
      <c r="R36" s="6"/>
      <c r="S36" s="6"/>
      <c r="T36" s="156"/>
      <c r="U36" s="6"/>
    </row>
    <row r="37" spans="1:21" customFormat="1">
      <c r="A37" s="163" t="s">
        <v>1996</v>
      </c>
      <c r="B37" s="100">
        <v>8.68</v>
      </c>
      <c r="C37" s="100">
        <v>18.48</v>
      </c>
      <c r="D37" s="100">
        <v>15.62</v>
      </c>
      <c r="E37" s="100">
        <v>6.68</v>
      </c>
      <c r="F37" s="100">
        <v>9.16</v>
      </c>
      <c r="G37" s="100">
        <v>51.88</v>
      </c>
      <c r="H37" s="100">
        <v>16.97</v>
      </c>
      <c r="I37" s="100">
        <v>12.32</v>
      </c>
      <c r="J37" s="100">
        <v>0.84</v>
      </c>
      <c r="K37" s="100">
        <v>248.39</v>
      </c>
      <c r="L37" s="100">
        <v>32.770000000000003</v>
      </c>
      <c r="M37" s="100">
        <v>57.19</v>
      </c>
      <c r="N37" s="100">
        <v>137.80000000000001</v>
      </c>
      <c r="O37" s="100">
        <v>0</v>
      </c>
      <c r="P37" s="100">
        <v>0.55000000000000004</v>
      </c>
      <c r="Q37" s="100">
        <v>28.75</v>
      </c>
      <c r="R37" s="6"/>
      <c r="S37" s="6"/>
      <c r="T37" s="156"/>
      <c r="U37" s="6"/>
    </row>
    <row r="38" spans="1:21" customFormat="1">
      <c r="A38" s="163" t="s">
        <v>1997</v>
      </c>
      <c r="B38" s="100">
        <v>8.68</v>
      </c>
      <c r="C38" s="100">
        <v>18.48</v>
      </c>
      <c r="D38" s="100">
        <v>15.62</v>
      </c>
      <c r="E38" s="100">
        <v>6.24</v>
      </c>
      <c r="F38" s="100">
        <v>10.97</v>
      </c>
      <c r="G38" s="100">
        <v>51.88</v>
      </c>
      <c r="H38" s="100">
        <v>16.97</v>
      </c>
      <c r="I38" s="100">
        <v>12.22</v>
      </c>
      <c r="J38" s="100">
        <v>2.97</v>
      </c>
      <c r="K38" s="100">
        <v>192.53</v>
      </c>
      <c r="L38" s="100">
        <v>33.14</v>
      </c>
      <c r="M38" s="100">
        <v>56.42</v>
      </c>
      <c r="N38" s="100">
        <v>150.4</v>
      </c>
      <c r="O38" s="100">
        <v>0</v>
      </c>
      <c r="P38" s="100">
        <v>0.54</v>
      </c>
      <c r="Q38" s="100">
        <v>28.82</v>
      </c>
      <c r="R38" s="6"/>
      <c r="S38" s="6"/>
      <c r="T38" s="156"/>
      <c r="U38" s="6"/>
    </row>
    <row r="39" spans="1:21" customFormat="1">
      <c r="A39" s="163" t="s">
        <v>1998</v>
      </c>
      <c r="B39" s="100">
        <v>8.68</v>
      </c>
      <c r="C39" s="100">
        <v>18.48</v>
      </c>
      <c r="D39" s="100">
        <v>15.62</v>
      </c>
      <c r="E39" s="100">
        <v>5.92</v>
      </c>
      <c r="F39" s="100">
        <v>9.9600000000000009</v>
      </c>
      <c r="G39" s="100">
        <v>51.88</v>
      </c>
      <c r="H39" s="100">
        <v>16.97</v>
      </c>
      <c r="I39" s="100">
        <v>11.65</v>
      </c>
      <c r="J39" s="100">
        <v>3.19</v>
      </c>
      <c r="K39" s="100">
        <v>203.92</v>
      </c>
      <c r="L39" s="100">
        <v>33.22</v>
      </c>
      <c r="M39" s="100">
        <v>55.86</v>
      </c>
      <c r="N39" s="100">
        <v>134</v>
      </c>
      <c r="O39" s="100">
        <v>0</v>
      </c>
      <c r="P39" s="100">
        <v>0.54</v>
      </c>
      <c r="Q39" s="100">
        <v>28.8</v>
      </c>
      <c r="R39" s="6"/>
      <c r="S39" s="6"/>
      <c r="T39" s="156"/>
      <c r="U39" s="6"/>
    </row>
    <row r="40" spans="1:21" customFormat="1">
      <c r="A40" s="163" t="s">
        <v>1999</v>
      </c>
      <c r="B40" s="100">
        <v>8.68</v>
      </c>
      <c r="C40" s="100">
        <v>18.48</v>
      </c>
      <c r="D40" s="100">
        <v>15.62</v>
      </c>
      <c r="E40" s="100">
        <v>5.71</v>
      </c>
      <c r="F40" s="100">
        <v>12.17</v>
      </c>
      <c r="G40" s="100">
        <v>50.8</v>
      </c>
      <c r="H40" s="100">
        <v>17.11</v>
      </c>
      <c r="I40" s="100">
        <v>11.31</v>
      </c>
      <c r="J40" s="100">
        <v>1.87</v>
      </c>
      <c r="K40" s="100">
        <v>198.11</v>
      </c>
      <c r="L40" s="100">
        <v>33.549999999999997</v>
      </c>
      <c r="M40" s="100">
        <v>55.14</v>
      </c>
      <c r="N40" s="100">
        <v>262.8</v>
      </c>
      <c r="O40" s="100">
        <v>0</v>
      </c>
      <c r="P40" s="100">
        <v>0.55000000000000004</v>
      </c>
      <c r="Q40" s="100">
        <v>28.78</v>
      </c>
      <c r="R40" s="6"/>
      <c r="S40" s="6"/>
      <c r="T40" s="156"/>
      <c r="U40" s="6"/>
    </row>
    <row r="41" spans="1:21" customFormat="1">
      <c r="A41" s="163" t="s">
        <v>2000</v>
      </c>
      <c r="B41" s="100">
        <v>8.68</v>
      </c>
      <c r="C41" s="100">
        <v>18.48</v>
      </c>
      <c r="D41" s="100">
        <v>15.62</v>
      </c>
      <c r="E41" s="100">
        <v>5.21</v>
      </c>
      <c r="F41" s="100">
        <v>9.42</v>
      </c>
      <c r="G41" s="100">
        <v>46.75</v>
      </c>
      <c r="H41" s="100">
        <v>17.61</v>
      </c>
      <c r="I41" s="100">
        <v>11.23</v>
      </c>
      <c r="J41" s="100">
        <v>2.78</v>
      </c>
      <c r="K41" s="100">
        <v>242.62</v>
      </c>
      <c r="L41" s="100">
        <v>34</v>
      </c>
      <c r="M41" s="100">
        <v>54.03</v>
      </c>
      <c r="N41" s="100">
        <v>383.2</v>
      </c>
      <c r="O41" s="100">
        <v>0</v>
      </c>
      <c r="P41" s="100">
        <v>0.56999999999999995</v>
      </c>
      <c r="Q41" s="100">
        <v>28.76</v>
      </c>
      <c r="R41" s="6"/>
      <c r="S41" s="6"/>
      <c r="T41" s="156"/>
      <c r="U41" s="6"/>
    </row>
    <row r="42" spans="1:21" customFormat="1">
      <c r="A42" s="163" t="s">
        <v>2001</v>
      </c>
      <c r="B42" s="100">
        <v>8.68</v>
      </c>
      <c r="C42" s="100">
        <v>18.48</v>
      </c>
      <c r="D42" s="100">
        <v>15.62</v>
      </c>
      <c r="E42" s="100">
        <v>5.64</v>
      </c>
      <c r="F42" s="100">
        <v>7.87</v>
      </c>
      <c r="G42" s="100">
        <v>46.75</v>
      </c>
      <c r="H42" s="100">
        <v>17.61</v>
      </c>
      <c r="I42" s="100">
        <v>11.22</v>
      </c>
      <c r="J42" s="100">
        <v>4.41</v>
      </c>
      <c r="K42" s="100">
        <v>254.53</v>
      </c>
      <c r="L42" s="100">
        <v>33.840000000000003</v>
      </c>
      <c r="M42" s="100">
        <v>53.98</v>
      </c>
      <c r="N42" s="100">
        <v>402.6</v>
      </c>
      <c r="O42" s="100">
        <v>0</v>
      </c>
      <c r="P42" s="100">
        <v>0.6</v>
      </c>
      <c r="Q42" s="100">
        <v>28.59</v>
      </c>
      <c r="R42" s="6"/>
      <c r="S42" s="6"/>
      <c r="T42" s="156"/>
      <c r="U42" s="6"/>
    </row>
    <row r="43" spans="1:21" customFormat="1">
      <c r="A43" s="163" t="s">
        <v>2002</v>
      </c>
      <c r="B43" s="100">
        <v>8.68</v>
      </c>
      <c r="C43" s="100">
        <v>18.48</v>
      </c>
      <c r="D43" s="100">
        <v>15.62</v>
      </c>
      <c r="E43" s="100">
        <v>5.36</v>
      </c>
      <c r="F43" s="100">
        <v>9.5299999999999994</v>
      </c>
      <c r="G43" s="100">
        <v>46.75</v>
      </c>
      <c r="H43" s="100">
        <v>17.61</v>
      </c>
      <c r="I43" s="100">
        <v>11.63</v>
      </c>
      <c r="J43" s="100">
        <v>3.34</v>
      </c>
      <c r="K43" s="100">
        <v>251.07</v>
      </c>
      <c r="L43" s="100">
        <v>33.909999999999997</v>
      </c>
      <c r="M43" s="100">
        <v>52.9</v>
      </c>
      <c r="N43" s="100">
        <v>449.3</v>
      </c>
      <c r="O43" s="100">
        <v>0</v>
      </c>
      <c r="P43" s="100">
        <v>0.57999999999999996</v>
      </c>
      <c r="Q43" s="100">
        <v>28.6</v>
      </c>
      <c r="R43" s="6"/>
      <c r="S43" s="6"/>
      <c r="T43" s="156"/>
      <c r="U43" s="6"/>
    </row>
    <row r="44" spans="1:21" customFormat="1">
      <c r="A44" s="163" t="s">
        <v>2003</v>
      </c>
      <c r="B44" s="100">
        <v>8.68</v>
      </c>
      <c r="C44" s="100">
        <v>18.48</v>
      </c>
      <c r="D44" s="100">
        <v>15.62</v>
      </c>
      <c r="E44" s="100">
        <v>5.55</v>
      </c>
      <c r="F44" s="100">
        <v>9.6300000000000008</v>
      </c>
      <c r="G44" s="100">
        <v>46.52</v>
      </c>
      <c r="H44" s="100">
        <v>17.97</v>
      </c>
      <c r="I44" s="100">
        <v>11.93</v>
      </c>
      <c r="J44" s="100">
        <v>3.7</v>
      </c>
      <c r="K44" s="100">
        <v>245.23</v>
      </c>
      <c r="L44" s="100">
        <v>34.56</v>
      </c>
      <c r="M44" s="100">
        <v>50.82</v>
      </c>
      <c r="N44" s="100">
        <v>479</v>
      </c>
      <c r="O44" s="100">
        <v>0</v>
      </c>
      <c r="P44" s="100">
        <v>0.6</v>
      </c>
      <c r="Q44" s="100">
        <v>28.7</v>
      </c>
      <c r="R44" s="6"/>
      <c r="S44" s="6"/>
      <c r="T44" s="156"/>
      <c r="U44" s="6"/>
    </row>
    <row r="45" spans="1:21" customFormat="1">
      <c r="A45" s="163" t="s">
        <v>2004</v>
      </c>
      <c r="B45" s="100">
        <v>8.68</v>
      </c>
      <c r="C45" s="100">
        <v>18.48</v>
      </c>
      <c r="D45" s="100">
        <v>15.62</v>
      </c>
      <c r="E45" s="100">
        <v>5.45</v>
      </c>
      <c r="F45" s="100">
        <v>5.57</v>
      </c>
      <c r="G45" s="100">
        <v>45.67</v>
      </c>
      <c r="H45" s="100">
        <v>19.29</v>
      </c>
      <c r="I45" s="100">
        <v>11.85</v>
      </c>
      <c r="J45" s="100">
        <v>3.56</v>
      </c>
      <c r="K45" s="100">
        <v>219.92</v>
      </c>
      <c r="L45" s="100">
        <v>35.03</v>
      </c>
      <c r="M45" s="100">
        <v>49.44</v>
      </c>
      <c r="N45" s="100">
        <v>264.7</v>
      </c>
      <c r="O45" s="100">
        <v>0</v>
      </c>
      <c r="P45" s="100">
        <v>0.62</v>
      </c>
      <c r="Q45" s="100">
        <v>28.68</v>
      </c>
      <c r="R45" s="6"/>
      <c r="S45" s="6"/>
      <c r="T45" s="156"/>
      <c r="U45" s="6"/>
    </row>
    <row r="46" spans="1:21" customFormat="1">
      <c r="A46" s="163" t="s">
        <v>2005</v>
      </c>
      <c r="B46" s="100">
        <v>8.68</v>
      </c>
      <c r="C46" s="100">
        <v>18.48</v>
      </c>
      <c r="D46" s="100">
        <v>15.62</v>
      </c>
      <c r="E46" s="100">
        <v>5.78</v>
      </c>
      <c r="F46" s="100">
        <v>5.94</v>
      </c>
      <c r="G46" s="100">
        <v>45.67</v>
      </c>
      <c r="H46" s="100">
        <v>19.29</v>
      </c>
      <c r="I46" s="100">
        <v>11.97</v>
      </c>
      <c r="J46" s="100">
        <v>3.29</v>
      </c>
      <c r="K46" s="100">
        <v>215.43</v>
      </c>
      <c r="L46" s="100">
        <v>35.619999999999997</v>
      </c>
      <c r="M46" s="100">
        <v>47.83</v>
      </c>
      <c r="N46" s="100">
        <v>304</v>
      </c>
      <c r="O46" s="100">
        <v>0</v>
      </c>
      <c r="P46" s="100">
        <v>0.6</v>
      </c>
      <c r="Q46" s="100">
        <v>28.72</v>
      </c>
      <c r="R46" s="6"/>
      <c r="S46" s="6"/>
      <c r="T46" s="156"/>
      <c r="U46" s="6"/>
    </row>
    <row r="47" spans="1:21" customFormat="1">
      <c r="A47" s="163" t="s">
        <v>2006</v>
      </c>
      <c r="B47" s="100">
        <v>8.68</v>
      </c>
      <c r="C47" s="100">
        <v>18.48</v>
      </c>
      <c r="D47" s="100">
        <v>15.62</v>
      </c>
      <c r="E47" s="100">
        <v>6.19</v>
      </c>
      <c r="F47" s="100">
        <v>11.38</v>
      </c>
      <c r="G47" s="100">
        <v>45.67</v>
      </c>
      <c r="H47" s="100">
        <v>19.29</v>
      </c>
      <c r="I47" s="100">
        <v>12.12</v>
      </c>
      <c r="J47" s="100">
        <v>2.89</v>
      </c>
      <c r="K47" s="100">
        <v>214.11</v>
      </c>
      <c r="L47" s="100">
        <v>36.11</v>
      </c>
      <c r="M47" s="100">
        <v>46.5</v>
      </c>
      <c r="N47" s="100">
        <v>634.6</v>
      </c>
      <c r="O47" s="100">
        <v>0</v>
      </c>
      <c r="P47" s="100">
        <v>0.56000000000000005</v>
      </c>
      <c r="Q47" s="100">
        <v>28.85</v>
      </c>
      <c r="R47" s="6"/>
      <c r="S47" s="6"/>
      <c r="T47" s="156"/>
      <c r="U47" s="6"/>
    </row>
    <row r="48" spans="1:21" customFormat="1">
      <c r="A48" s="163" t="s">
        <v>2007</v>
      </c>
      <c r="B48" s="100">
        <v>8.68</v>
      </c>
      <c r="C48" s="100">
        <v>18.48</v>
      </c>
      <c r="D48" s="100">
        <v>15.62</v>
      </c>
      <c r="E48" s="100">
        <v>6.03</v>
      </c>
      <c r="F48" s="100">
        <v>14.63</v>
      </c>
      <c r="G48" s="100">
        <v>44.97</v>
      </c>
      <c r="H48" s="100">
        <v>18.45</v>
      </c>
      <c r="I48" s="100">
        <v>11.96</v>
      </c>
      <c r="J48" s="100">
        <v>3.27</v>
      </c>
      <c r="K48" s="100">
        <v>188</v>
      </c>
      <c r="L48" s="100">
        <v>37.26</v>
      </c>
      <c r="M48" s="100">
        <v>42.72</v>
      </c>
      <c r="N48" s="100">
        <v>697.6</v>
      </c>
      <c r="O48" s="100">
        <v>0</v>
      </c>
      <c r="P48" s="100">
        <v>0.52</v>
      </c>
      <c r="Q48" s="100">
        <v>29.15</v>
      </c>
      <c r="R48" s="6"/>
      <c r="S48" s="6"/>
      <c r="T48" s="156"/>
      <c r="U48" s="6"/>
    </row>
    <row r="49" spans="1:21" customFormat="1">
      <c r="A49" s="163" t="s">
        <v>2008</v>
      </c>
      <c r="B49" s="100">
        <v>8.68</v>
      </c>
      <c r="C49" s="100">
        <v>18.48</v>
      </c>
      <c r="D49" s="100">
        <v>15.62</v>
      </c>
      <c r="E49" s="100">
        <v>5.99</v>
      </c>
      <c r="F49" s="100">
        <v>18.75</v>
      </c>
      <c r="G49" s="100">
        <v>42.36</v>
      </c>
      <c r="H49" s="100">
        <v>15.32</v>
      </c>
      <c r="I49" s="100">
        <v>11.63</v>
      </c>
      <c r="J49" s="100">
        <v>2.99</v>
      </c>
      <c r="K49" s="100">
        <v>195.24</v>
      </c>
      <c r="L49" s="100">
        <v>37.479999999999997</v>
      </c>
      <c r="M49" s="100">
        <v>42.14</v>
      </c>
      <c r="N49" s="100">
        <v>736.1</v>
      </c>
      <c r="O49" s="100">
        <v>0</v>
      </c>
      <c r="P49" s="100">
        <v>0.52</v>
      </c>
      <c r="Q49" s="100">
        <v>29.22</v>
      </c>
      <c r="R49" s="6"/>
      <c r="S49" s="6"/>
      <c r="T49" s="156"/>
      <c r="U49" s="6"/>
    </row>
    <row r="50" spans="1:21" customFormat="1">
      <c r="A50" s="163" t="s">
        <v>2009</v>
      </c>
      <c r="B50" s="100">
        <v>8.68</v>
      </c>
      <c r="C50" s="100">
        <v>18.48</v>
      </c>
      <c r="D50" s="100">
        <v>15.62</v>
      </c>
      <c r="E50" s="100">
        <v>5.74</v>
      </c>
      <c r="F50" s="100">
        <v>11.31</v>
      </c>
      <c r="G50" s="100">
        <v>42.36</v>
      </c>
      <c r="H50" s="100">
        <v>15.32</v>
      </c>
      <c r="I50" s="100">
        <v>11</v>
      </c>
      <c r="J50" s="100">
        <v>2.98</v>
      </c>
      <c r="K50" s="100">
        <v>223.58</v>
      </c>
      <c r="L50" s="100">
        <v>37.549999999999997</v>
      </c>
      <c r="M50" s="100">
        <v>41.82</v>
      </c>
      <c r="N50" s="100">
        <v>765.8</v>
      </c>
      <c r="O50" s="100">
        <v>0</v>
      </c>
      <c r="P50" s="100">
        <v>0.55000000000000004</v>
      </c>
      <c r="Q50" s="100">
        <v>29.2</v>
      </c>
      <c r="R50" s="6"/>
      <c r="S50" s="6"/>
      <c r="T50" s="156"/>
      <c r="U50" s="6"/>
    </row>
    <row r="51" spans="1:21" customFormat="1">
      <c r="A51" s="163" t="s">
        <v>2010</v>
      </c>
      <c r="B51" s="100">
        <v>8.68</v>
      </c>
      <c r="C51" s="100">
        <v>18.48</v>
      </c>
      <c r="D51" s="100">
        <v>15.62</v>
      </c>
      <c r="E51" s="100">
        <v>5.83</v>
      </c>
      <c r="F51" s="100">
        <v>16.920000000000002</v>
      </c>
      <c r="G51" s="100">
        <v>42.36</v>
      </c>
      <c r="H51" s="100">
        <v>15.32</v>
      </c>
      <c r="I51" s="100">
        <v>11.01</v>
      </c>
      <c r="J51" s="100">
        <v>2.29</v>
      </c>
      <c r="K51" s="100">
        <v>188.72</v>
      </c>
      <c r="L51" s="100">
        <v>37.9</v>
      </c>
      <c r="M51" s="100">
        <v>41.03</v>
      </c>
      <c r="N51" s="100">
        <v>785.3</v>
      </c>
      <c r="O51" s="100">
        <v>0</v>
      </c>
      <c r="P51" s="100">
        <v>0.51</v>
      </c>
      <c r="Q51" s="100">
        <v>29.14</v>
      </c>
      <c r="R51" s="6"/>
      <c r="S51" s="6"/>
      <c r="T51" s="156"/>
      <c r="U51" s="6"/>
    </row>
    <row r="52" spans="1:21" customFormat="1">
      <c r="A52" s="163" t="s">
        <v>2011</v>
      </c>
      <c r="B52" s="100">
        <v>8.68</v>
      </c>
      <c r="C52" s="100">
        <v>18.48</v>
      </c>
      <c r="D52" s="100">
        <v>15.62</v>
      </c>
      <c r="E52" s="100">
        <v>5.84</v>
      </c>
      <c r="F52" s="100">
        <v>20.46</v>
      </c>
      <c r="G52" s="100">
        <v>41.19</v>
      </c>
      <c r="H52" s="100">
        <v>15.62</v>
      </c>
      <c r="I52" s="100">
        <v>10.91</v>
      </c>
      <c r="J52" s="100">
        <v>2.73</v>
      </c>
      <c r="K52" s="100">
        <v>212.8</v>
      </c>
      <c r="L52" s="100">
        <v>38.36</v>
      </c>
      <c r="M52" s="100">
        <v>39.79</v>
      </c>
      <c r="N52" s="100">
        <v>802.3</v>
      </c>
      <c r="O52" s="100">
        <v>0</v>
      </c>
      <c r="P52" s="100">
        <v>0.51</v>
      </c>
      <c r="Q52" s="100">
        <v>29.3</v>
      </c>
      <c r="R52" s="6"/>
      <c r="S52" s="6"/>
      <c r="T52" s="156"/>
      <c r="U52" s="6"/>
    </row>
    <row r="53" spans="1:21" customFormat="1">
      <c r="A53" s="163" t="s">
        <v>2012</v>
      </c>
      <c r="B53" s="100">
        <v>8.68</v>
      </c>
      <c r="C53" s="100">
        <v>18.48</v>
      </c>
      <c r="D53" s="100">
        <v>15.62</v>
      </c>
      <c r="E53" s="100">
        <v>5.37</v>
      </c>
      <c r="F53" s="100">
        <v>19.739999999999998</v>
      </c>
      <c r="G53" s="100">
        <v>36.840000000000003</v>
      </c>
      <c r="H53" s="100">
        <v>16.71</v>
      </c>
      <c r="I53" s="100">
        <v>10.46</v>
      </c>
      <c r="J53" s="100">
        <v>2.3199999999999998</v>
      </c>
      <c r="K53" s="100">
        <v>208.47</v>
      </c>
      <c r="L53" s="100">
        <v>38.72</v>
      </c>
      <c r="M53" s="100">
        <v>39.049999999999997</v>
      </c>
      <c r="N53" s="100">
        <v>814.7</v>
      </c>
      <c r="O53" s="100">
        <v>0</v>
      </c>
      <c r="P53" s="100">
        <v>0.51</v>
      </c>
      <c r="Q53" s="100">
        <v>29.29</v>
      </c>
      <c r="R53" s="6"/>
      <c r="S53" s="6"/>
      <c r="T53" s="156"/>
      <c r="U53" s="6"/>
    </row>
    <row r="54" spans="1:21" customFormat="1">
      <c r="A54" s="163" t="s">
        <v>2013</v>
      </c>
      <c r="B54" s="100">
        <v>8.68</v>
      </c>
      <c r="C54" s="100">
        <v>18.48</v>
      </c>
      <c r="D54" s="100">
        <v>15.62</v>
      </c>
      <c r="E54" s="100">
        <v>5.98</v>
      </c>
      <c r="F54" s="100">
        <v>15.57</v>
      </c>
      <c r="G54" s="100">
        <v>36.840000000000003</v>
      </c>
      <c r="H54" s="100">
        <v>16.71</v>
      </c>
      <c r="I54" s="100">
        <v>9.99</v>
      </c>
      <c r="J54" s="100">
        <v>3.54</v>
      </c>
      <c r="K54" s="100">
        <v>236.01</v>
      </c>
      <c r="L54" s="100">
        <v>38.5</v>
      </c>
      <c r="M54" s="100">
        <v>38.9</v>
      </c>
      <c r="N54" s="100">
        <v>831.7</v>
      </c>
      <c r="O54" s="100">
        <v>0</v>
      </c>
      <c r="P54" s="100">
        <v>0.56000000000000005</v>
      </c>
      <c r="Q54" s="100">
        <v>29.26</v>
      </c>
      <c r="R54" s="6"/>
      <c r="S54" s="6"/>
      <c r="T54" s="156"/>
      <c r="U54" s="6"/>
    </row>
    <row r="55" spans="1:21" customFormat="1">
      <c r="A55" s="163" t="s">
        <v>2014</v>
      </c>
      <c r="B55" s="100">
        <v>8.68</v>
      </c>
      <c r="C55" s="100">
        <v>18.48</v>
      </c>
      <c r="D55" s="100">
        <v>15.62</v>
      </c>
      <c r="E55" s="100">
        <v>6.4</v>
      </c>
      <c r="F55" s="100">
        <v>16.84</v>
      </c>
      <c r="G55" s="100">
        <v>36.840000000000003</v>
      </c>
      <c r="H55" s="100">
        <v>16.71</v>
      </c>
      <c r="I55" s="100">
        <v>10.19</v>
      </c>
      <c r="J55" s="100">
        <v>2.88</v>
      </c>
      <c r="K55" s="100">
        <v>243.43</v>
      </c>
      <c r="L55" s="100">
        <v>38.74</v>
      </c>
      <c r="M55" s="100">
        <v>38.49</v>
      </c>
      <c r="N55" s="100">
        <v>817.6</v>
      </c>
      <c r="O55" s="100">
        <v>0</v>
      </c>
      <c r="P55" s="100">
        <v>0.55000000000000004</v>
      </c>
      <c r="Q55" s="100">
        <v>29.26</v>
      </c>
      <c r="R55" s="6"/>
      <c r="S55" s="6"/>
      <c r="T55" s="156"/>
      <c r="U55" s="6"/>
    </row>
    <row r="56" spans="1:21" customFormat="1">
      <c r="A56" s="163" t="s">
        <v>2015</v>
      </c>
      <c r="B56" s="100">
        <v>8.68</v>
      </c>
      <c r="C56" s="100">
        <v>18.48</v>
      </c>
      <c r="D56" s="100">
        <v>15.62</v>
      </c>
      <c r="E56" s="100">
        <v>5.9</v>
      </c>
      <c r="F56" s="100">
        <v>26.69</v>
      </c>
      <c r="G56" s="100">
        <v>35.65</v>
      </c>
      <c r="H56" s="100">
        <v>17.07</v>
      </c>
      <c r="I56" s="100">
        <v>10.220000000000001</v>
      </c>
      <c r="J56" s="100">
        <v>3.08</v>
      </c>
      <c r="K56" s="100">
        <v>216.25</v>
      </c>
      <c r="L56" s="100">
        <v>39.25</v>
      </c>
      <c r="M56" s="100">
        <v>37.44</v>
      </c>
      <c r="N56" s="100">
        <v>628.79999999999995</v>
      </c>
      <c r="O56" s="100">
        <v>0</v>
      </c>
      <c r="P56" s="100">
        <v>0.52</v>
      </c>
      <c r="Q56" s="100">
        <v>29.25</v>
      </c>
      <c r="R56" s="6"/>
      <c r="S56" s="6"/>
      <c r="T56" s="156"/>
      <c r="U56" s="6"/>
    </row>
    <row r="57" spans="1:21" customFormat="1">
      <c r="A57" s="163" t="s">
        <v>2016</v>
      </c>
      <c r="B57" s="100">
        <v>8.68</v>
      </c>
      <c r="C57" s="100">
        <v>18.48</v>
      </c>
      <c r="D57" s="100">
        <v>15.62</v>
      </c>
      <c r="E57" s="100">
        <v>6.17</v>
      </c>
      <c r="F57" s="100">
        <v>27.79</v>
      </c>
      <c r="G57" s="100">
        <v>31.22</v>
      </c>
      <c r="H57" s="100">
        <v>18.41</v>
      </c>
      <c r="I57" s="100">
        <v>10.02</v>
      </c>
      <c r="J57" s="100">
        <v>2.78</v>
      </c>
      <c r="K57" s="100">
        <v>225.08</v>
      </c>
      <c r="L57" s="100">
        <v>39.04</v>
      </c>
      <c r="M57" s="100">
        <v>37.46</v>
      </c>
      <c r="N57" s="100">
        <v>619.4</v>
      </c>
      <c r="O57" s="100">
        <v>0</v>
      </c>
      <c r="P57" s="100">
        <v>0.52</v>
      </c>
      <c r="Q57" s="100">
        <v>29.31</v>
      </c>
      <c r="R57" s="6"/>
      <c r="S57" s="6"/>
      <c r="T57" s="156"/>
      <c r="U57" s="6"/>
    </row>
    <row r="58" spans="1:21" customFormat="1">
      <c r="A58" s="163" t="s">
        <v>2017</v>
      </c>
      <c r="B58" s="100">
        <v>8.68</v>
      </c>
      <c r="C58" s="100">
        <v>18.48</v>
      </c>
      <c r="D58" s="100">
        <v>15.62</v>
      </c>
      <c r="E58" s="100">
        <v>6.49</v>
      </c>
      <c r="F58" s="100">
        <v>12.91</v>
      </c>
      <c r="G58" s="100">
        <v>31.22</v>
      </c>
      <c r="H58" s="100">
        <v>18.41</v>
      </c>
      <c r="I58" s="100">
        <v>10.039999999999999</v>
      </c>
      <c r="J58" s="100">
        <v>3.18</v>
      </c>
      <c r="K58" s="100">
        <v>238.81</v>
      </c>
      <c r="L58" s="100">
        <v>39.61</v>
      </c>
      <c r="M58" s="100">
        <v>36.369999999999997</v>
      </c>
      <c r="N58" s="100">
        <v>817.3</v>
      </c>
      <c r="O58" s="100">
        <v>0</v>
      </c>
      <c r="P58" s="100">
        <v>0.54</v>
      </c>
      <c r="Q58" s="100">
        <v>29.29</v>
      </c>
      <c r="R58" s="6"/>
      <c r="S58" s="6"/>
      <c r="T58" s="156"/>
      <c r="U58" s="6"/>
    </row>
    <row r="59" spans="1:21" customFormat="1">
      <c r="A59" s="163" t="s">
        <v>2018</v>
      </c>
      <c r="B59" s="100">
        <v>8.68</v>
      </c>
      <c r="C59" s="100">
        <v>18.48</v>
      </c>
      <c r="D59" s="100">
        <v>15.62</v>
      </c>
      <c r="E59" s="100">
        <v>6.58</v>
      </c>
      <c r="F59" s="100">
        <v>18.71</v>
      </c>
      <c r="G59" s="100">
        <v>31.22</v>
      </c>
      <c r="H59" s="100">
        <v>18.41</v>
      </c>
      <c r="I59" s="100">
        <v>9.81</v>
      </c>
      <c r="J59" s="100">
        <v>3.31</v>
      </c>
      <c r="K59" s="100">
        <v>213.73</v>
      </c>
      <c r="L59" s="100">
        <v>39.880000000000003</v>
      </c>
      <c r="M59" s="100">
        <v>35.85</v>
      </c>
      <c r="N59" s="100">
        <v>610.79999999999995</v>
      </c>
      <c r="O59" s="100">
        <v>0</v>
      </c>
      <c r="P59" s="100">
        <v>0.53</v>
      </c>
      <c r="Q59" s="100">
        <v>29.11</v>
      </c>
      <c r="R59" s="6"/>
      <c r="S59" s="6"/>
      <c r="T59" s="156"/>
      <c r="U59" s="6"/>
    </row>
    <row r="60" spans="1:21" customFormat="1">
      <c r="A60" s="163" t="s">
        <v>2019</v>
      </c>
      <c r="B60" s="100">
        <v>8.68</v>
      </c>
      <c r="C60" s="100">
        <v>18.48</v>
      </c>
      <c r="D60" s="100">
        <v>15.62</v>
      </c>
      <c r="E60" s="100">
        <v>6.8</v>
      </c>
      <c r="F60" s="100">
        <v>30.09</v>
      </c>
      <c r="G60" s="100">
        <v>32.049999999999997</v>
      </c>
      <c r="H60" s="100">
        <v>17.239999999999998</v>
      </c>
      <c r="I60" s="100">
        <v>9.89</v>
      </c>
      <c r="J60" s="100">
        <v>0.23</v>
      </c>
      <c r="K60" s="100">
        <v>170.53</v>
      </c>
      <c r="L60" s="100">
        <v>40.909999999999997</v>
      </c>
      <c r="M60" s="100">
        <v>33.799999999999997</v>
      </c>
      <c r="N60" s="100">
        <v>827.8</v>
      </c>
      <c r="O60" s="100">
        <v>0</v>
      </c>
      <c r="P60" s="100">
        <v>0.52</v>
      </c>
      <c r="Q60" s="100">
        <v>29.25</v>
      </c>
      <c r="R60" s="6"/>
      <c r="S60" s="6"/>
      <c r="T60" s="156"/>
      <c r="U60" s="6"/>
    </row>
    <row r="61" spans="1:21" customFormat="1">
      <c r="A61" s="163" t="s">
        <v>2020</v>
      </c>
      <c r="B61" s="100">
        <v>8.68</v>
      </c>
      <c r="C61" s="100">
        <v>18.48</v>
      </c>
      <c r="D61" s="100">
        <v>15.62</v>
      </c>
      <c r="E61" s="100">
        <v>7.1</v>
      </c>
      <c r="F61" s="100">
        <v>24.33</v>
      </c>
      <c r="G61" s="100">
        <v>35.159999999999997</v>
      </c>
      <c r="H61" s="100">
        <v>12.89</v>
      </c>
      <c r="I61" s="100">
        <v>10.210000000000001</v>
      </c>
      <c r="J61" s="100">
        <v>3.39</v>
      </c>
      <c r="K61" s="100">
        <v>226.76</v>
      </c>
      <c r="L61" s="100">
        <v>40.74</v>
      </c>
      <c r="M61" s="100">
        <v>33.68</v>
      </c>
      <c r="N61" s="100">
        <v>771.1</v>
      </c>
      <c r="O61" s="100">
        <v>0</v>
      </c>
      <c r="P61" s="100">
        <v>0.5</v>
      </c>
      <c r="Q61" s="100">
        <v>29.29</v>
      </c>
      <c r="R61" s="6"/>
      <c r="S61" s="6"/>
      <c r="T61" s="156"/>
      <c r="U61" s="6"/>
    </row>
    <row r="62" spans="1:21" customFormat="1">
      <c r="A62" s="163" t="s">
        <v>2021</v>
      </c>
      <c r="B62" s="100">
        <v>8.68</v>
      </c>
      <c r="C62" s="100">
        <v>18.48</v>
      </c>
      <c r="D62" s="100">
        <v>15.62</v>
      </c>
      <c r="E62" s="100">
        <v>6.98</v>
      </c>
      <c r="F62" s="100">
        <v>22.06</v>
      </c>
      <c r="G62" s="100">
        <v>35.159999999999997</v>
      </c>
      <c r="H62" s="100">
        <v>12.89</v>
      </c>
      <c r="I62" s="100">
        <v>9.99</v>
      </c>
      <c r="J62" s="100">
        <v>2.23</v>
      </c>
      <c r="K62" s="100">
        <v>219.58</v>
      </c>
      <c r="L62" s="100">
        <v>41.36</v>
      </c>
      <c r="M62" s="100">
        <v>32.01</v>
      </c>
      <c r="N62" s="100">
        <v>816.1</v>
      </c>
      <c r="O62" s="100">
        <v>0</v>
      </c>
      <c r="P62" s="100">
        <v>0.5</v>
      </c>
      <c r="Q62" s="100">
        <v>29.38</v>
      </c>
      <c r="R62" s="6"/>
      <c r="S62" s="6"/>
      <c r="T62" s="156"/>
      <c r="U62" s="6"/>
    </row>
    <row r="63" spans="1:21" customFormat="1">
      <c r="A63" s="163" t="s">
        <v>2022</v>
      </c>
      <c r="B63" s="100">
        <v>8.68</v>
      </c>
      <c r="C63" s="100">
        <v>18.48</v>
      </c>
      <c r="D63" s="100">
        <v>15.62</v>
      </c>
      <c r="E63" s="100">
        <v>6.95</v>
      </c>
      <c r="F63" s="100">
        <v>18.13</v>
      </c>
      <c r="G63" s="100">
        <v>35.159999999999997</v>
      </c>
      <c r="H63" s="100">
        <v>12.89</v>
      </c>
      <c r="I63" s="100">
        <v>9.7200000000000006</v>
      </c>
      <c r="J63" s="100">
        <v>3.21</v>
      </c>
      <c r="K63" s="100">
        <v>225.18</v>
      </c>
      <c r="L63" s="100">
        <v>41.32</v>
      </c>
      <c r="M63" s="100">
        <v>30.51</v>
      </c>
      <c r="N63" s="100">
        <v>800</v>
      </c>
      <c r="O63" s="100">
        <v>0</v>
      </c>
      <c r="P63" s="100">
        <v>0.5</v>
      </c>
      <c r="Q63" s="100">
        <v>29.36</v>
      </c>
      <c r="R63" s="6"/>
      <c r="S63" s="6"/>
      <c r="T63" s="156"/>
      <c r="U63" s="6"/>
    </row>
    <row r="64" spans="1:21" customFormat="1">
      <c r="A64" s="163" t="s">
        <v>2023</v>
      </c>
      <c r="B64" s="100">
        <v>8.68</v>
      </c>
      <c r="C64" s="100">
        <v>18.48</v>
      </c>
      <c r="D64" s="100">
        <v>15.62</v>
      </c>
      <c r="E64" s="100">
        <v>6.82</v>
      </c>
      <c r="F64" s="100">
        <v>21.5</v>
      </c>
      <c r="G64" s="100">
        <v>34.229999999999997</v>
      </c>
      <c r="H64" s="100">
        <v>13.19</v>
      </c>
      <c r="I64" s="100">
        <v>9.85</v>
      </c>
      <c r="J64" s="100">
        <v>2.68</v>
      </c>
      <c r="K64" s="100">
        <v>245.14</v>
      </c>
      <c r="L64" s="100">
        <v>41.31</v>
      </c>
      <c r="M64" s="100">
        <v>30.47</v>
      </c>
      <c r="N64" s="100">
        <v>770.8</v>
      </c>
      <c r="O64" s="100">
        <v>0</v>
      </c>
      <c r="P64" s="100">
        <v>0.51</v>
      </c>
      <c r="Q64" s="100">
        <v>29.33</v>
      </c>
      <c r="R64" s="6"/>
      <c r="S64" s="6"/>
      <c r="T64" s="156"/>
      <c r="U64" s="6"/>
    </row>
    <row r="65" spans="1:21" customFormat="1">
      <c r="A65" s="163" t="s">
        <v>2024</v>
      </c>
      <c r="B65" s="100">
        <v>8.68</v>
      </c>
      <c r="C65" s="100">
        <v>18.48</v>
      </c>
      <c r="D65" s="100">
        <v>15.62</v>
      </c>
      <c r="E65" s="100">
        <v>6.74</v>
      </c>
      <c r="F65" s="100">
        <v>26.78</v>
      </c>
      <c r="G65" s="100">
        <v>30.79</v>
      </c>
      <c r="H65" s="100">
        <v>14.32</v>
      </c>
      <c r="I65" s="100">
        <v>10.130000000000001</v>
      </c>
      <c r="J65" s="100">
        <v>4.25</v>
      </c>
      <c r="K65" s="100">
        <v>230.46</v>
      </c>
      <c r="L65" s="100">
        <v>41.35</v>
      </c>
      <c r="M65" s="100">
        <v>29.75</v>
      </c>
      <c r="N65" s="100">
        <v>716.7</v>
      </c>
      <c r="O65" s="100">
        <v>0</v>
      </c>
      <c r="P65" s="100">
        <v>0.51</v>
      </c>
      <c r="Q65" s="100">
        <v>29.28</v>
      </c>
      <c r="R65" s="6"/>
      <c r="S65" s="6"/>
      <c r="T65" s="156"/>
      <c r="U65" s="6"/>
    </row>
    <row r="66" spans="1:21" customFormat="1">
      <c r="A66" s="163" t="s">
        <v>2025</v>
      </c>
      <c r="B66" s="100">
        <v>8.68</v>
      </c>
      <c r="C66" s="100">
        <v>18.48</v>
      </c>
      <c r="D66" s="100">
        <v>15.62</v>
      </c>
      <c r="E66" s="100">
        <v>7.02</v>
      </c>
      <c r="F66" s="100">
        <v>25.36</v>
      </c>
      <c r="G66" s="100">
        <v>30.79</v>
      </c>
      <c r="H66" s="100">
        <v>14.32</v>
      </c>
      <c r="I66" s="100">
        <v>10.09</v>
      </c>
      <c r="J66" s="100">
        <v>0.77</v>
      </c>
      <c r="K66" s="100">
        <v>139.01</v>
      </c>
      <c r="L66" s="100">
        <v>43.21</v>
      </c>
      <c r="M66" s="100">
        <v>26.97</v>
      </c>
      <c r="N66" s="100">
        <v>657.5</v>
      </c>
      <c r="O66" s="100">
        <v>0</v>
      </c>
      <c r="P66" s="100">
        <v>0.52</v>
      </c>
      <c r="Q66" s="100">
        <v>29.24</v>
      </c>
      <c r="R66" s="6"/>
      <c r="S66" s="6"/>
      <c r="T66" s="156"/>
      <c r="U66" s="6"/>
    </row>
    <row r="67" spans="1:21" customFormat="1">
      <c r="A67" s="163" t="s">
        <v>2026</v>
      </c>
      <c r="B67" s="100">
        <v>8.68</v>
      </c>
      <c r="C67" s="100">
        <v>18.48</v>
      </c>
      <c r="D67" s="100">
        <v>15.62</v>
      </c>
      <c r="E67" s="100">
        <v>7.22</v>
      </c>
      <c r="F67" s="100">
        <v>24.03</v>
      </c>
      <c r="G67" s="100">
        <v>30.79</v>
      </c>
      <c r="H67" s="100">
        <v>14.32</v>
      </c>
      <c r="I67" s="100">
        <v>10.11</v>
      </c>
      <c r="J67" s="100">
        <v>2.35</v>
      </c>
      <c r="K67" s="100">
        <v>119.15</v>
      </c>
      <c r="L67" s="100">
        <v>44.41</v>
      </c>
      <c r="M67" s="100">
        <v>25.44</v>
      </c>
      <c r="N67" s="100">
        <v>598.9</v>
      </c>
      <c r="O67" s="100">
        <v>0</v>
      </c>
      <c r="P67" s="100">
        <v>0.52</v>
      </c>
      <c r="Q67" s="100">
        <v>29.18</v>
      </c>
      <c r="R67" s="6"/>
      <c r="S67" s="6"/>
      <c r="T67" s="156"/>
      <c r="U67" s="6"/>
    </row>
    <row r="68" spans="1:21" customFormat="1">
      <c r="A68" s="163" t="s">
        <v>2027</v>
      </c>
      <c r="B68" s="100">
        <v>8.68</v>
      </c>
      <c r="C68" s="100">
        <v>18.48</v>
      </c>
      <c r="D68" s="100">
        <v>15.62</v>
      </c>
      <c r="E68" s="100">
        <v>6.81</v>
      </c>
      <c r="F68" s="100">
        <v>31.72</v>
      </c>
      <c r="G68" s="100">
        <v>31.4</v>
      </c>
      <c r="H68" s="100">
        <v>14.64</v>
      </c>
      <c r="I68" s="100">
        <v>9.94</v>
      </c>
      <c r="J68" s="100">
        <v>1.37</v>
      </c>
      <c r="K68" s="100">
        <v>121.18</v>
      </c>
      <c r="L68" s="100">
        <v>44.39</v>
      </c>
      <c r="M68" s="100">
        <v>24.43</v>
      </c>
      <c r="N68" s="100">
        <v>587.1</v>
      </c>
      <c r="O68" s="100">
        <v>0</v>
      </c>
      <c r="P68" s="100">
        <v>0.51</v>
      </c>
      <c r="Q68" s="100">
        <v>29.18</v>
      </c>
      <c r="R68" s="6"/>
      <c r="S68" s="6"/>
      <c r="T68" s="156"/>
      <c r="U68" s="6"/>
    </row>
    <row r="69" spans="1:21" customFormat="1">
      <c r="A69" s="163" t="s">
        <v>2028</v>
      </c>
      <c r="B69" s="100">
        <v>8.68</v>
      </c>
      <c r="C69" s="100">
        <v>18.48</v>
      </c>
      <c r="D69" s="100">
        <v>15.62</v>
      </c>
      <c r="E69" s="100">
        <v>6.44</v>
      </c>
      <c r="F69" s="100">
        <v>23.89</v>
      </c>
      <c r="G69" s="100">
        <v>33.69</v>
      </c>
      <c r="H69" s="100">
        <v>15.84</v>
      </c>
      <c r="I69" s="100">
        <v>9.3800000000000008</v>
      </c>
      <c r="J69" s="100">
        <v>2.06</v>
      </c>
      <c r="K69" s="100">
        <v>178.43</v>
      </c>
      <c r="L69" s="100">
        <v>44.17</v>
      </c>
      <c r="M69" s="100">
        <v>25.59</v>
      </c>
      <c r="N69" s="100">
        <v>559.4</v>
      </c>
      <c r="O69" s="100">
        <v>0</v>
      </c>
      <c r="P69" s="100">
        <v>0.5</v>
      </c>
      <c r="Q69" s="100">
        <v>29.24</v>
      </c>
      <c r="R69" s="6"/>
      <c r="S69" s="6"/>
      <c r="T69" s="156"/>
      <c r="U69" s="6"/>
    </row>
    <row r="70" spans="1:21" customFormat="1">
      <c r="A70" s="163" t="s">
        <v>2029</v>
      </c>
      <c r="B70" s="100">
        <v>8.68</v>
      </c>
      <c r="C70" s="100">
        <v>18.48</v>
      </c>
      <c r="D70" s="100">
        <v>15.62</v>
      </c>
      <c r="E70" s="100">
        <v>6.93</v>
      </c>
      <c r="F70" s="100">
        <v>30.32</v>
      </c>
      <c r="G70" s="100">
        <v>33.69</v>
      </c>
      <c r="H70" s="100">
        <v>15.84</v>
      </c>
      <c r="I70" s="100">
        <v>9.11</v>
      </c>
      <c r="J70" s="100">
        <v>2.46</v>
      </c>
      <c r="K70" s="100">
        <v>191.2</v>
      </c>
      <c r="L70" s="100">
        <v>43.6</v>
      </c>
      <c r="M70" s="100">
        <v>25.76</v>
      </c>
      <c r="N70" s="100">
        <v>513.20000000000005</v>
      </c>
      <c r="O70" s="100">
        <v>0</v>
      </c>
      <c r="P70" s="100">
        <v>0.47</v>
      </c>
      <c r="Q70" s="100">
        <v>29.32</v>
      </c>
      <c r="R70" s="6"/>
      <c r="S70" s="6"/>
      <c r="T70" s="156"/>
      <c r="U70" s="6"/>
    </row>
    <row r="71" spans="1:21" customFormat="1">
      <c r="A71" s="163" t="s">
        <v>2030</v>
      </c>
      <c r="B71" s="100">
        <v>8.68</v>
      </c>
      <c r="C71" s="100">
        <v>18.48</v>
      </c>
      <c r="D71" s="100">
        <v>15.62</v>
      </c>
      <c r="E71" s="100">
        <v>6.96</v>
      </c>
      <c r="F71" s="100">
        <v>20.95</v>
      </c>
      <c r="G71" s="100">
        <v>33.69</v>
      </c>
      <c r="H71" s="100">
        <v>15.84</v>
      </c>
      <c r="I71" s="100">
        <v>9</v>
      </c>
      <c r="J71" s="100">
        <v>1.63</v>
      </c>
      <c r="K71" s="100">
        <v>181.03</v>
      </c>
      <c r="L71" s="100">
        <v>43.67</v>
      </c>
      <c r="M71" s="100">
        <v>27.03</v>
      </c>
      <c r="N71" s="100">
        <v>461.3</v>
      </c>
      <c r="O71" s="100">
        <v>0</v>
      </c>
      <c r="P71" s="100">
        <v>0.49</v>
      </c>
      <c r="Q71" s="100">
        <v>29.29</v>
      </c>
      <c r="R71" s="6"/>
      <c r="S71" s="6"/>
      <c r="T71" s="156"/>
      <c r="U71" s="6"/>
    </row>
    <row r="72" spans="1:21" customFormat="1">
      <c r="A72" s="163" t="s">
        <v>2031</v>
      </c>
      <c r="B72" s="100">
        <v>8.68</v>
      </c>
      <c r="C72" s="100">
        <v>18.48</v>
      </c>
      <c r="D72" s="100">
        <v>15.62</v>
      </c>
      <c r="E72" s="100">
        <v>6.9</v>
      </c>
      <c r="F72" s="100">
        <v>29.31</v>
      </c>
      <c r="G72" s="100">
        <v>34.14</v>
      </c>
      <c r="H72" s="100">
        <v>16.309999999999999</v>
      </c>
      <c r="I72" s="100">
        <v>8.86</v>
      </c>
      <c r="J72" s="100">
        <v>2.76</v>
      </c>
      <c r="K72" s="100">
        <v>239.58</v>
      </c>
      <c r="L72" s="100">
        <v>43.13</v>
      </c>
      <c r="M72" s="100">
        <v>27.38</v>
      </c>
      <c r="N72" s="100">
        <v>418.3</v>
      </c>
      <c r="O72" s="100">
        <v>0</v>
      </c>
      <c r="P72" s="100">
        <v>0.48</v>
      </c>
      <c r="Q72" s="100">
        <v>29.26</v>
      </c>
      <c r="R72" s="6"/>
      <c r="S72" s="6"/>
      <c r="T72" s="156"/>
      <c r="U72" s="6"/>
    </row>
    <row r="73" spans="1:21" customFormat="1">
      <c r="A73" s="163" t="s">
        <v>2032</v>
      </c>
      <c r="B73" s="100">
        <v>8.68</v>
      </c>
      <c r="C73" s="100">
        <v>18.48</v>
      </c>
      <c r="D73" s="100">
        <v>15.62</v>
      </c>
      <c r="E73" s="100">
        <v>7.36</v>
      </c>
      <c r="F73" s="100">
        <v>33.869999999999997</v>
      </c>
      <c r="G73" s="100">
        <v>35.81</v>
      </c>
      <c r="H73" s="100">
        <v>18.079999999999998</v>
      </c>
      <c r="I73" s="100">
        <v>8.98</v>
      </c>
      <c r="J73" s="100">
        <v>2.6</v>
      </c>
      <c r="K73" s="100">
        <v>197.24</v>
      </c>
      <c r="L73" s="100">
        <v>43.8</v>
      </c>
      <c r="M73" s="100">
        <v>26.48</v>
      </c>
      <c r="N73" s="100">
        <v>364.6</v>
      </c>
      <c r="O73" s="100">
        <v>0</v>
      </c>
      <c r="P73" s="100">
        <v>0.44</v>
      </c>
      <c r="Q73" s="100">
        <v>29.38</v>
      </c>
      <c r="R73" s="6"/>
      <c r="S73" s="6"/>
      <c r="T73" s="156"/>
      <c r="U73" s="6"/>
    </row>
    <row r="74" spans="1:21" customFormat="1">
      <c r="A74" s="163" t="s">
        <v>2033</v>
      </c>
      <c r="B74" s="100">
        <v>8.68</v>
      </c>
      <c r="C74" s="100">
        <v>18.48</v>
      </c>
      <c r="D74" s="100">
        <v>15.62</v>
      </c>
      <c r="E74" s="100">
        <v>7.09</v>
      </c>
      <c r="F74" s="100">
        <v>34.950000000000003</v>
      </c>
      <c r="G74" s="100">
        <v>35.81</v>
      </c>
      <c r="H74" s="100">
        <v>18.079999999999998</v>
      </c>
      <c r="I74" s="100">
        <v>8.94</v>
      </c>
      <c r="J74" s="100">
        <v>0.91</v>
      </c>
      <c r="K74" s="100">
        <v>151.33000000000001</v>
      </c>
      <c r="L74" s="100">
        <v>44.3</v>
      </c>
      <c r="M74" s="100">
        <v>26.63</v>
      </c>
      <c r="N74" s="100">
        <v>321.7</v>
      </c>
      <c r="O74" s="100">
        <v>0</v>
      </c>
      <c r="P74" s="100">
        <v>0.45</v>
      </c>
      <c r="Q74" s="100">
        <v>29.45</v>
      </c>
      <c r="R74" s="6"/>
      <c r="S74" s="6"/>
      <c r="T74" s="156"/>
      <c r="U74" s="6"/>
    </row>
    <row r="75" spans="1:21" customFormat="1">
      <c r="A75" s="163" t="s">
        <v>2034</v>
      </c>
      <c r="B75" s="100">
        <v>8.68</v>
      </c>
      <c r="C75" s="100">
        <v>18.48</v>
      </c>
      <c r="D75" s="100">
        <v>15.62</v>
      </c>
      <c r="E75" s="100">
        <v>7.21</v>
      </c>
      <c r="F75" s="100">
        <v>30.61</v>
      </c>
      <c r="G75" s="100">
        <v>35.81</v>
      </c>
      <c r="H75" s="100">
        <v>18.079999999999998</v>
      </c>
      <c r="I75" s="100">
        <v>8.41</v>
      </c>
      <c r="J75" s="100">
        <v>3.2</v>
      </c>
      <c r="K75" s="100">
        <v>207.99</v>
      </c>
      <c r="L75" s="100">
        <v>45.56</v>
      </c>
      <c r="M75" s="100">
        <v>26.52</v>
      </c>
      <c r="N75" s="100">
        <v>271</v>
      </c>
      <c r="O75" s="100">
        <v>0</v>
      </c>
      <c r="P75" s="100">
        <v>0.44</v>
      </c>
      <c r="Q75" s="100">
        <v>29.44</v>
      </c>
      <c r="R75" s="6"/>
      <c r="S75" s="6"/>
      <c r="T75" s="156"/>
      <c r="U75" s="6"/>
    </row>
    <row r="76" spans="1:21" customFormat="1">
      <c r="A76" s="163" t="s">
        <v>2035</v>
      </c>
      <c r="B76" s="100">
        <v>8.68</v>
      </c>
      <c r="C76" s="100">
        <v>18.48</v>
      </c>
      <c r="D76" s="100">
        <v>15.62</v>
      </c>
      <c r="E76" s="100">
        <v>7.22</v>
      </c>
      <c r="F76" s="100">
        <v>32.83</v>
      </c>
      <c r="G76" s="100">
        <v>35.270000000000003</v>
      </c>
      <c r="H76" s="100">
        <v>17.28</v>
      </c>
      <c r="I76" s="100">
        <v>8.23</v>
      </c>
      <c r="J76" s="100">
        <v>3.14</v>
      </c>
      <c r="K76" s="100">
        <v>229.14</v>
      </c>
      <c r="L76" s="100">
        <v>44.15</v>
      </c>
      <c r="M76" s="100">
        <v>25.88</v>
      </c>
      <c r="N76" s="100">
        <v>222.9</v>
      </c>
      <c r="O76" s="100">
        <v>0</v>
      </c>
      <c r="P76" s="100">
        <v>0.44</v>
      </c>
      <c r="Q76" s="100">
        <v>29.46</v>
      </c>
      <c r="R76" s="6"/>
      <c r="S76" s="6"/>
      <c r="T76" s="156"/>
      <c r="U76" s="6"/>
    </row>
    <row r="77" spans="1:21" customFormat="1">
      <c r="A77" s="163" t="s">
        <v>2036</v>
      </c>
      <c r="B77" s="100">
        <v>8.68</v>
      </c>
      <c r="C77" s="100">
        <v>18.48</v>
      </c>
      <c r="D77" s="100">
        <v>15.62</v>
      </c>
      <c r="E77" s="100">
        <v>5.6</v>
      </c>
      <c r="F77" s="100">
        <v>30.25</v>
      </c>
      <c r="G77" s="100">
        <v>33.26</v>
      </c>
      <c r="H77" s="100">
        <v>14.33</v>
      </c>
      <c r="I77" s="100">
        <v>8.4600000000000009</v>
      </c>
      <c r="J77" s="100">
        <v>2.86</v>
      </c>
      <c r="K77" s="100">
        <v>216.33</v>
      </c>
      <c r="L77" s="100">
        <v>42.93</v>
      </c>
      <c r="M77" s="100">
        <v>25.65</v>
      </c>
      <c r="N77" s="100">
        <v>140.30000000000001</v>
      </c>
      <c r="O77" s="100">
        <v>0</v>
      </c>
      <c r="P77" s="100">
        <v>0.42</v>
      </c>
      <c r="Q77" s="100">
        <v>29.33</v>
      </c>
      <c r="R77" s="6"/>
      <c r="S77" s="6"/>
      <c r="T77" s="156"/>
      <c r="U77" s="6"/>
    </row>
    <row r="78" spans="1:21" customFormat="1">
      <c r="A78" s="163" t="s">
        <v>2037</v>
      </c>
      <c r="B78" s="100">
        <v>7.91</v>
      </c>
      <c r="C78" s="100">
        <v>16.84</v>
      </c>
      <c r="D78" s="100">
        <v>14.23</v>
      </c>
      <c r="E78" s="100">
        <v>7.16</v>
      </c>
      <c r="F78" s="100">
        <v>32.159999999999997</v>
      </c>
      <c r="G78" s="100">
        <v>33.26</v>
      </c>
      <c r="H78" s="100">
        <v>14.33</v>
      </c>
      <c r="I78" s="100">
        <v>8.73</v>
      </c>
      <c r="J78" s="100">
        <v>3.19</v>
      </c>
      <c r="K78" s="100">
        <v>222.07</v>
      </c>
      <c r="L78" s="100">
        <v>41.85</v>
      </c>
      <c r="M78" s="100">
        <v>25.44</v>
      </c>
      <c r="N78" s="100">
        <v>102.2</v>
      </c>
      <c r="O78" s="100">
        <v>0</v>
      </c>
      <c r="P78" s="100">
        <v>0.47</v>
      </c>
      <c r="Q78" s="100">
        <v>29.27</v>
      </c>
      <c r="R78" s="6"/>
      <c r="S78" s="6"/>
      <c r="T78" s="156"/>
      <c r="U78" s="6"/>
    </row>
    <row r="79" spans="1:21" customFormat="1">
      <c r="A79" s="163" t="s">
        <v>2038</v>
      </c>
      <c r="B79" s="147" t="s">
        <v>14</v>
      </c>
      <c r="C79" s="147" t="s">
        <v>14</v>
      </c>
      <c r="D79" s="147" t="s">
        <v>14</v>
      </c>
      <c r="E79" s="100">
        <v>7.06</v>
      </c>
      <c r="F79" s="100">
        <v>41.27</v>
      </c>
      <c r="G79" s="100">
        <v>33.26</v>
      </c>
      <c r="H79" s="100">
        <v>14.33</v>
      </c>
      <c r="I79" s="100">
        <v>8.5299999999999994</v>
      </c>
      <c r="J79" s="100">
        <v>1.85</v>
      </c>
      <c r="K79" s="100">
        <v>189.15</v>
      </c>
      <c r="L79" s="100">
        <v>41.06</v>
      </c>
      <c r="M79" s="100">
        <v>26.18</v>
      </c>
      <c r="N79" s="100">
        <v>75.7</v>
      </c>
      <c r="O79" s="100">
        <v>0</v>
      </c>
      <c r="P79" s="100">
        <v>0.41</v>
      </c>
      <c r="Q79" s="100">
        <v>29.24</v>
      </c>
      <c r="R79" s="6"/>
      <c r="S79" s="6"/>
      <c r="T79" s="156"/>
      <c r="U79" s="6"/>
    </row>
    <row r="80" spans="1:21" customFormat="1">
      <c r="A80" s="163" t="s">
        <v>2039</v>
      </c>
      <c r="B80" s="147" t="s">
        <v>14</v>
      </c>
      <c r="C80" s="147" t="s">
        <v>14</v>
      </c>
      <c r="D80" s="147" t="s">
        <v>14</v>
      </c>
      <c r="E80" s="100">
        <v>7.11</v>
      </c>
      <c r="F80" s="100">
        <v>46.41</v>
      </c>
      <c r="G80" s="100">
        <v>32.89</v>
      </c>
      <c r="H80" s="100">
        <v>14.77</v>
      </c>
      <c r="I80" s="100">
        <v>8.35</v>
      </c>
      <c r="J80" s="100">
        <v>1.85</v>
      </c>
      <c r="K80" s="100">
        <v>175.5</v>
      </c>
      <c r="L80" s="100">
        <v>40.409999999999997</v>
      </c>
      <c r="M80" s="100">
        <v>27.61</v>
      </c>
      <c r="N80" s="100">
        <v>51.4</v>
      </c>
      <c r="O80" s="100">
        <v>0</v>
      </c>
      <c r="P80" s="100">
        <v>0.39</v>
      </c>
      <c r="Q80" s="100">
        <v>29.32</v>
      </c>
      <c r="R80" s="6"/>
      <c r="S80" s="6"/>
      <c r="T80" s="156"/>
      <c r="U80" s="6"/>
    </row>
    <row r="81" spans="1:21" customFormat="1">
      <c r="A81" s="163" t="s">
        <v>2040</v>
      </c>
      <c r="B81" s="147" t="s">
        <v>14</v>
      </c>
      <c r="C81" s="147" t="s">
        <v>14</v>
      </c>
      <c r="D81" s="147" t="s">
        <v>14</v>
      </c>
      <c r="E81" s="100">
        <v>7.24</v>
      </c>
      <c r="F81" s="100">
        <v>40.61</v>
      </c>
      <c r="G81" s="100">
        <v>31.52</v>
      </c>
      <c r="H81" s="100">
        <v>16.41</v>
      </c>
      <c r="I81" s="100">
        <v>7.62</v>
      </c>
      <c r="J81" s="100">
        <v>1.44</v>
      </c>
      <c r="K81" s="100">
        <v>181.12</v>
      </c>
      <c r="L81" s="100">
        <v>39.69</v>
      </c>
      <c r="M81" s="100">
        <v>30.61</v>
      </c>
      <c r="N81" s="100">
        <v>38.4</v>
      </c>
      <c r="O81" s="100">
        <v>0</v>
      </c>
      <c r="P81" s="100">
        <v>0.4</v>
      </c>
      <c r="Q81" s="100">
        <v>29.32</v>
      </c>
      <c r="R81" s="6"/>
      <c r="S81" s="6"/>
      <c r="T81" s="156"/>
      <c r="U81" s="6"/>
    </row>
    <row r="82" spans="1:21" customFormat="1">
      <c r="A82" s="163" t="s">
        <v>2041</v>
      </c>
      <c r="B82" s="147" t="s">
        <v>14</v>
      </c>
      <c r="C82" s="147" t="s">
        <v>14</v>
      </c>
      <c r="D82" s="147" t="s">
        <v>14</v>
      </c>
      <c r="E82" s="100">
        <v>7.03</v>
      </c>
      <c r="F82" s="100">
        <v>33.07</v>
      </c>
      <c r="G82" s="100">
        <v>31.52</v>
      </c>
      <c r="H82" s="100">
        <v>16.41</v>
      </c>
      <c r="I82" s="100">
        <v>6.69</v>
      </c>
      <c r="J82" s="100">
        <v>1.5</v>
      </c>
      <c r="K82" s="100">
        <v>203.1</v>
      </c>
      <c r="L82" s="100">
        <v>39.74</v>
      </c>
      <c r="M82" s="100">
        <v>31.12</v>
      </c>
      <c r="N82" s="100">
        <v>27.1</v>
      </c>
      <c r="O82" s="100">
        <v>0</v>
      </c>
      <c r="P82" s="100">
        <v>0.48</v>
      </c>
      <c r="Q82" s="100">
        <v>29.16</v>
      </c>
      <c r="R82" s="6"/>
      <c r="S82" s="6"/>
      <c r="T82" s="156"/>
      <c r="U82" s="6"/>
    </row>
    <row r="83" spans="1:21" customFormat="1">
      <c r="A83" s="163" t="s">
        <v>2042</v>
      </c>
      <c r="B83" s="147" t="s">
        <v>14</v>
      </c>
      <c r="C83" s="147" t="s">
        <v>14</v>
      </c>
      <c r="D83" s="147" t="s">
        <v>14</v>
      </c>
      <c r="E83" s="100">
        <v>7.28</v>
      </c>
      <c r="F83" s="100">
        <v>38.979999999999997</v>
      </c>
      <c r="G83" s="100">
        <v>31.52</v>
      </c>
      <c r="H83" s="100">
        <v>16.41</v>
      </c>
      <c r="I83" s="100">
        <v>7.11</v>
      </c>
      <c r="J83" s="100">
        <v>1.66</v>
      </c>
      <c r="K83" s="100">
        <v>114.49</v>
      </c>
      <c r="L83" s="100">
        <v>38.479999999999997</v>
      </c>
      <c r="M83" s="100">
        <v>34.26</v>
      </c>
      <c r="N83" s="100">
        <v>23.7</v>
      </c>
      <c r="O83" s="100">
        <v>0</v>
      </c>
      <c r="P83" s="100">
        <v>0.49</v>
      </c>
      <c r="Q83" s="100">
        <v>28.81</v>
      </c>
      <c r="R83" s="6"/>
      <c r="S83" s="6"/>
      <c r="T83" s="156"/>
      <c r="U83" s="6"/>
    </row>
    <row r="84" spans="1:21" customFormat="1">
      <c r="A84" s="163" t="s">
        <v>2043</v>
      </c>
      <c r="B84" s="147" t="s">
        <v>14</v>
      </c>
      <c r="C84" s="147" t="s">
        <v>14</v>
      </c>
      <c r="D84" s="147" t="s">
        <v>14</v>
      </c>
      <c r="E84" s="100">
        <v>5.49</v>
      </c>
      <c r="F84" s="100">
        <v>38.270000000000003</v>
      </c>
      <c r="G84" s="100">
        <v>31.23</v>
      </c>
      <c r="H84" s="100">
        <v>16.510000000000002</v>
      </c>
      <c r="I84" s="100">
        <v>7.86</v>
      </c>
      <c r="J84" s="100">
        <v>1.53</v>
      </c>
      <c r="K84" s="100">
        <v>106.81</v>
      </c>
      <c r="L84" s="100">
        <v>37.880000000000003</v>
      </c>
      <c r="M84" s="100">
        <v>34.93</v>
      </c>
      <c r="N84" s="100">
        <v>22.8</v>
      </c>
      <c r="O84" s="100">
        <v>0</v>
      </c>
      <c r="P84" s="100">
        <v>0.43</v>
      </c>
      <c r="Q84" s="100">
        <v>29.03</v>
      </c>
      <c r="R84" s="6"/>
      <c r="S84" s="6"/>
      <c r="T84" s="156"/>
      <c r="U84" s="6"/>
    </row>
    <row r="85" spans="1:21" customFormat="1">
      <c r="A85" s="163" t="s">
        <v>2044</v>
      </c>
      <c r="B85" s="147" t="s">
        <v>14</v>
      </c>
      <c r="C85" s="147" t="s">
        <v>14</v>
      </c>
      <c r="D85" s="147" t="s">
        <v>14</v>
      </c>
      <c r="E85" s="100">
        <v>2.19</v>
      </c>
      <c r="F85" s="100">
        <v>34.03</v>
      </c>
      <c r="G85" s="100">
        <v>30.16</v>
      </c>
      <c r="H85" s="100">
        <v>16.86</v>
      </c>
      <c r="I85" s="100">
        <v>7.57</v>
      </c>
      <c r="J85" s="100">
        <v>1.76</v>
      </c>
      <c r="K85" s="100">
        <v>133.62</v>
      </c>
      <c r="L85" s="100">
        <v>37.869999999999997</v>
      </c>
      <c r="M85" s="100">
        <v>34.840000000000003</v>
      </c>
      <c r="N85" s="100">
        <v>22.5</v>
      </c>
      <c r="O85" s="100">
        <v>0</v>
      </c>
      <c r="P85" s="100">
        <v>0.42</v>
      </c>
      <c r="Q85" s="100">
        <v>29.07</v>
      </c>
      <c r="R85" s="6"/>
      <c r="S85" s="6"/>
      <c r="T85" s="156"/>
      <c r="U85" s="6"/>
    </row>
    <row r="86" spans="1:21" customFormat="1">
      <c r="A86" s="163" t="s">
        <v>2045</v>
      </c>
      <c r="B86" s="100">
        <v>1.24</v>
      </c>
      <c r="C86" s="100">
        <v>37.229999999999997</v>
      </c>
      <c r="D86" s="100">
        <v>19.45</v>
      </c>
      <c r="E86" s="100">
        <v>3.3</v>
      </c>
      <c r="F86" s="100">
        <v>33.42</v>
      </c>
      <c r="G86" s="100">
        <v>30.16</v>
      </c>
      <c r="H86" s="100">
        <v>16.86</v>
      </c>
      <c r="I86" s="100">
        <v>7.79</v>
      </c>
      <c r="J86" s="100">
        <v>1.32</v>
      </c>
      <c r="K86" s="100">
        <v>185.35</v>
      </c>
      <c r="L86" s="100">
        <v>38.21</v>
      </c>
      <c r="M86" s="100">
        <v>34.03</v>
      </c>
      <c r="N86" s="100">
        <v>22</v>
      </c>
      <c r="O86" s="100">
        <v>0</v>
      </c>
      <c r="P86" s="100">
        <v>0.46</v>
      </c>
      <c r="Q86" s="100">
        <v>29.12</v>
      </c>
      <c r="R86" s="6"/>
      <c r="S86" s="6"/>
      <c r="T86" s="156"/>
      <c r="U86" s="6"/>
    </row>
    <row r="87" spans="1:21" customFormat="1">
      <c r="A87" s="163" t="s">
        <v>2046</v>
      </c>
      <c r="B87" s="100">
        <v>1.68</v>
      </c>
      <c r="C87" s="100">
        <v>34.4</v>
      </c>
      <c r="D87" s="100">
        <v>18.329999999999998</v>
      </c>
      <c r="E87" s="100">
        <v>3.53</v>
      </c>
      <c r="F87" s="100">
        <v>26.94</v>
      </c>
      <c r="G87" s="100">
        <v>30.16</v>
      </c>
      <c r="H87" s="100">
        <v>16.86</v>
      </c>
      <c r="I87" s="100">
        <v>8.69</v>
      </c>
      <c r="J87" s="100">
        <v>1.77</v>
      </c>
      <c r="K87" s="100">
        <v>148.77000000000001</v>
      </c>
      <c r="L87" s="100">
        <v>38.24</v>
      </c>
      <c r="M87" s="100">
        <v>34.47</v>
      </c>
      <c r="N87" s="100">
        <v>22.4</v>
      </c>
      <c r="O87" s="100">
        <v>0</v>
      </c>
      <c r="P87" s="100">
        <v>0.49</v>
      </c>
      <c r="Q87" s="100">
        <v>28.79</v>
      </c>
      <c r="R87" s="6"/>
      <c r="S87" s="6"/>
      <c r="T87" s="156"/>
      <c r="U87" s="6"/>
    </row>
    <row r="88" spans="1:21" customFormat="1">
      <c r="A88" s="163" t="s">
        <v>2047</v>
      </c>
      <c r="B88" s="100">
        <v>4.96</v>
      </c>
      <c r="C88" s="100">
        <v>33.29</v>
      </c>
      <c r="D88" s="100">
        <v>20.38</v>
      </c>
      <c r="E88" s="100">
        <v>4.0599999999999996</v>
      </c>
      <c r="F88" s="100">
        <v>23.83</v>
      </c>
      <c r="G88" s="100">
        <v>31.11</v>
      </c>
      <c r="H88" s="100">
        <v>16.670000000000002</v>
      </c>
      <c r="I88" s="100">
        <v>10.18</v>
      </c>
      <c r="J88" s="100">
        <v>1.49</v>
      </c>
      <c r="K88" s="100">
        <v>169.5</v>
      </c>
      <c r="L88" s="100">
        <v>38.04</v>
      </c>
      <c r="M88" s="100">
        <v>34.700000000000003</v>
      </c>
      <c r="N88" s="100">
        <v>22.3</v>
      </c>
      <c r="O88" s="100">
        <v>0</v>
      </c>
      <c r="P88" s="100">
        <v>0.6</v>
      </c>
      <c r="Q88" s="100">
        <v>28.4</v>
      </c>
      <c r="R88" s="6"/>
      <c r="S88" s="6"/>
      <c r="T88" s="156"/>
      <c r="U88" s="6"/>
    </row>
    <row r="89" spans="1:21" customFormat="1">
      <c r="A89" s="163" t="s">
        <v>2048</v>
      </c>
      <c r="B89" s="100">
        <v>2.39</v>
      </c>
      <c r="C89" s="100">
        <v>26.43</v>
      </c>
      <c r="D89" s="100">
        <v>14.73</v>
      </c>
      <c r="E89" s="100">
        <v>7.58</v>
      </c>
      <c r="F89" s="100">
        <v>20.37</v>
      </c>
      <c r="G89" s="100">
        <v>34.700000000000003</v>
      </c>
      <c r="H89" s="100">
        <v>15.97</v>
      </c>
      <c r="I89" s="100">
        <v>10.94</v>
      </c>
      <c r="J89" s="100">
        <v>1.8</v>
      </c>
      <c r="K89" s="100">
        <v>145.51</v>
      </c>
      <c r="L89" s="100">
        <v>37.56</v>
      </c>
      <c r="M89" s="100">
        <v>36.090000000000003</v>
      </c>
      <c r="N89" s="100">
        <v>22.7</v>
      </c>
      <c r="O89" s="100">
        <v>0</v>
      </c>
      <c r="P89" s="100">
        <v>0.53</v>
      </c>
      <c r="Q89" s="100">
        <v>28.48</v>
      </c>
      <c r="R89" s="6"/>
      <c r="S89" s="6"/>
      <c r="T89" s="156"/>
      <c r="U89" s="6"/>
    </row>
    <row r="90" spans="1:21" customFormat="1">
      <c r="A90" s="163" t="s">
        <v>2049</v>
      </c>
      <c r="B90" s="100">
        <v>1.98</v>
      </c>
      <c r="C90" s="100">
        <v>28.98</v>
      </c>
      <c r="D90" s="100">
        <v>15.74</v>
      </c>
      <c r="E90" s="100">
        <v>7.73</v>
      </c>
      <c r="F90" s="100">
        <v>14.77</v>
      </c>
      <c r="G90" s="100">
        <v>34.700000000000003</v>
      </c>
      <c r="H90" s="100">
        <v>15.97</v>
      </c>
      <c r="I90" s="100">
        <v>9.9700000000000006</v>
      </c>
      <c r="J90" s="100">
        <v>1.73</v>
      </c>
      <c r="K90" s="100">
        <v>157.06</v>
      </c>
      <c r="L90" s="100">
        <v>37.24</v>
      </c>
      <c r="M90" s="100">
        <v>37.130000000000003</v>
      </c>
      <c r="N90" s="100">
        <v>22.6</v>
      </c>
      <c r="O90" s="100">
        <v>0</v>
      </c>
      <c r="P90" s="100">
        <v>0.59</v>
      </c>
      <c r="Q90" s="100">
        <v>28.29</v>
      </c>
      <c r="R90" s="6"/>
      <c r="S90" s="6"/>
      <c r="T90" s="156"/>
      <c r="U90" s="6"/>
    </row>
    <row r="91" spans="1:21" customFormat="1">
      <c r="A91" s="163" t="s">
        <v>2050</v>
      </c>
      <c r="B91" s="100">
        <v>2.02</v>
      </c>
      <c r="C91" s="100">
        <v>29.44</v>
      </c>
      <c r="D91" s="100">
        <v>16.010000000000002</v>
      </c>
      <c r="E91" s="100">
        <v>7.31</v>
      </c>
      <c r="F91" s="100">
        <v>20.32</v>
      </c>
      <c r="G91" s="100">
        <v>34.700000000000003</v>
      </c>
      <c r="H91" s="100">
        <v>15.97</v>
      </c>
      <c r="I91" s="100">
        <v>10.79</v>
      </c>
      <c r="J91" s="100">
        <v>1.3</v>
      </c>
      <c r="K91" s="100">
        <v>129.18</v>
      </c>
      <c r="L91" s="100">
        <v>37.369999999999997</v>
      </c>
      <c r="M91" s="100">
        <v>37.43</v>
      </c>
      <c r="N91" s="100">
        <v>22.7</v>
      </c>
      <c r="O91" s="100">
        <v>0</v>
      </c>
      <c r="P91" s="100">
        <v>0.57999999999999996</v>
      </c>
      <c r="Q91" s="100">
        <v>28.06</v>
      </c>
      <c r="R91" s="6"/>
      <c r="S91" s="6"/>
      <c r="T91" s="156"/>
      <c r="U91" s="6"/>
    </row>
    <row r="92" spans="1:21" customFormat="1">
      <c r="A92" s="163" t="s">
        <v>2051</v>
      </c>
      <c r="B92" s="100">
        <v>2.2799999999999998</v>
      </c>
      <c r="C92" s="100">
        <v>26.71</v>
      </c>
      <c r="D92" s="100">
        <v>14.79</v>
      </c>
      <c r="E92" s="100">
        <v>6.83</v>
      </c>
      <c r="F92" s="100">
        <v>19.649999999999999</v>
      </c>
      <c r="G92" s="100">
        <v>37.21</v>
      </c>
      <c r="H92" s="100">
        <v>16.239999999999998</v>
      </c>
      <c r="I92" s="100">
        <v>10.44</v>
      </c>
      <c r="J92" s="100">
        <v>1.19</v>
      </c>
      <c r="K92" s="100">
        <v>156.81</v>
      </c>
      <c r="L92" s="100">
        <v>37.21</v>
      </c>
      <c r="M92" s="100">
        <v>37.880000000000003</v>
      </c>
      <c r="N92" s="100">
        <v>22.7</v>
      </c>
      <c r="O92" s="100">
        <v>0</v>
      </c>
      <c r="P92" s="100">
        <v>0.6</v>
      </c>
      <c r="Q92" s="100">
        <v>28.11</v>
      </c>
      <c r="R92" s="6"/>
      <c r="S92" s="6"/>
      <c r="T92" s="156"/>
      <c r="U92" s="6"/>
    </row>
    <row r="93" spans="1:21" customFormat="1">
      <c r="A93" s="163" t="s">
        <v>2052</v>
      </c>
      <c r="B93" s="100">
        <v>2.39</v>
      </c>
      <c r="C93" s="100">
        <v>22.52</v>
      </c>
      <c r="D93" s="100">
        <v>12.69</v>
      </c>
      <c r="E93" s="100">
        <v>6.72</v>
      </c>
      <c r="F93" s="100">
        <v>26.18</v>
      </c>
      <c r="G93" s="100">
        <v>46.6</v>
      </c>
      <c r="H93" s="100">
        <v>17.22</v>
      </c>
      <c r="I93" s="100">
        <v>12.41</v>
      </c>
      <c r="J93" s="100">
        <v>1.51</v>
      </c>
      <c r="K93" s="100">
        <v>135.44</v>
      </c>
      <c r="L93" s="100">
        <v>36.65</v>
      </c>
      <c r="M93" s="100">
        <v>38.06</v>
      </c>
      <c r="N93" s="100">
        <v>22.7</v>
      </c>
      <c r="O93" s="100">
        <v>0</v>
      </c>
      <c r="P93" s="100">
        <v>0.49</v>
      </c>
      <c r="Q93" s="100">
        <v>28.4</v>
      </c>
      <c r="R93" s="6"/>
      <c r="S93" s="6"/>
      <c r="T93" s="156"/>
      <c r="U93" s="6"/>
    </row>
    <row r="94" spans="1:21" customFormat="1">
      <c r="A94" s="163" t="s">
        <v>2053</v>
      </c>
      <c r="B94" s="100">
        <v>2.42</v>
      </c>
      <c r="C94" s="100">
        <v>19.190000000000001</v>
      </c>
      <c r="D94" s="100">
        <v>10.97</v>
      </c>
      <c r="E94" s="100">
        <v>6.91</v>
      </c>
      <c r="F94" s="100">
        <v>24.76</v>
      </c>
      <c r="G94" s="100">
        <v>46.6</v>
      </c>
      <c r="H94" s="100">
        <v>17.22</v>
      </c>
      <c r="I94" s="100">
        <v>11.32</v>
      </c>
      <c r="J94" s="100">
        <v>1.53</v>
      </c>
      <c r="K94" s="100">
        <v>109.57</v>
      </c>
      <c r="L94" s="100">
        <v>36.4</v>
      </c>
      <c r="M94" s="100">
        <v>38.58</v>
      </c>
      <c r="N94" s="100">
        <v>22.7</v>
      </c>
      <c r="O94" s="100">
        <v>0</v>
      </c>
      <c r="P94" s="100">
        <v>0.49</v>
      </c>
      <c r="Q94" s="100">
        <v>28.65</v>
      </c>
      <c r="R94" s="6"/>
      <c r="S94" s="6"/>
      <c r="T94" s="156"/>
      <c r="U94" s="6"/>
    </row>
    <row r="95" spans="1:21" customFormat="1">
      <c r="A95" s="163" t="s">
        <v>2054</v>
      </c>
      <c r="B95" s="100">
        <v>2.72</v>
      </c>
      <c r="C95" s="100">
        <v>21.09</v>
      </c>
      <c r="D95" s="100">
        <v>12.21</v>
      </c>
      <c r="E95" s="100">
        <v>6.56</v>
      </c>
      <c r="F95" s="100">
        <v>21.53</v>
      </c>
      <c r="G95" s="100">
        <v>46.6</v>
      </c>
      <c r="H95" s="100">
        <v>17.22</v>
      </c>
      <c r="I95" s="100">
        <v>9.83</v>
      </c>
      <c r="J95" s="100">
        <v>1.31</v>
      </c>
      <c r="K95" s="100">
        <v>90.81</v>
      </c>
      <c r="L95" s="100">
        <v>36.47</v>
      </c>
      <c r="M95" s="100">
        <v>38.880000000000003</v>
      </c>
      <c r="N95" s="100">
        <v>22.5</v>
      </c>
      <c r="O95" s="100">
        <v>0</v>
      </c>
      <c r="P95" s="100">
        <v>0.57999999999999996</v>
      </c>
      <c r="Q95" s="100">
        <v>28.52</v>
      </c>
      <c r="R95" s="6"/>
      <c r="S95" s="6"/>
      <c r="T95" s="156"/>
      <c r="U95" s="6"/>
    </row>
    <row r="96" spans="1:21" customFormat="1">
      <c r="A96" s="163" t="s">
        <v>2055</v>
      </c>
      <c r="B96" s="100">
        <v>2.73</v>
      </c>
      <c r="C96" s="100">
        <v>20.78</v>
      </c>
      <c r="D96" s="100">
        <v>12.05</v>
      </c>
      <c r="E96" s="100">
        <v>6.84</v>
      </c>
      <c r="F96" s="100">
        <v>21.09</v>
      </c>
      <c r="G96" s="100">
        <v>46.3</v>
      </c>
      <c r="H96" s="100">
        <v>17.46</v>
      </c>
      <c r="I96" s="100">
        <v>10.06</v>
      </c>
      <c r="J96" s="100">
        <v>0.75</v>
      </c>
      <c r="K96" s="100">
        <v>127.11</v>
      </c>
      <c r="L96" s="100">
        <v>36.56</v>
      </c>
      <c r="M96" s="100">
        <v>38.979999999999997</v>
      </c>
      <c r="N96" s="100">
        <v>22.4</v>
      </c>
      <c r="O96" s="100">
        <v>0</v>
      </c>
      <c r="P96" s="100">
        <v>0.55000000000000004</v>
      </c>
      <c r="Q96" s="100">
        <v>28.47</v>
      </c>
      <c r="R96" s="6"/>
      <c r="S96" s="6"/>
      <c r="T96" s="156"/>
      <c r="U96" s="6"/>
    </row>
    <row r="97" spans="1:28" customFormat="1">
      <c r="A97" s="163" t="s">
        <v>2056</v>
      </c>
      <c r="B97" s="100">
        <v>5.85</v>
      </c>
      <c r="C97" s="100">
        <v>21.32</v>
      </c>
      <c r="D97" s="100">
        <v>14.83</v>
      </c>
      <c r="E97" s="100">
        <v>7.16</v>
      </c>
      <c r="F97" s="100">
        <v>15.32</v>
      </c>
      <c r="G97" s="100">
        <v>45.2</v>
      </c>
      <c r="H97" s="100">
        <v>18.36</v>
      </c>
      <c r="I97" s="100">
        <v>10.62</v>
      </c>
      <c r="J97" s="100">
        <v>1.61</v>
      </c>
      <c r="K97" s="100">
        <v>47.08</v>
      </c>
      <c r="L97" s="100">
        <v>36.700000000000003</v>
      </c>
      <c r="M97" s="100">
        <v>39.229999999999997</v>
      </c>
      <c r="N97" s="100">
        <v>23</v>
      </c>
      <c r="O97" s="100">
        <v>0</v>
      </c>
      <c r="P97" s="100">
        <v>0.59</v>
      </c>
      <c r="Q97" s="100">
        <v>28.54</v>
      </c>
      <c r="R97" s="6"/>
      <c r="S97" s="6"/>
      <c r="T97" s="156"/>
      <c r="U97" s="6"/>
    </row>
    <row r="98" spans="1:28" customFormat="1">
      <c r="A98" s="163" t="s">
        <v>2057</v>
      </c>
      <c r="B98" s="100">
        <v>5.05</v>
      </c>
      <c r="C98" s="100">
        <v>20.59</v>
      </c>
      <c r="D98" s="100">
        <v>13.82</v>
      </c>
      <c r="E98" s="100">
        <v>6.71</v>
      </c>
      <c r="F98" s="100">
        <v>9.2799999999999994</v>
      </c>
      <c r="G98" s="100">
        <v>45.2</v>
      </c>
      <c r="H98" s="100">
        <v>18.36</v>
      </c>
      <c r="I98" s="100">
        <v>11.04</v>
      </c>
      <c r="J98" s="100">
        <v>2.23</v>
      </c>
      <c r="K98" s="100">
        <v>57.48</v>
      </c>
      <c r="L98" s="100">
        <v>34.69</v>
      </c>
      <c r="M98" s="100">
        <v>46.88</v>
      </c>
      <c r="N98" s="100">
        <v>25</v>
      </c>
      <c r="O98" s="100">
        <v>0</v>
      </c>
      <c r="P98" s="100">
        <v>0.54</v>
      </c>
      <c r="Q98" s="100">
        <v>28.52</v>
      </c>
      <c r="R98" s="6"/>
      <c r="S98" s="6"/>
      <c r="T98" s="156"/>
      <c r="U98" s="6"/>
    </row>
    <row r="99" spans="1:28" customFormat="1">
      <c r="A99" s="163" t="s">
        <v>2058</v>
      </c>
      <c r="B99" s="100">
        <v>4.49</v>
      </c>
      <c r="C99" s="100">
        <v>18.920000000000002</v>
      </c>
      <c r="D99" s="100">
        <v>12.49</v>
      </c>
      <c r="E99" s="100">
        <v>7.88</v>
      </c>
      <c r="F99" s="100">
        <v>7.47</v>
      </c>
      <c r="G99" s="100">
        <v>45.2</v>
      </c>
      <c r="H99" s="100">
        <v>18.36</v>
      </c>
      <c r="I99" s="100">
        <v>11.27</v>
      </c>
      <c r="J99" s="100">
        <v>2.1800000000000002</v>
      </c>
      <c r="K99" s="100">
        <v>48.13</v>
      </c>
      <c r="L99" s="100">
        <v>34.36</v>
      </c>
      <c r="M99" s="100">
        <v>49.64</v>
      </c>
      <c r="N99" s="100">
        <v>23.9</v>
      </c>
      <c r="O99" s="100">
        <v>0</v>
      </c>
      <c r="P99" s="100">
        <v>0.54</v>
      </c>
      <c r="Q99" s="100">
        <v>28.61</v>
      </c>
      <c r="R99" s="6"/>
      <c r="S99" s="6"/>
      <c r="T99" s="156"/>
      <c r="U99" s="6"/>
    </row>
    <row r="100" spans="1:28" customFormat="1">
      <c r="A100" s="163" t="s">
        <v>2059</v>
      </c>
      <c r="B100" s="100">
        <v>4.3499999999999996</v>
      </c>
      <c r="C100" s="100">
        <v>18.12</v>
      </c>
      <c r="D100" s="100">
        <v>11.96</v>
      </c>
      <c r="E100" s="100">
        <v>9.6</v>
      </c>
      <c r="F100" s="100">
        <v>8.42</v>
      </c>
      <c r="G100" s="100">
        <v>51.97</v>
      </c>
      <c r="H100" s="100">
        <v>18.18</v>
      </c>
      <c r="I100" s="100">
        <v>10.7</v>
      </c>
      <c r="J100" s="100">
        <v>1.89</v>
      </c>
      <c r="K100" s="100">
        <v>75.28</v>
      </c>
      <c r="L100" s="100">
        <v>34.69</v>
      </c>
      <c r="M100" s="100">
        <v>50.7</v>
      </c>
      <c r="N100" s="100">
        <v>23.3</v>
      </c>
      <c r="O100" s="100">
        <v>0</v>
      </c>
      <c r="P100" s="100">
        <v>0.55000000000000004</v>
      </c>
      <c r="Q100" s="100">
        <v>28.65</v>
      </c>
      <c r="R100" s="6"/>
      <c r="S100" s="6"/>
      <c r="T100" s="156"/>
      <c r="U100" s="6"/>
      <c r="AB100" s="161"/>
    </row>
    <row r="101" spans="1:28" customFormat="1">
      <c r="A101" s="163" t="s">
        <v>2060</v>
      </c>
      <c r="B101" s="100">
        <v>4.5</v>
      </c>
      <c r="C101" s="100">
        <v>18.190000000000001</v>
      </c>
      <c r="D101" s="100">
        <v>12.12</v>
      </c>
      <c r="E101" s="100">
        <v>6.9</v>
      </c>
      <c r="F101" s="100">
        <v>5.71</v>
      </c>
      <c r="G101" s="100">
        <v>77.3</v>
      </c>
      <c r="H101" s="100">
        <v>17.489999999999998</v>
      </c>
      <c r="I101" s="100">
        <v>10.58</v>
      </c>
      <c r="J101" s="100">
        <v>1.79</v>
      </c>
      <c r="K101" s="100">
        <v>76.540000000000006</v>
      </c>
      <c r="L101" s="100">
        <v>35.15</v>
      </c>
      <c r="M101" s="100">
        <v>50.18</v>
      </c>
      <c r="N101" s="100">
        <v>22.7</v>
      </c>
      <c r="O101" s="100">
        <v>0</v>
      </c>
      <c r="P101" s="100">
        <v>0.64</v>
      </c>
      <c r="Q101" s="100">
        <v>28.65</v>
      </c>
      <c r="R101" s="6"/>
      <c r="S101" s="6"/>
      <c r="T101" s="156"/>
      <c r="U101" s="6"/>
    </row>
    <row r="102" spans="1:28" customFormat="1">
      <c r="A102" s="163" t="s">
        <v>2061</v>
      </c>
      <c r="B102" s="100">
        <v>5.07</v>
      </c>
      <c r="C102" s="100">
        <v>20.88</v>
      </c>
      <c r="D102" s="100">
        <v>13.98</v>
      </c>
      <c r="E102" s="100">
        <v>11.95</v>
      </c>
      <c r="F102" s="100">
        <v>7.38</v>
      </c>
      <c r="G102" s="100">
        <v>77.3</v>
      </c>
      <c r="H102" s="100">
        <v>17.489999999999998</v>
      </c>
      <c r="I102" s="100">
        <v>10.65</v>
      </c>
      <c r="J102" s="100">
        <v>1.47</v>
      </c>
      <c r="K102" s="100">
        <v>101.72</v>
      </c>
      <c r="L102" s="100">
        <v>37.299999999999997</v>
      </c>
      <c r="M102" s="100">
        <v>49.73</v>
      </c>
      <c r="N102" s="100">
        <v>22.7</v>
      </c>
      <c r="O102" s="100">
        <v>0</v>
      </c>
      <c r="P102" s="100">
        <v>0.7</v>
      </c>
      <c r="Q102" s="100">
        <v>28.39</v>
      </c>
      <c r="R102" s="6"/>
      <c r="S102" s="6"/>
      <c r="T102" s="156"/>
      <c r="U102" s="6"/>
    </row>
    <row r="103" spans="1:28" customFormat="1">
      <c r="A103" s="163" t="s">
        <v>2062</v>
      </c>
      <c r="B103" s="100">
        <v>5.49</v>
      </c>
      <c r="C103" s="100">
        <v>17.43</v>
      </c>
      <c r="D103" s="100">
        <v>12.51</v>
      </c>
      <c r="E103" s="100">
        <v>11.98</v>
      </c>
      <c r="F103" s="100">
        <v>10.38</v>
      </c>
      <c r="G103" s="100">
        <v>77.3</v>
      </c>
      <c r="H103" s="100">
        <v>17.489999999999998</v>
      </c>
      <c r="I103" s="100">
        <v>10.61</v>
      </c>
      <c r="J103" s="100">
        <v>1.44</v>
      </c>
      <c r="K103" s="100">
        <v>82.26</v>
      </c>
      <c r="L103" s="100">
        <v>37.75</v>
      </c>
      <c r="M103" s="100">
        <v>51.16</v>
      </c>
      <c r="N103" s="100">
        <v>23.1</v>
      </c>
      <c r="O103" s="100">
        <v>0</v>
      </c>
      <c r="P103" s="100">
        <v>0.55000000000000004</v>
      </c>
      <c r="Q103" s="100">
        <v>28.61</v>
      </c>
      <c r="R103" s="6"/>
      <c r="S103" s="6"/>
      <c r="T103" s="156"/>
      <c r="U103" s="6"/>
    </row>
    <row r="104" spans="1:28" customFormat="1">
      <c r="A104" s="163" t="s">
        <v>2063</v>
      </c>
      <c r="B104" s="100">
        <v>4.8899999999999997</v>
      </c>
      <c r="C104" s="100">
        <v>17.62</v>
      </c>
      <c r="D104" s="100">
        <v>12.13</v>
      </c>
      <c r="E104" s="100">
        <v>8.41</v>
      </c>
      <c r="F104" s="100">
        <v>14.46</v>
      </c>
      <c r="G104" s="100">
        <v>75.67</v>
      </c>
      <c r="H104" s="100">
        <v>17.45</v>
      </c>
      <c r="I104" s="100">
        <v>10.31</v>
      </c>
      <c r="J104" s="100">
        <v>1.8</v>
      </c>
      <c r="K104" s="100">
        <v>71.83</v>
      </c>
      <c r="L104" s="100">
        <v>37.47</v>
      </c>
      <c r="M104" s="100">
        <v>51.46</v>
      </c>
      <c r="N104" s="100">
        <v>23</v>
      </c>
      <c r="O104" s="100">
        <v>0</v>
      </c>
      <c r="P104" s="100">
        <v>0.51</v>
      </c>
      <c r="Q104" s="100">
        <v>28.66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10.54</v>
      </c>
      <c r="D106" s="158">
        <f t="shared" ref="D106:Q106" si="0">MIN(D9:D104)</f>
        <v>10.45</v>
      </c>
      <c r="E106" s="158">
        <f t="shared" si="0"/>
        <v>2.19</v>
      </c>
      <c r="F106" s="158">
        <f t="shared" si="0"/>
        <v>3.61</v>
      </c>
      <c r="G106" s="158">
        <f t="shared" si="0"/>
        <v>30.16</v>
      </c>
      <c r="H106" s="158">
        <f t="shared" si="0"/>
        <v>12.89</v>
      </c>
      <c r="I106" s="158">
        <f t="shared" si="0"/>
        <v>6.69</v>
      </c>
      <c r="J106" s="158">
        <f t="shared" si="0"/>
        <v>0.23</v>
      </c>
      <c r="K106" s="158">
        <f t="shared" si="0"/>
        <v>47.08</v>
      </c>
      <c r="L106" s="158">
        <f t="shared" si="0"/>
        <v>30.51</v>
      </c>
      <c r="M106" s="158">
        <f t="shared" si="0"/>
        <v>24.43</v>
      </c>
      <c r="N106" s="158">
        <f t="shared" si="0"/>
        <v>22</v>
      </c>
      <c r="O106" s="158">
        <f t="shared" si="0"/>
        <v>0</v>
      </c>
      <c r="P106" s="158">
        <f t="shared" si="0"/>
        <v>0.39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8.83</v>
      </c>
      <c r="C107" s="157">
        <f t="shared" ref="C107:Q107" si="1">MAX(C9:C104)</f>
        <v>37.229999999999997</v>
      </c>
      <c r="D107" s="157">
        <f t="shared" si="1"/>
        <v>20.38</v>
      </c>
      <c r="E107" s="157">
        <f t="shared" si="1"/>
        <v>11.98</v>
      </c>
      <c r="F107" s="157">
        <f t="shared" si="1"/>
        <v>46.41</v>
      </c>
      <c r="G107" s="157">
        <f t="shared" si="1"/>
        <v>102.8</v>
      </c>
      <c r="H107" s="157">
        <f t="shared" si="1"/>
        <v>36.229999999999997</v>
      </c>
      <c r="I107" s="157">
        <f t="shared" si="1"/>
        <v>14.59</v>
      </c>
      <c r="J107" s="157">
        <f t="shared" si="1"/>
        <v>4.41</v>
      </c>
      <c r="K107" s="157">
        <f t="shared" si="1"/>
        <v>254.53</v>
      </c>
      <c r="L107" s="157">
        <f t="shared" si="1"/>
        <v>45.56</v>
      </c>
      <c r="M107" s="157">
        <f t="shared" si="1"/>
        <v>65.41</v>
      </c>
      <c r="N107" s="157">
        <f t="shared" si="1"/>
        <v>831.7</v>
      </c>
      <c r="O107" s="157">
        <f t="shared" si="1"/>
        <v>0</v>
      </c>
      <c r="P107" s="157">
        <f t="shared" si="1"/>
        <v>0.8</v>
      </c>
      <c r="Q107" s="157">
        <f t="shared" si="1"/>
        <v>29.46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7.1128089887640442</v>
      </c>
      <c r="C108" s="158">
        <f t="shared" ref="C108:Q108" si="2">AVERAGE(C9:C104)</f>
        <v>19.20696629213484</v>
      </c>
      <c r="D108" s="158">
        <f t="shared" si="2"/>
        <v>14.744494382022474</v>
      </c>
      <c r="E108" s="158">
        <f t="shared" si="2"/>
        <v>6.6146874999999996</v>
      </c>
      <c r="F108" s="158">
        <f t="shared" si="2"/>
        <v>16.905937500000004</v>
      </c>
      <c r="G108" s="158">
        <f t="shared" si="2"/>
        <v>51.174583333333366</v>
      </c>
      <c r="H108" s="158">
        <f t="shared" si="2"/>
        <v>20.439270833333332</v>
      </c>
      <c r="I108" s="158">
        <f t="shared" si="2"/>
        <v>10.99114583333334</v>
      </c>
      <c r="J108" s="158">
        <f t="shared" si="2"/>
        <v>2.3135416666666662</v>
      </c>
      <c r="K108" s="158">
        <f t="shared" si="2"/>
        <v>159.71458333333334</v>
      </c>
      <c r="L108" s="158">
        <f t="shared" si="2"/>
        <v>36.78864583333332</v>
      </c>
      <c r="M108" s="158">
        <f t="shared" si="2"/>
        <v>44.721041666666672</v>
      </c>
      <c r="N108" s="158">
        <f t="shared" si="2"/>
        <v>251.0364583333334</v>
      </c>
      <c r="O108" s="158">
        <f t="shared" si="2"/>
        <v>0</v>
      </c>
      <c r="P108" s="158">
        <f t="shared" si="2"/>
        <v>0.5681250000000001</v>
      </c>
      <c r="Q108" s="158">
        <f t="shared" si="2"/>
        <v>28.815833333333341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2.2012537691692584</v>
      </c>
      <c r="C109" s="158">
        <f t="shared" ref="C109:Q109" si="3">STDEV(C9:C104)</f>
        <v>4.2413648651471512</v>
      </c>
      <c r="D109" s="158">
        <f t="shared" si="3"/>
        <v>1.8104268778609889</v>
      </c>
      <c r="E109" s="158">
        <f t="shared" si="3"/>
        <v>1.3082281735031498</v>
      </c>
      <c r="F109" s="158">
        <f t="shared" si="3"/>
        <v>11.005035362158912</v>
      </c>
      <c r="G109" s="158">
        <f t="shared" si="3"/>
        <v>22.201342866766325</v>
      </c>
      <c r="H109" s="158">
        <f t="shared" si="3"/>
        <v>6.6966916018350249</v>
      </c>
      <c r="I109" s="158">
        <f t="shared" si="3"/>
        <v>1.8819641865777663</v>
      </c>
      <c r="J109" s="158">
        <f t="shared" si="3"/>
        <v>0.82418058722034859</v>
      </c>
      <c r="K109" s="158">
        <f t="shared" si="3"/>
        <v>56.150118093640849</v>
      </c>
      <c r="L109" s="158">
        <f t="shared" si="3"/>
        <v>4.0686807948140773</v>
      </c>
      <c r="M109" s="158">
        <f t="shared" si="3"/>
        <v>13.159052315834753</v>
      </c>
      <c r="N109" s="158">
        <f t="shared" si="3"/>
        <v>296.64664683399144</v>
      </c>
      <c r="O109" s="158">
        <f t="shared" si="3"/>
        <v>0</v>
      </c>
      <c r="P109" s="158">
        <f t="shared" si="3"/>
        <v>0.10067469759995268</v>
      </c>
      <c r="Q109" s="158">
        <f t="shared" si="3"/>
        <v>0.41559764617809358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COUNT(B9:B104)+7</f>
        <v>96</v>
      </c>
      <c r="C110" s="157">
        <f t="shared" ref="C110:D110" si="4">COUNT(C9:C104)+7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 t="shared" si="5"/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R73" sqref="R7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2064</v>
      </c>
      <c r="B9" s="100">
        <v>4.8499999999999996</v>
      </c>
      <c r="C9" s="100">
        <v>16.690000000000001</v>
      </c>
      <c r="D9" s="100">
        <v>11.61</v>
      </c>
      <c r="E9" s="100">
        <v>7.29</v>
      </c>
      <c r="F9" s="100">
        <v>16.32</v>
      </c>
      <c r="G9" s="100">
        <v>69.569999999999993</v>
      </c>
      <c r="H9" s="100">
        <v>17.32</v>
      </c>
      <c r="I9" s="100">
        <v>10.01</v>
      </c>
      <c r="J9" s="100">
        <v>1.84</v>
      </c>
      <c r="K9" s="100">
        <v>75.47</v>
      </c>
      <c r="L9" s="100">
        <v>37.909999999999997</v>
      </c>
      <c r="M9" s="100">
        <v>50.37</v>
      </c>
      <c r="N9" s="100">
        <v>22.9</v>
      </c>
      <c r="O9" s="100">
        <v>0</v>
      </c>
      <c r="P9" s="100">
        <v>0.5</v>
      </c>
      <c r="Q9" s="100">
        <v>28.71</v>
      </c>
      <c r="R9" s="6"/>
      <c r="S9" s="6"/>
      <c r="T9" s="156"/>
      <c r="U9" s="6"/>
    </row>
    <row r="10" spans="1:21" customFormat="1">
      <c r="A10" s="163" t="s">
        <v>2065</v>
      </c>
      <c r="B10" s="100">
        <v>5.27</v>
      </c>
      <c r="C10" s="100">
        <v>16.21</v>
      </c>
      <c r="D10" s="100">
        <v>11.7</v>
      </c>
      <c r="E10" s="100">
        <v>6.41</v>
      </c>
      <c r="F10" s="100">
        <v>12.62</v>
      </c>
      <c r="G10" s="100">
        <v>69.569999999999993</v>
      </c>
      <c r="H10" s="100">
        <v>17.32</v>
      </c>
      <c r="I10" s="100">
        <v>9.27</v>
      </c>
      <c r="J10" s="100">
        <v>2.1</v>
      </c>
      <c r="K10" s="100">
        <v>76.55</v>
      </c>
      <c r="L10" s="100">
        <v>37.69</v>
      </c>
      <c r="M10" s="100">
        <v>50.73</v>
      </c>
      <c r="N10" s="100">
        <v>23.4</v>
      </c>
      <c r="O10" s="100">
        <v>0</v>
      </c>
      <c r="P10" s="100">
        <v>0.5</v>
      </c>
      <c r="Q10" s="100">
        <v>28.76</v>
      </c>
      <c r="R10" s="6"/>
      <c r="S10" s="6"/>
      <c r="T10" s="156"/>
      <c r="U10" s="6"/>
    </row>
    <row r="11" spans="1:21" customFormat="1">
      <c r="A11" s="163" t="s">
        <v>2066</v>
      </c>
      <c r="B11" s="100">
        <v>5.16</v>
      </c>
      <c r="C11" s="100">
        <v>15.79</v>
      </c>
      <c r="D11" s="100">
        <v>11.39</v>
      </c>
      <c r="E11" s="100">
        <v>6.13</v>
      </c>
      <c r="F11" s="100">
        <v>12.74</v>
      </c>
      <c r="G11" s="100">
        <v>69.569999999999993</v>
      </c>
      <c r="H11" s="100">
        <v>17.32</v>
      </c>
      <c r="I11" s="100">
        <v>9.17</v>
      </c>
      <c r="J11" s="100">
        <v>1.81</v>
      </c>
      <c r="K11" s="100">
        <v>76.97</v>
      </c>
      <c r="L11" s="100">
        <v>36.04</v>
      </c>
      <c r="M11" s="100">
        <v>50.83</v>
      </c>
      <c r="N11" s="100">
        <v>23.2</v>
      </c>
      <c r="O11" s="100">
        <v>0</v>
      </c>
      <c r="P11" s="100">
        <v>0.49</v>
      </c>
      <c r="Q11" s="100">
        <v>28.83</v>
      </c>
      <c r="R11" s="6"/>
      <c r="S11" s="6"/>
      <c r="T11" s="156"/>
      <c r="U11" s="6"/>
    </row>
    <row r="12" spans="1:21" customFormat="1">
      <c r="A12" s="163" t="s">
        <v>2067</v>
      </c>
      <c r="B12" s="100">
        <v>4.8099999999999996</v>
      </c>
      <c r="C12" s="100">
        <v>15.71</v>
      </c>
      <c r="D12" s="100">
        <v>11.07</v>
      </c>
      <c r="E12" s="100">
        <v>6.22</v>
      </c>
      <c r="F12" s="100">
        <v>15.54</v>
      </c>
      <c r="G12" s="100">
        <v>67.16</v>
      </c>
      <c r="H12" s="100">
        <v>17.79</v>
      </c>
      <c r="I12" s="100">
        <v>9.06</v>
      </c>
      <c r="J12" s="100">
        <v>1.48</v>
      </c>
      <c r="K12" s="100">
        <v>86.3</v>
      </c>
      <c r="L12" s="100">
        <v>35.75</v>
      </c>
      <c r="M12" s="100">
        <v>50.02</v>
      </c>
      <c r="N12" s="100">
        <v>22.9</v>
      </c>
      <c r="O12" s="100">
        <v>0</v>
      </c>
      <c r="P12" s="100">
        <v>0.46</v>
      </c>
      <c r="Q12" s="100">
        <v>28.85</v>
      </c>
      <c r="R12" s="6"/>
      <c r="S12" s="6"/>
      <c r="T12" s="156"/>
      <c r="U12" s="6"/>
    </row>
    <row r="13" spans="1:21" customFormat="1">
      <c r="A13" s="163" t="s">
        <v>2068</v>
      </c>
      <c r="B13" s="100">
        <v>4.68</v>
      </c>
      <c r="C13" s="100">
        <v>15.78</v>
      </c>
      <c r="D13" s="100">
        <v>11</v>
      </c>
      <c r="E13" s="100">
        <v>6.01</v>
      </c>
      <c r="F13" s="100">
        <v>16.91</v>
      </c>
      <c r="G13" s="100">
        <v>58.15</v>
      </c>
      <c r="H13" s="100">
        <v>19.54</v>
      </c>
      <c r="I13" s="100">
        <v>8.68</v>
      </c>
      <c r="J13" s="100">
        <v>1.7</v>
      </c>
      <c r="K13" s="100">
        <v>70.459999999999994</v>
      </c>
      <c r="L13" s="100">
        <v>36.049999999999997</v>
      </c>
      <c r="M13" s="100">
        <v>49.31</v>
      </c>
      <c r="N13" s="100">
        <v>22.9</v>
      </c>
      <c r="O13" s="100">
        <v>0</v>
      </c>
      <c r="P13" s="100">
        <v>0.45</v>
      </c>
      <c r="Q13" s="100">
        <v>28.83</v>
      </c>
      <c r="R13" s="6"/>
      <c r="S13" s="6"/>
      <c r="T13" s="156"/>
      <c r="U13" s="6"/>
    </row>
    <row r="14" spans="1:21" customFormat="1">
      <c r="A14" s="163" t="s">
        <v>2069</v>
      </c>
      <c r="B14" s="100">
        <v>4.37</v>
      </c>
      <c r="C14" s="100">
        <v>15.49</v>
      </c>
      <c r="D14" s="100">
        <v>10.6</v>
      </c>
      <c r="E14" s="100">
        <v>6.04</v>
      </c>
      <c r="F14" s="100">
        <v>16.93</v>
      </c>
      <c r="G14" s="100">
        <v>58.15</v>
      </c>
      <c r="H14" s="100">
        <v>19.54</v>
      </c>
      <c r="I14" s="100">
        <v>8.18</v>
      </c>
      <c r="J14" s="100">
        <v>1.1200000000000001</v>
      </c>
      <c r="K14" s="100">
        <v>100.43</v>
      </c>
      <c r="L14" s="100">
        <v>36.1</v>
      </c>
      <c r="M14" s="100">
        <v>49.21</v>
      </c>
      <c r="N14" s="100">
        <v>22.9</v>
      </c>
      <c r="O14" s="100">
        <v>0</v>
      </c>
      <c r="P14" s="100">
        <v>0.42</v>
      </c>
      <c r="Q14" s="100">
        <v>28.86</v>
      </c>
      <c r="R14" s="6"/>
      <c r="S14" s="6"/>
      <c r="T14" s="156"/>
      <c r="U14" s="6"/>
    </row>
    <row r="15" spans="1:21" customFormat="1">
      <c r="A15" s="163" t="s">
        <v>2070</v>
      </c>
      <c r="B15" s="100">
        <v>4.6500000000000004</v>
      </c>
      <c r="C15" s="100">
        <v>16.46</v>
      </c>
      <c r="D15" s="100">
        <v>11.34</v>
      </c>
      <c r="E15" s="100">
        <v>5.52</v>
      </c>
      <c r="F15" s="100">
        <v>7.17</v>
      </c>
      <c r="G15" s="100">
        <v>58.15</v>
      </c>
      <c r="H15" s="100">
        <v>19.54</v>
      </c>
      <c r="I15" s="100">
        <v>7.78</v>
      </c>
      <c r="J15" s="100">
        <v>1.07</v>
      </c>
      <c r="K15" s="100">
        <v>124.12</v>
      </c>
      <c r="L15" s="100">
        <v>35.96</v>
      </c>
      <c r="M15" s="100">
        <v>49.31</v>
      </c>
      <c r="N15" s="100">
        <v>22.9</v>
      </c>
      <c r="O15" s="100">
        <v>0</v>
      </c>
      <c r="P15" s="100">
        <v>0.49</v>
      </c>
      <c r="Q15" s="100">
        <v>28.83</v>
      </c>
      <c r="R15" s="6"/>
      <c r="S15" s="6"/>
      <c r="T15" s="156"/>
      <c r="U15" s="6"/>
    </row>
    <row r="16" spans="1:21" customFormat="1">
      <c r="A16" s="163" t="s">
        <v>2071</v>
      </c>
      <c r="B16" s="100">
        <v>4.38</v>
      </c>
      <c r="C16" s="100">
        <v>16.649999999999999</v>
      </c>
      <c r="D16" s="100">
        <v>11.22</v>
      </c>
      <c r="E16" s="100">
        <v>6.34</v>
      </c>
      <c r="F16" s="100">
        <v>16.39</v>
      </c>
      <c r="G16" s="100">
        <v>56.33</v>
      </c>
      <c r="H16" s="100">
        <v>19.23</v>
      </c>
      <c r="I16" s="100">
        <v>7.98</v>
      </c>
      <c r="J16" s="100">
        <v>1.28</v>
      </c>
      <c r="K16" s="100">
        <v>122.89</v>
      </c>
      <c r="L16" s="100">
        <v>36.54</v>
      </c>
      <c r="M16" s="100">
        <v>48.1</v>
      </c>
      <c r="N16" s="100">
        <v>22.5</v>
      </c>
      <c r="O16" s="100">
        <v>0</v>
      </c>
      <c r="P16" s="100">
        <v>0.4</v>
      </c>
      <c r="Q16" s="100">
        <v>28.86</v>
      </c>
      <c r="R16" s="6"/>
      <c r="S16" s="6"/>
      <c r="T16" s="156"/>
      <c r="U16" s="6"/>
    </row>
    <row r="17" spans="1:21" customFormat="1">
      <c r="A17" s="163" t="s">
        <v>2072</v>
      </c>
      <c r="B17" s="100">
        <v>4.4400000000000004</v>
      </c>
      <c r="C17" s="100">
        <v>14.47</v>
      </c>
      <c r="D17" s="100">
        <v>10.130000000000001</v>
      </c>
      <c r="E17" s="100">
        <v>6.32</v>
      </c>
      <c r="F17" s="100">
        <v>9.26</v>
      </c>
      <c r="G17" s="100">
        <v>49.51</v>
      </c>
      <c r="H17" s="100">
        <v>18.059999999999999</v>
      </c>
      <c r="I17" s="100">
        <v>8.14</v>
      </c>
      <c r="J17" s="100">
        <v>1.54</v>
      </c>
      <c r="K17" s="100">
        <v>143.77000000000001</v>
      </c>
      <c r="L17" s="100">
        <v>36.799999999999997</v>
      </c>
      <c r="M17" s="100">
        <v>48.33</v>
      </c>
      <c r="N17" s="100">
        <v>22.8</v>
      </c>
      <c r="O17" s="100">
        <v>0</v>
      </c>
      <c r="P17" s="100">
        <v>0.44</v>
      </c>
      <c r="Q17" s="100">
        <v>28.99</v>
      </c>
      <c r="R17" s="6"/>
      <c r="S17" s="6"/>
      <c r="T17" s="156"/>
      <c r="U17" s="6"/>
    </row>
    <row r="18" spans="1:21" customFormat="1">
      <c r="A18" s="163" t="s">
        <v>2073</v>
      </c>
      <c r="B18" s="100">
        <v>4.24</v>
      </c>
      <c r="C18" s="100">
        <v>13.57</v>
      </c>
      <c r="D18" s="100">
        <v>9.5</v>
      </c>
      <c r="E18" s="100">
        <v>6.53</v>
      </c>
      <c r="F18" s="100">
        <v>17.010000000000002</v>
      </c>
      <c r="G18" s="100">
        <v>49.51</v>
      </c>
      <c r="H18" s="100">
        <v>18.059999999999999</v>
      </c>
      <c r="I18" s="100">
        <v>7.57</v>
      </c>
      <c r="J18" s="100">
        <v>1.57</v>
      </c>
      <c r="K18" s="100">
        <v>133.63</v>
      </c>
      <c r="L18" s="100">
        <v>38.19</v>
      </c>
      <c r="M18" s="100">
        <v>46.81</v>
      </c>
      <c r="N18" s="100">
        <v>22.4</v>
      </c>
      <c r="O18" s="100">
        <v>0</v>
      </c>
      <c r="P18" s="100">
        <v>0.39</v>
      </c>
      <c r="Q18" s="100">
        <v>29.06</v>
      </c>
      <c r="R18" s="6"/>
      <c r="S18" s="6"/>
      <c r="T18" s="156"/>
      <c r="U18" s="6"/>
    </row>
    <row r="19" spans="1:21" customFormat="1">
      <c r="A19" s="163" t="s">
        <v>2074</v>
      </c>
      <c r="B19" s="100">
        <v>3.95</v>
      </c>
      <c r="C19" s="100">
        <v>10.77</v>
      </c>
      <c r="D19" s="100">
        <v>7.8</v>
      </c>
      <c r="E19" s="100">
        <v>6.53</v>
      </c>
      <c r="F19" s="100">
        <v>16.34</v>
      </c>
      <c r="G19" s="100">
        <v>49.51</v>
      </c>
      <c r="H19" s="100">
        <v>18.059999999999999</v>
      </c>
      <c r="I19" s="100">
        <v>7.67</v>
      </c>
      <c r="J19" s="100">
        <v>1.69</v>
      </c>
      <c r="K19" s="100">
        <v>139.76</v>
      </c>
      <c r="L19" s="100">
        <v>37.24</v>
      </c>
      <c r="M19" s="100">
        <v>45.96</v>
      </c>
      <c r="N19" s="100">
        <v>22.5</v>
      </c>
      <c r="O19" s="100">
        <v>0</v>
      </c>
      <c r="P19" s="100">
        <v>0.38</v>
      </c>
      <c r="Q19" s="100">
        <v>29.22</v>
      </c>
      <c r="R19" s="6"/>
      <c r="S19" s="6"/>
      <c r="T19" s="156"/>
      <c r="U19" s="6"/>
    </row>
    <row r="20" spans="1:21" customFormat="1">
      <c r="A20" s="163" t="s">
        <v>2075</v>
      </c>
      <c r="B20" s="100">
        <v>3.96</v>
      </c>
      <c r="C20" s="100">
        <v>11.14</v>
      </c>
      <c r="D20" s="100">
        <v>8</v>
      </c>
      <c r="E20" s="100">
        <v>6.27</v>
      </c>
      <c r="F20" s="100">
        <v>16.57</v>
      </c>
      <c r="G20" s="100">
        <v>46.7</v>
      </c>
      <c r="H20" s="100">
        <v>17.04</v>
      </c>
      <c r="I20" s="100">
        <v>7.25</v>
      </c>
      <c r="J20" s="100">
        <v>1.42</v>
      </c>
      <c r="K20" s="100">
        <v>140.26</v>
      </c>
      <c r="L20" s="100">
        <v>37.78</v>
      </c>
      <c r="M20" s="100">
        <v>45.6</v>
      </c>
      <c r="N20" s="100">
        <v>22.6</v>
      </c>
      <c r="O20" s="100">
        <v>0</v>
      </c>
      <c r="P20" s="100">
        <v>0.38</v>
      </c>
      <c r="Q20" s="100">
        <v>29.22</v>
      </c>
      <c r="R20" s="6"/>
      <c r="S20" s="6"/>
      <c r="T20" s="156"/>
      <c r="U20" s="6"/>
    </row>
    <row r="21" spans="1:21" customFormat="1">
      <c r="A21" s="163" t="s">
        <v>2076</v>
      </c>
      <c r="B21" s="100">
        <v>3.81</v>
      </c>
      <c r="C21" s="100">
        <v>12.46</v>
      </c>
      <c r="D21" s="100">
        <v>8.57</v>
      </c>
      <c r="E21" s="100">
        <v>5.88</v>
      </c>
      <c r="F21" s="100">
        <v>19.8</v>
      </c>
      <c r="G21" s="100">
        <v>36.200000000000003</v>
      </c>
      <c r="H21" s="100">
        <v>13.24</v>
      </c>
      <c r="I21" s="100">
        <v>7.2</v>
      </c>
      <c r="J21" s="100">
        <v>0.99</v>
      </c>
      <c r="K21" s="100">
        <v>168.75</v>
      </c>
      <c r="L21" s="100">
        <v>37.36</v>
      </c>
      <c r="M21" s="100">
        <v>46.36</v>
      </c>
      <c r="N21" s="100">
        <v>22.9</v>
      </c>
      <c r="O21" s="100">
        <v>0</v>
      </c>
      <c r="P21" s="100">
        <v>0.35</v>
      </c>
      <c r="Q21" s="100">
        <v>29.16</v>
      </c>
      <c r="R21" s="6"/>
      <c r="S21" s="6"/>
      <c r="T21" s="156"/>
      <c r="U21" s="6"/>
    </row>
    <row r="22" spans="1:21" customFormat="1">
      <c r="A22" s="163" t="s">
        <v>2077</v>
      </c>
      <c r="B22" s="100">
        <v>3.8</v>
      </c>
      <c r="C22" s="100">
        <v>12.86</v>
      </c>
      <c r="D22" s="100">
        <v>8.77</v>
      </c>
      <c r="E22" s="100">
        <v>5.52</v>
      </c>
      <c r="F22" s="100">
        <v>15.83</v>
      </c>
      <c r="G22" s="100">
        <v>36.200000000000003</v>
      </c>
      <c r="H22" s="100">
        <v>13.24</v>
      </c>
      <c r="I22" s="100">
        <v>7.25</v>
      </c>
      <c r="J22" s="100">
        <v>1.38</v>
      </c>
      <c r="K22" s="100">
        <v>334.62</v>
      </c>
      <c r="L22" s="100">
        <v>35.97</v>
      </c>
      <c r="M22" s="100">
        <v>47.65</v>
      </c>
      <c r="N22" s="100">
        <v>22.8</v>
      </c>
      <c r="O22" s="100">
        <v>0</v>
      </c>
      <c r="P22" s="100">
        <v>0.35</v>
      </c>
      <c r="Q22" s="100">
        <v>29.11</v>
      </c>
      <c r="R22" s="6"/>
      <c r="S22" s="6"/>
      <c r="T22" s="156"/>
      <c r="U22" s="6"/>
    </row>
    <row r="23" spans="1:21" customFormat="1">
      <c r="A23" s="163" t="s">
        <v>2078</v>
      </c>
      <c r="B23" s="100">
        <v>4.3499999999999996</v>
      </c>
      <c r="C23" s="100">
        <v>14.53</v>
      </c>
      <c r="D23" s="100">
        <v>10.09</v>
      </c>
      <c r="E23" s="100">
        <v>5.71</v>
      </c>
      <c r="F23" s="100">
        <v>8.25</v>
      </c>
      <c r="G23" s="100">
        <v>36.200000000000003</v>
      </c>
      <c r="H23" s="100">
        <v>13.24</v>
      </c>
      <c r="I23" s="100">
        <v>7.02</v>
      </c>
      <c r="J23" s="100">
        <v>1.32</v>
      </c>
      <c r="K23" s="100">
        <v>348.74</v>
      </c>
      <c r="L23" s="100">
        <v>35.28</v>
      </c>
      <c r="M23" s="100">
        <v>51.15</v>
      </c>
      <c r="N23" s="100">
        <v>23.4</v>
      </c>
      <c r="O23" s="100">
        <v>0</v>
      </c>
      <c r="P23" s="100">
        <v>0.38</v>
      </c>
      <c r="Q23" s="100">
        <v>28.95</v>
      </c>
      <c r="R23" s="6"/>
      <c r="S23" s="6"/>
      <c r="T23" s="156"/>
      <c r="U23" s="6"/>
    </row>
    <row r="24" spans="1:21" customFormat="1">
      <c r="A24" s="163" t="s">
        <v>2079</v>
      </c>
      <c r="B24" s="100">
        <v>4.45</v>
      </c>
      <c r="C24" s="100">
        <v>15.17</v>
      </c>
      <c r="D24" s="100">
        <v>10.49</v>
      </c>
      <c r="E24" s="100">
        <v>5.51</v>
      </c>
      <c r="F24" s="100">
        <v>11.42</v>
      </c>
      <c r="G24" s="100">
        <v>33.39</v>
      </c>
      <c r="H24" s="100">
        <v>13.12</v>
      </c>
      <c r="I24" s="100">
        <v>7.12</v>
      </c>
      <c r="J24" s="100">
        <v>2.1</v>
      </c>
      <c r="K24" s="100">
        <v>13.19</v>
      </c>
      <c r="L24" s="100">
        <v>33.93</v>
      </c>
      <c r="M24" s="100">
        <v>55.12</v>
      </c>
      <c r="N24" s="100">
        <v>23.6</v>
      </c>
      <c r="O24" s="100">
        <v>0</v>
      </c>
      <c r="P24" s="100">
        <v>0.38</v>
      </c>
      <c r="Q24" s="100">
        <v>28.92</v>
      </c>
      <c r="R24" s="6"/>
      <c r="S24" s="6"/>
      <c r="T24" s="156"/>
      <c r="U24" s="6"/>
    </row>
    <row r="25" spans="1:21" customFormat="1">
      <c r="A25" s="163" t="s">
        <v>2080</v>
      </c>
      <c r="B25" s="100">
        <v>4.6100000000000003</v>
      </c>
      <c r="C25" s="100">
        <v>15.47</v>
      </c>
      <c r="D25" s="100">
        <v>10.79</v>
      </c>
      <c r="E25" s="100">
        <v>5.68</v>
      </c>
      <c r="F25" s="100">
        <v>10.5</v>
      </c>
      <c r="G25" s="100">
        <v>22.87</v>
      </c>
      <c r="H25" s="100">
        <v>12.69</v>
      </c>
      <c r="I25" s="100">
        <v>7.43</v>
      </c>
      <c r="J25" s="100">
        <v>1.1299999999999999</v>
      </c>
      <c r="K25" s="100">
        <v>53.36</v>
      </c>
      <c r="L25" s="100">
        <v>33.72</v>
      </c>
      <c r="M25" s="100">
        <v>56.3</v>
      </c>
      <c r="N25" s="100">
        <v>23.2</v>
      </c>
      <c r="O25" s="100">
        <v>0</v>
      </c>
      <c r="P25" s="100">
        <v>0.39</v>
      </c>
      <c r="Q25" s="100">
        <v>28.91</v>
      </c>
      <c r="R25" s="6"/>
      <c r="S25" s="6"/>
      <c r="T25" s="156"/>
      <c r="U25" s="6"/>
    </row>
    <row r="26" spans="1:21" customFormat="1">
      <c r="A26" s="163" t="s">
        <v>2081</v>
      </c>
      <c r="B26" s="100">
        <v>4.91</v>
      </c>
      <c r="C26" s="100">
        <v>15.78</v>
      </c>
      <c r="D26" s="100">
        <v>11.19</v>
      </c>
      <c r="E26" s="100">
        <v>5.8</v>
      </c>
      <c r="F26" s="100">
        <v>10.26</v>
      </c>
      <c r="G26" s="100">
        <v>22.87</v>
      </c>
      <c r="H26" s="100">
        <v>12.69</v>
      </c>
      <c r="I26" s="100">
        <v>7.43</v>
      </c>
      <c r="J26" s="100">
        <v>1.96</v>
      </c>
      <c r="K26" s="100">
        <v>32.270000000000003</v>
      </c>
      <c r="L26" s="100">
        <v>33.51</v>
      </c>
      <c r="M26" s="100">
        <v>57.12</v>
      </c>
      <c r="N26" s="100">
        <v>23.1</v>
      </c>
      <c r="O26" s="100">
        <v>0</v>
      </c>
      <c r="P26" s="100">
        <v>0.37</v>
      </c>
      <c r="Q26" s="100">
        <v>28.88</v>
      </c>
      <c r="R26" s="6"/>
      <c r="S26" s="6"/>
      <c r="T26" s="156"/>
      <c r="U26" s="6"/>
    </row>
    <row r="27" spans="1:21" customFormat="1">
      <c r="A27" s="163" t="s">
        <v>2082</v>
      </c>
      <c r="B27" s="100">
        <v>5.17</v>
      </c>
      <c r="C27" s="100">
        <v>16.36</v>
      </c>
      <c r="D27" s="100">
        <v>11.7</v>
      </c>
      <c r="E27" s="100">
        <v>6.06</v>
      </c>
      <c r="F27" s="100">
        <v>9.3699999999999992</v>
      </c>
      <c r="G27" s="100">
        <v>22.87</v>
      </c>
      <c r="H27" s="100">
        <v>12.69</v>
      </c>
      <c r="I27" s="100">
        <v>7.12</v>
      </c>
      <c r="J27" s="100">
        <v>2.15</v>
      </c>
      <c r="K27" s="100">
        <v>24.5</v>
      </c>
      <c r="L27" s="100">
        <v>33.380000000000003</v>
      </c>
      <c r="M27" s="100">
        <v>57.55</v>
      </c>
      <c r="N27" s="100">
        <v>22.9</v>
      </c>
      <c r="O27" s="100">
        <v>0</v>
      </c>
      <c r="P27" s="100">
        <v>0.4</v>
      </c>
      <c r="Q27" s="100">
        <v>28.73</v>
      </c>
      <c r="R27" s="6"/>
      <c r="S27" s="6"/>
      <c r="T27" s="156"/>
      <c r="U27" s="6"/>
    </row>
    <row r="28" spans="1:21" customFormat="1">
      <c r="A28" s="163" t="s">
        <v>2083</v>
      </c>
      <c r="B28" s="100">
        <v>5.68</v>
      </c>
      <c r="C28" s="100">
        <v>16.61</v>
      </c>
      <c r="D28" s="100">
        <v>12.24</v>
      </c>
      <c r="E28" s="100">
        <v>5.94</v>
      </c>
      <c r="F28" s="100">
        <v>4.7300000000000004</v>
      </c>
      <c r="G28" s="100">
        <v>27.8</v>
      </c>
      <c r="H28" s="100">
        <v>13.14</v>
      </c>
      <c r="I28" s="100">
        <v>6.89</v>
      </c>
      <c r="J28" s="100">
        <v>1.56</v>
      </c>
      <c r="K28" s="100">
        <v>69.349999999999994</v>
      </c>
      <c r="L28" s="100">
        <v>33.049999999999997</v>
      </c>
      <c r="M28" s="100">
        <v>57.46</v>
      </c>
      <c r="N28" s="100">
        <v>23</v>
      </c>
      <c r="O28" s="100">
        <v>0</v>
      </c>
      <c r="P28" s="100">
        <v>0.41</v>
      </c>
      <c r="Q28" s="100">
        <v>28.75</v>
      </c>
      <c r="R28" s="6"/>
      <c r="S28" s="6"/>
      <c r="T28" s="156"/>
      <c r="U28" s="6"/>
    </row>
    <row r="29" spans="1:21" customFormat="1">
      <c r="A29" s="163" t="s">
        <v>2084</v>
      </c>
      <c r="B29" s="100">
        <v>6.05</v>
      </c>
      <c r="C29" s="100">
        <v>18.100000000000001</v>
      </c>
      <c r="D29" s="100">
        <v>13.31</v>
      </c>
      <c r="E29" s="100">
        <v>5.4</v>
      </c>
      <c r="F29" s="100">
        <v>5.31</v>
      </c>
      <c r="G29" s="100">
        <v>46.2</v>
      </c>
      <c r="H29" s="100">
        <v>14.82</v>
      </c>
      <c r="I29" s="100">
        <v>7.12</v>
      </c>
      <c r="J29" s="100">
        <v>2.0299999999999998</v>
      </c>
      <c r="K29" s="100">
        <v>55.42</v>
      </c>
      <c r="L29" s="100">
        <v>32.97</v>
      </c>
      <c r="M29" s="100">
        <v>56.45</v>
      </c>
      <c r="N29" s="100">
        <v>23.4</v>
      </c>
      <c r="O29" s="100">
        <v>0</v>
      </c>
      <c r="P29" s="100">
        <v>0.45</v>
      </c>
      <c r="Q29" s="100">
        <v>28.68</v>
      </c>
      <c r="R29" s="6"/>
      <c r="S29" s="6"/>
      <c r="T29" s="156"/>
      <c r="U29" s="6"/>
    </row>
    <row r="30" spans="1:21" customFormat="1">
      <c r="A30" s="163" t="s">
        <v>2085</v>
      </c>
      <c r="B30" s="100">
        <v>6.27</v>
      </c>
      <c r="C30" s="100">
        <v>16.309999999999999</v>
      </c>
      <c r="D30" s="100">
        <v>12.56</v>
      </c>
      <c r="E30" s="100">
        <v>6.22</v>
      </c>
      <c r="F30" s="100">
        <v>5.34</v>
      </c>
      <c r="G30" s="100">
        <v>46.2</v>
      </c>
      <c r="H30" s="100">
        <v>14.82</v>
      </c>
      <c r="I30" s="100">
        <v>7.45</v>
      </c>
      <c r="J30" s="100">
        <v>1.95</v>
      </c>
      <c r="K30" s="100">
        <v>61.15</v>
      </c>
      <c r="L30" s="100">
        <v>33.799999999999997</v>
      </c>
      <c r="M30" s="100">
        <v>56.38</v>
      </c>
      <c r="N30" s="100">
        <v>27.5</v>
      </c>
      <c r="O30" s="100">
        <v>0</v>
      </c>
      <c r="P30" s="100">
        <v>0.47</v>
      </c>
      <c r="Q30" s="100">
        <v>28.76</v>
      </c>
      <c r="R30" s="6"/>
      <c r="S30" s="6"/>
      <c r="T30" s="156"/>
      <c r="U30" s="6"/>
    </row>
    <row r="31" spans="1:21" customFormat="1">
      <c r="A31" s="163" t="s">
        <v>2086</v>
      </c>
      <c r="B31" s="100">
        <v>6.04</v>
      </c>
      <c r="C31" s="100">
        <v>13.5</v>
      </c>
      <c r="D31" s="100">
        <v>10.91</v>
      </c>
      <c r="E31" s="100">
        <v>6.83</v>
      </c>
      <c r="F31" s="100">
        <v>8.1</v>
      </c>
      <c r="G31" s="100">
        <v>46.2</v>
      </c>
      <c r="H31" s="100">
        <v>14.82</v>
      </c>
      <c r="I31" s="100">
        <v>7.68</v>
      </c>
      <c r="J31" s="100">
        <v>1.45</v>
      </c>
      <c r="K31" s="100">
        <v>100.1</v>
      </c>
      <c r="L31" s="100">
        <v>34.03</v>
      </c>
      <c r="M31" s="100">
        <v>55.55</v>
      </c>
      <c r="N31" s="100">
        <v>38.200000000000003</v>
      </c>
      <c r="O31" s="100">
        <v>0</v>
      </c>
      <c r="P31" s="100">
        <v>0.45</v>
      </c>
      <c r="Q31" s="100">
        <v>28.96</v>
      </c>
      <c r="R31" s="6"/>
      <c r="S31" s="6"/>
      <c r="T31" s="156"/>
      <c r="U31" s="6"/>
    </row>
    <row r="32" spans="1:21" customFormat="1">
      <c r="A32" s="163" t="s">
        <v>2087</v>
      </c>
      <c r="B32" s="100">
        <v>6.29</v>
      </c>
      <c r="C32" s="100">
        <v>13.95</v>
      </c>
      <c r="D32" s="100">
        <v>11.34</v>
      </c>
      <c r="E32" s="100">
        <v>6.2</v>
      </c>
      <c r="F32" s="100">
        <v>4.13</v>
      </c>
      <c r="G32" s="100">
        <v>46.75</v>
      </c>
      <c r="H32" s="100">
        <v>14.66</v>
      </c>
      <c r="I32" s="100">
        <v>7.63</v>
      </c>
      <c r="J32" s="100">
        <v>1.72</v>
      </c>
      <c r="K32" s="100">
        <v>88.29</v>
      </c>
      <c r="L32" s="100">
        <v>30.53</v>
      </c>
      <c r="M32" s="100">
        <v>56.01</v>
      </c>
      <c r="N32" s="100">
        <v>50.5</v>
      </c>
      <c r="O32" s="100">
        <v>0</v>
      </c>
      <c r="P32" s="100">
        <v>0.48</v>
      </c>
      <c r="Q32" s="100">
        <v>28.94</v>
      </c>
      <c r="R32" s="6"/>
      <c r="S32" s="6"/>
      <c r="T32" s="156"/>
      <c r="U32" s="6"/>
    </row>
    <row r="33" spans="1:21" customFormat="1">
      <c r="A33" s="163" t="s">
        <v>2088</v>
      </c>
      <c r="B33" s="100">
        <v>6.4</v>
      </c>
      <c r="C33" s="100">
        <v>14.27</v>
      </c>
      <c r="D33" s="100">
        <v>11.59</v>
      </c>
      <c r="E33" s="100">
        <v>6.11</v>
      </c>
      <c r="F33" s="100">
        <v>3.91</v>
      </c>
      <c r="G33" s="100">
        <v>48.79</v>
      </c>
      <c r="H33" s="100">
        <v>14.07</v>
      </c>
      <c r="I33" s="100">
        <v>7.59</v>
      </c>
      <c r="J33" s="100">
        <v>1.52</v>
      </c>
      <c r="K33" s="100">
        <v>103.16</v>
      </c>
      <c r="L33" s="100">
        <v>30.59</v>
      </c>
      <c r="M33" s="100">
        <v>55.77</v>
      </c>
      <c r="N33" s="100">
        <v>58.1</v>
      </c>
      <c r="O33" s="100">
        <v>0</v>
      </c>
      <c r="P33" s="100">
        <v>0.48</v>
      </c>
      <c r="Q33" s="100">
        <v>28.87</v>
      </c>
      <c r="R33" s="6"/>
      <c r="S33" s="6"/>
      <c r="T33" s="156"/>
      <c r="U33" s="6"/>
    </row>
    <row r="34" spans="1:21" customFormat="1">
      <c r="A34" s="163" t="s">
        <v>2089</v>
      </c>
      <c r="B34" s="100">
        <v>6.43</v>
      </c>
      <c r="C34" s="100">
        <v>18.170000000000002</v>
      </c>
      <c r="D34" s="100">
        <v>13.65</v>
      </c>
      <c r="E34" s="100">
        <v>6.85</v>
      </c>
      <c r="F34" s="100">
        <v>5.91</v>
      </c>
      <c r="G34" s="100">
        <v>48.79</v>
      </c>
      <c r="H34" s="100">
        <v>14.07</v>
      </c>
      <c r="I34" s="100">
        <v>7.83</v>
      </c>
      <c r="J34" s="100">
        <v>0.99</v>
      </c>
      <c r="K34" s="100">
        <v>150.96</v>
      </c>
      <c r="L34" s="100">
        <v>31.39</v>
      </c>
      <c r="M34" s="100">
        <v>56.46</v>
      </c>
      <c r="N34" s="100">
        <v>70.7</v>
      </c>
      <c r="O34" s="100">
        <v>0</v>
      </c>
      <c r="P34" s="100">
        <v>0.53</v>
      </c>
      <c r="Q34" s="100">
        <v>28.63</v>
      </c>
      <c r="R34" s="6"/>
      <c r="S34" s="6"/>
      <c r="T34" s="156"/>
      <c r="U34" s="6"/>
    </row>
    <row r="35" spans="1:21" customFormat="1">
      <c r="A35" s="163" t="s">
        <v>2090</v>
      </c>
      <c r="B35" s="100">
        <v>7.3</v>
      </c>
      <c r="C35" s="100">
        <v>19.22</v>
      </c>
      <c r="D35" s="100">
        <v>14.9</v>
      </c>
      <c r="E35" s="100">
        <v>7.49</v>
      </c>
      <c r="F35" s="100">
        <v>4.93</v>
      </c>
      <c r="G35" s="100">
        <v>48.79</v>
      </c>
      <c r="H35" s="100">
        <v>14.07</v>
      </c>
      <c r="I35" s="100">
        <v>8.17</v>
      </c>
      <c r="J35" s="100">
        <v>1.36</v>
      </c>
      <c r="K35" s="100">
        <v>150.16999999999999</v>
      </c>
      <c r="L35" s="100">
        <v>30.46</v>
      </c>
      <c r="M35" s="100">
        <v>55.48</v>
      </c>
      <c r="N35" s="100">
        <v>92.1</v>
      </c>
      <c r="O35" s="100">
        <v>0</v>
      </c>
      <c r="P35" s="100">
        <v>0.56999999999999995</v>
      </c>
      <c r="Q35" s="100">
        <v>28.4</v>
      </c>
      <c r="R35" s="6"/>
      <c r="S35" s="6"/>
      <c r="T35" s="156"/>
      <c r="U35" s="6"/>
    </row>
    <row r="36" spans="1:21" customFormat="1">
      <c r="A36" s="163" t="s">
        <v>2091</v>
      </c>
      <c r="B36" s="100">
        <v>7.61</v>
      </c>
      <c r="C36" s="100">
        <v>20.22</v>
      </c>
      <c r="D36" s="100">
        <v>15.68</v>
      </c>
      <c r="E36" s="100">
        <v>7.63</v>
      </c>
      <c r="F36" s="100">
        <v>6.34</v>
      </c>
      <c r="G36" s="100">
        <v>56.95</v>
      </c>
      <c r="H36" s="100">
        <v>16.38</v>
      </c>
      <c r="I36" s="100">
        <v>9.2100000000000009</v>
      </c>
      <c r="J36" s="100">
        <v>1.0900000000000001</v>
      </c>
      <c r="K36" s="100">
        <v>79.650000000000006</v>
      </c>
      <c r="L36" s="100">
        <v>31.26</v>
      </c>
      <c r="M36" s="100">
        <v>54.14</v>
      </c>
      <c r="N36" s="100">
        <v>144.69999999999999</v>
      </c>
      <c r="O36" s="100">
        <v>0</v>
      </c>
      <c r="P36" s="100">
        <v>0.62</v>
      </c>
      <c r="Q36" s="100">
        <v>28.23</v>
      </c>
      <c r="R36" s="6"/>
      <c r="S36" s="6"/>
      <c r="T36" s="156"/>
      <c r="U36" s="6"/>
    </row>
    <row r="37" spans="1:21" customFormat="1">
      <c r="A37" s="163" t="s">
        <v>2092</v>
      </c>
      <c r="B37" s="100">
        <v>7.66</v>
      </c>
      <c r="C37" s="100">
        <v>19.46</v>
      </c>
      <c r="D37" s="100">
        <v>15.32</v>
      </c>
      <c r="E37" s="100">
        <v>7.48</v>
      </c>
      <c r="F37" s="100">
        <v>8.42</v>
      </c>
      <c r="G37" s="100">
        <v>87.43</v>
      </c>
      <c r="H37" s="100">
        <v>24.98</v>
      </c>
      <c r="I37" s="100">
        <v>10.3</v>
      </c>
      <c r="J37" s="100">
        <v>1.47</v>
      </c>
      <c r="K37" s="100">
        <v>133.5</v>
      </c>
      <c r="L37" s="100">
        <v>32.950000000000003</v>
      </c>
      <c r="M37" s="100">
        <v>52.45</v>
      </c>
      <c r="N37" s="100">
        <v>146.9</v>
      </c>
      <c r="O37" s="100">
        <v>0</v>
      </c>
      <c r="P37" s="100">
        <v>0.61</v>
      </c>
      <c r="Q37" s="100">
        <v>28.27</v>
      </c>
      <c r="R37" s="6"/>
      <c r="S37" s="6"/>
      <c r="T37" s="156"/>
      <c r="U37" s="6"/>
    </row>
    <row r="38" spans="1:21" customFormat="1">
      <c r="A38" s="163" t="s">
        <v>2093</v>
      </c>
      <c r="B38" s="100">
        <v>7.39</v>
      </c>
      <c r="C38" s="100">
        <v>18.690000000000001</v>
      </c>
      <c r="D38" s="100">
        <v>14.7</v>
      </c>
      <c r="E38" s="100">
        <v>6.98</v>
      </c>
      <c r="F38" s="100">
        <v>10.93</v>
      </c>
      <c r="G38" s="100">
        <v>87.43</v>
      </c>
      <c r="H38" s="100">
        <v>24.98</v>
      </c>
      <c r="I38" s="100">
        <v>11.13</v>
      </c>
      <c r="J38" s="100">
        <v>1.25</v>
      </c>
      <c r="K38" s="100">
        <v>88.58</v>
      </c>
      <c r="L38" s="100">
        <v>33.270000000000003</v>
      </c>
      <c r="M38" s="100">
        <v>52.13</v>
      </c>
      <c r="N38" s="100">
        <v>133.4</v>
      </c>
      <c r="O38" s="100">
        <v>0</v>
      </c>
      <c r="P38" s="100">
        <v>0.65</v>
      </c>
      <c r="Q38" s="100">
        <v>28.4</v>
      </c>
      <c r="R38" s="6"/>
      <c r="S38" s="6"/>
      <c r="T38" s="156"/>
      <c r="U38" s="6"/>
    </row>
    <row r="39" spans="1:21" customFormat="1">
      <c r="A39" s="163" t="s">
        <v>2094</v>
      </c>
      <c r="B39" s="100">
        <v>7.31</v>
      </c>
      <c r="C39" s="100">
        <v>19.07</v>
      </c>
      <c r="D39" s="100">
        <v>14.84</v>
      </c>
      <c r="E39" s="100">
        <v>6.34</v>
      </c>
      <c r="F39" s="100">
        <v>9.8699999999999992</v>
      </c>
      <c r="G39" s="100">
        <v>87.43</v>
      </c>
      <c r="H39" s="100">
        <v>24.98</v>
      </c>
      <c r="I39" s="100">
        <v>10.65</v>
      </c>
      <c r="J39" s="100">
        <v>1.33</v>
      </c>
      <c r="K39" s="100">
        <v>164.4</v>
      </c>
      <c r="L39" s="100">
        <v>33.67</v>
      </c>
      <c r="M39" s="100">
        <v>52.33</v>
      </c>
      <c r="N39" s="100">
        <v>113.7</v>
      </c>
      <c r="O39" s="100">
        <v>0</v>
      </c>
      <c r="P39" s="100">
        <v>0.62</v>
      </c>
      <c r="Q39" s="100">
        <v>28.34</v>
      </c>
      <c r="R39" s="6"/>
      <c r="S39" s="6"/>
      <c r="T39" s="156"/>
      <c r="U39" s="6"/>
    </row>
    <row r="40" spans="1:21" customFormat="1">
      <c r="A40" s="163" t="s">
        <v>2095</v>
      </c>
      <c r="B40" s="100">
        <v>7.6</v>
      </c>
      <c r="C40" s="100">
        <v>16.5</v>
      </c>
      <c r="D40" s="100">
        <v>13.72</v>
      </c>
      <c r="E40" s="100">
        <v>6.66</v>
      </c>
      <c r="F40" s="100">
        <v>11.33</v>
      </c>
      <c r="G40" s="100">
        <v>87.18</v>
      </c>
      <c r="H40" s="100">
        <v>25.97</v>
      </c>
      <c r="I40" s="100">
        <v>10.52</v>
      </c>
      <c r="J40" s="100">
        <v>1.59</v>
      </c>
      <c r="K40" s="100">
        <v>216.58</v>
      </c>
      <c r="L40" s="100">
        <v>34.119999999999997</v>
      </c>
      <c r="M40" s="100">
        <v>51.27</v>
      </c>
      <c r="N40" s="100">
        <v>219.1</v>
      </c>
      <c r="O40" s="100">
        <v>0</v>
      </c>
      <c r="P40" s="100">
        <v>0.61</v>
      </c>
      <c r="Q40" s="100">
        <v>28.48</v>
      </c>
      <c r="R40" s="6"/>
      <c r="S40" s="6"/>
      <c r="T40" s="156"/>
      <c r="U40" s="6"/>
    </row>
    <row r="41" spans="1:21" customFormat="1">
      <c r="A41" s="163" t="s">
        <v>2096</v>
      </c>
      <c r="B41" s="100">
        <v>7.44</v>
      </c>
      <c r="C41" s="100">
        <v>17.07</v>
      </c>
      <c r="D41" s="100">
        <v>13.89</v>
      </c>
      <c r="E41" s="100">
        <v>6.1</v>
      </c>
      <c r="F41" s="100">
        <v>6.61</v>
      </c>
      <c r="G41" s="100">
        <v>86.22</v>
      </c>
      <c r="H41" s="100">
        <v>29.67</v>
      </c>
      <c r="I41" s="100">
        <v>10.63</v>
      </c>
      <c r="J41" s="100">
        <v>1.85</v>
      </c>
      <c r="K41" s="100">
        <v>217.99</v>
      </c>
      <c r="L41" s="100">
        <v>34.020000000000003</v>
      </c>
      <c r="M41" s="100">
        <v>50.68</v>
      </c>
      <c r="N41" s="100">
        <v>375.9</v>
      </c>
      <c r="O41" s="100">
        <v>0</v>
      </c>
      <c r="P41" s="100">
        <v>0.62</v>
      </c>
      <c r="Q41" s="100">
        <v>28.52</v>
      </c>
      <c r="R41" s="6"/>
      <c r="S41" s="6"/>
      <c r="T41" s="156"/>
      <c r="U41" s="6"/>
    </row>
    <row r="42" spans="1:21" customFormat="1">
      <c r="A42" s="163" t="s">
        <v>2097</v>
      </c>
      <c r="B42" s="100">
        <v>7.62</v>
      </c>
      <c r="C42" s="100">
        <v>19.52</v>
      </c>
      <c r="D42" s="100">
        <v>15.31</v>
      </c>
      <c r="E42" s="100">
        <v>6.38</v>
      </c>
      <c r="F42" s="100">
        <v>5.56</v>
      </c>
      <c r="G42" s="100">
        <v>86.22</v>
      </c>
      <c r="H42" s="100">
        <v>29.67</v>
      </c>
      <c r="I42" s="100">
        <v>10.09</v>
      </c>
      <c r="J42" s="100">
        <v>2.11</v>
      </c>
      <c r="K42" s="100">
        <v>218.32</v>
      </c>
      <c r="L42" s="100">
        <v>34.57</v>
      </c>
      <c r="M42" s="100">
        <v>50.27</v>
      </c>
      <c r="N42" s="100">
        <v>398.7</v>
      </c>
      <c r="O42" s="100">
        <v>0</v>
      </c>
      <c r="P42" s="100">
        <v>0.61</v>
      </c>
      <c r="Q42" s="100">
        <v>28.4</v>
      </c>
      <c r="R42" s="6"/>
      <c r="S42" s="6"/>
      <c r="T42" s="156"/>
      <c r="U42" s="6"/>
    </row>
    <row r="43" spans="1:21" customFormat="1">
      <c r="A43" s="163" t="s">
        <v>2098</v>
      </c>
      <c r="B43" s="100">
        <v>7.42</v>
      </c>
      <c r="C43" s="100">
        <v>18.14</v>
      </c>
      <c r="D43" s="100">
        <v>14.44</v>
      </c>
      <c r="E43" s="100">
        <v>6.63</v>
      </c>
      <c r="F43" s="100">
        <v>7</v>
      </c>
      <c r="G43" s="100">
        <v>86.22</v>
      </c>
      <c r="H43" s="100">
        <v>29.67</v>
      </c>
      <c r="I43" s="100">
        <v>10.050000000000001</v>
      </c>
      <c r="J43" s="100">
        <v>1.76</v>
      </c>
      <c r="K43" s="100">
        <v>205.54</v>
      </c>
      <c r="L43" s="100">
        <v>35.33</v>
      </c>
      <c r="M43" s="100">
        <v>49.14</v>
      </c>
      <c r="N43" s="100">
        <v>467</v>
      </c>
      <c r="O43" s="100">
        <v>0</v>
      </c>
      <c r="P43" s="100">
        <v>0.61</v>
      </c>
      <c r="Q43" s="100">
        <v>28.53</v>
      </c>
      <c r="R43" s="6"/>
      <c r="S43" s="6"/>
      <c r="T43" s="156"/>
      <c r="U43" s="6"/>
    </row>
    <row r="44" spans="1:21" customFormat="1">
      <c r="A44" s="163" t="s">
        <v>2099</v>
      </c>
      <c r="B44" s="100">
        <v>7.34</v>
      </c>
      <c r="C44" s="100">
        <v>14.53</v>
      </c>
      <c r="D44" s="100">
        <v>12.48</v>
      </c>
      <c r="E44" s="100">
        <v>7.07</v>
      </c>
      <c r="F44" s="100">
        <v>6.52</v>
      </c>
      <c r="G44" s="100">
        <v>82.71</v>
      </c>
      <c r="H44" s="100">
        <v>28.01</v>
      </c>
      <c r="I44" s="100">
        <v>10.27</v>
      </c>
      <c r="J44" s="100">
        <v>2.31</v>
      </c>
      <c r="K44" s="100">
        <v>225.63</v>
      </c>
      <c r="L44" s="100">
        <v>35.619999999999997</v>
      </c>
      <c r="M44" s="100">
        <v>48.36</v>
      </c>
      <c r="N44" s="100">
        <v>497</v>
      </c>
      <c r="O44" s="100">
        <v>0</v>
      </c>
      <c r="P44" s="100">
        <v>0.61</v>
      </c>
      <c r="Q44" s="100">
        <v>28.77</v>
      </c>
      <c r="R44" s="6"/>
      <c r="S44" s="6"/>
      <c r="T44" s="156"/>
      <c r="U44" s="6"/>
    </row>
    <row r="45" spans="1:21" customFormat="1">
      <c r="A45" s="163" t="s">
        <v>2100</v>
      </c>
      <c r="B45" s="100">
        <v>6.97</v>
      </c>
      <c r="C45" s="100">
        <v>15.61</v>
      </c>
      <c r="D45" s="100">
        <v>12.75</v>
      </c>
      <c r="E45" s="100">
        <v>6.87</v>
      </c>
      <c r="F45" s="100">
        <v>6.93</v>
      </c>
      <c r="G45" s="100">
        <v>69.62</v>
      </c>
      <c r="H45" s="100">
        <v>21.37</v>
      </c>
      <c r="I45" s="100">
        <v>10.35</v>
      </c>
      <c r="J45" s="100">
        <v>2.61</v>
      </c>
      <c r="K45" s="100">
        <v>217.98</v>
      </c>
      <c r="L45" s="100">
        <v>34.97</v>
      </c>
      <c r="M45" s="100">
        <v>46.55</v>
      </c>
      <c r="N45" s="100">
        <v>275.7</v>
      </c>
      <c r="O45" s="100">
        <v>0</v>
      </c>
      <c r="P45" s="100">
        <v>0.6</v>
      </c>
      <c r="Q45" s="100">
        <v>28.75</v>
      </c>
      <c r="R45" s="6"/>
      <c r="S45" s="6"/>
      <c r="T45" s="156"/>
      <c r="U45" s="6"/>
    </row>
    <row r="46" spans="1:21" customFormat="1">
      <c r="A46" s="163" t="s">
        <v>2101</v>
      </c>
      <c r="B46" s="100">
        <v>6.67</v>
      </c>
      <c r="C46" s="100">
        <v>13.55</v>
      </c>
      <c r="D46" s="100">
        <v>11.43</v>
      </c>
      <c r="E46" s="100">
        <v>6.58</v>
      </c>
      <c r="F46" s="100">
        <v>7.46</v>
      </c>
      <c r="G46" s="100">
        <v>69.62</v>
      </c>
      <c r="H46" s="100">
        <v>21.37</v>
      </c>
      <c r="I46" s="100">
        <v>10.43</v>
      </c>
      <c r="J46" s="100">
        <v>2.48</v>
      </c>
      <c r="K46" s="100">
        <v>212.23</v>
      </c>
      <c r="L46" s="100">
        <v>34.81</v>
      </c>
      <c r="M46" s="100">
        <v>45.77</v>
      </c>
      <c r="N46" s="100">
        <v>287.8</v>
      </c>
      <c r="O46" s="100">
        <v>0</v>
      </c>
      <c r="P46" s="100">
        <v>0.6</v>
      </c>
      <c r="Q46" s="100">
        <v>28.9</v>
      </c>
      <c r="R46" s="6"/>
      <c r="S46" s="6"/>
      <c r="T46" s="156"/>
      <c r="U46" s="6"/>
    </row>
    <row r="47" spans="1:21" customFormat="1">
      <c r="A47" s="163" t="s">
        <v>2102</v>
      </c>
      <c r="B47" s="100">
        <v>5.78</v>
      </c>
      <c r="C47" s="100">
        <v>15.72</v>
      </c>
      <c r="D47" s="100">
        <v>11.86</v>
      </c>
      <c r="E47" s="100">
        <v>6.24</v>
      </c>
      <c r="F47" s="100">
        <v>16.2</v>
      </c>
      <c r="G47" s="100">
        <v>69.62</v>
      </c>
      <c r="H47" s="100">
        <v>21.37</v>
      </c>
      <c r="I47" s="100">
        <v>10.39</v>
      </c>
      <c r="J47" s="100">
        <v>2.41</v>
      </c>
      <c r="K47" s="100">
        <v>216.77</v>
      </c>
      <c r="L47" s="100">
        <v>36.51</v>
      </c>
      <c r="M47" s="100">
        <v>44.18</v>
      </c>
      <c r="N47" s="100">
        <v>603.4</v>
      </c>
      <c r="O47" s="100">
        <v>0</v>
      </c>
      <c r="P47" s="100">
        <v>0.57999999999999996</v>
      </c>
      <c r="Q47" s="100">
        <v>28.82</v>
      </c>
      <c r="R47" s="6"/>
      <c r="S47" s="6"/>
      <c r="T47" s="156"/>
      <c r="U47" s="6"/>
    </row>
    <row r="48" spans="1:21" customFormat="1">
      <c r="A48" s="163" t="s">
        <v>2103</v>
      </c>
      <c r="B48" s="100">
        <v>5.37</v>
      </c>
      <c r="C48" s="100">
        <v>14.81</v>
      </c>
      <c r="D48" s="100">
        <v>11.05</v>
      </c>
      <c r="E48" s="100">
        <v>6.54</v>
      </c>
      <c r="F48" s="100">
        <v>15.22</v>
      </c>
      <c r="G48" s="100">
        <v>64.81</v>
      </c>
      <c r="H48" s="100">
        <v>19.989999999999998</v>
      </c>
      <c r="I48" s="100">
        <v>10.34</v>
      </c>
      <c r="J48" s="100">
        <v>3.38</v>
      </c>
      <c r="K48" s="100">
        <v>230.62</v>
      </c>
      <c r="L48" s="100">
        <v>36.479999999999997</v>
      </c>
      <c r="M48" s="100">
        <v>44.58</v>
      </c>
      <c r="N48" s="100">
        <v>656</v>
      </c>
      <c r="O48" s="100">
        <v>0</v>
      </c>
      <c r="P48" s="100">
        <v>0.6</v>
      </c>
      <c r="Q48" s="100">
        <v>28.92</v>
      </c>
      <c r="R48" s="6"/>
      <c r="S48" s="6"/>
      <c r="T48" s="156"/>
      <c r="U48" s="6"/>
    </row>
    <row r="49" spans="1:21" customFormat="1">
      <c r="A49" s="163" t="s">
        <v>2104</v>
      </c>
      <c r="B49" s="100">
        <v>4.87</v>
      </c>
      <c r="C49" s="100">
        <v>13.67</v>
      </c>
      <c r="D49" s="100">
        <v>10.050000000000001</v>
      </c>
      <c r="E49" s="100">
        <v>5.72</v>
      </c>
      <c r="F49" s="100">
        <v>16.86</v>
      </c>
      <c r="G49" s="100">
        <v>46.85</v>
      </c>
      <c r="H49" s="100">
        <v>14.83</v>
      </c>
      <c r="I49" s="100">
        <v>10.1</v>
      </c>
      <c r="J49" s="100">
        <v>2.68</v>
      </c>
      <c r="K49" s="100">
        <v>220.06</v>
      </c>
      <c r="L49" s="100">
        <v>36.61</v>
      </c>
      <c r="M49" s="100">
        <v>42.75</v>
      </c>
      <c r="N49" s="100">
        <v>695.2</v>
      </c>
      <c r="O49" s="100">
        <v>0</v>
      </c>
      <c r="P49" s="100">
        <v>0.59</v>
      </c>
      <c r="Q49" s="100">
        <v>28.97</v>
      </c>
      <c r="R49" s="6"/>
      <c r="S49" s="6"/>
      <c r="T49" s="156"/>
      <c r="U49" s="6"/>
    </row>
    <row r="50" spans="1:21" customFormat="1">
      <c r="A50" s="163" t="s">
        <v>2105</v>
      </c>
      <c r="B50" s="100">
        <v>4.03</v>
      </c>
      <c r="C50" s="100">
        <v>12.28</v>
      </c>
      <c r="D50" s="100">
        <v>8.66</v>
      </c>
      <c r="E50" s="100">
        <v>5.93</v>
      </c>
      <c r="F50" s="100">
        <v>17.28</v>
      </c>
      <c r="G50" s="100">
        <v>46.85</v>
      </c>
      <c r="H50" s="100">
        <v>14.83</v>
      </c>
      <c r="I50" s="100">
        <v>10.24</v>
      </c>
      <c r="J50" s="100">
        <v>3.21</v>
      </c>
      <c r="K50" s="100">
        <v>222.95</v>
      </c>
      <c r="L50" s="100">
        <v>36.78</v>
      </c>
      <c r="M50" s="100">
        <v>41.98</v>
      </c>
      <c r="N50" s="100">
        <v>726.9</v>
      </c>
      <c r="O50" s="100">
        <v>0</v>
      </c>
      <c r="P50" s="100">
        <v>0.6</v>
      </c>
      <c r="Q50" s="100">
        <v>29.04</v>
      </c>
      <c r="R50" s="6"/>
      <c r="S50" s="6"/>
      <c r="T50" s="156"/>
      <c r="U50" s="6"/>
    </row>
    <row r="51" spans="1:21" customFormat="1">
      <c r="A51" s="163" t="s">
        <v>2106</v>
      </c>
      <c r="B51" s="100">
        <v>4.16</v>
      </c>
      <c r="C51" s="100">
        <v>11.62</v>
      </c>
      <c r="D51" s="100">
        <v>8.41</v>
      </c>
      <c r="E51" s="100">
        <v>5.66</v>
      </c>
      <c r="F51" s="100">
        <v>29.84</v>
      </c>
      <c r="G51" s="100">
        <v>46.85</v>
      </c>
      <c r="H51" s="100">
        <v>14.83</v>
      </c>
      <c r="I51" s="100">
        <v>10.32</v>
      </c>
      <c r="J51" s="100">
        <v>1.57</v>
      </c>
      <c r="K51" s="100">
        <v>217.66</v>
      </c>
      <c r="L51" s="100">
        <v>37.880000000000003</v>
      </c>
      <c r="M51" s="100">
        <v>39.24</v>
      </c>
      <c r="N51" s="100">
        <v>756</v>
      </c>
      <c r="O51" s="100">
        <v>0</v>
      </c>
      <c r="P51" s="100">
        <v>0.56999999999999995</v>
      </c>
      <c r="Q51" s="100">
        <v>29.12</v>
      </c>
      <c r="R51" s="6"/>
      <c r="S51" s="6"/>
      <c r="T51" s="156"/>
      <c r="U51" s="6"/>
    </row>
    <row r="52" spans="1:21" customFormat="1">
      <c r="A52" s="163" t="s">
        <v>2107</v>
      </c>
      <c r="B52" s="100">
        <v>3.26</v>
      </c>
      <c r="C52" s="100">
        <v>13.78</v>
      </c>
      <c r="D52" s="100">
        <v>8.82</v>
      </c>
      <c r="E52" s="100">
        <v>4.2300000000000004</v>
      </c>
      <c r="F52" s="100">
        <v>27.52</v>
      </c>
      <c r="G52" s="100">
        <v>43.78</v>
      </c>
      <c r="H52" s="100">
        <v>15.09</v>
      </c>
      <c r="I52" s="100">
        <v>9.83</v>
      </c>
      <c r="J52" s="100">
        <v>2.72</v>
      </c>
      <c r="K52" s="100">
        <v>234.33</v>
      </c>
      <c r="L52" s="100">
        <v>37.65</v>
      </c>
      <c r="M52" s="100">
        <v>39.75</v>
      </c>
      <c r="N52" s="100">
        <v>777.5</v>
      </c>
      <c r="O52" s="100">
        <v>0</v>
      </c>
      <c r="P52" s="100">
        <v>0.6</v>
      </c>
      <c r="Q52" s="100">
        <v>29.12</v>
      </c>
      <c r="R52" s="6"/>
      <c r="S52" s="6"/>
      <c r="T52" s="156"/>
      <c r="U52" s="6"/>
    </row>
    <row r="53" spans="1:21" customFormat="1">
      <c r="A53" s="163" t="s">
        <v>2108</v>
      </c>
      <c r="B53" s="100">
        <v>2.89</v>
      </c>
      <c r="C53" s="100">
        <v>11.6</v>
      </c>
      <c r="D53" s="100">
        <v>7.38</v>
      </c>
      <c r="E53" s="100">
        <v>5.76</v>
      </c>
      <c r="F53" s="100">
        <v>28.55</v>
      </c>
      <c r="G53" s="100">
        <v>32.33</v>
      </c>
      <c r="H53" s="100">
        <v>16.04</v>
      </c>
      <c r="I53" s="100">
        <v>9.56</v>
      </c>
      <c r="J53" s="100">
        <v>2.2599999999999998</v>
      </c>
      <c r="K53" s="100">
        <v>205.17</v>
      </c>
      <c r="L53" s="100">
        <v>38.25</v>
      </c>
      <c r="M53" s="100">
        <v>38.04</v>
      </c>
      <c r="N53" s="100">
        <v>794.1</v>
      </c>
      <c r="O53" s="100">
        <v>0</v>
      </c>
      <c r="P53" s="100">
        <v>0.47</v>
      </c>
      <c r="Q53" s="100">
        <v>29.18</v>
      </c>
      <c r="R53" s="6"/>
      <c r="S53" s="6"/>
      <c r="T53" s="156"/>
      <c r="U53" s="6"/>
    </row>
    <row r="54" spans="1:21" customFormat="1">
      <c r="A54" s="163" t="s">
        <v>2109</v>
      </c>
      <c r="B54" s="100">
        <v>2.82</v>
      </c>
      <c r="C54" s="100">
        <v>11.27</v>
      </c>
      <c r="D54" s="100">
        <v>7.15</v>
      </c>
      <c r="E54" s="100">
        <v>7.98</v>
      </c>
      <c r="F54" s="100">
        <v>19.36</v>
      </c>
      <c r="G54" s="100">
        <v>32.33</v>
      </c>
      <c r="H54" s="100">
        <v>16.04</v>
      </c>
      <c r="I54" s="100">
        <v>10.16</v>
      </c>
      <c r="J54" s="100">
        <v>2.92</v>
      </c>
      <c r="K54" s="100">
        <v>230.56</v>
      </c>
      <c r="L54" s="100">
        <v>38.119999999999997</v>
      </c>
      <c r="M54" s="100">
        <v>38.26</v>
      </c>
      <c r="N54" s="100">
        <v>811.4</v>
      </c>
      <c r="O54" s="100">
        <v>0</v>
      </c>
      <c r="P54" s="100">
        <v>0.52</v>
      </c>
      <c r="Q54" s="100">
        <v>29.22</v>
      </c>
      <c r="R54" s="6"/>
      <c r="S54" s="6"/>
      <c r="T54" s="156"/>
      <c r="U54" s="6"/>
    </row>
    <row r="55" spans="1:21" customFormat="1">
      <c r="A55" s="163" t="s">
        <v>2110</v>
      </c>
      <c r="B55" s="100">
        <v>2.93</v>
      </c>
      <c r="C55" s="100">
        <v>12.55</v>
      </c>
      <c r="D55" s="100">
        <v>7.91</v>
      </c>
      <c r="E55" s="100">
        <v>10.98</v>
      </c>
      <c r="F55" s="100">
        <v>22.68</v>
      </c>
      <c r="G55" s="100">
        <v>32.33</v>
      </c>
      <c r="H55" s="100">
        <v>16.04</v>
      </c>
      <c r="I55" s="100">
        <v>9.99</v>
      </c>
      <c r="J55" s="100">
        <v>2.75</v>
      </c>
      <c r="K55" s="100">
        <v>229.63</v>
      </c>
      <c r="L55" s="100">
        <v>39.18</v>
      </c>
      <c r="M55" s="100">
        <v>36.08</v>
      </c>
      <c r="N55" s="100">
        <v>820.1</v>
      </c>
      <c r="O55" s="100">
        <v>0</v>
      </c>
      <c r="P55" s="100">
        <v>0.51</v>
      </c>
      <c r="Q55" s="100">
        <v>29.15</v>
      </c>
      <c r="R55" s="6"/>
      <c r="S55" s="6"/>
      <c r="T55" s="156"/>
      <c r="U55" s="6"/>
    </row>
    <row r="56" spans="1:21" customFormat="1">
      <c r="A56" s="163" t="s">
        <v>2111</v>
      </c>
      <c r="B56" s="100">
        <v>2.84</v>
      </c>
      <c r="C56" s="100">
        <v>11.79</v>
      </c>
      <c r="D56" s="100">
        <v>7.45</v>
      </c>
      <c r="E56" s="100">
        <v>3.71</v>
      </c>
      <c r="F56" s="100">
        <v>53.49</v>
      </c>
      <c r="G56" s="100">
        <v>34.630000000000003</v>
      </c>
      <c r="H56" s="100">
        <v>15.57</v>
      </c>
      <c r="I56" s="100">
        <v>9.89</v>
      </c>
      <c r="J56" s="100">
        <v>1.0900000000000001</v>
      </c>
      <c r="K56" s="100">
        <v>209.13</v>
      </c>
      <c r="L56" s="100">
        <v>39.71</v>
      </c>
      <c r="M56" s="100">
        <v>35.19</v>
      </c>
      <c r="N56" s="100">
        <v>816.3</v>
      </c>
      <c r="O56" s="100">
        <v>0</v>
      </c>
      <c r="P56" s="100">
        <v>0.44</v>
      </c>
      <c r="Q56" s="100">
        <v>29.17</v>
      </c>
      <c r="R56" s="6"/>
      <c r="S56" s="6"/>
      <c r="T56" s="156"/>
      <c r="U56" s="6"/>
    </row>
    <row r="57" spans="1:21" customFormat="1">
      <c r="A57" s="163" t="s">
        <v>2112</v>
      </c>
      <c r="B57" s="100">
        <v>2.36</v>
      </c>
      <c r="C57" s="100">
        <v>10.29</v>
      </c>
      <c r="D57" s="100">
        <v>6.27</v>
      </c>
      <c r="E57" s="100">
        <v>5.93</v>
      </c>
      <c r="F57" s="100">
        <v>44.71</v>
      </c>
      <c r="G57" s="100">
        <v>43.22</v>
      </c>
      <c r="H57" s="100">
        <v>13.8</v>
      </c>
      <c r="I57" s="100">
        <v>9.6</v>
      </c>
      <c r="J57" s="100">
        <v>3.45</v>
      </c>
      <c r="K57" s="100">
        <v>225.95</v>
      </c>
      <c r="L57" s="100">
        <v>39.56</v>
      </c>
      <c r="M57" s="100">
        <v>34</v>
      </c>
      <c r="N57" s="100">
        <v>841.2</v>
      </c>
      <c r="O57" s="100">
        <v>0</v>
      </c>
      <c r="P57" s="100">
        <v>0.39</v>
      </c>
      <c r="Q57" s="100">
        <v>29.26</v>
      </c>
      <c r="R57" s="6"/>
      <c r="S57" s="6"/>
      <c r="T57" s="156"/>
      <c r="U57" s="6"/>
    </row>
    <row r="58" spans="1:21" customFormat="1">
      <c r="A58" s="163" t="s">
        <v>2113</v>
      </c>
      <c r="B58" s="100">
        <v>2.14</v>
      </c>
      <c r="C58" s="100">
        <v>9.64</v>
      </c>
      <c r="D58" s="100">
        <v>5.76</v>
      </c>
      <c r="E58" s="100">
        <v>6.56</v>
      </c>
      <c r="F58" s="100">
        <v>42.24</v>
      </c>
      <c r="G58" s="100">
        <v>43.22</v>
      </c>
      <c r="H58" s="100">
        <v>13.8</v>
      </c>
      <c r="I58" s="100">
        <v>9.23</v>
      </c>
      <c r="J58" s="100">
        <v>0.88</v>
      </c>
      <c r="K58" s="100">
        <v>127.45</v>
      </c>
      <c r="L58" s="100">
        <v>41.12</v>
      </c>
      <c r="M58" s="100">
        <v>31.35</v>
      </c>
      <c r="N58" s="100">
        <v>823.8</v>
      </c>
      <c r="O58" s="100">
        <v>0</v>
      </c>
      <c r="P58" s="100">
        <v>0.42</v>
      </c>
      <c r="Q58" s="100">
        <v>29.32</v>
      </c>
      <c r="R58" s="6"/>
      <c r="S58" s="6"/>
      <c r="T58" s="156"/>
      <c r="U58" s="6"/>
    </row>
    <row r="59" spans="1:21" customFormat="1">
      <c r="A59" s="163" t="s">
        <v>2114</v>
      </c>
      <c r="B59" s="100">
        <v>3.12</v>
      </c>
      <c r="C59" s="100">
        <v>8.9700000000000006</v>
      </c>
      <c r="D59" s="100">
        <v>6.2</v>
      </c>
      <c r="E59" s="100">
        <v>6.63</v>
      </c>
      <c r="F59" s="100">
        <v>23.7</v>
      </c>
      <c r="G59" s="100">
        <v>43.22</v>
      </c>
      <c r="H59" s="100">
        <v>13.8</v>
      </c>
      <c r="I59" s="100">
        <v>8.44</v>
      </c>
      <c r="J59" s="100">
        <v>2.52</v>
      </c>
      <c r="K59" s="100">
        <v>207.25</v>
      </c>
      <c r="L59" s="100">
        <v>41.23</v>
      </c>
      <c r="M59" s="100">
        <v>30.94</v>
      </c>
      <c r="N59" s="100">
        <v>810.5</v>
      </c>
      <c r="O59" s="100">
        <v>0</v>
      </c>
      <c r="P59" s="100">
        <v>0.41</v>
      </c>
      <c r="Q59" s="100">
        <v>29.26</v>
      </c>
      <c r="R59" s="6"/>
      <c r="S59" s="6"/>
      <c r="T59" s="156"/>
      <c r="U59" s="6"/>
    </row>
    <row r="60" spans="1:21" customFormat="1">
      <c r="A60" s="163" t="s">
        <v>2115</v>
      </c>
      <c r="B60" s="100">
        <v>2.65</v>
      </c>
      <c r="C60" s="100">
        <v>9.81</v>
      </c>
      <c r="D60" s="100">
        <v>6.26</v>
      </c>
      <c r="E60" s="100">
        <v>6.68</v>
      </c>
      <c r="F60" s="100">
        <v>28.91</v>
      </c>
      <c r="G60" s="100">
        <v>41.24</v>
      </c>
      <c r="H60" s="100">
        <v>13.9</v>
      </c>
      <c r="I60" s="100">
        <v>8.58</v>
      </c>
      <c r="J60" s="100">
        <v>2.23</v>
      </c>
      <c r="K60" s="100">
        <v>267.11</v>
      </c>
      <c r="L60" s="100">
        <v>40.659999999999997</v>
      </c>
      <c r="M60" s="100">
        <v>31.72</v>
      </c>
      <c r="N60" s="100">
        <v>834.7</v>
      </c>
      <c r="O60" s="100">
        <v>0</v>
      </c>
      <c r="P60" s="100">
        <v>0.41</v>
      </c>
      <c r="Q60" s="100">
        <v>29.29</v>
      </c>
      <c r="R60" s="6"/>
      <c r="S60" s="6"/>
      <c r="T60" s="156"/>
      <c r="U60" s="6"/>
    </row>
    <row r="61" spans="1:21" customFormat="1">
      <c r="A61" s="163" t="s">
        <v>2116</v>
      </c>
      <c r="B61" s="100">
        <v>2.91</v>
      </c>
      <c r="C61" s="100">
        <v>15.54</v>
      </c>
      <c r="D61" s="100">
        <v>9.4600000000000009</v>
      </c>
      <c r="E61" s="100">
        <v>6.57</v>
      </c>
      <c r="F61" s="100">
        <v>33.24</v>
      </c>
      <c r="G61" s="100">
        <v>33.840000000000003</v>
      </c>
      <c r="H61" s="100">
        <v>14.27</v>
      </c>
      <c r="I61" s="100">
        <v>8.6199999999999992</v>
      </c>
      <c r="J61" s="100">
        <v>0.54</v>
      </c>
      <c r="K61" s="100">
        <v>276</v>
      </c>
      <c r="L61" s="100">
        <v>40.99</v>
      </c>
      <c r="M61" s="100">
        <v>31.76</v>
      </c>
      <c r="N61" s="100">
        <v>780.1</v>
      </c>
      <c r="O61" s="100">
        <v>0</v>
      </c>
      <c r="P61" s="100">
        <v>0.46</v>
      </c>
      <c r="Q61" s="100">
        <v>29.14</v>
      </c>
      <c r="R61" s="6"/>
      <c r="S61" s="6"/>
      <c r="T61" s="156"/>
      <c r="U61" s="6"/>
    </row>
    <row r="62" spans="1:21" customFormat="1">
      <c r="A62" s="163" t="s">
        <v>2117</v>
      </c>
      <c r="B62" s="100">
        <v>2.87</v>
      </c>
      <c r="C62" s="100">
        <v>12.26</v>
      </c>
      <c r="D62" s="100">
        <v>7.71</v>
      </c>
      <c r="E62" s="100">
        <v>6.24</v>
      </c>
      <c r="F62" s="100">
        <v>31.87</v>
      </c>
      <c r="G62" s="100">
        <v>33.840000000000003</v>
      </c>
      <c r="H62" s="100">
        <v>14.27</v>
      </c>
      <c r="I62" s="100">
        <v>8.48</v>
      </c>
      <c r="J62" s="100">
        <v>2.33</v>
      </c>
      <c r="K62" s="100">
        <v>176.89</v>
      </c>
      <c r="L62" s="100">
        <v>41.86</v>
      </c>
      <c r="M62" s="100">
        <v>30.34</v>
      </c>
      <c r="N62" s="100">
        <v>739.4</v>
      </c>
      <c r="O62" s="100">
        <v>0</v>
      </c>
      <c r="P62" s="100">
        <v>0.44</v>
      </c>
      <c r="Q62" s="100">
        <v>29.16</v>
      </c>
      <c r="R62" s="6"/>
      <c r="S62" s="6"/>
      <c r="T62" s="156"/>
      <c r="U62" s="6"/>
    </row>
    <row r="63" spans="1:21" customFormat="1">
      <c r="A63" s="163" t="s">
        <v>2118</v>
      </c>
      <c r="B63" s="100">
        <v>2.56</v>
      </c>
      <c r="C63" s="100">
        <v>9.91</v>
      </c>
      <c r="D63" s="100">
        <v>6.24</v>
      </c>
      <c r="E63" s="100">
        <v>6.76</v>
      </c>
      <c r="F63" s="100">
        <v>33.58</v>
      </c>
      <c r="G63" s="100">
        <v>33.840000000000003</v>
      </c>
      <c r="H63" s="100">
        <v>14.27</v>
      </c>
      <c r="I63" s="100">
        <v>8.7899999999999991</v>
      </c>
      <c r="J63" s="100">
        <v>1.92</v>
      </c>
      <c r="K63" s="100">
        <v>102</v>
      </c>
      <c r="L63" s="100">
        <v>42.46</v>
      </c>
      <c r="M63" s="100">
        <v>29.73</v>
      </c>
      <c r="N63" s="100">
        <v>724.1</v>
      </c>
      <c r="O63" s="100">
        <v>0</v>
      </c>
      <c r="P63" s="100">
        <v>0.45</v>
      </c>
      <c r="Q63" s="100">
        <v>29.29</v>
      </c>
      <c r="R63" s="6"/>
      <c r="S63" s="6"/>
      <c r="T63" s="156"/>
      <c r="U63" s="6"/>
    </row>
    <row r="64" spans="1:21" customFormat="1">
      <c r="A64" s="163" t="s">
        <v>2119</v>
      </c>
      <c r="B64" s="100">
        <v>3.25</v>
      </c>
      <c r="C64" s="100">
        <v>10.44</v>
      </c>
      <c r="D64" s="100">
        <v>7.06</v>
      </c>
      <c r="E64" s="100">
        <v>5.99</v>
      </c>
      <c r="F64" s="100">
        <v>36</v>
      </c>
      <c r="G64" s="100">
        <v>33.53</v>
      </c>
      <c r="H64" s="100">
        <v>13.79</v>
      </c>
      <c r="I64" s="100">
        <v>8.8699999999999992</v>
      </c>
      <c r="J64" s="100">
        <v>1.1599999999999999</v>
      </c>
      <c r="K64" s="100">
        <v>19.05</v>
      </c>
      <c r="L64" s="100">
        <v>42.77</v>
      </c>
      <c r="M64" s="100">
        <v>28.1</v>
      </c>
      <c r="N64" s="100">
        <v>728.5</v>
      </c>
      <c r="O64" s="100">
        <v>0</v>
      </c>
      <c r="P64" s="100">
        <v>0.45</v>
      </c>
      <c r="Q64" s="100">
        <v>29.19</v>
      </c>
      <c r="R64" s="6"/>
      <c r="S64" s="6"/>
      <c r="T64" s="156"/>
      <c r="U64" s="6"/>
    </row>
    <row r="65" spans="1:21" customFormat="1">
      <c r="A65" s="163" t="s">
        <v>2120</v>
      </c>
      <c r="B65" s="100">
        <v>2.71</v>
      </c>
      <c r="C65" s="100">
        <v>9.49</v>
      </c>
      <c r="D65" s="100">
        <v>6.14</v>
      </c>
      <c r="E65" s="100">
        <v>5.35</v>
      </c>
      <c r="F65" s="100">
        <v>32.68</v>
      </c>
      <c r="G65" s="100">
        <v>32.35</v>
      </c>
      <c r="H65" s="100">
        <v>11.99</v>
      </c>
      <c r="I65" s="100">
        <v>8.5</v>
      </c>
      <c r="J65" s="100">
        <v>1.72</v>
      </c>
      <c r="K65" s="100">
        <v>178.19</v>
      </c>
      <c r="L65" s="100">
        <v>43.1</v>
      </c>
      <c r="M65" s="100">
        <v>25.98</v>
      </c>
      <c r="N65" s="100">
        <v>653.4</v>
      </c>
      <c r="O65" s="100">
        <v>0</v>
      </c>
      <c r="P65" s="100">
        <v>0.42</v>
      </c>
      <c r="Q65" s="100">
        <v>29.26</v>
      </c>
      <c r="R65" s="6"/>
      <c r="S65" s="6"/>
      <c r="T65" s="156"/>
      <c r="U65" s="6"/>
    </row>
    <row r="66" spans="1:21" customFormat="1">
      <c r="A66" s="163" t="s">
        <v>2121</v>
      </c>
      <c r="B66" s="100">
        <v>2.63</v>
      </c>
      <c r="C66" s="100">
        <v>9.7899999999999991</v>
      </c>
      <c r="D66" s="100">
        <v>6.23</v>
      </c>
      <c r="E66" s="100">
        <v>6.63</v>
      </c>
      <c r="F66" s="100">
        <v>28.13</v>
      </c>
      <c r="G66" s="100">
        <v>32.35</v>
      </c>
      <c r="H66" s="100">
        <v>11.99</v>
      </c>
      <c r="I66" s="100">
        <v>8.61</v>
      </c>
      <c r="J66" s="100">
        <v>1.07</v>
      </c>
      <c r="K66" s="100">
        <v>152.72</v>
      </c>
      <c r="L66" s="100">
        <v>43.06</v>
      </c>
      <c r="M66" s="100">
        <v>25.77</v>
      </c>
      <c r="N66" s="100">
        <v>667.1</v>
      </c>
      <c r="O66" s="100">
        <v>0</v>
      </c>
      <c r="P66" s="100">
        <v>0.45</v>
      </c>
      <c r="Q66" s="100">
        <v>29.24</v>
      </c>
      <c r="R66" s="6"/>
      <c r="S66" s="6"/>
      <c r="T66" s="156"/>
      <c r="U66" s="6"/>
    </row>
    <row r="67" spans="1:21" customFormat="1">
      <c r="A67" s="163" t="s">
        <v>2122</v>
      </c>
      <c r="B67" s="100">
        <v>2.63</v>
      </c>
      <c r="C67" s="100">
        <v>10.25</v>
      </c>
      <c r="D67" s="100">
        <v>6.47</v>
      </c>
      <c r="E67" s="100">
        <v>7</v>
      </c>
      <c r="F67" s="100">
        <v>29.32</v>
      </c>
      <c r="G67" s="100">
        <v>32.35</v>
      </c>
      <c r="H67" s="100">
        <v>11.99</v>
      </c>
      <c r="I67" s="100">
        <v>8.5500000000000007</v>
      </c>
      <c r="J67" s="100">
        <v>2.0699999999999998</v>
      </c>
      <c r="K67" s="100">
        <v>36.549999999999997</v>
      </c>
      <c r="L67" s="100">
        <v>42.55</v>
      </c>
      <c r="M67" s="100">
        <v>26.17</v>
      </c>
      <c r="N67" s="100">
        <v>487.8</v>
      </c>
      <c r="O67" s="100">
        <v>0</v>
      </c>
      <c r="P67" s="100">
        <v>0.44</v>
      </c>
      <c r="Q67" s="100">
        <v>29.24</v>
      </c>
      <c r="R67" s="6"/>
      <c r="S67" s="6"/>
      <c r="T67" s="156"/>
      <c r="U67" s="6"/>
    </row>
    <row r="68" spans="1:21" customFormat="1">
      <c r="A68" s="163" t="s">
        <v>2123</v>
      </c>
      <c r="B68" s="100">
        <v>2.66</v>
      </c>
      <c r="C68" s="100">
        <v>11</v>
      </c>
      <c r="D68" s="100">
        <v>6.88</v>
      </c>
      <c r="E68" s="100">
        <v>6.03</v>
      </c>
      <c r="F68" s="100">
        <v>39.28</v>
      </c>
      <c r="G68" s="100">
        <v>33.26</v>
      </c>
      <c r="H68" s="100">
        <v>12.71</v>
      </c>
      <c r="I68" s="100">
        <v>9.07</v>
      </c>
      <c r="J68" s="100">
        <v>1.62</v>
      </c>
      <c r="K68" s="100">
        <v>302.33999999999997</v>
      </c>
      <c r="L68" s="100">
        <v>42.6</v>
      </c>
      <c r="M68" s="100">
        <v>25.07</v>
      </c>
      <c r="N68" s="100">
        <v>569</v>
      </c>
      <c r="O68" s="100">
        <v>0</v>
      </c>
      <c r="P68" s="100">
        <v>0.45</v>
      </c>
      <c r="Q68" s="100">
        <v>29.16</v>
      </c>
      <c r="R68" s="6"/>
      <c r="S68" s="6"/>
      <c r="T68" s="156"/>
      <c r="U68" s="6"/>
    </row>
    <row r="69" spans="1:21" customFormat="1">
      <c r="A69" s="163" t="s">
        <v>2124</v>
      </c>
      <c r="B69" s="100">
        <v>2.71</v>
      </c>
      <c r="C69" s="100">
        <v>10.72</v>
      </c>
      <c r="D69" s="100">
        <v>6.78</v>
      </c>
      <c r="E69" s="100">
        <v>7.75</v>
      </c>
      <c r="F69" s="100">
        <v>47.71</v>
      </c>
      <c r="G69" s="100">
        <v>36.69</v>
      </c>
      <c r="H69" s="100">
        <v>15.41</v>
      </c>
      <c r="I69" s="100">
        <v>8.8000000000000007</v>
      </c>
      <c r="J69" s="100">
        <v>2.08</v>
      </c>
      <c r="K69" s="100">
        <v>45.41</v>
      </c>
      <c r="L69" s="100">
        <v>42.72</v>
      </c>
      <c r="M69" s="100">
        <v>25.04</v>
      </c>
      <c r="N69" s="100">
        <v>513.79999999999995</v>
      </c>
      <c r="O69" s="100">
        <v>0</v>
      </c>
      <c r="P69" s="100">
        <v>0.47</v>
      </c>
      <c r="Q69" s="100">
        <v>29.19</v>
      </c>
      <c r="R69" s="6"/>
      <c r="S69" s="6"/>
      <c r="T69" s="156"/>
      <c r="U69" s="6"/>
    </row>
    <row r="70" spans="1:21" customFormat="1">
      <c r="A70" s="163" t="s">
        <v>2125</v>
      </c>
      <c r="B70" s="100">
        <v>2.52</v>
      </c>
      <c r="C70" s="100">
        <v>13.17</v>
      </c>
      <c r="D70" s="100">
        <v>7.9</v>
      </c>
      <c r="E70" s="100">
        <v>9.8800000000000008</v>
      </c>
      <c r="F70" s="100">
        <v>44.55</v>
      </c>
      <c r="G70" s="100">
        <v>36.69</v>
      </c>
      <c r="H70" s="100">
        <v>15.41</v>
      </c>
      <c r="I70" s="100">
        <v>8.94</v>
      </c>
      <c r="J70" s="100">
        <v>2.19</v>
      </c>
      <c r="K70" s="100">
        <v>152.6</v>
      </c>
      <c r="L70" s="100">
        <v>43.29</v>
      </c>
      <c r="M70" s="100">
        <v>24.37</v>
      </c>
      <c r="N70" s="100">
        <v>390.8</v>
      </c>
      <c r="O70" s="100">
        <v>0</v>
      </c>
      <c r="P70" s="100">
        <v>0.46</v>
      </c>
      <c r="Q70" s="100">
        <v>28.97</v>
      </c>
      <c r="R70" s="6"/>
      <c r="S70" s="6"/>
      <c r="T70" s="156"/>
      <c r="U70" s="6"/>
    </row>
    <row r="71" spans="1:21" customFormat="1">
      <c r="A71" s="163" t="s">
        <v>2126</v>
      </c>
      <c r="B71" s="100">
        <v>2.29</v>
      </c>
      <c r="C71" s="100">
        <v>12.07</v>
      </c>
      <c r="D71" s="100">
        <v>7.15</v>
      </c>
      <c r="E71" s="100">
        <v>9.51</v>
      </c>
      <c r="F71" s="100">
        <v>45.7</v>
      </c>
      <c r="G71" s="100">
        <v>36.69</v>
      </c>
      <c r="H71" s="100">
        <v>15.41</v>
      </c>
      <c r="I71" s="100">
        <v>9.0500000000000007</v>
      </c>
      <c r="J71" s="100">
        <v>2.4500000000000002</v>
      </c>
      <c r="K71" s="100">
        <v>147.76</v>
      </c>
      <c r="L71" s="100">
        <v>43.01</v>
      </c>
      <c r="M71" s="100">
        <v>24.89</v>
      </c>
      <c r="N71" s="100">
        <v>380</v>
      </c>
      <c r="O71" s="100">
        <v>0</v>
      </c>
      <c r="P71" s="100">
        <v>0.44</v>
      </c>
      <c r="Q71" s="100">
        <v>29.09</v>
      </c>
      <c r="R71" s="6"/>
      <c r="S71" s="6"/>
      <c r="T71" s="156"/>
      <c r="U71" s="6"/>
    </row>
    <row r="72" spans="1:21" customFormat="1">
      <c r="A72" s="163" t="s">
        <v>2127</v>
      </c>
      <c r="B72" s="100">
        <v>2.4</v>
      </c>
      <c r="C72" s="100">
        <v>10.76</v>
      </c>
      <c r="D72" s="100">
        <v>6.55</v>
      </c>
      <c r="E72" s="100">
        <v>9.6300000000000008</v>
      </c>
      <c r="F72" s="100">
        <v>48.72</v>
      </c>
      <c r="G72" s="100">
        <v>37.19</v>
      </c>
      <c r="H72" s="100">
        <v>15.86</v>
      </c>
      <c r="I72" s="100">
        <v>8.91</v>
      </c>
      <c r="J72" s="100">
        <v>2.75</v>
      </c>
      <c r="K72" s="100">
        <v>165.25</v>
      </c>
      <c r="L72" s="100">
        <v>42.95</v>
      </c>
      <c r="M72" s="100">
        <v>24.89</v>
      </c>
      <c r="N72" s="100">
        <v>282</v>
      </c>
      <c r="O72" s="100">
        <v>0</v>
      </c>
      <c r="P72" s="100">
        <v>0.41</v>
      </c>
      <c r="Q72" s="100">
        <v>29.19</v>
      </c>
      <c r="R72" s="6"/>
      <c r="S72" s="6"/>
      <c r="T72" s="156"/>
      <c r="U72" s="6"/>
    </row>
    <row r="73" spans="1:21" customFormat="1">
      <c r="A73" s="163" t="s">
        <v>2128</v>
      </c>
      <c r="B73" s="100">
        <v>2.48</v>
      </c>
      <c r="C73" s="100">
        <v>12.2</v>
      </c>
      <c r="D73" s="100">
        <v>7.37</v>
      </c>
      <c r="E73" s="100">
        <v>8.7899999999999991</v>
      </c>
      <c r="F73" s="100">
        <v>31.81</v>
      </c>
      <c r="G73" s="100">
        <v>39.08</v>
      </c>
      <c r="H73" s="100">
        <v>17.559999999999999</v>
      </c>
      <c r="I73" s="100">
        <v>8.42</v>
      </c>
      <c r="J73" s="100">
        <v>1.83</v>
      </c>
      <c r="K73" s="100">
        <v>125.15</v>
      </c>
      <c r="L73" s="100">
        <v>41.69</v>
      </c>
      <c r="M73" s="100">
        <v>26.98</v>
      </c>
      <c r="N73" s="100">
        <v>185</v>
      </c>
      <c r="O73" s="100">
        <v>0</v>
      </c>
      <c r="P73" s="100">
        <v>0.46</v>
      </c>
      <c r="Q73" s="100">
        <v>29.1</v>
      </c>
      <c r="R73" s="6"/>
      <c r="S73" s="6"/>
      <c r="T73" s="156"/>
      <c r="U73" s="6"/>
    </row>
    <row r="74" spans="1:21" customFormat="1">
      <c r="A74" s="163" t="s">
        <v>2129</v>
      </c>
      <c r="B74" s="100">
        <v>3.06</v>
      </c>
      <c r="C74" s="100">
        <v>15.48</v>
      </c>
      <c r="D74" s="100">
        <v>9.5500000000000007</v>
      </c>
      <c r="E74" s="100">
        <v>8.09</v>
      </c>
      <c r="F74" s="100">
        <v>20.149999999999999</v>
      </c>
      <c r="G74" s="100">
        <v>39.08</v>
      </c>
      <c r="H74" s="100">
        <v>17.559999999999999</v>
      </c>
      <c r="I74" s="100">
        <v>8.3699999999999992</v>
      </c>
      <c r="J74" s="100">
        <v>2.19</v>
      </c>
      <c r="K74" s="100">
        <v>152.96</v>
      </c>
      <c r="L74" s="100">
        <v>38.229999999999997</v>
      </c>
      <c r="M74" s="100">
        <v>28.6</v>
      </c>
      <c r="N74" s="100">
        <v>73.5</v>
      </c>
      <c r="O74" s="100">
        <v>0</v>
      </c>
      <c r="P74" s="100">
        <v>0.44</v>
      </c>
      <c r="Q74" s="100">
        <v>28.94</v>
      </c>
      <c r="R74" s="6"/>
      <c r="S74" s="6"/>
      <c r="T74" s="156"/>
      <c r="U74" s="6"/>
    </row>
    <row r="75" spans="1:21" customFormat="1">
      <c r="A75" s="163" t="s">
        <v>2130</v>
      </c>
      <c r="B75" s="100">
        <v>3.3</v>
      </c>
      <c r="C75" s="100">
        <v>15.67</v>
      </c>
      <c r="D75" s="100">
        <v>9.84</v>
      </c>
      <c r="E75" s="100">
        <v>6.99</v>
      </c>
      <c r="F75" s="100">
        <v>38.159999999999997</v>
      </c>
      <c r="G75" s="100">
        <v>39.08</v>
      </c>
      <c r="H75" s="100">
        <v>17.559999999999999</v>
      </c>
      <c r="I75" s="100">
        <v>8.9499999999999993</v>
      </c>
      <c r="J75" s="100">
        <v>2.68</v>
      </c>
      <c r="K75" s="100">
        <v>76.14</v>
      </c>
      <c r="L75" s="100">
        <v>36.67</v>
      </c>
      <c r="M75" s="100">
        <v>34.020000000000003</v>
      </c>
      <c r="N75" s="100">
        <v>41.8</v>
      </c>
      <c r="O75" s="100">
        <v>0</v>
      </c>
      <c r="P75" s="100">
        <v>0.47</v>
      </c>
      <c r="Q75" s="100">
        <v>28.81</v>
      </c>
      <c r="R75" s="6"/>
      <c r="S75" s="6"/>
      <c r="T75" s="156"/>
      <c r="U75" s="6"/>
    </row>
    <row r="76" spans="1:21" customFormat="1">
      <c r="A76" s="163" t="s">
        <v>2131</v>
      </c>
      <c r="B76" s="100">
        <v>2.74</v>
      </c>
      <c r="C76" s="100">
        <v>13.87</v>
      </c>
      <c r="D76" s="100">
        <v>8.4499999999999993</v>
      </c>
      <c r="E76" s="100">
        <v>7.26</v>
      </c>
      <c r="F76" s="100">
        <v>40.770000000000003</v>
      </c>
      <c r="G76" s="100">
        <v>42.07</v>
      </c>
      <c r="H76" s="100">
        <v>18.18</v>
      </c>
      <c r="I76" s="100">
        <v>9.1</v>
      </c>
      <c r="J76" s="100">
        <v>1.19</v>
      </c>
      <c r="K76" s="100">
        <v>257.25</v>
      </c>
      <c r="L76" s="100">
        <v>30.58</v>
      </c>
      <c r="M76" s="100">
        <v>57.21</v>
      </c>
      <c r="N76" s="100">
        <v>50.4</v>
      </c>
      <c r="O76" s="100">
        <v>1.2</v>
      </c>
      <c r="P76" s="100">
        <v>0.46</v>
      </c>
      <c r="Q76" s="100">
        <v>28.89</v>
      </c>
      <c r="R76" s="6"/>
      <c r="S76" s="6"/>
      <c r="T76" s="156"/>
      <c r="U76" s="6"/>
    </row>
    <row r="77" spans="1:21" customFormat="1">
      <c r="A77" s="163" t="s">
        <v>2132</v>
      </c>
      <c r="B77" s="100">
        <v>2.19</v>
      </c>
      <c r="C77" s="100">
        <v>14.7</v>
      </c>
      <c r="D77" s="100">
        <v>8.44</v>
      </c>
      <c r="E77" s="100">
        <v>5.91</v>
      </c>
      <c r="F77" s="100">
        <v>24.22</v>
      </c>
      <c r="G77" s="100">
        <v>53.24</v>
      </c>
      <c r="H77" s="100">
        <v>20.51</v>
      </c>
      <c r="I77" s="100">
        <v>9</v>
      </c>
      <c r="J77" s="100">
        <v>3.76</v>
      </c>
      <c r="K77" s="100">
        <v>207.54</v>
      </c>
      <c r="L77" s="100">
        <v>29.86</v>
      </c>
      <c r="M77" s="100">
        <v>64.319999999999993</v>
      </c>
      <c r="N77" s="100">
        <v>37.200000000000003</v>
      </c>
      <c r="O77" s="100">
        <v>0.2</v>
      </c>
      <c r="P77" s="100">
        <v>0.45</v>
      </c>
      <c r="Q77" s="100">
        <v>28.86</v>
      </c>
      <c r="R77" s="6"/>
      <c r="S77" s="6"/>
      <c r="T77" s="156"/>
      <c r="U77" s="6"/>
    </row>
    <row r="78" spans="1:21" customFormat="1">
      <c r="A78" s="163" t="s">
        <v>2133</v>
      </c>
      <c r="B78" s="100">
        <v>2.2799999999999998</v>
      </c>
      <c r="C78" s="100">
        <v>13.97</v>
      </c>
      <c r="D78" s="100">
        <v>8.1300000000000008</v>
      </c>
      <c r="E78" s="100">
        <v>6.54</v>
      </c>
      <c r="F78" s="100">
        <v>11.7</v>
      </c>
      <c r="G78" s="100">
        <v>53.24</v>
      </c>
      <c r="H78" s="100">
        <v>20.51</v>
      </c>
      <c r="I78" s="100">
        <v>8.4700000000000006</v>
      </c>
      <c r="J78" s="100">
        <v>4.79</v>
      </c>
      <c r="K78" s="100">
        <v>238.92</v>
      </c>
      <c r="L78" s="100">
        <v>30.67</v>
      </c>
      <c r="M78" s="100">
        <v>62.74</v>
      </c>
      <c r="N78" s="100">
        <v>35.799999999999997</v>
      </c>
      <c r="O78" s="100">
        <v>0.2</v>
      </c>
      <c r="P78" s="100">
        <v>0.48</v>
      </c>
      <c r="Q78" s="100">
        <v>28.92</v>
      </c>
      <c r="R78" s="6"/>
      <c r="S78" s="6"/>
      <c r="T78" s="156"/>
      <c r="U78" s="6"/>
    </row>
    <row r="79" spans="1:21" customFormat="1">
      <c r="A79" s="163" t="s">
        <v>2134</v>
      </c>
      <c r="B79" s="100">
        <v>2.73</v>
      </c>
      <c r="C79" s="100">
        <v>14.31</v>
      </c>
      <c r="D79" s="100">
        <v>8.68</v>
      </c>
      <c r="E79" s="100">
        <v>6.66</v>
      </c>
      <c r="F79" s="100">
        <v>15.56</v>
      </c>
      <c r="G79" s="100">
        <v>53.24</v>
      </c>
      <c r="H79" s="100">
        <v>20.51</v>
      </c>
      <c r="I79" s="100">
        <v>8.9</v>
      </c>
      <c r="J79" s="100">
        <v>2.75</v>
      </c>
      <c r="K79" s="100">
        <v>235.44</v>
      </c>
      <c r="L79" s="100">
        <v>31.03</v>
      </c>
      <c r="M79" s="100">
        <v>62.14</v>
      </c>
      <c r="N79" s="100">
        <v>31.7</v>
      </c>
      <c r="O79" s="100">
        <v>0</v>
      </c>
      <c r="P79" s="100">
        <v>0.48</v>
      </c>
      <c r="Q79" s="100">
        <v>28.9</v>
      </c>
      <c r="R79" s="6"/>
      <c r="S79" s="6"/>
      <c r="T79" s="156"/>
      <c r="U79" s="6"/>
    </row>
    <row r="80" spans="1:21" customFormat="1">
      <c r="A80" s="163" t="s">
        <v>2135</v>
      </c>
      <c r="B80" s="100">
        <v>3.06</v>
      </c>
      <c r="C80" s="100">
        <v>14.22</v>
      </c>
      <c r="D80" s="100">
        <v>8.89</v>
      </c>
      <c r="E80" s="100">
        <v>6.83</v>
      </c>
      <c r="F80" s="100">
        <v>10.29</v>
      </c>
      <c r="G80" s="100">
        <v>51.71</v>
      </c>
      <c r="H80" s="100">
        <v>19.29</v>
      </c>
      <c r="I80" s="100">
        <v>8.86</v>
      </c>
      <c r="J80" s="100">
        <v>3.96</v>
      </c>
      <c r="K80" s="100">
        <v>237.53</v>
      </c>
      <c r="L80" s="100">
        <v>32.28</v>
      </c>
      <c r="M80" s="100">
        <v>56.19</v>
      </c>
      <c r="N80" s="100">
        <v>27.4</v>
      </c>
      <c r="O80" s="100">
        <v>0</v>
      </c>
      <c r="P80" s="100">
        <v>0.51</v>
      </c>
      <c r="Q80" s="100">
        <v>28.91</v>
      </c>
      <c r="R80" s="6"/>
      <c r="S80" s="6"/>
      <c r="T80" s="156"/>
      <c r="U80" s="6"/>
    </row>
    <row r="81" spans="1:21" customFormat="1">
      <c r="A81" s="163" t="s">
        <v>2136</v>
      </c>
      <c r="B81" s="100">
        <v>2.82</v>
      </c>
      <c r="C81" s="100">
        <v>14.57</v>
      </c>
      <c r="D81" s="100">
        <v>8.8800000000000008</v>
      </c>
      <c r="E81" s="100">
        <v>6.33</v>
      </c>
      <c r="F81" s="100">
        <v>4.91</v>
      </c>
      <c r="G81" s="100">
        <v>46</v>
      </c>
      <c r="H81" s="100">
        <v>14.77</v>
      </c>
      <c r="I81" s="100">
        <v>8.93</v>
      </c>
      <c r="J81" s="100">
        <v>4.41</v>
      </c>
      <c r="K81" s="100">
        <v>238.36</v>
      </c>
      <c r="L81" s="100">
        <v>32.17</v>
      </c>
      <c r="M81" s="100">
        <v>53.29</v>
      </c>
      <c r="N81" s="100">
        <v>24.3</v>
      </c>
      <c r="O81" s="100">
        <v>0</v>
      </c>
      <c r="P81" s="100">
        <v>0.5</v>
      </c>
      <c r="Q81" s="100">
        <v>28.92</v>
      </c>
      <c r="R81" s="6"/>
      <c r="S81" s="6"/>
      <c r="T81" s="156"/>
      <c r="U81" s="6"/>
    </row>
    <row r="82" spans="1:21" customFormat="1">
      <c r="A82" s="163" t="s">
        <v>2137</v>
      </c>
      <c r="B82" s="100">
        <v>2.95</v>
      </c>
      <c r="C82" s="100">
        <v>13.22</v>
      </c>
      <c r="D82" s="100">
        <v>8.2799999999999994</v>
      </c>
      <c r="E82" s="100">
        <v>6.97</v>
      </c>
      <c r="F82" s="100">
        <v>6.96</v>
      </c>
      <c r="G82" s="100">
        <v>46</v>
      </c>
      <c r="H82" s="100">
        <v>14.77</v>
      </c>
      <c r="I82" s="100">
        <v>9.2200000000000006</v>
      </c>
      <c r="J82" s="100">
        <v>4.38</v>
      </c>
      <c r="K82" s="100">
        <v>241.27</v>
      </c>
      <c r="L82" s="100">
        <v>31.16</v>
      </c>
      <c r="M82" s="100">
        <v>50.98</v>
      </c>
      <c r="N82" s="100">
        <v>23.5</v>
      </c>
      <c r="O82" s="100">
        <v>0</v>
      </c>
      <c r="P82" s="100">
        <v>0.49</v>
      </c>
      <c r="Q82" s="100">
        <v>29.01</v>
      </c>
      <c r="R82" s="6"/>
      <c r="S82" s="6"/>
      <c r="T82" s="156"/>
      <c r="U82" s="6"/>
    </row>
    <row r="83" spans="1:21" customFormat="1">
      <c r="A83" s="163" t="s">
        <v>2138</v>
      </c>
      <c r="B83" s="100">
        <v>4.49</v>
      </c>
      <c r="C83" s="100">
        <v>16.329999999999998</v>
      </c>
      <c r="D83" s="100">
        <v>11.14</v>
      </c>
      <c r="E83" s="100">
        <v>6.86</v>
      </c>
      <c r="F83" s="100">
        <v>5.73</v>
      </c>
      <c r="G83" s="100">
        <v>46</v>
      </c>
      <c r="H83" s="100">
        <v>14.77</v>
      </c>
      <c r="I83" s="100">
        <v>9.34</v>
      </c>
      <c r="J83" s="100">
        <v>3.55</v>
      </c>
      <c r="K83" s="100">
        <v>203.99</v>
      </c>
      <c r="L83" s="100">
        <v>31.37</v>
      </c>
      <c r="M83" s="100">
        <v>49.89</v>
      </c>
      <c r="N83" s="100">
        <v>23.1</v>
      </c>
      <c r="O83" s="100">
        <v>0</v>
      </c>
      <c r="P83" s="100">
        <v>0.51</v>
      </c>
      <c r="Q83" s="100">
        <v>29.07</v>
      </c>
      <c r="R83" s="6"/>
      <c r="S83" s="6"/>
      <c r="T83" s="156"/>
      <c r="U83" s="6"/>
    </row>
    <row r="84" spans="1:21" customFormat="1">
      <c r="A84" s="163" t="s">
        <v>2139</v>
      </c>
      <c r="B84" s="100">
        <v>3.49</v>
      </c>
      <c r="C84" s="100">
        <v>13.45</v>
      </c>
      <c r="D84" s="100">
        <v>8.83</v>
      </c>
      <c r="E84" s="100">
        <v>6.58</v>
      </c>
      <c r="F84" s="100">
        <v>9.0299999999999994</v>
      </c>
      <c r="G84" s="100">
        <v>46.81</v>
      </c>
      <c r="H84" s="100">
        <v>14.73</v>
      </c>
      <c r="I84" s="100">
        <v>9.5500000000000007</v>
      </c>
      <c r="J84" s="100">
        <v>3.23</v>
      </c>
      <c r="K84" s="100">
        <v>171.89</v>
      </c>
      <c r="L84" s="100">
        <v>31.55</v>
      </c>
      <c r="M84" s="100">
        <v>49.7</v>
      </c>
      <c r="N84" s="100">
        <v>22.9</v>
      </c>
      <c r="O84" s="100">
        <v>0</v>
      </c>
      <c r="P84" s="100">
        <v>0.57999999999999996</v>
      </c>
      <c r="Q84" s="100">
        <v>29.03</v>
      </c>
      <c r="R84" s="6"/>
      <c r="S84" s="6"/>
      <c r="T84" s="156"/>
      <c r="U84" s="6"/>
    </row>
    <row r="85" spans="1:21" customFormat="1">
      <c r="A85" s="163" t="s">
        <v>2140</v>
      </c>
      <c r="B85" s="100">
        <v>3.46</v>
      </c>
      <c r="C85" s="100">
        <v>13.26</v>
      </c>
      <c r="D85" s="100">
        <v>8.7100000000000009</v>
      </c>
      <c r="E85" s="100">
        <v>7.32</v>
      </c>
      <c r="F85" s="100">
        <v>9.6199999999999992</v>
      </c>
      <c r="G85" s="100">
        <v>49.84</v>
      </c>
      <c r="H85" s="100">
        <v>14.6</v>
      </c>
      <c r="I85" s="100">
        <v>10</v>
      </c>
      <c r="J85" s="100">
        <v>2.0699999999999998</v>
      </c>
      <c r="K85" s="100">
        <v>217.17</v>
      </c>
      <c r="L85" s="100">
        <v>31.85</v>
      </c>
      <c r="M85" s="100">
        <v>47.79</v>
      </c>
      <c r="N85" s="100">
        <v>22.2</v>
      </c>
      <c r="O85" s="100">
        <v>0</v>
      </c>
      <c r="P85" s="100">
        <v>0.61</v>
      </c>
      <c r="Q85" s="100">
        <v>28.96</v>
      </c>
      <c r="R85" s="6"/>
      <c r="S85" s="6"/>
      <c r="T85" s="156"/>
      <c r="U85" s="6"/>
    </row>
    <row r="86" spans="1:21" customFormat="1">
      <c r="A86" s="163" t="s">
        <v>2141</v>
      </c>
      <c r="B86" s="100">
        <v>3.91</v>
      </c>
      <c r="C86" s="100">
        <v>12.16</v>
      </c>
      <c r="D86" s="100">
        <v>8.5</v>
      </c>
      <c r="E86" s="100">
        <v>6.92</v>
      </c>
      <c r="F86" s="100">
        <v>5.36</v>
      </c>
      <c r="G86" s="100">
        <v>49.84</v>
      </c>
      <c r="H86" s="100">
        <v>14.6</v>
      </c>
      <c r="I86" s="100">
        <v>10.32</v>
      </c>
      <c r="J86" s="100">
        <v>2.63</v>
      </c>
      <c r="K86" s="100">
        <v>254.08</v>
      </c>
      <c r="L86" s="100">
        <v>31.69</v>
      </c>
      <c r="M86" s="100">
        <v>47.53</v>
      </c>
      <c r="N86" s="100">
        <v>23.1</v>
      </c>
      <c r="O86" s="100">
        <v>0</v>
      </c>
      <c r="P86" s="100">
        <v>0.64</v>
      </c>
      <c r="Q86" s="100">
        <v>29.05</v>
      </c>
      <c r="R86" s="6"/>
      <c r="S86" s="6"/>
      <c r="T86" s="156"/>
      <c r="U86" s="6"/>
    </row>
    <row r="87" spans="1:21" customFormat="1">
      <c r="A87" s="163" t="s">
        <v>2142</v>
      </c>
      <c r="B87" s="100">
        <v>8.08</v>
      </c>
      <c r="C87" s="100">
        <v>17.52</v>
      </c>
      <c r="D87" s="100">
        <v>14.64</v>
      </c>
      <c r="E87" s="100">
        <v>6.87</v>
      </c>
      <c r="F87" s="100">
        <v>8.18</v>
      </c>
      <c r="G87" s="100">
        <v>49.84</v>
      </c>
      <c r="H87" s="100">
        <v>14.6</v>
      </c>
      <c r="I87" s="100">
        <v>10.43</v>
      </c>
      <c r="J87" s="100">
        <v>2.66</v>
      </c>
      <c r="K87" s="100">
        <v>18.14</v>
      </c>
      <c r="L87" s="100">
        <v>31.6</v>
      </c>
      <c r="M87" s="100">
        <v>52.22</v>
      </c>
      <c r="N87" s="100">
        <v>23.5</v>
      </c>
      <c r="O87" s="100">
        <v>0</v>
      </c>
      <c r="P87" s="100">
        <v>0.81</v>
      </c>
      <c r="Q87" s="100">
        <v>28.46</v>
      </c>
      <c r="R87" s="6"/>
      <c r="S87" s="6"/>
      <c r="T87" s="156"/>
      <c r="U87" s="6"/>
    </row>
    <row r="88" spans="1:21" customFormat="1">
      <c r="A88" s="163" t="s">
        <v>2143</v>
      </c>
      <c r="B88" s="100">
        <v>7.92</v>
      </c>
      <c r="C88" s="100">
        <v>18.75</v>
      </c>
      <c r="D88" s="100">
        <v>15.16</v>
      </c>
      <c r="E88" s="100">
        <v>7.28</v>
      </c>
      <c r="F88" s="100">
        <v>9.77</v>
      </c>
      <c r="G88" s="100">
        <v>49.87</v>
      </c>
      <c r="H88" s="100">
        <v>15</v>
      </c>
      <c r="I88" s="100">
        <v>10.96</v>
      </c>
      <c r="J88" s="100">
        <v>1</v>
      </c>
      <c r="K88" s="100">
        <v>61.18</v>
      </c>
      <c r="L88" s="100">
        <v>31.29</v>
      </c>
      <c r="M88" s="100">
        <v>57.35</v>
      </c>
      <c r="N88" s="100">
        <v>22.7</v>
      </c>
      <c r="O88" s="100">
        <v>0</v>
      </c>
      <c r="P88" s="100">
        <v>0.76</v>
      </c>
      <c r="Q88" s="100">
        <v>28.45</v>
      </c>
      <c r="R88" s="6"/>
      <c r="S88" s="6"/>
      <c r="T88" s="156"/>
      <c r="U88" s="6"/>
    </row>
    <row r="89" spans="1:21" customFormat="1">
      <c r="A89" s="163" t="s">
        <v>2144</v>
      </c>
      <c r="B89" s="100">
        <v>5.63</v>
      </c>
      <c r="C89" s="100">
        <v>15.16</v>
      </c>
      <c r="D89" s="100">
        <v>11.44</v>
      </c>
      <c r="E89" s="100">
        <v>7.03</v>
      </c>
      <c r="F89" s="100">
        <v>10.09</v>
      </c>
      <c r="G89" s="100">
        <v>50.02</v>
      </c>
      <c r="H89" s="100">
        <v>16.48</v>
      </c>
      <c r="I89" s="100">
        <v>13.15</v>
      </c>
      <c r="J89" s="100">
        <v>1.1299999999999999</v>
      </c>
      <c r="K89" s="100">
        <v>174.88</v>
      </c>
      <c r="L89" s="100">
        <v>30.7</v>
      </c>
      <c r="M89" s="100">
        <v>58.89</v>
      </c>
      <c r="N89" s="100">
        <v>22.4</v>
      </c>
      <c r="O89" s="100">
        <v>0</v>
      </c>
      <c r="P89" s="100">
        <v>0.66</v>
      </c>
      <c r="Q89" s="100">
        <v>28.59</v>
      </c>
      <c r="R89" s="6"/>
      <c r="S89" s="6"/>
      <c r="T89" s="156"/>
      <c r="U89" s="6"/>
    </row>
    <row r="90" spans="1:21" customFormat="1">
      <c r="A90" s="163" t="s">
        <v>2145</v>
      </c>
      <c r="B90" s="100">
        <v>4.74</v>
      </c>
      <c r="C90" s="100">
        <v>13.97</v>
      </c>
      <c r="D90" s="100">
        <v>10.1</v>
      </c>
      <c r="E90" s="100">
        <v>6.7</v>
      </c>
      <c r="F90" s="100">
        <v>11.1</v>
      </c>
      <c r="G90" s="100">
        <v>50.02</v>
      </c>
      <c r="H90" s="100">
        <v>16.48</v>
      </c>
      <c r="I90" s="100">
        <v>14.04</v>
      </c>
      <c r="J90" s="100">
        <v>2.92</v>
      </c>
      <c r="K90" s="100">
        <v>190.23</v>
      </c>
      <c r="L90" s="100">
        <v>30.71</v>
      </c>
      <c r="M90" s="100">
        <v>56.15</v>
      </c>
      <c r="N90" s="100">
        <v>22.4</v>
      </c>
      <c r="O90" s="100">
        <v>0</v>
      </c>
      <c r="P90" s="100">
        <v>0.65</v>
      </c>
      <c r="Q90" s="100">
        <v>28.95</v>
      </c>
      <c r="R90" s="6"/>
      <c r="S90" s="6"/>
      <c r="T90" s="156"/>
      <c r="U90" s="6"/>
    </row>
    <row r="91" spans="1:21" customFormat="1">
      <c r="A91" s="163" t="s">
        <v>2146</v>
      </c>
      <c r="B91" s="100">
        <v>4.5199999999999996</v>
      </c>
      <c r="C91" s="100">
        <v>14.57</v>
      </c>
      <c r="D91" s="100">
        <v>10.24</v>
      </c>
      <c r="E91" s="100">
        <v>6.47</v>
      </c>
      <c r="F91" s="100">
        <v>12.54</v>
      </c>
      <c r="G91" s="100">
        <v>50.02</v>
      </c>
      <c r="H91" s="100">
        <v>16.48</v>
      </c>
      <c r="I91" s="100">
        <v>12.61</v>
      </c>
      <c r="J91" s="100">
        <v>1.91</v>
      </c>
      <c r="K91" s="100">
        <v>218.3</v>
      </c>
      <c r="L91" s="100">
        <v>31.15</v>
      </c>
      <c r="M91" s="100">
        <v>54.25</v>
      </c>
      <c r="N91" s="100">
        <v>21.5</v>
      </c>
      <c r="O91" s="100">
        <v>0</v>
      </c>
      <c r="P91" s="100">
        <v>0.66</v>
      </c>
      <c r="Q91" s="100">
        <v>28.83</v>
      </c>
      <c r="R91" s="6"/>
      <c r="S91" s="6"/>
      <c r="T91" s="156"/>
      <c r="U91" s="6"/>
    </row>
    <row r="92" spans="1:21" customFormat="1">
      <c r="A92" s="163" t="s">
        <v>2147</v>
      </c>
      <c r="B92" s="100">
        <v>6.13</v>
      </c>
      <c r="C92" s="100">
        <v>21.25</v>
      </c>
      <c r="D92" s="100">
        <v>15.03</v>
      </c>
      <c r="E92" s="100">
        <v>6.91</v>
      </c>
      <c r="F92" s="100">
        <v>11.01</v>
      </c>
      <c r="G92" s="100">
        <v>50</v>
      </c>
      <c r="H92" s="100">
        <v>17.09</v>
      </c>
      <c r="I92" s="100">
        <v>12.33</v>
      </c>
      <c r="J92" s="100">
        <v>0.5</v>
      </c>
      <c r="K92" s="100">
        <v>72.599999999999994</v>
      </c>
      <c r="L92" s="100">
        <v>31.39</v>
      </c>
      <c r="M92" s="100">
        <v>54.8</v>
      </c>
      <c r="N92" s="100">
        <v>22.1</v>
      </c>
      <c r="O92" s="100">
        <v>0.2</v>
      </c>
      <c r="P92" s="100">
        <v>0.71</v>
      </c>
      <c r="Q92" s="100">
        <v>28.5</v>
      </c>
      <c r="R92" s="6"/>
      <c r="S92" s="6"/>
      <c r="T92" s="156"/>
      <c r="U92" s="6"/>
    </row>
    <row r="93" spans="1:21" customFormat="1">
      <c r="A93" s="163" t="s">
        <v>2148</v>
      </c>
      <c r="B93" s="100">
        <v>4.84</v>
      </c>
      <c r="C93" s="100">
        <v>17.88</v>
      </c>
      <c r="D93" s="100">
        <v>12.22</v>
      </c>
      <c r="E93" s="100">
        <v>6.54</v>
      </c>
      <c r="F93" s="100">
        <v>14.69</v>
      </c>
      <c r="G93" s="100">
        <v>49.95</v>
      </c>
      <c r="H93" s="100">
        <v>19.350000000000001</v>
      </c>
      <c r="I93" s="100">
        <v>12.18</v>
      </c>
      <c r="J93" s="100">
        <v>2.44</v>
      </c>
      <c r="K93" s="100">
        <v>153.43</v>
      </c>
      <c r="L93" s="100">
        <v>31.5</v>
      </c>
      <c r="M93" s="100">
        <v>54.93</v>
      </c>
      <c r="N93" s="100">
        <v>22.5</v>
      </c>
      <c r="O93" s="100">
        <v>0</v>
      </c>
      <c r="P93" s="100">
        <v>0.7</v>
      </c>
      <c r="Q93" s="100">
        <v>28.54</v>
      </c>
      <c r="R93" s="6"/>
      <c r="S93" s="6"/>
      <c r="T93" s="156"/>
      <c r="U93" s="6"/>
    </row>
    <row r="94" spans="1:21" customFormat="1">
      <c r="A94" s="163" t="s">
        <v>2149</v>
      </c>
      <c r="B94" s="100">
        <v>4.72</v>
      </c>
      <c r="C94" s="100">
        <v>15.8</v>
      </c>
      <c r="D94" s="100">
        <v>11.04</v>
      </c>
      <c r="E94" s="100">
        <v>6.46</v>
      </c>
      <c r="F94" s="100">
        <v>5.48</v>
      </c>
      <c r="G94" s="100">
        <v>49.95</v>
      </c>
      <c r="H94" s="100">
        <v>19.350000000000001</v>
      </c>
      <c r="I94" s="100">
        <v>12.62</v>
      </c>
      <c r="J94" s="100">
        <v>2.37</v>
      </c>
      <c r="K94" s="100">
        <v>159.78</v>
      </c>
      <c r="L94" s="100">
        <v>31.59</v>
      </c>
      <c r="M94" s="100">
        <v>54.36</v>
      </c>
      <c r="N94" s="100">
        <v>22.9</v>
      </c>
      <c r="O94" s="100">
        <v>0</v>
      </c>
      <c r="P94" s="100">
        <v>0.71</v>
      </c>
      <c r="Q94" s="100">
        <v>28.74</v>
      </c>
      <c r="R94" s="6"/>
      <c r="S94" s="6"/>
      <c r="T94" s="156"/>
      <c r="U94" s="6"/>
    </row>
    <row r="95" spans="1:21" customFormat="1">
      <c r="A95" s="163" t="s">
        <v>2150</v>
      </c>
      <c r="B95" s="100">
        <v>4.74</v>
      </c>
      <c r="C95" s="100">
        <v>16.7</v>
      </c>
      <c r="D95" s="100">
        <v>11.53</v>
      </c>
      <c r="E95" s="100">
        <v>6.85</v>
      </c>
      <c r="F95" s="100">
        <v>7.55</v>
      </c>
      <c r="G95" s="100">
        <v>49.95</v>
      </c>
      <c r="H95" s="100">
        <v>19.350000000000001</v>
      </c>
      <c r="I95" s="100">
        <v>12.25</v>
      </c>
      <c r="J95" s="100">
        <v>2.5499999999999998</v>
      </c>
      <c r="K95" s="100">
        <v>155.72</v>
      </c>
      <c r="L95" s="100">
        <v>31.78</v>
      </c>
      <c r="M95" s="100">
        <v>53.32</v>
      </c>
      <c r="N95" s="100">
        <v>22.7</v>
      </c>
      <c r="O95" s="100">
        <v>0</v>
      </c>
      <c r="P95" s="100">
        <v>0.69</v>
      </c>
      <c r="Q95" s="100">
        <v>28.75</v>
      </c>
      <c r="R95" s="6"/>
      <c r="S95" s="6"/>
      <c r="T95" s="156"/>
      <c r="U95" s="6"/>
    </row>
    <row r="96" spans="1:21" customFormat="1">
      <c r="A96" s="163" t="s">
        <v>2151</v>
      </c>
      <c r="B96" s="100">
        <v>4.8</v>
      </c>
      <c r="C96" s="100">
        <v>16.21</v>
      </c>
      <c r="D96" s="100">
        <v>11.32</v>
      </c>
      <c r="E96" s="100">
        <v>7.06</v>
      </c>
      <c r="F96" s="100">
        <v>11.52</v>
      </c>
      <c r="G96" s="100">
        <v>50.65</v>
      </c>
      <c r="H96" s="100">
        <v>18.190000000000001</v>
      </c>
      <c r="I96" s="100">
        <v>12.3</v>
      </c>
      <c r="J96" s="100">
        <v>2.16</v>
      </c>
      <c r="K96" s="100">
        <v>25.46</v>
      </c>
      <c r="L96" s="100">
        <v>32.450000000000003</v>
      </c>
      <c r="M96" s="100">
        <v>50.21</v>
      </c>
      <c r="N96" s="100">
        <v>22.6</v>
      </c>
      <c r="O96" s="100">
        <v>0</v>
      </c>
      <c r="P96" s="100">
        <v>0.7</v>
      </c>
      <c r="Q96" s="100">
        <v>28.72</v>
      </c>
      <c r="R96" s="6"/>
      <c r="S96" s="6"/>
      <c r="T96" s="156"/>
      <c r="U96" s="6"/>
    </row>
    <row r="97" spans="1:28" customFormat="1">
      <c r="A97" s="163" t="s">
        <v>2152</v>
      </c>
      <c r="B97" s="100">
        <v>4.8600000000000003</v>
      </c>
      <c r="C97" s="100">
        <v>14.82</v>
      </c>
      <c r="D97" s="100">
        <v>10.65</v>
      </c>
      <c r="E97" s="100">
        <v>6.88</v>
      </c>
      <c r="F97" s="100">
        <v>9.2899999999999991</v>
      </c>
      <c r="G97" s="100">
        <v>53.24</v>
      </c>
      <c r="H97" s="100">
        <v>13.85</v>
      </c>
      <c r="I97" s="100">
        <v>12.06</v>
      </c>
      <c r="J97" s="100">
        <v>3.61</v>
      </c>
      <c r="K97" s="100">
        <v>122.35</v>
      </c>
      <c r="L97" s="100">
        <v>32.15</v>
      </c>
      <c r="M97" s="100">
        <v>51.91</v>
      </c>
      <c r="N97" s="100">
        <v>23.3</v>
      </c>
      <c r="O97" s="100">
        <v>0</v>
      </c>
      <c r="P97" s="100">
        <v>0.66</v>
      </c>
      <c r="Q97" s="100">
        <v>28.8</v>
      </c>
      <c r="R97" s="6"/>
      <c r="S97" s="6"/>
      <c r="T97" s="156"/>
      <c r="U97" s="6"/>
    </row>
    <row r="98" spans="1:28" customFormat="1">
      <c r="A98" s="163" t="s">
        <v>2153</v>
      </c>
      <c r="B98" s="100">
        <v>4.7</v>
      </c>
      <c r="C98" s="100">
        <v>14.2</v>
      </c>
      <c r="D98" s="100">
        <v>10.19</v>
      </c>
      <c r="E98" s="100">
        <v>6.86</v>
      </c>
      <c r="F98" s="100">
        <v>11.67</v>
      </c>
      <c r="G98" s="100">
        <v>53.24</v>
      </c>
      <c r="H98" s="100">
        <v>13.85</v>
      </c>
      <c r="I98" s="100">
        <v>11.91</v>
      </c>
      <c r="J98" s="100">
        <v>2.81</v>
      </c>
      <c r="K98" s="100">
        <v>125.25</v>
      </c>
      <c r="L98" s="100">
        <v>32.42</v>
      </c>
      <c r="M98" s="100">
        <v>49.2</v>
      </c>
      <c r="N98" s="100">
        <v>22.9</v>
      </c>
      <c r="O98" s="100">
        <v>0</v>
      </c>
      <c r="P98" s="100">
        <v>0.64</v>
      </c>
      <c r="Q98" s="100">
        <v>28.85</v>
      </c>
      <c r="R98" s="6"/>
      <c r="S98" s="6"/>
      <c r="T98" s="156"/>
      <c r="U98" s="6"/>
    </row>
    <row r="99" spans="1:28" customFormat="1">
      <c r="A99" s="163" t="s">
        <v>2154</v>
      </c>
      <c r="B99" s="100">
        <v>4.6399999999999997</v>
      </c>
      <c r="C99" s="100">
        <v>13.9</v>
      </c>
      <c r="D99" s="100">
        <v>9.99</v>
      </c>
      <c r="E99" s="100">
        <v>7.49</v>
      </c>
      <c r="F99" s="100">
        <v>10.83</v>
      </c>
      <c r="G99" s="100">
        <v>53.24</v>
      </c>
      <c r="H99" s="100">
        <v>13.85</v>
      </c>
      <c r="I99" s="100">
        <v>11.83</v>
      </c>
      <c r="J99" s="100">
        <v>3.49</v>
      </c>
      <c r="K99" s="100">
        <v>151.04</v>
      </c>
      <c r="L99" s="100">
        <v>32.090000000000003</v>
      </c>
      <c r="M99" s="100">
        <v>47.65</v>
      </c>
      <c r="N99" s="100">
        <v>22.7</v>
      </c>
      <c r="O99" s="100">
        <v>0</v>
      </c>
      <c r="P99" s="100">
        <v>0.64</v>
      </c>
      <c r="Q99" s="100">
        <v>28.85</v>
      </c>
      <c r="R99" s="6"/>
      <c r="S99" s="6"/>
      <c r="T99" s="156"/>
      <c r="U99" s="6"/>
    </row>
    <row r="100" spans="1:28" customFormat="1">
      <c r="A100" s="163" t="s">
        <v>2155</v>
      </c>
      <c r="B100" s="100">
        <v>4.7699999999999996</v>
      </c>
      <c r="C100" s="100">
        <v>16.55</v>
      </c>
      <c r="D100" s="100">
        <v>11.47</v>
      </c>
      <c r="E100" s="100">
        <v>6.93</v>
      </c>
      <c r="F100" s="100">
        <v>10.84</v>
      </c>
      <c r="G100" s="100">
        <v>53.23</v>
      </c>
      <c r="H100" s="100">
        <v>15.12</v>
      </c>
      <c r="I100" s="100">
        <v>11.8</v>
      </c>
      <c r="J100" s="100">
        <v>2.06</v>
      </c>
      <c r="K100" s="100">
        <v>139.93</v>
      </c>
      <c r="L100" s="100">
        <v>31.46</v>
      </c>
      <c r="M100" s="100">
        <v>48.12</v>
      </c>
      <c r="N100" s="100">
        <v>23.4</v>
      </c>
      <c r="O100" s="100">
        <v>0</v>
      </c>
      <c r="P100" s="100">
        <v>0.68</v>
      </c>
      <c r="Q100" s="100">
        <v>28.67</v>
      </c>
      <c r="R100" s="6"/>
      <c r="S100" s="6"/>
      <c r="T100" s="156"/>
      <c r="U100" s="6"/>
      <c r="AB100" s="161"/>
    </row>
    <row r="101" spans="1:28" customFormat="1">
      <c r="A101" s="163" t="s">
        <v>2156</v>
      </c>
      <c r="B101" s="100">
        <v>5.03</v>
      </c>
      <c r="C101" s="100">
        <v>17.41</v>
      </c>
      <c r="D101" s="100">
        <v>12.13</v>
      </c>
      <c r="E101" s="100">
        <v>5.48</v>
      </c>
      <c r="F101" s="100">
        <v>6.82</v>
      </c>
      <c r="G101" s="100">
        <v>53.17</v>
      </c>
      <c r="H101" s="100">
        <v>19.86</v>
      </c>
      <c r="I101" s="100">
        <v>11.84</v>
      </c>
      <c r="J101" s="100">
        <v>3.74</v>
      </c>
      <c r="K101" s="100">
        <v>178.04</v>
      </c>
      <c r="L101" s="100">
        <v>31.33</v>
      </c>
      <c r="M101" s="100">
        <v>51.87</v>
      </c>
      <c r="N101" s="100">
        <v>23.3</v>
      </c>
      <c r="O101" s="100">
        <v>0</v>
      </c>
      <c r="P101" s="100">
        <v>0.51</v>
      </c>
      <c r="Q101" s="100">
        <v>28.55</v>
      </c>
      <c r="R101" s="6"/>
      <c r="S101" s="6"/>
      <c r="T101" s="156"/>
      <c r="U101" s="6"/>
    </row>
    <row r="102" spans="1:28" customFormat="1">
      <c r="A102" s="163" t="s">
        <v>2157</v>
      </c>
      <c r="B102" s="100">
        <v>6.42</v>
      </c>
      <c r="C102" s="100">
        <v>20.91</v>
      </c>
      <c r="D102" s="100">
        <v>15.08</v>
      </c>
      <c r="E102" s="100">
        <v>5.56</v>
      </c>
      <c r="F102" s="100">
        <v>4.99</v>
      </c>
      <c r="G102" s="100">
        <v>53.17</v>
      </c>
      <c r="H102" s="100">
        <v>19.86</v>
      </c>
      <c r="I102" s="100">
        <v>11.87</v>
      </c>
      <c r="J102" s="100">
        <v>3.38</v>
      </c>
      <c r="K102" s="100">
        <v>97.67</v>
      </c>
      <c r="L102" s="100">
        <v>31.15</v>
      </c>
      <c r="M102" s="100">
        <v>53.47</v>
      </c>
      <c r="N102" s="100">
        <v>23.3</v>
      </c>
      <c r="O102" s="100">
        <v>0</v>
      </c>
      <c r="P102" s="100">
        <v>0.57999999999999996</v>
      </c>
      <c r="Q102" s="100">
        <v>28.18</v>
      </c>
      <c r="R102" s="6"/>
      <c r="S102" s="6"/>
      <c r="T102" s="156"/>
      <c r="U102" s="6"/>
    </row>
    <row r="103" spans="1:28" customFormat="1">
      <c r="A103" s="163" t="s">
        <v>2158</v>
      </c>
      <c r="B103" s="100">
        <v>7.26</v>
      </c>
      <c r="C103" s="100">
        <v>20.92</v>
      </c>
      <c r="D103" s="100">
        <v>15.76</v>
      </c>
      <c r="E103" s="100">
        <v>6.01</v>
      </c>
      <c r="F103" s="100">
        <v>5.87</v>
      </c>
      <c r="G103" s="100">
        <v>53.17</v>
      </c>
      <c r="H103" s="100">
        <v>19.86</v>
      </c>
      <c r="I103" s="100">
        <v>11.99</v>
      </c>
      <c r="J103" s="100">
        <v>3.46</v>
      </c>
      <c r="K103" s="100">
        <v>98.01</v>
      </c>
      <c r="L103" s="100">
        <v>31.01</v>
      </c>
      <c r="M103" s="100">
        <v>52.62</v>
      </c>
      <c r="N103" s="100">
        <v>23.2</v>
      </c>
      <c r="O103" s="100">
        <v>0</v>
      </c>
      <c r="P103" s="100">
        <v>0.59</v>
      </c>
      <c r="Q103" s="100">
        <v>28.06</v>
      </c>
      <c r="R103" s="6"/>
      <c r="S103" s="6"/>
      <c r="T103" s="156"/>
      <c r="U103" s="6"/>
    </row>
    <row r="104" spans="1:28" customFormat="1">
      <c r="A104" s="163" t="s">
        <v>2159</v>
      </c>
      <c r="B104" s="100">
        <v>6.95</v>
      </c>
      <c r="C104" s="100">
        <v>22.56</v>
      </c>
      <c r="D104" s="100">
        <v>16.37</v>
      </c>
      <c r="E104" s="100">
        <v>6.54</v>
      </c>
      <c r="F104" s="100">
        <v>5.91</v>
      </c>
      <c r="G104" s="100">
        <v>55.43</v>
      </c>
      <c r="H104" s="100">
        <v>20.21</v>
      </c>
      <c r="I104" s="100">
        <v>12.21</v>
      </c>
      <c r="J104" s="100">
        <v>3.54</v>
      </c>
      <c r="K104" s="100">
        <v>102.97</v>
      </c>
      <c r="L104" s="100">
        <v>31.18</v>
      </c>
      <c r="M104" s="100">
        <v>51.48</v>
      </c>
      <c r="N104" s="100">
        <v>23.2</v>
      </c>
      <c r="O104" s="100">
        <v>0</v>
      </c>
      <c r="P104" s="100">
        <v>0.64</v>
      </c>
      <c r="Q104" s="100">
        <v>27.98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2.14</v>
      </c>
      <c r="C106" s="158">
        <f>MIN(C9:C104)</f>
        <v>8.9700000000000006</v>
      </c>
      <c r="D106" s="158">
        <f t="shared" ref="D106:Q106" si="0">MIN(D9:D104)</f>
        <v>5.76</v>
      </c>
      <c r="E106" s="158">
        <f t="shared" si="0"/>
        <v>3.71</v>
      </c>
      <c r="F106" s="158">
        <f t="shared" si="0"/>
        <v>3.91</v>
      </c>
      <c r="G106" s="158">
        <f t="shared" si="0"/>
        <v>22.87</v>
      </c>
      <c r="H106" s="158">
        <f t="shared" si="0"/>
        <v>11.99</v>
      </c>
      <c r="I106" s="158">
        <f t="shared" si="0"/>
        <v>6.89</v>
      </c>
      <c r="J106" s="158">
        <f t="shared" si="0"/>
        <v>0.5</v>
      </c>
      <c r="K106" s="158">
        <f t="shared" si="0"/>
        <v>13.19</v>
      </c>
      <c r="L106" s="158">
        <f t="shared" si="0"/>
        <v>29.86</v>
      </c>
      <c r="M106" s="158">
        <f t="shared" si="0"/>
        <v>24.37</v>
      </c>
      <c r="N106" s="158">
        <f t="shared" si="0"/>
        <v>21.5</v>
      </c>
      <c r="O106" s="158">
        <f t="shared" si="0"/>
        <v>0</v>
      </c>
      <c r="P106" s="158">
        <f t="shared" si="0"/>
        <v>0.35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8.08</v>
      </c>
      <c r="C107" s="157">
        <f t="shared" ref="C107:Q107" si="1">MAX(C9:C104)</f>
        <v>22.56</v>
      </c>
      <c r="D107" s="157">
        <f t="shared" si="1"/>
        <v>16.37</v>
      </c>
      <c r="E107" s="157">
        <f t="shared" si="1"/>
        <v>10.98</v>
      </c>
      <c r="F107" s="157">
        <f t="shared" si="1"/>
        <v>53.49</v>
      </c>
      <c r="G107" s="157">
        <f t="shared" si="1"/>
        <v>87.43</v>
      </c>
      <c r="H107" s="157">
        <f t="shared" si="1"/>
        <v>29.67</v>
      </c>
      <c r="I107" s="157">
        <f t="shared" si="1"/>
        <v>14.04</v>
      </c>
      <c r="J107" s="157">
        <f t="shared" si="1"/>
        <v>4.79</v>
      </c>
      <c r="K107" s="157">
        <f t="shared" si="1"/>
        <v>348.74</v>
      </c>
      <c r="L107" s="157">
        <f t="shared" si="1"/>
        <v>43.29</v>
      </c>
      <c r="M107" s="157">
        <f t="shared" si="1"/>
        <v>64.319999999999993</v>
      </c>
      <c r="N107" s="157">
        <f t="shared" si="1"/>
        <v>841.2</v>
      </c>
      <c r="O107" s="157">
        <f t="shared" si="1"/>
        <v>1.2</v>
      </c>
      <c r="P107" s="157">
        <f t="shared" si="1"/>
        <v>0.81</v>
      </c>
      <c r="Q107" s="157">
        <f t="shared" si="1"/>
        <v>29.32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4.6085416666666656</v>
      </c>
      <c r="C108" s="158">
        <f t="shared" ref="C108:Q108" si="2">AVERAGE(C9:C104)</f>
        <v>14.724375000000002</v>
      </c>
      <c r="D108" s="158">
        <f t="shared" si="2"/>
        <v>10.394479166666668</v>
      </c>
      <c r="E108" s="158">
        <f t="shared" si="2"/>
        <v>6.618645833333332</v>
      </c>
      <c r="F108" s="158">
        <f t="shared" si="2"/>
        <v>16.961666666666666</v>
      </c>
      <c r="G108" s="158">
        <f t="shared" si="2"/>
        <v>49.753333333333309</v>
      </c>
      <c r="H108" s="158">
        <f t="shared" si="2"/>
        <v>17.055208333333319</v>
      </c>
      <c r="I108" s="158">
        <f t="shared" si="2"/>
        <v>9.5103124999999995</v>
      </c>
      <c r="J108" s="158">
        <f t="shared" si="2"/>
        <v>2.1583333333333332</v>
      </c>
      <c r="K108" s="158">
        <f t="shared" si="2"/>
        <v>155.49072916666665</v>
      </c>
      <c r="L108" s="158">
        <f t="shared" si="2"/>
        <v>35.369375000000005</v>
      </c>
      <c r="M108" s="158">
        <f t="shared" si="2"/>
        <v>46.383645833333325</v>
      </c>
      <c r="N108" s="158">
        <f t="shared" si="2"/>
        <v>235.36250000000004</v>
      </c>
      <c r="O108" s="158">
        <f t="shared" si="2"/>
        <v>1.8749999999999999E-2</v>
      </c>
      <c r="P108" s="158">
        <f t="shared" si="2"/>
        <v>0.52124999999999999</v>
      </c>
      <c r="Q108" s="158">
        <f t="shared" si="2"/>
        <v>28.865208333333339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1.6951807723299606</v>
      </c>
      <c r="C109" s="158">
        <f t="shared" ref="C109:Q109" si="3">STDEV(C9:C104)</f>
        <v>2.964290209707598</v>
      </c>
      <c r="D109" s="158">
        <f t="shared" si="3"/>
        <v>2.7383774949456128</v>
      </c>
      <c r="E109" s="158">
        <f t="shared" si="3"/>
        <v>1.0210083970907671</v>
      </c>
      <c r="F109" s="158">
        <f t="shared" si="3"/>
        <v>12.457063239841222</v>
      </c>
      <c r="G109" s="158">
        <f t="shared" si="3"/>
        <v>15.336502906579122</v>
      </c>
      <c r="H109" s="158">
        <f t="shared" si="3"/>
        <v>3.9918970504515832</v>
      </c>
      <c r="I109" s="158">
        <f t="shared" si="3"/>
        <v>1.635883442717694</v>
      </c>
      <c r="J109" s="158">
        <f t="shared" si="3"/>
        <v>0.90407692577528975</v>
      </c>
      <c r="K109" s="158">
        <f t="shared" si="3"/>
        <v>74.960509031086303</v>
      </c>
      <c r="L109" s="158">
        <f t="shared" si="3"/>
        <v>3.9915117337985855</v>
      </c>
      <c r="M109" s="158">
        <f t="shared" si="3"/>
        <v>10.489321699989839</v>
      </c>
      <c r="N109" s="158">
        <f t="shared" si="3"/>
        <v>298.33998311710712</v>
      </c>
      <c r="O109" s="158">
        <f t="shared" si="3"/>
        <v>0.12675089535653863</v>
      </c>
      <c r="P109" s="158">
        <f t="shared" si="3"/>
        <v>0.10525407855580558</v>
      </c>
      <c r="Q109" s="158">
        <f t="shared" si="3"/>
        <v>0.29408548405153334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3" sqref="G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2160</v>
      </c>
      <c r="B9" s="100">
        <v>6.19</v>
      </c>
      <c r="C9" s="100">
        <v>21.49</v>
      </c>
      <c r="D9" s="100">
        <v>15.2</v>
      </c>
      <c r="E9" s="100">
        <v>6.34</v>
      </c>
      <c r="F9" s="100">
        <v>4.57</v>
      </c>
      <c r="G9" s="100">
        <v>63.86</v>
      </c>
      <c r="H9" s="100">
        <v>21.52</v>
      </c>
      <c r="I9" s="100">
        <v>12.62</v>
      </c>
      <c r="J9" s="100">
        <v>2.69</v>
      </c>
      <c r="K9" s="100">
        <v>121.37</v>
      </c>
      <c r="L9" s="100">
        <v>31.26</v>
      </c>
      <c r="M9" s="100">
        <v>52.68</v>
      </c>
      <c r="N9" s="100">
        <v>23.1</v>
      </c>
      <c r="O9" s="100">
        <v>0</v>
      </c>
      <c r="P9" s="100">
        <v>0.65</v>
      </c>
      <c r="Q9" s="100">
        <v>27.93</v>
      </c>
      <c r="R9" s="6"/>
      <c r="S9" s="6"/>
      <c r="T9" s="156"/>
      <c r="U9" s="6"/>
    </row>
    <row r="10" spans="1:21" customFormat="1">
      <c r="A10" s="163" t="s">
        <v>2161</v>
      </c>
      <c r="B10" s="100">
        <v>5.97</v>
      </c>
      <c r="C10" s="100">
        <v>19.86</v>
      </c>
      <c r="D10" s="100">
        <v>14.17</v>
      </c>
      <c r="E10" s="100">
        <v>6.48</v>
      </c>
      <c r="F10" s="100">
        <v>5.12</v>
      </c>
      <c r="G10" s="100">
        <v>63.86</v>
      </c>
      <c r="H10" s="100">
        <v>21.52</v>
      </c>
      <c r="I10" s="100">
        <v>13.48</v>
      </c>
      <c r="J10" s="100">
        <v>2.67</v>
      </c>
      <c r="K10" s="100">
        <v>140.61000000000001</v>
      </c>
      <c r="L10" s="100">
        <v>31.39</v>
      </c>
      <c r="M10" s="100">
        <v>53.77</v>
      </c>
      <c r="N10" s="100">
        <v>23.2</v>
      </c>
      <c r="O10" s="100">
        <v>0</v>
      </c>
      <c r="P10" s="100">
        <v>0.63</v>
      </c>
      <c r="Q10" s="100">
        <v>28.13</v>
      </c>
      <c r="R10" s="6"/>
      <c r="S10" s="6"/>
      <c r="T10" s="156"/>
      <c r="U10" s="6"/>
    </row>
    <row r="11" spans="1:21" customFormat="1">
      <c r="A11" s="163" t="s">
        <v>2162</v>
      </c>
      <c r="B11" s="100">
        <v>6.31</v>
      </c>
      <c r="C11" s="100">
        <v>17.3</v>
      </c>
      <c r="D11" s="100">
        <v>13.1</v>
      </c>
      <c r="E11" s="100">
        <v>6.31</v>
      </c>
      <c r="F11" s="100">
        <v>4.67</v>
      </c>
      <c r="G11" s="100">
        <v>63.86</v>
      </c>
      <c r="H11" s="100">
        <v>21.52</v>
      </c>
      <c r="I11" s="100">
        <v>13.8</v>
      </c>
      <c r="J11" s="100">
        <v>2.5</v>
      </c>
      <c r="K11" s="100">
        <v>138.37</v>
      </c>
      <c r="L11" s="100">
        <v>31.36</v>
      </c>
      <c r="M11" s="100">
        <v>53.33</v>
      </c>
      <c r="N11" s="100">
        <v>23.3</v>
      </c>
      <c r="O11" s="100">
        <v>0</v>
      </c>
      <c r="P11" s="100">
        <v>0.62</v>
      </c>
      <c r="Q11" s="100">
        <v>28.42</v>
      </c>
      <c r="R11" s="6"/>
      <c r="S11" s="6"/>
      <c r="T11" s="156"/>
      <c r="U11" s="6"/>
    </row>
    <row r="12" spans="1:21" customFormat="1">
      <c r="A12" s="163" t="s">
        <v>2163</v>
      </c>
      <c r="B12" s="100">
        <v>6.54</v>
      </c>
      <c r="C12" s="100">
        <v>18.7</v>
      </c>
      <c r="D12" s="100">
        <v>14.02</v>
      </c>
      <c r="E12" s="100">
        <v>6.64</v>
      </c>
      <c r="F12" s="100">
        <v>6.51</v>
      </c>
      <c r="G12" s="100">
        <v>65.56</v>
      </c>
      <c r="H12" s="100">
        <v>23.39</v>
      </c>
      <c r="I12" s="100">
        <v>13.57</v>
      </c>
      <c r="J12" s="100">
        <v>2.56</v>
      </c>
      <c r="K12" s="100">
        <v>96.51</v>
      </c>
      <c r="L12" s="100">
        <v>31.53</v>
      </c>
      <c r="M12" s="100">
        <v>52.69</v>
      </c>
      <c r="N12" s="100">
        <v>23</v>
      </c>
      <c r="O12" s="100">
        <v>0</v>
      </c>
      <c r="P12" s="100">
        <v>0.6</v>
      </c>
      <c r="Q12" s="100">
        <v>28.35</v>
      </c>
      <c r="R12" s="6"/>
      <c r="S12" s="6"/>
      <c r="T12" s="156"/>
      <c r="U12" s="6"/>
    </row>
    <row r="13" spans="1:21" customFormat="1">
      <c r="A13" s="163" t="s">
        <v>2164</v>
      </c>
      <c r="B13" s="100">
        <v>6.89</v>
      </c>
      <c r="C13" s="100">
        <v>17.34</v>
      </c>
      <c r="D13" s="100">
        <v>13.59</v>
      </c>
      <c r="E13" s="100">
        <v>6.42</v>
      </c>
      <c r="F13" s="100">
        <v>5.52</v>
      </c>
      <c r="G13" s="100">
        <v>71.94</v>
      </c>
      <c r="H13" s="100">
        <v>30.37</v>
      </c>
      <c r="I13" s="100">
        <v>13.06</v>
      </c>
      <c r="J13" s="100">
        <v>2.99</v>
      </c>
      <c r="K13" s="100">
        <v>104.77</v>
      </c>
      <c r="L13" s="100">
        <v>31.38</v>
      </c>
      <c r="M13" s="100">
        <v>52.07</v>
      </c>
      <c r="N13" s="100">
        <v>23.2</v>
      </c>
      <c r="O13" s="100">
        <v>0</v>
      </c>
      <c r="P13" s="100">
        <v>0.6</v>
      </c>
      <c r="Q13" s="100">
        <v>28.43</v>
      </c>
      <c r="R13" s="6"/>
      <c r="S13" s="6"/>
      <c r="T13" s="156"/>
      <c r="U13" s="6"/>
    </row>
    <row r="14" spans="1:21" customFormat="1">
      <c r="A14" s="163" t="s">
        <v>2165</v>
      </c>
      <c r="B14" s="100">
        <v>6.64</v>
      </c>
      <c r="C14" s="100">
        <v>17.28</v>
      </c>
      <c r="D14" s="100">
        <v>13.36</v>
      </c>
      <c r="E14" s="100">
        <v>7.2</v>
      </c>
      <c r="F14" s="100">
        <v>7.28</v>
      </c>
      <c r="G14" s="100">
        <v>71.94</v>
      </c>
      <c r="H14" s="100">
        <v>30.37</v>
      </c>
      <c r="I14" s="100">
        <v>13.13</v>
      </c>
      <c r="J14" s="100">
        <v>2.93</v>
      </c>
      <c r="K14" s="100">
        <v>114.35</v>
      </c>
      <c r="L14" s="100">
        <v>31.69</v>
      </c>
      <c r="M14" s="100">
        <v>50.84</v>
      </c>
      <c r="N14" s="100">
        <v>22.8</v>
      </c>
      <c r="O14" s="100">
        <v>0</v>
      </c>
      <c r="P14" s="100">
        <v>0.56000000000000005</v>
      </c>
      <c r="Q14" s="100">
        <v>28.41</v>
      </c>
      <c r="R14" s="6"/>
      <c r="S14" s="6"/>
      <c r="T14" s="156"/>
      <c r="U14" s="6"/>
    </row>
    <row r="15" spans="1:21" customFormat="1">
      <c r="A15" s="163" t="s">
        <v>2166</v>
      </c>
      <c r="B15" s="100">
        <v>6.34</v>
      </c>
      <c r="C15" s="100">
        <v>14.5</v>
      </c>
      <c r="D15" s="100">
        <v>11.66</v>
      </c>
      <c r="E15" s="100">
        <v>8.19</v>
      </c>
      <c r="F15" s="100">
        <v>7.71</v>
      </c>
      <c r="G15" s="100">
        <v>71.94</v>
      </c>
      <c r="H15" s="100">
        <v>30.37</v>
      </c>
      <c r="I15" s="100">
        <v>12.98</v>
      </c>
      <c r="J15" s="100">
        <v>3.35</v>
      </c>
      <c r="K15" s="100">
        <v>153.47999999999999</v>
      </c>
      <c r="L15" s="100">
        <v>31.68</v>
      </c>
      <c r="M15" s="100">
        <v>51.63</v>
      </c>
      <c r="N15" s="100">
        <v>23.1</v>
      </c>
      <c r="O15" s="100">
        <v>0</v>
      </c>
      <c r="P15" s="100">
        <v>0.56999999999999995</v>
      </c>
      <c r="Q15" s="100">
        <v>28.6</v>
      </c>
      <c r="R15" s="6"/>
      <c r="S15" s="6"/>
      <c r="T15" s="156"/>
      <c r="U15" s="6"/>
    </row>
    <row r="16" spans="1:21" customFormat="1">
      <c r="A16" s="163" t="s">
        <v>2167</v>
      </c>
      <c r="B16" s="100">
        <v>7.15</v>
      </c>
      <c r="C16" s="100">
        <v>14.91</v>
      </c>
      <c r="D16" s="100">
        <v>12.53</v>
      </c>
      <c r="E16" s="100">
        <v>6.8</v>
      </c>
      <c r="F16" s="100">
        <v>5.09</v>
      </c>
      <c r="G16" s="100">
        <v>73</v>
      </c>
      <c r="H16" s="100">
        <v>31.76</v>
      </c>
      <c r="I16" s="100">
        <v>12.69</v>
      </c>
      <c r="J16" s="100">
        <v>2.2200000000000002</v>
      </c>
      <c r="K16" s="100">
        <v>176.88</v>
      </c>
      <c r="L16" s="100">
        <v>31.28</v>
      </c>
      <c r="M16" s="100">
        <v>54.9</v>
      </c>
      <c r="N16" s="100">
        <v>23.4</v>
      </c>
      <c r="O16" s="100">
        <v>0</v>
      </c>
      <c r="P16" s="100">
        <v>0.57999999999999996</v>
      </c>
      <c r="Q16" s="100">
        <v>28.58</v>
      </c>
      <c r="R16" s="6"/>
      <c r="S16" s="6"/>
      <c r="T16" s="156"/>
      <c r="U16" s="6"/>
    </row>
    <row r="17" spans="1:21" customFormat="1">
      <c r="A17" s="163" t="s">
        <v>2168</v>
      </c>
      <c r="B17" s="100">
        <v>8.85</v>
      </c>
      <c r="C17" s="100">
        <v>17.97</v>
      </c>
      <c r="D17" s="100">
        <v>15.49</v>
      </c>
      <c r="E17" s="100">
        <v>6.37</v>
      </c>
      <c r="F17" s="100">
        <v>3</v>
      </c>
      <c r="G17" s="100">
        <v>76.92</v>
      </c>
      <c r="H17" s="100">
        <v>36.93</v>
      </c>
      <c r="I17" s="100">
        <v>12.71</v>
      </c>
      <c r="J17" s="100">
        <v>3.4</v>
      </c>
      <c r="K17" s="100">
        <v>254.37</v>
      </c>
      <c r="L17" s="100">
        <v>32.1</v>
      </c>
      <c r="M17" s="100">
        <v>61.97</v>
      </c>
      <c r="N17" s="100">
        <v>23.5</v>
      </c>
      <c r="O17" s="100">
        <v>0</v>
      </c>
      <c r="P17" s="100">
        <v>0.56999999999999995</v>
      </c>
      <c r="Q17" s="100">
        <v>28.26</v>
      </c>
      <c r="R17" s="6"/>
      <c r="S17" s="6"/>
      <c r="T17" s="156"/>
      <c r="U17" s="6"/>
    </row>
    <row r="18" spans="1:21" customFormat="1">
      <c r="A18" s="163" t="s">
        <v>2169</v>
      </c>
      <c r="B18" s="100">
        <v>9.89</v>
      </c>
      <c r="C18" s="100">
        <v>16.07</v>
      </c>
      <c r="D18" s="100">
        <v>15.33</v>
      </c>
      <c r="E18" s="100">
        <v>5.98</v>
      </c>
      <c r="F18" s="100">
        <v>2.6</v>
      </c>
      <c r="G18" s="100">
        <v>76.92</v>
      </c>
      <c r="H18" s="100">
        <v>36.93</v>
      </c>
      <c r="I18" s="100">
        <v>13.08</v>
      </c>
      <c r="J18" s="100">
        <v>3.87</v>
      </c>
      <c r="K18" s="100">
        <v>243.02</v>
      </c>
      <c r="L18" s="100">
        <v>32.049999999999997</v>
      </c>
      <c r="M18" s="100">
        <v>64.03</v>
      </c>
      <c r="N18" s="100">
        <v>23.7</v>
      </c>
      <c r="O18" s="100">
        <v>0</v>
      </c>
      <c r="P18" s="100">
        <v>0.57999999999999996</v>
      </c>
      <c r="Q18" s="100">
        <v>28.27</v>
      </c>
      <c r="R18" s="6"/>
      <c r="S18" s="6"/>
      <c r="T18" s="156"/>
      <c r="U18" s="6"/>
    </row>
    <row r="19" spans="1:21" customFormat="1">
      <c r="A19" s="163" t="s">
        <v>2170</v>
      </c>
      <c r="B19" s="100">
        <v>9.6999999999999993</v>
      </c>
      <c r="C19" s="100">
        <v>13.17</v>
      </c>
      <c r="D19" s="100">
        <v>13.67</v>
      </c>
      <c r="E19" s="100">
        <v>5.84</v>
      </c>
      <c r="F19" s="100">
        <v>5.13</v>
      </c>
      <c r="G19" s="100">
        <v>76.92</v>
      </c>
      <c r="H19" s="100">
        <v>36.93</v>
      </c>
      <c r="I19" s="100">
        <v>13.49</v>
      </c>
      <c r="J19" s="100">
        <v>4.1399999999999997</v>
      </c>
      <c r="K19" s="100">
        <v>240.31</v>
      </c>
      <c r="L19" s="100">
        <v>31.75</v>
      </c>
      <c r="M19" s="100">
        <v>58.56</v>
      </c>
      <c r="N19" s="100">
        <v>23.4</v>
      </c>
      <c r="O19" s="100">
        <v>0</v>
      </c>
      <c r="P19" s="100">
        <v>0.56999999999999995</v>
      </c>
      <c r="Q19" s="100">
        <v>28.5</v>
      </c>
      <c r="R19" s="6"/>
      <c r="S19" s="6"/>
      <c r="T19" s="156"/>
      <c r="U19" s="6"/>
    </row>
    <row r="20" spans="1:21" customFormat="1">
      <c r="A20" s="163" t="s">
        <v>2171</v>
      </c>
      <c r="B20" s="100">
        <v>8.65</v>
      </c>
      <c r="C20" s="100">
        <v>14.29</v>
      </c>
      <c r="D20" s="100">
        <v>13.41</v>
      </c>
      <c r="E20" s="100">
        <v>5.17</v>
      </c>
      <c r="F20" s="100">
        <v>5.6</v>
      </c>
      <c r="G20" s="100">
        <v>76.489999999999995</v>
      </c>
      <c r="H20" s="100">
        <v>36.46</v>
      </c>
      <c r="I20" s="100">
        <v>13.23</v>
      </c>
      <c r="J20" s="100">
        <v>3.6</v>
      </c>
      <c r="K20" s="100">
        <v>196.48</v>
      </c>
      <c r="L20" s="100">
        <v>31.67</v>
      </c>
      <c r="M20" s="100">
        <v>57.89</v>
      </c>
      <c r="N20" s="100">
        <v>23.3</v>
      </c>
      <c r="O20" s="100">
        <v>0</v>
      </c>
      <c r="P20" s="100">
        <v>0.56000000000000005</v>
      </c>
      <c r="Q20" s="100">
        <v>28.47</v>
      </c>
      <c r="R20" s="6"/>
      <c r="S20" s="6"/>
      <c r="T20" s="156"/>
      <c r="U20" s="6"/>
    </row>
    <row r="21" spans="1:21" customFormat="1">
      <c r="A21" s="163" t="s">
        <v>2172</v>
      </c>
      <c r="B21" s="100">
        <v>8.39</v>
      </c>
      <c r="C21" s="100">
        <v>13.35</v>
      </c>
      <c r="D21" s="100">
        <v>12.71</v>
      </c>
      <c r="E21" s="100">
        <v>5.39</v>
      </c>
      <c r="F21" s="100">
        <v>6.64</v>
      </c>
      <c r="G21" s="100">
        <v>74.86</v>
      </c>
      <c r="H21" s="100">
        <v>34.71</v>
      </c>
      <c r="I21" s="100">
        <v>12.74</v>
      </c>
      <c r="J21" s="100">
        <v>3.48</v>
      </c>
      <c r="K21" s="100">
        <v>195.69</v>
      </c>
      <c r="L21" s="100">
        <v>31.01</v>
      </c>
      <c r="M21" s="100">
        <v>59.4</v>
      </c>
      <c r="N21" s="100">
        <v>23.3</v>
      </c>
      <c r="O21" s="100">
        <v>0</v>
      </c>
      <c r="P21" s="100">
        <v>0.56999999999999995</v>
      </c>
      <c r="Q21" s="100">
        <v>28.56</v>
      </c>
      <c r="R21" s="6"/>
      <c r="S21" s="6"/>
      <c r="T21" s="156"/>
      <c r="U21" s="6"/>
    </row>
    <row r="22" spans="1:21" customFormat="1">
      <c r="A22" s="163" t="s">
        <v>2173</v>
      </c>
      <c r="B22" s="100">
        <v>8.59</v>
      </c>
      <c r="C22" s="100">
        <v>12.34</v>
      </c>
      <c r="D22" s="100">
        <v>12.34</v>
      </c>
      <c r="E22" s="100">
        <v>5.52</v>
      </c>
      <c r="F22" s="100">
        <v>5.63</v>
      </c>
      <c r="G22" s="100">
        <v>74.86</v>
      </c>
      <c r="H22" s="100">
        <v>34.71</v>
      </c>
      <c r="I22" s="100">
        <v>12.48</v>
      </c>
      <c r="J22" s="100">
        <v>3.68</v>
      </c>
      <c r="K22" s="100">
        <v>193.56</v>
      </c>
      <c r="L22" s="100">
        <v>30.83</v>
      </c>
      <c r="M22" s="100">
        <v>59.22</v>
      </c>
      <c r="N22" s="100">
        <v>23.3</v>
      </c>
      <c r="O22" s="100">
        <v>0</v>
      </c>
      <c r="P22" s="100">
        <v>0.57999999999999996</v>
      </c>
      <c r="Q22" s="100">
        <v>28.67</v>
      </c>
      <c r="R22" s="6"/>
      <c r="S22" s="6"/>
      <c r="T22" s="156"/>
      <c r="U22" s="6"/>
    </row>
    <row r="23" spans="1:21" customFormat="1">
      <c r="A23" s="163" t="s">
        <v>2174</v>
      </c>
      <c r="B23" s="100">
        <v>8.36</v>
      </c>
      <c r="C23" s="100">
        <v>11.99</v>
      </c>
      <c r="D23" s="100">
        <v>11.98</v>
      </c>
      <c r="E23" s="100">
        <v>5.59</v>
      </c>
      <c r="F23" s="100">
        <v>5.17</v>
      </c>
      <c r="G23" s="100">
        <v>74.86</v>
      </c>
      <c r="H23" s="100">
        <v>34.71</v>
      </c>
      <c r="I23" s="100">
        <v>12.79</v>
      </c>
      <c r="J23" s="100">
        <v>3.8</v>
      </c>
      <c r="K23" s="100">
        <v>213.66</v>
      </c>
      <c r="L23" s="100">
        <v>30.8</v>
      </c>
      <c r="M23" s="100">
        <v>58.22</v>
      </c>
      <c r="N23" s="100">
        <v>23</v>
      </c>
      <c r="O23" s="100">
        <v>0</v>
      </c>
      <c r="P23" s="100">
        <v>0.59</v>
      </c>
      <c r="Q23" s="100">
        <v>28.7</v>
      </c>
      <c r="R23" s="6"/>
      <c r="S23" s="6"/>
      <c r="T23" s="156"/>
      <c r="U23" s="6"/>
    </row>
    <row r="24" spans="1:21" customFormat="1">
      <c r="A24" s="163" t="s">
        <v>2175</v>
      </c>
      <c r="B24" s="100">
        <v>8.61</v>
      </c>
      <c r="C24" s="100">
        <v>12.13</v>
      </c>
      <c r="D24" s="100">
        <v>12.25</v>
      </c>
      <c r="E24" s="100">
        <v>5.4</v>
      </c>
      <c r="F24" s="100">
        <v>4.75</v>
      </c>
      <c r="G24" s="100">
        <v>72.63</v>
      </c>
      <c r="H24" s="100">
        <v>33.840000000000003</v>
      </c>
      <c r="I24" s="100">
        <v>13.06</v>
      </c>
      <c r="J24" s="100">
        <v>4.21</v>
      </c>
      <c r="K24" s="100">
        <v>220.73</v>
      </c>
      <c r="L24" s="100">
        <v>30.92</v>
      </c>
      <c r="M24" s="100">
        <v>54.99</v>
      </c>
      <c r="N24" s="100">
        <v>23</v>
      </c>
      <c r="O24" s="100">
        <v>0</v>
      </c>
      <c r="P24" s="100">
        <v>0.57999999999999996</v>
      </c>
      <c r="Q24" s="100">
        <v>28.73</v>
      </c>
      <c r="R24" s="6"/>
      <c r="S24" s="6"/>
      <c r="T24" s="156"/>
      <c r="U24" s="6"/>
    </row>
    <row r="25" spans="1:21" customFormat="1">
      <c r="A25" s="163" t="s">
        <v>2176</v>
      </c>
      <c r="B25" s="100">
        <v>8.9600000000000009</v>
      </c>
      <c r="C25" s="100">
        <v>15.95</v>
      </c>
      <c r="D25" s="100">
        <v>14.53</v>
      </c>
      <c r="E25" s="100">
        <v>5.35</v>
      </c>
      <c r="F25" s="100">
        <v>3.45</v>
      </c>
      <c r="G25" s="100">
        <v>64.33</v>
      </c>
      <c r="H25" s="100">
        <v>30.61</v>
      </c>
      <c r="I25" s="100">
        <v>13.04</v>
      </c>
      <c r="J25" s="100">
        <v>4.46</v>
      </c>
      <c r="K25" s="100">
        <v>224.98</v>
      </c>
      <c r="L25" s="100">
        <v>30.91</v>
      </c>
      <c r="M25" s="100">
        <v>53.74</v>
      </c>
      <c r="N25" s="100">
        <v>23.1</v>
      </c>
      <c r="O25" s="100">
        <v>0</v>
      </c>
      <c r="P25" s="100">
        <v>0.57999999999999996</v>
      </c>
      <c r="Q25" s="100">
        <v>28.61</v>
      </c>
      <c r="R25" s="6"/>
      <c r="S25" s="6"/>
      <c r="T25" s="156"/>
      <c r="U25" s="6"/>
    </row>
    <row r="26" spans="1:21" customFormat="1">
      <c r="A26" s="163" t="s">
        <v>2177</v>
      </c>
      <c r="B26" s="100">
        <v>8.67</v>
      </c>
      <c r="C26" s="100">
        <v>16.43</v>
      </c>
      <c r="D26" s="100">
        <v>14.54</v>
      </c>
      <c r="E26" s="100">
        <v>5.53</v>
      </c>
      <c r="F26" s="100">
        <v>3.54</v>
      </c>
      <c r="G26" s="100">
        <v>64.33</v>
      </c>
      <c r="H26" s="100">
        <v>30.61</v>
      </c>
      <c r="I26" s="100">
        <v>12.96</v>
      </c>
      <c r="J26" s="100">
        <v>3.93</v>
      </c>
      <c r="K26" s="100">
        <v>224.72</v>
      </c>
      <c r="L26" s="100">
        <v>30.92</v>
      </c>
      <c r="M26" s="100">
        <v>53.03</v>
      </c>
      <c r="N26" s="100">
        <v>23</v>
      </c>
      <c r="O26" s="100">
        <v>0</v>
      </c>
      <c r="P26" s="100">
        <v>0.56000000000000005</v>
      </c>
      <c r="Q26" s="100">
        <v>28.64</v>
      </c>
      <c r="R26" s="6"/>
      <c r="S26" s="6"/>
      <c r="T26" s="156"/>
      <c r="U26" s="6"/>
    </row>
    <row r="27" spans="1:21" customFormat="1">
      <c r="A27" s="163" t="s">
        <v>2178</v>
      </c>
      <c r="B27" s="100">
        <v>8.07</v>
      </c>
      <c r="C27" s="100">
        <v>13.17</v>
      </c>
      <c r="D27" s="100">
        <v>12.36</v>
      </c>
      <c r="E27" s="100">
        <v>5.14</v>
      </c>
      <c r="F27" s="100">
        <v>5.45</v>
      </c>
      <c r="G27" s="100">
        <v>64.33</v>
      </c>
      <c r="H27" s="100">
        <v>30.61</v>
      </c>
      <c r="I27" s="100">
        <v>12.92</v>
      </c>
      <c r="J27" s="100">
        <v>3.18</v>
      </c>
      <c r="K27" s="100">
        <v>206.68</v>
      </c>
      <c r="L27" s="100">
        <v>31.06</v>
      </c>
      <c r="M27" s="100">
        <v>52.97</v>
      </c>
      <c r="N27" s="100">
        <v>23</v>
      </c>
      <c r="O27" s="100">
        <v>0</v>
      </c>
      <c r="P27" s="100">
        <v>0.54</v>
      </c>
      <c r="Q27" s="100">
        <v>28.83</v>
      </c>
      <c r="R27" s="6"/>
      <c r="S27" s="6"/>
      <c r="T27" s="156"/>
      <c r="U27" s="6"/>
    </row>
    <row r="28" spans="1:21" customFormat="1">
      <c r="A28" s="163" t="s">
        <v>2179</v>
      </c>
      <c r="B28" s="100">
        <v>7.47</v>
      </c>
      <c r="C28" s="100">
        <v>12.77</v>
      </c>
      <c r="D28" s="100">
        <v>11.67</v>
      </c>
      <c r="E28" s="100">
        <v>5.57</v>
      </c>
      <c r="F28" s="100">
        <v>8.99</v>
      </c>
      <c r="G28" s="100">
        <v>61.47</v>
      </c>
      <c r="H28" s="100">
        <v>29.42</v>
      </c>
      <c r="I28" s="100">
        <v>12.76</v>
      </c>
      <c r="J28" s="100">
        <v>3.25</v>
      </c>
      <c r="K28" s="100">
        <v>177.03</v>
      </c>
      <c r="L28" s="100">
        <v>31.23</v>
      </c>
      <c r="M28" s="100">
        <v>53.82</v>
      </c>
      <c r="N28" s="100">
        <v>22.8</v>
      </c>
      <c r="O28" s="100">
        <v>0</v>
      </c>
      <c r="P28" s="100">
        <v>0.5</v>
      </c>
      <c r="Q28" s="100">
        <v>28.84</v>
      </c>
      <c r="R28" s="6"/>
      <c r="S28" s="6"/>
      <c r="T28" s="156"/>
      <c r="U28" s="6"/>
    </row>
    <row r="29" spans="1:21" customFormat="1">
      <c r="A29" s="163" t="s">
        <v>2180</v>
      </c>
      <c r="B29" s="100">
        <v>7.73</v>
      </c>
      <c r="C29" s="100">
        <v>12.22</v>
      </c>
      <c r="D29" s="100">
        <v>11.59</v>
      </c>
      <c r="E29" s="100">
        <v>5.88</v>
      </c>
      <c r="F29" s="100">
        <v>5.5</v>
      </c>
      <c r="G29" s="100">
        <v>50.79</v>
      </c>
      <c r="H29" s="100">
        <v>24.98</v>
      </c>
      <c r="I29" s="100">
        <v>12.3</v>
      </c>
      <c r="J29" s="100">
        <v>2.76</v>
      </c>
      <c r="K29" s="100">
        <v>204.56</v>
      </c>
      <c r="L29" s="100">
        <v>30.97</v>
      </c>
      <c r="M29" s="100">
        <v>55.6</v>
      </c>
      <c r="N29" s="100">
        <v>23.9</v>
      </c>
      <c r="O29" s="100">
        <v>0</v>
      </c>
      <c r="P29" s="100">
        <v>0.57999999999999996</v>
      </c>
      <c r="Q29" s="100">
        <v>28.87</v>
      </c>
      <c r="R29" s="6"/>
      <c r="S29" s="6"/>
      <c r="T29" s="156"/>
      <c r="U29" s="6"/>
    </row>
    <row r="30" spans="1:21" customFormat="1">
      <c r="A30" s="163" t="s">
        <v>2181</v>
      </c>
      <c r="B30" s="100">
        <v>7.78</v>
      </c>
      <c r="C30" s="100">
        <v>16.12</v>
      </c>
      <c r="D30" s="100">
        <v>13.66</v>
      </c>
      <c r="E30" s="100">
        <v>6.75</v>
      </c>
      <c r="F30" s="100">
        <v>6.54</v>
      </c>
      <c r="G30" s="100">
        <v>50.79</v>
      </c>
      <c r="H30" s="100">
        <v>24.98</v>
      </c>
      <c r="I30" s="100">
        <v>11.99</v>
      </c>
      <c r="J30" s="100">
        <v>2.0299999999999998</v>
      </c>
      <c r="K30" s="100">
        <v>50.71</v>
      </c>
      <c r="L30" s="100">
        <v>31.29</v>
      </c>
      <c r="M30" s="100">
        <v>57.83</v>
      </c>
      <c r="N30" s="100">
        <v>28.1</v>
      </c>
      <c r="O30" s="100">
        <v>0</v>
      </c>
      <c r="P30" s="100">
        <v>0.6</v>
      </c>
      <c r="Q30" s="100">
        <v>28.64</v>
      </c>
      <c r="R30" s="6"/>
      <c r="S30" s="6"/>
      <c r="T30" s="156"/>
      <c r="U30" s="6"/>
    </row>
    <row r="31" spans="1:21" customFormat="1">
      <c r="A31" s="163" t="s">
        <v>2182</v>
      </c>
      <c r="B31" s="100">
        <v>7.2</v>
      </c>
      <c r="C31" s="100">
        <v>13.1</v>
      </c>
      <c r="D31" s="100">
        <v>11.62</v>
      </c>
      <c r="E31" s="100">
        <v>6.89</v>
      </c>
      <c r="F31" s="100">
        <v>8.07</v>
      </c>
      <c r="G31" s="100">
        <v>50.79</v>
      </c>
      <c r="H31" s="100">
        <v>24.98</v>
      </c>
      <c r="I31" s="100">
        <v>12.03</v>
      </c>
      <c r="J31" s="100">
        <v>2.54</v>
      </c>
      <c r="K31" s="100">
        <v>353.31</v>
      </c>
      <c r="L31" s="100">
        <v>31.67</v>
      </c>
      <c r="M31" s="100">
        <v>57.22</v>
      </c>
      <c r="N31" s="100">
        <v>39.799999999999997</v>
      </c>
      <c r="O31" s="100">
        <v>0</v>
      </c>
      <c r="P31" s="100">
        <v>0.57999999999999996</v>
      </c>
      <c r="Q31" s="100">
        <v>28.78</v>
      </c>
      <c r="R31" s="6"/>
      <c r="S31" s="6"/>
      <c r="T31" s="156"/>
      <c r="U31" s="6"/>
    </row>
    <row r="32" spans="1:21" customFormat="1">
      <c r="A32" s="163" t="s">
        <v>2183</v>
      </c>
      <c r="B32" s="100">
        <v>7.02</v>
      </c>
      <c r="C32" s="100">
        <v>12.67</v>
      </c>
      <c r="D32" s="100">
        <v>11.26</v>
      </c>
      <c r="E32" s="100">
        <v>6.76</v>
      </c>
      <c r="F32" s="100">
        <v>8.19</v>
      </c>
      <c r="G32" s="100">
        <v>49.72</v>
      </c>
      <c r="H32" s="100">
        <v>24.22</v>
      </c>
      <c r="I32" s="100">
        <v>11.74</v>
      </c>
      <c r="J32" s="100">
        <v>1.32</v>
      </c>
      <c r="K32" s="100">
        <v>90.78</v>
      </c>
      <c r="L32" s="100">
        <v>31.29</v>
      </c>
      <c r="M32" s="100">
        <v>58.87</v>
      </c>
      <c r="N32" s="100">
        <v>59</v>
      </c>
      <c r="O32" s="100">
        <v>0</v>
      </c>
      <c r="P32" s="100">
        <v>0.59</v>
      </c>
      <c r="Q32" s="100">
        <v>28.79</v>
      </c>
      <c r="R32" s="6"/>
      <c r="S32" s="6"/>
      <c r="T32" s="156"/>
      <c r="U32" s="6"/>
    </row>
    <row r="33" spans="1:21" customFormat="1">
      <c r="A33" s="163" t="s">
        <v>2184</v>
      </c>
      <c r="B33" s="100">
        <v>6.98</v>
      </c>
      <c r="C33" s="100">
        <v>12.45</v>
      </c>
      <c r="D33" s="100">
        <v>11.11</v>
      </c>
      <c r="E33" s="100">
        <v>6.41</v>
      </c>
      <c r="F33" s="100">
        <v>7.56</v>
      </c>
      <c r="G33" s="100">
        <v>45.73</v>
      </c>
      <c r="H33" s="100">
        <v>21.38</v>
      </c>
      <c r="I33" s="100">
        <v>11.32</v>
      </c>
      <c r="J33" s="100">
        <v>2.34</v>
      </c>
      <c r="K33" s="100">
        <v>149.94999999999999</v>
      </c>
      <c r="L33" s="100">
        <v>31.76</v>
      </c>
      <c r="M33" s="100">
        <v>58.89</v>
      </c>
      <c r="N33" s="100">
        <v>75.5</v>
      </c>
      <c r="O33" s="100">
        <v>0</v>
      </c>
      <c r="P33" s="100">
        <v>0.56999999999999995</v>
      </c>
      <c r="Q33" s="100">
        <v>28.84</v>
      </c>
      <c r="R33" s="6"/>
      <c r="S33" s="6"/>
      <c r="T33" s="156"/>
      <c r="U33" s="6"/>
    </row>
    <row r="34" spans="1:21" customFormat="1">
      <c r="A34" s="163" t="s">
        <v>2185</v>
      </c>
      <c r="B34" s="100">
        <v>6.84</v>
      </c>
      <c r="C34" s="100">
        <v>11.64</v>
      </c>
      <c r="D34" s="100">
        <v>10.57</v>
      </c>
      <c r="E34" s="100">
        <v>6.96</v>
      </c>
      <c r="F34" s="100">
        <v>9.08</v>
      </c>
      <c r="G34" s="100">
        <v>45.73</v>
      </c>
      <c r="H34" s="100">
        <v>21.38</v>
      </c>
      <c r="I34" s="100">
        <v>11.2</v>
      </c>
      <c r="J34" s="100">
        <v>1.8</v>
      </c>
      <c r="K34" s="100">
        <v>213.54</v>
      </c>
      <c r="L34" s="100">
        <v>32.299999999999997</v>
      </c>
      <c r="M34" s="100">
        <v>56.28</v>
      </c>
      <c r="N34" s="100">
        <v>87.4</v>
      </c>
      <c r="O34" s="100">
        <v>0</v>
      </c>
      <c r="P34" s="100">
        <v>0.57999999999999996</v>
      </c>
      <c r="Q34" s="100">
        <v>28.9</v>
      </c>
      <c r="R34" s="6"/>
      <c r="S34" s="6"/>
      <c r="T34" s="156"/>
      <c r="U34" s="6"/>
    </row>
    <row r="35" spans="1:21" customFormat="1">
      <c r="A35" s="163" t="s">
        <v>2186</v>
      </c>
      <c r="B35" s="100">
        <v>7.06</v>
      </c>
      <c r="C35" s="100">
        <v>11.83</v>
      </c>
      <c r="D35" s="100">
        <v>10.84</v>
      </c>
      <c r="E35" s="100">
        <v>6.46</v>
      </c>
      <c r="F35" s="100">
        <v>7.25</v>
      </c>
      <c r="G35" s="100">
        <v>45.73</v>
      </c>
      <c r="H35" s="100">
        <v>21.38</v>
      </c>
      <c r="I35" s="100">
        <v>11.29</v>
      </c>
      <c r="J35" s="100">
        <v>1.28</v>
      </c>
      <c r="K35" s="100">
        <v>195.59</v>
      </c>
      <c r="L35" s="100">
        <v>32.35</v>
      </c>
      <c r="M35" s="100">
        <v>55.88</v>
      </c>
      <c r="N35" s="100">
        <v>92.1</v>
      </c>
      <c r="O35" s="100">
        <v>0</v>
      </c>
      <c r="P35" s="100">
        <v>0.57999999999999996</v>
      </c>
      <c r="Q35" s="100">
        <v>28.86</v>
      </c>
      <c r="R35" s="6"/>
      <c r="S35" s="6"/>
      <c r="T35" s="156"/>
      <c r="U35" s="6"/>
    </row>
    <row r="36" spans="1:21" customFormat="1">
      <c r="A36" s="163" t="s">
        <v>2187</v>
      </c>
      <c r="B36" s="100">
        <v>6.99</v>
      </c>
      <c r="C36" s="100">
        <v>11.57</v>
      </c>
      <c r="D36" s="100">
        <v>10.66</v>
      </c>
      <c r="E36" s="100">
        <v>6.55</v>
      </c>
      <c r="F36" s="100">
        <v>8.33</v>
      </c>
      <c r="G36" s="100">
        <v>46</v>
      </c>
      <c r="H36" s="100">
        <v>21.37</v>
      </c>
      <c r="I36" s="100">
        <v>11.3</v>
      </c>
      <c r="J36" s="100">
        <v>2.2799999999999998</v>
      </c>
      <c r="K36" s="100">
        <v>199.18</v>
      </c>
      <c r="L36" s="100">
        <v>32.36</v>
      </c>
      <c r="M36" s="100">
        <v>55.3</v>
      </c>
      <c r="N36" s="100">
        <v>115.1</v>
      </c>
      <c r="O36" s="100">
        <v>0</v>
      </c>
      <c r="P36" s="100">
        <v>0.56999999999999995</v>
      </c>
      <c r="Q36" s="100">
        <v>28.88</v>
      </c>
      <c r="R36" s="6"/>
      <c r="S36" s="6"/>
      <c r="T36" s="156"/>
      <c r="U36" s="6"/>
    </row>
    <row r="37" spans="1:21" customFormat="1">
      <c r="A37" s="163" t="s">
        <v>2188</v>
      </c>
      <c r="B37" s="100">
        <v>7.22</v>
      </c>
      <c r="C37" s="100">
        <v>11.82</v>
      </c>
      <c r="D37" s="100">
        <v>10.97</v>
      </c>
      <c r="E37" s="100">
        <v>6.8</v>
      </c>
      <c r="F37" s="100">
        <v>5.58</v>
      </c>
      <c r="G37" s="100">
        <v>47.02</v>
      </c>
      <c r="H37" s="100">
        <v>21.32</v>
      </c>
      <c r="I37" s="100">
        <v>11.41</v>
      </c>
      <c r="J37" s="100">
        <v>3.49</v>
      </c>
      <c r="K37" s="100">
        <v>212.95</v>
      </c>
      <c r="L37" s="100">
        <v>32.5</v>
      </c>
      <c r="M37" s="100">
        <v>54.79</v>
      </c>
      <c r="N37" s="100">
        <v>115.8</v>
      </c>
      <c r="O37" s="100">
        <v>0</v>
      </c>
      <c r="P37" s="100">
        <v>0.57999999999999996</v>
      </c>
      <c r="Q37" s="100">
        <v>28.84</v>
      </c>
      <c r="R37" s="6"/>
      <c r="S37" s="6"/>
      <c r="T37" s="156"/>
      <c r="U37" s="6"/>
    </row>
    <row r="38" spans="1:21" customFormat="1">
      <c r="A38" s="163" t="s">
        <v>2189</v>
      </c>
      <c r="B38" s="100">
        <v>7.4</v>
      </c>
      <c r="C38" s="100">
        <v>14.39</v>
      </c>
      <c r="D38" s="100">
        <v>12.46</v>
      </c>
      <c r="E38" s="100">
        <v>6.62</v>
      </c>
      <c r="F38" s="100">
        <v>5.18</v>
      </c>
      <c r="G38" s="100">
        <v>47.02</v>
      </c>
      <c r="H38" s="100">
        <v>21.32</v>
      </c>
      <c r="I38" s="100">
        <v>11.34</v>
      </c>
      <c r="J38" s="100">
        <v>3.46</v>
      </c>
      <c r="K38" s="100">
        <v>219.19</v>
      </c>
      <c r="L38" s="100">
        <v>32.69</v>
      </c>
      <c r="M38" s="100">
        <v>55.22</v>
      </c>
      <c r="N38" s="100">
        <v>135.6</v>
      </c>
      <c r="O38" s="100">
        <v>0</v>
      </c>
      <c r="P38" s="100">
        <v>0.59</v>
      </c>
      <c r="Q38" s="100">
        <v>28.78</v>
      </c>
      <c r="R38" s="6"/>
      <c r="S38" s="6"/>
      <c r="T38" s="156"/>
      <c r="U38" s="6"/>
    </row>
    <row r="39" spans="1:21" customFormat="1">
      <c r="A39" s="163" t="s">
        <v>2190</v>
      </c>
      <c r="B39" s="100">
        <v>7.4</v>
      </c>
      <c r="C39" s="100">
        <v>14.54</v>
      </c>
      <c r="D39" s="100">
        <v>12.54</v>
      </c>
      <c r="E39" s="100">
        <v>6.32</v>
      </c>
      <c r="F39" s="100">
        <v>4.9400000000000004</v>
      </c>
      <c r="G39" s="100">
        <v>47.02</v>
      </c>
      <c r="H39" s="100">
        <v>21.32</v>
      </c>
      <c r="I39" s="100">
        <v>11.35</v>
      </c>
      <c r="J39" s="100">
        <v>3.95</v>
      </c>
      <c r="K39" s="100">
        <v>216.88</v>
      </c>
      <c r="L39" s="100">
        <v>33.14</v>
      </c>
      <c r="M39" s="100">
        <v>54.23</v>
      </c>
      <c r="N39" s="100">
        <v>206.6</v>
      </c>
      <c r="O39" s="100">
        <v>0</v>
      </c>
      <c r="P39" s="100">
        <v>0.56999999999999995</v>
      </c>
      <c r="Q39" s="100">
        <v>28.8</v>
      </c>
      <c r="R39" s="6"/>
      <c r="S39" s="6"/>
      <c r="T39" s="156"/>
      <c r="U39" s="6"/>
    </row>
    <row r="40" spans="1:21" customFormat="1">
      <c r="A40" s="163" t="s">
        <v>2191</v>
      </c>
      <c r="B40" s="100">
        <v>7.19</v>
      </c>
      <c r="C40" s="100">
        <v>12.89</v>
      </c>
      <c r="D40" s="100">
        <v>11.51</v>
      </c>
      <c r="E40" s="100">
        <v>6.65</v>
      </c>
      <c r="F40" s="100">
        <v>7.68</v>
      </c>
      <c r="G40" s="100">
        <v>46.84</v>
      </c>
      <c r="H40" s="100">
        <v>20.68</v>
      </c>
      <c r="I40" s="100">
        <v>11.59</v>
      </c>
      <c r="J40" s="100">
        <v>3.44</v>
      </c>
      <c r="K40" s="100">
        <v>198.46</v>
      </c>
      <c r="L40" s="100">
        <v>33.700000000000003</v>
      </c>
      <c r="M40" s="100">
        <v>52.91</v>
      </c>
      <c r="N40" s="100">
        <v>206.6</v>
      </c>
      <c r="O40" s="100">
        <v>0</v>
      </c>
      <c r="P40" s="100">
        <v>0.56999999999999995</v>
      </c>
      <c r="Q40" s="100">
        <v>28.88</v>
      </c>
      <c r="R40" s="6"/>
      <c r="S40" s="6"/>
      <c r="T40" s="156"/>
      <c r="U40" s="6"/>
    </row>
    <row r="41" spans="1:21" customFormat="1">
      <c r="A41" s="163" t="s">
        <v>2192</v>
      </c>
      <c r="B41" s="100">
        <v>6.99</v>
      </c>
      <c r="C41" s="100">
        <v>10.42</v>
      </c>
      <c r="D41" s="100">
        <v>10.050000000000001</v>
      </c>
      <c r="E41" s="100">
        <v>6.42</v>
      </c>
      <c r="F41" s="100">
        <v>6.37</v>
      </c>
      <c r="G41" s="100">
        <v>46.15</v>
      </c>
      <c r="H41" s="100">
        <v>18.29</v>
      </c>
      <c r="I41" s="100">
        <v>11.53</v>
      </c>
      <c r="J41" s="100">
        <v>4.17</v>
      </c>
      <c r="K41" s="100">
        <v>248.11</v>
      </c>
      <c r="L41" s="100">
        <v>33.549999999999997</v>
      </c>
      <c r="M41" s="100">
        <v>53.67</v>
      </c>
      <c r="N41" s="100">
        <v>244.5</v>
      </c>
      <c r="O41" s="100">
        <v>0</v>
      </c>
      <c r="P41" s="100">
        <v>0.56999999999999995</v>
      </c>
      <c r="Q41" s="100">
        <v>29.02</v>
      </c>
      <c r="R41" s="6"/>
      <c r="S41" s="6"/>
      <c r="T41" s="156"/>
      <c r="U41" s="6"/>
    </row>
    <row r="42" spans="1:21" customFormat="1">
      <c r="A42" s="163" t="s">
        <v>2193</v>
      </c>
      <c r="B42" s="100">
        <v>7</v>
      </c>
      <c r="C42" s="100">
        <v>11.37</v>
      </c>
      <c r="D42" s="100">
        <v>10.56</v>
      </c>
      <c r="E42" s="100">
        <v>6.6</v>
      </c>
      <c r="F42" s="100">
        <v>5.77</v>
      </c>
      <c r="G42" s="100">
        <v>46.15</v>
      </c>
      <c r="H42" s="100">
        <v>18.29</v>
      </c>
      <c r="I42" s="100">
        <v>11.5</v>
      </c>
      <c r="J42" s="100">
        <v>4.09</v>
      </c>
      <c r="K42" s="100">
        <v>238.07</v>
      </c>
      <c r="L42" s="100">
        <v>33.47</v>
      </c>
      <c r="M42" s="100">
        <v>54.6</v>
      </c>
      <c r="N42" s="100">
        <v>335.1</v>
      </c>
      <c r="O42" s="100">
        <v>0</v>
      </c>
      <c r="P42" s="100">
        <v>0.56999999999999995</v>
      </c>
      <c r="Q42" s="100">
        <v>28.95</v>
      </c>
      <c r="R42" s="6"/>
      <c r="S42" s="6"/>
      <c r="T42" s="156"/>
      <c r="U42" s="6"/>
    </row>
    <row r="43" spans="1:21" customFormat="1">
      <c r="A43" s="163" t="s">
        <v>2194</v>
      </c>
      <c r="B43" s="100">
        <v>7.27</v>
      </c>
      <c r="C43" s="100">
        <v>12.84</v>
      </c>
      <c r="D43" s="100">
        <v>11.55</v>
      </c>
      <c r="E43" s="100">
        <v>6.08</v>
      </c>
      <c r="F43" s="100">
        <v>4.97</v>
      </c>
      <c r="G43" s="100">
        <v>46.15</v>
      </c>
      <c r="H43" s="100">
        <v>18.29</v>
      </c>
      <c r="I43" s="100">
        <v>11.43</v>
      </c>
      <c r="J43" s="100">
        <v>4.51</v>
      </c>
      <c r="K43" s="100">
        <v>245.23</v>
      </c>
      <c r="L43" s="100">
        <v>33.65</v>
      </c>
      <c r="M43" s="100">
        <v>53.54</v>
      </c>
      <c r="N43" s="100">
        <v>339</v>
      </c>
      <c r="O43" s="100">
        <v>0</v>
      </c>
      <c r="P43" s="100">
        <v>0.57999999999999996</v>
      </c>
      <c r="Q43" s="100">
        <v>28.89</v>
      </c>
      <c r="R43" s="6"/>
      <c r="S43" s="6"/>
      <c r="T43" s="156"/>
      <c r="U43" s="6"/>
    </row>
    <row r="44" spans="1:21" customFormat="1">
      <c r="A44" s="163" t="s">
        <v>2195</v>
      </c>
      <c r="B44" s="100">
        <v>6.63</v>
      </c>
      <c r="C44" s="100">
        <v>11.66</v>
      </c>
      <c r="D44" s="100">
        <v>10.41</v>
      </c>
      <c r="E44" s="100">
        <v>6.5</v>
      </c>
      <c r="F44" s="100">
        <v>8.09</v>
      </c>
      <c r="G44" s="100">
        <v>45.78</v>
      </c>
      <c r="H44" s="100">
        <v>18.46</v>
      </c>
      <c r="I44" s="100">
        <v>11.66</v>
      </c>
      <c r="J44" s="100">
        <v>4.0999999999999996</v>
      </c>
      <c r="K44" s="100">
        <v>218.91</v>
      </c>
      <c r="L44" s="100">
        <v>34.340000000000003</v>
      </c>
      <c r="M44" s="100">
        <v>51.56</v>
      </c>
      <c r="N44" s="100">
        <v>549.29999999999995</v>
      </c>
      <c r="O44" s="100">
        <v>0</v>
      </c>
      <c r="P44" s="100">
        <v>0.56000000000000005</v>
      </c>
      <c r="Q44" s="100">
        <v>28.96</v>
      </c>
      <c r="R44" s="6"/>
      <c r="S44" s="6"/>
      <c r="T44" s="156"/>
      <c r="U44" s="6"/>
    </row>
    <row r="45" spans="1:21" customFormat="1">
      <c r="A45" s="163" t="s">
        <v>2196</v>
      </c>
      <c r="B45" s="100">
        <v>5.97</v>
      </c>
      <c r="C45" s="100">
        <v>11.77</v>
      </c>
      <c r="D45" s="100">
        <v>9.94</v>
      </c>
      <c r="E45" s="100">
        <v>6.16</v>
      </c>
      <c r="F45" s="100">
        <v>7.14</v>
      </c>
      <c r="G45" s="100">
        <v>44.28</v>
      </c>
      <c r="H45" s="100">
        <v>19.149999999999999</v>
      </c>
      <c r="I45" s="100">
        <v>11.67</v>
      </c>
      <c r="J45" s="100">
        <v>4.32</v>
      </c>
      <c r="K45" s="100">
        <v>236.52</v>
      </c>
      <c r="L45" s="100">
        <v>35.74</v>
      </c>
      <c r="M45" s="100">
        <v>50.44</v>
      </c>
      <c r="N45" s="100">
        <v>275.3</v>
      </c>
      <c r="O45" s="100">
        <v>0</v>
      </c>
      <c r="P45" s="100">
        <v>0.57999999999999996</v>
      </c>
      <c r="Q45" s="100">
        <v>28.99</v>
      </c>
      <c r="R45" s="6"/>
      <c r="S45" s="6"/>
      <c r="T45" s="156"/>
      <c r="U45" s="6"/>
    </row>
    <row r="46" spans="1:21" customFormat="1">
      <c r="A46" s="163" t="s">
        <v>2197</v>
      </c>
      <c r="B46" s="100">
        <v>5.45</v>
      </c>
      <c r="C46" s="100">
        <v>11.39</v>
      </c>
      <c r="D46" s="100">
        <v>9.32</v>
      </c>
      <c r="E46" s="100">
        <v>6.2</v>
      </c>
      <c r="F46" s="100">
        <v>5.21</v>
      </c>
      <c r="G46" s="100">
        <v>44.28</v>
      </c>
      <c r="H46" s="100">
        <v>19.149999999999999</v>
      </c>
      <c r="I46" s="100">
        <v>11.4</v>
      </c>
      <c r="J46" s="100">
        <v>4.83</v>
      </c>
      <c r="K46" s="100">
        <v>238.97</v>
      </c>
      <c r="L46" s="100">
        <v>36.19</v>
      </c>
      <c r="M46" s="100">
        <v>49.82</v>
      </c>
      <c r="N46" s="100">
        <v>271.7</v>
      </c>
      <c r="O46" s="100">
        <v>0</v>
      </c>
      <c r="P46" s="100">
        <v>0.56999999999999995</v>
      </c>
      <c r="Q46" s="100">
        <v>29.05</v>
      </c>
      <c r="R46" s="6"/>
      <c r="S46" s="6"/>
      <c r="T46" s="156"/>
      <c r="U46" s="6"/>
    </row>
    <row r="47" spans="1:21" customFormat="1">
      <c r="A47" s="163" t="s">
        <v>2198</v>
      </c>
      <c r="B47" s="100">
        <v>4.79</v>
      </c>
      <c r="C47" s="100">
        <v>11.63</v>
      </c>
      <c r="D47" s="100">
        <v>8.93</v>
      </c>
      <c r="E47" s="100">
        <v>6.1</v>
      </c>
      <c r="F47" s="100">
        <v>7.15</v>
      </c>
      <c r="G47" s="100">
        <v>44.28</v>
      </c>
      <c r="H47" s="100">
        <v>19.149999999999999</v>
      </c>
      <c r="I47" s="100">
        <v>11.42</v>
      </c>
      <c r="J47" s="100">
        <v>4.0599999999999996</v>
      </c>
      <c r="K47" s="100">
        <v>249.62</v>
      </c>
      <c r="L47" s="100">
        <v>36.53</v>
      </c>
      <c r="M47" s="100">
        <v>48.62</v>
      </c>
      <c r="N47" s="100">
        <v>662.5</v>
      </c>
      <c r="O47" s="100">
        <v>0</v>
      </c>
      <c r="P47" s="100">
        <v>0.56999999999999995</v>
      </c>
      <c r="Q47" s="100">
        <v>29.09</v>
      </c>
      <c r="R47" s="6"/>
      <c r="S47" s="6"/>
      <c r="T47" s="156"/>
      <c r="U47" s="6"/>
    </row>
    <row r="48" spans="1:21" customFormat="1">
      <c r="A48" s="163" t="s">
        <v>2199</v>
      </c>
      <c r="B48" s="100">
        <v>4.1900000000000004</v>
      </c>
      <c r="C48" s="100">
        <v>11.61</v>
      </c>
      <c r="D48" s="100">
        <v>8.43</v>
      </c>
      <c r="E48" s="100">
        <v>6.16</v>
      </c>
      <c r="F48" s="100">
        <v>13.66</v>
      </c>
      <c r="G48" s="100">
        <v>43.47</v>
      </c>
      <c r="H48" s="100">
        <v>18.38</v>
      </c>
      <c r="I48" s="100">
        <v>11.37</v>
      </c>
      <c r="J48" s="100">
        <v>4.22</v>
      </c>
      <c r="K48" s="100">
        <v>240.73</v>
      </c>
      <c r="L48" s="100">
        <v>36.94</v>
      </c>
      <c r="M48" s="100">
        <v>47.57</v>
      </c>
      <c r="N48" s="100">
        <v>702.4</v>
      </c>
      <c r="O48" s="100">
        <v>0</v>
      </c>
      <c r="P48" s="100">
        <v>0.57999999999999996</v>
      </c>
      <c r="Q48" s="100">
        <v>29.09</v>
      </c>
      <c r="R48" s="6"/>
      <c r="S48" s="6"/>
      <c r="T48" s="156"/>
      <c r="U48" s="6"/>
    </row>
    <row r="49" spans="1:21" customFormat="1">
      <c r="A49" s="163" t="s">
        <v>2200</v>
      </c>
      <c r="B49" s="100">
        <v>3.92</v>
      </c>
      <c r="C49" s="100">
        <v>10.86</v>
      </c>
      <c r="D49" s="100">
        <v>7.82</v>
      </c>
      <c r="E49" s="100">
        <v>5.25</v>
      </c>
      <c r="F49" s="100">
        <v>10.48</v>
      </c>
      <c r="G49" s="100">
        <v>40.46</v>
      </c>
      <c r="H49" s="100">
        <v>15.48</v>
      </c>
      <c r="I49" s="100">
        <v>11.34</v>
      </c>
      <c r="J49" s="100">
        <v>4.4800000000000004</v>
      </c>
      <c r="K49" s="100">
        <v>254.69</v>
      </c>
      <c r="L49" s="100">
        <v>36.97</v>
      </c>
      <c r="M49" s="100">
        <v>47.8</v>
      </c>
      <c r="N49" s="100">
        <v>700.7</v>
      </c>
      <c r="O49" s="100">
        <v>0</v>
      </c>
      <c r="P49" s="100">
        <v>0.59</v>
      </c>
      <c r="Q49" s="100">
        <v>29.1</v>
      </c>
      <c r="R49" s="6"/>
      <c r="S49" s="6"/>
      <c r="T49" s="156"/>
      <c r="U49" s="6"/>
    </row>
    <row r="50" spans="1:21" customFormat="1">
      <c r="A50" s="163" t="s">
        <v>2201</v>
      </c>
      <c r="B50" s="100">
        <v>3.62</v>
      </c>
      <c r="C50" s="100">
        <v>13.23</v>
      </c>
      <c r="D50" s="100">
        <v>8.82</v>
      </c>
      <c r="E50" s="100">
        <v>5.99</v>
      </c>
      <c r="F50" s="100">
        <v>7.15</v>
      </c>
      <c r="G50" s="100">
        <v>40.46</v>
      </c>
      <c r="H50" s="100">
        <v>15.48</v>
      </c>
      <c r="I50" s="100">
        <v>11.43</v>
      </c>
      <c r="J50" s="100">
        <v>3.95</v>
      </c>
      <c r="K50" s="100">
        <v>257.11</v>
      </c>
      <c r="L50" s="100">
        <v>37</v>
      </c>
      <c r="M50" s="100">
        <v>47.23</v>
      </c>
      <c r="N50" s="100">
        <v>714.1</v>
      </c>
      <c r="O50" s="100">
        <v>0</v>
      </c>
      <c r="P50" s="100">
        <v>0.61</v>
      </c>
      <c r="Q50" s="100">
        <v>29.05</v>
      </c>
      <c r="R50" s="6"/>
      <c r="S50" s="6"/>
      <c r="T50" s="156"/>
      <c r="U50" s="6"/>
    </row>
    <row r="51" spans="1:21" customFormat="1">
      <c r="A51" s="163" t="s">
        <v>2202</v>
      </c>
      <c r="B51" s="100">
        <v>3.09</v>
      </c>
      <c r="C51" s="100">
        <v>14.92</v>
      </c>
      <c r="D51" s="100">
        <v>9.2799999999999994</v>
      </c>
      <c r="E51" s="100">
        <v>6.28</v>
      </c>
      <c r="F51" s="100">
        <v>10.11</v>
      </c>
      <c r="G51" s="100">
        <v>40.46</v>
      </c>
      <c r="H51" s="100">
        <v>15.48</v>
      </c>
      <c r="I51" s="100">
        <v>11.57</v>
      </c>
      <c r="J51" s="100">
        <v>3.76</v>
      </c>
      <c r="K51" s="100">
        <v>240.15</v>
      </c>
      <c r="L51" s="100">
        <v>37.58</v>
      </c>
      <c r="M51" s="100">
        <v>44.89</v>
      </c>
      <c r="N51" s="100">
        <v>820.1</v>
      </c>
      <c r="O51" s="100">
        <v>0</v>
      </c>
      <c r="P51" s="100">
        <v>0.61</v>
      </c>
      <c r="Q51" s="100">
        <v>29</v>
      </c>
      <c r="R51" s="6"/>
      <c r="S51" s="6"/>
      <c r="T51" s="156"/>
      <c r="U51" s="6"/>
    </row>
    <row r="52" spans="1:21" customFormat="1">
      <c r="A52" s="163" t="s">
        <v>2203</v>
      </c>
      <c r="B52" s="100">
        <v>3.28</v>
      </c>
      <c r="C52" s="100">
        <v>15.84</v>
      </c>
      <c r="D52" s="100">
        <v>9.91</v>
      </c>
      <c r="E52" s="100">
        <v>6.79</v>
      </c>
      <c r="F52" s="100">
        <v>33.770000000000003</v>
      </c>
      <c r="G52" s="100">
        <v>39.96</v>
      </c>
      <c r="H52" s="100">
        <v>15.63</v>
      </c>
      <c r="I52" s="100">
        <v>11.78</v>
      </c>
      <c r="J52" s="100">
        <v>2.9</v>
      </c>
      <c r="K52" s="100">
        <v>21.33</v>
      </c>
      <c r="L52" s="100">
        <v>37.97</v>
      </c>
      <c r="M52" s="100">
        <v>44.83</v>
      </c>
      <c r="N52" s="100">
        <v>773.2</v>
      </c>
      <c r="O52" s="100">
        <v>0</v>
      </c>
      <c r="P52" s="100">
        <v>0.7</v>
      </c>
      <c r="Q52" s="100">
        <v>28.91</v>
      </c>
      <c r="R52" s="6"/>
      <c r="S52" s="6"/>
      <c r="T52" s="156"/>
      <c r="U52" s="6"/>
    </row>
    <row r="53" spans="1:21" customFormat="1">
      <c r="A53" s="163" t="s">
        <v>2204</v>
      </c>
      <c r="B53" s="100">
        <v>3.18</v>
      </c>
      <c r="C53" s="100">
        <v>13.99</v>
      </c>
      <c r="D53" s="100">
        <v>8.86</v>
      </c>
      <c r="E53" s="100">
        <v>6.25</v>
      </c>
      <c r="F53" s="100">
        <v>29.07</v>
      </c>
      <c r="G53" s="100">
        <v>38.08</v>
      </c>
      <c r="H53" s="100">
        <v>16.21</v>
      </c>
      <c r="I53" s="100">
        <v>12.31</v>
      </c>
      <c r="J53" s="100">
        <v>2.41</v>
      </c>
      <c r="K53" s="100">
        <v>14.01</v>
      </c>
      <c r="L53" s="100">
        <v>38.200000000000003</v>
      </c>
      <c r="M53" s="100">
        <v>42.81</v>
      </c>
      <c r="N53" s="100">
        <v>795.1</v>
      </c>
      <c r="O53" s="100">
        <v>0</v>
      </c>
      <c r="P53" s="100">
        <v>0.65</v>
      </c>
      <c r="Q53" s="100">
        <v>28.95</v>
      </c>
      <c r="R53" s="6"/>
      <c r="S53" s="6"/>
      <c r="T53" s="156"/>
      <c r="U53" s="6"/>
    </row>
    <row r="54" spans="1:21" customFormat="1">
      <c r="A54" s="163" t="s">
        <v>2205</v>
      </c>
      <c r="B54" s="100">
        <v>2.76</v>
      </c>
      <c r="C54" s="100">
        <v>13.09</v>
      </c>
      <c r="D54" s="100">
        <v>8.06</v>
      </c>
      <c r="E54" s="100">
        <v>7.37</v>
      </c>
      <c r="F54" s="100">
        <v>24.46</v>
      </c>
      <c r="G54" s="100">
        <v>38.08</v>
      </c>
      <c r="H54" s="100">
        <v>16.21</v>
      </c>
      <c r="I54" s="100">
        <v>13.55</v>
      </c>
      <c r="J54" s="100">
        <v>1.37</v>
      </c>
      <c r="K54" s="100">
        <v>28.93</v>
      </c>
      <c r="L54" s="100">
        <v>38.06</v>
      </c>
      <c r="M54" s="100">
        <v>42.55</v>
      </c>
      <c r="N54" s="100">
        <v>838.5</v>
      </c>
      <c r="O54" s="100">
        <v>0</v>
      </c>
      <c r="P54" s="100">
        <v>0.64</v>
      </c>
      <c r="Q54" s="100">
        <v>29.08</v>
      </c>
      <c r="R54" s="6"/>
      <c r="S54" s="6"/>
      <c r="T54" s="156"/>
      <c r="U54" s="6"/>
    </row>
    <row r="55" spans="1:21" customFormat="1">
      <c r="A55" s="163" t="s">
        <v>2206</v>
      </c>
      <c r="B55" s="100">
        <v>2.58</v>
      </c>
      <c r="C55" s="100">
        <v>12.08</v>
      </c>
      <c r="D55" s="100">
        <v>7.39</v>
      </c>
      <c r="E55" s="100">
        <v>8.17</v>
      </c>
      <c r="F55" s="100">
        <v>29.36</v>
      </c>
      <c r="G55" s="100">
        <v>38.08</v>
      </c>
      <c r="H55" s="100">
        <v>16.21</v>
      </c>
      <c r="I55" s="100">
        <v>13.51</v>
      </c>
      <c r="J55" s="100">
        <v>2.02</v>
      </c>
      <c r="K55" s="100">
        <v>310.12</v>
      </c>
      <c r="L55" s="100">
        <v>38.33</v>
      </c>
      <c r="M55" s="100">
        <v>41.18</v>
      </c>
      <c r="N55" s="100">
        <v>823.7</v>
      </c>
      <c r="O55" s="100">
        <v>0</v>
      </c>
      <c r="P55" s="100">
        <v>0.66</v>
      </c>
      <c r="Q55" s="100">
        <v>29.13</v>
      </c>
      <c r="R55" s="6"/>
      <c r="S55" s="6"/>
      <c r="T55" s="156"/>
      <c r="U55" s="6"/>
    </row>
    <row r="56" spans="1:21" customFormat="1">
      <c r="A56" s="163" t="s">
        <v>2207</v>
      </c>
      <c r="B56" s="100">
        <v>2.46</v>
      </c>
      <c r="C56" s="100">
        <v>11.35</v>
      </c>
      <c r="D56" s="100">
        <v>6.91</v>
      </c>
      <c r="E56" s="100">
        <v>8.11</v>
      </c>
      <c r="F56" s="100">
        <v>26.77</v>
      </c>
      <c r="G56" s="100">
        <v>38.65</v>
      </c>
      <c r="H56" s="100">
        <v>16.61</v>
      </c>
      <c r="I56" s="100">
        <v>12.9</v>
      </c>
      <c r="J56" s="100">
        <v>3.02</v>
      </c>
      <c r="K56" s="100">
        <v>241.03</v>
      </c>
      <c r="L56" s="100">
        <v>38.25</v>
      </c>
      <c r="M56" s="100">
        <v>40.130000000000003</v>
      </c>
      <c r="N56" s="100">
        <v>844.4</v>
      </c>
      <c r="O56" s="100">
        <v>0</v>
      </c>
      <c r="P56" s="100">
        <v>0.63</v>
      </c>
      <c r="Q56" s="100">
        <v>29.22</v>
      </c>
      <c r="R56" s="6"/>
      <c r="S56" s="6"/>
      <c r="T56" s="156"/>
      <c r="U56" s="6"/>
    </row>
    <row r="57" spans="1:21" customFormat="1">
      <c r="A57" s="163" t="s">
        <v>2208</v>
      </c>
      <c r="B57" s="100">
        <v>2.2400000000000002</v>
      </c>
      <c r="C57" s="100">
        <v>11.61</v>
      </c>
      <c r="D57" s="100">
        <v>6.87</v>
      </c>
      <c r="E57" s="100">
        <v>7.59</v>
      </c>
      <c r="F57" s="100">
        <v>37.9</v>
      </c>
      <c r="G57" s="100">
        <v>40.79</v>
      </c>
      <c r="H57" s="100">
        <v>18.11</v>
      </c>
      <c r="I57" s="100">
        <v>12.72</v>
      </c>
      <c r="J57" s="100">
        <v>1.92</v>
      </c>
      <c r="K57" s="100">
        <v>104.95</v>
      </c>
      <c r="L57" s="100">
        <v>39.979999999999997</v>
      </c>
      <c r="M57" s="100">
        <v>36.479999999999997</v>
      </c>
      <c r="N57" s="100">
        <v>847.4</v>
      </c>
      <c r="O57" s="100">
        <v>0</v>
      </c>
      <c r="P57" s="100">
        <v>0.61</v>
      </c>
      <c r="Q57" s="100">
        <v>29.18</v>
      </c>
      <c r="R57" s="6"/>
      <c r="S57" s="6"/>
      <c r="T57" s="156"/>
      <c r="U57" s="6"/>
    </row>
    <row r="58" spans="1:21" customFormat="1">
      <c r="A58" s="163" t="s">
        <v>2209</v>
      </c>
      <c r="B58" s="100">
        <v>2.48</v>
      </c>
      <c r="C58" s="100">
        <v>11.83</v>
      </c>
      <c r="D58" s="100">
        <v>7.18</v>
      </c>
      <c r="E58" s="100">
        <v>7.29</v>
      </c>
      <c r="F58" s="100">
        <v>38.75</v>
      </c>
      <c r="G58" s="100">
        <v>40.79</v>
      </c>
      <c r="H58" s="100">
        <v>18.11</v>
      </c>
      <c r="I58" s="100">
        <v>12.45</v>
      </c>
      <c r="J58" s="100">
        <v>2.83</v>
      </c>
      <c r="K58" s="100">
        <v>11.08</v>
      </c>
      <c r="L58" s="100">
        <v>39.9</v>
      </c>
      <c r="M58" s="100">
        <v>35.92</v>
      </c>
      <c r="N58" s="100">
        <v>841.8</v>
      </c>
      <c r="O58" s="100">
        <v>0</v>
      </c>
      <c r="P58" s="100">
        <v>0.67</v>
      </c>
      <c r="Q58" s="100">
        <v>29.14</v>
      </c>
      <c r="R58" s="6"/>
      <c r="S58" s="6"/>
      <c r="T58" s="156"/>
      <c r="U58" s="6"/>
    </row>
    <row r="59" spans="1:21" customFormat="1">
      <c r="A59" s="163" t="s">
        <v>2210</v>
      </c>
      <c r="B59" s="100">
        <v>3.18</v>
      </c>
      <c r="C59" s="100">
        <v>14.5</v>
      </c>
      <c r="D59" s="100">
        <v>9.1300000000000008</v>
      </c>
      <c r="E59" s="100">
        <v>7.44</v>
      </c>
      <c r="F59" s="100">
        <v>66.16</v>
      </c>
      <c r="G59" s="100">
        <v>40.79</v>
      </c>
      <c r="H59" s="100">
        <v>18.11</v>
      </c>
      <c r="I59" s="100">
        <v>12.26</v>
      </c>
      <c r="J59" s="100">
        <v>2.5299999999999998</v>
      </c>
      <c r="K59" s="100">
        <v>11.11</v>
      </c>
      <c r="L59" s="100">
        <v>41.02</v>
      </c>
      <c r="M59" s="100">
        <v>33.57</v>
      </c>
      <c r="N59" s="100">
        <v>820.4</v>
      </c>
      <c r="O59" s="100">
        <v>0</v>
      </c>
      <c r="P59" s="100">
        <v>0.72</v>
      </c>
      <c r="Q59" s="100">
        <v>28.79</v>
      </c>
      <c r="R59" s="6"/>
      <c r="S59" s="6"/>
      <c r="T59" s="156"/>
      <c r="U59" s="6"/>
    </row>
    <row r="60" spans="1:21" customFormat="1">
      <c r="A60" s="163" t="s">
        <v>2211</v>
      </c>
      <c r="B60" s="100">
        <v>2.4700000000000002</v>
      </c>
      <c r="C60" s="100">
        <v>19.600000000000001</v>
      </c>
      <c r="D60" s="100">
        <v>11.23</v>
      </c>
      <c r="E60" s="100">
        <v>7.14</v>
      </c>
      <c r="F60" s="100">
        <v>55.71</v>
      </c>
      <c r="G60" s="100">
        <v>40.380000000000003</v>
      </c>
      <c r="H60" s="100">
        <v>17.920000000000002</v>
      </c>
      <c r="I60" s="100">
        <v>12.41</v>
      </c>
      <c r="J60" s="100">
        <v>1.67</v>
      </c>
      <c r="K60" s="100">
        <v>260.5</v>
      </c>
      <c r="L60" s="100">
        <v>39.72</v>
      </c>
      <c r="M60" s="100">
        <v>33.71</v>
      </c>
      <c r="N60" s="100">
        <v>758.2</v>
      </c>
      <c r="O60" s="100">
        <v>0</v>
      </c>
      <c r="P60" s="100">
        <v>0.71</v>
      </c>
      <c r="Q60" s="100">
        <v>28.49</v>
      </c>
      <c r="R60" s="6"/>
      <c r="S60" s="6"/>
      <c r="T60" s="156"/>
      <c r="U60" s="6"/>
    </row>
    <row r="61" spans="1:21" customFormat="1">
      <c r="A61" s="163" t="s">
        <v>2212</v>
      </c>
      <c r="B61" s="100">
        <v>2.23</v>
      </c>
      <c r="C61" s="100">
        <v>14.06</v>
      </c>
      <c r="D61" s="100">
        <v>8.14</v>
      </c>
      <c r="E61" s="100">
        <v>8.59</v>
      </c>
      <c r="F61" s="100">
        <v>63.98</v>
      </c>
      <c r="G61" s="100">
        <v>38.869999999999997</v>
      </c>
      <c r="H61" s="100">
        <v>17.2</v>
      </c>
      <c r="I61" s="100">
        <v>12.94</v>
      </c>
      <c r="J61" s="100">
        <v>0.44</v>
      </c>
      <c r="K61" s="100">
        <v>29.27</v>
      </c>
      <c r="L61" s="100">
        <v>40.32</v>
      </c>
      <c r="M61" s="100">
        <v>30.79</v>
      </c>
      <c r="N61" s="100">
        <v>821</v>
      </c>
      <c r="O61" s="100">
        <v>0</v>
      </c>
      <c r="P61" s="100">
        <v>0.59</v>
      </c>
      <c r="Q61" s="100">
        <v>28.83</v>
      </c>
      <c r="R61" s="6"/>
      <c r="S61" s="6"/>
      <c r="T61" s="156"/>
      <c r="U61" s="6"/>
    </row>
    <row r="62" spans="1:21" customFormat="1">
      <c r="A62" s="163" t="s">
        <v>2213</v>
      </c>
      <c r="B62" s="100">
        <v>2.2200000000000002</v>
      </c>
      <c r="C62" s="100">
        <v>13.54</v>
      </c>
      <c r="D62" s="100">
        <v>7.86</v>
      </c>
      <c r="E62" s="100">
        <v>7.8</v>
      </c>
      <c r="F62" s="100">
        <v>55.45</v>
      </c>
      <c r="G62" s="100">
        <v>38.869999999999997</v>
      </c>
      <c r="H62" s="100">
        <v>17.2</v>
      </c>
      <c r="I62" s="100">
        <v>12.33</v>
      </c>
      <c r="J62" s="100">
        <v>0.88</v>
      </c>
      <c r="K62" s="100">
        <v>60.09</v>
      </c>
      <c r="L62" s="100">
        <v>41.08</v>
      </c>
      <c r="M62" s="100">
        <v>29.92</v>
      </c>
      <c r="N62" s="100">
        <v>674.4</v>
      </c>
      <c r="O62" s="100">
        <v>0</v>
      </c>
      <c r="P62" s="100">
        <v>0.41</v>
      </c>
      <c r="Q62" s="100">
        <v>28.91</v>
      </c>
      <c r="R62" s="6"/>
      <c r="S62" s="6"/>
      <c r="T62" s="156"/>
      <c r="U62" s="6"/>
    </row>
    <row r="63" spans="1:21" customFormat="1">
      <c r="A63" s="163" t="s">
        <v>2214</v>
      </c>
      <c r="B63" s="100">
        <v>1.9</v>
      </c>
      <c r="C63" s="100">
        <v>14.95</v>
      </c>
      <c r="D63" s="100">
        <v>8.34</v>
      </c>
      <c r="E63" s="100">
        <v>8.82</v>
      </c>
      <c r="F63" s="100">
        <v>40.1</v>
      </c>
      <c r="G63" s="100">
        <v>38.869999999999997</v>
      </c>
      <c r="H63" s="100">
        <v>17.2</v>
      </c>
      <c r="I63" s="100">
        <v>10.29</v>
      </c>
      <c r="J63" s="100">
        <v>2.27</v>
      </c>
      <c r="K63" s="100">
        <v>99.39</v>
      </c>
      <c r="L63" s="100">
        <v>40.65</v>
      </c>
      <c r="M63" s="100">
        <v>32.28</v>
      </c>
      <c r="N63" s="100">
        <v>620.5</v>
      </c>
      <c r="O63" s="100">
        <v>0</v>
      </c>
      <c r="P63" s="100">
        <v>0.11</v>
      </c>
      <c r="Q63" s="100">
        <v>28.77</v>
      </c>
      <c r="R63" s="6"/>
      <c r="S63" s="6"/>
      <c r="T63" s="156"/>
      <c r="U63" s="6"/>
    </row>
    <row r="64" spans="1:21" customFormat="1">
      <c r="A64" s="163" t="s">
        <v>2215</v>
      </c>
      <c r="B64" s="100">
        <v>2.78</v>
      </c>
      <c r="C64" s="100">
        <v>19.23</v>
      </c>
      <c r="D64" s="100">
        <v>11.28</v>
      </c>
      <c r="E64" s="100">
        <v>9.73</v>
      </c>
      <c r="F64" s="100">
        <v>34.450000000000003</v>
      </c>
      <c r="G64" s="100">
        <v>40.79</v>
      </c>
      <c r="H64" s="100">
        <v>18.25</v>
      </c>
      <c r="I64" s="100">
        <v>10.28</v>
      </c>
      <c r="J64" s="100">
        <v>1</v>
      </c>
      <c r="K64" s="100">
        <v>7.18</v>
      </c>
      <c r="L64" s="100">
        <v>40.369999999999997</v>
      </c>
      <c r="M64" s="100">
        <v>31.18</v>
      </c>
      <c r="N64" s="100">
        <v>494.9</v>
      </c>
      <c r="O64" s="100">
        <v>0</v>
      </c>
      <c r="P64" s="100">
        <v>0.11</v>
      </c>
      <c r="Q64" s="100">
        <v>28.63</v>
      </c>
      <c r="R64" s="6"/>
      <c r="S64" s="6"/>
      <c r="T64" s="156"/>
      <c r="U64" s="6"/>
    </row>
    <row r="65" spans="1:21" customFormat="1">
      <c r="A65" s="163" t="s">
        <v>2216</v>
      </c>
      <c r="B65" s="100">
        <v>2.95</v>
      </c>
      <c r="C65" s="100">
        <v>17.11</v>
      </c>
      <c r="D65" s="100">
        <v>10.31</v>
      </c>
      <c r="E65" s="100">
        <v>10.18</v>
      </c>
      <c r="F65" s="100">
        <v>38.729999999999997</v>
      </c>
      <c r="G65" s="100">
        <v>47.95</v>
      </c>
      <c r="H65" s="100">
        <v>22.15</v>
      </c>
      <c r="I65" s="100">
        <v>11.07</v>
      </c>
      <c r="J65" s="100">
        <v>1.69</v>
      </c>
      <c r="K65" s="100">
        <v>51.77</v>
      </c>
      <c r="L65" s="100">
        <v>41.53</v>
      </c>
      <c r="M65" s="100">
        <v>28.27</v>
      </c>
      <c r="N65" s="100">
        <v>724.4</v>
      </c>
      <c r="O65" s="100">
        <v>0</v>
      </c>
      <c r="P65" s="100">
        <v>0.61</v>
      </c>
      <c r="Q65" s="100">
        <v>28.73</v>
      </c>
      <c r="R65" s="6"/>
      <c r="S65" s="6"/>
      <c r="T65" s="156"/>
      <c r="U65" s="6"/>
    </row>
    <row r="66" spans="1:21" customFormat="1">
      <c r="A66" s="163" t="s">
        <v>2217</v>
      </c>
      <c r="B66" s="100">
        <v>2.2799999999999998</v>
      </c>
      <c r="C66" s="100">
        <v>14.24</v>
      </c>
      <c r="D66" s="100">
        <v>8.27</v>
      </c>
      <c r="E66" s="100">
        <v>9.99</v>
      </c>
      <c r="F66" s="100">
        <v>46.17</v>
      </c>
      <c r="G66" s="100">
        <v>47.95</v>
      </c>
      <c r="H66" s="100">
        <v>22.15</v>
      </c>
      <c r="I66" s="100">
        <v>11.29</v>
      </c>
      <c r="J66" s="100">
        <v>1.64</v>
      </c>
      <c r="K66" s="100">
        <v>149.6</v>
      </c>
      <c r="L66" s="100">
        <v>42.54</v>
      </c>
      <c r="M66" s="100">
        <v>26.67</v>
      </c>
      <c r="N66" s="100">
        <v>606.1</v>
      </c>
      <c r="O66" s="100">
        <v>0</v>
      </c>
      <c r="P66" s="100">
        <v>0.57999999999999996</v>
      </c>
      <c r="Q66" s="100">
        <v>28.87</v>
      </c>
      <c r="R66" s="6"/>
      <c r="S66" s="6"/>
      <c r="T66" s="156"/>
      <c r="U66" s="6"/>
    </row>
    <row r="67" spans="1:21" customFormat="1">
      <c r="A67" s="163" t="s">
        <v>2218</v>
      </c>
      <c r="B67" s="100">
        <v>2.02</v>
      </c>
      <c r="C67" s="100">
        <v>11.77</v>
      </c>
      <c r="D67" s="100">
        <v>6.77</v>
      </c>
      <c r="E67" s="100">
        <v>10.8</v>
      </c>
      <c r="F67" s="100">
        <v>48.68</v>
      </c>
      <c r="G67" s="100">
        <v>47.95</v>
      </c>
      <c r="H67" s="100">
        <v>22.15</v>
      </c>
      <c r="I67" s="100">
        <v>11.21</v>
      </c>
      <c r="J67" s="100">
        <v>0.69</v>
      </c>
      <c r="K67" s="100">
        <v>136.30000000000001</v>
      </c>
      <c r="L67" s="100">
        <v>42.22</v>
      </c>
      <c r="M67" s="100">
        <v>24.6</v>
      </c>
      <c r="N67" s="100">
        <v>569.29999999999995</v>
      </c>
      <c r="O67" s="100">
        <v>0</v>
      </c>
      <c r="P67" s="100">
        <v>0.49</v>
      </c>
      <c r="Q67" s="100">
        <v>29.06</v>
      </c>
      <c r="R67" s="6"/>
      <c r="S67" s="6"/>
      <c r="T67" s="156"/>
      <c r="U67" s="6"/>
    </row>
    <row r="68" spans="1:21" customFormat="1">
      <c r="A68" s="163" t="s">
        <v>2219</v>
      </c>
      <c r="B68" s="100">
        <v>2.1</v>
      </c>
      <c r="C68" s="100">
        <v>11.42</v>
      </c>
      <c r="D68" s="100">
        <v>6.66</v>
      </c>
      <c r="E68" s="100">
        <v>11.49</v>
      </c>
      <c r="F68" s="100">
        <v>46.19</v>
      </c>
      <c r="G68" s="100">
        <v>45.46</v>
      </c>
      <c r="H68" s="100">
        <v>21.28</v>
      </c>
      <c r="I68" s="100">
        <v>10.53</v>
      </c>
      <c r="J68" s="100">
        <v>1.58</v>
      </c>
      <c r="K68" s="100">
        <v>60.73</v>
      </c>
      <c r="L68" s="100">
        <v>42.7</v>
      </c>
      <c r="M68" s="100">
        <v>23.23</v>
      </c>
      <c r="N68" s="100">
        <v>571</v>
      </c>
      <c r="O68" s="100">
        <v>0</v>
      </c>
      <c r="P68" s="100">
        <v>0.46</v>
      </c>
      <c r="Q68" s="100">
        <v>29.17</v>
      </c>
      <c r="R68" s="6"/>
      <c r="S68" s="6"/>
      <c r="T68" s="156"/>
      <c r="U68" s="6"/>
    </row>
    <row r="69" spans="1:21" customFormat="1">
      <c r="A69" s="163" t="s">
        <v>2220</v>
      </c>
      <c r="B69" s="100">
        <v>2.1</v>
      </c>
      <c r="C69" s="100">
        <v>12.07</v>
      </c>
      <c r="D69" s="100">
        <v>7</v>
      </c>
      <c r="E69" s="100">
        <v>9.8699999999999992</v>
      </c>
      <c r="F69" s="100">
        <v>36.68</v>
      </c>
      <c r="G69" s="100">
        <v>36.159999999999997</v>
      </c>
      <c r="H69" s="100">
        <v>18.05</v>
      </c>
      <c r="I69" s="100">
        <v>9.01</v>
      </c>
      <c r="J69" s="100">
        <v>1.34</v>
      </c>
      <c r="K69" s="100">
        <v>158.94</v>
      </c>
      <c r="L69" s="100">
        <v>42.65</v>
      </c>
      <c r="M69" s="100">
        <v>23.36</v>
      </c>
      <c r="N69" s="100">
        <v>559</v>
      </c>
      <c r="O69" s="100">
        <v>0</v>
      </c>
      <c r="P69" s="100">
        <v>0.43</v>
      </c>
      <c r="Q69" s="100">
        <v>29.18</v>
      </c>
      <c r="R69" s="6"/>
      <c r="S69" s="6"/>
      <c r="T69" s="156"/>
      <c r="U69" s="6"/>
    </row>
    <row r="70" spans="1:21" customFormat="1">
      <c r="A70" s="163" t="s">
        <v>2221</v>
      </c>
      <c r="B70" s="100">
        <v>1.65</v>
      </c>
      <c r="C70" s="100">
        <v>11.51</v>
      </c>
      <c r="D70" s="100">
        <v>6.34</v>
      </c>
      <c r="E70" s="100">
        <v>9.9</v>
      </c>
      <c r="F70" s="100">
        <v>22.47</v>
      </c>
      <c r="G70" s="100">
        <v>36.159999999999997</v>
      </c>
      <c r="H70" s="100">
        <v>18.05</v>
      </c>
      <c r="I70" s="100">
        <v>8.68</v>
      </c>
      <c r="J70" s="100">
        <v>0.79</v>
      </c>
      <c r="K70" s="100">
        <v>191.71</v>
      </c>
      <c r="L70" s="100">
        <v>43.27</v>
      </c>
      <c r="M70" s="100">
        <v>23.71</v>
      </c>
      <c r="N70" s="100">
        <v>523.70000000000005</v>
      </c>
      <c r="O70" s="100">
        <v>0</v>
      </c>
      <c r="P70" s="100">
        <v>0.45</v>
      </c>
      <c r="Q70" s="100">
        <v>29.11</v>
      </c>
      <c r="R70" s="6"/>
      <c r="S70" s="6"/>
      <c r="T70" s="156"/>
      <c r="U70" s="6"/>
    </row>
    <row r="71" spans="1:21" customFormat="1">
      <c r="A71" s="163" t="s">
        <v>2222</v>
      </c>
      <c r="B71" s="100">
        <v>1.53</v>
      </c>
      <c r="C71" s="100">
        <v>9.94</v>
      </c>
      <c r="D71" s="100">
        <v>5.43</v>
      </c>
      <c r="E71" s="100">
        <v>9.81</v>
      </c>
      <c r="F71" s="100">
        <v>55.31</v>
      </c>
      <c r="G71" s="100">
        <v>36.159999999999997</v>
      </c>
      <c r="H71" s="100">
        <v>18.05</v>
      </c>
      <c r="I71" s="100">
        <v>8.75</v>
      </c>
      <c r="J71" s="100">
        <v>1.98</v>
      </c>
      <c r="K71" s="100">
        <v>156.81</v>
      </c>
      <c r="L71" s="100">
        <v>42.15</v>
      </c>
      <c r="M71" s="100">
        <v>23.75</v>
      </c>
      <c r="N71" s="100">
        <v>501.2</v>
      </c>
      <c r="O71" s="100">
        <v>0</v>
      </c>
      <c r="P71" s="100">
        <v>0.33</v>
      </c>
      <c r="Q71" s="100">
        <v>29.19</v>
      </c>
      <c r="R71" s="6"/>
      <c r="S71" s="6"/>
      <c r="T71" s="156"/>
      <c r="U71" s="6"/>
    </row>
    <row r="72" spans="1:21" customFormat="1">
      <c r="A72" s="163" t="s">
        <v>2223</v>
      </c>
      <c r="B72" s="100">
        <v>3.08</v>
      </c>
      <c r="C72" s="100">
        <v>17.14</v>
      </c>
      <c r="D72" s="100">
        <v>10.43</v>
      </c>
      <c r="E72" s="100">
        <v>10.050000000000001</v>
      </c>
      <c r="F72" s="100">
        <v>56.47</v>
      </c>
      <c r="G72" s="100">
        <v>38.86</v>
      </c>
      <c r="H72" s="100">
        <v>18.09</v>
      </c>
      <c r="I72" s="100">
        <v>8.34</v>
      </c>
      <c r="J72" s="100">
        <v>1.06</v>
      </c>
      <c r="K72" s="100">
        <v>121.34</v>
      </c>
      <c r="L72" s="100">
        <v>41.91</v>
      </c>
      <c r="M72" s="100">
        <v>23.72</v>
      </c>
      <c r="N72" s="100">
        <v>445.6</v>
      </c>
      <c r="O72" s="100">
        <v>0</v>
      </c>
      <c r="P72" s="100">
        <v>0.4</v>
      </c>
      <c r="Q72" s="100">
        <v>28.97</v>
      </c>
      <c r="R72" s="6"/>
      <c r="S72" s="6"/>
      <c r="T72" s="156"/>
      <c r="U72" s="6"/>
    </row>
    <row r="73" spans="1:21" customFormat="1">
      <c r="A73" s="163" t="s">
        <v>2224</v>
      </c>
      <c r="B73" s="100">
        <v>2.94</v>
      </c>
      <c r="C73" s="100">
        <v>20.9</v>
      </c>
      <c r="D73" s="100">
        <v>12.29</v>
      </c>
      <c r="E73" s="100">
        <v>9.48</v>
      </c>
      <c r="F73" s="100">
        <v>38.31</v>
      </c>
      <c r="G73" s="100">
        <v>48.96</v>
      </c>
      <c r="H73" s="100">
        <v>18.23</v>
      </c>
      <c r="I73" s="100">
        <v>7.31</v>
      </c>
      <c r="J73" s="100">
        <v>1.63</v>
      </c>
      <c r="K73" s="100">
        <v>146.97</v>
      </c>
      <c r="L73" s="100">
        <v>40.99</v>
      </c>
      <c r="M73" s="100">
        <v>24.85</v>
      </c>
      <c r="N73" s="100">
        <v>386.4</v>
      </c>
      <c r="O73" s="100">
        <v>0</v>
      </c>
      <c r="P73" s="100">
        <v>0.49</v>
      </c>
      <c r="Q73" s="100">
        <v>28.39</v>
      </c>
      <c r="R73" s="6"/>
      <c r="S73" s="6"/>
      <c r="T73" s="156"/>
      <c r="U73" s="6"/>
    </row>
    <row r="74" spans="1:21" customFormat="1">
      <c r="A74" s="163" t="s">
        <v>2225</v>
      </c>
      <c r="B74" s="100">
        <v>1.75</v>
      </c>
      <c r="C74" s="100">
        <v>20.079999999999998</v>
      </c>
      <c r="D74" s="100">
        <v>10.9</v>
      </c>
      <c r="E74" s="100">
        <v>9.2100000000000009</v>
      </c>
      <c r="F74" s="100">
        <v>30.48</v>
      </c>
      <c r="G74" s="100">
        <v>48.96</v>
      </c>
      <c r="H74" s="100">
        <v>18.23</v>
      </c>
      <c r="I74" s="100">
        <v>7.05</v>
      </c>
      <c r="J74" s="100">
        <v>2.0299999999999998</v>
      </c>
      <c r="K74" s="100">
        <v>155.15</v>
      </c>
      <c r="L74" s="100">
        <v>40.75</v>
      </c>
      <c r="M74" s="100">
        <v>25.35</v>
      </c>
      <c r="N74" s="100">
        <v>313.2</v>
      </c>
      <c r="O74" s="100">
        <v>0</v>
      </c>
      <c r="P74" s="100">
        <v>0.49</v>
      </c>
      <c r="Q74" s="100">
        <v>28.18</v>
      </c>
      <c r="R74" s="6"/>
      <c r="S74" s="6"/>
      <c r="T74" s="156"/>
      <c r="U74" s="6"/>
    </row>
    <row r="75" spans="1:21" customFormat="1">
      <c r="A75" s="163" t="s">
        <v>2226</v>
      </c>
      <c r="B75" s="100">
        <v>1.65</v>
      </c>
      <c r="C75" s="100">
        <v>18.670000000000002</v>
      </c>
      <c r="D75" s="100">
        <v>10.09</v>
      </c>
      <c r="E75" s="100">
        <v>9.7100000000000009</v>
      </c>
      <c r="F75" s="100">
        <v>30.48</v>
      </c>
      <c r="G75" s="100">
        <v>48.96</v>
      </c>
      <c r="H75" s="100">
        <v>18.23</v>
      </c>
      <c r="I75" s="100">
        <v>8.57</v>
      </c>
      <c r="J75" s="100">
        <v>2.61</v>
      </c>
      <c r="K75" s="100">
        <v>60.92</v>
      </c>
      <c r="L75" s="100">
        <v>39.82</v>
      </c>
      <c r="M75" s="100">
        <v>27.09</v>
      </c>
      <c r="N75" s="100">
        <v>218.3</v>
      </c>
      <c r="O75" s="100">
        <v>0</v>
      </c>
      <c r="P75" s="100">
        <v>0.48</v>
      </c>
      <c r="Q75" s="100">
        <v>28.35</v>
      </c>
      <c r="R75" s="6"/>
      <c r="S75" s="6"/>
      <c r="T75" s="156"/>
      <c r="U75" s="6"/>
    </row>
    <row r="76" spans="1:21" customFormat="1">
      <c r="A76" s="163" t="s">
        <v>2227</v>
      </c>
      <c r="B76" s="100">
        <v>2.64</v>
      </c>
      <c r="C76" s="100">
        <v>20.58</v>
      </c>
      <c r="D76" s="100">
        <v>11.87</v>
      </c>
      <c r="E76" s="100">
        <v>11.94</v>
      </c>
      <c r="F76" s="100">
        <v>31.58</v>
      </c>
      <c r="G76" s="100">
        <v>49.72</v>
      </c>
      <c r="H76" s="100">
        <v>18.809999999999999</v>
      </c>
      <c r="I76" s="100">
        <v>8.74</v>
      </c>
      <c r="J76" s="100">
        <v>2.95</v>
      </c>
      <c r="K76" s="100">
        <v>46.74</v>
      </c>
      <c r="L76" s="100">
        <v>38.340000000000003</v>
      </c>
      <c r="M76" s="100">
        <v>29.82</v>
      </c>
      <c r="N76" s="100">
        <v>95.6</v>
      </c>
      <c r="O76" s="100">
        <v>0</v>
      </c>
      <c r="P76" s="100">
        <v>0.61</v>
      </c>
      <c r="Q76" s="100">
        <v>28.49</v>
      </c>
      <c r="R76" s="6"/>
      <c r="S76" s="6"/>
      <c r="T76" s="156"/>
      <c r="U76" s="6"/>
    </row>
    <row r="77" spans="1:21" customFormat="1">
      <c r="A77" s="163" t="s">
        <v>2228</v>
      </c>
      <c r="B77" s="100">
        <v>2.67</v>
      </c>
      <c r="C77" s="100">
        <v>20.04</v>
      </c>
      <c r="D77" s="100">
        <v>11.61</v>
      </c>
      <c r="E77" s="100">
        <v>6.4</v>
      </c>
      <c r="F77" s="100">
        <v>38.31</v>
      </c>
      <c r="G77" s="100">
        <v>52.57</v>
      </c>
      <c r="H77" s="100">
        <v>20.97</v>
      </c>
      <c r="I77" s="100">
        <v>9.41</v>
      </c>
      <c r="J77" s="100">
        <v>1.84</v>
      </c>
      <c r="K77" s="100">
        <v>115.7</v>
      </c>
      <c r="L77" s="100">
        <v>38.299999999999997</v>
      </c>
      <c r="M77" s="100">
        <v>29.22</v>
      </c>
      <c r="N77" s="100">
        <v>117</v>
      </c>
      <c r="O77" s="100">
        <v>0</v>
      </c>
      <c r="P77" s="100">
        <v>0.59</v>
      </c>
      <c r="Q77" s="100">
        <v>28.51</v>
      </c>
      <c r="R77" s="6"/>
      <c r="S77" s="6"/>
      <c r="T77" s="156"/>
      <c r="U77" s="6"/>
    </row>
    <row r="78" spans="1:21" customFormat="1">
      <c r="A78" s="163" t="s">
        <v>2229</v>
      </c>
      <c r="B78" s="100">
        <v>2.04</v>
      </c>
      <c r="C78" s="100">
        <v>16.02</v>
      </c>
      <c r="D78" s="100">
        <v>9.01</v>
      </c>
      <c r="E78" s="100">
        <v>9.36</v>
      </c>
      <c r="F78" s="100">
        <v>40</v>
      </c>
      <c r="G78" s="100">
        <v>52.57</v>
      </c>
      <c r="H78" s="100">
        <v>20.97</v>
      </c>
      <c r="I78" s="100">
        <v>10.54</v>
      </c>
      <c r="J78" s="100">
        <v>2.12</v>
      </c>
      <c r="K78" s="100">
        <v>138.71</v>
      </c>
      <c r="L78" s="100">
        <v>38.979999999999997</v>
      </c>
      <c r="M78" s="100">
        <v>28.18</v>
      </c>
      <c r="N78" s="100">
        <v>135.4</v>
      </c>
      <c r="O78" s="100">
        <v>0</v>
      </c>
      <c r="P78" s="100">
        <v>0.51</v>
      </c>
      <c r="Q78" s="100">
        <v>28.73</v>
      </c>
      <c r="R78" s="6"/>
      <c r="S78" s="6"/>
      <c r="T78" s="156"/>
      <c r="U78" s="6"/>
    </row>
    <row r="79" spans="1:21" customFormat="1">
      <c r="A79" s="163" t="s">
        <v>2230</v>
      </c>
      <c r="B79" s="100">
        <v>2.48</v>
      </c>
      <c r="C79" s="100">
        <v>17.079999999999998</v>
      </c>
      <c r="D79" s="100">
        <v>9.92</v>
      </c>
      <c r="E79" s="100">
        <v>10.59</v>
      </c>
      <c r="F79" s="100">
        <v>35.22</v>
      </c>
      <c r="G79" s="100">
        <v>52.57</v>
      </c>
      <c r="H79" s="100">
        <v>20.97</v>
      </c>
      <c r="I79" s="100">
        <v>10.119999999999999</v>
      </c>
      <c r="J79" s="100">
        <v>1.91</v>
      </c>
      <c r="K79" s="100">
        <v>51.19</v>
      </c>
      <c r="L79" s="100">
        <v>38.549999999999997</v>
      </c>
      <c r="M79" s="100">
        <v>28.16</v>
      </c>
      <c r="N79" s="100">
        <v>117.5</v>
      </c>
      <c r="O79" s="100">
        <v>0</v>
      </c>
      <c r="P79" s="100">
        <v>0.62</v>
      </c>
      <c r="Q79" s="100">
        <v>28.88</v>
      </c>
      <c r="R79" s="6"/>
      <c r="S79" s="6"/>
      <c r="T79" s="156"/>
      <c r="U79" s="6"/>
    </row>
    <row r="80" spans="1:21" customFormat="1">
      <c r="A80" s="163" t="s">
        <v>2231</v>
      </c>
      <c r="B80" s="100">
        <v>3.28</v>
      </c>
      <c r="C80" s="100">
        <v>20.25</v>
      </c>
      <c r="D80" s="100">
        <v>12.21</v>
      </c>
      <c r="E80" s="100">
        <v>11.03</v>
      </c>
      <c r="F80" s="100">
        <v>36.03</v>
      </c>
      <c r="G80" s="100">
        <v>51.49</v>
      </c>
      <c r="H80" s="100">
        <v>19.690000000000001</v>
      </c>
      <c r="I80" s="100">
        <v>9.35</v>
      </c>
      <c r="J80" s="100">
        <v>1.92</v>
      </c>
      <c r="K80" s="100">
        <v>79.739999999999995</v>
      </c>
      <c r="L80" s="100">
        <v>38.159999999999997</v>
      </c>
      <c r="M80" s="100">
        <v>28.99</v>
      </c>
      <c r="N80" s="100">
        <v>71.900000000000006</v>
      </c>
      <c r="O80" s="100">
        <v>0</v>
      </c>
      <c r="P80" s="100">
        <v>0.64</v>
      </c>
      <c r="Q80" s="100">
        <v>28.97</v>
      </c>
      <c r="R80" s="6"/>
      <c r="S80" s="6"/>
      <c r="T80" s="156"/>
      <c r="U80" s="6"/>
    </row>
    <row r="81" spans="1:21" customFormat="1">
      <c r="A81" s="163" t="s">
        <v>2232</v>
      </c>
      <c r="B81" s="100">
        <v>2.42</v>
      </c>
      <c r="C81" s="100">
        <v>16.39</v>
      </c>
      <c r="D81" s="100">
        <v>9.51</v>
      </c>
      <c r="E81" s="100">
        <v>10.42</v>
      </c>
      <c r="F81" s="100">
        <v>44.65</v>
      </c>
      <c r="G81" s="100">
        <v>47.49</v>
      </c>
      <c r="H81" s="100">
        <v>14.9</v>
      </c>
      <c r="I81" s="100">
        <v>10.56</v>
      </c>
      <c r="J81" s="100">
        <v>2.94</v>
      </c>
      <c r="K81" s="100">
        <v>153.22</v>
      </c>
      <c r="L81" s="100">
        <v>37.81</v>
      </c>
      <c r="M81" s="100">
        <v>29.23</v>
      </c>
      <c r="N81" s="100">
        <v>40.4</v>
      </c>
      <c r="O81" s="100">
        <v>0</v>
      </c>
      <c r="P81" s="100">
        <v>0.51</v>
      </c>
      <c r="Q81" s="100">
        <v>29</v>
      </c>
      <c r="R81" s="6"/>
      <c r="S81" s="6"/>
      <c r="T81" s="156"/>
      <c r="U81" s="6"/>
    </row>
    <row r="82" spans="1:21" customFormat="1">
      <c r="A82" s="163" t="s">
        <v>2233</v>
      </c>
      <c r="B82" s="100">
        <v>3.18</v>
      </c>
      <c r="C82" s="100">
        <v>22.58</v>
      </c>
      <c r="D82" s="100">
        <v>13.35</v>
      </c>
      <c r="E82" s="100">
        <v>10.48</v>
      </c>
      <c r="F82" s="100">
        <v>34.03</v>
      </c>
      <c r="G82" s="100">
        <v>47.49</v>
      </c>
      <c r="H82" s="100">
        <v>14.9</v>
      </c>
      <c r="I82" s="100">
        <v>10.91</v>
      </c>
      <c r="J82" s="100">
        <v>2.9</v>
      </c>
      <c r="K82" s="100">
        <v>139.22</v>
      </c>
      <c r="L82" s="100">
        <v>37.35</v>
      </c>
      <c r="M82" s="100">
        <v>29.94</v>
      </c>
      <c r="N82" s="100">
        <v>27.5</v>
      </c>
      <c r="O82" s="100">
        <v>0</v>
      </c>
      <c r="P82" s="100">
        <v>0.69</v>
      </c>
      <c r="Q82" s="100">
        <v>29.05</v>
      </c>
      <c r="R82" s="6"/>
      <c r="S82" s="6"/>
      <c r="T82" s="156"/>
      <c r="U82" s="6"/>
    </row>
    <row r="83" spans="1:21" customFormat="1">
      <c r="A83" s="163" t="s">
        <v>2234</v>
      </c>
      <c r="B83" s="100">
        <v>5.46</v>
      </c>
      <c r="C83" s="100">
        <v>23.19</v>
      </c>
      <c r="D83" s="100">
        <v>15.5</v>
      </c>
      <c r="E83" s="100">
        <v>9.89</v>
      </c>
      <c r="F83" s="100">
        <v>29.9</v>
      </c>
      <c r="G83" s="100">
        <v>47.49</v>
      </c>
      <c r="H83" s="100">
        <v>14.9</v>
      </c>
      <c r="I83" s="100">
        <v>9.31</v>
      </c>
      <c r="J83" s="100">
        <v>2.4</v>
      </c>
      <c r="K83" s="100">
        <v>121.61</v>
      </c>
      <c r="L83" s="100">
        <v>36.75</v>
      </c>
      <c r="M83" s="100">
        <v>30.21</v>
      </c>
      <c r="N83" s="100">
        <v>23.6</v>
      </c>
      <c r="O83" s="100">
        <v>0</v>
      </c>
      <c r="P83" s="100">
        <v>0.7</v>
      </c>
      <c r="Q83" s="100">
        <v>28.94</v>
      </c>
      <c r="R83" s="6"/>
      <c r="S83" s="6"/>
      <c r="T83" s="156"/>
      <c r="U83" s="6"/>
    </row>
    <row r="84" spans="1:21" customFormat="1">
      <c r="A84" s="163" t="s">
        <v>2235</v>
      </c>
      <c r="B84" s="100">
        <v>5.97</v>
      </c>
      <c r="C84" s="100">
        <v>20.02</v>
      </c>
      <c r="D84" s="100">
        <v>14.25</v>
      </c>
      <c r="E84" s="100">
        <v>8.34</v>
      </c>
      <c r="F84" s="100">
        <v>21.53</v>
      </c>
      <c r="G84" s="100">
        <v>47.81</v>
      </c>
      <c r="H84" s="100">
        <v>14.7</v>
      </c>
      <c r="I84" s="100">
        <v>11.09</v>
      </c>
      <c r="J84" s="100">
        <v>1.5</v>
      </c>
      <c r="K84" s="100">
        <v>109.94</v>
      </c>
      <c r="L84" s="100">
        <v>35.520000000000003</v>
      </c>
      <c r="M84" s="100">
        <v>32.75</v>
      </c>
      <c r="N84" s="100">
        <v>24.2</v>
      </c>
      <c r="O84" s="100">
        <v>0</v>
      </c>
      <c r="P84" s="100">
        <v>0.67</v>
      </c>
      <c r="Q84" s="100">
        <v>28.96</v>
      </c>
      <c r="R84" s="6"/>
      <c r="S84" s="6"/>
      <c r="T84" s="156"/>
      <c r="U84" s="6"/>
    </row>
    <row r="85" spans="1:21" customFormat="1">
      <c r="A85" s="163" t="s">
        <v>2236</v>
      </c>
      <c r="B85" s="100">
        <v>6.18</v>
      </c>
      <c r="C85" s="100">
        <v>17.78</v>
      </c>
      <c r="D85" s="100">
        <v>13.25</v>
      </c>
      <c r="E85" s="100">
        <v>7.88</v>
      </c>
      <c r="F85" s="100">
        <v>13.7</v>
      </c>
      <c r="G85" s="100">
        <v>48.99</v>
      </c>
      <c r="H85" s="100">
        <v>13.93</v>
      </c>
      <c r="I85" s="100">
        <v>11.49</v>
      </c>
      <c r="J85" s="100">
        <v>3.18</v>
      </c>
      <c r="K85" s="100">
        <v>77.78</v>
      </c>
      <c r="L85" s="100">
        <v>33.69</v>
      </c>
      <c r="M85" s="100">
        <v>38.229999999999997</v>
      </c>
      <c r="N85" s="100">
        <v>28</v>
      </c>
      <c r="O85" s="100">
        <v>0</v>
      </c>
      <c r="P85" s="100">
        <v>0.68</v>
      </c>
      <c r="Q85" s="100">
        <v>28.94</v>
      </c>
      <c r="R85" s="6"/>
      <c r="S85" s="6"/>
      <c r="T85" s="156"/>
      <c r="U85" s="6"/>
    </row>
    <row r="86" spans="1:21" customFormat="1">
      <c r="A86" s="163" t="s">
        <v>2237</v>
      </c>
      <c r="B86" s="100">
        <v>5.41</v>
      </c>
      <c r="C86" s="100">
        <v>18.57</v>
      </c>
      <c r="D86" s="100">
        <v>13.05</v>
      </c>
      <c r="E86" s="100">
        <v>7.71</v>
      </c>
      <c r="F86" s="100">
        <v>10.96</v>
      </c>
      <c r="G86" s="100">
        <v>48.99</v>
      </c>
      <c r="H86" s="100">
        <v>13.93</v>
      </c>
      <c r="I86" s="100">
        <v>11.33</v>
      </c>
      <c r="J86" s="100">
        <v>3.63</v>
      </c>
      <c r="K86" s="100">
        <v>73</v>
      </c>
      <c r="L86" s="100">
        <v>30.45</v>
      </c>
      <c r="M86" s="100">
        <v>48.54</v>
      </c>
      <c r="N86" s="100">
        <v>23.6</v>
      </c>
      <c r="O86" s="100">
        <v>0.2</v>
      </c>
      <c r="P86" s="100">
        <v>0.63</v>
      </c>
      <c r="Q86" s="100">
        <v>28.86</v>
      </c>
      <c r="R86" s="6"/>
      <c r="S86" s="6"/>
      <c r="T86" s="156"/>
      <c r="U86" s="6"/>
    </row>
    <row r="87" spans="1:21" customFormat="1">
      <c r="A87" s="163" t="s">
        <v>2238</v>
      </c>
      <c r="B87" s="100">
        <v>4.87</v>
      </c>
      <c r="C87" s="100">
        <v>17.809999999999999</v>
      </c>
      <c r="D87" s="100">
        <v>12.22</v>
      </c>
      <c r="E87" s="100">
        <v>7.9</v>
      </c>
      <c r="F87" s="100">
        <v>11.5</v>
      </c>
      <c r="G87" s="100">
        <v>48.99</v>
      </c>
      <c r="H87" s="100">
        <v>13.93</v>
      </c>
      <c r="I87" s="100">
        <v>12.4</v>
      </c>
      <c r="J87" s="100">
        <v>1.21</v>
      </c>
      <c r="K87" s="100">
        <v>138.01</v>
      </c>
      <c r="L87" s="100">
        <v>29.84</v>
      </c>
      <c r="M87" s="100">
        <v>45.37</v>
      </c>
      <c r="N87" s="100">
        <v>21.7</v>
      </c>
      <c r="O87" s="100">
        <v>0</v>
      </c>
      <c r="P87" s="100">
        <v>0.63</v>
      </c>
      <c r="Q87" s="100">
        <v>28.75</v>
      </c>
      <c r="R87" s="6"/>
      <c r="S87" s="6"/>
      <c r="T87" s="156"/>
      <c r="U87" s="6"/>
    </row>
    <row r="88" spans="1:21" customFormat="1">
      <c r="A88" s="163" t="s">
        <v>2239</v>
      </c>
      <c r="B88" s="100">
        <v>4.54</v>
      </c>
      <c r="C88" s="100">
        <v>17.32</v>
      </c>
      <c r="D88" s="100">
        <v>11.69</v>
      </c>
      <c r="E88" s="100">
        <v>7.43</v>
      </c>
      <c r="F88" s="100">
        <v>7.33</v>
      </c>
      <c r="G88" s="100">
        <v>52.14</v>
      </c>
      <c r="H88" s="100">
        <v>14.88</v>
      </c>
      <c r="I88" s="100">
        <v>11.53</v>
      </c>
      <c r="J88" s="100">
        <v>3.11</v>
      </c>
      <c r="K88" s="100">
        <v>256.77</v>
      </c>
      <c r="L88" s="100">
        <v>30.58</v>
      </c>
      <c r="M88" s="100">
        <v>42.52</v>
      </c>
      <c r="N88" s="100">
        <v>22.2</v>
      </c>
      <c r="O88" s="100">
        <v>0</v>
      </c>
      <c r="P88" s="100">
        <v>0.62</v>
      </c>
      <c r="Q88" s="100">
        <v>28.75</v>
      </c>
      <c r="R88" s="6"/>
      <c r="S88" s="6"/>
      <c r="T88" s="156"/>
      <c r="U88" s="6"/>
    </row>
    <row r="89" spans="1:21" customFormat="1">
      <c r="A89" s="163" t="s">
        <v>2240</v>
      </c>
      <c r="B89" s="100">
        <v>4.62</v>
      </c>
      <c r="C89" s="100">
        <v>16.37</v>
      </c>
      <c r="D89" s="100">
        <v>11.26</v>
      </c>
      <c r="E89" s="100">
        <v>6.79</v>
      </c>
      <c r="F89" s="100">
        <v>5.98</v>
      </c>
      <c r="G89" s="100">
        <v>63.88</v>
      </c>
      <c r="H89" s="100">
        <v>18.41</v>
      </c>
      <c r="I89" s="100">
        <v>11.66</v>
      </c>
      <c r="J89" s="100">
        <v>4.51</v>
      </c>
      <c r="K89" s="100">
        <v>249.3</v>
      </c>
      <c r="L89" s="100">
        <v>28.21</v>
      </c>
      <c r="M89" s="100">
        <v>59.64</v>
      </c>
      <c r="N89" s="100">
        <v>23.9</v>
      </c>
      <c r="O89" s="100">
        <v>0</v>
      </c>
      <c r="P89" s="100">
        <v>0.61</v>
      </c>
      <c r="Q89" s="100">
        <v>28.74</v>
      </c>
      <c r="R89" s="6"/>
      <c r="S89" s="6"/>
      <c r="T89" s="156"/>
      <c r="U89" s="6"/>
    </row>
    <row r="90" spans="1:21" customFormat="1">
      <c r="A90" s="163" t="s">
        <v>2241</v>
      </c>
      <c r="B90" s="100">
        <v>3.81</v>
      </c>
      <c r="C90" s="100">
        <v>15.13</v>
      </c>
      <c r="D90" s="100">
        <v>9.9700000000000006</v>
      </c>
      <c r="E90" s="100">
        <v>6.58</v>
      </c>
      <c r="F90" s="100">
        <v>5.34</v>
      </c>
      <c r="G90" s="100">
        <v>63.88</v>
      </c>
      <c r="H90" s="100">
        <v>18.41</v>
      </c>
      <c r="I90" s="100">
        <v>11.01</v>
      </c>
      <c r="J90" s="100">
        <v>2.2999999999999998</v>
      </c>
      <c r="K90" s="100">
        <v>267.89999999999998</v>
      </c>
      <c r="L90" s="100">
        <v>26.89</v>
      </c>
      <c r="M90" s="100">
        <v>64.98</v>
      </c>
      <c r="N90" s="100">
        <v>22.1</v>
      </c>
      <c r="O90" s="100">
        <v>0</v>
      </c>
      <c r="P90" s="100">
        <v>0.61</v>
      </c>
      <c r="Q90" s="100">
        <v>28.89</v>
      </c>
      <c r="R90" s="6"/>
      <c r="S90" s="6"/>
      <c r="T90" s="156"/>
      <c r="U90" s="6"/>
    </row>
    <row r="91" spans="1:21" customFormat="1">
      <c r="A91" s="163" t="s">
        <v>2242</v>
      </c>
      <c r="B91" s="100">
        <v>3.48</v>
      </c>
      <c r="C91" s="100">
        <v>14.46</v>
      </c>
      <c r="D91" s="100">
        <v>9.35</v>
      </c>
      <c r="E91" s="100">
        <v>6.4</v>
      </c>
      <c r="F91" s="100">
        <v>6.25</v>
      </c>
      <c r="G91" s="100">
        <v>63.88</v>
      </c>
      <c r="H91" s="100">
        <v>18.41</v>
      </c>
      <c r="I91" s="100">
        <v>10.82</v>
      </c>
      <c r="J91" s="100">
        <v>1.94</v>
      </c>
      <c r="K91" s="100">
        <v>268.37</v>
      </c>
      <c r="L91" s="100">
        <v>27.13</v>
      </c>
      <c r="M91" s="100">
        <v>62.46</v>
      </c>
      <c r="N91" s="100">
        <v>22.9</v>
      </c>
      <c r="O91" s="100">
        <v>0</v>
      </c>
      <c r="P91" s="100">
        <v>0.57999999999999996</v>
      </c>
      <c r="Q91" s="100">
        <v>28.98</v>
      </c>
      <c r="R91" s="6"/>
      <c r="S91" s="6"/>
      <c r="T91" s="156"/>
      <c r="U91" s="6"/>
    </row>
    <row r="92" spans="1:21" customFormat="1">
      <c r="A92" s="163" t="s">
        <v>2243</v>
      </c>
      <c r="B92" s="100">
        <v>3.41</v>
      </c>
      <c r="C92" s="100">
        <v>12.66</v>
      </c>
      <c r="D92" s="100">
        <v>8.35</v>
      </c>
      <c r="E92" s="100">
        <v>6.4</v>
      </c>
      <c r="F92" s="100">
        <v>5.94</v>
      </c>
      <c r="G92" s="100">
        <v>61.28</v>
      </c>
      <c r="H92" s="100">
        <v>18.43</v>
      </c>
      <c r="I92" s="100">
        <v>10.54</v>
      </c>
      <c r="J92" s="100">
        <v>1.1499999999999999</v>
      </c>
      <c r="K92" s="100">
        <v>353.89</v>
      </c>
      <c r="L92" s="100">
        <v>27.45</v>
      </c>
      <c r="M92" s="100">
        <v>61.92</v>
      </c>
      <c r="N92" s="100">
        <v>22.7</v>
      </c>
      <c r="O92" s="100">
        <v>0</v>
      </c>
      <c r="P92" s="100">
        <v>0.56999999999999995</v>
      </c>
      <c r="Q92" s="100">
        <v>29.07</v>
      </c>
      <c r="R92" s="6"/>
      <c r="S92" s="6"/>
      <c r="T92" s="156"/>
      <c r="U92" s="6"/>
    </row>
    <row r="93" spans="1:21" customFormat="1">
      <c r="A93" s="163" t="s">
        <v>2244</v>
      </c>
      <c r="B93" s="100">
        <v>3.6</v>
      </c>
      <c r="C93" s="100">
        <v>12.21</v>
      </c>
      <c r="D93" s="100">
        <v>8.27</v>
      </c>
      <c r="E93" s="100">
        <v>6.34</v>
      </c>
      <c r="F93" s="100">
        <v>6.74</v>
      </c>
      <c r="G93" s="100">
        <v>51.58</v>
      </c>
      <c r="H93" s="100">
        <v>18.5</v>
      </c>
      <c r="I93" s="100">
        <v>10.24</v>
      </c>
      <c r="J93" s="100">
        <v>3.13</v>
      </c>
      <c r="K93" s="100">
        <v>20.88</v>
      </c>
      <c r="L93" s="100">
        <v>27.04</v>
      </c>
      <c r="M93" s="100">
        <v>66.12</v>
      </c>
      <c r="N93" s="100">
        <v>23.7</v>
      </c>
      <c r="O93" s="100">
        <v>0</v>
      </c>
      <c r="P93" s="100">
        <v>0.56999999999999995</v>
      </c>
      <c r="Q93" s="100">
        <v>29.06</v>
      </c>
      <c r="R93" s="6"/>
      <c r="S93" s="6"/>
      <c r="T93" s="156"/>
      <c r="U93" s="6"/>
    </row>
    <row r="94" spans="1:21" customFormat="1">
      <c r="A94" s="163" t="s">
        <v>2245</v>
      </c>
      <c r="B94" s="100">
        <v>3.93</v>
      </c>
      <c r="C94" s="100">
        <v>12.09</v>
      </c>
      <c r="D94" s="100">
        <v>8.48</v>
      </c>
      <c r="E94" s="100">
        <v>6.19</v>
      </c>
      <c r="F94" s="100">
        <v>9.26</v>
      </c>
      <c r="G94" s="100">
        <v>51.58</v>
      </c>
      <c r="H94" s="100">
        <v>18.5</v>
      </c>
      <c r="I94" s="100">
        <v>10</v>
      </c>
      <c r="J94" s="100">
        <v>4.91</v>
      </c>
      <c r="K94" s="100">
        <v>27.48</v>
      </c>
      <c r="L94" s="100">
        <v>26.1</v>
      </c>
      <c r="M94" s="100">
        <v>72.459999999999994</v>
      </c>
      <c r="N94" s="100">
        <v>25.2</v>
      </c>
      <c r="O94" s="100">
        <v>0.4</v>
      </c>
      <c r="P94" s="100">
        <v>0.53</v>
      </c>
      <c r="Q94" s="100">
        <v>29.07</v>
      </c>
      <c r="R94" s="6"/>
      <c r="S94" s="6"/>
      <c r="T94" s="156"/>
      <c r="U94" s="6"/>
    </row>
    <row r="95" spans="1:21" customFormat="1">
      <c r="A95" s="163" t="s">
        <v>2246</v>
      </c>
      <c r="B95" s="100">
        <v>4.17</v>
      </c>
      <c r="C95" s="100">
        <v>13.79</v>
      </c>
      <c r="D95" s="100">
        <v>9.56</v>
      </c>
      <c r="E95" s="100">
        <v>6.5</v>
      </c>
      <c r="F95" s="100">
        <v>5.72</v>
      </c>
      <c r="G95" s="100">
        <v>51.58</v>
      </c>
      <c r="H95" s="100">
        <v>18.5</v>
      </c>
      <c r="I95" s="100">
        <v>9.8000000000000007</v>
      </c>
      <c r="J95" s="100">
        <v>4.62</v>
      </c>
      <c r="K95" s="100">
        <v>12.51</v>
      </c>
      <c r="L95" s="100">
        <v>25.12</v>
      </c>
      <c r="M95" s="100">
        <v>78.44</v>
      </c>
      <c r="N95" s="100">
        <v>24.5</v>
      </c>
      <c r="O95" s="100">
        <v>0.8</v>
      </c>
      <c r="P95" s="100">
        <v>0.54</v>
      </c>
      <c r="Q95" s="100">
        <v>28.96</v>
      </c>
      <c r="R95" s="6"/>
      <c r="S95" s="6"/>
      <c r="T95" s="156"/>
      <c r="U95" s="6"/>
    </row>
    <row r="96" spans="1:21" customFormat="1">
      <c r="A96" s="163" t="s">
        <v>2247</v>
      </c>
      <c r="B96" s="100">
        <v>4.25</v>
      </c>
      <c r="C96" s="100">
        <v>14.59</v>
      </c>
      <c r="D96" s="100">
        <v>10.039999999999999</v>
      </c>
      <c r="E96" s="100">
        <v>6.67</v>
      </c>
      <c r="F96" s="100">
        <v>8.41</v>
      </c>
      <c r="G96" s="100">
        <v>47.42</v>
      </c>
      <c r="H96" s="100">
        <v>17.93</v>
      </c>
      <c r="I96" s="100">
        <v>9.3000000000000007</v>
      </c>
      <c r="J96" s="100">
        <v>4.05</v>
      </c>
      <c r="K96" s="100">
        <v>13.51</v>
      </c>
      <c r="L96" s="100">
        <v>24.36</v>
      </c>
      <c r="M96" s="100">
        <v>83.32</v>
      </c>
      <c r="N96" s="100">
        <v>23.7</v>
      </c>
      <c r="O96" s="100">
        <v>0.4</v>
      </c>
      <c r="P96" s="100">
        <v>0.51</v>
      </c>
      <c r="Q96" s="100">
        <v>28.82</v>
      </c>
      <c r="R96" s="6"/>
      <c r="S96" s="6"/>
      <c r="T96" s="156"/>
      <c r="U96" s="6"/>
    </row>
    <row r="97" spans="1:28" customFormat="1">
      <c r="A97" s="163" t="s">
        <v>2248</v>
      </c>
      <c r="B97" s="100">
        <v>4.43</v>
      </c>
      <c r="C97" s="100">
        <v>13.83</v>
      </c>
      <c r="D97" s="100">
        <v>9.7799999999999994</v>
      </c>
      <c r="E97" s="100">
        <v>6.08</v>
      </c>
      <c r="F97" s="100">
        <v>8.08</v>
      </c>
      <c r="G97" s="100">
        <v>31.88</v>
      </c>
      <c r="H97" s="100">
        <v>15.78</v>
      </c>
      <c r="I97" s="100">
        <v>9.23</v>
      </c>
      <c r="J97" s="100">
        <v>3.15</v>
      </c>
      <c r="K97" s="100">
        <v>23.41</v>
      </c>
      <c r="L97" s="100">
        <v>24.06</v>
      </c>
      <c r="M97" s="100">
        <v>86.52</v>
      </c>
      <c r="N97" s="100">
        <v>23.1</v>
      </c>
      <c r="O97" s="100">
        <v>0</v>
      </c>
      <c r="P97" s="100">
        <v>0.49</v>
      </c>
      <c r="Q97" s="100">
        <v>28.84</v>
      </c>
      <c r="R97" s="6"/>
      <c r="S97" s="6"/>
      <c r="T97" s="156"/>
      <c r="U97" s="6"/>
    </row>
    <row r="98" spans="1:28" customFormat="1">
      <c r="A98" s="163" t="s">
        <v>2249</v>
      </c>
      <c r="B98" s="100">
        <v>4.4000000000000004</v>
      </c>
      <c r="C98" s="100">
        <v>13.7</v>
      </c>
      <c r="D98" s="100">
        <v>9.69</v>
      </c>
      <c r="E98" s="100">
        <v>6.03</v>
      </c>
      <c r="F98" s="100">
        <v>8.19</v>
      </c>
      <c r="G98" s="100">
        <v>31.88</v>
      </c>
      <c r="H98" s="100">
        <v>15.78</v>
      </c>
      <c r="I98" s="100">
        <v>9.14</v>
      </c>
      <c r="J98" s="100">
        <v>3.8</v>
      </c>
      <c r="K98" s="100">
        <v>5.64</v>
      </c>
      <c r="L98" s="100">
        <v>24.17</v>
      </c>
      <c r="M98" s="100">
        <v>87.34</v>
      </c>
      <c r="N98" s="100">
        <v>23</v>
      </c>
      <c r="O98" s="100">
        <v>0.2</v>
      </c>
      <c r="P98" s="100">
        <v>0.49</v>
      </c>
      <c r="Q98" s="100">
        <v>28.86</v>
      </c>
      <c r="R98" s="6"/>
      <c r="S98" s="6"/>
      <c r="T98" s="156"/>
      <c r="U98" s="6"/>
    </row>
    <row r="99" spans="1:28" customFormat="1">
      <c r="A99" s="163" t="s">
        <v>2250</v>
      </c>
      <c r="B99" s="100">
        <v>4.46</v>
      </c>
      <c r="C99" s="100">
        <v>14</v>
      </c>
      <c r="D99" s="100">
        <v>9.9</v>
      </c>
      <c r="E99" s="100">
        <v>5.96</v>
      </c>
      <c r="F99" s="100">
        <v>6.59</v>
      </c>
      <c r="G99" s="100">
        <v>31.88</v>
      </c>
      <c r="H99" s="100">
        <v>15.78</v>
      </c>
      <c r="I99" s="100">
        <v>8.91</v>
      </c>
      <c r="J99" s="100">
        <v>2.0699999999999998</v>
      </c>
      <c r="K99" s="100">
        <v>51.93</v>
      </c>
      <c r="L99" s="100">
        <v>24.36</v>
      </c>
      <c r="M99" s="100">
        <v>87.14</v>
      </c>
      <c r="N99" s="100">
        <v>23.1</v>
      </c>
      <c r="O99" s="100">
        <v>0</v>
      </c>
      <c r="P99" s="100">
        <v>0.49</v>
      </c>
      <c r="Q99" s="100">
        <v>28.81</v>
      </c>
      <c r="R99" s="6"/>
      <c r="S99" s="6"/>
      <c r="T99" s="156"/>
      <c r="U99" s="6"/>
    </row>
    <row r="100" spans="1:28" customFormat="1">
      <c r="A100" s="163" t="s">
        <v>2251</v>
      </c>
      <c r="B100" s="100">
        <v>4.51</v>
      </c>
      <c r="C100" s="100">
        <v>13.91</v>
      </c>
      <c r="D100" s="100">
        <v>9.89</v>
      </c>
      <c r="E100" s="100">
        <v>5.55</v>
      </c>
      <c r="F100" s="100">
        <v>5.03</v>
      </c>
      <c r="G100" s="100">
        <v>29.98</v>
      </c>
      <c r="H100" s="100">
        <v>14.85</v>
      </c>
      <c r="I100" s="100">
        <v>8.77</v>
      </c>
      <c r="J100" s="100">
        <v>3.95</v>
      </c>
      <c r="K100" s="100">
        <v>237</v>
      </c>
      <c r="L100" s="100">
        <v>24.17</v>
      </c>
      <c r="M100" s="100">
        <v>90.33</v>
      </c>
      <c r="N100" s="100">
        <v>23.8</v>
      </c>
      <c r="O100" s="100">
        <v>4</v>
      </c>
      <c r="P100" s="100">
        <v>0.49</v>
      </c>
      <c r="Q100" s="100">
        <v>28.84</v>
      </c>
      <c r="R100" s="6"/>
      <c r="S100" s="6"/>
      <c r="T100" s="156"/>
      <c r="U100" s="6"/>
      <c r="AB100" s="161"/>
    </row>
    <row r="101" spans="1:28" customFormat="1">
      <c r="A101" s="163" t="s">
        <v>2252</v>
      </c>
      <c r="B101" s="100">
        <v>4.38</v>
      </c>
      <c r="C101" s="100">
        <v>13.89</v>
      </c>
      <c r="D101" s="100">
        <v>9.7799999999999994</v>
      </c>
      <c r="E101" s="100">
        <v>4.7699999999999996</v>
      </c>
      <c r="F101" s="100">
        <v>6.43</v>
      </c>
      <c r="G101" s="100">
        <v>22.87</v>
      </c>
      <c r="H101" s="100">
        <v>11.41</v>
      </c>
      <c r="I101" s="100">
        <v>8.66</v>
      </c>
      <c r="J101" s="100">
        <v>1.36</v>
      </c>
      <c r="K101" s="100">
        <v>307.45</v>
      </c>
      <c r="L101" s="100">
        <v>23.19</v>
      </c>
      <c r="M101" s="100">
        <v>96.3</v>
      </c>
      <c r="N101" s="100">
        <v>24.2</v>
      </c>
      <c r="O101" s="100">
        <v>1.6</v>
      </c>
      <c r="P101" s="100">
        <v>0.46</v>
      </c>
      <c r="Q101" s="100">
        <v>28.87</v>
      </c>
      <c r="R101" s="6"/>
      <c r="S101" s="6"/>
      <c r="T101" s="156"/>
      <c r="U101" s="6"/>
    </row>
    <row r="102" spans="1:28" customFormat="1">
      <c r="A102" s="163" t="s">
        <v>2253</v>
      </c>
      <c r="B102" s="100">
        <v>4.21</v>
      </c>
      <c r="C102" s="100">
        <v>13.65</v>
      </c>
      <c r="D102" s="100">
        <v>9.51</v>
      </c>
      <c r="E102" s="100">
        <v>5.6</v>
      </c>
      <c r="F102" s="100">
        <v>5.27</v>
      </c>
      <c r="G102" s="100">
        <v>22.87</v>
      </c>
      <c r="H102" s="100">
        <v>11.41</v>
      </c>
      <c r="I102" s="100">
        <v>8.59</v>
      </c>
      <c r="J102" s="100">
        <v>1.7</v>
      </c>
      <c r="K102" s="100">
        <v>181.02</v>
      </c>
      <c r="L102" s="100">
        <v>22.9</v>
      </c>
      <c r="M102" s="100">
        <v>96.95</v>
      </c>
      <c r="N102" s="100">
        <v>24</v>
      </c>
      <c r="O102" s="100">
        <v>0</v>
      </c>
      <c r="P102" s="100">
        <v>0.47</v>
      </c>
      <c r="Q102" s="100">
        <v>28.89</v>
      </c>
      <c r="R102" s="6"/>
      <c r="S102" s="6"/>
      <c r="T102" s="156"/>
      <c r="U102" s="6"/>
    </row>
    <row r="103" spans="1:28" customFormat="1">
      <c r="A103" s="163" t="s">
        <v>2254</v>
      </c>
      <c r="B103" s="100">
        <v>4.3</v>
      </c>
      <c r="C103" s="100">
        <v>13.75</v>
      </c>
      <c r="D103" s="100">
        <v>9.64</v>
      </c>
      <c r="E103" s="100">
        <v>5.32</v>
      </c>
      <c r="F103" s="100">
        <v>3.77</v>
      </c>
      <c r="G103" s="100">
        <v>22.87</v>
      </c>
      <c r="H103" s="100">
        <v>11.41</v>
      </c>
      <c r="I103" s="100">
        <v>8.35</v>
      </c>
      <c r="J103" s="100">
        <v>3.09</v>
      </c>
      <c r="K103" s="100">
        <v>172.52</v>
      </c>
      <c r="L103" s="100">
        <v>23.27</v>
      </c>
      <c r="M103" s="100">
        <v>96.96</v>
      </c>
      <c r="N103" s="100">
        <v>23.4</v>
      </c>
      <c r="O103" s="100">
        <v>0</v>
      </c>
      <c r="P103" s="100">
        <v>0.47</v>
      </c>
      <c r="Q103" s="100">
        <v>28.88</v>
      </c>
      <c r="R103" s="6"/>
      <c r="S103" s="6"/>
      <c r="T103" s="156"/>
      <c r="U103" s="6"/>
    </row>
    <row r="104" spans="1:28" customFormat="1">
      <c r="A104" s="163" t="s">
        <v>2255</v>
      </c>
      <c r="B104" s="100">
        <v>4.51</v>
      </c>
      <c r="C104" s="100">
        <v>16.28</v>
      </c>
      <c r="D104" s="100">
        <v>11.13</v>
      </c>
      <c r="E104" s="100">
        <v>5.4</v>
      </c>
      <c r="F104" s="100">
        <v>2.75</v>
      </c>
      <c r="G104" s="100">
        <v>21.67</v>
      </c>
      <c r="H104" s="100">
        <v>10.75</v>
      </c>
      <c r="I104" s="100">
        <v>8.1199999999999992</v>
      </c>
      <c r="J104" s="100">
        <v>1.77</v>
      </c>
      <c r="K104" s="100">
        <v>135.28</v>
      </c>
      <c r="L104" s="100">
        <v>23.46</v>
      </c>
      <c r="M104" s="100">
        <v>96.98</v>
      </c>
      <c r="N104" s="100">
        <v>23.3</v>
      </c>
      <c r="O104" s="100">
        <v>0.4</v>
      </c>
      <c r="P104" s="100">
        <v>0.47</v>
      </c>
      <c r="Q104" s="100">
        <v>28.76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1.53</v>
      </c>
      <c r="C106" s="158">
        <f>MIN(C9:C104)</f>
        <v>9.94</v>
      </c>
      <c r="D106" s="158">
        <f t="shared" ref="D106:Q106" si="0">MIN(D9:D104)</f>
        <v>5.43</v>
      </c>
      <c r="E106" s="158">
        <f t="shared" si="0"/>
        <v>4.7699999999999996</v>
      </c>
      <c r="F106" s="158">
        <f t="shared" si="0"/>
        <v>2.6</v>
      </c>
      <c r="G106" s="158">
        <f t="shared" si="0"/>
        <v>21.67</v>
      </c>
      <c r="H106" s="158">
        <f t="shared" si="0"/>
        <v>10.75</v>
      </c>
      <c r="I106" s="158">
        <f t="shared" si="0"/>
        <v>7.05</v>
      </c>
      <c r="J106" s="158">
        <f t="shared" si="0"/>
        <v>0.44</v>
      </c>
      <c r="K106" s="158">
        <f t="shared" si="0"/>
        <v>5.64</v>
      </c>
      <c r="L106" s="158">
        <f t="shared" si="0"/>
        <v>22.9</v>
      </c>
      <c r="M106" s="158">
        <f t="shared" si="0"/>
        <v>23.23</v>
      </c>
      <c r="N106" s="158">
        <f t="shared" si="0"/>
        <v>21.7</v>
      </c>
      <c r="O106" s="158">
        <f t="shared" si="0"/>
        <v>0</v>
      </c>
      <c r="P106" s="158">
        <f t="shared" si="0"/>
        <v>0.11</v>
      </c>
      <c r="Q106" s="158">
        <f t="shared" si="0"/>
        <v>27.93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9.89</v>
      </c>
      <c r="C107" s="157">
        <f t="shared" ref="C107:Q107" si="1">MAX(C9:C104)</f>
        <v>23.19</v>
      </c>
      <c r="D107" s="157">
        <f t="shared" si="1"/>
        <v>15.5</v>
      </c>
      <c r="E107" s="157">
        <f t="shared" si="1"/>
        <v>11.94</v>
      </c>
      <c r="F107" s="157">
        <f t="shared" si="1"/>
        <v>66.16</v>
      </c>
      <c r="G107" s="157">
        <f t="shared" si="1"/>
        <v>76.92</v>
      </c>
      <c r="H107" s="157">
        <f t="shared" si="1"/>
        <v>36.93</v>
      </c>
      <c r="I107" s="157">
        <f t="shared" si="1"/>
        <v>13.8</v>
      </c>
      <c r="J107" s="157">
        <f t="shared" si="1"/>
        <v>4.91</v>
      </c>
      <c r="K107" s="157">
        <f t="shared" si="1"/>
        <v>353.89</v>
      </c>
      <c r="L107" s="157">
        <f t="shared" si="1"/>
        <v>43.27</v>
      </c>
      <c r="M107" s="157">
        <f t="shared" si="1"/>
        <v>96.98</v>
      </c>
      <c r="N107" s="157">
        <f t="shared" si="1"/>
        <v>847.4</v>
      </c>
      <c r="O107" s="157">
        <f t="shared" si="1"/>
        <v>4</v>
      </c>
      <c r="P107" s="157">
        <f t="shared" si="1"/>
        <v>0.72</v>
      </c>
      <c r="Q107" s="157">
        <f t="shared" si="1"/>
        <v>29.22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4.9728124999999999</v>
      </c>
      <c r="C108" s="158">
        <f t="shared" ref="C108:Q108" si="2">AVERAGE(C9:C104)</f>
        <v>14.795937500000001</v>
      </c>
      <c r="D108" s="158">
        <f t="shared" si="2"/>
        <v>10.72395833333333</v>
      </c>
      <c r="E108" s="158">
        <f t="shared" si="2"/>
        <v>7.2453124999999998</v>
      </c>
      <c r="F108" s="158">
        <f t="shared" si="2"/>
        <v>17.883437500000003</v>
      </c>
      <c r="G108" s="158">
        <f t="shared" si="2"/>
        <v>49.74791666666664</v>
      </c>
      <c r="H108" s="158">
        <f t="shared" si="2"/>
        <v>20.745520833333348</v>
      </c>
      <c r="I108" s="158">
        <f t="shared" si="2"/>
        <v>11.221145833333329</v>
      </c>
      <c r="J108" s="158">
        <f t="shared" si="2"/>
        <v>2.765625</v>
      </c>
      <c r="K108" s="158">
        <f t="shared" si="2"/>
        <v>156.5596875</v>
      </c>
      <c r="L108" s="158">
        <f t="shared" si="2"/>
        <v>33.806041666666665</v>
      </c>
      <c r="M108" s="158">
        <f t="shared" si="2"/>
        <v>50.119583333333338</v>
      </c>
      <c r="N108" s="158">
        <f t="shared" si="2"/>
        <v>247.50625000000005</v>
      </c>
      <c r="O108" s="158">
        <f t="shared" si="2"/>
        <v>8.3333333333333329E-2</v>
      </c>
      <c r="P108" s="158">
        <f t="shared" si="2"/>
        <v>0.56052083333333325</v>
      </c>
      <c r="Q108" s="158">
        <f t="shared" si="2"/>
        <v>28.806041666666683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2.2825515285011932</v>
      </c>
      <c r="C109" s="158">
        <f t="shared" ref="C109:Q109" si="3">STDEV(C9:C104)</f>
        <v>3.05994378280834</v>
      </c>
      <c r="D109" s="158">
        <f t="shared" si="3"/>
        <v>2.2939474041447623</v>
      </c>
      <c r="E109" s="158">
        <f t="shared" si="3"/>
        <v>1.6996593795754869</v>
      </c>
      <c r="F109" s="158">
        <f t="shared" si="3"/>
        <v>17.056313220939323</v>
      </c>
      <c r="G109" s="158">
        <f t="shared" si="3"/>
        <v>13.26816664578627</v>
      </c>
      <c r="H109" s="158">
        <f t="shared" si="3"/>
        <v>6.338750643926323</v>
      </c>
      <c r="I109" s="158">
        <f t="shared" si="3"/>
        <v>1.6059585560567775</v>
      </c>
      <c r="J109" s="158">
        <f t="shared" si="3"/>
        <v>1.1040011560825378</v>
      </c>
      <c r="K109" s="158">
        <f t="shared" si="3"/>
        <v>87.689567001747463</v>
      </c>
      <c r="L109" s="158">
        <f t="shared" si="3"/>
        <v>5.4608413616578373</v>
      </c>
      <c r="M109" s="158">
        <f t="shared" si="3"/>
        <v>18.579022461207018</v>
      </c>
      <c r="N109" s="158">
        <f t="shared" si="3"/>
        <v>296.28030995290499</v>
      </c>
      <c r="O109" s="158">
        <f t="shared" si="3"/>
        <v>0.44831066922431245</v>
      </c>
      <c r="P109" s="158">
        <f t="shared" si="3"/>
        <v>9.6249344951062146E-2</v>
      </c>
      <c r="Q109" s="158">
        <f t="shared" si="3"/>
        <v>0.25899188837802234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J15" sqref="J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2256</v>
      </c>
      <c r="B9" s="100">
        <v>4.32</v>
      </c>
      <c r="C9" s="100">
        <v>15.95</v>
      </c>
      <c r="D9" s="100">
        <v>10.81</v>
      </c>
      <c r="E9" s="100">
        <v>5.72</v>
      </c>
      <c r="F9" s="100">
        <v>3.6</v>
      </c>
      <c r="G9" s="100">
        <v>17.18</v>
      </c>
      <c r="H9" s="100">
        <v>8.27</v>
      </c>
      <c r="I9" s="100">
        <v>8.1199999999999992</v>
      </c>
      <c r="J9" s="100">
        <v>1.84</v>
      </c>
      <c r="K9" s="100">
        <v>108.48</v>
      </c>
      <c r="L9" s="100">
        <v>23.46</v>
      </c>
      <c r="M9" s="100">
        <v>96.98</v>
      </c>
      <c r="N9" s="100">
        <v>24.3</v>
      </c>
      <c r="O9" s="100">
        <v>3</v>
      </c>
      <c r="P9" s="100">
        <v>0.45</v>
      </c>
      <c r="Q9" s="100">
        <v>28.79</v>
      </c>
      <c r="R9" s="6"/>
      <c r="S9" s="6"/>
      <c r="T9" s="156"/>
      <c r="U9" s="6"/>
    </row>
    <row r="10" spans="1:21" customFormat="1">
      <c r="A10" s="163" t="s">
        <v>2257</v>
      </c>
      <c r="B10" s="100">
        <v>4.59</v>
      </c>
      <c r="C10" s="100">
        <v>14.8</v>
      </c>
      <c r="D10" s="100">
        <v>10.42</v>
      </c>
      <c r="E10" s="100">
        <v>5.73</v>
      </c>
      <c r="F10" s="100">
        <v>2.9</v>
      </c>
      <c r="G10" s="100">
        <v>17.18</v>
      </c>
      <c r="H10" s="100">
        <v>8.27</v>
      </c>
      <c r="I10" s="100">
        <v>8.09</v>
      </c>
      <c r="J10" s="100">
        <v>2.5099999999999998</v>
      </c>
      <c r="K10" s="100">
        <v>58.51</v>
      </c>
      <c r="L10" s="100">
        <v>22.19</v>
      </c>
      <c r="M10" s="100">
        <v>96.98</v>
      </c>
      <c r="N10" s="100">
        <v>25.4</v>
      </c>
      <c r="O10" s="100">
        <v>6.6</v>
      </c>
      <c r="P10" s="100">
        <v>0.45</v>
      </c>
      <c r="Q10" s="100">
        <v>28.86</v>
      </c>
      <c r="R10" s="6"/>
      <c r="S10" s="6"/>
      <c r="T10" s="156"/>
      <c r="U10" s="6"/>
    </row>
    <row r="11" spans="1:21" customFormat="1">
      <c r="A11" s="163" t="s">
        <v>2258</v>
      </c>
      <c r="B11" s="100">
        <v>4.99</v>
      </c>
      <c r="C11" s="100">
        <v>14.41</v>
      </c>
      <c r="D11" s="100">
        <v>10.54</v>
      </c>
      <c r="E11" s="100">
        <v>5.92</v>
      </c>
      <c r="F11" s="100">
        <v>2.59</v>
      </c>
      <c r="G11" s="100">
        <v>17.18</v>
      </c>
      <c r="H11" s="100">
        <v>8.27</v>
      </c>
      <c r="I11" s="100">
        <v>7.97</v>
      </c>
      <c r="J11" s="100">
        <v>2.5299999999999998</v>
      </c>
      <c r="K11" s="100">
        <v>145.24</v>
      </c>
      <c r="L11" s="100">
        <v>21.72</v>
      </c>
      <c r="M11" s="100">
        <v>96.98</v>
      </c>
      <c r="N11" s="100">
        <v>24.1</v>
      </c>
      <c r="O11" s="100">
        <v>0.2</v>
      </c>
      <c r="P11" s="100">
        <v>0.43</v>
      </c>
      <c r="Q11" s="100">
        <v>28.83</v>
      </c>
      <c r="R11" s="6"/>
      <c r="S11" s="6"/>
      <c r="T11" s="156"/>
      <c r="U11" s="6"/>
    </row>
    <row r="12" spans="1:21" customFormat="1">
      <c r="A12" s="163" t="s">
        <v>2259</v>
      </c>
      <c r="B12" s="100">
        <v>5.31</v>
      </c>
      <c r="C12" s="100">
        <v>14.03</v>
      </c>
      <c r="D12" s="100">
        <v>10.59</v>
      </c>
      <c r="E12" s="100">
        <v>5.44</v>
      </c>
      <c r="F12" s="100">
        <v>2.42</v>
      </c>
      <c r="G12" s="100">
        <v>16.75</v>
      </c>
      <c r="H12" s="100">
        <v>8.43</v>
      </c>
      <c r="I12" s="100">
        <v>7.94</v>
      </c>
      <c r="J12" s="100">
        <v>4.62</v>
      </c>
      <c r="K12" s="100">
        <v>221.4</v>
      </c>
      <c r="L12" s="100">
        <v>22.2</v>
      </c>
      <c r="M12" s="100">
        <v>96.96</v>
      </c>
      <c r="N12" s="100">
        <v>23.3</v>
      </c>
      <c r="O12" s="100">
        <v>0.2</v>
      </c>
      <c r="P12" s="100">
        <v>0.42</v>
      </c>
      <c r="Q12" s="100">
        <v>28.79</v>
      </c>
      <c r="R12" s="6"/>
      <c r="S12" s="6"/>
      <c r="T12" s="156"/>
      <c r="U12" s="6"/>
    </row>
    <row r="13" spans="1:21" customFormat="1">
      <c r="A13" s="163" t="s">
        <v>2260</v>
      </c>
      <c r="B13" s="100">
        <v>5.34</v>
      </c>
      <c r="C13" s="100">
        <v>13.78</v>
      </c>
      <c r="D13" s="100">
        <v>10.48</v>
      </c>
      <c r="E13" s="100">
        <v>5.33</v>
      </c>
      <c r="F13" s="100">
        <v>3.04</v>
      </c>
      <c r="G13" s="100">
        <v>15.15</v>
      </c>
      <c r="H13" s="100">
        <v>9.0399999999999991</v>
      </c>
      <c r="I13" s="100">
        <v>7.82</v>
      </c>
      <c r="J13" s="100">
        <v>4.45</v>
      </c>
      <c r="K13" s="100">
        <v>207.36</v>
      </c>
      <c r="L13" s="100">
        <v>22.65</v>
      </c>
      <c r="M13" s="100">
        <v>96.37</v>
      </c>
      <c r="N13" s="100">
        <v>23.4</v>
      </c>
      <c r="O13" s="100">
        <v>0.2</v>
      </c>
      <c r="P13" s="100">
        <v>0.41</v>
      </c>
      <c r="Q13" s="100">
        <v>28.81</v>
      </c>
      <c r="R13" s="6"/>
      <c r="S13" s="6"/>
      <c r="T13" s="156"/>
      <c r="U13" s="6"/>
    </row>
    <row r="14" spans="1:21" customFormat="1">
      <c r="A14" s="163" t="s">
        <v>2261</v>
      </c>
      <c r="B14" s="100">
        <v>5.0999999999999996</v>
      </c>
      <c r="C14" s="100">
        <v>12.75</v>
      </c>
      <c r="D14" s="100">
        <v>9.76</v>
      </c>
      <c r="E14" s="100">
        <v>5.26</v>
      </c>
      <c r="F14" s="100">
        <v>3.53</v>
      </c>
      <c r="G14" s="100">
        <v>15.15</v>
      </c>
      <c r="H14" s="100">
        <v>9.0399999999999991</v>
      </c>
      <c r="I14" s="100">
        <v>7.79</v>
      </c>
      <c r="J14" s="100">
        <v>3.97</v>
      </c>
      <c r="K14" s="100">
        <v>187.37</v>
      </c>
      <c r="L14" s="100">
        <v>22.73</v>
      </c>
      <c r="M14" s="100">
        <v>96.95</v>
      </c>
      <c r="N14" s="100">
        <v>23.6</v>
      </c>
      <c r="O14" s="100">
        <v>0.6</v>
      </c>
      <c r="P14" s="100">
        <v>0.39</v>
      </c>
      <c r="Q14" s="100">
        <v>28.93</v>
      </c>
      <c r="R14" s="6"/>
      <c r="S14" s="6"/>
      <c r="T14" s="156"/>
      <c r="U14" s="6"/>
    </row>
    <row r="15" spans="1:21" customFormat="1">
      <c r="A15" s="163" t="s">
        <v>2262</v>
      </c>
      <c r="B15" s="100">
        <v>4.83</v>
      </c>
      <c r="C15" s="100">
        <v>12.48</v>
      </c>
      <c r="D15" s="100">
        <v>9.4</v>
      </c>
      <c r="E15" s="100">
        <v>5.08</v>
      </c>
      <c r="F15" s="100">
        <v>3.41</v>
      </c>
      <c r="G15" s="100">
        <v>15.15</v>
      </c>
      <c r="H15" s="100">
        <v>9.0399999999999991</v>
      </c>
      <c r="I15" s="100">
        <v>7.59</v>
      </c>
      <c r="J15" s="100">
        <v>3.58</v>
      </c>
      <c r="K15" s="100">
        <v>202.56</v>
      </c>
      <c r="L15" s="100">
        <v>22.67</v>
      </c>
      <c r="M15" s="100">
        <v>96.95</v>
      </c>
      <c r="N15" s="100">
        <v>23.5</v>
      </c>
      <c r="O15" s="100">
        <v>0</v>
      </c>
      <c r="P15" s="100">
        <v>0.39</v>
      </c>
      <c r="Q15" s="100">
        <v>28.92</v>
      </c>
      <c r="R15" s="6"/>
      <c r="S15" s="6"/>
      <c r="T15" s="156"/>
      <c r="U15" s="6"/>
    </row>
    <row r="16" spans="1:21" customFormat="1">
      <c r="A16" s="163" t="s">
        <v>2263</v>
      </c>
      <c r="B16" s="100">
        <v>4.6100000000000003</v>
      </c>
      <c r="C16" s="100">
        <v>12.73</v>
      </c>
      <c r="D16" s="100">
        <v>9.35</v>
      </c>
      <c r="E16" s="100">
        <v>5.09</v>
      </c>
      <c r="F16" s="100">
        <v>3.35</v>
      </c>
      <c r="G16" s="100">
        <v>14.44</v>
      </c>
      <c r="H16" s="100">
        <v>8.49</v>
      </c>
      <c r="I16" s="100">
        <v>7.25</v>
      </c>
      <c r="J16" s="100">
        <v>4.16</v>
      </c>
      <c r="K16" s="100">
        <v>209.35</v>
      </c>
      <c r="L16" s="100">
        <v>22.74</v>
      </c>
      <c r="M16" s="100">
        <v>96.95</v>
      </c>
      <c r="N16" s="100">
        <v>23.9</v>
      </c>
      <c r="O16" s="100">
        <v>0.4</v>
      </c>
      <c r="P16" s="100">
        <v>0.38</v>
      </c>
      <c r="Q16" s="100">
        <v>28.9</v>
      </c>
      <c r="R16" s="6"/>
      <c r="S16" s="6"/>
      <c r="T16" s="156"/>
      <c r="U16" s="6"/>
    </row>
    <row r="17" spans="1:21" customFormat="1">
      <c r="A17" s="163" t="s">
        <v>2264</v>
      </c>
      <c r="B17" s="100">
        <v>4.37</v>
      </c>
      <c r="C17" s="100">
        <v>12.99</v>
      </c>
      <c r="D17" s="100">
        <v>9.3000000000000007</v>
      </c>
      <c r="E17" s="100">
        <v>5.05</v>
      </c>
      <c r="F17" s="100">
        <v>3.86</v>
      </c>
      <c r="G17" s="100">
        <v>11.78</v>
      </c>
      <c r="H17" s="100">
        <v>6.46</v>
      </c>
      <c r="I17" s="100">
        <v>7.08</v>
      </c>
      <c r="J17" s="100">
        <v>4.24</v>
      </c>
      <c r="K17" s="100">
        <v>218.3</v>
      </c>
      <c r="L17" s="100">
        <v>22.63</v>
      </c>
      <c r="M17" s="100">
        <v>96.89</v>
      </c>
      <c r="N17" s="100">
        <v>24.1</v>
      </c>
      <c r="O17" s="100">
        <v>0.2</v>
      </c>
      <c r="P17" s="100">
        <v>0.38</v>
      </c>
      <c r="Q17" s="100">
        <v>28.91</v>
      </c>
      <c r="R17" s="6"/>
      <c r="S17" s="6"/>
      <c r="T17" s="156"/>
      <c r="U17" s="6"/>
    </row>
    <row r="18" spans="1:21" customFormat="1">
      <c r="A18" s="163" t="s">
        <v>2265</v>
      </c>
      <c r="B18" s="100">
        <v>3.98</v>
      </c>
      <c r="C18" s="100">
        <v>12.95</v>
      </c>
      <c r="D18" s="100">
        <v>8.9600000000000009</v>
      </c>
      <c r="E18" s="100">
        <v>4.05</v>
      </c>
      <c r="F18" s="100">
        <v>5.21</v>
      </c>
      <c r="G18" s="100">
        <v>11.78</v>
      </c>
      <c r="H18" s="100">
        <v>6.46</v>
      </c>
      <c r="I18" s="100">
        <v>6.95</v>
      </c>
      <c r="J18" s="100">
        <v>4.7699999999999996</v>
      </c>
      <c r="K18" s="100">
        <v>210.43</v>
      </c>
      <c r="L18" s="100">
        <v>22.45</v>
      </c>
      <c r="M18" s="100">
        <v>96.95</v>
      </c>
      <c r="N18" s="100">
        <v>24.5</v>
      </c>
      <c r="O18" s="100">
        <v>0.2</v>
      </c>
      <c r="P18" s="100">
        <v>0.37</v>
      </c>
      <c r="Q18" s="100">
        <v>28.94</v>
      </c>
      <c r="R18" s="6"/>
      <c r="S18" s="6"/>
      <c r="T18" s="156"/>
      <c r="U18" s="6"/>
    </row>
    <row r="19" spans="1:21" customFormat="1">
      <c r="A19" s="163" t="s">
        <v>2266</v>
      </c>
      <c r="B19" s="100">
        <v>3.54</v>
      </c>
      <c r="C19" s="100">
        <v>12.78</v>
      </c>
      <c r="D19" s="100">
        <v>8.52</v>
      </c>
      <c r="E19" s="100">
        <v>4.72</v>
      </c>
      <c r="F19" s="100">
        <v>4.72</v>
      </c>
      <c r="G19" s="100">
        <v>11.78</v>
      </c>
      <c r="H19" s="100">
        <v>6.46</v>
      </c>
      <c r="I19" s="100">
        <v>6.83</v>
      </c>
      <c r="J19" s="100">
        <v>4.32</v>
      </c>
      <c r="K19" s="100">
        <v>201.57</v>
      </c>
      <c r="L19" s="100">
        <v>22.4</v>
      </c>
      <c r="M19" s="100">
        <v>93.87</v>
      </c>
      <c r="N19" s="100">
        <v>24.1</v>
      </c>
      <c r="O19" s="100">
        <v>0.2</v>
      </c>
      <c r="P19" s="100">
        <v>0.35</v>
      </c>
      <c r="Q19" s="100">
        <v>28.99</v>
      </c>
      <c r="R19" s="6"/>
      <c r="S19" s="6"/>
      <c r="T19" s="156"/>
      <c r="U19" s="6"/>
    </row>
    <row r="20" spans="1:21" customFormat="1">
      <c r="A20" s="163" t="s">
        <v>2267</v>
      </c>
      <c r="B20" s="100">
        <v>3.27</v>
      </c>
      <c r="C20" s="100">
        <v>13.41</v>
      </c>
      <c r="D20" s="100">
        <v>8.6300000000000008</v>
      </c>
      <c r="E20" s="100">
        <v>4.66</v>
      </c>
      <c r="F20" s="100">
        <v>4.1100000000000003</v>
      </c>
      <c r="G20" s="100">
        <v>11.59</v>
      </c>
      <c r="H20" s="100">
        <v>6.06</v>
      </c>
      <c r="I20" s="100">
        <v>6.64</v>
      </c>
      <c r="J20" s="100">
        <v>4.45</v>
      </c>
      <c r="K20" s="100">
        <v>209.37</v>
      </c>
      <c r="L20" s="100">
        <v>22.68</v>
      </c>
      <c r="M20" s="100">
        <v>91.94</v>
      </c>
      <c r="N20" s="100">
        <v>23.5</v>
      </c>
      <c r="O20" s="100">
        <v>0</v>
      </c>
      <c r="P20" s="100">
        <v>0.36</v>
      </c>
      <c r="Q20" s="100">
        <v>28.97</v>
      </c>
      <c r="R20" s="6"/>
      <c r="S20" s="6"/>
      <c r="T20" s="156"/>
      <c r="U20" s="6"/>
    </row>
    <row r="21" spans="1:21" customFormat="1">
      <c r="A21" s="163" t="s">
        <v>2268</v>
      </c>
      <c r="B21" s="100">
        <v>3.15</v>
      </c>
      <c r="C21" s="100">
        <v>17.11</v>
      </c>
      <c r="D21" s="100">
        <v>10.47</v>
      </c>
      <c r="E21" s="100">
        <v>4.49</v>
      </c>
      <c r="F21" s="100">
        <v>3.74</v>
      </c>
      <c r="G21" s="100">
        <v>10.9</v>
      </c>
      <c r="H21" s="100">
        <v>4.58</v>
      </c>
      <c r="I21" s="100">
        <v>6.44</v>
      </c>
      <c r="J21" s="100">
        <v>4.97</v>
      </c>
      <c r="K21" s="100">
        <v>208.11</v>
      </c>
      <c r="L21" s="100">
        <v>22.6</v>
      </c>
      <c r="M21" s="100">
        <v>93.14</v>
      </c>
      <c r="N21" s="100">
        <v>23.9</v>
      </c>
      <c r="O21" s="100">
        <v>0.4</v>
      </c>
      <c r="P21" s="100">
        <v>0.36</v>
      </c>
      <c r="Q21" s="100">
        <v>28.81</v>
      </c>
      <c r="R21" s="6"/>
      <c r="S21" s="6"/>
      <c r="T21" s="156"/>
      <c r="U21" s="6"/>
    </row>
    <row r="22" spans="1:21" customFormat="1">
      <c r="A22" s="163" t="s">
        <v>2269</v>
      </c>
      <c r="B22" s="100">
        <v>3.07</v>
      </c>
      <c r="C22" s="100">
        <v>16.82</v>
      </c>
      <c r="D22" s="100">
        <v>10.25</v>
      </c>
      <c r="E22" s="100">
        <v>4.1399999999999997</v>
      </c>
      <c r="F22" s="100">
        <v>3.37</v>
      </c>
      <c r="G22" s="100">
        <v>10.9</v>
      </c>
      <c r="H22" s="100">
        <v>4.58</v>
      </c>
      <c r="I22" s="100">
        <v>6.36</v>
      </c>
      <c r="J22" s="100">
        <v>5.04</v>
      </c>
      <c r="K22" s="100">
        <v>213.33</v>
      </c>
      <c r="L22" s="100">
        <v>22.33</v>
      </c>
      <c r="M22" s="100">
        <v>94.41</v>
      </c>
      <c r="N22" s="100">
        <v>24.5</v>
      </c>
      <c r="O22" s="100">
        <v>0.2</v>
      </c>
      <c r="P22" s="100">
        <v>0.34</v>
      </c>
      <c r="Q22" s="100">
        <v>28.91</v>
      </c>
      <c r="R22" s="6"/>
      <c r="S22" s="6"/>
      <c r="T22" s="156"/>
      <c r="U22" s="6"/>
    </row>
    <row r="23" spans="1:21" customFormat="1">
      <c r="A23" s="163" t="s">
        <v>2270</v>
      </c>
      <c r="B23" s="100">
        <v>2.88</v>
      </c>
      <c r="C23" s="100">
        <v>15.35</v>
      </c>
      <c r="D23" s="100">
        <v>9.33</v>
      </c>
      <c r="E23" s="100">
        <v>4.63</v>
      </c>
      <c r="F23" s="100">
        <v>3.62</v>
      </c>
      <c r="G23" s="100">
        <v>10.9</v>
      </c>
      <c r="H23" s="100">
        <v>4.58</v>
      </c>
      <c r="I23" s="100">
        <v>6.23</v>
      </c>
      <c r="J23" s="100">
        <v>4.32</v>
      </c>
      <c r="K23" s="100">
        <v>206.11</v>
      </c>
      <c r="L23" s="100">
        <v>22.45</v>
      </c>
      <c r="M23" s="100">
        <v>89.87</v>
      </c>
      <c r="N23" s="100">
        <v>24.4</v>
      </c>
      <c r="O23" s="100">
        <v>0.2</v>
      </c>
      <c r="P23" s="100">
        <v>0.34</v>
      </c>
      <c r="Q23" s="100">
        <v>29.01</v>
      </c>
      <c r="R23" s="6"/>
      <c r="S23" s="6"/>
      <c r="T23" s="156"/>
      <c r="U23" s="6"/>
    </row>
    <row r="24" spans="1:21" customFormat="1">
      <c r="A24" s="163" t="s">
        <v>2271</v>
      </c>
      <c r="B24" s="100">
        <v>2.77</v>
      </c>
      <c r="C24" s="100">
        <v>14.76</v>
      </c>
      <c r="D24" s="100">
        <v>8.94</v>
      </c>
      <c r="E24" s="100">
        <v>4.6900000000000004</v>
      </c>
      <c r="F24" s="100">
        <v>3.18</v>
      </c>
      <c r="G24" s="100">
        <v>10.23</v>
      </c>
      <c r="H24" s="100">
        <v>4.3499999999999996</v>
      </c>
      <c r="I24" s="100">
        <v>6.17</v>
      </c>
      <c r="J24" s="100">
        <v>4.41</v>
      </c>
      <c r="K24" s="100">
        <v>214.77</v>
      </c>
      <c r="L24" s="100">
        <v>22.39</v>
      </c>
      <c r="M24" s="100">
        <v>88.5</v>
      </c>
      <c r="N24" s="100">
        <v>23.6</v>
      </c>
      <c r="O24" s="100">
        <v>0.2</v>
      </c>
      <c r="P24" s="100">
        <v>0.34</v>
      </c>
      <c r="Q24" s="100">
        <v>29.03</v>
      </c>
      <c r="R24" s="6"/>
      <c r="S24" s="6"/>
      <c r="T24" s="156"/>
      <c r="U24" s="6"/>
    </row>
    <row r="25" spans="1:21" customFormat="1">
      <c r="A25" s="163" t="s">
        <v>2272</v>
      </c>
      <c r="B25" s="100">
        <v>2.88</v>
      </c>
      <c r="C25" s="100">
        <v>14.19</v>
      </c>
      <c r="D25" s="100">
        <v>8.73</v>
      </c>
      <c r="E25" s="100">
        <v>4.3600000000000003</v>
      </c>
      <c r="F25" s="100">
        <v>2.98</v>
      </c>
      <c r="G25" s="100">
        <v>7.72</v>
      </c>
      <c r="H25" s="100">
        <v>3.5</v>
      </c>
      <c r="I25" s="100">
        <v>6.15</v>
      </c>
      <c r="J25" s="100">
        <v>3.95</v>
      </c>
      <c r="K25" s="100">
        <v>197.65</v>
      </c>
      <c r="L25" s="100">
        <v>22.06</v>
      </c>
      <c r="M25" s="100">
        <v>95.08</v>
      </c>
      <c r="N25" s="100">
        <v>23.7</v>
      </c>
      <c r="O25" s="100">
        <v>0.4</v>
      </c>
      <c r="P25" s="100">
        <v>0.33</v>
      </c>
      <c r="Q25" s="100">
        <v>28.98</v>
      </c>
      <c r="R25" s="6"/>
      <c r="S25" s="6"/>
      <c r="T25" s="156"/>
      <c r="U25" s="6"/>
    </row>
    <row r="26" spans="1:21" customFormat="1">
      <c r="A26" s="163" t="s">
        <v>2273</v>
      </c>
      <c r="B26" s="100">
        <v>3.08</v>
      </c>
      <c r="C26" s="100">
        <v>13.56</v>
      </c>
      <c r="D26" s="100">
        <v>8.56</v>
      </c>
      <c r="E26" s="100">
        <v>4.25</v>
      </c>
      <c r="F26" s="100">
        <v>3.17</v>
      </c>
      <c r="G26" s="100">
        <v>7.72</v>
      </c>
      <c r="H26" s="100">
        <v>3.5</v>
      </c>
      <c r="I26" s="100">
        <v>6.1</v>
      </c>
      <c r="J26" s="100">
        <v>4.04</v>
      </c>
      <c r="K26" s="100">
        <v>193.79</v>
      </c>
      <c r="L26" s="100">
        <v>22.14</v>
      </c>
      <c r="M26" s="100">
        <v>94.24</v>
      </c>
      <c r="N26" s="100">
        <v>23.8</v>
      </c>
      <c r="O26" s="100">
        <v>0.2</v>
      </c>
      <c r="P26" s="100">
        <v>0.31</v>
      </c>
      <c r="Q26" s="100">
        <v>29.04</v>
      </c>
      <c r="R26" s="6"/>
      <c r="S26" s="6"/>
      <c r="T26" s="156"/>
      <c r="U26" s="6"/>
    </row>
    <row r="27" spans="1:21" customFormat="1">
      <c r="A27" s="163" t="s">
        <v>2274</v>
      </c>
      <c r="B27" s="100">
        <v>3.37</v>
      </c>
      <c r="C27" s="100">
        <v>12.16</v>
      </c>
      <c r="D27" s="100">
        <v>8.06</v>
      </c>
      <c r="E27" s="100">
        <v>3.89</v>
      </c>
      <c r="F27" s="100">
        <v>3.34</v>
      </c>
      <c r="G27" s="100">
        <v>7.72</v>
      </c>
      <c r="H27" s="100">
        <v>3.5</v>
      </c>
      <c r="I27" s="100">
        <v>6.05</v>
      </c>
      <c r="J27" s="100">
        <v>4.1100000000000003</v>
      </c>
      <c r="K27" s="100">
        <v>213.74</v>
      </c>
      <c r="L27" s="100">
        <v>22.33</v>
      </c>
      <c r="M27" s="100">
        <v>91.77</v>
      </c>
      <c r="N27" s="100">
        <v>23.8</v>
      </c>
      <c r="O27" s="100">
        <v>0</v>
      </c>
      <c r="P27" s="100">
        <v>0.3</v>
      </c>
      <c r="Q27" s="100">
        <v>29.09</v>
      </c>
      <c r="R27" s="6"/>
      <c r="S27" s="6"/>
      <c r="T27" s="156"/>
      <c r="U27" s="6"/>
    </row>
    <row r="28" spans="1:21" customFormat="1">
      <c r="A28" s="163" t="s">
        <v>2275</v>
      </c>
      <c r="B28" s="100">
        <v>3.42</v>
      </c>
      <c r="C28" s="100">
        <v>11.96</v>
      </c>
      <c r="D28" s="100">
        <v>8</v>
      </c>
      <c r="E28" s="100">
        <v>4.09</v>
      </c>
      <c r="F28" s="100">
        <v>3.49</v>
      </c>
      <c r="G28" s="100">
        <v>7.36</v>
      </c>
      <c r="H28" s="100">
        <v>3.61</v>
      </c>
      <c r="I28" s="100">
        <v>6.1</v>
      </c>
      <c r="J28" s="100">
        <v>3.41</v>
      </c>
      <c r="K28" s="100">
        <v>193.97</v>
      </c>
      <c r="L28" s="100">
        <v>22.37</v>
      </c>
      <c r="M28" s="100">
        <v>92.7</v>
      </c>
      <c r="N28" s="100">
        <v>23.9</v>
      </c>
      <c r="O28" s="100">
        <v>0</v>
      </c>
      <c r="P28" s="100">
        <v>0.31</v>
      </c>
      <c r="Q28" s="100">
        <v>29.07</v>
      </c>
      <c r="R28" s="6"/>
      <c r="S28" s="6"/>
      <c r="T28" s="156"/>
      <c r="U28" s="6"/>
    </row>
    <row r="29" spans="1:21" customFormat="1">
      <c r="A29" s="163" t="s">
        <v>2276</v>
      </c>
      <c r="B29" s="100">
        <v>3.52</v>
      </c>
      <c r="C29" s="100">
        <v>13.01</v>
      </c>
      <c r="D29" s="100">
        <v>8.6199999999999992</v>
      </c>
      <c r="E29" s="100">
        <v>5.63</v>
      </c>
      <c r="F29" s="100">
        <v>3.23</v>
      </c>
      <c r="G29" s="100">
        <v>6.02</v>
      </c>
      <c r="H29" s="100">
        <v>3.99</v>
      </c>
      <c r="I29" s="100">
        <v>6.02</v>
      </c>
      <c r="J29" s="100">
        <v>3.75</v>
      </c>
      <c r="K29" s="100">
        <v>204.43</v>
      </c>
      <c r="L29" s="100">
        <v>22.41</v>
      </c>
      <c r="M29" s="100">
        <v>91.72</v>
      </c>
      <c r="N29" s="100">
        <v>24.4</v>
      </c>
      <c r="O29" s="100">
        <v>0</v>
      </c>
      <c r="P29" s="100">
        <v>0.38</v>
      </c>
      <c r="Q29" s="100">
        <v>28.96</v>
      </c>
      <c r="R29" s="6"/>
      <c r="S29" s="6"/>
      <c r="T29" s="156"/>
      <c r="U29" s="6"/>
    </row>
    <row r="30" spans="1:21" customFormat="1">
      <c r="A30" s="163" t="s">
        <v>2277</v>
      </c>
      <c r="B30" s="100">
        <v>3.61</v>
      </c>
      <c r="C30" s="100">
        <v>13.19</v>
      </c>
      <c r="D30" s="100">
        <v>8.7899999999999991</v>
      </c>
      <c r="E30" s="100">
        <v>6.01</v>
      </c>
      <c r="F30" s="100">
        <v>3.4</v>
      </c>
      <c r="G30" s="100">
        <v>6.02</v>
      </c>
      <c r="H30" s="100">
        <v>3.99</v>
      </c>
      <c r="I30" s="100">
        <v>5.95</v>
      </c>
      <c r="J30" s="100">
        <v>3.67</v>
      </c>
      <c r="K30" s="100">
        <v>185.26</v>
      </c>
      <c r="L30" s="100">
        <v>22.49</v>
      </c>
      <c r="M30" s="100">
        <v>90.81</v>
      </c>
      <c r="N30" s="100">
        <v>27.6</v>
      </c>
      <c r="O30" s="100">
        <v>0</v>
      </c>
      <c r="P30" s="100">
        <v>0.38</v>
      </c>
      <c r="Q30" s="100">
        <v>28.93</v>
      </c>
      <c r="R30" s="6"/>
      <c r="S30" s="6"/>
      <c r="T30" s="156"/>
      <c r="U30" s="6"/>
    </row>
    <row r="31" spans="1:21" customFormat="1">
      <c r="A31" s="163" t="s">
        <v>2278</v>
      </c>
      <c r="B31" s="100">
        <v>3.64</v>
      </c>
      <c r="C31" s="100">
        <v>13.49</v>
      </c>
      <c r="D31" s="100">
        <v>8.98</v>
      </c>
      <c r="E31" s="100">
        <v>5.68</v>
      </c>
      <c r="F31" s="100">
        <v>3.24</v>
      </c>
      <c r="G31" s="100">
        <v>6.02</v>
      </c>
      <c r="H31" s="100">
        <v>3.99</v>
      </c>
      <c r="I31" s="100">
        <v>5.87</v>
      </c>
      <c r="J31" s="100">
        <v>3.95</v>
      </c>
      <c r="K31" s="100">
        <v>202.78</v>
      </c>
      <c r="L31" s="100">
        <v>22.8</v>
      </c>
      <c r="M31" s="100">
        <v>87.45</v>
      </c>
      <c r="N31" s="100">
        <v>35.299999999999997</v>
      </c>
      <c r="O31" s="100">
        <v>0</v>
      </c>
      <c r="P31" s="100">
        <v>0.38</v>
      </c>
      <c r="Q31" s="100">
        <v>28.89</v>
      </c>
      <c r="R31" s="6"/>
      <c r="S31" s="6"/>
      <c r="T31" s="156"/>
      <c r="U31" s="6"/>
    </row>
    <row r="32" spans="1:21" customFormat="1">
      <c r="A32" s="163" t="s">
        <v>2279</v>
      </c>
      <c r="B32" s="100">
        <v>3.68</v>
      </c>
      <c r="C32" s="100">
        <v>13.58</v>
      </c>
      <c r="D32" s="100">
        <v>9.0500000000000007</v>
      </c>
      <c r="E32" s="100">
        <v>5.87</v>
      </c>
      <c r="F32" s="100">
        <v>3.22</v>
      </c>
      <c r="G32" s="100">
        <v>6.48</v>
      </c>
      <c r="H32" s="100">
        <v>3.8</v>
      </c>
      <c r="I32" s="100">
        <v>5.84</v>
      </c>
      <c r="J32" s="100">
        <v>4.0999999999999996</v>
      </c>
      <c r="K32" s="100">
        <v>219.12</v>
      </c>
      <c r="L32" s="100">
        <v>23.03</v>
      </c>
      <c r="M32" s="100">
        <v>85</v>
      </c>
      <c r="N32" s="100">
        <v>36.4</v>
      </c>
      <c r="O32" s="100">
        <v>0</v>
      </c>
      <c r="P32" s="100">
        <v>0.38</v>
      </c>
      <c r="Q32" s="100">
        <v>28.9</v>
      </c>
      <c r="R32" s="6"/>
      <c r="S32" s="6"/>
      <c r="T32" s="156"/>
      <c r="U32" s="6"/>
    </row>
    <row r="33" spans="1:21" customFormat="1">
      <c r="A33" s="163" t="s">
        <v>2280</v>
      </c>
      <c r="B33" s="100">
        <v>3.78</v>
      </c>
      <c r="C33" s="100">
        <v>14.05</v>
      </c>
      <c r="D33" s="100">
        <v>9.3800000000000008</v>
      </c>
      <c r="E33" s="100">
        <v>5.62</v>
      </c>
      <c r="F33" s="100">
        <v>3.14</v>
      </c>
      <c r="G33" s="100">
        <v>8.18</v>
      </c>
      <c r="H33" s="100">
        <v>3.08</v>
      </c>
      <c r="I33" s="100">
        <v>5.89</v>
      </c>
      <c r="J33" s="100">
        <v>5.23</v>
      </c>
      <c r="K33" s="100">
        <v>237.55</v>
      </c>
      <c r="L33" s="100">
        <v>23.4</v>
      </c>
      <c r="M33" s="100">
        <v>81.709999999999994</v>
      </c>
      <c r="N33" s="100">
        <v>37.799999999999997</v>
      </c>
      <c r="O33" s="100">
        <v>0</v>
      </c>
      <c r="P33" s="100">
        <v>0.38</v>
      </c>
      <c r="Q33" s="100">
        <v>28.91</v>
      </c>
      <c r="R33" s="6"/>
      <c r="S33" s="6"/>
      <c r="T33" s="156"/>
      <c r="U33" s="6"/>
    </row>
    <row r="34" spans="1:21" customFormat="1">
      <c r="A34" s="163" t="s">
        <v>2281</v>
      </c>
      <c r="B34" s="100">
        <v>3.95</v>
      </c>
      <c r="C34" s="100">
        <v>18.04</v>
      </c>
      <c r="D34" s="100">
        <v>11.6</v>
      </c>
      <c r="E34" s="100">
        <v>5.56</v>
      </c>
      <c r="F34" s="100">
        <v>2.86</v>
      </c>
      <c r="G34" s="100">
        <v>8.18</v>
      </c>
      <c r="H34" s="100">
        <v>3.08</v>
      </c>
      <c r="I34" s="100">
        <v>5.87</v>
      </c>
      <c r="J34" s="100">
        <v>4.1900000000000004</v>
      </c>
      <c r="K34" s="100">
        <v>224.21</v>
      </c>
      <c r="L34" s="100">
        <v>23.38</v>
      </c>
      <c r="M34" s="100">
        <v>81.44</v>
      </c>
      <c r="N34" s="100">
        <v>42.5</v>
      </c>
      <c r="O34" s="100">
        <v>0</v>
      </c>
      <c r="P34" s="100">
        <v>0.39</v>
      </c>
      <c r="Q34" s="100">
        <v>28.72</v>
      </c>
      <c r="R34" s="6"/>
      <c r="S34" s="6"/>
      <c r="T34" s="156"/>
      <c r="U34" s="6"/>
    </row>
    <row r="35" spans="1:21" customFormat="1">
      <c r="A35" s="163" t="s">
        <v>2282</v>
      </c>
      <c r="B35" s="100">
        <v>4.2699999999999996</v>
      </c>
      <c r="C35" s="100">
        <v>18.940000000000001</v>
      </c>
      <c r="D35" s="100">
        <v>12.33</v>
      </c>
      <c r="E35" s="100">
        <v>5.31</v>
      </c>
      <c r="F35" s="100">
        <v>2.77</v>
      </c>
      <c r="G35" s="100">
        <v>8.18</v>
      </c>
      <c r="H35" s="100">
        <v>3.08</v>
      </c>
      <c r="I35" s="100">
        <v>5.91</v>
      </c>
      <c r="J35" s="100">
        <v>2.77</v>
      </c>
      <c r="K35" s="100">
        <v>97.37</v>
      </c>
      <c r="L35" s="100">
        <v>23.09</v>
      </c>
      <c r="M35" s="100">
        <v>85.99</v>
      </c>
      <c r="N35" s="100">
        <v>48.8</v>
      </c>
      <c r="O35" s="100">
        <v>0</v>
      </c>
      <c r="P35" s="100">
        <v>0.38</v>
      </c>
      <c r="Q35" s="100">
        <v>28.65</v>
      </c>
      <c r="R35" s="6"/>
      <c r="S35" s="6"/>
      <c r="T35" s="156"/>
      <c r="U35" s="6"/>
    </row>
    <row r="36" spans="1:21" customFormat="1">
      <c r="A36" s="163" t="s">
        <v>2283</v>
      </c>
      <c r="B36" s="100">
        <v>4.75</v>
      </c>
      <c r="C36" s="100">
        <v>18.96</v>
      </c>
      <c r="D36" s="100">
        <v>12.72</v>
      </c>
      <c r="E36" s="100">
        <v>5.57</v>
      </c>
      <c r="F36" s="100">
        <v>2.8</v>
      </c>
      <c r="G36" s="100">
        <v>7.95</v>
      </c>
      <c r="H36" s="100">
        <v>3.18</v>
      </c>
      <c r="I36" s="100">
        <v>5.91</v>
      </c>
      <c r="J36" s="100">
        <v>2.4500000000000002</v>
      </c>
      <c r="K36" s="100">
        <v>92.47</v>
      </c>
      <c r="L36" s="100">
        <v>23.29</v>
      </c>
      <c r="M36" s="100">
        <v>87.63</v>
      </c>
      <c r="N36" s="100">
        <v>63.1</v>
      </c>
      <c r="O36" s="100">
        <v>0</v>
      </c>
      <c r="P36" s="100">
        <v>0.38</v>
      </c>
      <c r="Q36" s="100">
        <v>28.58</v>
      </c>
      <c r="R36" s="6"/>
      <c r="S36" s="6"/>
      <c r="T36" s="156"/>
      <c r="U36" s="6"/>
    </row>
    <row r="37" spans="1:21" customFormat="1">
      <c r="A37" s="163" t="s">
        <v>2284</v>
      </c>
      <c r="B37" s="100">
        <v>5.39</v>
      </c>
      <c r="C37" s="100">
        <v>18.690000000000001</v>
      </c>
      <c r="D37" s="100">
        <v>13.09</v>
      </c>
      <c r="E37" s="100">
        <v>5.41</v>
      </c>
      <c r="F37" s="100">
        <v>2.68</v>
      </c>
      <c r="G37" s="100">
        <v>7.11</v>
      </c>
      <c r="H37" s="100">
        <v>3.55</v>
      </c>
      <c r="I37" s="100">
        <v>5.97</v>
      </c>
      <c r="J37" s="100">
        <v>3.42</v>
      </c>
      <c r="K37" s="100">
        <v>63.96</v>
      </c>
      <c r="L37" s="100">
        <v>23.62</v>
      </c>
      <c r="M37" s="100">
        <v>83.17</v>
      </c>
      <c r="N37" s="100">
        <v>82.4</v>
      </c>
      <c r="O37" s="100">
        <v>0</v>
      </c>
      <c r="P37" s="100">
        <v>0.39</v>
      </c>
      <c r="Q37" s="100">
        <v>28.53</v>
      </c>
      <c r="R37" s="6"/>
      <c r="S37" s="6"/>
      <c r="T37" s="156"/>
      <c r="U37" s="6"/>
    </row>
    <row r="38" spans="1:21" customFormat="1">
      <c r="A38" s="163" t="s">
        <v>2285</v>
      </c>
      <c r="B38" s="100">
        <v>6.06</v>
      </c>
      <c r="C38" s="100">
        <v>19.010000000000002</v>
      </c>
      <c r="D38" s="100">
        <v>13.8</v>
      </c>
      <c r="E38" s="100">
        <v>5.77</v>
      </c>
      <c r="F38" s="100">
        <v>2.46</v>
      </c>
      <c r="G38" s="100">
        <v>7.11</v>
      </c>
      <c r="H38" s="100">
        <v>3.55</v>
      </c>
      <c r="I38" s="100">
        <v>6.12</v>
      </c>
      <c r="J38" s="100">
        <v>3.36</v>
      </c>
      <c r="K38" s="100">
        <v>65.88</v>
      </c>
      <c r="L38" s="100">
        <v>23.97</v>
      </c>
      <c r="M38" s="100">
        <v>82.17</v>
      </c>
      <c r="N38" s="100">
        <v>92.4</v>
      </c>
      <c r="O38" s="100">
        <v>0</v>
      </c>
      <c r="P38" s="100">
        <v>0.4</v>
      </c>
      <c r="Q38" s="100">
        <v>28.47</v>
      </c>
      <c r="R38" s="6"/>
      <c r="S38" s="6"/>
      <c r="T38" s="156"/>
      <c r="U38" s="6"/>
    </row>
    <row r="39" spans="1:21" customFormat="1">
      <c r="A39" s="163" t="s">
        <v>2286</v>
      </c>
      <c r="B39" s="100">
        <v>6.88</v>
      </c>
      <c r="C39" s="100">
        <v>19.3</v>
      </c>
      <c r="D39" s="100">
        <v>14.6</v>
      </c>
      <c r="E39" s="100">
        <v>6.13</v>
      </c>
      <c r="F39" s="100">
        <v>2.63</v>
      </c>
      <c r="G39" s="100">
        <v>7.11</v>
      </c>
      <c r="H39" s="100">
        <v>3.55</v>
      </c>
      <c r="I39" s="100">
        <v>6.26</v>
      </c>
      <c r="J39" s="100">
        <v>3.31</v>
      </c>
      <c r="K39" s="100">
        <v>73.540000000000006</v>
      </c>
      <c r="L39" s="100">
        <v>23.78</v>
      </c>
      <c r="M39" s="100">
        <v>85.13</v>
      </c>
      <c r="N39" s="100">
        <v>96.8</v>
      </c>
      <c r="O39" s="100">
        <v>0</v>
      </c>
      <c r="P39" s="100">
        <v>0.43</v>
      </c>
      <c r="Q39" s="100">
        <v>28.35</v>
      </c>
      <c r="R39" s="6"/>
      <c r="S39" s="6"/>
      <c r="T39" s="156"/>
      <c r="U39" s="6"/>
    </row>
    <row r="40" spans="1:21" customFormat="1">
      <c r="A40" s="163" t="s">
        <v>2287</v>
      </c>
      <c r="B40" s="100">
        <v>8.43</v>
      </c>
      <c r="C40" s="100">
        <v>17.559999999999999</v>
      </c>
      <c r="D40" s="100">
        <v>14.94</v>
      </c>
      <c r="E40" s="100">
        <v>6.48</v>
      </c>
      <c r="F40" s="100">
        <v>2.72</v>
      </c>
      <c r="G40" s="100">
        <v>12.52</v>
      </c>
      <c r="H40" s="100">
        <v>5.54</v>
      </c>
      <c r="I40" s="100">
        <v>6.51</v>
      </c>
      <c r="J40" s="100">
        <v>3.59</v>
      </c>
      <c r="K40" s="100">
        <v>62.47</v>
      </c>
      <c r="L40" s="100">
        <v>23.94</v>
      </c>
      <c r="M40" s="100">
        <v>85.27</v>
      </c>
      <c r="N40" s="100">
        <v>127.6</v>
      </c>
      <c r="O40" s="100">
        <v>0</v>
      </c>
      <c r="P40" s="100">
        <v>0.45</v>
      </c>
      <c r="Q40" s="100">
        <v>28.3</v>
      </c>
      <c r="R40" s="6"/>
      <c r="S40" s="6"/>
      <c r="T40" s="156"/>
      <c r="U40" s="6"/>
    </row>
    <row r="41" spans="1:21" customFormat="1">
      <c r="A41" s="163" t="s">
        <v>2288</v>
      </c>
      <c r="B41" s="100">
        <v>9.94</v>
      </c>
      <c r="C41" s="100">
        <v>16.75</v>
      </c>
      <c r="D41" s="100">
        <v>15.73</v>
      </c>
      <c r="E41" s="100">
        <v>6.57</v>
      </c>
      <c r="F41" s="100">
        <v>2.63</v>
      </c>
      <c r="G41" s="100">
        <v>32.729999999999997</v>
      </c>
      <c r="H41" s="100">
        <v>12.98</v>
      </c>
      <c r="I41" s="100">
        <v>6.93</v>
      </c>
      <c r="J41" s="100">
        <v>4.07</v>
      </c>
      <c r="K41" s="100">
        <v>42.13</v>
      </c>
      <c r="L41" s="100">
        <v>24.06</v>
      </c>
      <c r="M41" s="100">
        <v>83.86</v>
      </c>
      <c r="N41" s="100">
        <v>96.6</v>
      </c>
      <c r="O41" s="100">
        <v>0</v>
      </c>
      <c r="P41" s="100">
        <v>0.48</v>
      </c>
      <c r="Q41" s="100">
        <v>28.26</v>
      </c>
      <c r="R41" s="6"/>
      <c r="S41" s="6"/>
      <c r="T41" s="156"/>
      <c r="U41" s="6"/>
    </row>
    <row r="42" spans="1:21" customFormat="1">
      <c r="A42" s="163" t="s">
        <v>2289</v>
      </c>
      <c r="B42" s="100">
        <v>12.34</v>
      </c>
      <c r="C42" s="100">
        <v>19.34</v>
      </c>
      <c r="D42" s="100">
        <v>19.010000000000002</v>
      </c>
      <c r="E42" s="100">
        <v>6.66</v>
      </c>
      <c r="F42" s="100">
        <v>3.14</v>
      </c>
      <c r="G42" s="100">
        <v>32.729999999999997</v>
      </c>
      <c r="H42" s="100">
        <v>12.98</v>
      </c>
      <c r="I42" s="100">
        <v>7.58</v>
      </c>
      <c r="J42" s="100">
        <v>4.04</v>
      </c>
      <c r="K42" s="100">
        <v>40.85</v>
      </c>
      <c r="L42" s="100">
        <v>23.97</v>
      </c>
      <c r="M42" s="100">
        <v>84.4</v>
      </c>
      <c r="N42" s="100">
        <v>117.1</v>
      </c>
      <c r="O42" s="100">
        <v>0</v>
      </c>
      <c r="P42" s="100">
        <v>0.54</v>
      </c>
      <c r="Q42" s="100">
        <v>28.09</v>
      </c>
      <c r="R42" s="6"/>
      <c r="S42" s="6"/>
      <c r="T42" s="156"/>
      <c r="U42" s="6"/>
    </row>
    <row r="43" spans="1:21" customFormat="1">
      <c r="A43" s="163" t="s">
        <v>2290</v>
      </c>
      <c r="B43" s="100">
        <v>11.89</v>
      </c>
      <c r="C43" s="100">
        <v>17.86</v>
      </c>
      <c r="D43" s="100">
        <v>17.87</v>
      </c>
      <c r="E43" s="100">
        <v>7.07</v>
      </c>
      <c r="F43" s="100">
        <v>3.66</v>
      </c>
      <c r="G43" s="100">
        <v>32.729999999999997</v>
      </c>
      <c r="H43" s="100">
        <v>12.98</v>
      </c>
      <c r="I43" s="100">
        <v>8.23</v>
      </c>
      <c r="J43" s="100">
        <v>4.3899999999999997</v>
      </c>
      <c r="K43" s="100">
        <v>26.28</v>
      </c>
      <c r="L43" s="100">
        <v>24.35</v>
      </c>
      <c r="M43" s="100">
        <v>83.83</v>
      </c>
      <c r="N43" s="100">
        <v>225.6</v>
      </c>
      <c r="O43" s="100">
        <v>0</v>
      </c>
      <c r="P43" s="100">
        <v>0.55000000000000004</v>
      </c>
      <c r="Q43" s="100">
        <v>27.98</v>
      </c>
      <c r="R43" s="6"/>
      <c r="S43" s="6"/>
      <c r="T43" s="156"/>
      <c r="U43" s="6"/>
    </row>
    <row r="44" spans="1:21" customFormat="1">
      <c r="A44" s="163" t="s">
        <v>2291</v>
      </c>
      <c r="B44" s="100">
        <v>11.7</v>
      </c>
      <c r="C44" s="100">
        <v>17.64</v>
      </c>
      <c r="D44" s="100">
        <v>17.600000000000001</v>
      </c>
      <c r="E44" s="100">
        <v>6.65</v>
      </c>
      <c r="F44" s="100">
        <v>5.5</v>
      </c>
      <c r="G44" s="100">
        <v>35.26</v>
      </c>
      <c r="H44" s="100">
        <v>14.48</v>
      </c>
      <c r="I44" s="100">
        <v>8.77</v>
      </c>
      <c r="J44" s="100">
        <v>4.25</v>
      </c>
      <c r="K44" s="100">
        <v>46.5</v>
      </c>
      <c r="L44" s="100">
        <v>24.58</v>
      </c>
      <c r="M44" s="100">
        <v>82.07</v>
      </c>
      <c r="N44" s="100">
        <v>211.9</v>
      </c>
      <c r="O44" s="100">
        <v>0</v>
      </c>
      <c r="P44" s="100">
        <v>0.55000000000000004</v>
      </c>
      <c r="Q44" s="100">
        <v>27.96</v>
      </c>
      <c r="R44" s="6"/>
      <c r="S44" s="6"/>
      <c r="T44" s="156"/>
      <c r="U44" s="6"/>
    </row>
    <row r="45" spans="1:21" customFormat="1">
      <c r="A45" s="163" t="s">
        <v>2292</v>
      </c>
      <c r="B45" s="100">
        <v>11.53</v>
      </c>
      <c r="C45" s="100">
        <v>17.8</v>
      </c>
      <c r="D45" s="100">
        <v>17.55</v>
      </c>
      <c r="E45" s="100">
        <v>6.12</v>
      </c>
      <c r="F45" s="100">
        <v>5.4</v>
      </c>
      <c r="G45" s="100">
        <v>44.72</v>
      </c>
      <c r="H45" s="100">
        <v>20.09</v>
      </c>
      <c r="I45" s="100">
        <v>8.7200000000000006</v>
      </c>
      <c r="J45" s="100">
        <v>4.45</v>
      </c>
      <c r="K45" s="100">
        <v>38.369999999999997</v>
      </c>
      <c r="L45" s="100">
        <v>24.85</v>
      </c>
      <c r="M45" s="100">
        <v>80.64</v>
      </c>
      <c r="N45" s="100">
        <v>250.4</v>
      </c>
      <c r="O45" s="100">
        <v>0</v>
      </c>
      <c r="P45" s="100">
        <v>0.56999999999999995</v>
      </c>
      <c r="Q45" s="100">
        <v>27.91</v>
      </c>
      <c r="R45" s="6"/>
      <c r="S45" s="6"/>
      <c r="T45" s="156"/>
      <c r="U45" s="6"/>
    </row>
    <row r="46" spans="1:21" customFormat="1">
      <c r="A46" s="163" t="s">
        <v>2293</v>
      </c>
      <c r="B46" s="100">
        <v>11.32</v>
      </c>
      <c r="C46" s="100">
        <v>18.04</v>
      </c>
      <c r="D46" s="100">
        <v>17.510000000000002</v>
      </c>
      <c r="E46" s="100">
        <v>6.39</v>
      </c>
      <c r="F46" s="100">
        <v>5.99</v>
      </c>
      <c r="G46" s="100">
        <v>44.72</v>
      </c>
      <c r="H46" s="100">
        <v>20.09</v>
      </c>
      <c r="I46" s="100">
        <v>8.9600000000000009</v>
      </c>
      <c r="J46" s="100">
        <v>3.71</v>
      </c>
      <c r="K46" s="100">
        <v>52.21</v>
      </c>
      <c r="L46" s="100">
        <v>24.99</v>
      </c>
      <c r="M46" s="100">
        <v>80.48</v>
      </c>
      <c r="N46" s="100">
        <v>188.4</v>
      </c>
      <c r="O46" s="100">
        <v>0</v>
      </c>
      <c r="P46" s="100">
        <v>0.56999999999999995</v>
      </c>
      <c r="Q46" s="100">
        <v>27.91</v>
      </c>
      <c r="R46" s="6"/>
      <c r="S46" s="6"/>
      <c r="T46" s="156"/>
      <c r="U46" s="6"/>
    </row>
    <row r="47" spans="1:21" customFormat="1">
      <c r="A47" s="163" t="s">
        <v>2294</v>
      </c>
      <c r="B47" s="100">
        <v>11.77</v>
      </c>
      <c r="C47" s="100">
        <v>19.36</v>
      </c>
      <c r="D47" s="100">
        <v>18.559999999999999</v>
      </c>
      <c r="E47" s="100">
        <v>6.43</v>
      </c>
      <c r="F47" s="100">
        <v>4.25</v>
      </c>
      <c r="G47" s="100">
        <v>44.72</v>
      </c>
      <c r="H47" s="100">
        <v>20.09</v>
      </c>
      <c r="I47" s="100">
        <v>9.36</v>
      </c>
      <c r="J47" s="100">
        <v>3.51</v>
      </c>
      <c r="K47" s="100">
        <v>50.37</v>
      </c>
      <c r="L47" s="100">
        <v>25.39</v>
      </c>
      <c r="M47" s="100">
        <v>78.34</v>
      </c>
      <c r="N47" s="100">
        <v>230.7</v>
      </c>
      <c r="O47" s="100">
        <v>0</v>
      </c>
      <c r="P47" s="100">
        <v>0.57999999999999996</v>
      </c>
      <c r="Q47" s="100">
        <v>27.91</v>
      </c>
      <c r="R47" s="6"/>
      <c r="S47" s="6"/>
      <c r="T47" s="156"/>
      <c r="U47" s="6"/>
    </row>
    <row r="48" spans="1:21" customFormat="1">
      <c r="A48" s="163" t="s">
        <v>2295</v>
      </c>
      <c r="B48" s="100">
        <v>11.74</v>
      </c>
      <c r="C48" s="100">
        <v>19.84</v>
      </c>
      <c r="D48" s="100">
        <v>18.78</v>
      </c>
      <c r="E48" s="100">
        <v>6.72</v>
      </c>
      <c r="F48" s="100">
        <v>5.4</v>
      </c>
      <c r="G48" s="100">
        <v>46.05</v>
      </c>
      <c r="H48" s="100">
        <v>19.760000000000002</v>
      </c>
      <c r="I48" s="100">
        <v>9.5</v>
      </c>
      <c r="J48" s="100">
        <v>4.34</v>
      </c>
      <c r="K48" s="100">
        <v>55.43</v>
      </c>
      <c r="L48" s="100">
        <v>26.02</v>
      </c>
      <c r="M48" s="100">
        <v>73.17</v>
      </c>
      <c r="N48" s="100">
        <v>579.79999999999995</v>
      </c>
      <c r="O48" s="100">
        <v>0</v>
      </c>
      <c r="P48" s="100">
        <v>0.59</v>
      </c>
      <c r="Q48" s="100">
        <v>27.87</v>
      </c>
      <c r="R48" s="6"/>
      <c r="S48" s="6"/>
      <c r="T48" s="156"/>
      <c r="U48" s="6"/>
    </row>
    <row r="49" spans="1:21" customFormat="1">
      <c r="A49" s="163" t="s">
        <v>2296</v>
      </c>
      <c r="B49" s="100">
        <v>11.61</v>
      </c>
      <c r="C49" s="100">
        <v>20.239999999999998</v>
      </c>
      <c r="D49" s="100">
        <v>18.89</v>
      </c>
      <c r="E49" s="100">
        <v>6.63</v>
      </c>
      <c r="F49" s="100">
        <v>4.84</v>
      </c>
      <c r="G49" s="100">
        <v>51.04</v>
      </c>
      <c r="H49" s="100">
        <v>18.52</v>
      </c>
      <c r="I49" s="100">
        <v>9.66</v>
      </c>
      <c r="J49" s="100">
        <v>3.96</v>
      </c>
      <c r="K49" s="100">
        <v>25.38</v>
      </c>
      <c r="L49" s="100">
        <v>27.38</v>
      </c>
      <c r="M49" s="100">
        <v>67.09</v>
      </c>
      <c r="N49" s="100">
        <v>659.8</v>
      </c>
      <c r="O49" s="100">
        <v>0</v>
      </c>
      <c r="P49" s="100">
        <v>0.59</v>
      </c>
      <c r="Q49" s="100">
        <v>27.88</v>
      </c>
      <c r="R49" s="6"/>
      <c r="S49" s="6"/>
      <c r="T49" s="156"/>
      <c r="U49" s="6"/>
    </row>
    <row r="50" spans="1:21" customFormat="1">
      <c r="A50" s="163" t="s">
        <v>2297</v>
      </c>
      <c r="B50" s="100">
        <v>11.66</v>
      </c>
      <c r="C50" s="100">
        <v>20.260000000000002</v>
      </c>
      <c r="D50" s="100">
        <v>18.940000000000001</v>
      </c>
      <c r="E50" s="100">
        <v>6.48</v>
      </c>
      <c r="F50" s="100">
        <v>4.22</v>
      </c>
      <c r="G50" s="100">
        <v>51.04</v>
      </c>
      <c r="H50" s="100">
        <v>18.52</v>
      </c>
      <c r="I50" s="100">
        <v>9.92</v>
      </c>
      <c r="J50" s="100">
        <v>4.12</v>
      </c>
      <c r="K50" s="100">
        <v>36.520000000000003</v>
      </c>
      <c r="L50" s="100">
        <v>28.23</v>
      </c>
      <c r="M50" s="100">
        <v>63.82</v>
      </c>
      <c r="N50" s="100">
        <v>660.6</v>
      </c>
      <c r="O50" s="100">
        <v>0</v>
      </c>
      <c r="P50" s="100">
        <v>0.61</v>
      </c>
      <c r="Q50" s="100">
        <v>27.91</v>
      </c>
      <c r="R50" s="6"/>
      <c r="S50" s="6"/>
      <c r="T50" s="156"/>
      <c r="U50" s="6"/>
    </row>
    <row r="51" spans="1:21" customFormat="1">
      <c r="A51" s="163" t="s">
        <v>2298</v>
      </c>
      <c r="B51" s="100">
        <v>11.74</v>
      </c>
      <c r="C51" s="100">
        <v>20.8</v>
      </c>
      <c r="D51" s="100">
        <v>19.29</v>
      </c>
      <c r="E51" s="100">
        <v>6.8</v>
      </c>
      <c r="F51" s="100">
        <v>5.04</v>
      </c>
      <c r="G51" s="100">
        <v>51.04</v>
      </c>
      <c r="H51" s="100">
        <v>18.52</v>
      </c>
      <c r="I51" s="100">
        <v>10.14</v>
      </c>
      <c r="J51" s="100">
        <v>4.01</v>
      </c>
      <c r="K51" s="100">
        <v>22.92</v>
      </c>
      <c r="L51" s="100">
        <v>28.75</v>
      </c>
      <c r="M51" s="100">
        <v>61.82</v>
      </c>
      <c r="N51" s="100">
        <v>529.70000000000005</v>
      </c>
      <c r="O51" s="100">
        <v>0.2</v>
      </c>
      <c r="P51" s="100">
        <v>0.63</v>
      </c>
      <c r="Q51" s="100">
        <v>27.89</v>
      </c>
      <c r="R51" s="6"/>
      <c r="S51" s="6"/>
      <c r="T51" s="156"/>
      <c r="U51" s="6"/>
    </row>
    <row r="52" spans="1:21" customFormat="1">
      <c r="A52" s="163" t="s">
        <v>2299</v>
      </c>
      <c r="B52" s="100">
        <v>11.32</v>
      </c>
      <c r="C52" s="100">
        <v>20.92</v>
      </c>
      <c r="D52" s="100">
        <v>19.02</v>
      </c>
      <c r="E52" s="100">
        <v>7.06</v>
      </c>
      <c r="F52" s="100">
        <v>8.5</v>
      </c>
      <c r="G52" s="100">
        <v>51.87</v>
      </c>
      <c r="H52" s="100">
        <v>18.41</v>
      </c>
      <c r="I52" s="100">
        <v>10.65</v>
      </c>
      <c r="J52" s="100">
        <v>4.53</v>
      </c>
      <c r="K52" s="100">
        <v>23.97</v>
      </c>
      <c r="L52" s="100">
        <v>29.14</v>
      </c>
      <c r="M52" s="100">
        <v>59.57</v>
      </c>
      <c r="N52" s="100">
        <v>550.6</v>
      </c>
      <c r="O52" s="100">
        <v>0</v>
      </c>
      <c r="P52" s="100">
        <v>0.64</v>
      </c>
      <c r="Q52" s="100">
        <v>27.87</v>
      </c>
      <c r="R52" s="6"/>
      <c r="S52" s="6"/>
      <c r="T52" s="156"/>
      <c r="U52" s="6"/>
    </row>
    <row r="53" spans="1:21" customFormat="1">
      <c r="A53" s="163" t="s">
        <v>2300</v>
      </c>
      <c r="B53" s="100">
        <v>10.88</v>
      </c>
      <c r="C53" s="100">
        <v>20.79</v>
      </c>
      <c r="D53" s="100">
        <v>18.59</v>
      </c>
      <c r="E53" s="100">
        <v>5.59</v>
      </c>
      <c r="F53" s="100">
        <v>11.94</v>
      </c>
      <c r="G53" s="100">
        <v>54.99</v>
      </c>
      <c r="H53" s="100">
        <v>18.03</v>
      </c>
      <c r="I53" s="100">
        <v>10.86</v>
      </c>
      <c r="J53" s="100">
        <v>4.3499999999999996</v>
      </c>
      <c r="K53" s="100">
        <v>47.58</v>
      </c>
      <c r="L53" s="100">
        <v>29.64</v>
      </c>
      <c r="M53" s="100">
        <v>58.56</v>
      </c>
      <c r="N53" s="100">
        <v>459.4</v>
      </c>
      <c r="O53" s="100">
        <v>0</v>
      </c>
      <c r="P53" s="100">
        <v>0.63</v>
      </c>
      <c r="Q53" s="100">
        <v>27.89</v>
      </c>
      <c r="R53" s="6"/>
      <c r="S53" s="6"/>
      <c r="T53" s="156"/>
      <c r="U53" s="6"/>
    </row>
    <row r="54" spans="1:21" customFormat="1">
      <c r="A54" s="163" t="s">
        <v>2301</v>
      </c>
      <c r="B54" s="100">
        <v>10.09</v>
      </c>
      <c r="C54" s="100">
        <v>18.95</v>
      </c>
      <c r="D54" s="100">
        <v>17</v>
      </c>
      <c r="E54" s="100">
        <v>6.71</v>
      </c>
      <c r="F54" s="100">
        <v>11.55</v>
      </c>
      <c r="G54" s="100">
        <v>54.99</v>
      </c>
      <c r="H54" s="100">
        <v>18.03</v>
      </c>
      <c r="I54" s="100">
        <v>10.98</v>
      </c>
      <c r="J54" s="100">
        <v>3.95</v>
      </c>
      <c r="K54" s="100">
        <v>58.26</v>
      </c>
      <c r="L54" s="100">
        <v>29.7</v>
      </c>
      <c r="M54" s="100">
        <v>57.65</v>
      </c>
      <c r="N54" s="100">
        <v>335.9</v>
      </c>
      <c r="O54" s="100">
        <v>0</v>
      </c>
      <c r="P54" s="100">
        <v>0.66</v>
      </c>
      <c r="Q54" s="100">
        <v>27.99</v>
      </c>
      <c r="R54" s="6"/>
      <c r="S54" s="6"/>
      <c r="T54" s="156"/>
      <c r="U54" s="6"/>
    </row>
    <row r="55" spans="1:21" customFormat="1">
      <c r="A55" s="163" t="s">
        <v>2302</v>
      </c>
      <c r="B55" s="100">
        <v>9.35</v>
      </c>
      <c r="C55" s="100">
        <v>18.84</v>
      </c>
      <c r="D55" s="100">
        <v>16.34</v>
      </c>
      <c r="E55" s="100">
        <v>6.83</v>
      </c>
      <c r="F55" s="100">
        <v>10.3</v>
      </c>
      <c r="G55" s="100">
        <v>54.99</v>
      </c>
      <c r="H55" s="100">
        <v>18.03</v>
      </c>
      <c r="I55" s="100">
        <v>11.29</v>
      </c>
      <c r="J55" s="100">
        <v>3.7</v>
      </c>
      <c r="K55" s="100">
        <v>61.46</v>
      </c>
      <c r="L55" s="100">
        <v>29.53</v>
      </c>
      <c r="M55" s="100">
        <v>57.98</v>
      </c>
      <c r="N55" s="100">
        <v>246.4</v>
      </c>
      <c r="O55" s="100">
        <v>0</v>
      </c>
      <c r="P55" s="100">
        <v>0.71</v>
      </c>
      <c r="Q55" s="100">
        <v>28.04</v>
      </c>
      <c r="R55" s="6"/>
      <c r="S55" s="6"/>
      <c r="T55" s="156"/>
      <c r="U55" s="6"/>
    </row>
    <row r="56" spans="1:21" customFormat="1">
      <c r="A56" s="163" t="s">
        <v>2303</v>
      </c>
      <c r="B56" s="100">
        <v>8.7899999999999991</v>
      </c>
      <c r="C56" s="100">
        <v>19.03</v>
      </c>
      <c r="D56" s="100">
        <v>15.99</v>
      </c>
      <c r="E56" s="100">
        <v>6.84</v>
      </c>
      <c r="F56" s="100">
        <v>14.47</v>
      </c>
      <c r="G56" s="100">
        <v>55.93</v>
      </c>
      <c r="H56" s="100">
        <v>18.649999999999999</v>
      </c>
      <c r="I56" s="100">
        <v>11.34</v>
      </c>
      <c r="J56" s="100">
        <v>4.6100000000000003</v>
      </c>
      <c r="K56" s="100">
        <v>53.21</v>
      </c>
      <c r="L56" s="100">
        <v>29.35</v>
      </c>
      <c r="M56" s="100">
        <v>56.17</v>
      </c>
      <c r="N56" s="100">
        <v>224.2</v>
      </c>
      <c r="O56" s="100">
        <v>0</v>
      </c>
      <c r="P56" s="100">
        <v>0.72</v>
      </c>
      <c r="Q56" s="100">
        <v>28.04</v>
      </c>
      <c r="R56" s="6"/>
      <c r="S56" s="6"/>
      <c r="T56" s="156"/>
      <c r="U56" s="6"/>
    </row>
    <row r="57" spans="1:21" customFormat="1">
      <c r="A57" s="163" t="s">
        <v>2304</v>
      </c>
      <c r="B57" s="100">
        <v>8.49</v>
      </c>
      <c r="C57" s="100">
        <v>19.73</v>
      </c>
      <c r="D57" s="100">
        <v>16.13</v>
      </c>
      <c r="E57" s="100">
        <v>7.29</v>
      </c>
      <c r="F57" s="100">
        <v>9.82</v>
      </c>
      <c r="G57" s="100">
        <v>59.44</v>
      </c>
      <c r="H57" s="100">
        <v>20.97</v>
      </c>
      <c r="I57" s="100">
        <v>11.7</v>
      </c>
      <c r="J57" s="100">
        <v>3.73</v>
      </c>
      <c r="K57" s="100">
        <v>50.67</v>
      </c>
      <c r="L57" s="100">
        <v>29.56</v>
      </c>
      <c r="M57" s="100">
        <v>54.78</v>
      </c>
      <c r="N57" s="100">
        <v>277.39999999999998</v>
      </c>
      <c r="O57" s="100">
        <v>0</v>
      </c>
      <c r="P57" s="100">
        <v>0.75</v>
      </c>
      <c r="Q57" s="100">
        <v>28.06</v>
      </c>
      <c r="R57" s="6"/>
      <c r="S57" s="6"/>
      <c r="T57" s="156"/>
      <c r="U57" s="6"/>
    </row>
    <row r="58" spans="1:21" customFormat="1">
      <c r="A58" s="163" t="s">
        <v>2305</v>
      </c>
      <c r="B58" s="100">
        <v>8.23</v>
      </c>
      <c r="C58" s="100">
        <v>19.97</v>
      </c>
      <c r="D58" s="100">
        <v>16.04</v>
      </c>
      <c r="E58" s="100">
        <v>7.06</v>
      </c>
      <c r="F58" s="100">
        <v>8.18</v>
      </c>
      <c r="G58" s="100">
        <v>59.44</v>
      </c>
      <c r="H58" s="100">
        <v>20.97</v>
      </c>
      <c r="I58" s="100">
        <v>11.59</v>
      </c>
      <c r="J58" s="100">
        <v>2.84</v>
      </c>
      <c r="K58" s="100">
        <v>57.4</v>
      </c>
      <c r="L58" s="100">
        <v>30.04</v>
      </c>
      <c r="M58" s="100">
        <v>54.11</v>
      </c>
      <c r="N58" s="100">
        <v>262.39999999999998</v>
      </c>
      <c r="O58" s="100">
        <v>0</v>
      </c>
      <c r="P58" s="100">
        <v>0.74</v>
      </c>
      <c r="Q58" s="100">
        <v>28.22</v>
      </c>
      <c r="R58" s="6"/>
      <c r="S58" s="6"/>
      <c r="T58" s="156"/>
      <c r="U58" s="6"/>
    </row>
    <row r="59" spans="1:21" customFormat="1">
      <c r="A59" s="163" t="s">
        <v>2306</v>
      </c>
      <c r="B59" s="100">
        <v>7.81</v>
      </c>
      <c r="C59" s="100">
        <v>19.670000000000002</v>
      </c>
      <c r="D59" s="100">
        <v>15.54</v>
      </c>
      <c r="E59" s="100">
        <v>7.49</v>
      </c>
      <c r="F59" s="100">
        <v>9.3000000000000007</v>
      </c>
      <c r="G59" s="100">
        <v>59.44</v>
      </c>
      <c r="H59" s="100">
        <v>20.97</v>
      </c>
      <c r="I59" s="100">
        <v>11.69</v>
      </c>
      <c r="J59" s="100">
        <v>3.81</v>
      </c>
      <c r="K59" s="100">
        <v>77.84</v>
      </c>
      <c r="L59" s="100">
        <v>29.94</v>
      </c>
      <c r="M59" s="100">
        <v>52.9</v>
      </c>
      <c r="N59" s="100">
        <v>195</v>
      </c>
      <c r="O59" s="100">
        <v>0</v>
      </c>
      <c r="P59" s="100">
        <v>0.74</v>
      </c>
      <c r="Q59" s="100">
        <v>28.27</v>
      </c>
      <c r="R59" s="6"/>
      <c r="S59" s="6"/>
      <c r="T59" s="156"/>
      <c r="U59" s="6"/>
    </row>
    <row r="60" spans="1:21" customFormat="1">
      <c r="A60" s="163" t="s">
        <v>2307</v>
      </c>
      <c r="B60" s="100">
        <v>7.56</v>
      </c>
      <c r="C60" s="100">
        <v>20.57</v>
      </c>
      <c r="D60" s="100">
        <v>15.81</v>
      </c>
      <c r="E60" s="100">
        <v>6.5</v>
      </c>
      <c r="F60" s="100">
        <v>7.15</v>
      </c>
      <c r="G60" s="100">
        <v>58.76</v>
      </c>
      <c r="H60" s="100">
        <v>20.99</v>
      </c>
      <c r="I60" s="100">
        <v>11.77</v>
      </c>
      <c r="J60" s="100">
        <v>5.24</v>
      </c>
      <c r="K60" s="100">
        <v>141.55000000000001</v>
      </c>
      <c r="L60" s="100">
        <v>29.74</v>
      </c>
      <c r="M60" s="100">
        <v>55.15</v>
      </c>
      <c r="N60" s="100">
        <v>140.9</v>
      </c>
      <c r="O60" s="100">
        <v>0</v>
      </c>
      <c r="P60" s="100">
        <v>0.73</v>
      </c>
      <c r="Q60" s="100">
        <v>28.21</v>
      </c>
      <c r="R60" s="6"/>
      <c r="S60" s="6"/>
      <c r="T60" s="156"/>
      <c r="U60" s="6"/>
    </row>
    <row r="61" spans="1:21" customFormat="1">
      <c r="A61" s="163" t="s">
        <v>2308</v>
      </c>
      <c r="B61" s="100">
        <v>7.14</v>
      </c>
      <c r="C61" s="100">
        <v>20.11</v>
      </c>
      <c r="D61" s="100">
        <v>15.24</v>
      </c>
      <c r="E61" s="100">
        <v>6.41</v>
      </c>
      <c r="F61" s="100">
        <v>6.93</v>
      </c>
      <c r="G61" s="100">
        <v>56.23</v>
      </c>
      <c r="H61" s="100">
        <v>21.05</v>
      </c>
      <c r="I61" s="100">
        <v>11.53</v>
      </c>
      <c r="J61" s="100">
        <v>4.7</v>
      </c>
      <c r="K61" s="100">
        <v>139.88999999999999</v>
      </c>
      <c r="L61" s="100">
        <v>29.65</v>
      </c>
      <c r="M61" s="100">
        <v>56.01</v>
      </c>
      <c r="N61" s="100">
        <v>148.9</v>
      </c>
      <c r="O61" s="100">
        <v>0</v>
      </c>
      <c r="P61" s="100">
        <v>0.72</v>
      </c>
      <c r="Q61" s="100">
        <v>28.24</v>
      </c>
      <c r="R61" s="6"/>
      <c r="S61" s="6"/>
      <c r="T61" s="156"/>
      <c r="U61" s="6"/>
    </row>
    <row r="62" spans="1:21" customFormat="1">
      <c r="A62" s="163" t="s">
        <v>2309</v>
      </c>
      <c r="B62" s="100">
        <v>6.79</v>
      </c>
      <c r="C62" s="100">
        <v>18.690000000000001</v>
      </c>
      <c r="D62" s="100">
        <v>14.21</v>
      </c>
      <c r="E62" s="100">
        <v>6.81</v>
      </c>
      <c r="F62" s="100">
        <v>7.26</v>
      </c>
      <c r="G62" s="100">
        <v>56.23</v>
      </c>
      <c r="H62" s="100">
        <v>21.05</v>
      </c>
      <c r="I62" s="100">
        <v>11.43</v>
      </c>
      <c r="J62" s="100">
        <v>5.88</v>
      </c>
      <c r="K62" s="100">
        <v>154.93</v>
      </c>
      <c r="L62" s="100">
        <v>30.01</v>
      </c>
      <c r="M62" s="100">
        <v>55.33</v>
      </c>
      <c r="N62" s="100">
        <v>215.4</v>
      </c>
      <c r="O62" s="100">
        <v>0</v>
      </c>
      <c r="P62" s="100">
        <v>0.7</v>
      </c>
      <c r="Q62" s="100">
        <v>28.42</v>
      </c>
      <c r="R62" s="6"/>
      <c r="S62" s="6"/>
      <c r="T62" s="156"/>
      <c r="U62" s="6"/>
    </row>
    <row r="63" spans="1:21" customFormat="1">
      <c r="A63" s="163" t="s">
        <v>2310</v>
      </c>
      <c r="B63" s="100">
        <v>6.25</v>
      </c>
      <c r="C63" s="100">
        <v>17.77</v>
      </c>
      <c r="D63" s="100">
        <v>13.3</v>
      </c>
      <c r="E63" s="100">
        <v>6.39</v>
      </c>
      <c r="F63" s="100">
        <v>6.73</v>
      </c>
      <c r="G63" s="100">
        <v>56.23</v>
      </c>
      <c r="H63" s="100">
        <v>21.05</v>
      </c>
      <c r="I63" s="100">
        <v>11.25</v>
      </c>
      <c r="J63" s="100">
        <v>4.92</v>
      </c>
      <c r="K63" s="100">
        <v>150.74</v>
      </c>
      <c r="L63" s="100">
        <v>30.64</v>
      </c>
      <c r="M63" s="100">
        <v>53.38</v>
      </c>
      <c r="N63" s="100">
        <v>258.8</v>
      </c>
      <c r="O63" s="100">
        <v>0</v>
      </c>
      <c r="P63" s="100">
        <v>0.69</v>
      </c>
      <c r="Q63" s="100">
        <v>28.52</v>
      </c>
      <c r="R63" s="6"/>
      <c r="S63" s="6"/>
      <c r="T63" s="156"/>
      <c r="U63" s="6"/>
    </row>
    <row r="64" spans="1:21" customFormat="1">
      <c r="A64" s="163" t="s">
        <v>2311</v>
      </c>
      <c r="B64" s="100">
        <v>5.55</v>
      </c>
      <c r="C64" s="100">
        <v>16.61</v>
      </c>
      <c r="D64" s="100">
        <v>12.13</v>
      </c>
      <c r="E64" s="100">
        <v>6.86</v>
      </c>
      <c r="F64" s="100">
        <v>7.81</v>
      </c>
      <c r="G64" s="100">
        <v>54.99</v>
      </c>
      <c r="H64" s="100">
        <v>20.78</v>
      </c>
      <c r="I64" s="100">
        <v>11.13</v>
      </c>
      <c r="J64" s="100">
        <v>2.75</v>
      </c>
      <c r="K64" s="100">
        <v>142.96</v>
      </c>
      <c r="L64" s="100">
        <v>31.02</v>
      </c>
      <c r="M64" s="100">
        <v>53.08</v>
      </c>
      <c r="N64" s="100">
        <v>261.3</v>
      </c>
      <c r="O64" s="100">
        <v>0</v>
      </c>
      <c r="P64" s="100">
        <v>0.68</v>
      </c>
      <c r="Q64" s="100">
        <v>28.63</v>
      </c>
      <c r="R64" s="6"/>
      <c r="S64" s="6"/>
      <c r="T64" s="156"/>
      <c r="U64" s="6"/>
    </row>
    <row r="65" spans="1:21" customFormat="1">
      <c r="A65" s="163" t="s">
        <v>2312</v>
      </c>
      <c r="B65" s="100">
        <v>5.1100000000000003</v>
      </c>
      <c r="C65" s="100">
        <v>15.96</v>
      </c>
      <c r="D65" s="100">
        <v>11.44</v>
      </c>
      <c r="E65" s="100">
        <v>7.05</v>
      </c>
      <c r="F65" s="100">
        <v>6.62</v>
      </c>
      <c r="G65" s="100">
        <v>50.37</v>
      </c>
      <c r="H65" s="100">
        <v>19.739999999999998</v>
      </c>
      <c r="I65" s="100">
        <v>11.09</v>
      </c>
      <c r="J65" s="100">
        <v>4.45</v>
      </c>
      <c r="K65" s="100">
        <v>139.97</v>
      </c>
      <c r="L65" s="100">
        <v>30.94</v>
      </c>
      <c r="M65" s="100">
        <v>53.07</v>
      </c>
      <c r="N65" s="100">
        <v>204.2</v>
      </c>
      <c r="O65" s="100">
        <v>0</v>
      </c>
      <c r="P65" s="100">
        <v>0.68</v>
      </c>
      <c r="Q65" s="100">
        <v>28.77</v>
      </c>
      <c r="R65" s="6"/>
      <c r="S65" s="6"/>
      <c r="T65" s="156"/>
      <c r="U65" s="6"/>
    </row>
    <row r="66" spans="1:21" customFormat="1">
      <c r="A66" s="163" t="s">
        <v>2313</v>
      </c>
      <c r="B66" s="100">
        <v>4.32</v>
      </c>
      <c r="C66" s="100">
        <v>15.89</v>
      </c>
      <c r="D66" s="100">
        <v>10.77</v>
      </c>
      <c r="E66" s="100">
        <v>6.84</v>
      </c>
      <c r="F66" s="100">
        <v>18.86</v>
      </c>
      <c r="G66" s="100">
        <v>50.37</v>
      </c>
      <c r="H66" s="100">
        <v>19.739999999999998</v>
      </c>
      <c r="I66" s="100">
        <v>11.01</v>
      </c>
      <c r="J66" s="100">
        <v>4.93</v>
      </c>
      <c r="K66" s="100">
        <v>183.99</v>
      </c>
      <c r="L66" s="100">
        <v>30.42</v>
      </c>
      <c r="M66" s="100">
        <v>52.71</v>
      </c>
      <c r="N66" s="100">
        <v>126.1</v>
      </c>
      <c r="O66" s="100">
        <v>0</v>
      </c>
      <c r="P66" s="100">
        <v>0.63</v>
      </c>
      <c r="Q66" s="100">
        <v>28.77</v>
      </c>
      <c r="R66" s="6"/>
      <c r="S66" s="6"/>
      <c r="T66" s="156"/>
      <c r="U66" s="6"/>
    </row>
    <row r="67" spans="1:21" customFormat="1">
      <c r="A67" s="163" t="s">
        <v>2314</v>
      </c>
      <c r="B67" s="100">
        <v>3.9</v>
      </c>
      <c r="C67" s="100">
        <v>13.66</v>
      </c>
      <c r="D67" s="100">
        <v>9.27</v>
      </c>
      <c r="E67" s="100">
        <v>6.69</v>
      </c>
      <c r="F67" s="100">
        <v>13.91</v>
      </c>
      <c r="G67" s="100">
        <v>50.37</v>
      </c>
      <c r="H67" s="100">
        <v>19.739999999999998</v>
      </c>
      <c r="I67" s="100">
        <v>10.78</v>
      </c>
      <c r="J67" s="100">
        <v>4.75</v>
      </c>
      <c r="K67" s="100">
        <v>174.8</v>
      </c>
      <c r="L67" s="100">
        <v>29.77</v>
      </c>
      <c r="M67" s="100">
        <v>56.78</v>
      </c>
      <c r="N67" s="100">
        <v>105.7</v>
      </c>
      <c r="O67" s="100">
        <v>0</v>
      </c>
      <c r="P67" s="100">
        <v>0.64</v>
      </c>
      <c r="Q67" s="100">
        <v>28.91</v>
      </c>
      <c r="R67" s="6"/>
      <c r="S67" s="6"/>
      <c r="T67" s="156"/>
      <c r="U67" s="6"/>
    </row>
    <row r="68" spans="1:21" customFormat="1">
      <c r="A68" s="163" t="s">
        <v>2315</v>
      </c>
      <c r="B68" s="100">
        <v>3.66</v>
      </c>
      <c r="C68" s="100">
        <v>14.3</v>
      </c>
      <c r="D68" s="100">
        <v>9.41</v>
      </c>
      <c r="E68" s="100">
        <v>6.66</v>
      </c>
      <c r="F68" s="100">
        <v>13.08</v>
      </c>
      <c r="G68" s="100">
        <v>48.34</v>
      </c>
      <c r="H68" s="100">
        <v>19.510000000000002</v>
      </c>
      <c r="I68" s="100">
        <v>10.51</v>
      </c>
      <c r="J68" s="100">
        <v>5.15</v>
      </c>
      <c r="K68" s="100">
        <v>217.59</v>
      </c>
      <c r="L68" s="100">
        <v>29.73</v>
      </c>
      <c r="M68" s="100">
        <v>53.28</v>
      </c>
      <c r="N68" s="100">
        <v>124.8</v>
      </c>
      <c r="O68" s="100">
        <v>0</v>
      </c>
      <c r="P68" s="100">
        <v>0.64</v>
      </c>
      <c r="Q68" s="100">
        <v>28.92</v>
      </c>
      <c r="R68" s="6"/>
      <c r="S68" s="6"/>
      <c r="T68" s="156"/>
      <c r="U68" s="6"/>
    </row>
    <row r="69" spans="1:21" customFormat="1">
      <c r="A69" s="163" t="s">
        <v>2316</v>
      </c>
      <c r="B69" s="100">
        <v>3.41</v>
      </c>
      <c r="C69" s="100">
        <v>14.77</v>
      </c>
      <c r="D69" s="100">
        <v>9.4499999999999993</v>
      </c>
      <c r="E69" s="100">
        <v>6.63</v>
      </c>
      <c r="F69" s="100">
        <v>15.68</v>
      </c>
      <c r="G69" s="100">
        <v>40.74</v>
      </c>
      <c r="H69" s="100">
        <v>18.66</v>
      </c>
      <c r="I69" s="100">
        <v>10.53</v>
      </c>
      <c r="J69" s="100">
        <v>4.9400000000000004</v>
      </c>
      <c r="K69" s="100">
        <v>198.08</v>
      </c>
      <c r="L69" s="100">
        <v>29.78</v>
      </c>
      <c r="M69" s="100">
        <v>55.13</v>
      </c>
      <c r="N69" s="100">
        <v>157.80000000000001</v>
      </c>
      <c r="O69" s="100">
        <v>0</v>
      </c>
      <c r="P69" s="100">
        <v>0.63</v>
      </c>
      <c r="Q69" s="100">
        <v>28.91</v>
      </c>
      <c r="R69" s="6"/>
      <c r="S69" s="6"/>
      <c r="T69" s="156"/>
      <c r="U69" s="6"/>
    </row>
    <row r="70" spans="1:21" customFormat="1">
      <c r="A70" s="163" t="s">
        <v>2317</v>
      </c>
      <c r="B70" s="100">
        <v>3.09</v>
      </c>
      <c r="C70" s="100">
        <v>14.27</v>
      </c>
      <c r="D70" s="100">
        <v>8.94</v>
      </c>
      <c r="E70" s="100">
        <v>6.49</v>
      </c>
      <c r="F70" s="100">
        <v>12.9</v>
      </c>
      <c r="G70" s="100">
        <v>40.74</v>
      </c>
      <c r="H70" s="100">
        <v>18.66</v>
      </c>
      <c r="I70" s="100">
        <v>10.38</v>
      </c>
      <c r="J70" s="100">
        <v>5.07</v>
      </c>
      <c r="K70" s="100">
        <v>194.26</v>
      </c>
      <c r="L70" s="100">
        <v>29.82</v>
      </c>
      <c r="M70" s="100">
        <v>55.1</v>
      </c>
      <c r="N70" s="100">
        <v>132.30000000000001</v>
      </c>
      <c r="O70" s="100">
        <v>0</v>
      </c>
      <c r="P70" s="100">
        <v>0.63</v>
      </c>
      <c r="Q70" s="100">
        <v>28.94</v>
      </c>
      <c r="R70" s="6"/>
      <c r="S70" s="6"/>
      <c r="T70" s="156"/>
      <c r="U70" s="6"/>
    </row>
    <row r="71" spans="1:21" customFormat="1">
      <c r="A71" s="163" t="s">
        <v>2318</v>
      </c>
      <c r="B71" s="100">
        <v>2.81</v>
      </c>
      <c r="C71" s="100">
        <v>14.09</v>
      </c>
      <c r="D71" s="100">
        <v>8.6199999999999992</v>
      </c>
      <c r="E71" s="100">
        <v>6.29</v>
      </c>
      <c r="F71" s="100">
        <v>12.46</v>
      </c>
      <c r="G71" s="100">
        <v>40.74</v>
      </c>
      <c r="H71" s="100">
        <v>18.66</v>
      </c>
      <c r="I71" s="100">
        <v>10.23</v>
      </c>
      <c r="J71" s="100">
        <v>5.67</v>
      </c>
      <c r="K71" s="100">
        <v>212.53</v>
      </c>
      <c r="L71" s="100">
        <v>29.55</v>
      </c>
      <c r="M71" s="100">
        <v>55.75</v>
      </c>
      <c r="N71" s="100">
        <v>95.9</v>
      </c>
      <c r="O71" s="100">
        <v>0</v>
      </c>
      <c r="P71" s="100">
        <v>0.62</v>
      </c>
      <c r="Q71" s="100">
        <v>28.94</v>
      </c>
      <c r="R71" s="6"/>
      <c r="S71" s="6"/>
      <c r="T71" s="156"/>
      <c r="U71" s="6"/>
    </row>
    <row r="72" spans="1:21" customFormat="1">
      <c r="A72" s="163" t="s">
        <v>2319</v>
      </c>
      <c r="B72" s="100">
        <v>2.77</v>
      </c>
      <c r="C72" s="100">
        <v>14.52</v>
      </c>
      <c r="D72" s="100">
        <v>8.81</v>
      </c>
      <c r="E72" s="100">
        <v>6.66</v>
      </c>
      <c r="F72" s="100">
        <v>14</v>
      </c>
      <c r="G72" s="100">
        <v>40.68</v>
      </c>
      <c r="H72" s="100">
        <v>17.91</v>
      </c>
      <c r="I72" s="100">
        <v>10.06</v>
      </c>
      <c r="J72" s="100">
        <v>5.49</v>
      </c>
      <c r="K72" s="100">
        <v>208.71</v>
      </c>
      <c r="L72" s="100">
        <v>29.14</v>
      </c>
      <c r="M72" s="100">
        <v>57.88</v>
      </c>
      <c r="N72" s="100">
        <v>95.3</v>
      </c>
      <c r="O72" s="100">
        <v>0</v>
      </c>
      <c r="P72" s="100">
        <v>0.61</v>
      </c>
      <c r="Q72" s="100">
        <v>28.94</v>
      </c>
      <c r="R72" s="6"/>
      <c r="S72" s="6"/>
      <c r="T72" s="156"/>
      <c r="U72" s="6"/>
    </row>
    <row r="73" spans="1:21" customFormat="1">
      <c r="A73" s="163" t="s">
        <v>2320</v>
      </c>
      <c r="B73" s="100">
        <v>2.75</v>
      </c>
      <c r="C73" s="100">
        <v>16.670000000000002</v>
      </c>
      <c r="D73" s="100">
        <v>9.92</v>
      </c>
      <c r="E73" s="100">
        <v>6.23</v>
      </c>
      <c r="F73" s="100">
        <v>7.75</v>
      </c>
      <c r="G73" s="100">
        <v>40.46</v>
      </c>
      <c r="H73" s="100">
        <v>15.09</v>
      </c>
      <c r="I73" s="100">
        <v>9.84</v>
      </c>
      <c r="J73" s="100">
        <v>4.8099999999999996</v>
      </c>
      <c r="K73" s="100">
        <v>196.19</v>
      </c>
      <c r="L73" s="100">
        <v>28.68</v>
      </c>
      <c r="M73" s="100">
        <v>61.61</v>
      </c>
      <c r="N73" s="100">
        <v>83.9</v>
      </c>
      <c r="O73" s="100">
        <v>0</v>
      </c>
      <c r="P73" s="100">
        <v>0.62</v>
      </c>
      <c r="Q73" s="100">
        <v>28.85</v>
      </c>
      <c r="R73" s="6"/>
      <c r="S73" s="6"/>
      <c r="T73" s="156"/>
      <c r="U73" s="6"/>
    </row>
    <row r="74" spans="1:21" customFormat="1">
      <c r="A74" s="163" t="s">
        <v>2321</v>
      </c>
      <c r="B74" s="100">
        <v>2.75</v>
      </c>
      <c r="C74" s="100">
        <v>17.96</v>
      </c>
      <c r="D74" s="100">
        <v>10.59</v>
      </c>
      <c r="E74" s="100">
        <v>6.71</v>
      </c>
      <c r="F74" s="100">
        <v>5.72</v>
      </c>
      <c r="G74" s="100">
        <v>40.46</v>
      </c>
      <c r="H74" s="100">
        <v>15.09</v>
      </c>
      <c r="I74" s="100">
        <v>9.65</v>
      </c>
      <c r="J74" s="100">
        <v>4.97</v>
      </c>
      <c r="K74" s="100">
        <v>218.17</v>
      </c>
      <c r="L74" s="100">
        <v>28.57</v>
      </c>
      <c r="M74" s="100">
        <v>59.11</v>
      </c>
      <c r="N74" s="100">
        <v>74.2</v>
      </c>
      <c r="O74" s="100">
        <v>0</v>
      </c>
      <c r="P74" s="100">
        <v>0.61</v>
      </c>
      <c r="Q74" s="100">
        <v>28.8</v>
      </c>
      <c r="R74" s="6"/>
      <c r="S74" s="6"/>
      <c r="T74" s="156"/>
      <c r="U74" s="6"/>
    </row>
    <row r="75" spans="1:21" customFormat="1">
      <c r="A75" s="163" t="s">
        <v>2322</v>
      </c>
      <c r="B75" s="100">
        <v>2.82</v>
      </c>
      <c r="C75" s="100">
        <v>17.41</v>
      </c>
      <c r="D75" s="100">
        <v>10.37</v>
      </c>
      <c r="E75" s="100">
        <v>6.76</v>
      </c>
      <c r="F75" s="100">
        <v>6.96</v>
      </c>
      <c r="G75" s="100">
        <v>40.46</v>
      </c>
      <c r="H75" s="100">
        <v>15.09</v>
      </c>
      <c r="I75" s="100">
        <v>9.8800000000000008</v>
      </c>
      <c r="J75" s="100">
        <v>5.33</v>
      </c>
      <c r="K75" s="100">
        <v>202.79</v>
      </c>
      <c r="L75" s="100">
        <v>28.65</v>
      </c>
      <c r="M75" s="100">
        <v>59.75</v>
      </c>
      <c r="N75" s="100">
        <v>73.099999999999994</v>
      </c>
      <c r="O75" s="100">
        <v>0</v>
      </c>
      <c r="P75" s="100">
        <v>0.6</v>
      </c>
      <c r="Q75" s="100">
        <v>28.88</v>
      </c>
      <c r="R75" s="6"/>
      <c r="S75" s="6"/>
      <c r="T75" s="156"/>
      <c r="U75" s="6"/>
    </row>
    <row r="76" spans="1:21" customFormat="1">
      <c r="A76" s="163" t="s">
        <v>2323</v>
      </c>
      <c r="B76" s="100">
        <v>2.94</v>
      </c>
      <c r="C76" s="100">
        <v>16.350000000000001</v>
      </c>
      <c r="D76" s="100">
        <v>9.9</v>
      </c>
      <c r="E76" s="100">
        <v>6.07</v>
      </c>
      <c r="F76" s="100">
        <v>5.76</v>
      </c>
      <c r="G76" s="100">
        <v>39.78</v>
      </c>
      <c r="H76" s="100">
        <v>15.61</v>
      </c>
      <c r="I76" s="100">
        <v>9.84</v>
      </c>
      <c r="J76" s="100">
        <v>5.5</v>
      </c>
      <c r="K76" s="100">
        <v>189.02</v>
      </c>
      <c r="L76" s="100">
        <v>28.44</v>
      </c>
      <c r="M76" s="100">
        <v>62.29</v>
      </c>
      <c r="N76" s="100">
        <v>91.6</v>
      </c>
      <c r="O76" s="100">
        <v>0</v>
      </c>
      <c r="P76" s="100">
        <v>0.6</v>
      </c>
      <c r="Q76" s="100">
        <v>28.96</v>
      </c>
      <c r="R76" s="6"/>
      <c r="S76" s="6"/>
      <c r="T76" s="156"/>
      <c r="U76" s="6"/>
    </row>
    <row r="77" spans="1:21" customFormat="1">
      <c r="A77" s="163" t="s">
        <v>2324</v>
      </c>
      <c r="B77" s="100">
        <v>3.01</v>
      </c>
      <c r="C77" s="100">
        <v>16.059999999999999</v>
      </c>
      <c r="D77" s="100">
        <v>9.81</v>
      </c>
      <c r="E77" s="100">
        <v>5.41</v>
      </c>
      <c r="F77" s="100">
        <v>5.77</v>
      </c>
      <c r="G77" s="100">
        <v>37.26</v>
      </c>
      <c r="H77" s="100">
        <v>17.55</v>
      </c>
      <c r="I77" s="100">
        <v>9.77</v>
      </c>
      <c r="J77" s="100">
        <v>5.61</v>
      </c>
      <c r="K77" s="100">
        <v>211.7</v>
      </c>
      <c r="L77" s="100">
        <v>28.6</v>
      </c>
      <c r="M77" s="100">
        <v>60.85</v>
      </c>
      <c r="N77" s="100">
        <v>87.9</v>
      </c>
      <c r="O77" s="100">
        <v>0</v>
      </c>
      <c r="P77" s="100">
        <v>0.56999999999999995</v>
      </c>
      <c r="Q77" s="100">
        <v>28.94</v>
      </c>
      <c r="R77" s="6"/>
      <c r="S77" s="6"/>
      <c r="T77" s="156"/>
      <c r="U77" s="6"/>
    </row>
    <row r="78" spans="1:21" customFormat="1">
      <c r="A78" s="163" t="s">
        <v>2325</v>
      </c>
      <c r="B78" s="100">
        <v>3.07</v>
      </c>
      <c r="C78" s="100">
        <v>15.49</v>
      </c>
      <c r="D78" s="100">
        <v>9.56</v>
      </c>
      <c r="E78" s="100">
        <v>6.7</v>
      </c>
      <c r="F78" s="100">
        <v>5.48</v>
      </c>
      <c r="G78" s="100">
        <v>37.26</v>
      </c>
      <c r="H78" s="100">
        <v>17.55</v>
      </c>
      <c r="I78" s="100">
        <v>9.81</v>
      </c>
      <c r="J78" s="100">
        <v>5.39</v>
      </c>
      <c r="K78" s="100">
        <v>205.88</v>
      </c>
      <c r="L78" s="100">
        <v>28.7</v>
      </c>
      <c r="M78" s="100">
        <v>60.29</v>
      </c>
      <c r="N78" s="100">
        <v>69.400000000000006</v>
      </c>
      <c r="O78" s="100">
        <v>0</v>
      </c>
      <c r="P78" s="100">
        <v>0.59</v>
      </c>
      <c r="Q78" s="100">
        <v>29</v>
      </c>
      <c r="R78" s="6"/>
      <c r="S78" s="6"/>
      <c r="T78" s="156"/>
      <c r="U78" s="6"/>
    </row>
    <row r="79" spans="1:21" customFormat="1">
      <c r="A79" s="163" t="s">
        <v>2326</v>
      </c>
      <c r="B79" s="100">
        <v>2.82</v>
      </c>
      <c r="C79" s="100">
        <v>14.78</v>
      </c>
      <c r="D79" s="100">
        <v>8.99</v>
      </c>
      <c r="E79" s="100">
        <v>7.69</v>
      </c>
      <c r="F79" s="100">
        <v>18.77</v>
      </c>
      <c r="G79" s="100">
        <v>37.26</v>
      </c>
      <c r="H79" s="100">
        <v>17.55</v>
      </c>
      <c r="I79" s="100">
        <v>9.77</v>
      </c>
      <c r="J79" s="100">
        <v>4.01</v>
      </c>
      <c r="K79" s="100">
        <v>184.21</v>
      </c>
      <c r="L79" s="100">
        <v>28.57</v>
      </c>
      <c r="M79" s="100">
        <v>61.15</v>
      </c>
      <c r="N79" s="100">
        <v>52.2</v>
      </c>
      <c r="O79" s="100">
        <v>0</v>
      </c>
      <c r="P79" s="100">
        <v>0.55000000000000004</v>
      </c>
      <c r="Q79" s="100">
        <v>29.05</v>
      </c>
      <c r="R79" s="6"/>
      <c r="S79" s="6"/>
      <c r="T79" s="156"/>
      <c r="U79" s="6"/>
    </row>
    <row r="80" spans="1:21" customFormat="1">
      <c r="A80" s="163" t="s">
        <v>2327</v>
      </c>
      <c r="B80" s="100">
        <v>2.66</v>
      </c>
      <c r="C80" s="100">
        <v>13.5</v>
      </c>
      <c r="D80" s="100">
        <v>8.1999999999999993</v>
      </c>
      <c r="E80" s="100">
        <v>7.45</v>
      </c>
      <c r="F80" s="100">
        <v>19.37</v>
      </c>
      <c r="G80" s="100">
        <v>37.380000000000003</v>
      </c>
      <c r="H80" s="100">
        <v>16.93</v>
      </c>
      <c r="I80" s="100">
        <v>9.64</v>
      </c>
      <c r="J80" s="100">
        <v>4.5599999999999996</v>
      </c>
      <c r="K80" s="100">
        <v>170.19</v>
      </c>
      <c r="L80" s="100">
        <v>28.3</v>
      </c>
      <c r="M80" s="100">
        <v>62.66</v>
      </c>
      <c r="N80" s="100">
        <v>38.200000000000003</v>
      </c>
      <c r="O80" s="100">
        <v>0</v>
      </c>
      <c r="P80" s="100">
        <v>0.54</v>
      </c>
      <c r="Q80" s="100">
        <v>29.08</v>
      </c>
      <c r="R80" s="6"/>
      <c r="S80" s="6"/>
      <c r="T80" s="156"/>
      <c r="U80" s="6"/>
    </row>
    <row r="81" spans="1:21" customFormat="1">
      <c r="A81" s="163" t="s">
        <v>2328</v>
      </c>
      <c r="B81" s="100">
        <v>2.69</v>
      </c>
      <c r="C81" s="100">
        <v>14</v>
      </c>
      <c r="D81" s="100">
        <v>8.48</v>
      </c>
      <c r="E81" s="100">
        <v>7.14</v>
      </c>
      <c r="F81" s="100">
        <v>13.32</v>
      </c>
      <c r="G81" s="100">
        <v>37.86</v>
      </c>
      <c r="H81" s="100">
        <v>14.59</v>
      </c>
      <c r="I81" s="100">
        <v>9.08</v>
      </c>
      <c r="J81" s="100">
        <v>4.67</v>
      </c>
      <c r="K81" s="100">
        <v>220.18</v>
      </c>
      <c r="L81" s="100">
        <v>28.19</v>
      </c>
      <c r="M81" s="100">
        <v>62.36</v>
      </c>
      <c r="N81" s="100">
        <v>29.1</v>
      </c>
      <c r="O81" s="100">
        <v>0</v>
      </c>
      <c r="P81" s="100">
        <v>0.56000000000000005</v>
      </c>
      <c r="Q81" s="100">
        <v>29.03</v>
      </c>
      <c r="R81" s="6"/>
      <c r="S81" s="6"/>
      <c r="T81" s="156"/>
      <c r="U81" s="6"/>
    </row>
    <row r="82" spans="1:21" customFormat="1">
      <c r="A82" s="163" t="s">
        <v>2329</v>
      </c>
      <c r="B82" s="100">
        <v>2.86</v>
      </c>
      <c r="C82" s="100">
        <v>14.64</v>
      </c>
      <c r="D82" s="100">
        <v>8.9499999999999993</v>
      </c>
      <c r="E82" s="100">
        <v>7.01</v>
      </c>
      <c r="F82" s="100">
        <v>16.420000000000002</v>
      </c>
      <c r="G82" s="100">
        <v>37.86</v>
      </c>
      <c r="H82" s="100">
        <v>14.59</v>
      </c>
      <c r="I82" s="100">
        <v>9.11</v>
      </c>
      <c r="J82" s="100">
        <v>4.74</v>
      </c>
      <c r="K82" s="100">
        <v>193.67</v>
      </c>
      <c r="L82" s="100">
        <v>28.16</v>
      </c>
      <c r="M82" s="100">
        <v>63.02</v>
      </c>
      <c r="N82" s="100">
        <v>26</v>
      </c>
      <c r="O82" s="100">
        <v>0</v>
      </c>
      <c r="P82" s="100">
        <v>0.56999999999999995</v>
      </c>
      <c r="Q82" s="100">
        <v>28.99</v>
      </c>
      <c r="R82" s="6"/>
      <c r="S82" s="6"/>
      <c r="T82" s="156"/>
      <c r="U82" s="6"/>
    </row>
    <row r="83" spans="1:21" customFormat="1">
      <c r="A83" s="163" t="s">
        <v>2330</v>
      </c>
      <c r="B83" s="100">
        <v>2.85</v>
      </c>
      <c r="C83" s="100">
        <v>14.35</v>
      </c>
      <c r="D83" s="100">
        <v>8.7899999999999991</v>
      </c>
      <c r="E83" s="100">
        <v>6.43</v>
      </c>
      <c r="F83" s="100">
        <v>16.670000000000002</v>
      </c>
      <c r="G83" s="100">
        <v>37.86</v>
      </c>
      <c r="H83" s="100">
        <v>14.59</v>
      </c>
      <c r="I83" s="100">
        <v>9.41</v>
      </c>
      <c r="J83" s="100">
        <v>5.04</v>
      </c>
      <c r="K83" s="100">
        <v>214.26</v>
      </c>
      <c r="L83" s="100">
        <v>28.09</v>
      </c>
      <c r="M83" s="100">
        <v>62.83</v>
      </c>
      <c r="N83" s="100">
        <v>24.5</v>
      </c>
      <c r="O83" s="100">
        <v>0</v>
      </c>
      <c r="P83" s="100">
        <v>0.56000000000000005</v>
      </c>
      <c r="Q83" s="100">
        <v>28.99</v>
      </c>
      <c r="R83" s="6"/>
      <c r="S83" s="6"/>
      <c r="T83" s="156"/>
      <c r="U83" s="6"/>
    </row>
    <row r="84" spans="1:21" customFormat="1">
      <c r="A84" s="163" t="s">
        <v>2331</v>
      </c>
      <c r="B84" s="100">
        <v>3.07</v>
      </c>
      <c r="C84" s="100">
        <v>15.23</v>
      </c>
      <c r="D84" s="100">
        <v>9.42</v>
      </c>
      <c r="E84" s="100">
        <v>7.03</v>
      </c>
      <c r="F84" s="100">
        <v>12.53</v>
      </c>
      <c r="G84" s="100">
        <v>37.840000000000003</v>
      </c>
      <c r="H84" s="100">
        <v>14.57</v>
      </c>
      <c r="I84" s="100">
        <v>9.4</v>
      </c>
      <c r="J84" s="100">
        <v>5.03</v>
      </c>
      <c r="K84" s="100">
        <v>255.47</v>
      </c>
      <c r="L84" s="100">
        <v>28.09</v>
      </c>
      <c r="M84" s="100">
        <v>63.76</v>
      </c>
      <c r="N84" s="100">
        <v>23.6</v>
      </c>
      <c r="O84" s="100">
        <v>0</v>
      </c>
      <c r="P84" s="100">
        <v>0.59</v>
      </c>
      <c r="Q84" s="100">
        <v>28.95</v>
      </c>
      <c r="R84" s="6"/>
      <c r="S84" s="6"/>
      <c r="T84" s="156"/>
      <c r="U84" s="6"/>
    </row>
    <row r="85" spans="1:21" customFormat="1">
      <c r="A85" s="163" t="s">
        <v>2332</v>
      </c>
      <c r="B85" s="100">
        <v>3.39</v>
      </c>
      <c r="C85" s="100">
        <v>15.65</v>
      </c>
      <c r="D85" s="100">
        <v>9.9</v>
      </c>
      <c r="E85" s="100">
        <v>7.33</v>
      </c>
      <c r="F85" s="100">
        <v>10.84</v>
      </c>
      <c r="G85" s="100">
        <v>37.799999999999997</v>
      </c>
      <c r="H85" s="100">
        <v>14.51</v>
      </c>
      <c r="I85" s="100">
        <v>8.99</v>
      </c>
      <c r="J85" s="100">
        <v>4.74</v>
      </c>
      <c r="K85" s="100">
        <v>269.85000000000002</v>
      </c>
      <c r="L85" s="100">
        <v>27.86</v>
      </c>
      <c r="M85" s="100">
        <v>65.489999999999995</v>
      </c>
      <c r="N85" s="100">
        <v>23.6</v>
      </c>
      <c r="O85" s="100">
        <v>0</v>
      </c>
      <c r="P85" s="100">
        <v>0.59</v>
      </c>
      <c r="Q85" s="100">
        <v>28.92</v>
      </c>
      <c r="R85" s="6"/>
      <c r="S85" s="6"/>
      <c r="T85" s="156"/>
      <c r="U85" s="6"/>
    </row>
    <row r="86" spans="1:21" customFormat="1">
      <c r="A86" s="163" t="s">
        <v>2333</v>
      </c>
      <c r="B86" s="100">
        <v>3.58</v>
      </c>
      <c r="C86" s="100">
        <v>16.739999999999998</v>
      </c>
      <c r="D86" s="100">
        <v>10.62</v>
      </c>
      <c r="E86" s="100">
        <v>7.02</v>
      </c>
      <c r="F86" s="100">
        <v>5.21</v>
      </c>
      <c r="G86" s="100">
        <v>37.799999999999997</v>
      </c>
      <c r="H86" s="100">
        <v>14.51</v>
      </c>
      <c r="I86" s="100">
        <v>9.57</v>
      </c>
      <c r="J86" s="100">
        <v>5.09</v>
      </c>
      <c r="K86" s="100">
        <v>251.61</v>
      </c>
      <c r="L86" s="100">
        <v>27.74</v>
      </c>
      <c r="M86" s="100">
        <v>66.319999999999993</v>
      </c>
      <c r="N86" s="100">
        <v>23.6</v>
      </c>
      <c r="O86" s="100">
        <v>0</v>
      </c>
      <c r="P86" s="100">
        <v>0.61</v>
      </c>
      <c r="Q86" s="100">
        <v>28.8</v>
      </c>
      <c r="R86" s="6"/>
      <c r="S86" s="6"/>
      <c r="T86" s="156"/>
      <c r="U86" s="6"/>
    </row>
    <row r="87" spans="1:21" customFormat="1">
      <c r="A87" s="163" t="s">
        <v>2334</v>
      </c>
      <c r="B87" s="100">
        <v>3.57</v>
      </c>
      <c r="C87" s="100">
        <v>19.190000000000001</v>
      </c>
      <c r="D87" s="100">
        <v>11.9</v>
      </c>
      <c r="E87" s="100">
        <v>6.98</v>
      </c>
      <c r="F87" s="100">
        <v>5.52</v>
      </c>
      <c r="G87" s="100">
        <v>37.799999999999997</v>
      </c>
      <c r="H87" s="100">
        <v>14.51</v>
      </c>
      <c r="I87" s="100">
        <v>9.85</v>
      </c>
      <c r="J87" s="100">
        <v>5.91</v>
      </c>
      <c r="K87" s="100">
        <v>242.06</v>
      </c>
      <c r="L87" s="100">
        <v>27.67</v>
      </c>
      <c r="M87" s="100">
        <v>66.510000000000005</v>
      </c>
      <c r="N87" s="100">
        <v>23.6</v>
      </c>
      <c r="O87" s="100">
        <v>0</v>
      </c>
      <c r="P87" s="100">
        <v>0.6</v>
      </c>
      <c r="Q87" s="100">
        <v>28.68</v>
      </c>
      <c r="R87" s="6"/>
      <c r="S87" s="6"/>
      <c r="T87" s="156"/>
      <c r="U87" s="6"/>
    </row>
    <row r="88" spans="1:21" customFormat="1">
      <c r="A88" s="163" t="s">
        <v>2335</v>
      </c>
      <c r="B88" s="100">
        <v>3.67</v>
      </c>
      <c r="C88" s="100">
        <v>18.03</v>
      </c>
      <c r="D88" s="100">
        <v>11.37</v>
      </c>
      <c r="E88" s="100">
        <v>6.97</v>
      </c>
      <c r="F88" s="100">
        <v>4.17</v>
      </c>
      <c r="G88" s="100">
        <v>37.5</v>
      </c>
      <c r="H88" s="100">
        <v>14.99</v>
      </c>
      <c r="I88" s="100">
        <v>9.93</v>
      </c>
      <c r="J88" s="100">
        <v>6.1</v>
      </c>
      <c r="K88" s="100">
        <v>242.01</v>
      </c>
      <c r="L88" s="100">
        <v>27.62</v>
      </c>
      <c r="M88" s="100">
        <v>66.97</v>
      </c>
      <c r="N88" s="100">
        <v>23.6</v>
      </c>
      <c r="O88" s="100">
        <v>0</v>
      </c>
      <c r="P88" s="100">
        <v>0.6</v>
      </c>
      <c r="Q88" s="100">
        <v>28.8</v>
      </c>
      <c r="R88" s="6"/>
      <c r="S88" s="6"/>
      <c r="T88" s="156"/>
      <c r="U88" s="6"/>
    </row>
    <row r="89" spans="1:21" customFormat="1">
      <c r="A89" s="163" t="s">
        <v>2336</v>
      </c>
      <c r="B89" s="100">
        <v>3.88</v>
      </c>
      <c r="C89" s="100">
        <v>16.760000000000002</v>
      </c>
      <c r="D89" s="100">
        <v>10.87</v>
      </c>
      <c r="E89" s="100">
        <v>7.17</v>
      </c>
      <c r="F89" s="100">
        <v>3.87</v>
      </c>
      <c r="G89" s="100">
        <v>36.409999999999997</v>
      </c>
      <c r="H89" s="100">
        <v>16.8</v>
      </c>
      <c r="I89" s="100">
        <v>10.1</v>
      </c>
      <c r="J89" s="100">
        <v>5.44</v>
      </c>
      <c r="K89" s="100">
        <v>239.24</v>
      </c>
      <c r="L89" s="100">
        <v>27.52</v>
      </c>
      <c r="M89" s="100">
        <v>67.61</v>
      </c>
      <c r="N89" s="100">
        <v>23.6</v>
      </c>
      <c r="O89" s="100">
        <v>0</v>
      </c>
      <c r="P89" s="100">
        <v>0.6</v>
      </c>
      <c r="Q89" s="100">
        <v>28.86</v>
      </c>
      <c r="R89" s="6"/>
      <c r="S89" s="6"/>
      <c r="T89" s="156"/>
      <c r="U89" s="6"/>
    </row>
    <row r="90" spans="1:21" customFormat="1">
      <c r="A90" s="163" t="s">
        <v>2337</v>
      </c>
      <c r="B90" s="100">
        <v>3.98</v>
      </c>
      <c r="C90" s="100">
        <v>15.59</v>
      </c>
      <c r="D90" s="100">
        <v>10.34</v>
      </c>
      <c r="E90" s="100">
        <v>7.23</v>
      </c>
      <c r="F90" s="100">
        <v>4.22</v>
      </c>
      <c r="G90" s="100">
        <v>36.409999999999997</v>
      </c>
      <c r="H90" s="100">
        <v>16.8</v>
      </c>
      <c r="I90" s="100">
        <v>10.25</v>
      </c>
      <c r="J90" s="100">
        <v>4.5599999999999996</v>
      </c>
      <c r="K90" s="100">
        <v>200.39</v>
      </c>
      <c r="L90" s="100">
        <v>27.56</v>
      </c>
      <c r="M90" s="100">
        <v>67.989999999999995</v>
      </c>
      <c r="N90" s="100">
        <v>23.5</v>
      </c>
      <c r="O90" s="100">
        <v>0</v>
      </c>
      <c r="P90" s="100">
        <v>0.6</v>
      </c>
      <c r="Q90" s="100">
        <v>28.89</v>
      </c>
      <c r="R90" s="6"/>
      <c r="S90" s="6"/>
      <c r="T90" s="156"/>
      <c r="U90" s="6"/>
    </row>
    <row r="91" spans="1:21" customFormat="1">
      <c r="A91" s="163" t="s">
        <v>2338</v>
      </c>
      <c r="B91" s="100">
        <v>4.07</v>
      </c>
      <c r="C91" s="100">
        <v>14.62</v>
      </c>
      <c r="D91" s="100">
        <v>9.91</v>
      </c>
      <c r="E91" s="100">
        <v>7</v>
      </c>
      <c r="F91" s="100">
        <v>4.21</v>
      </c>
      <c r="G91" s="100">
        <v>36.409999999999997</v>
      </c>
      <c r="H91" s="100">
        <v>16.8</v>
      </c>
      <c r="I91" s="100">
        <v>10.25</v>
      </c>
      <c r="J91" s="100">
        <v>4.63</v>
      </c>
      <c r="K91" s="100">
        <v>186.13</v>
      </c>
      <c r="L91" s="100">
        <v>27.45</v>
      </c>
      <c r="M91" s="100">
        <v>69.09</v>
      </c>
      <c r="N91" s="100">
        <v>23.4</v>
      </c>
      <c r="O91" s="100">
        <v>0</v>
      </c>
      <c r="P91" s="100">
        <v>0.6</v>
      </c>
      <c r="Q91" s="100">
        <v>28.9</v>
      </c>
      <c r="R91" s="6"/>
      <c r="S91" s="6"/>
      <c r="T91" s="156"/>
      <c r="U91" s="6"/>
    </row>
    <row r="92" spans="1:21" customFormat="1">
      <c r="A92" s="163" t="s">
        <v>2339</v>
      </c>
      <c r="B92" s="100">
        <v>3.99</v>
      </c>
      <c r="C92" s="100">
        <v>16.170000000000002</v>
      </c>
      <c r="D92" s="100">
        <v>10.66</v>
      </c>
      <c r="E92" s="100">
        <v>7.56</v>
      </c>
      <c r="F92" s="100">
        <v>9.98</v>
      </c>
      <c r="G92" s="100">
        <v>37.58</v>
      </c>
      <c r="H92" s="100">
        <v>16.829999999999998</v>
      </c>
      <c r="I92" s="100">
        <v>10.3</v>
      </c>
      <c r="J92" s="100">
        <v>3.49</v>
      </c>
      <c r="K92" s="100">
        <v>177.51</v>
      </c>
      <c r="L92" s="100">
        <v>27.33</v>
      </c>
      <c r="M92" s="100">
        <v>69.400000000000006</v>
      </c>
      <c r="N92" s="100">
        <v>23.6</v>
      </c>
      <c r="O92" s="100">
        <v>0</v>
      </c>
      <c r="P92" s="100">
        <v>0.59</v>
      </c>
      <c r="Q92" s="100">
        <v>28.82</v>
      </c>
      <c r="R92" s="6"/>
      <c r="S92" s="6"/>
      <c r="T92" s="156"/>
      <c r="U92" s="6"/>
    </row>
    <row r="93" spans="1:21" customFormat="1">
      <c r="A93" s="163" t="s">
        <v>2340</v>
      </c>
      <c r="B93" s="100">
        <v>4.18</v>
      </c>
      <c r="C93" s="100">
        <v>15.56</v>
      </c>
      <c r="D93" s="100">
        <v>10.49</v>
      </c>
      <c r="E93" s="100">
        <v>7.49</v>
      </c>
      <c r="F93" s="100">
        <v>8.11</v>
      </c>
      <c r="G93" s="100">
        <v>41.94</v>
      </c>
      <c r="H93" s="100">
        <v>16.940000000000001</v>
      </c>
      <c r="I93" s="100">
        <v>10.29</v>
      </c>
      <c r="J93" s="100">
        <v>4.53</v>
      </c>
      <c r="K93" s="100">
        <v>205.46</v>
      </c>
      <c r="L93" s="100">
        <v>27.12</v>
      </c>
      <c r="M93" s="100">
        <v>70.22</v>
      </c>
      <c r="N93" s="100">
        <v>23.5</v>
      </c>
      <c r="O93" s="100">
        <v>0</v>
      </c>
      <c r="P93" s="100">
        <v>0.59</v>
      </c>
      <c r="Q93" s="100">
        <v>28.84</v>
      </c>
      <c r="R93" s="6"/>
      <c r="S93" s="6"/>
      <c r="T93" s="156"/>
      <c r="U93" s="6"/>
    </row>
    <row r="94" spans="1:21" customFormat="1">
      <c r="A94" s="163" t="s">
        <v>2341</v>
      </c>
      <c r="B94" s="100">
        <v>4.67</v>
      </c>
      <c r="C94" s="100">
        <v>14.22</v>
      </c>
      <c r="D94" s="100">
        <v>10.18</v>
      </c>
      <c r="E94" s="100">
        <v>7.32</v>
      </c>
      <c r="F94" s="100">
        <v>7.9</v>
      </c>
      <c r="G94" s="100">
        <v>41.94</v>
      </c>
      <c r="H94" s="100">
        <v>16.940000000000001</v>
      </c>
      <c r="I94" s="100">
        <v>10.24</v>
      </c>
      <c r="J94" s="100">
        <v>5.26</v>
      </c>
      <c r="K94" s="100">
        <v>224.48</v>
      </c>
      <c r="L94" s="100">
        <v>27.33</v>
      </c>
      <c r="M94" s="100">
        <v>69.13</v>
      </c>
      <c r="N94" s="100">
        <v>23.5</v>
      </c>
      <c r="O94" s="100">
        <v>0</v>
      </c>
      <c r="P94" s="100">
        <v>0.61</v>
      </c>
      <c r="Q94" s="100">
        <v>28.83</v>
      </c>
      <c r="R94" s="6"/>
      <c r="S94" s="6"/>
      <c r="T94" s="156"/>
      <c r="U94" s="6"/>
    </row>
    <row r="95" spans="1:21" customFormat="1">
      <c r="A95" s="163" t="s">
        <v>2342</v>
      </c>
      <c r="B95" s="100">
        <v>4.66</v>
      </c>
      <c r="C95" s="100">
        <v>13.96</v>
      </c>
      <c r="D95" s="100">
        <v>10.039999999999999</v>
      </c>
      <c r="E95" s="100">
        <v>6.93</v>
      </c>
      <c r="F95" s="100">
        <v>6.34</v>
      </c>
      <c r="G95" s="100">
        <v>41.94</v>
      </c>
      <c r="H95" s="100">
        <v>16.940000000000001</v>
      </c>
      <c r="I95" s="100">
        <v>10.32</v>
      </c>
      <c r="J95" s="100">
        <v>6.26</v>
      </c>
      <c r="K95" s="100">
        <v>174.44</v>
      </c>
      <c r="L95" s="100">
        <v>27.01</v>
      </c>
      <c r="M95" s="100">
        <v>72.09</v>
      </c>
      <c r="N95" s="100">
        <v>23.7</v>
      </c>
      <c r="O95" s="100">
        <v>0</v>
      </c>
      <c r="P95" s="100">
        <v>0.6</v>
      </c>
      <c r="Q95" s="100">
        <v>28.82</v>
      </c>
      <c r="R95" s="6"/>
      <c r="S95" s="6"/>
      <c r="T95" s="156"/>
      <c r="U95" s="6"/>
    </row>
    <row r="96" spans="1:21" customFormat="1">
      <c r="A96" s="163" t="s">
        <v>2343</v>
      </c>
      <c r="B96" s="100">
        <v>4.34</v>
      </c>
      <c r="C96" s="100">
        <v>14.13</v>
      </c>
      <c r="D96" s="100">
        <v>9.86</v>
      </c>
      <c r="E96" s="100">
        <v>7.18</v>
      </c>
      <c r="F96" s="100">
        <v>7.8</v>
      </c>
      <c r="G96" s="100">
        <v>42.22</v>
      </c>
      <c r="H96" s="100">
        <v>15.97</v>
      </c>
      <c r="I96" s="100">
        <v>10.59</v>
      </c>
      <c r="J96" s="100">
        <v>5.42</v>
      </c>
      <c r="K96" s="100">
        <v>174.4</v>
      </c>
      <c r="L96" s="100">
        <v>26.8</v>
      </c>
      <c r="M96" s="100">
        <v>72.75</v>
      </c>
      <c r="N96" s="100">
        <v>23.6</v>
      </c>
      <c r="O96" s="100">
        <v>0</v>
      </c>
      <c r="P96" s="100">
        <v>0.6</v>
      </c>
      <c r="Q96" s="100">
        <v>28.81</v>
      </c>
      <c r="R96" s="6"/>
      <c r="S96" s="6"/>
      <c r="T96" s="156"/>
      <c r="U96" s="6"/>
    </row>
    <row r="97" spans="1:28" customFormat="1">
      <c r="A97" s="163" t="s">
        <v>2344</v>
      </c>
      <c r="B97" s="100">
        <v>4.1500000000000004</v>
      </c>
      <c r="C97" s="100">
        <v>14.3</v>
      </c>
      <c r="D97" s="100">
        <v>9.8000000000000007</v>
      </c>
      <c r="E97" s="100">
        <v>6.95</v>
      </c>
      <c r="F97" s="100">
        <v>7.92</v>
      </c>
      <c r="G97" s="100">
        <v>43.25</v>
      </c>
      <c r="H97" s="100">
        <v>12.36</v>
      </c>
      <c r="I97" s="100">
        <v>10.35</v>
      </c>
      <c r="J97" s="100">
        <v>6.09</v>
      </c>
      <c r="K97" s="100">
        <v>180.25</v>
      </c>
      <c r="L97" s="100">
        <v>26.72</v>
      </c>
      <c r="M97" s="100">
        <v>73.489999999999995</v>
      </c>
      <c r="N97" s="100">
        <v>23.6</v>
      </c>
      <c r="O97" s="100">
        <v>0</v>
      </c>
      <c r="P97" s="100">
        <v>0.59</v>
      </c>
      <c r="Q97" s="100">
        <v>28.81</v>
      </c>
      <c r="R97" s="6"/>
      <c r="S97" s="6"/>
      <c r="T97" s="156"/>
      <c r="U97" s="6"/>
    </row>
    <row r="98" spans="1:28" customFormat="1">
      <c r="A98" s="163" t="s">
        <v>2345</v>
      </c>
      <c r="B98" s="100">
        <v>4.0599999999999996</v>
      </c>
      <c r="C98" s="100">
        <v>13.96</v>
      </c>
      <c r="D98" s="100">
        <v>9.5500000000000007</v>
      </c>
      <c r="E98" s="100">
        <v>7.22</v>
      </c>
      <c r="F98" s="100">
        <v>8.2799999999999994</v>
      </c>
      <c r="G98" s="100">
        <v>43.25</v>
      </c>
      <c r="H98" s="100">
        <v>12.36</v>
      </c>
      <c r="I98" s="100">
        <v>10.130000000000001</v>
      </c>
      <c r="J98" s="100">
        <v>5.77</v>
      </c>
      <c r="K98" s="100">
        <v>181.48</v>
      </c>
      <c r="L98" s="100">
        <v>26.62</v>
      </c>
      <c r="M98" s="100">
        <v>73.680000000000007</v>
      </c>
      <c r="N98" s="100">
        <v>23.5</v>
      </c>
      <c r="O98" s="100">
        <v>0</v>
      </c>
      <c r="P98" s="100">
        <v>0.6</v>
      </c>
      <c r="Q98" s="100">
        <v>28.84</v>
      </c>
      <c r="R98" s="6"/>
      <c r="S98" s="6"/>
      <c r="T98" s="156"/>
      <c r="U98" s="6"/>
    </row>
    <row r="99" spans="1:28" customFormat="1">
      <c r="A99" s="163" t="s">
        <v>2346</v>
      </c>
      <c r="B99" s="100">
        <v>3.91</v>
      </c>
      <c r="C99" s="100">
        <v>14.53</v>
      </c>
      <c r="D99" s="100">
        <v>9.73</v>
      </c>
      <c r="E99" s="100">
        <v>7.17</v>
      </c>
      <c r="F99" s="100">
        <v>5.2</v>
      </c>
      <c r="G99" s="100">
        <v>43.25</v>
      </c>
      <c r="H99" s="100">
        <v>12.36</v>
      </c>
      <c r="I99" s="100">
        <v>10.19</v>
      </c>
      <c r="J99" s="100">
        <v>5.43</v>
      </c>
      <c r="K99" s="100">
        <v>201.19</v>
      </c>
      <c r="L99" s="100">
        <v>26.74</v>
      </c>
      <c r="M99" s="100">
        <v>73.03</v>
      </c>
      <c r="N99" s="100">
        <v>23.4</v>
      </c>
      <c r="O99" s="100">
        <v>0</v>
      </c>
      <c r="P99" s="100">
        <v>0.61</v>
      </c>
      <c r="Q99" s="100">
        <v>28.81</v>
      </c>
      <c r="R99" s="6"/>
      <c r="S99" s="6"/>
      <c r="T99" s="156"/>
      <c r="U99" s="6"/>
    </row>
    <row r="100" spans="1:28" customFormat="1">
      <c r="A100" s="163" t="s">
        <v>2347</v>
      </c>
      <c r="B100" s="100">
        <v>3.9</v>
      </c>
      <c r="C100" s="100">
        <v>18.309999999999999</v>
      </c>
      <c r="D100" s="100">
        <v>11.71</v>
      </c>
      <c r="E100" s="100">
        <v>7.04</v>
      </c>
      <c r="F100" s="100">
        <v>3.33</v>
      </c>
      <c r="G100" s="100">
        <v>43.44</v>
      </c>
      <c r="H100" s="100">
        <v>13.49</v>
      </c>
      <c r="I100" s="100">
        <v>10.16</v>
      </c>
      <c r="J100" s="100">
        <v>5.8</v>
      </c>
      <c r="K100" s="100">
        <v>213.51</v>
      </c>
      <c r="L100" s="100">
        <v>26.71</v>
      </c>
      <c r="M100" s="100">
        <v>73.709999999999994</v>
      </c>
      <c r="N100" s="100">
        <v>23.5</v>
      </c>
      <c r="O100" s="100">
        <v>0</v>
      </c>
      <c r="P100" s="100">
        <v>0.6</v>
      </c>
      <c r="Q100" s="100">
        <v>28.66</v>
      </c>
      <c r="R100" s="6"/>
      <c r="S100" s="6"/>
      <c r="T100" s="156"/>
      <c r="U100" s="6"/>
      <c r="AB100" s="161"/>
    </row>
    <row r="101" spans="1:28" customFormat="1">
      <c r="A101" s="163" t="s">
        <v>2348</v>
      </c>
      <c r="B101" s="100">
        <v>3.89</v>
      </c>
      <c r="C101" s="100">
        <v>18.079999999999998</v>
      </c>
      <c r="D101" s="100">
        <v>11.57</v>
      </c>
      <c r="E101" s="100">
        <v>5.0599999999999996</v>
      </c>
      <c r="F101" s="100">
        <v>3.52</v>
      </c>
      <c r="G101" s="100">
        <v>44.18</v>
      </c>
      <c r="H101" s="100">
        <v>17.75</v>
      </c>
      <c r="I101" s="100">
        <v>10.199999999999999</v>
      </c>
      <c r="J101" s="100">
        <v>5.39</v>
      </c>
      <c r="K101" s="100">
        <v>193.53</v>
      </c>
      <c r="L101" s="100">
        <v>26.61</v>
      </c>
      <c r="M101" s="100">
        <v>74.45</v>
      </c>
      <c r="N101" s="100">
        <v>23.6</v>
      </c>
      <c r="O101" s="100">
        <v>0</v>
      </c>
      <c r="P101" s="100">
        <v>0.48</v>
      </c>
      <c r="Q101" s="100">
        <v>28.69</v>
      </c>
      <c r="R101" s="6"/>
      <c r="S101" s="6"/>
      <c r="T101" s="156"/>
      <c r="U101" s="6"/>
    </row>
    <row r="102" spans="1:28" customFormat="1">
      <c r="A102" s="163" t="s">
        <v>2349</v>
      </c>
      <c r="B102" s="100">
        <v>3.95</v>
      </c>
      <c r="C102" s="100">
        <v>16.579999999999998</v>
      </c>
      <c r="D102" s="100">
        <v>10.84</v>
      </c>
      <c r="E102" s="100">
        <v>5.67</v>
      </c>
      <c r="F102" s="100">
        <v>3.42</v>
      </c>
      <c r="G102" s="100">
        <v>44.18</v>
      </c>
      <c r="H102" s="100">
        <v>17.75</v>
      </c>
      <c r="I102" s="100">
        <v>10.26</v>
      </c>
      <c r="J102" s="100">
        <v>5.03</v>
      </c>
      <c r="K102" s="100">
        <v>212.51</v>
      </c>
      <c r="L102" s="100">
        <v>26.5</v>
      </c>
      <c r="M102" s="100">
        <v>75</v>
      </c>
      <c r="N102" s="100">
        <v>23.5</v>
      </c>
      <c r="O102" s="100">
        <v>0</v>
      </c>
      <c r="P102" s="100">
        <v>0.49</v>
      </c>
      <c r="Q102" s="100">
        <v>28.81</v>
      </c>
      <c r="R102" s="6"/>
      <c r="S102" s="6"/>
      <c r="T102" s="156"/>
      <c r="U102" s="6"/>
    </row>
    <row r="103" spans="1:28" customFormat="1">
      <c r="A103" s="163" t="s">
        <v>2350</v>
      </c>
      <c r="B103" s="100">
        <v>3.96</v>
      </c>
      <c r="C103" s="100">
        <v>14.96</v>
      </c>
      <c r="D103" s="100">
        <v>10</v>
      </c>
      <c r="E103" s="100">
        <v>5.33</v>
      </c>
      <c r="F103" s="100">
        <v>3.45</v>
      </c>
      <c r="G103" s="100">
        <v>44.18</v>
      </c>
      <c r="H103" s="100">
        <v>17.75</v>
      </c>
      <c r="I103" s="100">
        <v>10.27</v>
      </c>
      <c r="J103" s="100">
        <v>5.34</v>
      </c>
      <c r="K103" s="100">
        <v>189.97</v>
      </c>
      <c r="L103" s="100">
        <v>26.47</v>
      </c>
      <c r="M103" s="100">
        <v>75.28</v>
      </c>
      <c r="N103" s="100">
        <v>23.4</v>
      </c>
      <c r="O103" s="100">
        <v>0</v>
      </c>
      <c r="P103" s="100">
        <v>0.49</v>
      </c>
      <c r="Q103" s="100">
        <v>28.89</v>
      </c>
      <c r="R103" s="6"/>
      <c r="S103" s="6"/>
      <c r="T103" s="156"/>
      <c r="U103" s="6"/>
    </row>
    <row r="104" spans="1:28" customFormat="1">
      <c r="A104" s="163" t="s">
        <v>2351</v>
      </c>
      <c r="B104" s="100">
        <v>3.94</v>
      </c>
      <c r="C104" s="100">
        <v>13.73</v>
      </c>
      <c r="D104" s="100">
        <v>9.34</v>
      </c>
      <c r="E104" s="100">
        <v>5.2</v>
      </c>
      <c r="F104" s="100">
        <v>4.4400000000000004</v>
      </c>
      <c r="G104" s="100">
        <v>43.98</v>
      </c>
      <c r="H104" s="100">
        <v>17.39</v>
      </c>
      <c r="I104" s="100">
        <v>10.3</v>
      </c>
      <c r="J104" s="100">
        <v>4.57</v>
      </c>
      <c r="K104" s="100">
        <v>182.08</v>
      </c>
      <c r="L104" s="100">
        <v>26.52</v>
      </c>
      <c r="M104" s="100">
        <v>74.62</v>
      </c>
      <c r="N104" s="100">
        <v>23.4</v>
      </c>
      <c r="O104" s="100">
        <v>0</v>
      </c>
      <c r="P104" s="100">
        <v>0.49</v>
      </c>
      <c r="Q104" s="100">
        <v>28.96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2.66</v>
      </c>
      <c r="C106" s="158">
        <f>MIN(C9:C104)</f>
        <v>11.96</v>
      </c>
      <c r="D106" s="158">
        <f t="shared" ref="D106:Q106" si="0">MIN(D9:D104)</f>
        <v>8</v>
      </c>
      <c r="E106" s="158">
        <f t="shared" si="0"/>
        <v>3.89</v>
      </c>
      <c r="F106" s="158">
        <f t="shared" si="0"/>
        <v>2.42</v>
      </c>
      <c r="G106" s="158">
        <f t="shared" si="0"/>
        <v>6.02</v>
      </c>
      <c r="H106" s="158">
        <f t="shared" si="0"/>
        <v>3.08</v>
      </c>
      <c r="I106" s="158">
        <f t="shared" si="0"/>
        <v>5.84</v>
      </c>
      <c r="J106" s="158">
        <f t="shared" si="0"/>
        <v>1.84</v>
      </c>
      <c r="K106" s="158">
        <f t="shared" si="0"/>
        <v>22.92</v>
      </c>
      <c r="L106" s="158">
        <f t="shared" si="0"/>
        <v>21.72</v>
      </c>
      <c r="M106" s="158">
        <f t="shared" si="0"/>
        <v>52.71</v>
      </c>
      <c r="N106" s="158">
        <f t="shared" si="0"/>
        <v>23.3</v>
      </c>
      <c r="O106" s="158">
        <f t="shared" si="0"/>
        <v>0</v>
      </c>
      <c r="P106" s="158">
        <f t="shared" si="0"/>
        <v>0.3</v>
      </c>
      <c r="Q106" s="158">
        <f t="shared" si="0"/>
        <v>27.87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12.34</v>
      </c>
      <c r="C107" s="157">
        <f t="shared" ref="C107:Q107" si="1">MAX(C9:C104)</f>
        <v>20.92</v>
      </c>
      <c r="D107" s="157">
        <f t="shared" si="1"/>
        <v>19.29</v>
      </c>
      <c r="E107" s="157">
        <f t="shared" si="1"/>
        <v>7.69</v>
      </c>
      <c r="F107" s="157">
        <f t="shared" si="1"/>
        <v>19.37</v>
      </c>
      <c r="G107" s="157">
        <f t="shared" si="1"/>
        <v>59.44</v>
      </c>
      <c r="H107" s="157">
        <f t="shared" si="1"/>
        <v>21.05</v>
      </c>
      <c r="I107" s="157">
        <f t="shared" si="1"/>
        <v>11.77</v>
      </c>
      <c r="J107" s="157">
        <f t="shared" si="1"/>
        <v>6.26</v>
      </c>
      <c r="K107" s="157">
        <f t="shared" si="1"/>
        <v>269.85000000000002</v>
      </c>
      <c r="L107" s="157">
        <f t="shared" si="1"/>
        <v>31.02</v>
      </c>
      <c r="M107" s="157">
        <f t="shared" si="1"/>
        <v>96.98</v>
      </c>
      <c r="N107" s="157">
        <f t="shared" si="1"/>
        <v>660.6</v>
      </c>
      <c r="O107" s="157">
        <f t="shared" si="1"/>
        <v>6.6</v>
      </c>
      <c r="P107" s="157">
        <f t="shared" si="1"/>
        <v>0.75</v>
      </c>
      <c r="Q107" s="157">
        <f t="shared" si="1"/>
        <v>29.09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5.3689583333333344</v>
      </c>
      <c r="C108" s="158">
        <f t="shared" ref="C108:Q108" si="2">AVERAGE(C9:C104)</f>
        <v>16.201458333333331</v>
      </c>
      <c r="D108" s="158">
        <f t="shared" si="2"/>
        <v>11.77541666666666</v>
      </c>
      <c r="E108" s="158">
        <f t="shared" si="2"/>
        <v>6.2057291666666652</v>
      </c>
      <c r="F108" s="158">
        <f t="shared" si="2"/>
        <v>6.6098958333333355</v>
      </c>
      <c r="G108" s="158">
        <f t="shared" si="2"/>
        <v>33.117708333333347</v>
      </c>
      <c r="H108" s="158">
        <f t="shared" si="2"/>
        <v>13.271145833333328</v>
      </c>
      <c r="I108" s="158">
        <f t="shared" si="2"/>
        <v>8.9489583333333318</v>
      </c>
      <c r="J108" s="158">
        <f t="shared" si="2"/>
        <v>4.461458333333332</v>
      </c>
      <c r="K108" s="158">
        <f t="shared" si="2"/>
        <v>159.18364583333337</v>
      </c>
      <c r="L108" s="158">
        <f t="shared" si="2"/>
        <v>26.260520833333327</v>
      </c>
      <c r="M108" s="158">
        <f t="shared" si="2"/>
        <v>73.774687499999985</v>
      </c>
      <c r="N108" s="158">
        <f t="shared" si="2"/>
        <v>111.54270833333334</v>
      </c>
      <c r="O108" s="158">
        <f t="shared" si="2"/>
        <v>0.14166666666666658</v>
      </c>
      <c r="P108" s="158">
        <f t="shared" si="2"/>
        <v>0.5320833333333338</v>
      </c>
      <c r="Q108" s="158">
        <f t="shared" si="2"/>
        <v>28.664583333333344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2.9155400255100026</v>
      </c>
      <c r="C109" s="158">
        <f t="shared" ref="C109:Q109" si="3">STDEV(C9:C104)</f>
        <v>2.4660767816478466</v>
      </c>
      <c r="D109" s="158">
        <f t="shared" si="3"/>
        <v>3.3473150015047044</v>
      </c>
      <c r="E109" s="158">
        <f t="shared" si="3"/>
        <v>0.94858647725158363</v>
      </c>
      <c r="F109" s="158">
        <f t="shared" si="3"/>
        <v>4.2832630195095689</v>
      </c>
      <c r="G109" s="158">
        <f t="shared" si="3"/>
        <v>17.285233337594448</v>
      </c>
      <c r="H109" s="158">
        <f t="shared" si="3"/>
        <v>6.1303179053466899</v>
      </c>
      <c r="I109" s="158">
        <f t="shared" si="3"/>
        <v>1.8788117628839169</v>
      </c>
      <c r="J109" s="158">
        <f t="shared" si="3"/>
        <v>0.88573844204669172</v>
      </c>
      <c r="K109" s="158">
        <f t="shared" si="3"/>
        <v>70.200927016218245</v>
      </c>
      <c r="L109" s="158">
        <f t="shared" si="3"/>
        <v>2.8776117179984677</v>
      </c>
      <c r="M109" s="158">
        <f t="shared" si="3"/>
        <v>14.800785039856979</v>
      </c>
      <c r="N109" s="158">
        <f t="shared" si="3"/>
        <v>144.28182855624988</v>
      </c>
      <c r="O109" s="158">
        <f t="shared" si="3"/>
        <v>0.7392267178280808</v>
      </c>
      <c r="P109" s="158">
        <f t="shared" si="3"/>
        <v>0.12225871331915546</v>
      </c>
      <c r="Q109" s="158">
        <f t="shared" si="3"/>
        <v>0.37822275994491789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11" sqref="E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2352</v>
      </c>
      <c r="B9" s="100">
        <v>4.58</v>
      </c>
      <c r="C9" s="100">
        <v>13.41</v>
      </c>
      <c r="D9" s="100">
        <v>9.68</v>
      </c>
      <c r="E9" s="100">
        <v>5.55</v>
      </c>
      <c r="F9" s="100">
        <v>6.37</v>
      </c>
      <c r="G9" s="100">
        <v>43.25</v>
      </c>
      <c r="H9" s="100">
        <v>16.04</v>
      </c>
      <c r="I9" s="100">
        <v>10.24</v>
      </c>
      <c r="J9" s="100">
        <v>5.1100000000000003</v>
      </c>
      <c r="K9" s="100">
        <v>205.49</v>
      </c>
      <c r="L9" s="100">
        <v>26.35</v>
      </c>
      <c r="M9" s="100">
        <v>75.77</v>
      </c>
      <c r="N9" s="100">
        <v>23.6</v>
      </c>
      <c r="O9" s="100">
        <v>0</v>
      </c>
      <c r="P9" s="100">
        <v>0.48</v>
      </c>
      <c r="Q9" s="100">
        <v>28.96</v>
      </c>
      <c r="R9" s="6"/>
      <c r="S9" s="6"/>
      <c r="T9" s="156"/>
      <c r="U9" s="6"/>
    </row>
    <row r="10" spans="1:21" customFormat="1">
      <c r="A10" s="163" t="s">
        <v>2353</v>
      </c>
      <c r="B10" s="100">
        <v>4.5599999999999996</v>
      </c>
      <c r="C10" s="100">
        <v>12.3</v>
      </c>
      <c r="D10" s="100">
        <v>9.09</v>
      </c>
      <c r="E10" s="100">
        <v>5.15</v>
      </c>
      <c r="F10" s="100">
        <v>6.38</v>
      </c>
      <c r="G10" s="100">
        <v>43.25</v>
      </c>
      <c r="H10" s="100">
        <v>16.04</v>
      </c>
      <c r="I10" s="100">
        <v>10.24</v>
      </c>
      <c r="J10" s="100">
        <v>5.31</v>
      </c>
      <c r="K10" s="100">
        <v>191.9</v>
      </c>
      <c r="L10" s="100">
        <v>26.23</v>
      </c>
      <c r="M10" s="100">
        <v>76.62</v>
      </c>
      <c r="N10" s="100">
        <v>23.6</v>
      </c>
      <c r="O10" s="100">
        <v>0</v>
      </c>
      <c r="P10" s="100">
        <v>0.47</v>
      </c>
      <c r="Q10" s="100">
        <v>29.01</v>
      </c>
      <c r="R10" s="6"/>
      <c r="S10" s="6"/>
      <c r="T10" s="156"/>
      <c r="U10" s="6"/>
    </row>
    <row r="11" spans="1:21" customFormat="1">
      <c r="A11" s="163" t="s">
        <v>2354</v>
      </c>
      <c r="B11" s="100">
        <v>4.58</v>
      </c>
      <c r="C11" s="100">
        <v>11.12</v>
      </c>
      <c r="D11" s="100">
        <v>8.48</v>
      </c>
      <c r="E11" s="100">
        <v>5.52</v>
      </c>
      <c r="F11" s="100">
        <v>6.64</v>
      </c>
      <c r="G11" s="100">
        <v>43.25</v>
      </c>
      <c r="H11" s="100">
        <v>16.04</v>
      </c>
      <c r="I11" s="100">
        <v>10.19</v>
      </c>
      <c r="J11" s="100">
        <v>5.0999999999999996</v>
      </c>
      <c r="K11" s="100">
        <v>178.06</v>
      </c>
      <c r="L11" s="100">
        <v>26.07</v>
      </c>
      <c r="M11" s="100">
        <v>77.89</v>
      </c>
      <c r="N11" s="100">
        <v>23.6</v>
      </c>
      <c r="O11" s="100">
        <v>0</v>
      </c>
      <c r="P11" s="100">
        <v>0.47</v>
      </c>
      <c r="Q11" s="100">
        <v>29.09</v>
      </c>
      <c r="R11" s="6"/>
      <c r="S11" s="6"/>
      <c r="T11" s="156"/>
      <c r="U11" s="6"/>
    </row>
    <row r="12" spans="1:21" customFormat="1">
      <c r="A12" s="163" t="s">
        <v>2355</v>
      </c>
      <c r="B12" s="100">
        <v>4.3899999999999997</v>
      </c>
      <c r="C12" s="100">
        <v>11.31</v>
      </c>
      <c r="D12" s="100">
        <v>8.44</v>
      </c>
      <c r="E12" s="100">
        <v>5.47</v>
      </c>
      <c r="F12" s="100">
        <v>8.01</v>
      </c>
      <c r="G12" s="100">
        <v>42.42</v>
      </c>
      <c r="H12" s="100">
        <v>16.86</v>
      </c>
      <c r="I12" s="100">
        <v>10.08</v>
      </c>
      <c r="J12" s="100">
        <v>5.09</v>
      </c>
      <c r="K12" s="100">
        <v>198.17</v>
      </c>
      <c r="L12" s="100">
        <v>25.98</v>
      </c>
      <c r="M12" s="100">
        <v>77.94</v>
      </c>
      <c r="N12" s="100">
        <v>23.6</v>
      </c>
      <c r="O12" s="100">
        <v>0</v>
      </c>
      <c r="P12" s="100">
        <v>0.47</v>
      </c>
      <c r="Q12" s="100">
        <v>29.05</v>
      </c>
      <c r="R12" s="6"/>
      <c r="S12" s="6"/>
      <c r="T12" s="156"/>
      <c r="U12" s="6"/>
    </row>
    <row r="13" spans="1:21" customFormat="1">
      <c r="A13" s="163" t="s">
        <v>2356</v>
      </c>
      <c r="B13" s="100">
        <v>4.34</v>
      </c>
      <c r="C13" s="100">
        <v>11.98</v>
      </c>
      <c r="D13" s="100">
        <v>8.74</v>
      </c>
      <c r="E13" s="100">
        <v>4.87</v>
      </c>
      <c r="F13" s="100">
        <v>7.82</v>
      </c>
      <c r="G13" s="100">
        <v>39.31</v>
      </c>
      <c r="H13" s="100">
        <v>19.89</v>
      </c>
      <c r="I13" s="100">
        <v>9.89</v>
      </c>
      <c r="J13" s="100">
        <v>5.24</v>
      </c>
      <c r="K13" s="100">
        <v>208.33</v>
      </c>
      <c r="L13" s="100">
        <v>25.99</v>
      </c>
      <c r="M13" s="100">
        <v>77.41</v>
      </c>
      <c r="N13" s="100">
        <v>23.6</v>
      </c>
      <c r="O13" s="100">
        <v>0</v>
      </c>
      <c r="P13" s="100">
        <v>0.47</v>
      </c>
      <c r="Q13" s="100">
        <v>28.99</v>
      </c>
      <c r="R13" s="6"/>
      <c r="S13" s="6"/>
      <c r="T13" s="156"/>
      <c r="U13" s="6"/>
    </row>
    <row r="14" spans="1:21" customFormat="1">
      <c r="A14" s="163" t="s">
        <v>2357</v>
      </c>
      <c r="B14" s="100">
        <v>4.45</v>
      </c>
      <c r="C14" s="100">
        <v>12.02</v>
      </c>
      <c r="D14" s="100">
        <v>8.86</v>
      </c>
      <c r="E14" s="100">
        <v>5.2</v>
      </c>
      <c r="F14" s="100">
        <v>6.55</v>
      </c>
      <c r="G14" s="100">
        <v>39.31</v>
      </c>
      <c r="H14" s="100">
        <v>19.89</v>
      </c>
      <c r="I14" s="100">
        <v>9.74</v>
      </c>
      <c r="J14" s="100">
        <v>5.55</v>
      </c>
      <c r="K14" s="100">
        <v>217.36</v>
      </c>
      <c r="L14" s="100">
        <v>25.91</v>
      </c>
      <c r="M14" s="100">
        <v>77.44</v>
      </c>
      <c r="N14" s="100">
        <v>23.6</v>
      </c>
      <c r="O14" s="100">
        <v>0</v>
      </c>
      <c r="P14" s="100">
        <v>0.47</v>
      </c>
      <c r="Q14" s="100">
        <v>28.93</v>
      </c>
      <c r="R14" s="6"/>
      <c r="S14" s="6"/>
      <c r="T14" s="156"/>
      <c r="U14" s="6"/>
    </row>
    <row r="15" spans="1:21" customFormat="1">
      <c r="A15" s="163" t="s">
        <v>2358</v>
      </c>
      <c r="B15" s="100">
        <v>4.4800000000000004</v>
      </c>
      <c r="C15" s="100">
        <v>11.92</v>
      </c>
      <c r="D15" s="100">
        <v>8.83</v>
      </c>
      <c r="E15" s="100">
        <v>5.01</v>
      </c>
      <c r="F15" s="100">
        <v>6.09</v>
      </c>
      <c r="G15" s="100">
        <v>39.31</v>
      </c>
      <c r="H15" s="100">
        <v>19.89</v>
      </c>
      <c r="I15" s="100">
        <v>9.86</v>
      </c>
      <c r="J15" s="100">
        <v>5.53</v>
      </c>
      <c r="K15" s="100">
        <v>181.66</v>
      </c>
      <c r="L15" s="100">
        <v>25.74</v>
      </c>
      <c r="M15" s="100">
        <v>78.03</v>
      </c>
      <c r="N15" s="100">
        <v>23.6</v>
      </c>
      <c r="O15" s="100">
        <v>0</v>
      </c>
      <c r="P15" s="100">
        <v>0.47</v>
      </c>
      <c r="Q15" s="100">
        <v>28.93</v>
      </c>
      <c r="R15" s="6"/>
      <c r="S15" s="6"/>
      <c r="T15" s="156"/>
      <c r="U15" s="6"/>
    </row>
    <row r="16" spans="1:21" customFormat="1">
      <c r="A16" s="163" t="s">
        <v>2359</v>
      </c>
      <c r="B16" s="100">
        <v>4.43</v>
      </c>
      <c r="C16" s="100">
        <v>12.53</v>
      </c>
      <c r="D16" s="100">
        <v>9.11</v>
      </c>
      <c r="E16" s="100">
        <v>4.79</v>
      </c>
      <c r="F16" s="100">
        <v>5.91</v>
      </c>
      <c r="G16" s="100">
        <v>38.270000000000003</v>
      </c>
      <c r="H16" s="100">
        <v>19.47</v>
      </c>
      <c r="I16" s="100">
        <v>9.89</v>
      </c>
      <c r="J16" s="100">
        <v>4.8499999999999996</v>
      </c>
      <c r="K16" s="100">
        <v>200.24</v>
      </c>
      <c r="L16" s="100">
        <v>25.6</v>
      </c>
      <c r="M16" s="100">
        <v>77.489999999999995</v>
      </c>
      <c r="N16" s="100">
        <v>23.6</v>
      </c>
      <c r="O16" s="100">
        <v>0</v>
      </c>
      <c r="P16" s="100">
        <v>0.47</v>
      </c>
      <c r="Q16" s="100">
        <v>28.94</v>
      </c>
      <c r="R16" s="6"/>
      <c r="S16" s="6"/>
      <c r="T16" s="156"/>
      <c r="U16" s="6"/>
    </row>
    <row r="17" spans="1:21" customFormat="1">
      <c r="A17" s="163" t="s">
        <v>2360</v>
      </c>
      <c r="B17" s="100">
        <v>4.59</v>
      </c>
      <c r="C17" s="100">
        <v>17.010000000000002</v>
      </c>
      <c r="D17" s="100">
        <v>11.58</v>
      </c>
      <c r="E17" s="100">
        <v>4.6500000000000004</v>
      </c>
      <c r="F17" s="100">
        <v>4.04</v>
      </c>
      <c r="G17" s="100">
        <v>34.380000000000003</v>
      </c>
      <c r="H17" s="100">
        <v>17.88</v>
      </c>
      <c r="I17" s="100">
        <v>9.76</v>
      </c>
      <c r="J17" s="100">
        <v>4.59</v>
      </c>
      <c r="K17" s="100">
        <v>186.24</v>
      </c>
      <c r="L17" s="100">
        <v>25.52</v>
      </c>
      <c r="M17" s="100">
        <v>76.02</v>
      </c>
      <c r="N17" s="100">
        <v>23.5</v>
      </c>
      <c r="O17" s="100">
        <v>0</v>
      </c>
      <c r="P17" s="100">
        <v>0.47</v>
      </c>
      <c r="Q17" s="100">
        <v>28.77</v>
      </c>
      <c r="R17" s="6"/>
      <c r="S17" s="6"/>
      <c r="T17" s="156"/>
      <c r="U17" s="6"/>
    </row>
    <row r="18" spans="1:21" customFormat="1">
      <c r="A18" s="163" t="s">
        <v>2361</v>
      </c>
      <c r="B18" s="100">
        <v>4.68</v>
      </c>
      <c r="C18" s="100">
        <v>17.68</v>
      </c>
      <c r="D18" s="100">
        <v>12</v>
      </c>
      <c r="E18" s="100">
        <v>4.5999999999999996</v>
      </c>
      <c r="F18" s="100">
        <v>4.17</v>
      </c>
      <c r="G18" s="100">
        <v>34.380000000000003</v>
      </c>
      <c r="H18" s="100">
        <v>17.88</v>
      </c>
      <c r="I18" s="100">
        <v>9.6999999999999993</v>
      </c>
      <c r="J18" s="100">
        <v>4.91</v>
      </c>
      <c r="K18" s="100">
        <v>195.66</v>
      </c>
      <c r="L18" s="100">
        <v>25.53</v>
      </c>
      <c r="M18" s="100">
        <v>74.239999999999995</v>
      </c>
      <c r="N18" s="100">
        <v>23.5</v>
      </c>
      <c r="O18" s="100">
        <v>0</v>
      </c>
      <c r="P18" s="100">
        <v>0.45</v>
      </c>
      <c r="Q18" s="100">
        <v>28.73</v>
      </c>
      <c r="R18" s="6"/>
      <c r="S18" s="6"/>
      <c r="T18" s="156"/>
      <c r="U18" s="6"/>
    </row>
    <row r="19" spans="1:21" customFormat="1">
      <c r="A19" s="163" t="s">
        <v>2362</v>
      </c>
      <c r="B19" s="100">
        <v>4.88</v>
      </c>
      <c r="C19" s="100">
        <v>17</v>
      </c>
      <c r="D19" s="100">
        <v>11.8</v>
      </c>
      <c r="E19" s="100">
        <v>4.53</v>
      </c>
      <c r="F19" s="100">
        <v>3.21</v>
      </c>
      <c r="G19" s="100">
        <v>34.380000000000003</v>
      </c>
      <c r="H19" s="100">
        <v>17.88</v>
      </c>
      <c r="I19" s="100">
        <v>9.66</v>
      </c>
      <c r="J19" s="100">
        <v>4.71</v>
      </c>
      <c r="K19" s="100">
        <v>196.25</v>
      </c>
      <c r="L19" s="100">
        <v>25.57</v>
      </c>
      <c r="M19" s="100">
        <v>74.31</v>
      </c>
      <c r="N19" s="100">
        <v>23.3</v>
      </c>
      <c r="O19" s="100">
        <v>0</v>
      </c>
      <c r="P19" s="100">
        <v>0.44</v>
      </c>
      <c r="Q19" s="100">
        <v>28.79</v>
      </c>
      <c r="R19" s="6"/>
      <c r="S19" s="6"/>
      <c r="T19" s="156"/>
      <c r="U19" s="6"/>
    </row>
    <row r="20" spans="1:21" customFormat="1">
      <c r="A20" s="163" t="s">
        <v>2363</v>
      </c>
      <c r="B20" s="100">
        <v>5.07</v>
      </c>
      <c r="C20" s="100">
        <v>16.55</v>
      </c>
      <c r="D20" s="100">
        <v>11.72</v>
      </c>
      <c r="E20" s="100">
        <v>4.76</v>
      </c>
      <c r="F20" s="100">
        <v>3.05</v>
      </c>
      <c r="G20" s="100">
        <v>33.24</v>
      </c>
      <c r="H20" s="100">
        <v>17.02</v>
      </c>
      <c r="I20" s="100">
        <v>9.5</v>
      </c>
      <c r="J20" s="100">
        <v>5</v>
      </c>
      <c r="K20" s="100">
        <v>205.83</v>
      </c>
      <c r="L20" s="100">
        <v>25.52</v>
      </c>
      <c r="M20" s="100">
        <v>74.97</v>
      </c>
      <c r="N20" s="100">
        <v>23.3</v>
      </c>
      <c r="O20" s="100">
        <v>0</v>
      </c>
      <c r="P20" s="100">
        <v>0.44</v>
      </c>
      <c r="Q20" s="100">
        <v>28.81</v>
      </c>
      <c r="R20" s="6"/>
      <c r="S20" s="6"/>
      <c r="T20" s="156"/>
      <c r="U20" s="6"/>
    </row>
    <row r="21" spans="1:21" customFormat="1">
      <c r="A21" s="163" t="s">
        <v>2364</v>
      </c>
      <c r="B21" s="100">
        <v>5.29</v>
      </c>
      <c r="C21" s="100">
        <v>15.93</v>
      </c>
      <c r="D21" s="100">
        <v>11.57</v>
      </c>
      <c r="E21" s="100">
        <v>4.79</v>
      </c>
      <c r="F21" s="100">
        <v>3.21</v>
      </c>
      <c r="G21" s="100">
        <v>28.7</v>
      </c>
      <c r="H21" s="100">
        <v>13.8</v>
      </c>
      <c r="I21" s="100">
        <v>9.4499999999999993</v>
      </c>
      <c r="J21" s="100">
        <v>5.13</v>
      </c>
      <c r="K21" s="100">
        <v>185.81</v>
      </c>
      <c r="L21" s="100">
        <v>25.46</v>
      </c>
      <c r="M21" s="100">
        <v>75.81</v>
      </c>
      <c r="N21" s="100">
        <v>23.5</v>
      </c>
      <c r="O21" s="100">
        <v>0</v>
      </c>
      <c r="P21" s="100">
        <v>0.43</v>
      </c>
      <c r="Q21" s="100">
        <v>28.81</v>
      </c>
      <c r="R21" s="6"/>
      <c r="S21" s="6"/>
      <c r="T21" s="156"/>
      <c r="U21" s="6"/>
    </row>
    <row r="22" spans="1:21" customFormat="1">
      <c r="A22" s="163" t="s">
        <v>2365</v>
      </c>
      <c r="B22" s="100">
        <v>5.54</v>
      </c>
      <c r="C22" s="100">
        <v>15.88</v>
      </c>
      <c r="D22" s="100">
        <v>11.74</v>
      </c>
      <c r="E22" s="100">
        <v>4.6500000000000004</v>
      </c>
      <c r="F22" s="100">
        <v>3.16</v>
      </c>
      <c r="G22" s="100">
        <v>28.7</v>
      </c>
      <c r="H22" s="100">
        <v>13.8</v>
      </c>
      <c r="I22" s="100">
        <v>9.39</v>
      </c>
      <c r="J22" s="100">
        <v>5.5</v>
      </c>
      <c r="K22" s="100">
        <v>212.46</v>
      </c>
      <c r="L22" s="100">
        <v>25.13</v>
      </c>
      <c r="M22" s="100">
        <v>79.47</v>
      </c>
      <c r="N22" s="100">
        <v>23</v>
      </c>
      <c r="O22" s="100">
        <v>0</v>
      </c>
      <c r="P22" s="100">
        <v>0.42</v>
      </c>
      <c r="Q22" s="100">
        <v>28.81</v>
      </c>
      <c r="R22" s="6"/>
      <c r="S22" s="6"/>
      <c r="T22" s="156"/>
      <c r="U22" s="6"/>
    </row>
    <row r="23" spans="1:21" customFormat="1">
      <c r="A23" s="163" t="s">
        <v>2366</v>
      </c>
      <c r="B23" s="100">
        <v>5.76</v>
      </c>
      <c r="C23" s="100">
        <v>13.32</v>
      </c>
      <c r="D23" s="100">
        <v>10.58</v>
      </c>
      <c r="E23" s="100">
        <v>4.51</v>
      </c>
      <c r="F23" s="100">
        <v>4.3</v>
      </c>
      <c r="G23" s="100">
        <v>28.7</v>
      </c>
      <c r="H23" s="100">
        <v>13.8</v>
      </c>
      <c r="I23" s="100">
        <v>9.31</v>
      </c>
      <c r="J23" s="100">
        <v>5.87</v>
      </c>
      <c r="K23" s="100">
        <v>223.51</v>
      </c>
      <c r="L23" s="100">
        <v>24.77</v>
      </c>
      <c r="M23" s="100">
        <v>82.13</v>
      </c>
      <c r="N23" s="100">
        <v>22.7</v>
      </c>
      <c r="O23" s="100">
        <v>0</v>
      </c>
      <c r="P23" s="100">
        <v>0.39</v>
      </c>
      <c r="Q23" s="100">
        <v>28.92</v>
      </c>
      <c r="R23" s="6"/>
      <c r="S23" s="6"/>
      <c r="T23" s="156"/>
      <c r="U23" s="6"/>
    </row>
    <row r="24" spans="1:21" customFormat="1">
      <c r="A24" s="163" t="s">
        <v>2367</v>
      </c>
      <c r="B24" s="100">
        <v>5.83</v>
      </c>
      <c r="C24" s="100">
        <v>12.36</v>
      </c>
      <c r="D24" s="100">
        <v>10.14</v>
      </c>
      <c r="E24" s="100">
        <v>4.13</v>
      </c>
      <c r="F24" s="100">
        <v>4.18</v>
      </c>
      <c r="G24" s="100">
        <v>27.21</v>
      </c>
      <c r="H24" s="100">
        <v>13.49</v>
      </c>
      <c r="I24" s="100">
        <v>9.2200000000000006</v>
      </c>
      <c r="J24" s="100">
        <v>5.98</v>
      </c>
      <c r="K24" s="100">
        <v>223.76</v>
      </c>
      <c r="L24" s="100">
        <v>24.52</v>
      </c>
      <c r="M24" s="100">
        <v>84.2</v>
      </c>
      <c r="N24" s="100">
        <v>22.8</v>
      </c>
      <c r="O24" s="100">
        <v>0</v>
      </c>
      <c r="P24" s="100">
        <v>0.4</v>
      </c>
      <c r="Q24" s="100">
        <v>28.93</v>
      </c>
      <c r="R24" s="6"/>
      <c r="S24" s="6"/>
      <c r="T24" s="156"/>
      <c r="U24" s="6"/>
    </row>
    <row r="25" spans="1:21" customFormat="1">
      <c r="A25" s="163" t="s">
        <v>2368</v>
      </c>
      <c r="B25" s="100">
        <v>5.79</v>
      </c>
      <c r="C25" s="100">
        <v>12.74</v>
      </c>
      <c r="D25" s="100">
        <v>10.31</v>
      </c>
      <c r="E25" s="100">
        <v>4.45</v>
      </c>
      <c r="F25" s="100">
        <v>4.49</v>
      </c>
      <c r="G25" s="100">
        <v>21.67</v>
      </c>
      <c r="H25" s="100">
        <v>12.32</v>
      </c>
      <c r="I25" s="100">
        <v>8.93</v>
      </c>
      <c r="J25" s="100">
        <v>5.71</v>
      </c>
      <c r="K25" s="100">
        <v>224.89</v>
      </c>
      <c r="L25" s="100">
        <v>24.45</v>
      </c>
      <c r="M25" s="100">
        <v>84.62</v>
      </c>
      <c r="N25" s="100">
        <v>22.9</v>
      </c>
      <c r="O25" s="100">
        <v>0</v>
      </c>
      <c r="P25" s="100">
        <v>0.4</v>
      </c>
      <c r="Q25" s="100">
        <v>28.86</v>
      </c>
      <c r="R25" s="6"/>
      <c r="S25" s="6"/>
      <c r="T25" s="156"/>
      <c r="U25" s="6"/>
    </row>
    <row r="26" spans="1:21" customFormat="1">
      <c r="A26" s="163" t="s">
        <v>2369</v>
      </c>
      <c r="B26" s="100">
        <v>5.69</v>
      </c>
      <c r="C26" s="100">
        <v>12.74</v>
      </c>
      <c r="D26" s="100">
        <v>10.23</v>
      </c>
      <c r="E26" s="100">
        <v>3.97</v>
      </c>
      <c r="F26" s="100">
        <v>4.78</v>
      </c>
      <c r="G26" s="100">
        <v>21.67</v>
      </c>
      <c r="H26" s="100">
        <v>12.32</v>
      </c>
      <c r="I26" s="100">
        <v>8.75</v>
      </c>
      <c r="J26" s="100">
        <v>4.99</v>
      </c>
      <c r="K26" s="100">
        <v>210.93</v>
      </c>
      <c r="L26" s="100">
        <v>24.45</v>
      </c>
      <c r="M26" s="100">
        <v>84.49</v>
      </c>
      <c r="N26" s="100">
        <v>23.4</v>
      </c>
      <c r="O26" s="100">
        <v>0</v>
      </c>
      <c r="P26" s="100">
        <v>0.41</v>
      </c>
      <c r="Q26" s="100">
        <v>28.92</v>
      </c>
      <c r="R26" s="6"/>
      <c r="S26" s="6"/>
      <c r="T26" s="156"/>
      <c r="U26" s="6"/>
    </row>
    <row r="27" spans="1:21" customFormat="1">
      <c r="A27" s="163" t="s">
        <v>2370</v>
      </c>
      <c r="B27" s="100">
        <v>5.6</v>
      </c>
      <c r="C27" s="100">
        <v>12.91</v>
      </c>
      <c r="D27" s="100">
        <v>10.24</v>
      </c>
      <c r="E27" s="100">
        <v>4.26</v>
      </c>
      <c r="F27" s="100">
        <v>5.65</v>
      </c>
      <c r="G27" s="100">
        <v>21.67</v>
      </c>
      <c r="H27" s="100">
        <v>12.32</v>
      </c>
      <c r="I27" s="100">
        <v>8.56</v>
      </c>
      <c r="J27" s="100">
        <v>5.49</v>
      </c>
      <c r="K27" s="100">
        <v>225.48</v>
      </c>
      <c r="L27" s="100">
        <v>24.47</v>
      </c>
      <c r="M27" s="100">
        <v>83.91</v>
      </c>
      <c r="N27" s="100">
        <v>23.3</v>
      </c>
      <c r="O27" s="100">
        <v>0</v>
      </c>
      <c r="P27" s="100">
        <v>0.4</v>
      </c>
      <c r="Q27" s="100">
        <v>28.84</v>
      </c>
      <c r="R27" s="6"/>
      <c r="S27" s="6"/>
      <c r="T27" s="156"/>
      <c r="U27" s="6"/>
    </row>
    <row r="28" spans="1:21" customFormat="1">
      <c r="A28" s="163" t="s">
        <v>2371</v>
      </c>
      <c r="B28" s="100">
        <v>5.44</v>
      </c>
      <c r="C28" s="100">
        <v>12.93</v>
      </c>
      <c r="D28" s="100">
        <v>10.130000000000001</v>
      </c>
      <c r="E28" s="100">
        <v>4.3099999999999996</v>
      </c>
      <c r="F28" s="100">
        <v>5.15</v>
      </c>
      <c r="G28" s="100">
        <v>21.63</v>
      </c>
      <c r="H28" s="100">
        <v>12.61</v>
      </c>
      <c r="I28" s="100">
        <v>8.36</v>
      </c>
      <c r="J28" s="100">
        <v>4.97</v>
      </c>
      <c r="K28" s="100">
        <v>206.51</v>
      </c>
      <c r="L28" s="100">
        <v>24.51</v>
      </c>
      <c r="M28" s="100">
        <v>83.56</v>
      </c>
      <c r="N28" s="100">
        <v>23.5</v>
      </c>
      <c r="O28" s="100">
        <v>0</v>
      </c>
      <c r="P28" s="100">
        <v>0.4</v>
      </c>
      <c r="Q28" s="100">
        <v>28.83</v>
      </c>
      <c r="R28" s="6"/>
      <c r="S28" s="6"/>
      <c r="T28" s="156"/>
      <c r="U28" s="6"/>
    </row>
    <row r="29" spans="1:21" customFormat="1">
      <c r="A29" s="163" t="s">
        <v>2372</v>
      </c>
      <c r="B29" s="100">
        <v>5.63</v>
      </c>
      <c r="C29" s="100">
        <v>13.74</v>
      </c>
      <c r="D29" s="100">
        <v>10.7</v>
      </c>
      <c r="E29" s="100">
        <v>5.14</v>
      </c>
      <c r="F29" s="100">
        <v>4.3899999999999997</v>
      </c>
      <c r="G29" s="100">
        <v>21.44</v>
      </c>
      <c r="H29" s="100">
        <v>13.81</v>
      </c>
      <c r="I29" s="100">
        <v>8.36</v>
      </c>
      <c r="J29" s="100">
        <v>5.48</v>
      </c>
      <c r="K29" s="100">
        <v>224.43</v>
      </c>
      <c r="L29" s="100">
        <v>24.49</v>
      </c>
      <c r="M29" s="100">
        <v>83.4</v>
      </c>
      <c r="N29" s="100">
        <v>23.7</v>
      </c>
      <c r="O29" s="100">
        <v>0</v>
      </c>
      <c r="P29" s="100">
        <v>0.41</v>
      </c>
      <c r="Q29" s="100">
        <v>28.8</v>
      </c>
      <c r="R29" s="6"/>
      <c r="S29" s="6"/>
      <c r="T29" s="156"/>
      <c r="U29" s="6"/>
    </row>
    <row r="30" spans="1:21" customFormat="1">
      <c r="A30" s="163" t="s">
        <v>2373</v>
      </c>
      <c r="B30" s="100">
        <v>5.85</v>
      </c>
      <c r="C30" s="100">
        <v>16.440000000000001</v>
      </c>
      <c r="D30" s="100">
        <v>12.29</v>
      </c>
      <c r="E30" s="100">
        <v>5.74</v>
      </c>
      <c r="F30" s="100">
        <v>3.22</v>
      </c>
      <c r="G30" s="100">
        <v>21.44</v>
      </c>
      <c r="H30" s="100">
        <v>13.81</v>
      </c>
      <c r="I30" s="100">
        <v>8.25</v>
      </c>
      <c r="J30" s="100">
        <v>5.39</v>
      </c>
      <c r="K30" s="100">
        <v>203.37</v>
      </c>
      <c r="L30" s="100">
        <v>24.55</v>
      </c>
      <c r="M30" s="100">
        <v>83.09</v>
      </c>
      <c r="N30" s="100">
        <v>24.7</v>
      </c>
      <c r="O30" s="100">
        <v>0</v>
      </c>
      <c r="P30" s="100">
        <v>0.44</v>
      </c>
      <c r="Q30" s="100">
        <v>28.67</v>
      </c>
      <c r="R30" s="6"/>
      <c r="S30" s="6"/>
      <c r="T30" s="156"/>
      <c r="U30" s="6"/>
    </row>
    <row r="31" spans="1:21" customFormat="1">
      <c r="A31" s="163" t="s">
        <v>2374</v>
      </c>
      <c r="B31" s="100">
        <v>6.08</v>
      </c>
      <c r="C31" s="100">
        <v>17.62</v>
      </c>
      <c r="D31" s="100">
        <v>13.09</v>
      </c>
      <c r="E31" s="100">
        <v>5.99</v>
      </c>
      <c r="F31" s="100">
        <v>2.68</v>
      </c>
      <c r="G31" s="100">
        <v>21.44</v>
      </c>
      <c r="H31" s="100">
        <v>13.81</v>
      </c>
      <c r="I31" s="100">
        <v>8.35</v>
      </c>
      <c r="J31" s="100">
        <v>5.32</v>
      </c>
      <c r="K31" s="100">
        <v>235.81</v>
      </c>
      <c r="L31" s="100">
        <v>24.55</v>
      </c>
      <c r="M31" s="100">
        <v>83.31</v>
      </c>
      <c r="N31" s="100">
        <v>26.4</v>
      </c>
      <c r="O31" s="100">
        <v>0</v>
      </c>
      <c r="P31" s="100">
        <v>0.44</v>
      </c>
      <c r="Q31" s="100">
        <v>28.64</v>
      </c>
      <c r="R31" s="6"/>
      <c r="S31" s="6"/>
      <c r="T31" s="156"/>
      <c r="U31" s="6"/>
    </row>
    <row r="32" spans="1:21" customFormat="1">
      <c r="A32" s="163" t="s">
        <v>2375</v>
      </c>
      <c r="B32" s="100">
        <v>6.25</v>
      </c>
      <c r="C32" s="100">
        <v>16.89</v>
      </c>
      <c r="D32" s="100">
        <v>12.84</v>
      </c>
      <c r="E32" s="100">
        <v>6.32</v>
      </c>
      <c r="F32" s="100">
        <v>2.67</v>
      </c>
      <c r="G32" s="100">
        <v>21.46</v>
      </c>
      <c r="H32" s="100">
        <v>13.04</v>
      </c>
      <c r="I32" s="100">
        <v>8.34</v>
      </c>
      <c r="J32" s="100">
        <v>3.08</v>
      </c>
      <c r="K32" s="100">
        <v>292.62</v>
      </c>
      <c r="L32" s="100">
        <v>24.55</v>
      </c>
      <c r="M32" s="100">
        <v>83.37</v>
      </c>
      <c r="N32" s="100">
        <v>30.8</v>
      </c>
      <c r="O32" s="100">
        <v>0</v>
      </c>
      <c r="P32" s="100">
        <v>0.42</v>
      </c>
      <c r="Q32" s="100">
        <v>28.69</v>
      </c>
      <c r="R32" s="6"/>
      <c r="S32" s="6"/>
      <c r="T32" s="156"/>
      <c r="U32" s="6"/>
    </row>
    <row r="33" spans="1:21" customFormat="1">
      <c r="A33" s="163" t="s">
        <v>2376</v>
      </c>
      <c r="B33" s="100">
        <v>6.56</v>
      </c>
      <c r="C33" s="100">
        <v>16.18</v>
      </c>
      <c r="D33" s="100">
        <v>12.72</v>
      </c>
      <c r="E33" s="100">
        <v>5.6</v>
      </c>
      <c r="F33" s="100">
        <v>2.62</v>
      </c>
      <c r="G33" s="100">
        <v>21.53</v>
      </c>
      <c r="H33" s="100">
        <v>10.15</v>
      </c>
      <c r="I33" s="100">
        <v>8.41</v>
      </c>
      <c r="J33" s="100">
        <v>3.09</v>
      </c>
      <c r="K33" s="100">
        <v>220.17</v>
      </c>
      <c r="L33" s="100">
        <v>24.64</v>
      </c>
      <c r="M33" s="100">
        <v>82.55</v>
      </c>
      <c r="N33" s="100">
        <v>38.1</v>
      </c>
      <c r="O33" s="100">
        <v>0</v>
      </c>
      <c r="P33" s="100">
        <v>0.43</v>
      </c>
      <c r="Q33" s="100">
        <v>28.72</v>
      </c>
      <c r="R33" s="6"/>
      <c r="S33" s="6"/>
      <c r="T33" s="156"/>
      <c r="U33" s="6"/>
    </row>
    <row r="34" spans="1:21" customFormat="1">
      <c r="A34" s="163" t="s">
        <v>2377</v>
      </c>
      <c r="B34" s="100">
        <v>6.78</v>
      </c>
      <c r="C34" s="100">
        <v>15.72</v>
      </c>
      <c r="D34" s="100">
        <v>12.66</v>
      </c>
      <c r="E34" s="100">
        <v>5.5</v>
      </c>
      <c r="F34" s="100">
        <v>2.57</v>
      </c>
      <c r="G34" s="100">
        <v>21.53</v>
      </c>
      <c r="H34" s="100">
        <v>10.15</v>
      </c>
      <c r="I34" s="100">
        <v>8.42</v>
      </c>
      <c r="J34" s="100">
        <v>5.65</v>
      </c>
      <c r="K34" s="100">
        <v>198.28</v>
      </c>
      <c r="L34" s="100">
        <v>24.88</v>
      </c>
      <c r="M34" s="100">
        <v>81.44</v>
      </c>
      <c r="N34" s="100">
        <v>54.6</v>
      </c>
      <c r="O34" s="100">
        <v>0</v>
      </c>
      <c r="P34" s="100">
        <v>0.43</v>
      </c>
      <c r="Q34" s="100">
        <v>28.71</v>
      </c>
      <c r="R34" s="6"/>
      <c r="S34" s="6"/>
      <c r="T34" s="156"/>
      <c r="U34" s="6"/>
    </row>
    <row r="35" spans="1:21" customFormat="1">
      <c r="A35" s="163" t="s">
        <v>2378</v>
      </c>
      <c r="B35" s="100">
        <v>6.95</v>
      </c>
      <c r="C35" s="100">
        <v>15.48</v>
      </c>
      <c r="D35" s="100">
        <v>12.67</v>
      </c>
      <c r="E35" s="100">
        <v>5.87</v>
      </c>
      <c r="F35" s="100">
        <v>2.78</v>
      </c>
      <c r="G35" s="100">
        <v>21.53</v>
      </c>
      <c r="H35" s="100">
        <v>10.15</v>
      </c>
      <c r="I35" s="100">
        <v>8.3800000000000008</v>
      </c>
      <c r="J35" s="100">
        <v>5.62</v>
      </c>
      <c r="K35" s="100">
        <v>227.28</v>
      </c>
      <c r="L35" s="100">
        <v>24.91</v>
      </c>
      <c r="M35" s="100">
        <v>81.84</v>
      </c>
      <c r="N35" s="100">
        <v>68.400000000000006</v>
      </c>
      <c r="O35" s="100">
        <v>0</v>
      </c>
      <c r="P35" s="100">
        <v>0.43</v>
      </c>
      <c r="Q35" s="100">
        <v>28.73</v>
      </c>
      <c r="R35" s="6"/>
      <c r="S35" s="6"/>
      <c r="T35" s="156"/>
      <c r="U35" s="6"/>
    </row>
    <row r="36" spans="1:21" customFormat="1">
      <c r="A36" s="163" t="s">
        <v>2379</v>
      </c>
      <c r="B36" s="100">
        <v>7.18</v>
      </c>
      <c r="C36" s="100">
        <v>13.74</v>
      </c>
      <c r="D36" s="100">
        <v>11.95</v>
      </c>
      <c r="E36" s="100">
        <v>5.62</v>
      </c>
      <c r="F36" s="100">
        <v>3.76</v>
      </c>
      <c r="G36" s="100">
        <v>21.65</v>
      </c>
      <c r="H36" s="100">
        <v>10.29</v>
      </c>
      <c r="I36" s="100">
        <v>8.3800000000000008</v>
      </c>
      <c r="J36" s="100">
        <v>5.77</v>
      </c>
      <c r="K36" s="100">
        <v>234.21</v>
      </c>
      <c r="L36" s="100">
        <v>24.97</v>
      </c>
      <c r="M36" s="100">
        <v>82.66</v>
      </c>
      <c r="N36" s="100">
        <v>82.7</v>
      </c>
      <c r="O36" s="100">
        <v>0</v>
      </c>
      <c r="P36" s="100">
        <v>0.42</v>
      </c>
      <c r="Q36" s="100">
        <v>28.78</v>
      </c>
      <c r="R36" s="6"/>
      <c r="S36" s="6"/>
      <c r="T36" s="156"/>
      <c r="U36" s="6"/>
    </row>
    <row r="37" spans="1:21" customFormat="1">
      <c r="A37" s="163" t="s">
        <v>2380</v>
      </c>
      <c r="B37" s="100">
        <v>7.34</v>
      </c>
      <c r="C37" s="100">
        <v>11.54</v>
      </c>
      <c r="D37" s="100">
        <v>10.92</v>
      </c>
      <c r="E37" s="100">
        <v>5.74</v>
      </c>
      <c r="F37" s="100">
        <v>3.97</v>
      </c>
      <c r="G37" s="100">
        <v>22.07</v>
      </c>
      <c r="H37" s="100">
        <v>10.8</v>
      </c>
      <c r="I37" s="100">
        <v>8.4499999999999993</v>
      </c>
      <c r="J37" s="100">
        <v>5.46</v>
      </c>
      <c r="K37" s="100">
        <v>215.82</v>
      </c>
      <c r="L37" s="100">
        <v>25.05</v>
      </c>
      <c r="M37" s="100">
        <v>83.27</v>
      </c>
      <c r="N37" s="100">
        <v>82.4</v>
      </c>
      <c r="O37" s="100">
        <v>0</v>
      </c>
      <c r="P37" s="100">
        <v>0.42</v>
      </c>
      <c r="Q37" s="100">
        <v>28.88</v>
      </c>
      <c r="R37" s="6"/>
      <c r="S37" s="6"/>
      <c r="T37" s="156"/>
      <c r="U37" s="6"/>
    </row>
    <row r="38" spans="1:21" customFormat="1">
      <c r="A38" s="163" t="s">
        <v>2381</v>
      </c>
      <c r="B38" s="100">
        <v>7.48</v>
      </c>
      <c r="C38" s="100">
        <v>11.46</v>
      </c>
      <c r="D38" s="100">
        <v>10.99</v>
      </c>
      <c r="E38" s="100">
        <v>5.73</v>
      </c>
      <c r="F38" s="100">
        <v>3.6</v>
      </c>
      <c r="G38" s="100">
        <v>22.07</v>
      </c>
      <c r="H38" s="100">
        <v>10.8</v>
      </c>
      <c r="I38" s="100">
        <v>8.5500000000000007</v>
      </c>
      <c r="J38" s="100">
        <v>6.81</v>
      </c>
      <c r="K38" s="100">
        <v>223.51</v>
      </c>
      <c r="L38" s="100">
        <v>25.06</v>
      </c>
      <c r="M38" s="100">
        <v>83.6</v>
      </c>
      <c r="N38" s="100">
        <v>110</v>
      </c>
      <c r="O38" s="100">
        <v>0</v>
      </c>
      <c r="P38" s="100">
        <v>0.44</v>
      </c>
      <c r="Q38" s="100">
        <v>28.86</v>
      </c>
      <c r="R38" s="6"/>
      <c r="S38" s="6"/>
      <c r="T38" s="156"/>
      <c r="U38" s="6"/>
    </row>
    <row r="39" spans="1:21" customFormat="1">
      <c r="A39" s="163" t="s">
        <v>2382</v>
      </c>
      <c r="B39" s="100">
        <v>7.63</v>
      </c>
      <c r="C39" s="100">
        <v>11.45</v>
      </c>
      <c r="D39" s="100">
        <v>11.11</v>
      </c>
      <c r="E39" s="100">
        <v>5.94</v>
      </c>
      <c r="F39" s="100">
        <v>3.38</v>
      </c>
      <c r="G39" s="100">
        <v>22.07</v>
      </c>
      <c r="H39" s="100">
        <v>10.8</v>
      </c>
      <c r="I39" s="100">
        <v>8.59</v>
      </c>
      <c r="J39" s="100">
        <v>8.16</v>
      </c>
      <c r="K39" s="100">
        <v>230.69</v>
      </c>
      <c r="L39" s="100">
        <v>25.22</v>
      </c>
      <c r="M39" s="100">
        <v>83.12</v>
      </c>
      <c r="N39" s="100">
        <v>137.5</v>
      </c>
      <c r="O39" s="100">
        <v>0</v>
      </c>
      <c r="P39" s="100">
        <v>0.45</v>
      </c>
      <c r="Q39" s="100">
        <v>28.84</v>
      </c>
      <c r="R39" s="6"/>
      <c r="S39" s="6"/>
      <c r="T39" s="156"/>
      <c r="U39" s="6"/>
    </row>
    <row r="40" spans="1:21" customFormat="1">
      <c r="A40" s="163" t="s">
        <v>2383</v>
      </c>
      <c r="B40" s="100">
        <v>7.67</v>
      </c>
      <c r="C40" s="100">
        <v>11.5</v>
      </c>
      <c r="D40" s="100">
        <v>11.17</v>
      </c>
      <c r="E40" s="100">
        <v>5.75</v>
      </c>
      <c r="F40" s="100">
        <v>4.28</v>
      </c>
      <c r="G40" s="100">
        <v>23.09</v>
      </c>
      <c r="H40" s="100">
        <v>11.09</v>
      </c>
      <c r="I40" s="100">
        <v>8.7200000000000006</v>
      </c>
      <c r="J40" s="100">
        <v>7.31</v>
      </c>
      <c r="K40" s="100">
        <v>224.92</v>
      </c>
      <c r="L40" s="100">
        <v>25.56</v>
      </c>
      <c r="M40" s="100">
        <v>79.349999999999994</v>
      </c>
      <c r="N40" s="100">
        <v>199.3</v>
      </c>
      <c r="O40" s="100">
        <v>0</v>
      </c>
      <c r="P40" s="100">
        <v>0.47</v>
      </c>
      <c r="Q40" s="100">
        <v>28.83</v>
      </c>
      <c r="R40" s="6"/>
      <c r="S40" s="6"/>
      <c r="T40" s="156"/>
      <c r="U40" s="6"/>
    </row>
    <row r="41" spans="1:21" customFormat="1">
      <c r="A41" s="163" t="s">
        <v>2384</v>
      </c>
      <c r="B41" s="100">
        <v>7.73</v>
      </c>
      <c r="C41" s="100">
        <v>11.76</v>
      </c>
      <c r="D41" s="100">
        <v>11.35</v>
      </c>
      <c r="E41" s="100">
        <v>5.97</v>
      </c>
      <c r="F41" s="100">
        <v>3.66</v>
      </c>
      <c r="G41" s="100">
        <v>26.94</v>
      </c>
      <c r="H41" s="100">
        <v>12.16</v>
      </c>
      <c r="I41" s="100">
        <v>8.7799999999999994</v>
      </c>
      <c r="J41" s="100">
        <v>4.6100000000000003</v>
      </c>
      <c r="K41" s="100">
        <v>248.75</v>
      </c>
      <c r="L41" s="100">
        <v>25.86</v>
      </c>
      <c r="M41" s="100">
        <v>75.73</v>
      </c>
      <c r="N41" s="100">
        <v>206.9</v>
      </c>
      <c r="O41" s="100">
        <v>0</v>
      </c>
      <c r="P41" s="100">
        <v>0.48</v>
      </c>
      <c r="Q41" s="100">
        <v>28.79</v>
      </c>
      <c r="R41" s="6"/>
      <c r="S41" s="6"/>
      <c r="T41" s="156"/>
      <c r="U41" s="6"/>
    </row>
    <row r="42" spans="1:21" customFormat="1">
      <c r="A42" s="163" t="s">
        <v>2385</v>
      </c>
      <c r="B42" s="100">
        <v>7.94</v>
      </c>
      <c r="C42" s="100">
        <v>11.67</v>
      </c>
      <c r="D42" s="100">
        <v>11.47</v>
      </c>
      <c r="E42" s="100">
        <v>6.01</v>
      </c>
      <c r="F42" s="100">
        <v>4.5999999999999996</v>
      </c>
      <c r="G42" s="100">
        <v>26.94</v>
      </c>
      <c r="H42" s="100">
        <v>12.16</v>
      </c>
      <c r="I42" s="100">
        <v>8.8800000000000008</v>
      </c>
      <c r="J42" s="100">
        <v>3.5</v>
      </c>
      <c r="K42" s="100">
        <v>338.73</v>
      </c>
      <c r="L42" s="100">
        <v>26.08</v>
      </c>
      <c r="M42" s="100">
        <v>72.92</v>
      </c>
      <c r="N42" s="100">
        <v>175.4</v>
      </c>
      <c r="O42" s="100">
        <v>0</v>
      </c>
      <c r="P42" s="100">
        <v>0.51</v>
      </c>
      <c r="Q42" s="100">
        <v>28.78</v>
      </c>
      <c r="R42" s="6"/>
      <c r="S42" s="6"/>
      <c r="T42" s="156"/>
      <c r="U42" s="6"/>
    </row>
    <row r="43" spans="1:21" customFormat="1">
      <c r="A43" s="163" t="s">
        <v>2386</v>
      </c>
      <c r="B43" s="100">
        <v>8.08</v>
      </c>
      <c r="C43" s="100">
        <v>12.87</v>
      </c>
      <c r="D43" s="100">
        <v>12.21</v>
      </c>
      <c r="E43" s="100">
        <v>5.85</v>
      </c>
      <c r="F43" s="100">
        <v>3.95</v>
      </c>
      <c r="G43" s="100">
        <v>26.94</v>
      </c>
      <c r="H43" s="100">
        <v>12.16</v>
      </c>
      <c r="I43" s="100">
        <v>9.02</v>
      </c>
      <c r="J43" s="100">
        <v>2.64</v>
      </c>
      <c r="K43" s="100">
        <v>53.81</v>
      </c>
      <c r="L43" s="100">
        <v>26.5</v>
      </c>
      <c r="M43" s="100">
        <v>71.59</v>
      </c>
      <c r="N43" s="100">
        <v>181.2</v>
      </c>
      <c r="O43" s="100">
        <v>0</v>
      </c>
      <c r="P43" s="100">
        <v>0.5</v>
      </c>
      <c r="Q43" s="100">
        <v>28.73</v>
      </c>
      <c r="R43" s="6"/>
      <c r="S43" s="6"/>
      <c r="T43" s="156"/>
      <c r="U43" s="6"/>
    </row>
    <row r="44" spans="1:21" customFormat="1">
      <c r="A44" s="163" t="s">
        <v>2387</v>
      </c>
      <c r="B44" s="100">
        <v>8.17</v>
      </c>
      <c r="C44" s="100">
        <v>14.21</v>
      </c>
      <c r="D44" s="100">
        <v>12.98</v>
      </c>
      <c r="E44" s="100">
        <v>5.55</v>
      </c>
      <c r="F44" s="100">
        <v>3.38</v>
      </c>
      <c r="G44" s="100">
        <v>25.98</v>
      </c>
      <c r="H44" s="100">
        <v>11.78</v>
      </c>
      <c r="I44" s="100">
        <v>9.3699999999999992</v>
      </c>
      <c r="J44" s="100">
        <v>5.03</v>
      </c>
      <c r="K44" s="100">
        <v>169.67</v>
      </c>
      <c r="L44" s="100">
        <v>26.96</v>
      </c>
      <c r="M44" s="100">
        <v>68.319999999999993</v>
      </c>
      <c r="N44" s="100">
        <v>186</v>
      </c>
      <c r="O44" s="100">
        <v>0</v>
      </c>
      <c r="P44" s="100">
        <v>0.51</v>
      </c>
      <c r="Q44" s="100">
        <v>28.69</v>
      </c>
      <c r="R44" s="6"/>
      <c r="S44" s="6"/>
      <c r="T44" s="156"/>
      <c r="U44" s="6"/>
    </row>
    <row r="45" spans="1:21" customFormat="1">
      <c r="A45" s="163" t="s">
        <v>2388</v>
      </c>
      <c r="B45" s="100">
        <v>8.19</v>
      </c>
      <c r="C45" s="100">
        <v>14.57</v>
      </c>
      <c r="D45" s="100">
        <v>13.18</v>
      </c>
      <c r="E45" s="100">
        <v>5.92</v>
      </c>
      <c r="F45" s="100">
        <v>3.46</v>
      </c>
      <c r="G45" s="100">
        <v>22.41</v>
      </c>
      <c r="H45" s="100">
        <v>10.36</v>
      </c>
      <c r="I45" s="100">
        <v>9.34</v>
      </c>
      <c r="J45" s="100">
        <v>3.63</v>
      </c>
      <c r="K45" s="100">
        <v>187.07</v>
      </c>
      <c r="L45" s="100">
        <v>27.04</v>
      </c>
      <c r="M45" s="100">
        <v>67.239999999999995</v>
      </c>
      <c r="N45" s="100">
        <v>224.8</v>
      </c>
      <c r="O45" s="100">
        <v>0</v>
      </c>
      <c r="P45" s="100">
        <v>0.49</v>
      </c>
      <c r="Q45" s="100">
        <v>28.7</v>
      </c>
      <c r="R45" s="6"/>
      <c r="S45" s="6"/>
      <c r="T45" s="156"/>
      <c r="U45" s="6"/>
    </row>
    <row r="46" spans="1:21" customFormat="1">
      <c r="A46" s="163" t="s">
        <v>2389</v>
      </c>
      <c r="B46" s="100">
        <v>8.09</v>
      </c>
      <c r="C46" s="100">
        <v>14.51</v>
      </c>
      <c r="D46" s="100">
        <v>13.07</v>
      </c>
      <c r="E46" s="100">
        <v>5.75</v>
      </c>
      <c r="F46" s="100">
        <v>3.08</v>
      </c>
      <c r="G46" s="100">
        <v>22.41</v>
      </c>
      <c r="H46" s="100">
        <v>10.36</v>
      </c>
      <c r="I46" s="100">
        <v>9.4499999999999993</v>
      </c>
      <c r="J46" s="100">
        <v>4.3600000000000003</v>
      </c>
      <c r="K46" s="100">
        <v>182.89</v>
      </c>
      <c r="L46" s="100">
        <v>27.56</v>
      </c>
      <c r="M46" s="100">
        <v>65.53</v>
      </c>
      <c r="N46" s="100">
        <v>270.39999999999998</v>
      </c>
      <c r="O46" s="100">
        <v>0</v>
      </c>
      <c r="P46" s="100">
        <v>0.48</v>
      </c>
      <c r="Q46" s="100">
        <v>28.73</v>
      </c>
      <c r="R46" s="6"/>
      <c r="S46" s="6"/>
      <c r="T46" s="156"/>
      <c r="U46" s="6"/>
    </row>
    <row r="47" spans="1:21" customFormat="1">
      <c r="A47" s="163" t="s">
        <v>2390</v>
      </c>
      <c r="B47" s="100">
        <v>7.9</v>
      </c>
      <c r="C47" s="100">
        <v>14.38</v>
      </c>
      <c r="D47" s="100">
        <v>12.86</v>
      </c>
      <c r="E47" s="100">
        <v>5.94</v>
      </c>
      <c r="F47" s="100">
        <v>2.99</v>
      </c>
      <c r="G47" s="100">
        <v>22.41</v>
      </c>
      <c r="H47" s="100">
        <v>10.36</v>
      </c>
      <c r="I47" s="100">
        <v>9.3800000000000008</v>
      </c>
      <c r="J47" s="100">
        <v>1.96</v>
      </c>
      <c r="K47" s="100">
        <v>175.19</v>
      </c>
      <c r="L47" s="100">
        <v>27.89</v>
      </c>
      <c r="M47" s="100">
        <v>64.78</v>
      </c>
      <c r="N47" s="100">
        <v>380.7</v>
      </c>
      <c r="O47" s="100">
        <v>0</v>
      </c>
      <c r="P47" s="100">
        <v>0.48</v>
      </c>
      <c r="Q47" s="100">
        <v>28.76</v>
      </c>
      <c r="R47" s="6"/>
      <c r="S47" s="6"/>
      <c r="T47" s="156"/>
      <c r="U47" s="6"/>
    </row>
    <row r="48" spans="1:21" customFormat="1">
      <c r="A48" s="163" t="s">
        <v>2391</v>
      </c>
      <c r="B48" s="100">
        <v>7.85</v>
      </c>
      <c r="C48" s="100">
        <v>14.15</v>
      </c>
      <c r="D48" s="100">
        <v>12.7</v>
      </c>
      <c r="E48" s="100">
        <v>6.38</v>
      </c>
      <c r="F48" s="100">
        <v>3.16</v>
      </c>
      <c r="G48" s="100">
        <v>22.06</v>
      </c>
      <c r="H48" s="100">
        <v>9.84</v>
      </c>
      <c r="I48" s="100">
        <v>9.3000000000000007</v>
      </c>
      <c r="J48" s="100">
        <v>0.99</v>
      </c>
      <c r="K48" s="100">
        <v>307.74</v>
      </c>
      <c r="L48" s="100">
        <v>28.59</v>
      </c>
      <c r="M48" s="100">
        <v>63.24</v>
      </c>
      <c r="N48" s="100">
        <v>538.70000000000005</v>
      </c>
      <c r="O48" s="100">
        <v>0</v>
      </c>
      <c r="P48" s="100">
        <v>0.49</v>
      </c>
      <c r="Q48" s="100">
        <v>28.8</v>
      </c>
      <c r="R48" s="6"/>
      <c r="S48" s="6"/>
      <c r="T48" s="156"/>
      <c r="U48" s="6"/>
    </row>
    <row r="49" spans="1:21" customFormat="1">
      <c r="A49" s="163" t="s">
        <v>2392</v>
      </c>
      <c r="B49" s="100">
        <v>7.73</v>
      </c>
      <c r="C49" s="100">
        <v>13.68</v>
      </c>
      <c r="D49" s="100">
        <v>12.35</v>
      </c>
      <c r="E49" s="100">
        <v>5.97</v>
      </c>
      <c r="F49" s="100">
        <v>7.13</v>
      </c>
      <c r="G49" s="100">
        <v>20.74</v>
      </c>
      <c r="H49" s="100">
        <v>7.88</v>
      </c>
      <c r="I49" s="100">
        <v>9.2799999999999994</v>
      </c>
      <c r="J49" s="100">
        <v>1.31</v>
      </c>
      <c r="K49" s="100">
        <v>34.549999999999997</v>
      </c>
      <c r="L49" s="100">
        <v>29.19</v>
      </c>
      <c r="M49" s="100">
        <v>62.13</v>
      </c>
      <c r="N49" s="100">
        <v>403.2</v>
      </c>
      <c r="O49" s="100">
        <v>0</v>
      </c>
      <c r="P49" s="100">
        <v>0.51</v>
      </c>
      <c r="Q49" s="100">
        <v>28.83</v>
      </c>
      <c r="R49" s="6"/>
      <c r="S49" s="6"/>
      <c r="T49" s="156"/>
      <c r="U49" s="6"/>
    </row>
    <row r="50" spans="1:21" customFormat="1">
      <c r="A50" s="163" t="s">
        <v>2393</v>
      </c>
      <c r="B50" s="100">
        <v>7.42</v>
      </c>
      <c r="C50" s="100">
        <v>12.31</v>
      </c>
      <c r="D50" s="100">
        <v>11.39</v>
      </c>
      <c r="E50" s="100">
        <v>5.89</v>
      </c>
      <c r="F50" s="100">
        <v>7.16</v>
      </c>
      <c r="G50" s="100">
        <v>20.74</v>
      </c>
      <c r="H50" s="100">
        <v>7.88</v>
      </c>
      <c r="I50" s="100">
        <v>9.3699999999999992</v>
      </c>
      <c r="J50" s="100">
        <v>5.08</v>
      </c>
      <c r="K50" s="100">
        <v>4.75</v>
      </c>
      <c r="L50" s="100">
        <v>29.41</v>
      </c>
      <c r="M50" s="100">
        <v>60.88</v>
      </c>
      <c r="N50" s="100">
        <v>446.6</v>
      </c>
      <c r="O50" s="100">
        <v>0</v>
      </c>
      <c r="P50" s="100">
        <v>0.53</v>
      </c>
      <c r="Q50" s="100">
        <v>28.91</v>
      </c>
      <c r="R50" s="6"/>
      <c r="S50" s="6"/>
      <c r="T50" s="156"/>
      <c r="U50" s="6"/>
    </row>
    <row r="51" spans="1:21" customFormat="1">
      <c r="A51" s="163" t="s">
        <v>2394</v>
      </c>
      <c r="B51" s="100">
        <v>7.05</v>
      </c>
      <c r="C51" s="100">
        <v>13.07</v>
      </c>
      <c r="D51" s="100">
        <v>11.49</v>
      </c>
      <c r="E51" s="100">
        <v>6.14</v>
      </c>
      <c r="F51" s="100">
        <v>8.7200000000000006</v>
      </c>
      <c r="G51" s="100">
        <v>20.74</v>
      </c>
      <c r="H51" s="100">
        <v>7.88</v>
      </c>
      <c r="I51" s="100">
        <v>9.58</v>
      </c>
      <c r="J51" s="100">
        <v>3.91</v>
      </c>
      <c r="K51" s="100">
        <v>29.16</v>
      </c>
      <c r="L51" s="100">
        <v>29.33</v>
      </c>
      <c r="M51" s="100">
        <v>61.99</v>
      </c>
      <c r="N51" s="100">
        <v>307.39999999999998</v>
      </c>
      <c r="O51" s="100">
        <v>0</v>
      </c>
      <c r="P51" s="100">
        <v>0.55000000000000004</v>
      </c>
      <c r="Q51" s="100">
        <v>28.81</v>
      </c>
      <c r="R51" s="6"/>
      <c r="S51" s="6"/>
      <c r="T51" s="156"/>
      <c r="U51" s="6"/>
    </row>
    <row r="52" spans="1:21" customFormat="1">
      <c r="A52" s="163" t="s">
        <v>2395</v>
      </c>
      <c r="B52" s="100">
        <v>6.98</v>
      </c>
      <c r="C52" s="100">
        <v>14.4</v>
      </c>
      <c r="D52" s="100">
        <v>12.13</v>
      </c>
      <c r="E52" s="100">
        <v>6.44</v>
      </c>
      <c r="F52" s="100">
        <v>7.57</v>
      </c>
      <c r="G52" s="100">
        <v>21.43</v>
      </c>
      <c r="H52" s="100">
        <v>8.2100000000000009</v>
      </c>
      <c r="I52" s="100">
        <v>9.94</v>
      </c>
      <c r="J52" s="100">
        <v>4.37</v>
      </c>
      <c r="K52" s="100">
        <v>88.53</v>
      </c>
      <c r="L52" s="100">
        <v>29.1</v>
      </c>
      <c r="M52" s="100">
        <v>65.319999999999993</v>
      </c>
      <c r="N52" s="100">
        <v>194.6</v>
      </c>
      <c r="O52" s="100">
        <v>0</v>
      </c>
      <c r="P52" s="100">
        <v>0.6</v>
      </c>
      <c r="Q52" s="100">
        <v>28.74</v>
      </c>
      <c r="R52" s="6"/>
      <c r="S52" s="6"/>
      <c r="T52" s="156"/>
      <c r="U52" s="6"/>
    </row>
    <row r="53" spans="1:21" customFormat="1">
      <c r="A53" s="163" t="s">
        <v>2396</v>
      </c>
      <c r="B53" s="100">
        <v>7.06</v>
      </c>
      <c r="C53" s="100">
        <v>14.99</v>
      </c>
      <c r="D53" s="100">
        <v>12.5</v>
      </c>
      <c r="E53" s="100">
        <v>5.67</v>
      </c>
      <c r="F53" s="100">
        <v>7.65</v>
      </c>
      <c r="G53" s="100">
        <v>24.01</v>
      </c>
      <c r="H53" s="100">
        <v>9.44</v>
      </c>
      <c r="I53" s="100">
        <v>10.130000000000001</v>
      </c>
      <c r="J53" s="100">
        <v>4.74</v>
      </c>
      <c r="K53" s="100">
        <v>47.88</v>
      </c>
      <c r="L53" s="100">
        <v>28.53</v>
      </c>
      <c r="M53" s="100">
        <v>65.41</v>
      </c>
      <c r="N53" s="100">
        <v>380.6</v>
      </c>
      <c r="O53" s="100">
        <v>0</v>
      </c>
      <c r="P53" s="100">
        <v>0.56000000000000005</v>
      </c>
      <c r="Q53" s="100">
        <v>28.71</v>
      </c>
      <c r="R53" s="6"/>
      <c r="S53" s="6"/>
      <c r="T53" s="156"/>
      <c r="U53" s="6"/>
    </row>
    <row r="54" spans="1:21" customFormat="1">
      <c r="A54" s="163" t="s">
        <v>2397</v>
      </c>
      <c r="B54" s="100">
        <v>7.45</v>
      </c>
      <c r="C54" s="100">
        <v>16.53</v>
      </c>
      <c r="D54" s="100">
        <v>13.62</v>
      </c>
      <c r="E54" s="100">
        <v>6.71</v>
      </c>
      <c r="F54" s="100">
        <v>10.61</v>
      </c>
      <c r="G54" s="100">
        <v>24.01</v>
      </c>
      <c r="H54" s="100">
        <v>9.44</v>
      </c>
      <c r="I54" s="100">
        <v>10.99</v>
      </c>
      <c r="J54" s="100">
        <v>3.78</v>
      </c>
      <c r="K54" s="100">
        <v>27.52</v>
      </c>
      <c r="L54" s="100">
        <v>29.34</v>
      </c>
      <c r="M54" s="100">
        <v>62.57</v>
      </c>
      <c r="N54" s="100">
        <v>487.8</v>
      </c>
      <c r="O54" s="100">
        <v>0</v>
      </c>
      <c r="P54" s="100">
        <v>0.65</v>
      </c>
      <c r="Q54" s="100">
        <v>28.53</v>
      </c>
      <c r="R54" s="6"/>
      <c r="S54" s="6"/>
      <c r="T54" s="156"/>
      <c r="U54" s="6"/>
    </row>
    <row r="55" spans="1:21" customFormat="1">
      <c r="A55" s="163" t="s">
        <v>2398</v>
      </c>
      <c r="B55" s="100">
        <v>8.9</v>
      </c>
      <c r="C55" s="100">
        <v>24.09</v>
      </c>
      <c r="D55" s="100">
        <v>18.73</v>
      </c>
      <c r="E55" s="100">
        <v>7.29</v>
      </c>
      <c r="F55" s="100">
        <v>17.27</v>
      </c>
      <c r="G55" s="100">
        <v>24.01</v>
      </c>
      <c r="H55" s="100">
        <v>9.44</v>
      </c>
      <c r="I55" s="100">
        <v>11.06</v>
      </c>
      <c r="J55" s="100">
        <v>4.0199999999999996</v>
      </c>
      <c r="K55" s="100">
        <v>34.36</v>
      </c>
      <c r="L55" s="100">
        <v>29.85</v>
      </c>
      <c r="M55" s="100">
        <v>60.99</v>
      </c>
      <c r="N55" s="100">
        <v>698.4</v>
      </c>
      <c r="O55" s="100">
        <v>0</v>
      </c>
      <c r="P55" s="100">
        <v>0.75</v>
      </c>
      <c r="Q55" s="100">
        <v>27.91</v>
      </c>
      <c r="R55" s="6"/>
      <c r="S55" s="6"/>
      <c r="T55" s="156"/>
      <c r="U55" s="6"/>
    </row>
    <row r="56" spans="1:21" customFormat="1">
      <c r="A56" s="163" t="s">
        <v>2399</v>
      </c>
      <c r="B56" s="100">
        <v>6.48</v>
      </c>
      <c r="C56" s="100">
        <v>24.35</v>
      </c>
      <c r="D56" s="100">
        <v>16.920000000000002</v>
      </c>
      <c r="E56" s="100">
        <v>7.02</v>
      </c>
      <c r="F56" s="100">
        <v>15.05</v>
      </c>
      <c r="G56" s="100">
        <v>29.51</v>
      </c>
      <c r="H56" s="100">
        <v>12.21</v>
      </c>
      <c r="I56" s="100">
        <v>11.44</v>
      </c>
      <c r="J56" s="100">
        <v>2.83</v>
      </c>
      <c r="K56" s="100">
        <v>23.86</v>
      </c>
      <c r="L56" s="100">
        <v>30.27</v>
      </c>
      <c r="M56" s="100">
        <v>58.37</v>
      </c>
      <c r="N56" s="100">
        <v>503.6</v>
      </c>
      <c r="O56" s="100">
        <v>0</v>
      </c>
      <c r="P56" s="100">
        <v>0.7</v>
      </c>
      <c r="Q56" s="100">
        <v>27.76</v>
      </c>
      <c r="R56" s="6"/>
      <c r="S56" s="6"/>
      <c r="T56" s="156"/>
      <c r="U56" s="6"/>
    </row>
    <row r="57" spans="1:21" customFormat="1">
      <c r="A57" s="163" t="s">
        <v>2400</v>
      </c>
      <c r="B57" s="100">
        <v>4.72</v>
      </c>
      <c r="C57" s="100">
        <v>23.74</v>
      </c>
      <c r="D57" s="100">
        <v>15.19</v>
      </c>
      <c r="E57" s="100">
        <v>8.8699999999999992</v>
      </c>
      <c r="F57" s="100">
        <v>15.31</v>
      </c>
      <c r="G57" s="100">
        <v>50.06</v>
      </c>
      <c r="H57" s="100">
        <v>22.56</v>
      </c>
      <c r="I57" s="100">
        <v>12.36</v>
      </c>
      <c r="J57" s="100">
        <v>2.15</v>
      </c>
      <c r="K57" s="100">
        <v>323.02999999999997</v>
      </c>
      <c r="L57" s="100">
        <v>30.49</v>
      </c>
      <c r="M57" s="100">
        <v>56.68</v>
      </c>
      <c r="N57" s="100">
        <v>522.79999999999995</v>
      </c>
      <c r="O57" s="100">
        <v>0</v>
      </c>
      <c r="P57" s="100">
        <v>0.71</v>
      </c>
      <c r="Q57" s="100">
        <v>27.72</v>
      </c>
      <c r="R57" s="6"/>
      <c r="S57" s="6"/>
      <c r="T57" s="156"/>
      <c r="U57" s="6"/>
    </row>
    <row r="58" spans="1:21" customFormat="1">
      <c r="A58" s="163" t="s">
        <v>2401</v>
      </c>
      <c r="B58" s="100">
        <v>3.77</v>
      </c>
      <c r="C58" s="100">
        <v>21.17</v>
      </c>
      <c r="D58" s="100">
        <v>13.09</v>
      </c>
      <c r="E58" s="100">
        <v>9.5299999999999994</v>
      </c>
      <c r="F58" s="100">
        <v>8.92</v>
      </c>
      <c r="G58" s="100">
        <v>50.06</v>
      </c>
      <c r="H58" s="100">
        <v>22.56</v>
      </c>
      <c r="I58" s="100">
        <v>12.39</v>
      </c>
      <c r="J58" s="100">
        <v>4.22</v>
      </c>
      <c r="K58" s="100">
        <v>250.28</v>
      </c>
      <c r="L58" s="100">
        <v>29.8</v>
      </c>
      <c r="M58" s="100">
        <v>57.25</v>
      </c>
      <c r="N58" s="100">
        <v>179.7</v>
      </c>
      <c r="O58" s="100">
        <v>0</v>
      </c>
      <c r="P58" s="100">
        <v>0.71</v>
      </c>
      <c r="Q58" s="100">
        <v>28.44</v>
      </c>
      <c r="R58" s="6"/>
      <c r="S58" s="6"/>
      <c r="T58" s="156"/>
      <c r="U58" s="6"/>
    </row>
    <row r="59" spans="1:21" customFormat="1">
      <c r="A59" s="163" t="s">
        <v>2402</v>
      </c>
      <c r="B59" s="100">
        <v>2.93</v>
      </c>
      <c r="C59" s="100">
        <v>19.7</v>
      </c>
      <c r="D59" s="100">
        <v>11.65</v>
      </c>
      <c r="E59" s="100">
        <v>9.09</v>
      </c>
      <c r="F59" s="100">
        <v>13.63</v>
      </c>
      <c r="G59" s="100">
        <v>50.06</v>
      </c>
      <c r="H59" s="100">
        <v>22.56</v>
      </c>
      <c r="I59" s="100">
        <v>12.49</v>
      </c>
      <c r="J59" s="100">
        <v>3.08</v>
      </c>
      <c r="K59" s="100">
        <v>251.83</v>
      </c>
      <c r="L59" s="100">
        <v>29.59</v>
      </c>
      <c r="M59" s="100">
        <v>57.55</v>
      </c>
      <c r="N59" s="100">
        <v>161.30000000000001</v>
      </c>
      <c r="O59" s="100">
        <v>0</v>
      </c>
      <c r="P59" s="100">
        <v>0.7</v>
      </c>
      <c r="Q59" s="100">
        <v>28.52</v>
      </c>
      <c r="R59" s="6"/>
      <c r="S59" s="6"/>
      <c r="T59" s="156"/>
      <c r="U59" s="6"/>
    </row>
    <row r="60" spans="1:21" customFormat="1">
      <c r="A60" s="163" t="s">
        <v>2403</v>
      </c>
      <c r="B60" s="100">
        <v>2.5099999999999998</v>
      </c>
      <c r="C60" s="100">
        <v>17.600000000000001</v>
      </c>
      <c r="D60" s="100">
        <v>10.220000000000001</v>
      </c>
      <c r="E60" s="100">
        <v>8.83</v>
      </c>
      <c r="F60" s="100">
        <v>15.59</v>
      </c>
      <c r="G60" s="100">
        <v>52.28</v>
      </c>
      <c r="H60" s="100">
        <v>23.5</v>
      </c>
      <c r="I60" s="100">
        <v>12.48</v>
      </c>
      <c r="J60" s="100">
        <v>3.48</v>
      </c>
      <c r="K60" s="100">
        <v>270.57</v>
      </c>
      <c r="L60" s="100">
        <v>29.74</v>
      </c>
      <c r="M60" s="100">
        <v>56.77</v>
      </c>
      <c r="N60" s="100">
        <v>260.8</v>
      </c>
      <c r="O60" s="100">
        <v>0</v>
      </c>
      <c r="P60" s="100">
        <v>0.68</v>
      </c>
      <c r="Q60" s="100">
        <v>28.74</v>
      </c>
      <c r="R60" s="6"/>
      <c r="S60" s="6"/>
      <c r="T60" s="156"/>
      <c r="U60" s="6"/>
    </row>
    <row r="61" spans="1:21" customFormat="1">
      <c r="A61" s="163" t="s">
        <v>2404</v>
      </c>
      <c r="B61" s="100">
        <v>2.33</v>
      </c>
      <c r="C61" s="100">
        <v>17.11</v>
      </c>
      <c r="D61" s="100">
        <v>9.81</v>
      </c>
      <c r="E61" s="100">
        <v>8.4499999999999993</v>
      </c>
      <c r="F61" s="100">
        <v>14.86</v>
      </c>
      <c r="G61" s="100">
        <v>60.57</v>
      </c>
      <c r="H61" s="100">
        <v>26.98</v>
      </c>
      <c r="I61" s="100">
        <v>12.36</v>
      </c>
      <c r="J61" s="100">
        <v>4.87</v>
      </c>
      <c r="K61" s="100">
        <v>234.02</v>
      </c>
      <c r="L61" s="100">
        <v>30.2</v>
      </c>
      <c r="M61" s="100">
        <v>55.59</v>
      </c>
      <c r="N61" s="100">
        <v>585.20000000000005</v>
      </c>
      <c r="O61" s="100">
        <v>0</v>
      </c>
      <c r="P61" s="100">
        <v>0.71</v>
      </c>
      <c r="Q61" s="100">
        <v>28.81</v>
      </c>
      <c r="R61" s="6"/>
      <c r="S61" s="6"/>
      <c r="T61" s="156"/>
      <c r="U61" s="6"/>
    </row>
    <row r="62" spans="1:21" customFormat="1">
      <c r="A62" s="163" t="s">
        <v>2405</v>
      </c>
      <c r="B62" s="100">
        <v>2.35</v>
      </c>
      <c r="C62" s="100">
        <v>19.940000000000001</v>
      </c>
      <c r="D62" s="100">
        <v>11.31</v>
      </c>
      <c r="E62" s="100">
        <v>8.98</v>
      </c>
      <c r="F62" s="100">
        <v>18.739999999999998</v>
      </c>
      <c r="G62" s="100">
        <v>60.57</v>
      </c>
      <c r="H62" s="100">
        <v>26.98</v>
      </c>
      <c r="I62" s="100">
        <v>12.18</v>
      </c>
      <c r="J62" s="100">
        <v>3.6</v>
      </c>
      <c r="K62" s="100">
        <v>254.07</v>
      </c>
      <c r="L62" s="100">
        <v>30.96</v>
      </c>
      <c r="M62" s="100">
        <v>53.45</v>
      </c>
      <c r="N62" s="100">
        <v>616.9</v>
      </c>
      <c r="O62" s="100">
        <v>0</v>
      </c>
      <c r="P62" s="100">
        <v>0.83</v>
      </c>
      <c r="Q62" s="100">
        <v>28.61</v>
      </c>
      <c r="R62" s="6"/>
      <c r="S62" s="6"/>
      <c r="T62" s="156"/>
      <c r="U62" s="6"/>
    </row>
    <row r="63" spans="1:21" customFormat="1">
      <c r="A63" s="163" t="s">
        <v>2406</v>
      </c>
      <c r="B63" s="100">
        <v>1.92</v>
      </c>
      <c r="C63" s="100">
        <v>19.079999999999998</v>
      </c>
      <c r="D63" s="100">
        <v>10.51</v>
      </c>
      <c r="E63" s="100">
        <v>8.27</v>
      </c>
      <c r="F63" s="100">
        <v>16.09</v>
      </c>
      <c r="G63" s="100">
        <v>60.57</v>
      </c>
      <c r="H63" s="100">
        <v>26.98</v>
      </c>
      <c r="I63" s="100">
        <v>13.03</v>
      </c>
      <c r="J63" s="100">
        <v>1.01</v>
      </c>
      <c r="K63" s="100">
        <v>330.69</v>
      </c>
      <c r="L63" s="100">
        <v>31.71</v>
      </c>
      <c r="M63" s="100">
        <v>51.38</v>
      </c>
      <c r="N63" s="100">
        <v>641.4</v>
      </c>
      <c r="O63" s="100">
        <v>0</v>
      </c>
      <c r="P63" s="100">
        <v>0.81</v>
      </c>
      <c r="Q63" s="100">
        <v>28.64</v>
      </c>
      <c r="R63" s="6"/>
      <c r="S63" s="6"/>
      <c r="T63" s="156"/>
      <c r="U63" s="6"/>
    </row>
    <row r="64" spans="1:21" customFormat="1">
      <c r="A64" s="163" t="s">
        <v>2407</v>
      </c>
      <c r="B64" s="100">
        <v>1.96</v>
      </c>
      <c r="C64" s="100">
        <v>18.21</v>
      </c>
      <c r="D64" s="100">
        <v>10.09</v>
      </c>
      <c r="E64" s="100">
        <v>6.97</v>
      </c>
      <c r="F64" s="100">
        <v>9.6</v>
      </c>
      <c r="G64" s="100">
        <v>62.22</v>
      </c>
      <c r="H64" s="100">
        <v>26.85</v>
      </c>
      <c r="I64" s="100">
        <v>14.69</v>
      </c>
      <c r="J64" s="100">
        <v>5.12</v>
      </c>
      <c r="K64" s="100">
        <v>243.83</v>
      </c>
      <c r="L64" s="100">
        <v>31.92</v>
      </c>
      <c r="M64" s="100">
        <v>50.5</v>
      </c>
      <c r="N64" s="100">
        <v>637.4</v>
      </c>
      <c r="O64" s="100">
        <v>0</v>
      </c>
      <c r="P64" s="100">
        <v>0.82</v>
      </c>
      <c r="Q64" s="100">
        <v>28.67</v>
      </c>
      <c r="R64" s="6"/>
      <c r="S64" s="6"/>
      <c r="T64" s="156"/>
      <c r="U64" s="6"/>
    </row>
    <row r="65" spans="1:21" customFormat="1">
      <c r="A65" s="163" t="s">
        <v>2408</v>
      </c>
      <c r="B65" s="100">
        <v>2.08</v>
      </c>
      <c r="C65" s="100">
        <v>16.2</v>
      </c>
      <c r="D65" s="100">
        <v>9.14</v>
      </c>
      <c r="E65" s="100">
        <v>6.74</v>
      </c>
      <c r="F65" s="100">
        <v>16.260000000000002</v>
      </c>
      <c r="G65" s="100">
        <v>68.41</v>
      </c>
      <c r="H65" s="100">
        <v>26.37</v>
      </c>
      <c r="I65" s="100">
        <v>14.74</v>
      </c>
      <c r="J65" s="100">
        <v>3.58</v>
      </c>
      <c r="K65" s="100">
        <v>237.82</v>
      </c>
      <c r="L65" s="100">
        <v>32.01</v>
      </c>
      <c r="M65" s="100">
        <v>50.61</v>
      </c>
      <c r="N65" s="100">
        <v>395.1</v>
      </c>
      <c r="O65" s="100">
        <v>0</v>
      </c>
      <c r="P65" s="100">
        <v>0.75</v>
      </c>
      <c r="Q65" s="100">
        <v>28.79</v>
      </c>
      <c r="R65" s="6"/>
      <c r="S65" s="6"/>
      <c r="T65" s="156"/>
      <c r="U65" s="6"/>
    </row>
    <row r="66" spans="1:21" customFormat="1">
      <c r="A66" s="163" t="s">
        <v>2409</v>
      </c>
      <c r="B66" s="100">
        <v>2.14</v>
      </c>
      <c r="C66" s="100">
        <v>14.1</v>
      </c>
      <c r="D66" s="100">
        <v>8.09</v>
      </c>
      <c r="E66" s="100">
        <v>7.14</v>
      </c>
      <c r="F66" s="100">
        <v>39.54</v>
      </c>
      <c r="G66" s="100">
        <v>68.41</v>
      </c>
      <c r="H66" s="100">
        <v>26.37</v>
      </c>
      <c r="I66" s="100">
        <v>14.65</v>
      </c>
      <c r="J66" s="100">
        <v>4.29</v>
      </c>
      <c r="K66" s="100">
        <v>244.32</v>
      </c>
      <c r="L66" s="100">
        <v>31.34</v>
      </c>
      <c r="M66" s="100">
        <v>50.91</v>
      </c>
      <c r="N66" s="100">
        <v>411.7</v>
      </c>
      <c r="O66" s="100">
        <v>0</v>
      </c>
      <c r="P66" s="100">
        <v>0.69</v>
      </c>
      <c r="Q66" s="100">
        <v>28.91</v>
      </c>
      <c r="R66" s="6"/>
      <c r="S66" s="6"/>
      <c r="T66" s="156"/>
      <c r="U66" s="6"/>
    </row>
    <row r="67" spans="1:21" customFormat="1">
      <c r="A67" s="163" t="s">
        <v>2410</v>
      </c>
      <c r="B67" s="100">
        <v>2.65</v>
      </c>
      <c r="C67" s="100">
        <v>16.47</v>
      </c>
      <c r="D67" s="100">
        <v>9.74</v>
      </c>
      <c r="E67" s="100">
        <v>8.8699999999999992</v>
      </c>
      <c r="F67" s="100">
        <v>55.82</v>
      </c>
      <c r="G67" s="100">
        <v>68.41</v>
      </c>
      <c r="H67" s="100">
        <v>26.37</v>
      </c>
      <c r="I67" s="100">
        <v>14.03</v>
      </c>
      <c r="J67" s="100">
        <v>3.44</v>
      </c>
      <c r="K67" s="100">
        <v>28.32</v>
      </c>
      <c r="L67" s="100">
        <v>32.409999999999997</v>
      </c>
      <c r="M67" s="100">
        <v>50.03</v>
      </c>
      <c r="N67" s="100">
        <v>314.60000000000002</v>
      </c>
      <c r="O67" s="100">
        <v>0</v>
      </c>
      <c r="P67" s="100">
        <v>0.66</v>
      </c>
      <c r="Q67" s="100">
        <v>28.89</v>
      </c>
      <c r="R67" s="6"/>
      <c r="S67" s="6"/>
      <c r="T67" s="156"/>
      <c r="U67" s="6"/>
    </row>
    <row r="68" spans="1:21" customFormat="1">
      <c r="A68" s="163" t="s">
        <v>2411</v>
      </c>
      <c r="B68" s="100">
        <v>2.7</v>
      </c>
      <c r="C68" s="100">
        <v>19.62</v>
      </c>
      <c r="D68" s="100">
        <v>11.42</v>
      </c>
      <c r="E68" s="100">
        <v>7.42</v>
      </c>
      <c r="F68" s="100">
        <v>29.94</v>
      </c>
      <c r="G68" s="100">
        <v>69.2</v>
      </c>
      <c r="H68" s="100">
        <v>26.65</v>
      </c>
      <c r="I68" s="100">
        <v>12.74</v>
      </c>
      <c r="J68" s="100">
        <v>3.53</v>
      </c>
      <c r="K68" s="100">
        <v>39.54</v>
      </c>
      <c r="L68" s="100">
        <v>32.9</v>
      </c>
      <c r="M68" s="100">
        <v>48.27</v>
      </c>
      <c r="N68" s="100">
        <v>564.29999999999995</v>
      </c>
      <c r="O68" s="100">
        <v>0</v>
      </c>
      <c r="P68" s="100">
        <v>0.67</v>
      </c>
      <c r="Q68" s="100">
        <v>28.75</v>
      </c>
      <c r="R68" s="6"/>
      <c r="S68" s="6"/>
      <c r="T68" s="156"/>
      <c r="U68" s="6"/>
    </row>
    <row r="69" spans="1:21" customFormat="1">
      <c r="A69" s="163" t="s">
        <v>2412</v>
      </c>
      <c r="B69" s="100">
        <v>1.68</v>
      </c>
      <c r="C69" s="100">
        <v>17.43</v>
      </c>
      <c r="D69" s="100">
        <v>9.4600000000000009</v>
      </c>
      <c r="E69" s="100">
        <v>6.81</v>
      </c>
      <c r="F69" s="100">
        <v>15.31</v>
      </c>
      <c r="G69" s="100">
        <v>72.180000000000007</v>
      </c>
      <c r="H69" s="100">
        <v>27.72</v>
      </c>
      <c r="I69" s="100">
        <v>10.91</v>
      </c>
      <c r="J69" s="100">
        <v>3.87</v>
      </c>
      <c r="K69" s="100">
        <v>256.55</v>
      </c>
      <c r="L69" s="100">
        <v>32.29</v>
      </c>
      <c r="M69" s="100">
        <v>47.75</v>
      </c>
      <c r="N69" s="100">
        <v>355.5</v>
      </c>
      <c r="O69" s="100">
        <v>0</v>
      </c>
      <c r="P69" s="100">
        <v>0.65</v>
      </c>
      <c r="Q69" s="100">
        <v>28.74</v>
      </c>
      <c r="R69" s="6"/>
      <c r="S69" s="6"/>
      <c r="T69" s="156"/>
      <c r="U69" s="6"/>
    </row>
    <row r="70" spans="1:21" customFormat="1">
      <c r="A70" s="163" t="s">
        <v>2413</v>
      </c>
      <c r="B70" s="100">
        <v>1.68</v>
      </c>
      <c r="C70" s="100">
        <v>15.37</v>
      </c>
      <c r="D70" s="100">
        <v>8.3800000000000008</v>
      </c>
      <c r="E70" s="100">
        <v>7.78</v>
      </c>
      <c r="F70" s="100">
        <v>26.52</v>
      </c>
      <c r="G70" s="100">
        <v>72.180000000000007</v>
      </c>
      <c r="H70" s="100">
        <v>27.72</v>
      </c>
      <c r="I70" s="100">
        <v>11.68</v>
      </c>
      <c r="J70" s="100">
        <v>0.86</v>
      </c>
      <c r="K70" s="100">
        <v>292.42</v>
      </c>
      <c r="L70" s="100">
        <v>32.03</v>
      </c>
      <c r="M70" s="100">
        <v>48.47</v>
      </c>
      <c r="N70" s="100">
        <v>261.8</v>
      </c>
      <c r="O70" s="100">
        <v>0</v>
      </c>
      <c r="P70" s="100">
        <v>0.61</v>
      </c>
      <c r="Q70" s="100">
        <v>28.89</v>
      </c>
      <c r="R70" s="6"/>
      <c r="S70" s="6"/>
      <c r="T70" s="156"/>
      <c r="U70" s="6"/>
    </row>
    <row r="71" spans="1:21" customFormat="1">
      <c r="A71" s="163" t="s">
        <v>2414</v>
      </c>
      <c r="B71" s="100">
        <v>1.85</v>
      </c>
      <c r="C71" s="100">
        <v>12.49</v>
      </c>
      <c r="D71" s="100">
        <v>7.02</v>
      </c>
      <c r="E71" s="100">
        <v>8.89</v>
      </c>
      <c r="F71" s="100">
        <v>30.56</v>
      </c>
      <c r="G71" s="100">
        <v>72.180000000000007</v>
      </c>
      <c r="H71" s="100">
        <v>27.72</v>
      </c>
      <c r="I71" s="100">
        <v>11.55</v>
      </c>
      <c r="J71" s="100">
        <v>4.37</v>
      </c>
      <c r="K71" s="100">
        <v>182.01</v>
      </c>
      <c r="L71" s="100">
        <v>32.229999999999997</v>
      </c>
      <c r="M71" s="100">
        <v>48.54</v>
      </c>
      <c r="N71" s="100">
        <v>218.2</v>
      </c>
      <c r="O71" s="100">
        <v>0</v>
      </c>
      <c r="P71" s="100">
        <v>0.56000000000000005</v>
      </c>
      <c r="Q71" s="100">
        <v>29.06</v>
      </c>
      <c r="R71" s="6"/>
      <c r="S71" s="6"/>
      <c r="T71" s="156"/>
      <c r="U71" s="6"/>
    </row>
    <row r="72" spans="1:21" customFormat="1">
      <c r="A72" s="163" t="s">
        <v>2415</v>
      </c>
      <c r="B72" s="100">
        <v>1.86</v>
      </c>
      <c r="C72" s="100">
        <v>11.04</v>
      </c>
      <c r="D72" s="100">
        <v>6.26</v>
      </c>
      <c r="E72" s="100">
        <v>8.82</v>
      </c>
      <c r="F72" s="100">
        <v>35.299999999999997</v>
      </c>
      <c r="G72" s="100">
        <v>71.56</v>
      </c>
      <c r="H72" s="100">
        <v>28.2</v>
      </c>
      <c r="I72" s="100">
        <v>11.07</v>
      </c>
      <c r="J72" s="100">
        <v>3.53</v>
      </c>
      <c r="K72" s="100">
        <v>231.26</v>
      </c>
      <c r="L72" s="100">
        <v>32.21</v>
      </c>
      <c r="M72" s="100">
        <v>47.43</v>
      </c>
      <c r="N72" s="100">
        <v>194.4</v>
      </c>
      <c r="O72" s="100">
        <v>0</v>
      </c>
      <c r="P72" s="100">
        <v>0.54</v>
      </c>
      <c r="Q72" s="100">
        <v>29.2</v>
      </c>
      <c r="R72" s="6"/>
      <c r="S72" s="6"/>
      <c r="T72" s="156"/>
      <c r="U72" s="6"/>
    </row>
    <row r="73" spans="1:21" customFormat="1">
      <c r="A73" s="163" t="s">
        <v>2416</v>
      </c>
      <c r="B73" s="100">
        <v>2.17</v>
      </c>
      <c r="C73" s="100">
        <v>10.87</v>
      </c>
      <c r="D73" s="100">
        <v>6.43</v>
      </c>
      <c r="E73" s="100">
        <v>8.74</v>
      </c>
      <c r="F73" s="100">
        <v>28.69</v>
      </c>
      <c r="G73" s="100">
        <v>69.260000000000005</v>
      </c>
      <c r="H73" s="100">
        <v>29.98</v>
      </c>
      <c r="I73" s="100">
        <v>10.58</v>
      </c>
      <c r="J73" s="100">
        <v>1.94</v>
      </c>
      <c r="K73" s="100">
        <v>224.61</v>
      </c>
      <c r="L73" s="100">
        <v>32</v>
      </c>
      <c r="M73" s="100">
        <v>48.39</v>
      </c>
      <c r="N73" s="100">
        <v>161.69999999999999</v>
      </c>
      <c r="O73" s="100">
        <v>0</v>
      </c>
      <c r="P73" s="100">
        <v>0.54</v>
      </c>
      <c r="Q73" s="100">
        <v>29.29</v>
      </c>
      <c r="R73" s="6"/>
      <c r="S73" s="6"/>
      <c r="T73" s="156"/>
      <c r="U73" s="6"/>
    </row>
    <row r="74" spans="1:21" customFormat="1">
      <c r="A74" s="163" t="s">
        <v>2417</v>
      </c>
      <c r="B74" s="100">
        <v>2.25</v>
      </c>
      <c r="C74" s="100">
        <v>11.47</v>
      </c>
      <c r="D74" s="100">
        <v>6.8</v>
      </c>
      <c r="E74" s="100">
        <v>8.58</v>
      </c>
      <c r="F74" s="100">
        <v>32.39</v>
      </c>
      <c r="G74" s="100">
        <v>69.260000000000005</v>
      </c>
      <c r="H74" s="100">
        <v>29.98</v>
      </c>
      <c r="I74" s="100">
        <v>10.3</v>
      </c>
      <c r="J74" s="100">
        <v>4.54</v>
      </c>
      <c r="K74" s="100">
        <v>170.62</v>
      </c>
      <c r="L74" s="100">
        <v>32.090000000000003</v>
      </c>
      <c r="M74" s="100">
        <v>49.83</v>
      </c>
      <c r="N74" s="100">
        <v>112.3</v>
      </c>
      <c r="O74" s="100">
        <v>0</v>
      </c>
      <c r="P74" s="100">
        <v>0.53</v>
      </c>
      <c r="Q74" s="100">
        <v>29.32</v>
      </c>
      <c r="R74" s="6"/>
      <c r="S74" s="6"/>
      <c r="T74" s="156"/>
      <c r="U74" s="6"/>
    </row>
    <row r="75" spans="1:21" customFormat="1">
      <c r="A75" s="163" t="s">
        <v>2418</v>
      </c>
      <c r="B75" s="100">
        <v>2.02</v>
      </c>
      <c r="C75" s="100">
        <v>11.32</v>
      </c>
      <c r="D75" s="100">
        <v>6.54</v>
      </c>
      <c r="E75" s="100">
        <v>7.51</v>
      </c>
      <c r="F75" s="100">
        <v>23.21</v>
      </c>
      <c r="G75" s="100">
        <v>69.260000000000005</v>
      </c>
      <c r="H75" s="100">
        <v>29.98</v>
      </c>
      <c r="I75" s="100">
        <v>10.23</v>
      </c>
      <c r="J75" s="100">
        <v>4.62</v>
      </c>
      <c r="K75" s="100">
        <v>209.34</v>
      </c>
      <c r="L75" s="100">
        <v>31.73</v>
      </c>
      <c r="M75" s="100">
        <v>48.1</v>
      </c>
      <c r="N75" s="100">
        <v>102.9</v>
      </c>
      <c r="O75" s="100">
        <v>0</v>
      </c>
      <c r="P75" s="100">
        <v>0.52</v>
      </c>
      <c r="Q75" s="100">
        <v>29.31</v>
      </c>
      <c r="R75" s="6"/>
      <c r="S75" s="6"/>
      <c r="T75" s="156"/>
      <c r="U75" s="6"/>
    </row>
    <row r="76" spans="1:21" customFormat="1">
      <c r="A76" s="163" t="s">
        <v>2419</v>
      </c>
      <c r="B76" s="100">
        <v>2.04</v>
      </c>
      <c r="C76" s="100">
        <v>10.81</v>
      </c>
      <c r="D76" s="100">
        <v>6.29</v>
      </c>
      <c r="E76" s="100">
        <v>7.46</v>
      </c>
      <c r="F76" s="100">
        <v>38.85</v>
      </c>
      <c r="G76" s="100">
        <v>68.930000000000007</v>
      </c>
      <c r="H76" s="100">
        <v>30.16</v>
      </c>
      <c r="I76" s="100">
        <v>10.29</v>
      </c>
      <c r="J76" s="100">
        <v>2.44</v>
      </c>
      <c r="K76" s="100">
        <v>195.11</v>
      </c>
      <c r="L76" s="100">
        <v>31.82</v>
      </c>
      <c r="M76" s="100">
        <v>48.96</v>
      </c>
      <c r="N76" s="100">
        <v>123.3</v>
      </c>
      <c r="O76" s="100">
        <v>0</v>
      </c>
      <c r="P76" s="100">
        <v>0.48</v>
      </c>
      <c r="Q76" s="100">
        <v>29.32</v>
      </c>
      <c r="R76" s="6"/>
      <c r="S76" s="6"/>
      <c r="T76" s="156"/>
      <c r="U76" s="6"/>
    </row>
    <row r="77" spans="1:21" customFormat="1">
      <c r="A77" s="163" t="s">
        <v>2420</v>
      </c>
      <c r="B77" s="100">
        <v>1.61</v>
      </c>
      <c r="C77" s="100">
        <v>10.53</v>
      </c>
      <c r="D77" s="100">
        <v>5.8</v>
      </c>
      <c r="E77" s="100">
        <v>5.96</v>
      </c>
      <c r="F77" s="100">
        <v>56.33</v>
      </c>
      <c r="G77" s="100">
        <v>67.67</v>
      </c>
      <c r="H77" s="100">
        <v>30.85</v>
      </c>
      <c r="I77" s="100">
        <v>10</v>
      </c>
      <c r="J77" s="100">
        <v>3.54</v>
      </c>
      <c r="K77" s="100">
        <v>123.68</v>
      </c>
      <c r="L77" s="100">
        <v>31.5</v>
      </c>
      <c r="M77" s="100">
        <v>50.68</v>
      </c>
      <c r="N77" s="100">
        <v>83.7</v>
      </c>
      <c r="O77" s="100">
        <v>0</v>
      </c>
      <c r="P77" s="100">
        <v>0.4</v>
      </c>
      <c r="Q77" s="100">
        <v>29.25</v>
      </c>
      <c r="R77" s="6"/>
      <c r="S77" s="6"/>
      <c r="T77" s="156"/>
      <c r="U77" s="6"/>
    </row>
    <row r="78" spans="1:21" customFormat="1">
      <c r="A78" s="163" t="s">
        <v>2421</v>
      </c>
      <c r="B78" s="100">
        <v>1.26</v>
      </c>
      <c r="C78" s="100">
        <v>9.11</v>
      </c>
      <c r="D78" s="100">
        <v>4.7699999999999996</v>
      </c>
      <c r="E78" s="100">
        <v>7.76</v>
      </c>
      <c r="F78" s="100">
        <v>56.45</v>
      </c>
      <c r="G78" s="100">
        <v>67.67</v>
      </c>
      <c r="H78" s="100">
        <v>30.85</v>
      </c>
      <c r="I78" s="100">
        <v>8.76</v>
      </c>
      <c r="J78" s="100">
        <v>3.34</v>
      </c>
      <c r="K78" s="100">
        <v>145.24</v>
      </c>
      <c r="L78" s="100">
        <v>30.84</v>
      </c>
      <c r="M78" s="100">
        <v>51.85</v>
      </c>
      <c r="N78" s="100">
        <v>50.7</v>
      </c>
      <c r="O78" s="100">
        <v>0</v>
      </c>
      <c r="P78" s="100">
        <v>0.38</v>
      </c>
      <c r="Q78" s="100">
        <v>29.23</v>
      </c>
      <c r="R78" s="6"/>
      <c r="S78" s="6"/>
      <c r="T78" s="156"/>
      <c r="U78" s="6"/>
    </row>
    <row r="79" spans="1:21" customFormat="1">
      <c r="A79" s="163" t="s">
        <v>2422</v>
      </c>
      <c r="B79" s="100">
        <v>1.25</v>
      </c>
      <c r="C79" s="100">
        <v>9.6199999999999992</v>
      </c>
      <c r="D79" s="100">
        <v>5.04</v>
      </c>
      <c r="E79" s="100">
        <v>7.7</v>
      </c>
      <c r="F79" s="100">
        <v>50.09</v>
      </c>
      <c r="G79" s="100">
        <v>67.67</v>
      </c>
      <c r="H79" s="100">
        <v>30.85</v>
      </c>
      <c r="I79" s="100">
        <v>6.92</v>
      </c>
      <c r="J79" s="100">
        <v>2.9</v>
      </c>
      <c r="K79" s="100">
        <v>188.62</v>
      </c>
      <c r="L79" s="100">
        <v>30.48</v>
      </c>
      <c r="M79" s="100">
        <v>53.73</v>
      </c>
      <c r="N79" s="100">
        <v>50.1</v>
      </c>
      <c r="O79" s="100">
        <v>0</v>
      </c>
      <c r="P79" s="100">
        <v>0.38</v>
      </c>
      <c r="Q79" s="100">
        <v>29.2</v>
      </c>
      <c r="R79" s="6"/>
      <c r="S79" s="6"/>
      <c r="T79" s="156"/>
      <c r="U79" s="6"/>
    </row>
    <row r="80" spans="1:21" customFormat="1">
      <c r="A80" s="163" t="s">
        <v>2423</v>
      </c>
      <c r="B80" s="100">
        <v>1.25</v>
      </c>
      <c r="C80" s="100">
        <v>10.02</v>
      </c>
      <c r="D80" s="100">
        <v>5.25</v>
      </c>
      <c r="E80" s="100">
        <v>7.55</v>
      </c>
      <c r="F80" s="100">
        <v>37.729999999999997</v>
      </c>
      <c r="G80" s="100">
        <v>62.47</v>
      </c>
      <c r="H80" s="100">
        <v>28.99</v>
      </c>
      <c r="I80" s="100">
        <v>5.89</v>
      </c>
      <c r="J80" s="100">
        <v>4.2300000000000004</v>
      </c>
      <c r="K80" s="100">
        <v>208.8</v>
      </c>
      <c r="L80" s="100">
        <v>30.07</v>
      </c>
      <c r="M80" s="100">
        <v>55.39</v>
      </c>
      <c r="N80" s="100">
        <v>39.1</v>
      </c>
      <c r="O80" s="100">
        <v>0</v>
      </c>
      <c r="P80" s="100">
        <v>0.36</v>
      </c>
      <c r="Q80" s="100">
        <v>29.17</v>
      </c>
      <c r="R80" s="6"/>
      <c r="S80" s="6"/>
      <c r="T80" s="156"/>
      <c r="U80" s="6"/>
    </row>
    <row r="81" spans="1:21" customFormat="1">
      <c r="A81" s="163" t="s">
        <v>2424</v>
      </c>
      <c r="B81" s="100">
        <v>1.24</v>
      </c>
      <c r="C81" s="100">
        <v>9.69</v>
      </c>
      <c r="D81" s="100">
        <v>5.0599999999999996</v>
      </c>
      <c r="E81" s="100">
        <v>6.77</v>
      </c>
      <c r="F81" s="100">
        <v>17.75</v>
      </c>
      <c r="G81" s="100">
        <v>43.05</v>
      </c>
      <c r="H81" s="100">
        <v>22.02</v>
      </c>
      <c r="I81" s="100">
        <v>6.19</v>
      </c>
      <c r="J81" s="100">
        <v>5.0199999999999996</v>
      </c>
      <c r="K81" s="100">
        <v>214.55</v>
      </c>
      <c r="L81" s="100">
        <v>29.18</v>
      </c>
      <c r="M81" s="100">
        <v>60.18</v>
      </c>
      <c r="N81" s="100">
        <v>34.5</v>
      </c>
      <c r="O81" s="100">
        <v>0</v>
      </c>
      <c r="P81" s="100">
        <v>0.37</v>
      </c>
      <c r="Q81" s="100">
        <v>29.26</v>
      </c>
      <c r="R81" s="6"/>
      <c r="S81" s="6"/>
      <c r="T81" s="156"/>
      <c r="U81" s="6"/>
    </row>
    <row r="82" spans="1:21" customFormat="1">
      <c r="A82" s="163" t="s">
        <v>2425</v>
      </c>
      <c r="B82" s="100">
        <v>1.24</v>
      </c>
      <c r="C82" s="100">
        <v>9.77</v>
      </c>
      <c r="D82" s="100">
        <v>5.1100000000000003</v>
      </c>
      <c r="E82" s="100">
        <v>6.52</v>
      </c>
      <c r="F82" s="100">
        <v>11.14</v>
      </c>
      <c r="G82" s="100">
        <v>43.05</v>
      </c>
      <c r="H82" s="100">
        <v>22.02</v>
      </c>
      <c r="I82" s="100">
        <v>5.79</v>
      </c>
      <c r="J82" s="100">
        <v>4.88</v>
      </c>
      <c r="K82" s="100">
        <v>212.06</v>
      </c>
      <c r="L82" s="100">
        <v>28.54</v>
      </c>
      <c r="M82" s="100">
        <v>64.510000000000005</v>
      </c>
      <c r="N82" s="100">
        <v>28.4</v>
      </c>
      <c r="O82" s="100">
        <v>0</v>
      </c>
      <c r="P82" s="100">
        <v>0.36</v>
      </c>
      <c r="Q82" s="100">
        <v>29.3</v>
      </c>
      <c r="R82" s="6"/>
      <c r="S82" s="6"/>
      <c r="T82" s="156"/>
      <c r="U82" s="6"/>
    </row>
    <row r="83" spans="1:21" customFormat="1">
      <c r="A83" s="163" t="s">
        <v>2426</v>
      </c>
      <c r="B83" s="100">
        <v>1.29</v>
      </c>
      <c r="C83" s="100">
        <v>12.33</v>
      </c>
      <c r="D83" s="100">
        <v>6.48</v>
      </c>
      <c r="E83" s="100">
        <v>6.55</v>
      </c>
      <c r="F83" s="100">
        <v>6.85</v>
      </c>
      <c r="G83" s="100">
        <v>43.05</v>
      </c>
      <c r="H83" s="100">
        <v>22.02</v>
      </c>
      <c r="I83" s="100">
        <v>6.06</v>
      </c>
      <c r="J83" s="100">
        <v>5.14</v>
      </c>
      <c r="K83" s="100">
        <v>213.4</v>
      </c>
      <c r="L83" s="100">
        <v>28.04</v>
      </c>
      <c r="M83" s="100">
        <v>69.41</v>
      </c>
      <c r="N83" s="100">
        <v>24.7</v>
      </c>
      <c r="O83" s="100">
        <v>0</v>
      </c>
      <c r="P83" s="100">
        <v>0.36</v>
      </c>
      <c r="Q83" s="100">
        <v>29.22</v>
      </c>
      <c r="R83" s="6"/>
      <c r="S83" s="6"/>
      <c r="T83" s="156"/>
      <c r="U83" s="6"/>
    </row>
    <row r="84" spans="1:21" customFormat="1">
      <c r="A84" s="163" t="s">
        <v>2427</v>
      </c>
      <c r="B84" s="100">
        <v>1.51</v>
      </c>
      <c r="C84" s="100">
        <v>11.6</v>
      </c>
      <c r="D84" s="100">
        <v>6.28</v>
      </c>
      <c r="E84" s="100">
        <v>6.51</v>
      </c>
      <c r="F84" s="100">
        <v>5.81</v>
      </c>
      <c r="G84" s="100">
        <v>41.26</v>
      </c>
      <c r="H84" s="100">
        <v>20.74</v>
      </c>
      <c r="I84" s="100">
        <v>6.21</v>
      </c>
      <c r="J84" s="100">
        <v>4.75</v>
      </c>
      <c r="K84" s="100">
        <v>200.38</v>
      </c>
      <c r="L84" s="100">
        <v>27.79</v>
      </c>
      <c r="M84" s="100">
        <v>69.47</v>
      </c>
      <c r="N84" s="100">
        <v>23.6</v>
      </c>
      <c r="O84" s="100">
        <v>0</v>
      </c>
      <c r="P84" s="100">
        <v>0.36</v>
      </c>
      <c r="Q84" s="100">
        <v>29.27</v>
      </c>
      <c r="R84" s="6"/>
      <c r="S84" s="6"/>
      <c r="T84" s="156"/>
      <c r="U84" s="6"/>
    </row>
    <row r="85" spans="1:21" customFormat="1">
      <c r="A85" s="163" t="s">
        <v>2428</v>
      </c>
      <c r="B85" s="100">
        <v>1.9</v>
      </c>
      <c r="C85" s="100">
        <v>9.39</v>
      </c>
      <c r="D85" s="100">
        <v>5.43</v>
      </c>
      <c r="E85" s="100">
        <v>6.53</v>
      </c>
      <c r="F85" s="100">
        <v>5.3</v>
      </c>
      <c r="G85" s="100">
        <v>34.590000000000003</v>
      </c>
      <c r="H85" s="100">
        <v>15.95</v>
      </c>
      <c r="I85" s="100">
        <v>6.42</v>
      </c>
      <c r="J85" s="100">
        <v>4.78</v>
      </c>
      <c r="K85" s="100">
        <v>204.78</v>
      </c>
      <c r="L85" s="100">
        <v>27.64</v>
      </c>
      <c r="M85" s="100">
        <v>68.099999999999994</v>
      </c>
      <c r="N85" s="100">
        <v>23.5</v>
      </c>
      <c r="O85" s="100">
        <v>0</v>
      </c>
      <c r="P85" s="100">
        <v>0.34</v>
      </c>
      <c r="Q85" s="100">
        <v>29.45</v>
      </c>
      <c r="R85" s="6"/>
      <c r="S85" s="6"/>
      <c r="T85" s="156"/>
      <c r="U85" s="6"/>
    </row>
    <row r="86" spans="1:21" customFormat="1">
      <c r="A86" s="163" t="s">
        <v>2429</v>
      </c>
      <c r="B86" s="100">
        <v>2.1800000000000002</v>
      </c>
      <c r="C86" s="100">
        <v>9.7100000000000009</v>
      </c>
      <c r="D86" s="100">
        <v>5.83</v>
      </c>
      <c r="E86" s="100">
        <v>5.8</v>
      </c>
      <c r="F86" s="100">
        <v>3.9</v>
      </c>
      <c r="G86" s="100">
        <v>34.590000000000003</v>
      </c>
      <c r="H86" s="100">
        <v>15.95</v>
      </c>
      <c r="I86" s="100">
        <v>5.97</v>
      </c>
      <c r="J86" s="100">
        <v>4.92</v>
      </c>
      <c r="K86" s="100">
        <v>200.4</v>
      </c>
      <c r="L86" s="100">
        <v>27.35</v>
      </c>
      <c r="M86" s="100">
        <v>69.64</v>
      </c>
      <c r="N86" s="100">
        <v>23.6</v>
      </c>
      <c r="O86" s="100">
        <v>0</v>
      </c>
      <c r="P86" s="100">
        <v>0.36</v>
      </c>
      <c r="Q86" s="100">
        <v>29.41</v>
      </c>
      <c r="R86" s="6"/>
      <c r="S86" s="6"/>
      <c r="T86" s="156"/>
      <c r="U86" s="6"/>
    </row>
    <row r="87" spans="1:21" customFormat="1">
      <c r="A87" s="163" t="s">
        <v>2430</v>
      </c>
      <c r="B87" s="100">
        <v>2.56</v>
      </c>
      <c r="C87" s="100">
        <v>8.1999999999999993</v>
      </c>
      <c r="D87" s="100">
        <v>5.34</v>
      </c>
      <c r="E87" s="100">
        <v>5.8</v>
      </c>
      <c r="F87" s="100">
        <v>4.95</v>
      </c>
      <c r="G87" s="100">
        <v>34.590000000000003</v>
      </c>
      <c r="H87" s="100">
        <v>15.95</v>
      </c>
      <c r="I87" s="100">
        <v>4.47</v>
      </c>
      <c r="J87" s="100">
        <v>5.09</v>
      </c>
      <c r="K87" s="100">
        <v>211.86</v>
      </c>
      <c r="L87" s="100">
        <v>27.12</v>
      </c>
      <c r="M87" s="100">
        <v>71.19</v>
      </c>
      <c r="N87" s="100">
        <v>23.5</v>
      </c>
      <c r="O87" s="100">
        <v>0</v>
      </c>
      <c r="P87" s="100">
        <v>0.36</v>
      </c>
      <c r="Q87" s="100">
        <v>29.5</v>
      </c>
      <c r="R87" s="6"/>
      <c r="S87" s="6"/>
      <c r="T87" s="156"/>
      <c r="U87" s="6"/>
    </row>
    <row r="88" spans="1:21" customFormat="1">
      <c r="A88" s="163" t="s">
        <v>2431</v>
      </c>
      <c r="B88" s="100">
        <v>2.85</v>
      </c>
      <c r="C88" s="100">
        <v>7.43</v>
      </c>
      <c r="D88" s="100">
        <v>5.18</v>
      </c>
      <c r="E88" s="100">
        <v>6.08</v>
      </c>
      <c r="F88" s="100">
        <v>5.99</v>
      </c>
      <c r="G88" s="100">
        <v>33.18</v>
      </c>
      <c r="H88" s="100">
        <v>15.78</v>
      </c>
      <c r="I88" s="100">
        <v>4.49</v>
      </c>
      <c r="J88" s="100">
        <v>4.74</v>
      </c>
      <c r="K88" s="100">
        <v>202.27</v>
      </c>
      <c r="L88" s="100">
        <v>26.8</v>
      </c>
      <c r="M88" s="100">
        <v>71.959999999999994</v>
      </c>
      <c r="N88" s="100">
        <v>23.7</v>
      </c>
      <c r="O88" s="100">
        <v>0</v>
      </c>
      <c r="P88" s="100">
        <v>0.37</v>
      </c>
      <c r="Q88" s="100">
        <v>29.54</v>
      </c>
      <c r="R88" s="6"/>
      <c r="S88" s="6"/>
      <c r="T88" s="156"/>
      <c r="U88" s="6"/>
    </row>
    <row r="89" spans="1:21" customFormat="1">
      <c r="A89" s="163" t="s">
        <v>2432</v>
      </c>
      <c r="B89" s="100">
        <v>3.17</v>
      </c>
      <c r="C89" s="100">
        <v>7.59</v>
      </c>
      <c r="D89" s="100">
        <v>5.52</v>
      </c>
      <c r="E89" s="100">
        <v>5.97</v>
      </c>
      <c r="F89" s="100">
        <v>6.05</v>
      </c>
      <c r="G89" s="100">
        <v>27.95</v>
      </c>
      <c r="H89" s="100">
        <v>15.18</v>
      </c>
      <c r="I89" s="100">
        <v>4.54</v>
      </c>
      <c r="J89" s="100">
        <v>4.66</v>
      </c>
      <c r="K89" s="100">
        <v>203.52</v>
      </c>
      <c r="L89" s="100">
        <v>26.58</v>
      </c>
      <c r="M89" s="100">
        <v>72.97</v>
      </c>
      <c r="N89" s="100">
        <v>23.6</v>
      </c>
      <c r="O89" s="100">
        <v>0</v>
      </c>
      <c r="P89" s="100">
        <v>0.37</v>
      </c>
      <c r="Q89" s="100">
        <v>29.52</v>
      </c>
      <c r="R89" s="6"/>
      <c r="S89" s="6"/>
      <c r="T89" s="156"/>
      <c r="U89" s="6"/>
    </row>
    <row r="90" spans="1:21" customFormat="1">
      <c r="A90" s="163" t="s">
        <v>2433</v>
      </c>
      <c r="B90" s="100">
        <v>3.22</v>
      </c>
      <c r="C90" s="100">
        <v>7.73</v>
      </c>
      <c r="D90" s="100">
        <v>5.63</v>
      </c>
      <c r="E90" s="100">
        <v>5.83</v>
      </c>
      <c r="F90" s="100">
        <v>5.96</v>
      </c>
      <c r="G90" s="100">
        <v>27.95</v>
      </c>
      <c r="H90" s="100">
        <v>15.18</v>
      </c>
      <c r="I90" s="100">
        <v>5.42</v>
      </c>
      <c r="J90" s="100">
        <v>4.22</v>
      </c>
      <c r="K90" s="100">
        <v>214.89</v>
      </c>
      <c r="L90" s="100">
        <v>26.46</v>
      </c>
      <c r="M90" s="100">
        <v>73.400000000000006</v>
      </c>
      <c r="N90" s="100">
        <v>23.4</v>
      </c>
      <c r="O90" s="100">
        <v>0</v>
      </c>
      <c r="P90" s="100">
        <v>0.37</v>
      </c>
      <c r="Q90" s="100">
        <v>29.32</v>
      </c>
      <c r="R90" s="6"/>
      <c r="S90" s="6"/>
      <c r="T90" s="156"/>
      <c r="U90" s="6"/>
    </row>
    <row r="91" spans="1:21" customFormat="1">
      <c r="A91" s="163" t="s">
        <v>2434</v>
      </c>
      <c r="B91" s="100">
        <v>3.26</v>
      </c>
      <c r="C91" s="100">
        <v>7.92</v>
      </c>
      <c r="D91" s="100">
        <v>5.75</v>
      </c>
      <c r="E91" s="100">
        <v>6.05</v>
      </c>
      <c r="F91" s="100">
        <v>6.97</v>
      </c>
      <c r="G91" s="100">
        <v>27.95</v>
      </c>
      <c r="H91" s="100">
        <v>15.18</v>
      </c>
      <c r="I91" s="100">
        <v>7.44</v>
      </c>
      <c r="J91" s="100">
        <v>4.74</v>
      </c>
      <c r="K91" s="100">
        <v>203.05</v>
      </c>
      <c r="L91" s="100">
        <v>26.35</v>
      </c>
      <c r="M91" s="100">
        <v>73.81</v>
      </c>
      <c r="N91" s="100">
        <v>23.5</v>
      </c>
      <c r="O91" s="100">
        <v>0</v>
      </c>
      <c r="P91" s="100">
        <v>0.38</v>
      </c>
      <c r="Q91" s="100">
        <v>29.31</v>
      </c>
      <c r="R91" s="6"/>
      <c r="S91" s="6"/>
      <c r="T91" s="156"/>
      <c r="U91" s="6"/>
    </row>
    <row r="92" spans="1:21" customFormat="1">
      <c r="A92" s="163" t="s">
        <v>2435</v>
      </c>
      <c r="B92" s="100">
        <v>3.37</v>
      </c>
      <c r="C92" s="100">
        <v>8.2200000000000006</v>
      </c>
      <c r="D92" s="100">
        <v>6</v>
      </c>
      <c r="E92" s="100">
        <v>5.77</v>
      </c>
      <c r="F92" s="100">
        <v>7.84</v>
      </c>
      <c r="G92" s="100">
        <v>27.29</v>
      </c>
      <c r="H92" s="100">
        <v>14.74</v>
      </c>
      <c r="I92" s="100">
        <v>7.37</v>
      </c>
      <c r="J92" s="100">
        <v>4.57</v>
      </c>
      <c r="K92" s="100">
        <v>205.69</v>
      </c>
      <c r="L92" s="100">
        <v>26.18</v>
      </c>
      <c r="M92" s="100">
        <v>73.819999999999993</v>
      </c>
      <c r="N92" s="100">
        <v>23.5</v>
      </c>
      <c r="O92" s="100">
        <v>0</v>
      </c>
      <c r="P92" s="100">
        <v>0.37</v>
      </c>
      <c r="Q92" s="100">
        <v>29.29</v>
      </c>
      <c r="R92" s="6"/>
      <c r="S92" s="6"/>
      <c r="T92" s="156"/>
      <c r="U92" s="6"/>
    </row>
    <row r="93" spans="1:21" customFormat="1">
      <c r="A93" s="163" t="s">
        <v>2436</v>
      </c>
      <c r="B93" s="100">
        <v>3.49</v>
      </c>
      <c r="C93" s="100">
        <v>8.5299999999999994</v>
      </c>
      <c r="D93" s="100">
        <v>6.26</v>
      </c>
      <c r="E93" s="100">
        <v>5.79</v>
      </c>
      <c r="F93" s="100">
        <v>6.18</v>
      </c>
      <c r="G93" s="100">
        <v>24.84</v>
      </c>
      <c r="H93" s="100">
        <v>13.09</v>
      </c>
      <c r="I93" s="100">
        <v>7.38</v>
      </c>
      <c r="J93" s="100">
        <v>4.3899999999999997</v>
      </c>
      <c r="K93" s="100">
        <v>199.16</v>
      </c>
      <c r="L93" s="100">
        <v>26.09</v>
      </c>
      <c r="M93" s="100">
        <v>74.17</v>
      </c>
      <c r="N93" s="100">
        <v>23.5</v>
      </c>
      <c r="O93" s="100">
        <v>0</v>
      </c>
      <c r="P93" s="100">
        <v>0.38</v>
      </c>
      <c r="Q93" s="100">
        <v>29.24</v>
      </c>
      <c r="R93" s="6"/>
      <c r="S93" s="6"/>
      <c r="T93" s="156"/>
      <c r="U93" s="6"/>
    </row>
    <row r="94" spans="1:21" customFormat="1">
      <c r="A94" s="163" t="s">
        <v>2437</v>
      </c>
      <c r="B94" s="100">
        <v>3.55</v>
      </c>
      <c r="C94" s="100">
        <v>8.69</v>
      </c>
      <c r="D94" s="100">
        <v>6.39</v>
      </c>
      <c r="E94" s="100">
        <v>5.91</v>
      </c>
      <c r="F94" s="100">
        <v>6.64</v>
      </c>
      <c r="G94" s="100">
        <v>24.84</v>
      </c>
      <c r="H94" s="100">
        <v>13.09</v>
      </c>
      <c r="I94" s="100">
        <v>7.37</v>
      </c>
      <c r="J94" s="100">
        <v>4.6900000000000004</v>
      </c>
      <c r="K94" s="100">
        <v>219.97</v>
      </c>
      <c r="L94" s="100">
        <v>26.06</v>
      </c>
      <c r="M94" s="100">
        <v>74.569999999999993</v>
      </c>
      <c r="N94" s="100">
        <v>23.3</v>
      </c>
      <c r="O94" s="100">
        <v>0</v>
      </c>
      <c r="P94" s="100">
        <v>0.37</v>
      </c>
      <c r="Q94" s="100">
        <v>29.22</v>
      </c>
      <c r="R94" s="6"/>
      <c r="S94" s="6"/>
      <c r="T94" s="156"/>
      <c r="U94" s="6"/>
    </row>
    <row r="95" spans="1:21" customFormat="1">
      <c r="A95" s="163" t="s">
        <v>2438</v>
      </c>
      <c r="B95" s="100">
        <v>3.75</v>
      </c>
      <c r="C95" s="100">
        <v>8.9700000000000006</v>
      </c>
      <c r="D95" s="100">
        <v>6.7</v>
      </c>
      <c r="E95" s="100">
        <v>5.69</v>
      </c>
      <c r="F95" s="100">
        <v>4.84</v>
      </c>
      <c r="G95" s="100">
        <v>24.84</v>
      </c>
      <c r="H95" s="100">
        <v>13.09</v>
      </c>
      <c r="I95" s="100">
        <v>7.41</v>
      </c>
      <c r="J95" s="100">
        <v>5.13</v>
      </c>
      <c r="K95" s="100">
        <v>223.17</v>
      </c>
      <c r="L95" s="100">
        <v>26.06</v>
      </c>
      <c r="M95" s="100">
        <v>74.709999999999994</v>
      </c>
      <c r="N95" s="100">
        <v>23.3</v>
      </c>
      <c r="O95" s="100">
        <v>0</v>
      </c>
      <c r="P95" s="100">
        <v>0.38</v>
      </c>
      <c r="Q95" s="100">
        <v>29.18</v>
      </c>
      <c r="R95" s="6"/>
      <c r="S95" s="6"/>
      <c r="T95" s="156"/>
      <c r="U95" s="6"/>
    </row>
    <row r="96" spans="1:21" customFormat="1">
      <c r="A96" s="163" t="s">
        <v>2439</v>
      </c>
      <c r="B96" s="100">
        <v>3.87</v>
      </c>
      <c r="C96" s="100">
        <v>10.33</v>
      </c>
      <c r="D96" s="100">
        <v>7.51</v>
      </c>
      <c r="E96" s="100">
        <v>5.89</v>
      </c>
      <c r="F96" s="100">
        <v>3.41</v>
      </c>
      <c r="G96" s="100">
        <v>23.82</v>
      </c>
      <c r="H96" s="100">
        <v>12.29</v>
      </c>
      <c r="I96" s="100">
        <v>7.42</v>
      </c>
      <c r="J96" s="100">
        <v>4.25</v>
      </c>
      <c r="K96" s="100">
        <v>192.39</v>
      </c>
      <c r="L96" s="100">
        <v>25.99</v>
      </c>
      <c r="M96" s="100">
        <v>75.72</v>
      </c>
      <c r="N96" s="100">
        <v>23.5</v>
      </c>
      <c r="O96" s="100">
        <v>0</v>
      </c>
      <c r="P96" s="100">
        <v>0.39</v>
      </c>
      <c r="Q96" s="100">
        <v>29.11</v>
      </c>
      <c r="R96" s="6"/>
      <c r="S96" s="6"/>
      <c r="T96" s="156"/>
      <c r="U96" s="6"/>
    </row>
    <row r="97" spans="1:28" customFormat="1">
      <c r="A97" s="163" t="s">
        <v>2440</v>
      </c>
      <c r="B97" s="100">
        <v>4.16</v>
      </c>
      <c r="C97" s="100">
        <v>10.119999999999999</v>
      </c>
      <c r="D97" s="100">
        <v>7.63</v>
      </c>
      <c r="E97" s="100">
        <v>5.54</v>
      </c>
      <c r="F97" s="100">
        <v>3.21</v>
      </c>
      <c r="G97" s="100">
        <v>20</v>
      </c>
      <c r="H97" s="100">
        <v>9.3000000000000007</v>
      </c>
      <c r="I97" s="100">
        <v>7.54</v>
      </c>
      <c r="J97" s="100">
        <v>2.68</v>
      </c>
      <c r="K97" s="100">
        <v>174.44</v>
      </c>
      <c r="L97" s="100">
        <v>26.04</v>
      </c>
      <c r="M97" s="100">
        <v>75.7</v>
      </c>
      <c r="N97" s="100">
        <v>23.2</v>
      </c>
      <c r="O97" s="100">
        <v>0</v>
      </c>
      <c r="P97" s="100">
        <v>0.38</v>
      </c>
      <c r="Q97" s="100">
        <v>29.14</v>
      </c>
      <c r="R97" s="6"/>
      <c r="S97" s="6"/>
      <c r="T97" s="156"/>
      <c r="U97" s="6"/>
    </row>
    <row r="98" spans="1:28" customFormat="1">
      <c r="A98" s="163" t="s">
        <v>2441</v>
      </c>
      <c r="B98" s="100">
        <v>4.3600000000000003</v>
      </c>
      <c r="C98" s="100">
        <v>8.76</v>
      </c>
      <c r="D98" s="100">
        <v>7.08</v>
      </c>
      <c r="E98" s="100">
        <v>5.69</v>
      </c>
      <c r="F98" s="100">
        <v>3.7</v>
      </c>
      <c r="G98" s="100">
        <v>20</v>
      </c>
      <c r="H98" s="100">
        <v>9.3000000000000007</v>
      </c>
      <c r="I98" s="100">
        <v>7.59</v>
      </c>
      <c r="J98" s="100">
        <v>3.98</v>
      </c>
      <c r="K98" s="100">
        <v>183.93</v>
      </c>
      <c r="L98" s="100">
        <v>26.33</v>
      </c>
      <c r="M98" s="100">
        <v>74.44</v>
      </c>
      <c r="N98" s="100">
        <v>23</v>
      </c>
      <c r="O98" s="100">
        <v>0</v>
      </c>
      <c r="P98" s="100">
        <v>0.36</v>
      </c>
      <c r="Q98" s="100">
        <v>29.19</v>
      </c>
      <c r="R98" s="6"/>
      <c r="S98" s="6"/>
      <c r="T98" s="156"/>
      <c r="U98" s="6"/>
    </row>
    <row r="99" spans="1:28" customFormat="1">
      <c r="A99" s="163" t="s">
        <v>2442</v>
      </c>
      <c r="B99" s="100">
        <v>4.51</v>
      </c>
      <c r="C99" s="100">
        <v>7.47</v>
      </c>
      <c r="D99" s="100">
        <v>6.52</v>
      </c>
      <c r="E99" s="100">
        <v>5.46</v>
      </c>
      <c r="F99" s="100">
        <v>4.17</v>
      </c>
      <c r="G99" s="100">
        <v>20</v>
      </c>
      <c r="H99" s="100">
        <v>9.3000000000000007</v>
      </c>
      <c r="I99" s="100">
        <v>7.52</v>
      </c>
      <c r="J99" s="100">
        <v>2.85</v>
      </c>
      <c r="K99" s="100">
        <v>191.29</v>
      </c>
      <c r="L99" s="100">
        <v>26.29</v>
      </c>
      <c r="M99" s="100">
        <v>73.89</v>
      </c>
      <c r="N99" s="100">
        <v>23.1</v>
      </c>
      <c r="O99" s="100">
        <v>0</v>
      </c>
      <c r="P99" s="100">
        <v>0.36</v>
      </c>
      <c r="Q99" s="100">
        <v>29.27</v>
      </c>
      <c r="R99" s="6"/>
      <c r="S99" s="6"/>
      <c r="T99" s="156"/>
      <c r="U99" s="6"/>
    </row>
    <row r="100" spans="1:28" customFormat="1">
      <c r="A100" s="163" t="s">
        <v>2443</v>
      </c>
      <c r="B100" s="100">
        <v>4.66</v>
      </c>
      <c r="C100" s="100">
        <v>6.86</v>
      </c>
      <c r="D100" s="100">
        <v>6.33</v>
      </c>
      <c r="E100" s="100">
        <v>5.28</v>
      </c>
      <c r="F100" s="100">
        <v>4.93</v>
      </c>
      <c r="G100" s="100">
        <v>19.89</v>
      </c>
      <c r="H100" s="100">
        <v>8.7899999999999991</v>
      </c>
      <c r="I100" s="100">
        <v>7.54</v>
      </c>
      <c r="J100" s="100">
        <v>3.85</v>
      </c>
      <c r="K100" s="100">
        <v>216.3</v>
      </c>
      <c r="L100" s="100">
        <v>26.24</v>
      </c>
      <c r="M100" s="100">
        <v>73.38</v>
      </c>
      <c r="N100" s="100">
        <v>23.4</v>
      </c>
      <c r="O100" s="100">
        <v>0</v>
      </c>
      <c r="P100" s="100">
        <v>0.37</v>
      </c>
      <c r="Q100" s="100">
        <v>29.31</v>
      </c>
      <c r="R100" s="6"/>
      <c r="S100" s="6"/>
      <c r="T100" s="156"/>
      <c r="U100" s="6"/>
      <c r="AB100" s="161"/>
    </row>
    <row r="101" spans="1:28" customFormat="1">
      <c r="A101" s="163" t="s">
        <v>2444</v>
      </c>
      <c r="B101" s="100">
        <v>4.83</v>
      </c>
      <c r="C101" s="100">
        <v>8.31</v>
      </c>
      <c r="D101" s="100">
        <v>7.22</v>
      </c>
      <c r="E101" s="100">
        <v>5.61</v>
      </c>
      <c r="F101" s="100">
        <v>4.41</v>
      </c>
      <c r="G101" s="100">
        <v>19.46</v>
      </c>
      <c r="H101" s="100">
        <v>6.88</v>
      </c>
      <c r="I101" s="100">
        <v>7.46</v>
      </c>
      <c r="J101" s="100">
        <v>2.21</v>
      </c>
      <c r="K101" s="100">
        <v>196.76</v>
      </c>
      <c r="L101" s="100">
        <v>26.13</v>
      </c>
      <c r="M101" s="100">
        <v>73.88</v>
      </c>
      <c r="N101" s="100">
        <v>23.4</v>
      </c>
      <c r="O101" s="100">
        <v>0</v>
      </c>
      <c r="P101" s="100">
        <v>0.38</v>
      </c>
      <c r="Q101" s="100">
        <v>29.25</v>
      </c>
      <c r="R101" s="6"/>
      <c r="S101" s="6"/>
      <c r="T101" s="156"/>
      <c r="U101" s="6"/>
    </row>
    <row r="102" spans="1:28" customFormat="1">
      <c r="A102" s="163" t="s">
        <v>2445</v>
      </c>
      <c r="B102" s="100">
        <v>4.87</v>
      </c>
      <c r="C102" s="100">
        <v>7.97</v>
      </c>
      <c r="D102" s="100">
        <v>7.08</v>
      </c>
      <c r="E102" s="100">
        <v>5.87</v>
      </c>
      <c r="F102" s="100">
        <v>6.54</v>
      </c>
      <c r="G102" s="100">
        <v>19.46</v>
      </c>
      <c r="H102" s="100">
        <v>6.88</v>
      </c>
      <c r="I102" s="100">
        <v>7.41</v>
      </c>
      <c r="J102" s="100">
        <v>3.17</v>
      </c>
      <c r="K102" s="100">
        <v>204.7</v>
      </c>
      <c r="L102" s="100">
        <v>26.12</v>
      </c>
      <c r="M102" s="100">
        <v>73.81</v>
      </c>
      <c r="N102" s="100">
        <v>23.3</v>
      </c>
      <c r="O102" s="100">
        <v>0</v>
      </c>
      <c r="P102" s="100">
        <v>0.37</v>
      </c>
      <c r="Q102" s="100">
        <v>29.19</v>
      </c>
      <c r="R102" s="6"/>
      <c r="S102" s="6"/>
      <c r="T102" s="156"/>
      <c r="U102" s="6"/>
    </row>
    <row r="103" spans="1:28" customFormat="1">
      <c r="A103" s="163" t="s">
        <v>2446</v>
      </c>
      <c r="B103" s="100">
        <v>4.96</v>
      </c>
      <c r="C103" s="100">
        <v>7.52</v>
      </c>
      <c r="D103" s="100">
        <v>6.91</v>
      </c>
      <c r="E103" s="100">
        <v>5.54</v>
      </c>
      <c r="F103" s="100">
        <v>5.89</v>
      </c>
      <c r="G103" s="100">
        <v>19.46</v>
      </c>
      <c r="H103" s="100">
        <v>6.88</v>
      </c>
      <c r="I103" s="100">
        <v>7.48</v>
      </c>
      <c r="J103" s="100">
        <v>4.78</v>
      </c>
      <c r="K103" s="100">
        <v>203.18</v>
      </c>
      <c r="L103" s="100">
        <v>25.98</v>
      </c>
      <c r="M103" s="100">
        <v>74.25</v>
      </c>
      <c r="N103" s="100">
        <v>23.6</v>
      </c>
      <c r="O103" s="100">
        <v>0</v>
      </c>
      <c r="P103" s="100">
        <v>0.36</v>
      </c>
      <c r="Q103" s="100">
        <v>29.17</v>
      </c>
      <c r="R103" s="6"/>
      <c r="S103" s="6"/>
      <c r="T103" s="156"/>
      <c r="U103" s="6"/>
    </row>
    <row r="104" spans="1:28" customFormat="1">
      <c r="A104" s="163" t="s">
        <v>2447</v>
      </c>
      <c r="B104" s="100">
        <v>4.97</v>
      </c>
      <c r="C104" s="100">
        <v>7.79</v>
      </c>
      <c r="D104" s="100">
        <v>7.06</v>
      </c>
      <c r="E104" s="100">
        <v>5.24</v>
      </c>
      <c r="F104" s="100">
        <v>6.25</v>
      </c>
      <c r="G104" s="100">
        <v>18.53</v>
      </c>
      <c r="H104" s="100">
        <v>6.53</v>
      </c>
      <c r="I104" s="100">
        <v>7.3</v>
      </c>
      <c r="J104" s="100">
        <v>4.7300000000000004</v>
      </c>
      <c r="K104" s="100">
        <v>208.58</v>
      </c>
      <c r="L104" s="100">
        <v>25.92</v>
      </c>
      <c r="M104" s="100">
        <v>74.239999999999995</v>
      </c>
      <c r="N104" s="100">
        <v>23.4</v>
      </c>
      <c r="O104" s="100">
        <v>0</v>
      </c>
      <c r="P104" s="100">
        <v>0.37</v>
      </c>
      <c r="Q104" s="100">
        <v>29.14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6.86</v>
      </c>
      <c r="D106" s="158">
        <f t="shared" ref="D106:Q106" si="0">MIN(D9:D104)</f>
        <v>4.7699999999999996</v>
      </c>
      <c r="E106" s="158">
        <f t="shared" si="0"/>
        <v>3.97</v>
      </c>
      <c r="F106" s="158">
        <f t="shared" si="0"/>
        <v>2.57</v>
      </c>
      <c r="G106" s="158">
        <f t="shared" si="0"/>
        <v>18.53</v>
      </c>
      <c r="H106" s="158">
        <f t="shared" si="0"/>
        <v>6.53</v>
      </c>
      <c r="I106" s="158">
        <f t="shared" si="0"/>
        <v>4.47</v>
      </c>
      <c r="J106" s="158">
        <f t="shared" si="0"/>
        <v>0.86</v>
      </c>
      <c r="K106" s="158">
        <f t="shared" si="0"/>
        <v>4.75</v>
      </c>
      <c r="L106" s="158">
        <f t="shared" si="0"/>
        <v>24.45</v>
      </c>
      <c r="M106" s="158">
        <f t="shared" si="0"/>
        <v>47.43</v>
      </c>
      <c r="N106" s="158">
        <f t="shared" si="0"/>
        <v>22.7</v>
      </c>
      <c r="O106" s="158">
        <f t="shared" si="0"/>
        <v>0</v>
      </c>
      <c r="P106" s="158">
        <f t="shared" si="0"/>
        <v>0.34</v>
      </c>
      <c r="Q106" s="158">
        <f t="shared" si="0"/>
        <v>27.72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8.9</v>
      </c>
      <c r="C107" s="157">
        <f t="shared" ref="C107:Q107" si="1">MAX(C9:C104)</f>
        <v>24.35</v>
      </c>
      <c r="D107" s="157">
        <f t="shared" si="1"/>
        <v>18.73</v>
      </c>
      <c r="E107" s="157">
        <f t="shared" si="1"/>
        <v>9.5299999999999994</v>
      </c>
      <c r="F107" s="157">
        <f t="shared" si="1"/>
        <v>56.45</v>
      </c>
      <c r="G107" s="157">
        <f t="shared" si="1"/>
        <v>72.180000000000007</v>
      </c>
      <c r="H107" s="157">
        <f t="shared" si="1"/>
        <v>30.85</v>
      </c>
      <c r="I107" s="157">
        <f t="shared" si="1"/>
        <v>14.74</v>
      </c>
      <c r="J107" s="157">
        <f t="shared" si="1"/>
        <v>8.16</v>
      </c>
      <c r="K107" s="157">
        <f t="shared" si="1"/>
        <v>338.73</v>
      </c>
      <c r="L107" s="157">
        <f t="shared" si="1"/>
        <v>32.9</v>
      </c>
      <c r="M107" s="157">
        <f t="shared" si="1"/>
        <v>84.62</v>
      </c>
      <c r="N107" s="157">
        <f t="shared" si="1"/>
        <v>698.4</v>
      </c>
      <c r="O107" s="157">
        <f t="shared" si="1"/>
        <v>0</v>
      </c>
      <c r="P107" s="157">
        <f t="shared" si="1"/>
        <v>0.83</v>
      </c>
      <c r="Q107" s="157">
        <f t="shared" si="1"/>
        <v>29.54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4.5535416666666686</v>
      </c>
      <c r="C108" s="158">
        <f t="shared" ref="C108:Q108" si="2">AVERAGE(C9:C104)</f>
        <v>13.133958333333332</v>
      </c>
      <c r="D108" s="158">
        <f t="shared" si="2"/>
        <v>9.5201041666666644</v>
      </c>
      <c r="E108" s="158">
        <f t="shared" si="2"/>
        <v>6.2189583333333305</v>
      </c>
      <c r="F108" s="158">
        <f t="shared" si="2"/>
        <v>11.322187500000005</v>
      </c>
      <c r="G108" s="158">
        <f t="shared" si="2"/>
        <v>36.792187500000018</v>
      </c>
      <c r="H108" s="158">
        <f t="shared" si="2"/>
        <v>16.701666666666672</v>
      </c>
      <c r="I108" s="158">
        <f t="shared" si="2"/>
        <v>9.2014583333333295</v>
      </c>
      <c r="J108" s="158">
        <f t="shared" si="2"/>
        <v>4.3260416666666677</v>
      </c>
      <c r="K108" s="158">
        <f t="shared" si="2"/>
        <v>195.84802083333332</v>
      </c>
      <c r="L108" s="158">
        <f t="shared" si="2"/>
        <v>27.618124999999981</v>
      </c>
      <c r="M108" s="158">
        <f t="shared" si="2"/>
        <v>68.579791666666694</v>
      </c>
      <c r="N108" s="158">
        <f t="shared" si="2"/>
        <v>151.63333333333335</v>
      </c>
      <c r="O108" s="158">
        <f t="shared" si="2"/>
        <v>0</v>
      </c>
      <c r="P108" s="158">
        <f t="shared" si="2"/>
        <v>0.48270833333333329</v>
      </c>
      <c r="Q108" s="158">
        <f t="shared" si="2"/>
        <v>28.932499999999994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2.1903299338908333</v>
      </c>
      <c r="C109" s="158">
        <f t="shared" ref="C109:Q109" si="3">STDEV(C9:C104)</f>
        <v>3.916666541620029</v>
      </c>
      <c r="D109" s="158">
        <f t="shared" si="3"/>
        <v>2.9641104087653098</v>
      </c>
      <c r="E109" s="158">
        <f t="shared" si="3"/>
        <v>1.2908744316337031</v>
      </c>
      <c r="F109" s="158">
        <f t="shared" si="3"/>
        <v>12.732891283115215</v>
      </c>
      <c r="G109" s="158">
        <f t="shared" si="3"/>
        <v>17.833179732593898</v>
      </c>
      <c r="H109" s="158">
        <f t="shared" si="3"/>
        <v>7.207623984973953</v>
      </c>
      <c r="I109" s="158">
        <f t="shared" si="3"/>
        <v>2.1823994420273962</v>
      </c>
      <c r="J109" s="158">
        <f t="shared" si="3"/>
        <v>1.2936358221504505</v>
      </c>
      <c r="K109" s="158">
        <f t="shared" si="3"/>
        <v>67.045494728654901</v>
      </c>
      <c r="L109" s="158">
        <f t="shared" si="3"/>
        <v>2.5713622490402774</v>
      </c>
      <c r="M109" s="158">
        <f t="shared" si="3"/>
        <v>11.705357655828861</v>
      </c>
      <c r="N109" s="158">
        <f t="shared" si="3"/>
        <v>185.64925371115481</v>
      </c>
      <c r="O109" s="158">
        <f t="shared" si="3"/>
        <v>0</v>
      </c>
      <c r="P109" s="158">
        <f t="shared" si="3"/>
        <v>0.1233435865818619</v>
      </c>
      <c r="Q109" s="158">
        <f t="shared" si="3"/>
        <v>0.32704739717661713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E10" sqref="E10:E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2448</v>
      </c>
      <c r="B9" s="100">
        <v>4.4800000000000004</v>
      </c>
      <c r="C9" s="100">
        <v>8.75</v>
      </c>
      <c r="D9" s="100">
        <v>7.17</v>
      </c>
      <c r="E9" s="100">
        <v>5.32</v>
      </c>
      <c r="F9" s="100">
        <v>5.54</v>
      </c>
      <c r="G9" s="100">
        <v>15.04</v>
      </c>
      <c r="H9" s="100">
        <v>5.21</v>
      </c>
      <c r="I9" s="100">
        <v>7.22</v>
      </c>
      <c r="J9" s="100">
        <v>3.28</v>
      </c>
      <c r="K9" s="100">
        <v>202.88</v>
      </c>
      <c r="L9" s="100">
        <v>25.96</v>
      </c>
      <c r="M9" s="100">
        <v>74.47</v>
      </c>
      <c r="N9" s="100">
        <v>23.4</v>
      </c>
      <c r="O9" s="100">
        <v>0</v>
      </c>
      <c r="P9" s="100">
        <v>0.37</v>
      </c>
      <c r="Q9" s="100">
        <v>29.13</v>
      </c>
      <c r="R9" s="6"/>
      <c r="S9" s="6"/>
      <c r="T9" s="156"/>
      <c r="U9" s="6"/>
    </row>
    <row r="10" spans="1:21" customFormat="1">
      <c r="A10" s="163" t="s">
        <v>2449</v>
      </c>
      <c r="B10" s="100">
        <v>4.9000000000000004</v>
      </c>
      <c r="C10" s="100">
        <v>8.73</v>
      </c>
      <c r="D10" s="100">
        <v>7.5</v>
      </c>
      <c r="E10" s="100">
        <v>5.37</v>
      </c>
      <c r="F10" s="100">
        <v>4.6399999999999997</v>
      </c>
      <c r="G10" s="100">
        <v>15.04</v>
      </c>
      <c r="H10" s="100">
        <v>5.21</v>
      </c>
      <c r="I10" s="100">
        <v>7.16</v>
      </c>
      <c r="J10" s="100">
        <v>4.3899999999999997</v>
      </c>
      <c r="K10" s="100">
        <v>211.55</v>
      </c>
      <c r="L10" s="100">
        <v>25.88</v>
      </c>
      <c r="M10" s="100">
        <v>74.47</v>
      </c>
      <c r="N10" s="100">
        <v>23.5</v>
      </c>
      <c r="O10" s="100">
        <v>0</v>
      </c>
      <c r="P10" s="100">
        <v>0.36</v>
      </c>
      <c r="Q10" s="100">
        <v>29.13</v>
      </c>
      <c r="R10" s="6"/>
      <c r="S10" s="6"/>
      <c r="T10" s="156"/>
      <c r="U10" s="6"/>
    </row>
    <row r="11" spans="1:21" customFormat="1">
      <c r="A11" s="163" t="s">
        <v>2450</v>
      </c>
      <c r="B11" s="100">
        <v>5.0999999999999996</v>
      </c>
      <c r="C11" s="100">
        <v>8.83</v>
      </c>
      <c r="D11" s="100">
        <v>7.71</v>
      </c>
      <c r="E11" s="100">
        <v>5.54</v>
      </c>
      <c r="F11" s="100">
        <v>4.3099999999999996</v>
      </c>
      <c r="G11" s="100">
        <v>15.04</v>
      </c>
      <c r="H11" s="100">
        <v>5.21</v>
      </c>
      <c r="I11" s="100">
        <v>7.16</v>
      </c>
      <c r="J11" s="100">
        <v>4.83</v>
      </c>
      <c r="K11" s="100">
        <v>218.39</v>
      </c>
      <c r="L11" s="100">
        <v>25.77</v>
      </c>
      <c r="M11" s="100">
        <v>74.989999999999995</v>
      </c>
      <c r="N11" s="100">
        <v>23.4</v>
      </c>
      <c r="O11" s="100">
        <v>0</v>
      </c>
      <c r="P11" s="100">
        <v>0.37</v>
      </c>
      <c r="Q11" s="100">
        <v>29.08</v>
      </c>
      <c r="R11" s="6"/>
      <c r="S11" s="6"/>
      <c r="T11" s="156"/>
      <c r="U11" s="6"/>
    </row>
    <row r="12" spans="1:21" customFormat="1">
      <c r="A12" s="163" t="s">
        <v>2451</v>
      </c>
      <c r="B12" s="100">
        <v>5.33</v>
      </c>
      <c r="C12" s="100">
        <v>9.31</v>
      </c>
      <c r="D12" s="100">
        <v>8.14</v>
      </c>
      <c r="E12" s="100">
        <v>5.46</v>
      </c>
      <c r="F12" s="100">
        <v>3.68</v>
      </c>
      <c r="G12" s="100">
        <v>14.19</v>
      </c>
      <c r="H12" s="100">
        <v>5.05</v>
      </c>
      <c r="I12" s="100">
        <v>7.08</v>
      </c>
      <c r="J12" s="100">
        <v>4.9800000000000004</v>
      </c>
      <c r="K12" s="100">
        <v>217.75</v>
      </c>
      <c r="L12" s="100">
        <v>25.69</v>
      </c>
      <c r="M12" s="100">
        <v>75.41</v>
      </c>
      <c r="N12" s="100">
        <v>23.4</v>
      </c>
      <c r="O12" s="100">
        <v>0</v>
      </c>
      <c r="P12" s="100">
        <v>0.36</v>
      </c>
      <c r="Q12" s="100">
        <v>29.03</v>
      </c>
      <c r="R12" s="6"/>
      <c r="S12" s="6"/>
      <c r="T12" s="156"/>
      <c r="U12" s="6"/>
    </row>
    <row r="13" spans="1:21" customFormat="1">
      <c r="A13" s="163" t="s">
        <v>2452</v>
      </c>
      <c r="B13" s="100">
        <v>5.54</v>
      </c>
      <c r="C13" s="100">
        <v>11.62</v>
      </c>
      <c r="D13" s="100">
        <v>9.52</v>
      </c>
      <c r="E13" s="100">
        <v>5.34</v>
      </c>
      <c r="F13" s="100">
        <v>2.99</v>
      </c>
      <c r="G13" s="100">
        <v>10.99</v>
      </c>
      <c r="H13" s="100">
        <v>4.47</v>
      </c>
      <c r="I13" s="100">
        <v>7.04</v>
      </c>
      <c r="J13" s="100">
        <v>4.55</v>
      </c>
      <c r="K13" s="100">
        <v>204.4</v>
      </c>
      <c r="L13" s="100">
        <v>25.56</v>
      </c>
      <c r="M13" s="100">
        <v>76.319999999999993</v>
      </c>
      <c r="N13" s="100">
        <v>23.6</v>
      </c>
      <c r="O13" s="100">
        <v>0</v>
      </c>
      <c r="P13" s="100">
        <v>0.38</v>
      </c>
      <c r="Q13" s="100">
        <v>28.89</v>
      </c>
      <c r="R13" s="6"/>
      <c r="S13" s="6"/>
      <c r="T13" s="156"/>
      <c r="U13" s="6"/>
    </row>
    <row r="14" spans="1:21" customFormat="1">
      <c r="A14" s="163" t="s">
        <v>2453</v>
      </c>
      <c r="B14" s="100">
        <v>5.73</v>
      </c>
      <c r="C14" s="100">
        <v>11.97</v>
      </c>
      <c r="D14" s="100">
        <v>9.86</v>
      </c>
      <c r="E14" s="100">
        <v>5.83</v>
      </c>
      <c r="F14" s="100">
        <v>3.22</v>
      </c>
      <c r="G14" s="100">
        <v>10.99</v>
      </c>
      <c r="H14" s="100">
        <v>4.47</v>
      </c>
      <c r="I14" s="100">
        <v>7.04</v>
      </c>
      <c r="J14" s="100">
        <v>4.63</v>
      </c>
      <c r="K14" s="100">
        <v>203.9</v>
      </c>
      <c r="L14" s="100">
        <v>25.58</v>
      </c>
      <c r="M14" s="100">
        <v>76.650000000000006</v>
      </c>
      <c r="N14" s="100">
        <v>23.3</v>
      </c>
      <c r="O14" s="100">
        <v>0</v>
      </c>
      <c r="P14" s="100">
        <v>0.35</v>
      </c>
      <c r="Q14" s="100">
        <v>28.89</v>
      </c>
      <c r="R14" s="6"/>
      <c r="S14" s="6"/>
      <c r="T14" s="156"/>
      <c r="U14" s="6"/>
    </row>
    <row r="15" spans="1:21" customFormat="1">
      <c r="A15" s="163" t="s">
        <v>2454</v>
      </c>
      <c r="B15" s="100">
        <v>5.97</v>
      </c>
      <c r="C15" s="100">
        <v>9.15</v>
      </c>
      <c r="D15" s="100">
        <v>8.57</v>
      </c>
      <c r="E15" s="100">
        <v>5.13</v>
      </c>
      <c r="F15" s="100">
        <v>3</v>
      </c>
      <c r="G15" s="100">
        <v>10.99</v>
      </c>
      <c r="H15" s="100">
        <v>4.47</v>
      </c>
      <c r="I15" s="100">
        <v>7.06</v>
      </c>
      <c r="J15" s="100">
        <v>4.5199999999999996</v>
      </c>
      <c r="K15" s="100">
        <v>214.7</v>
      </c>
      <c r="L15" s="100">
        <v>25.45</v>
      </c>
      <c r="M15" s="100">
        <v>77.400000000000006</v>
      </c>
      <c r="N15" s="100">
        <v>23.4</v>
      </c>
      <c r="O15" s="100">
        <v>0</v>
      </c>
      <c r="P15" s="100">
        <v>0.35</v>
      </c>
      <c r="Q15" s="100">
        <v>29.07</v>
      </c>
      <c r="R15" s="6"/>
      <c r="S15" s="6"/>
      <c r="T15" s="156"/>
      <c r="U15" s="6"/>
    </row>
    <row r="16" spans="1:21" customFormat="1">
      <c r="A16" s="163" t="s">
        <v>2455</v>
      </c>
      <c r="B16" s="100">
        <v>6.11</v>
      </c>
      <c r="C16" s="100">
        <v>8.0299999999999994</v>
      </c>
      <c r="D16" s="100">
        <v>8.1</v>
      </c>
      <c r="E16" s="100">
        <v>5.43</v>
      </c>
      <c r="F16" s="100">
        <v>3.31</v>
      </c>
      <c r="G16" s="100">
        <v>12.44</v>
      </c>
      <c r="H16" s="100">
        <v>4.2300000000000004</v>
      </c>
      <c r="I16" s="100">
        <v>7</v>
      </c>
      <c r="J16" s="100">
        <v>4.75</v>
      </c>
      <c r="K16" s="100">
        <v>221.74</v>
      </c>
      <c r="L16" s="100">
        <v>25.46</v>
      </c>
      <c r="M16" s="100">
        <v>77.510000000000005</v>
      </c>
      <c r="N16" s="100">
        <v>23.3</v>
      </c>
      <c r="O16" s="100">
        <v>0</v>
      </c>
      <c r="P16" s="100">
        <v>0.34</v>
      </c>
      <c r="Q16" s="100">
        <v>29.12</v>
      </c>
      <c r="R16" s="6"/>
      <c r="S16" s="6"/>
      <c r="T16" s="156"/>
      <c r="U16" s="6"/>
    </row>
    <row r="17" spans="1:21" customFormat="1">
      <c r="A17" s="163" t="s">
        <v>2456</v>
      </c>
      <c r="B17" s="100">
        <v>6.34</v>
      </c>
      <c r="C17" s="100">
        <v>8.35</v>
      </c>
      <c r="D17" s="100">
        <v>8.4600000000000009</v>
      </c>
      <c r="E17" s="100">
        <v>5.19</v>
      </c>
      <c r="F17" s="100">
        <v>3.16</v>
      </c>
      <c r="G17" s="100">
        <v>17.86</v>
      </c>
      <c r="H17" s="100">
        <v>3.33</v>
      </c>
      <c r="I17" s="100">
        <v>7.02</v>
      </c>
      <c r="J17" s="100">
        <v>4.5599999999999996</v>
      </c>
      <c r="K17" s="100">
        <v>222.51</v>
      </c>
      <c r="L17" s="100">
        <v>25.4</v>
      </c>
      <c r="M17" s="100">
        <v>77.75</v>
      </c>
      <c r="N17" s="100">
        <v>23.4</v>
      </c>
      <c r="O17" s="100">
        <v>0</v>
      </c>
      <c r="P17" s="100">
        <v>0.35</v>
      </c>
      <c r="Q17" s="100">
        <v>29.08</v>
      </c>
      <c r="R17" s="6"/>
      <c r="S17" s="6"/>
      <c r="T17" s="156"/>
      <c r="U17" s="6"/>
    </row>
    <row r="18" spans="1:21" customFormat="1">
      <c r="A18" s="163" t="s">
        <v>2457</v>
      </c>
      <c r="B18" s="100">
        <v>6.51</v>
      </c>
      <c r="C18" s="100">
        <v>7.96</v>
      </c>
      <c r="D18" s="100">
        <v>8.39</v>
      </c>
      <c r="E18" s="100">
        <v>5.26</v>
      </c>
      <c r="F18" s="100">
        <v>3.13</v>
      </c>
      <c r="G18" s="100">
        <v>17.86</v>
      </c>
      <c r="H18" s="100">
        <v>3.33</v>
      </c>
      <c r="I18" s="100">
        <v>6.95</v>
      </c>
      <c r="J18" s="100">
        <v>4.8099999999999996</v>
      </c>
      <c r="K18" s="100">
        <v>195.11</v>
      </c>
      <c r="L18" s="100">
        <v>25.36</v>
      </c>
      <c r="M18" s="100">
        <v>78.44</v>
      </c>
      <c r="N18" s="100">
        <v>23.5</v>
      </c>
      <c r="O18" s="100">
        <v>0</v>
      </c>
      <c r="P18" s="100">
        <v>0.36</v>
      </c>
      <c r="Q18" s="100">
        <v>29.12</v>
      </c>
      <c r="R18" s="6"/>
      <c r="S18" s="6"/>
      <c r="T18" s="156"/>
      <c r="U18" s="6"/>
    </row>
    <row r="19" spans="1:21" customFormat="1">
      <c r="A19" s="163" t="s">
        <v>2458</v>
      </c>
      <c r="B19" s="100">
        <v>6.55</v>
      </c>
      <c r="C19" s="100">
        <v>7.9</v>
      </c>
      <c r="D19" s="100">
        <v>8.3800000000000008</v>
      </c>
      <c r="E19" s="100">
        <v>5.38</v>
      </c>
      <c r="F19" s="100">
        <v>3.92</v>
      </c>
      <c r="G19" s="100">
        <v>17.86</v>
      </c>
      <c r="H19" s="100">
        <v>3.33</v>
      </c>
      <c r="I19" s="100">
        <v>7.03</v>
      </c>
      <c r="J19" s="100">
        <v>4.45</v>
      </c>
      <c r="K19" s="100">
        <v>215.64</v>
      </c>
      <c r="L19" s="100">
        <v>25.27</v>
      </c>
      <c r="M19" s="100">
        <v>79.14</v>
      </c>
      <c r="N19" s="100">
        <v>23.4</v>
      </c>
      <c r="O19" s="100">
        <v>0</v>
      </c>
      <c r="P19" s="100">
        <v>0.34</v>
      </c>
      <c r="Q19" s="100">
        <v>29.1</v>
      </c>
      <c r="R19" s="6"/>
      <c r="S19" s="6"/>
      <c r="T19" s="156"/>
      <c r="U19" s="6"/>
    </row>
    <row r="20" spans="1:21" customFormat="1">
      <c r="A20" s="163" t="s">
        <v>2459</v>
      </c>
      <c r="B20" s="100">
        <v>6.46</v>
      </c>
      <c r="C20" s="100">
        <v>7.85</v>
      </c>
      <c r="D20" s="100">
        <v>8.2899999999999991</v>
      </c>
      <c r="E20" s="100">
        <v>5.47</v>
      </c>
      <c r="F20" s="100">
        <v>4.28</v>
      </c>
      <c r="G20" s="100">
        <v>16.77</v>
      </c>
      <c r="H20" s="100">
        <v>3.22</v>
      </c>
      <c r="I20" s="100">
        <v>6.93</v>
      </c>
      <c r="J20" s="100">
        <v>4.3</v>
      </c>
      <c r="K20" s="100">
        <v>200.28</v>
      </c>
      <c r="L20" s="100">
        <v>25.16</v>
      </c>
      <c r="M20" s="100">
        <v>79.98</v>
      </c>
      <c r="N20" s="100">
        <v>23.5</v>
      </c>
      <c r="O20" s="100">
        <v>0</v>
      </c>
      <c r="P20" s="100">
        <v>0.35</v>
      </c>
      <c r="Q20" s="100">
        <v>29.09</v>
      </c>
      <c r="R20" s="6"/>
      <c r="S20" s="6"/>
      <c r="T20" s="156"/>
      <c r="U20" s="6"/>
    </row>
    <row r="21" spans="1:21" customFormat="1">
      <c r="A21" s="163" t="s">
        <v>2460</v>
      </c>
      <c r="B21" s="100">
        <v>6.6</v>
      </c>
      <c r="C21" s="100">
        <v>8.2899999999999991</v>
      </c>
      <c r="D21" s="100">
        <v>8.6300000000000008</v>
      </c>
      <c r="E21" s="100">
        <v>5.33</v>
      </c>
      <c r="F21" s="100">
        <v>4.01</v>
      </c>
      <c r="G21" s="100">
        <v>12.7</v>
      </c>
      <c r="H21" s="100">
        <v>2.78</v>
      </c>
      <c r="I21" s="100">
        <v>6.76</v>
      </c>
      <c r="J21" s="100">
        <v>4.5599999999999996</v>
      </c>
      <c r="K21" s="100">
        <v>209.43</v>
      </c>
      <c r="L21" s="100">
        <v>25.1</v>
      </c>
      <c r="M21" s="100">
        <v>80.41</v>
      </c>
      <c r="N21" s="100">
        <v>23.3</v>
      </c>
      <c r="O21" s="100">
        <v>0</v>
      </c>
      <c r="P21" s="100">
        <v>0.35</v>
      </c>
      <c r="Q21" s="100">
        <v>29.02</v>
      </c>
      <c r="R21" s="6"/>
      <c r="S21" s="6"/>
      <c r="T21" s="156"/>
      <c r="U21" s="6"/>
    </row>
    <row r="22" spans="1:21" customFormat="1">
      <c r="A22" s="163" t="s">
        <v>2461</v>
      </c>
      <c r="B22" s="100">
        <v>6.7</v>
      </c>
      <c r="C22" s="100">
        <v>8.5399999999999991</v>
      </c>
      <c r="D22" s="100">
        <v>8.84</v>
      </c>
      <c r="E22" s="100">
        <v>5.46</v>
      </c>
      <c r="F22" s="100">
        <v>3.93</v>
      </c>
      <c r="G22" s="100">
        <v>12.7</v>
      </c>
      <c r="H22" s="100">
        <v>2.78</v>
      </c>
      <c r="I22" s="100">
        <v>6.72</v>
      </c>
      <c r="J22" s="100">
        <v>4.43</v>
      </c>
      <c r="K22" s="100">
        <v>218.48</v>
      </c>
      <c r="L22" s="100">
        <v>25.16</v>
      </c>
      <c r="M22" s="100">
        <v>80.319999999999993</v>
      </c>
      <c r="N22" s="100">
        <v>23.3</v>
      </c>
      <c r="O22" s="100">
        <v>0</v>
      </c>
      <c r="P22" s="100">
        <v>0.35</v>
      </c>
      <c r="Q22" s="100">
        <v>28.96</v>
      </c>
      <c r="R22" s="6"/>
      <c r="S22" s="6"/>
      <c r="T22" s="156"/>
      <c r="U22" s="6"/>
    </row>
    <row r="23" spans="1:21" customFormat="1">
      <c r="A23" s="163" t="s">
        <v>2462</v>
      </c>
      <c r="B23" s="100">
        <v>6.79</v>
      </c>
      <c r="C23" s="100">
        <v>8.8800000000000008</v>
      </c>
      <c r="D23" s="100">
        <v>9.09</v>
      </c>
      <c r="E23" s="100">
        <v>5.12</v>
      </c>
      <c r="F23" s="100">
        <v>4.16</v>
      </c>
      <c r="G23" s="100">
        <v>12.7</v>
      </c>
      <c r="H23" s="100">
        <v>2.78</v>
      </c>
      <c r="I23" s="100">
        <v>6.71</v>
      </c>
      <c r="J23" s="100">
        <v>3.31</v>
      </c>
      <c r="K23" s="100">
        <v>101.66</v>
      </c>
      <c r="L23" s="100">
        <v>25.11</v>
      </c>
      <c r="M23" s="100">
        <v>81.45</v>
      </c>
      <c r="N23" s="100">
        <v>23.4</v>
      </c>
      <c r="O23" s="100">
        <v>0</v>
      </c>
      <c r="P23" s="100">
        <v>0.35</v>
      </c>
      <c r="Q23" s="100">
        <v>28.97</v>
      </c>
      <c r="R23" s="6"/>
      <c r="S23" s="6"/>
      <c r="T23" s="156"/>
      <c r="U23" s="6"/>
    </row>
    <row r="24" spans="1:21" customFormat="1">
      <c r="A24" s="163" t="s">
        <v>2463</v>
      </c>
      <c r="B24" s="100">
        <v>6.88</v>
      </c>
      <c r="C24" s="100">
        <v>9.4</v>
      </c>
      <c r="D24" s="100">
        <v>9.43</v>
      </c>
      <c r="E24" s="100">
        <v>4.9000000000000004</v>
      </c>
      <c r="F24" s="100">
        <v>4.54</v>
      </c>
      <c r="G24" s="100">
        <v>12.39</v>
      </c>
      <c r="H24" s="100">
        <v>2.86</v>
      </c>
      <c r="I24" s="100">
        <v>6.7</v>
      </c>
      <c r="J24" s="100">
        <v>3.52</v>
      </c>
      <c r="K24" s="100">
        <v>134.13999999999999</v>
      </c>
      <c r="L24" s="100">
        <v>25.18</v>
      </c>
      <c r="M24" s="100">
        <v>80.95</v>
      </c>
      <c r="N24" s="100">
        <v>23.4</v>
      </c>
      <c r="O24" s="100">
        <v>0</v>
      </c>
      <c r="P24" s="100">
        <v>0.35</v>
      </c>
      <c r="Q24" s="100">
        <v>28.94</v>
      </c>
      <c r="R24" s="6"/>
      <c r="S24" s="6"/>
      <c r="T24" s="156"/>
      <c r="U24" s="6"/>
    </row>
    <row r="25" spans="1:21" customFormat="1">
      <c r="A25" s="163" t="s">
        <v>2464</v>
      </c>
      <c r="B25" s="100">
        <v>6.97</v>
      </c>
      <c r="C25" s="100">
        <v>9.58</v>
      </c>
      <c r="D25" s="100">
        <v>9.6</v>
      </c>
      <c r="E25" s="100">
        <v>5.07</v>
      </c>
      <c r="F25" s="100">
        <v>4.54</v>
      </c>
      <c r="G25" s="100">
        <v>11.26</v>
      </c>
      <c r="H25" s="100">
        <v>3.15</v>
      </c>
      <c r="I25" s="100">
        <v>6.48</v>
      </c>
      <c r="J25" s="100">
        <v>4.3099999999999996</v>
      </c>
      <c r="K25" s="100">
        <v>131.03</v>
      </c>
      <c r="L25" s="100">
        <v>25.2</v>
      </c>
      <c r="M25" s="100">
        <v>80.52</v>
      </c>
      <c r="N25" s="100">
        <v>23.3</v>
      </c>
      <c r="O25" s="100">
        <v>0</v>
      </c>
      <c r="P25" s="100">
        <v>0.35</v>
      </c>
      <c r="Q25" s="100">
        <v>28.91</v>
      </c>
      <c r="R25" s="6"/>
      <c r="S25" s="6"/>
      <c r="T25" s="156"/>
      <c r="U25" s="6"/>
    </row>
    <row r="26" spans="1:21" customFormat="1">
      <c r="A26" s="163" t="s">
        <v>2465</v>
      </c>
      <c r="B26" s="100">
        <v>7.44</v>
      </c>
      <c r="C26" s="100">
        <v>11.65</v>
      </c>
      <c r="D26" s="100">
        <v>11.06</v>
      </c>
      <c r="E26" s="100">
        <v>5.0599999999999996</v>
      </c>
      <c r="F26" s="100">
        <v>3.43</v>
      </c>
      <c r="G26" s="100">
        <v>11.26</v>
      </c>
      <c r="H26" s="100">
        <v>3.15</v>
      </c>
      <c r="I26" s="100">
        <v>6.37</v>
      </c>
      <c r="J26" s="100">
        <v>4.3099999999999996</v>
      </c>
      <c r="K26" s="100">
        <v>205.13</v>
      </c>
      <c r="L26" s="100">
        <v>25.33</v>
      </c>
      <c r="M26" s="100">
        <v>79.48</v>
      </c>
      <c r="N26" s="100">
        <v>23.2</v>
      </c>
      <c r="O26" s="100">
        <v>0</v>
      </c>
      <c r="P26" s="100">
        <v>0.35</v>
      </c>
      <c r="Q26" s="100">
        <v>28.83</v>
      </c>
      <c r="R26" s="6"/>
      <c r="S26" s="6"/>
      <c r="T26" s="156"/>
      <c r="U26" s="6"/>
    </row>
    <row r="27" spans="1:21" customFormat="1">
      <c r="A27" s="163" t="s">
        <v>2466</v>
      </c>
      <c r="B27" s="100">
        <v>7.72</v>
      </c>
      <c r="C27" s="100">
        <v>14.17</v>
      </c>
      <c r="D27" s="100">
        <v>12.6</v>
      </c>
      <c r="E27" s="100">
        <v>5.09</v>
      </c>
      <c r="F27" s="100">
        <v>2.85</v>
      </c>
      <c r="G27" s="100">
        <v>11.26</v>
      </c>
      <c r="H27" s="100">
        <v>3.15</v>
      </c>
      <c r="I27" s="100">
        <v>6.43</v>
      </c>
      <c r="J27" s="100">
        <v>1.1100000000000001</v>
      </c>
      <c r="K27" s="100">
        <v>179.55</v>
      </c>
      <c r="L27" s="100">
        <v>25.44</v>
      </c>
      <c r="M27" s="100">
        <v>78.92</v>
      </c>
      <c r="N27" s="100">
        <v>23.4</v>
      </c>
      <c r="O27" s="100">
        <v>0</v>
      </c>
      <c r="P27" s="100">
        <v>0.34</v>
      </c>
      <c r="Q27" s="100">
        <v>28.63</v>
      </c>
      <c r="R27" s="6"/>
      <c r="S27" s="6"/>
      <c r="T27" s="156"/>
      <c r="U27" s="6"/>
    </row>
    <row r="28" spans="1:21" customFormat="1">
      <c r="A28" s="163" t="s">
        <v>2467</v>
      </c>
      <c r="B28" s="100">
        <v>7.85</v>
      </c>
      <c r="C28" s="100">
        <v>13.56</v>
      </c>
      <c r="D28" s="100">
        <v>12.38</v>
      </c>
      <c r="E28" s="100">
        <v>5.53</v>
      </c>
      <c r="F28" s="100">
        <v>2.85</v>
      </c>
      <c r="G28" s="100">
        <v>11.58</v>
      </c>
      <c r="H28" s="100">
        <v>3.01</v>
      </c>
      <c r="I28" s="100">
        <v>6.52</v>
      </c>
      <c r="J28" s="100">
        <v>5.21</v>
      </c>
      <c r="K28" s="100">
        <v>120.93</v>
      </c>
      <c r="L28" s="100">
        <v>25.48</v>
      </c>
      <c r="M28" s="100">
        <v>79.48</v>
      </c>
      <c r="N28" s="100">
        <v>23.4</v>
      </c>
      <c r="O28" s="100">
        <v>0</v>
      </c>
      <c r="P28" s="100">
        <v>0.34</v>
      </c>
      <c r="Q28" s="100">
        <v>28.63</v>
      </c>
      <c r="R28" s="6"/>
      <c r="S28" s="6"/>
      <c r="T28" s="156"/>
      <c r="U28" s="6"/>
    </row>
    <row r="29" spans="1:21" customFormat="1">
      <c r="A29" s="163" t="s">
        <v>2468</v>
      </c>
      <c r="B29" s="100">
        <v>8.0500000000000007</v>
      </c>
      <c r="C29" s="100">
        <v>12.28</v>
      </c>
      <c r="D29" s="100">
        <v>11.88</v>
      </c>
      <c r="E29" s="100">
        <v>4.9400000000000004</v>
      </c>
      <c r="F29" s="100">
        <v>3.05</v>
      </c>
      <c r="G29" s="100">
        <v>12.78</v>
      </c>
      <c r="H29" s="100">
        <v>2.4700000000000002</v>
      </c>
      <c r="I29" s="100">
        <v>6.49</v>
      </c>
      <c r="J29" s="100">
        <v>4.03</v>
      </c>
      <c r="K29" s="100">
        <v>126.18</v>
      </c>
      <c r="L29" s="100">
        <v>25.8</v>
      </c>
      <c r="M29" s="100">
        <v>78.260000000000005</v>
      </c>
      <c r="N29" s="100">
        <v>23.7</v>
      </c>
      <c r="O29" s="100">
        <v>0</v>
      </c>
      <c r="P29" s="100">
        <v>0.33</v>
      </c>
      <c r="Q29" s="100">
        <v>28.71</v>
      </c>
      <c r="R29" s="6"/>
      <c r="S29" s="6"/>
      <c r="T29" s="156"/>
      <c r="U29" s="6"/>
    </row>
    <row r="30" spans="1:21" customFormat="1">
      <c r="A30" s="163" t="s">
        <v>2469</v>
      </c>
      <c r="B30" s="100">
        <v>8.32</v>
      </c>
      <c r="C30" s="100">
        <v>11.77</v>
      </c>
      <c r="D30" s="100">
        <v>11.83</v>
      </c>
      <c r="E30" s="100">
        <v>5.5</v>
      </c>
      <c r="F30" s="100">
        <v>2.89</v>
      </c>
      <c r="G30" s="100">
        <v>12.78</v>
      </c>
      <c r="H30" s="100">
        <v>2.4700000000000002</v>
      </c>
      <c r="I30" s="100">
        <v>6.52</v>
      </c>
      <c r="J30" s="100">
        <v>5.18</v>
      </c>
      <c r="K30" s="100">
        <v>145.16999999999999</v>
      </c>
      <c r="L30" s="100">
        <v>25.91</v>
      </c>
      <c r="M30" s="100">
        <v>77.739999999999995</v>
      </c>
      <c r="N30" s="100">
        <v>26.4</v>
      </c>
      <c r="O30" s="100">
        <v>0</v>
      </c>
      <c r="P30" s="100">
        <v>0.33</v>
      </c>
      <c r="Q30" s="100">
        <v>28.7</v>
      </c>
      <c r="R30" s="6"/>
      <c r="S30" s="6"/>
      <c r="T30" s="156"/>
      <c r="U30" s="6"/>
    </row>
    <row r="31" spans="1:21" customFormat="1">
      <c r="A31" s="163" t="s">
        <v>2470</v>
      </c>
      <c r="B31" s="100">
        <v>8.6199999999999992</v>
      </c>
      <c r="C31" s="100">
        <v>9.77</v>
      </c>
      <c r="D31" s="100">
        <v>11.02</v>
      </c>
      <c r="E31" s="100">
        <v>5.45</v>
      </c>
      <c r="F31" s="100">
        <v>3.08</v>
      </c>
      <c r="G31" s="100">
        <v>12.78</v>
      </c>
      <c r="H31" s="100">
        <v>2.4700000000000002</v>
      </c>
      <c r="I31" s="100">
        <v>6.54</v>
      </c>
      <c r="J31" s="100">
        <v>3.48</v>
      </c>
      <c r="K31" s="100">
        <v>192.37</v>
      </c>
      <c r="L31" s="100">
        <v>25.92</v>
      </c>
      <c r="M31" s="100">
        <v>77.47</v>
      </c>
      <c r="N31" s="100">
        <v>28.7</v>
      </c>
      <c r="O31" s="100">
        <v>0</v>
      </c>
      <c r="P31" s="100">
        <v>0.34</v>
      </c>
      <c r="Q31" s="100">
        <v>28.79</v>
      </c>
      <c r="R31" s="6"/>
      <c r="S31" s="6"/>
      <c r="T31" s="156"/>
      <c r="U31" s="6"/>
    </row>
    <row r="32" spans="1:21" customFormat="1">
      <c r="A32" s="163" t="s">
        <v>2471</v>
      </c>
      <c r="B32" s="100">
        <v>8.2200000000000006</v>
      </c>
      <c r="C32" s="100">
        <v>9.9</v>
      </c>
      <c r="D32" s="100">
        <v>10.77</v>
      </c>
      <c r="E32" s="100">
        <v>5.65</v>
      </c>
      <c r="F32" s="100">
        <v>4.12</v>
      </c>
      <c r="G32" s="100">
        <v>13.32</v>
      </c>
      <c r="H32" s="100">
        <v>2.66</v>
      </c>
      <c r="I32" s="100">
        <v>6.61</v>
      </c>
      <c r="J32" s="100">
        <v>3.17</v>
      </c>
      <c r="K32" s="100">
        <v>170.65</v>
      </c>
      <c r="L32" s="100">
        <v>25.7</v>
      </c>
      <c r="M32" s="100">
        <v>79.180000000000007</v>
      </c>
      <c r="N32" s="100">
        <v>27.9</v>
      </c>
      <c r="O32" s="100">
        <v>0</v>
      </c>
      <c r="P32" s="100">
        <v>0.33</v>
      </c>
      <c r="Q32" s="100">
        <v>28.78</v>
      </c>
      <c r="R32" s="6"/>
      <c r="S32" s="6"/>
      <c r="T32" s="156"/>
      <c r="U32" s="6"/>
    </row>
    <row r="33" spans="1:21" customFormat="1">
      <c r="A33" s="163" t="s">
        <v>2472</v>
      </c>
      <c r="B33" s="100">
        <v>8.6</v>
      </c>
      <c r="C33" s="100">
        <v>9.24</v>
      </c>
      <c r="D33" s="100">
        <v>10.73</v>
      </c>
      <c r="E33" s="100">
        <v>5.55</v>
      </c>
      <c r="F33" s="100">
        <v>3.67</v>
      </c>
      <c r="G33" s="100">
        <v>15.32</v>
      </c>
      <c r="H33" s="100">
        <v>3.36</v>
      </c>
      <c r="I33" s="100">
        <v>6.59</v>
      </c>
      <c r="J33" s="100">
        <v>3.9</v>
      </c>
      <c r="K33" s="100">
        <v>195.53</v>
      </c>
      <c r="L33" s="100">
        <v>25.71</v>
      </c>
      <c r="M33" s="100">
        <v>78.989999999999995</v>
      </c>
      <c r="N33" s="100">
        <v>30.8</v>
      </c>
      <c r="O33" s="100">
        <v>0</v>
      </c>
      <c r="P33" s="100">
        <v>0.34</v>
      </c>
      <c r="Q33" s="100">
        <v>28.77</v>
      </c>
      <c r="R33" s="6"/>
      <c r="S33" s="6"/>
      <c r="T33" s="156"/>
      <c r="U33" s="6"/>
    </row>
    <row r="34" spans="1:21" customFormat="1">
      <c r="A34" s="163" t="s">
        <v>2473</v>
      </c>
      <c r="B34" s="100">
        <v>8.9499999999999993</v>
      </c>
      <c r="C34" s="100">
        <v>9.4600000000000009</v>
      </c>
      <c r="D34" s="100">
        <v>11.12</v>
      </c>
      <c r="E34" s="100">
        <v>5.69</v>
      </c>
      <c r="F34" s="100">
        <v>3.08</v>
      </c>
      <c r="G34" s="100">
        <v>15.32</v>
      </c>
      <c r="H34" s="100">
        <v>3.36</v>
      </c>
      <c r="I34" s="100">
        <v>6.66</v>
      </c>
      <c r="J34" s="100">
        <v>3.21</v>
      </c>
      <c r="K34" s="100">
        <v>188.68</v>
      </c>
      <c r="L34" s="100">
        <v>25.69</v>
      </c>
      <c r="M34" s="100">
        <v>80.62</v>
      </c>
      <c r="N34" s="100">
        <v>35.6</v>
      </c>
      <c r="O34" s="100">
        <v>0.8</v>
      </c>
      <c r="P34" s="100">
        <v>0.34</v>
      </c>
      <c r="Q34" s="100">
        <v>28.71</v>
      </c>
      <c r="R34" s="6"/>
      <c r="S34" s="6"/>
      <c r="T34" s="156"/>
      <c r="U34" s="6"/>
    </row>
    <row r="35" spans="1:21" customFormat="1">
      <c r="A35" s="163" t="s">
        <v>2474</v>
      </c>
      <c r="B35" s="100">
        <v>8.86</v>
      </c>
      <c r="C35" s="100">
        <v>9.6300000000000008</v>
      </c>
      <c r="D35" s="100">
        <v>11.14</v>
      </c>
      <c r="E35" s="100">
        <v>5.5</v>
      </c>
      <c r="F35" s="100">
        <v>3.36</v>
      </c>
      <c r="G35" s="100">
        <v>15.32</v>
      </c>
      <c r="H35" s="100">
        <v>3.36</v>
      </c>
      <c r="I35" s="100">
        <v>6.8</v>
      </c>
      <c r="J35" s="100">
        <v>4.1100000000000003</v>
      </c>
      <c r="K35" s="100">
        <v>124.71</v>
      </c>
      <c r="L35" s="100">
        <v>24.91</v>
      </c>
      <c r="M35" s="100">
        <v>88.12</v>
      </c>
      <c r="N35" s="100">
        <v>43.6</v>
      </c>
      <c r="O35" s="100">
        <v>1.4</v>
      </c>
      <c r="P35" s="100">
        <v>0.35</v>
      </c>
      <c r="Q35" s="100">
        <v>28.69</v>
      </c>
      <c r="R35" s="6"/>
      <c r="S35" s="6"/>
      <c r="T35" s="156"/>
      <c r="U35" s="6"/>
    </row>
    <row r="36" spans="1:21" customFormat="1">
      <c r="A36" s="163" t="s">
        <v>2475</v>
      </c>
      <c r="B36" s="100">
        <v>8.76</v>
      </c>
      <c r="C36" s="100">
        <v>9.8000000000000007</v>
      </c>
      <c r="D36" s="100">
        <v>11.15</v>
      </c>
      <c r="E36" s="100">
        <v>5.34</v>
      </c>
      <c r="F36" s="100">
        <v>3.81</v>
      </c>
      <c r="G36" s="100">
        <v>16.350000000000001</v>
      </c>
      <c r="H36" s="100">
        <v>3.4</v>
      </c>
      <c r="I36" s="100">
        <v>6.85</v>
      </c>
      <c r="J36" s="100">
        <v>3.57</v>
      </c>
      <c r="K36" s="100">
        <v>126.98</v>
      </c>
      <c r="L36" s="100">
        <v>24.55</v>
      </c>
      <c r="M36" s="100">
        <v>91.32</v>
      </c>
      <c r="N36" s="100">
        <v>43.4</v>
      </c>
      <c r="O36" s="100">
        <v>0</v>
      </c>
      <c r="P36" s="100">
        <v>0.36</v>
      </c>
      <c r="Q36" s="100">
        <v>28.64</v>
      </c>
      <c r="R36" s="6"/>
      <c r="S36" s="6"/>
      <c r="T36" s="156"/>
      <c r="U36" s="6"/>
    </row>
    <row r="37" spans="1:21" customFormat="1">
      <c r="A37" s="163" t="s">
        <v>2476</v>
      </c>
      <c r="B37" s="100">
        <v>9.36</v>
      </c>
      <c r="C37" s="100">
        <v>10.039999999999999</v>
      </c>
      <c r="D37" s="100">
        <v>11.75</v>
      </c>
      <c r="E37" s="100">
        <v>5.73</v>
      </c>
      <c r="F37" s="100">
        <v>3.59</v>
      </c>
      <c r="G37" s="100">
        <v>20.2</v>
      </c>
      <c r="H37" s="100">
        <v>3.55</v>
      </c>
      <c r="I37" s="100">
        <v>6.87</v>
      </c>
      <c r="J37" s="100">
        <v>2.8</v>
      </c>
      <c r="K37" s="100">
        <v>251.57</v>
      </c>
      <c r="L37" s="100">
        <v>23.99</v>
      </c>
      <c r="M37" s="100">
        <v>92.62</v>
      </c>
      <c r="N37" s="100">
        <v>43.4</v>
      </c>
      <c r="O37" s="100">
        <v>7.2</v>
      </c>
      <c r="P37" s="100">
        <v>0.35</v>
      </c>
      <c r="Q37" s="100">
        <v>28.63</v>
      </c>
      <c r="R37" s="6"/>
      <c r="S37" s="6"/>
      <c r="T37" s="156"/>
      <c r="U37" s="6"/>
    </row>
    <row r="38" spans="1:21" customFormat="1">
      <c r="A38" s="163" t="s">
        <v>2477</v>
      </c>
      <c r="B38" s="100">
        <v>9.59</v>
      </c>
      <c r="C38" s="100">
        <v>10.15</v>
      </c>
      <c r="D38" s="100">
        <v>12</v>
      </c>
      <c r="E38" s="100">
        <v>5.27</v>
      </c>
      <c r="F38" s="100">
        <v>4.95</v>
      </c>
      <c r="G38" s="100">
        <v>20.2</v>
      </c>
      <c r="H38" s="100">
        <v>3.55</v>
      </c>
      <c r="I38" s="100">
        <v>6.94</v>
      </c>
      <c r="J38" s="100">
        <v>1.96</v>
      </c>
      <c r="K38" s="100">
        <v>229.11</v>
      </c>
      <c r="L38" s="100">
        <v>23.15</v>
      </c>
      <c r="M38" s="100">
        <v>96.42</v>
      </c>
      <c r="N38" s="100">
        <v>56.6</v>
      </c>
      <c r="O38" s="100">
        <v>0.6</v>
      </c>
      <c r="P38" s="100">
        <v>0.35</v>
      </c>
      <c r="Q38" s="100">
        <v>28.65</v>
      </c>
      <c r="R38" s="6"/>
      <c r="S38" s="6"/>
      <c r="T38" s="156"/>
      <c r="U38" s="6"/>
    </row>
    <row r="39" spans="1:21" customFormat="1">
      <c r="A39" s="163" t="s">
        <v>2478</v>
      </c>
      <c r="B39" s="100">
        <v>9.61</v>
      </c>
      <c r="C39" s="100">
        <v>12.03</v>
      </c>
      <c r="D39" s="100">
        <v>13</v>
      </c>
      <c r="E39" s="100">
        <v>5.4</v>
      </c>
      <c r="F39" s="100">
        <v>4.17</v>
      </c>
      <c r="G39" s="100">
        <v>20.2</v>
      </c>
      <c r="H39" s="100">
        <v>3.55</v>
      </c>
      <c r="I39" s="100">
        <v>7</v>
      </c>
      <c r="J39" s="100">
        <v>4.91</v>
      </c>
      <c r="K39" s="100">
        <v>153.11000000000001</v>
      </c>
      <c r="L39" s="100">
        <v>23.34</v>
      </c>
      <c r="M39" s="100">
        <v>96.95</v>
      </c>
      <c r="N39" s="100">
        <v>58.5</v>
      </c>
      <c r="O39" s="100">
        <v>0.2</v>
      </c>
      <c r="P39" s="100">
        <v>0.35</v>
      </c>
      <c r="Q39" s="100">
        <v>28.55</v>
      </c>
      <c r="R39" s="6"/>
      <c r="S39" s="6"/>
      <c r="T39" s="156"/>
      <c r="U39" s="6"/>
    </row>
    <row r="40" spans="1:21" customFormat="1">
      <c r="A40" s="163" t="s">
        <v>2479</v>
      </c>
      <c r="B40" s="100">
        <v>9.7100000000000009</v>
      </c>
      <c r="C40" s="100">
        <v>14.67</v>
      </c>
      <c r="D40" s="100">
        <v>14.46</v>
      </c>
      <c r="E40" s="100">
        <v>5.51</v>
      </c>
      <c r="F40" s="100">
        <v>3.44</v>
      </c>
      <c r="G40" s="100">
        <v>19.03</v>
      </c>
      <c r="H40" s="100">
        <v>3.76</v>
      </c>
      <c r="I40" s="100">
        <v>6.9</v>
      </c>
      <c r="J40" s="100">
        <v>5.45</v>
      </c>
      <c r="K40" s="100">
        <v>137.55000000000001</v>
      </c>
      <c r="L40" s="100">
        <v>23.46</v>
      </c>
      <c r="M40" s="100">
        <v>96.95</v>
      </c>
      <c r="N40" s="100">
        <v>51.7</v>
      </c>
      <c r="O40" s="100">
        <v>0</v>
      </c>
      <c r="P40" s="100">
        <v>0.35</v>
      </c>
      <c r="Q40" s="100">
        <v>28.46</v>
      </c>
      <c r="R40" s="6"/>
      <c r="S40" s="6"/>
      <c r="T40" s="156"/>
      <c r="U40" s="6"/>
    </row>
    <row r="41" spans="1:21" customFormat="1">
      <c r="A41" s="163" t="s">
        <v>2480</v>
      </c>
      <c r="B41" s="100">
        <v>9.83</v>
      </c>
      <c r="C41" s="100">
        <v>14.87</v>
      </c>
      <c r="D41" s="100">
        <v>14.66</v>
      </c>
      <c r="E41" s="100">
        <v>5.14</v>
      </c>
      <c r="F41" s="100">
        <v>3.26</v>
      </c>
      <c r="G41" s="100">
        <v>14.65</v>
      </c>
      <c r="H41" s="100">
        <v>4.5199999999999996</v>
      </c>
      <c r="I41" s="100">
        <v>6.83</v>
      </c>
      <c r="J41" s="100">
        <v>0.87</v>
      </c>
      <c r="K41" s="100">
        <v>248.28</v>
      </c>
      <c r="L41" s="100">
        <v>23.88</v>
      </c>
      <c r="M41" s="100">
        <v>96.95</v>
      </c>
      <c r="N41" s="100">
        <v>53.3</v>
      </c>
      <c r="O41" s="100">
        <v>0.6</v>
      </c>
      <c r="P41" s="100">
        <v>0.35</v>
      </c>
      <c r="Q41" s="100">
        <v>28.42</v>
      </c>
      <c r="R41" s="6"/>
      <c r="S41" s="6"/>
      <c r="T41" s="156"/>
      <c r="U41" s="6"/>
    </row>
    <row r="42" spans="1:21" customFormat="1">
      <c r="A42" s="163" t="s">
        <v>2481</v>
      </c>
      <c r="B42" s="100">
        <v>10.17</v>
      </c>
      <c r="C42" s="100">
        <v>14.75</v>
      </c>
      <c r="D42" s="100">
        <v>14.86</v>
      </c>
      <c r="E42" s="100">
        <v>5.13</v>
      </c>
      <c r="F42" s="100">
        <v>2.72</v>
      </c>
      <c r="G42" s="100">
        <v>14.65</v>
      </c>
      <c r="H42" s="100">
        <v>4.5199999999999996</v>
      </c>
      <c r="I42" s="100">
        <v>6.89</v>
      </c>
      <c r="J42" s="100">
        <v>3.82</v>
      </c>
      <c r="K42" s="100">
        <v>161.5</v>
      </c>
      <c r="L42" s="100">
        <v>24.37</v>
      </c>
      <c r="M42" s="100">
        <v>96.97</v>
      </c>
      <c r="N42" s="100">
        <v>68.400000000000006</v>
      </c>
      <c r="O42" s="100">
        <v>0.8</v>
      </c>
      <c r="P42" s="100">
        <v>0.36</v>
      </c>
      <c r="Q42" s="100">
        <v>28.42</v>
      </c>
      <c r="R42" s="6"/>
      <c r="S42" s="6"/>
      <c r="T42" s="156"/>
      <c r="U42" s="6"/>
    </row>
    <row r="43" spans="1:21" customFormat="1">
      <c r="A43" s="163" t="s">
        <v>2482</v>
      </c>
      <c r="B43" s="100">
        <v>10.61</v>
      </c>
      <c r="C43" s="100">
        <v>13.52</v>
      </c>
      <c r="D43" s="100">
        <v>14.58</v>
      </c>
      <c r="E43" s="100">
        <v>5.6</v>
      </c>
      <c r="F43" s="100">
        <v>2.73</v>
      </c>
      <c r="G43" s="100">
        <v>14.65</v>
      </c>
      <c r="H43" s="100">
        <v>4.5199999999999996</v>
      </c>
      <c r="I43" s="100">
        <v>6.9</v>
      </c>
      <c r="J43" s="100">
        <v>6</v>
      </c>
      <c r="K43" s="100">
        <v>234.53</v>
      </c>
      <c r="L43" s="100">
        <v>24.36</v>
      </c>
      <c r="M43" s="100">
        <v>96.95</v>
      </c>
      <c r="N43" s="100">
        <v>82.5</v>
      </c>
      <c r="O43" s="100">
        <v>1.6</v>
      </c>
      <c r="P43" s="100">
        <v>0.36</v>
      </c>
      <c r="Q43" s="100">
        <v>28.45</v>
      </c>
      <c r="R43" s="6"/>
      <c r="S43" s="6"/>
      <c r="T43" s="156"/>
      <c r="U43" s="6"/>
    </row>
    <row r="44" spans="1:21" customFormat="1">
      <c r="A44" s="163" t="s">
        <v>2483</v>
      </c>
      <c r="B44" s="100">
        <v>11.09</v>
      </c>
      <c r="C44" s="100">
        <v>12.34</v>
      </c>
      <c r="D44" s="100">
        <v>14.35</v>
      </c>
      <c r="E44" s="100">
        <v>5.0199999999999996</v>
      </c>
      <c r="F44" s="100">
        <v>2.63</v>
      </c>
      <c r="G44" s="100">
        <v>14.52</v>
      </c>
      <c r="H44" s="100">
        <v>4.32</v>
      </c>
      <c r="I44" s="100">
        <v>7.08</v>
      </c>
      <c r="J44" s="100">
        <v>4.95</v>
      </c>
      <c r="K44" s="100">
        <v>252.57</v>
      </c>
      <c r="L44" s="100">
        <v>24.47</v>
      </c>
      <c r="M44" s="100">
        <v>96.95</v>
      </c>
      <c r="N44" s="100">
        <v>67.5</v>
      </c>
      <c r="O44" s="100">
        <v>0.4</v>
      </c>
      <c r="P44" s="100">
        <v>0.37</v>
      </c>
      <c r="Q44" s="100">
        <v>28.47</v>
      </c>
      <c r="R44" s="6"/>
      <c r="S44" s="6"/>
      <c r="T44" s="156"/>
      <c r="U44" s="6"/>
    </row>
    <row r="45" spans="1:21" customFormat="1">
      <c r="A45" s="163" t="s">
        <v>2484</v>
      </c>
      <c r="B45" s="100">
        <v>11.86</v>
      </c>
      <c r="C45" s="100">
        <v>11.91</v>
      </c>
      <c r="D45" s="100">
        <v>14.74</v>
      </c>
      <c r="E45" s="100">
        <v>5.4</v>
      </c>
      <c r="F45" s="100">
        <v>2.62</v>
      </c>
      <c r="G45" s="100">
        <v>14.05</v>
      </c>
      <c r="H45" s="100">
        <v>3.55</v>
      </c>
      <c r="I45" s="100">
        <v>7.25</v>
      </c>
      <c r="J45" s="100">
        <v>4.5</v>
      </c>
      <c r="K45" s="100">
        <v>249.61</v>
      </c>
      <c r="L45" s="100">
        <v>24.41</v>
      </c>
      <c r="M45" s="100">
        <v>96.95</v>
      </c>
      <c r="N45" s="100">
        <v>48.8</v>
      </c>
      <c r="O45" s="100">
        <v>0.2</v>
      </c>
      <c r="P45" s="100">
        <v>0.39</v>
      </c>
      <c r="Q45" s="100">
        <v>28.44</v>
      </c>
      <c r="R45" s="6"/>
      <c r="S45" s="6"/>
      <c r="T45" s="156"/>
      <c r="U45" s="6"/>
    </row>
    <row r="46" spans="1:21" customFormat="1">
      <c r="A46" s="163" t="s">
        <v>2485</v>
      </c>
      <c r="B46" s="100">
        <v>12.35</v>
      </c>
      <c r="C46" s="100">
        <v>10.58</v>
      </c>
      <c r="D46" s="100">
        <v>14.44</v>
      </c>
      <c r="E46" s="100">
        <v>5.64</v>
      </c>
      <c r="F46" s="100">
        <v>2.74</v>
      </c>
      <c r="G46" s="100">
        <v>14.05</v>
      </c>
      <c r="H46" s="100">
        <v>3.55</v>
      </c>
      <c r="I46" s="100">
        <v>7.51</v>
      </c>
      <c r="J46" s="100">
        <v>5.83</v>
      </c>
      <c r="K46" s="100">
        <v>236.41</v>
      </c>
      <c r="L46" s="100">
        <v>24.06</v>
      </c>
      <c r="M46" s="100">
        <v>96.95</v>
      </c>
      <c r="N46" s="100">
        <v>32.5</v>
      </c>
      <c r="O46" s="100">
        <v>2.6</v>
      </c>
      <c r="P46" s="100">
        <v>0.4</v>
      </c>
      <c r="Q46" s="100">
        <v>28.44</v>
      </c>
      <c r="R46" s="6"/>
      <c r="S46" s="6"/>
      <c r="T46" s="156"/>
      <c r="U46" s="6"/>
    </row>
    <row r="47" spans="1:21" customFormat="1">
      <c r="A47" s="163" t="s">
        <v>2486</v>
      </c>
      <c r="B47" s="100">
        <v>12.34</v>
      </c>
      <c r="C47" s="100">
        <v>10.8</v>
      </c>
      <c r="D47" s="100">
        <v>14.54</v>
      </c>
      <c r="E47" s="100">
        <v>5.46</v>
      </c>
      <c r="F47" s="100">
        <v>2.88</v>
      </c>
      <c r="G47" s="100">
        <v>14.05</v>
      </c>
      <c r="H47" s="100">
        <v>3.55</v>
      </c>
      <c r="I47" s="100">
        <v>7.83</v>
      </c>
      <c r="J47" s="100">
        <v>6.08</v>
      </c>
      <c r="K47" s="100">
        <v>250.2</v>
      </c>
      <c r="L47" s="100">
        <v>23.18</v>
      </c>
      <c r="M47" s="100">
        <v>96.96</v>
      </c>
      <c r="N47" s="100">
        <v>41.8</v>
      </c>
      <c r="O47" s="100">
        <v>2.6</v>
      </c>
      <c r="P47" s="100">
        <v>0.44</v>
      </c>
      <c r="Q47" s="100">
        <v>28.38</v>
      </c>
      <c r="R47" s="6"/>
      <c r="S47" s="6"/>
      <c r="T47" s="156"/>
      <c r="U47" s="6"/>
    </row>
    <row r="48" spans="1:21" customFormat="1">
      <c r="A48" s="163" t="s">
        <v>2487</v>
      </c>
      <c r="B48" s="100">
        <v>12.41</v>
      </c>
      <c r="C48" s="100">
        <v>11.34</v>
      </c>
      <c r="D48" s="100">
        <v>14.88</v>
      </c>
      <c r="E48" s="100">
        <v>5.08</v>
      </c>
      <c r="F48" s="100">
        <v>2.44</v>
      </c>
      <c r="G48" s="100">
        <v>14.49</v>
      </c>
      <c r="H48" s="100">
        <v>3.36</v>
      </c>
      <c r="I48" s="100">
        <v>8.25</v>
      </c>
      <c r="J48" s="100">
        <v>6.03</v>
      </c>
      <c r="K48" s="100">
        <v>240.1</v>
      </c>
      <c r="L48" s="100">
        <v>22.95</v>
      </c>
      <c r="M48" s="100">
        <v>96.98</v>
      </c>
      <c r="N48" s="100">
        <v>57</v>
      </c>
      <c r="O48" s="100">
        <v>3.6</v>
      </c>
      <c r="P48" s="100">
        <v>0.52</v>
      </c>
      <c r="Q48" s="100">
        <v>28.35</v>
      </c>
      <c r="R48" s="6"/>
      <c r="S48" s="6"/>
      <c r="T48" s="156"/>
      <c r="U48" s="6"/>
    </row>
    <row r="49" spans="1:21" customFormat="1">
      <c r="A49" s="163" t="s">
        <v>2488</v>
      </c>
      <c r="B49" s="100">
        <v>12.28</v>
      </c>
      <c r="C49" s="100">
        <v>11.87</v>
      </c>
      <c r="D49" s="100">
        <v>15.05</v>
      </c>
      <c r="E49" s="100">
        <v>5.5</v>
      </c>
      <c r="F49" s="100">
        <v>2.31</v>
      </c>
      <c r="G49" s="100">
        <v>16.16</v>
      </c>
      <c r="H49" s="100">
        <v>2.64</v>
      </c>
      <c r="I49" s="100">
        <v>9.76</v>
      </c>
      <c r="J49" s="100">
        <v>6.02</v>
      </c>
      <c r="K49" s="100">
        <v>229.63</v>
      </c>
      <c r="L49" s="100">
        <v>22.85</v>
      </c>
      <c r="M49" s="100">
        <v>96.98</v>
      </c>
      <c r="N49" s="100">
        <v>62.4</v>
      </c>
      <c r="O49" s="100">
        <v>1</v>
      </c>
      <c r="P49" s="100">
        <v>0.59</v>
      </c>
      <c r="Q49" s="100">
        <v>28.32</v>
      </c>
      <c r="R49" s="6"/>
      <c r="S49" s="6"/>
      <c r="T49" s="156"/>
      <c r="U49" s="6"/>
    </row>
    <row r="50" spans="1:21" customFormat="1">
      <c r="A50" s="163" t="s">
        <v>2489</v>
      </c>
      <c r="B50" s="100">
        <v>12.15</v>
      </c>
      <c r="C50" s="100">
        <v>12.35</v>
      </c>
      <c r="D50" s="100">
        <v>15.2</v>
      </c>
      <c r="E50" s="100">
        <v>5.21</v>
      </c>
      <c r="F50" s="100">
        <v>2.63</v>
      </c>
      <c r="G50" s="100">
        <v>16.16</v>
      </c>
      <c r="H50" s="100">
        <v>2.64</v>
      </c>
      <c r="I50" s="100">
        <v>12.82</v>
      </c>
      <c r="J50" s="100">
        <v>4.92</v>
      </c>
      <c r="K50" s="100">
        <v>213.38</v>
      </c>
      <c r="L50" s="100">
        <v>22.95</v>
      </c>
      <c r="M50" s="100">
        <v>96.99</v>
      </c>
      <c r="N50" s="100">
        <v>63</v>
      </c>
      <c r="O50" s="100">
        <v>2.2000000000000002</v>
      </c>
      <c r="P50" s="100">
        <v>0.62</v>
      </c>
      <c r="Q50" s="100">
        <v>28.29</v>
      </c>
      <c r="R50" s="6"/>
      <c r="S50" s="6"/>
      <c r="T50" s="156"/>
      <c r="U50" s="6"/>
    </row>
    <row r="51" spans="1:21" customFormat="1">
      <c r="A51" s="163" t="s">
        <v>2490</v>
      </c>
      <c r="B51" s="100">
        <v>12.12</v>
      </c>
      <c r="C51" s="100">
        <v>12.6</v>
      </c>
      <c r="D51" s="100">
        <v>15.31</v>
      </c>
      <c r="E51" s="100">
        <v>5.01</v>
      </c>
      <c r="F51" s="100">
        <v>3.08</v>
      </c>
      <c r="G51" s="100">
        <v>16.16</v>
      </c>
      <c r="H51" s="100">
        <v>2.64</v>
      </c>
      <c r="I51" s="100">
        <v>14.88</v>
      </c>
      <c r="J51" s="100">
        <v>2.14</v>
      </c>
      <c r="K51" s="100">
        <v>214.93</v>
      </c>
      <c r="L51" s="100">
        <v>22.96</v>
      </c>
      <c r="M51" s="100">
        <v>97</v>
      </c>
      <c r="N51" s="100">
        <v>95.4</v>
      </c>
      <c r="O51" s="100">
        <v>1.4</v>
      </c>
      <c r="P51" s="100">
        <v>0.62</v>
      </c>
      <c r="Q51" s="100">
        <v>28.26</v>
      </c>
      <c r="R51" s="6"/>
      <c r="S51" s="6"/>
      <c r="T51" s="156"/>
      <c r="U51" s="6"/>
    </row>
    <row r="52" spans="1:21" customFormat="1">
      <c r="A52" s="163" t="s">
        <v>2491</v>
      </c>
      <c r="B52" s="100">
        <v>12.17</v>
      </c>
      <c r="C52" s="100">
        <v>13.53</v>
      </c>
      <c r="D52" s="100">
        <v>15.84</v>
      </c>
      <c r="E52" s="100">
        <v>5.36</v>
      </c>
      <c r="F52" s="100">
        <v>2.77</v>
      </c>
      <c r="G52" s="100">
        <v>15.59</v>
      </c>
      <c r="H52" s="100">
        <v>3.01</v>
      </c>
      <c r="I52" s="100">
        <v>15.35</v>
      </c>
      <c r="J52" s="100">
        <v>4.95</v>
      </c>
      <c r="K52" s="100">
        <v>228.65</v>
      </c>
      <c r="L52" s="100">
        <v>23.09</v>
      </c>
      <c r="M52" s="100">
        <v>97</v>
      </c>
      <c r="N52" s="100">
        <v>187.3</v>
      </c>
      <c r="O52" s="100">
        <v>0</v>
      </c>
      <c r="P52" s="100">
        <v>0.64</v>
      </c>
      <c r="Q52" s="100">
        <v>28.25</v>
      </c>
      <c r="R52" s="6"/>
      <c r="S52" s="6"/>
      <c r="T52" s="156"/>
      <c r="U52" s="6"/>
    </row>
    <row r="53" spans="1:21" customFormat="1">
      <c r="A53" s="163" t="s">
        <v>2492</v>
      </c>
      <c r="B53" s="100">
        <v>12.55</v>
      </c>
      <c r="C53" s="100">
        <v>15.2</v>
      </c>
      <c r="D53" s="100">
        <v>17.010000000000002</v>
      </c>
      <c r="E53" s="100">
        <v>4.99</v>
      </c>
      <c r="F53" s="100">
        <v>2.74</v>
      </c>
      <c r="G53" s="100">
        <v>13.46</v>
      </c>
      <c r="H53" s="100">
        <v>4.37</v>
      </c>
      <c r="I53" s="100">
        <v>15.3</v>
      </c>
      <c r="J53" s="100">
        <v>1.21</v>
      </c>
      <c r="K53" s="100">
        <v>106.13</v>
      </c>
      <c r="L53" s="100">
        <v>23.74</v>
      </c>
      <c r="M53" s="100">
        <v>97.04</v>
      </c>
      <c r="N53" s="100">
        <v>294.10000000000002</v>
      </c>
      <c r="O53" s="100">
        <v>0</v>
      </c>
      <c r="P53" s="100">
        <v>0.6</v>
      </c>
      <c r="Q53" s="100">
        <v>28.18</v>
      </c>
      <c r="R53" s="6"/>
      <c r="S53" s="6"/>
      <c r="T53" s="156"/>
      <c r="U53" s="6"/>
    </row>
    <row r="54" spans="1:21" customFormat="1">
      <c r="A54" s="163" t="s">
        <v>2493</v>
      </c>
      <c r="B54" s="100">
        <v>13.09</v>
      </c>
      <c r="C54" s="100">
        <v>15.54</v>
      </c>
      <c r="D54" s="100">
        <v>17.62</v>
      </c>
      <c r="E54" s="100">
        <v>5.39</v>
      </c>
      <c r="F54" s="100">
        <v>2.64</v>
      </c>
      <c r="G54" s="100">
        <v>13.46</v>
      </c>
      <c r="H54" s="100">
        <v>4.37</v>
      </c>
      <c r="I54" s="100">
        <v>15.41</v>
      </c>
      <c r="J54" s="100">
        <v>2.4500000000000002</v>
      </c>
      <c r="K54" s="100">
        <v>196.01</v>
      </c>
      <c r="L54" s="100">
        <v>24.27</v>
      </c>
      <c r="M54" s="100">
        <v>97.05</v>
      </c>
      <c r="N54" s="100">
        <v>287.3</v>
      </c>
      <c r="O54" s="100">
        <v>0</v>
      </c>
      <c r="P54" s="100">
        <v>0.66</v>
      </c>
      <c r="Q54" s="100">
        <v>28.14</v>
      </c>
      <c r="R54" s="6"/>
      <c r="S54" s="6"/>
      <c r="T54" s="156"/>
      <c r="U54" s="6"/>
    </row>
    <row r="55" spans="1:21" customFormat="1">
      <c r="A55" s="163" t="s">
        <v>2494</v>
      </c>
      <c r="B55" s="100">
        <v>13.47</v>
      </c>
      <c r="C55" s="100">
        <v>14.97</v>
      </c>
      <c r="D55" s="100">
        <v>17.63</v>
      </c>
      <c r="E55" s="100">
        <v>5.57</v>
      </c>
      <c r="F55" s="100">
        <v>2.42</v>
      </c>
      <c r="G55" s="100">
        <v>13.46</v>
      </c>
      <c r="H55" s="100">
        <v>4.37</v>
      </c>
      <c r="I55" s="100">
        <v>15.9</v>
      </c>
      <c r="J55" s="100">
        <v>4.3099999999999996</v>
      </c>
      <c r="K55" s="100">
        <v>262.36</v>
      </c>
      <c r="L55" s="100">
        <v>24.3</v>
      </c>
      <c r="M55" s="100">
        <v>97.05</v>
      </c>
      <c r="N55" s="100">
        <v>252.6</v>
      </c>
      <c r="O55" s="100">
        <v>0</v>
      </c>
      <c r="P55" s="100">
        <v>0.69</v>
      </c>
      <c r="Q55" s="100">
        <v>28.14</v>
      </c>
      <c r="R55" s="6"/>
      <c r="S55" s="6"/>
      <c r="T55" s="156"/>
      <c r="U55" s="6"/>
    </row>
    <row r="56" spans="1:21" customFormat="1">
      <c r="A56" s="163" t="s">
        <v>2495</v>
      </c>
      <c r="B56" s="100">
        <v>13.7</v>
      </c>
      <c r="C56" s="100">
        <v>14.54</v>
      </c>
      <c r="D56" s="100">
        <v>17.59</v>
      </c>
      <c r="E56" s="100">
        <v>4.62</v>
      </c>
      <c r="F56" s="100">
        <v>2.5099999999999998</v>
      </c>
      <c r="G56" s="100">
        <v>14.54</v>
      </c>
      <c r="H56" s="100">
        <v>4.58</v>
      </c>
      <c r="I56" s="100">
        <v>16.48</v>
      </c>
      <c r="J56" s="100">
        <v>5.17</v>
      </c>
      <c r="K56" s="100">
        <v>240.11</v>
      </c>
      <c r="L56" s="100">
        <v>24.76</v>
      </c>
      <c r="M56" s="100">
        <v>97.04</v>
      </c>
      <c r="N56" s="100">
        <v>317.8</v>
      </c>
      <c r="O56" s="100">
        <v>0</v>
      </c>
      <c r="P56" s="100">
        <v>0.73</v>
      </c>
      <c r="Q56" s="100">
        <v>28.16</v>
      </c>
      <c r="R56" s="6"/>
      <c r="S56" s="6"/>
      <c r="T56" s="156"/>
      <c r="U56" s="6"/>
    </row>
    <row r="57" spans="1:21" customFormat="1">
      <c r="A57" s="163" t="s">
        <v>2496</v>
      </c>
      <c r="B57" s="100">
        <v>13.88</v>
      </c>
      <c r="C57" s="100">
        <v>14.06</v>
      </c>
      <c r="D57" s="100">
        <v>17.48</v>
      </c>
      <c r="E57" s="100">
        <v>5.44</v>
      </c>
      <c r="F57" s="100">
        <v>2.5499999999999998</v>
      </c>
      <c r="G57" s="100">
        <v>18.55</v>
      </c>
      <c r="H57" s="100">
        <v>5.34</v>
      </c>
      <c r="I57" s="100">
        <v>16.809999999999999</v>
      </c>
      <c r="J57" s="100">
        <v>5.4</v>
      </c>
      <c r="K57" s="100">
        <v>252.91</v>
      </c>
      <c r="L57" s="100">
        <v>25.34</v>
      </c>
      <c r="M57" s="100">
        <v>95.33</v>
      </c>
      <c r="N57" s="100">
        <v>400.5</v>
      </c>
      <c r="O57" s="100">
        <v>0</v>
      </c>
      <c r="P57" s="100">
        <v>0.78</v>
      </c>
      <c r="Q57" s="100">
        <v>28.13</v>
      </c>
      <c r="R57" s="6"/>
      <c r="S57" s="6"/>
      <c r="T57" s="156"/>
      <c r="U57" s="6"/>
    </row>
    <row r="58" spans="1:21" customFormat="1">
      <c r="A58" s="163" t="s">
        <v>2497</v>
      </c>
      <c r="B58" s="100">
        <v>13.81</v>
      </c>
      <c r="C58" s="100">
        <v>13.83</v>
      </c>
      <c r="D58" s="100">
        <v>17.309999999999999</v>
      </c>
      <c r="E58" s="100">
        <v>5.8</v>
      </c>
      <c r="F58" s="100">
        <v>3.61</v>
      </c>
      <c r="G58" s="100">
        <v>18.55</v>
      </c>
      <c r="H58" s="100">
        <v>5.34</v>
      </c>
      <c r="I58" s="100">
        <v>17.149999999999999</v>
      </c>
      <c r="J58" s="100">
        <v>3.02</v>
      </c>
      <c r="K58" s="100">
        <v>284.45999999999998</v>
      </c>
      <c r="L58" s="100">
        <v>26.05</v>
      </c>
      <c r="M58" s="100">
        <v>87.83</v>
      </c>
      <c r="N58" s="100">
        <v>371.6</v>
      </c>
      <c r="O58" s="100">
        <v>0</v>
      </c>
      <c r="P58" s="100">
        <v>0.83</v>
      </c>
      <c r="Q58" s="100">
        <v>28.32</v>
      </c>
      <c r="R58" s="6"/>
      <c r="S58" s="6"/>
      <c r="T58" s="156"/>
      <c r="U58" s="6"/>
    </row>
    <row r="59" spans="1:21" customFormat="1">
      <c r="A59" s="163" t="s">
        <v>2498</v>
      </c>
      <c r="B59" s="100">
        <v>13.84</v>
      </c>
      <c r="C59" s="100">
        <v>13</v>
      </c>
      <c r="D59" s="100">
        <v>16.899999999999999</v>
      </c>
      <c r="E59" s="100">
        <v>5.04</v>
      </c>
      <c r="F59" s="100">
        <v>4.6399999999999997</v>
      </c>
      <c r="G59" s="100">
        <v>18.55</v>
      </c>
      <c r="H59" s="100">
        <v>5.34</v>
      </c>
      <c r="I59" s="100">
        <v>17.739999999999998</v>
      </c>
      <c r="J59" s="100">
        <v>2.89</v>
      </c>
      <c r="K59" s="100">
        <v>266.11</v>
      </c>
      <c r="L59" s="100">
        <v>26.48</v>
      </c>
      <c r="M59" s="100">
        <v>83.22</v>
      </c>
      <c r="N59" s="100">
        <v>426.8</v>
      </c>
      <c r="O59" s="100">
        <v>0</v>
      </c>
      <c r="P59" s="100">
        <v>0.87</v>
      </c>
      <c r="Q59" s="100">
        <v>28.3</v>
      </c>
      <c r="R59" s="6"/>
      <c r="S59" s="6"/>
      <c r="T59" s="156"/>
      <c r="U59" s="6"/>
    </row>
    <row r="60" spans="1:21" customFormat="1">
      <c r="A60" s="163" t="s">
        <v>2499</v>
      </c>
      <c r="B60" s="100">
        <v>13.78</v>
      </c>
      <c r="C60" s="100">
        <v>12.74</v>
      </c>
      <c r="D60" s="100">
        <v>16.71</v>
      </c>
      <c r="E60" s="100">
        <v>5.08</v>
      </c>
      <c r="F60" s="100">
        <v>3.46</v>
      </c>
      <c r="G60" s="100">
        <v>21.12</v>
      </c>
      <c r="H60" s="100">
        <v>6.42</v>
      </c>
      <c r="I60" s="100">
        <v>18.52</v>
      </c>
      <c r="J60" s="100">
        <v>6.27</v>
      </c>
      <c r="K60" s="100">
        <v>247.67</v>
      </c>
      <c r="L60" s="100">
        <v>26.42</v>
      </c>
      <c r="M60" s="100">
        <v>80.819999999999993</v>
      </c>
      <c r="N60" s="100">
        <v>481.1</v>
      </c>
      <c r="O60" s="100">
        <v>0</v>
      </c>
      <c r="P60" s="100">
        <v>0.87</v>
      </c>
      <c r="Q60" s="100">
        <v>28.28</v>
      </c>
      <c r="R60" s="6"/>
      <c r="S60" s="6"/>
      <c r="T60" s="156"/>
      <c r="U60" s="6"/>
    </row>
    <row r="61" spans="1:21" customFormat="1">
      <c r="A61" s="163" t="s">
        <v>2500</v>
      </c>
      <c r="B61" s="100">
        <v>13.15</v>
      </c>
      <c r="C61" s="100">
        <v>13.43</v>
      </c>
      <c r="D61" s="100">
        <v>16.559999999999999</v>
      </c>
      <c r="E61" s="100">
        <v>5.03</v>
      </c>
      <c r="F61" s="100">
        <v>4.2</v>
      </c>
      <c r="G61" s="100">
        <v>30.71</v>
      </c>
      <c r="H61" s="100">
        <v>10.43</v>
      </c>
      <c r="I61" s="100">
        <v>19.100000000000001</v>
      </c>
      <c r="J61" s="100">
        <v>6.43</v>
      </c>
      <c r="K61" s="100">
        <v>232.91</v>
      </c>
      <c r="L61" s="100">
        <v>26.7</v>
      </c>
      <c r="M61" s="100">
        <v>77.81</v>
      </c>
      <c r="N61" s="100">
        <v>489.3</v>
      </c>
      <c r="O61" s="100">
        <v>0</v>
      </c>
      <c r="P61" s="100">
        <v>0.87</v>
      </c>
      <c r="Q61" s="100">
        <v>28.26</v>
      </c>
      <c r="R61" s="6"/>
      <c r="S61" s="6"/>
      <c r="T61" s="156"/>
      <c r="U61" s="6"/>
    </row>
    <row r="62" spans="1:21" customFormat="1">
      <c r="A62" s="163" t="s">
        <v>2501</v>
      </c>
      <c r="B62" s="100">
        <v>12.11</v>
      </c>
      <c r="C62" s="100">
        <v>13.31</v>
      </c>
      <c r="D62" s="100">
        <v>15.67</v>
      </c>
      <c r="E62" s="100">
        <v>5.12</v>
      </c>
      <c r="F62" s="100">
        <v>5.03</v>
      </c>
      <c r="G62" s="100">
        <v>30.71</v>
      </c>
      <c r="H62" s="100">
        <v>10.43</v>
      </c>
      <c r="I62" s="100">
        <v>18.940000000000001</v>
      </c>
      <c r="J62" s="100">
        <v>4.91</v>
      </c>
      <c r="K62" s="100">
        <v>234.4</v>
      </c>
      <c r="L62" s="100">
        <v>27.18</v>
      </c>
      <c r="M62" s="100">
        <v>73.62</v>
      </c>
      <c r="N62" s="100">
        <v>475.4</v>
      </c>
      <c r="O62" s="100">
        <v>0</v>
      </c>
      <c r="P62" s="100">
        <v>0.88</v>
      </c>
      <c r="Q62" s="100">
        <v>28.31</v>
      </c>
      <c r="R62" s="6"/>
      <c r="S62" s="6"/>
      <c r="T62" s="156"/>
      <c r="U62" s="6"/>
    </row>
    <row r="63" spans="1:21" customFormat="1">
      <c r="A63" s="163" t="s">
        <v>2502</v>
      </c>
      <c r="B63" s="100">
        <v>11.05</v>
      </c>
      <c r="C63" s="100">
        <v>13.22</v>
      </c>
      <c r="D63" s="100">
        <v>14.78</v>
      </c>
      <c r="E63" s="100">
        <v>5.63</v>
      </c>
      <c r="F63" s="100">
        <v>5.67</v>
      </c>
      <c r="G63" s="100">
        <v>30.71</v>
      </c>
      <c r="H63" s="100">
        <v>10.43</v>
      </c>
      <c r="I63" s="100">
        <v>19.02</v>
      </c>
      <c r="J63" s="100">
        <v>3.05</v>
      </c>
      <c r="K63" s="100">
        <v>273.19</v>
      </c>
      <c r="L63" s="100">
        <v>27.52</v>
      </c>
      <c r="M63" s="100">
        <v>71.569999999999993</v>
      </c>
      <c r="N63" s="100">
        <v>420.9</v>
      </c>
      <c r="O63" s="100">
        <v>0</v>
      </c>
      <c r="P63" s="100">
        <v>0.87</v>
      </c>
      <c r="Q63" s="100">
        <v>28.47</v>
      </c>
      <c r="R63" s="6"/>
      <c r="S63" s="6"/>
      <c r="T63" s="156"/>
      <c r="U63" s="6"/>
    </row>
    <row r="64" spans="1:21" customFormat="1">
      <c r="A64" s="163" t="s">
        <v>2503</v>
      </c>
      <c r="B64" s="100">
        <v>10.34</v>
      </c>
      <c r="C64" s="100">
        <v>13.63</v>
      </c>
      <c r="D64" s="100">
        <v>14.42</v>
      </c>
      <c r="E64" s="100">
        <v>5.46</v>
      </c>
      <c r="F64" s="100">
        <v>6.52</v>
      </c>
      <c r="G64" s="100">
        <v>31.11</v>
      </c>
      <c r="H64" s="100">
        <v>11.08</v>
      </c>
      <c r="I64" s="100">
        <v>18.75</v>
      </c>
      <c r="J64" s="100">
        <v>1.79</v>
      </c>
      <c r="K64" s="100">
        <v>299.36</v>
      </c>
      <c r="L64" s="100">
        <v>27.6</v>
      </c>
      <c r="M64" s="100">
        <v>70.47</v>
      </c>
      <c r="N64" s="100">
        <v>444.8</v>
      </c>
      <c r="O64" s="100">
        <v>0</v>
      </c>
      <c r="P64" s="100">
        <v>0.85</v>
      </c>
      <c r="Q64" s="100">
        <v>28.44</v>
      </c>
      <c r="R64" s="6"/>
      <c r="S64" s="6"/>
      <c r="T64" s="156"/>
      <c r="U64" s="6"/>
    </row>
    <row r="65" spans="1:21" customFormat="1">
      <c r="A65" s="163" t="s">
        <v>2504</v>
      </c>
      <c r="B65" s="100">
        <v>10.09</v>
      </c>
      <c r="C65" s="100">
        <v>14.55</v>
      </c>
      <c r="D65" s="100">
        <v>14.7</v>
      </c>
      <c r="E65" s="100">
        <v>5.42</v>
      </c>
      <c r="F65" s="100">
        <v>3.92</v>
      </c>
      <c r="G65" s="100">
        <v>32.61</v>
      </c>
      <c r="H65" s="100">
        <v>13.53</v>
      </c>
      <c r="I65" s="100">
        <v>18.16</v>
      </c>
      <c r="J65" s="100">
        <v>3.39</v>
      </c>
      <c r="K65" s="100">
        <v>246.97</v>
      </c>
      <c r="L65" s="100">
        <v>28</v>
      </c>
      <c r="M65" s="100">
        <v>68.37</v>
      </c>
      <c r="N65" s="100">
        <v>555.4</v>
      </c>
      <c r="O65" s="100">
        <v>0</v>
      </c>
      <c r="P65" s="100">
        <v>0.87</v>
      </c>
      <c r="Q65" s="100">
        <v>28.4</v>
      </c>
      <c r="R65" s="6"/>
      <c r="S65" s="6"/>
      <c r="T65" s="156"/>
      <c r="U65" s="6"/>
    </row>
    <row r="66" spans="1:21" customFormat="1">
      <c r="A66" s="163" t="s">
        <v>2505</v>
      </c>
      <c r="B66" s="100">
        <v>9.81</v>
      </c>
      <c r="C66" s="100">
        <v>16.649999999999999</v>
      </c>
      <c r="D66" s="100">
        <v>15.58</v>
      </c>
      <c r="E66" s="100">
        <v>5.27</v>
      </c>
      <c r="F66" s="100">
        <v>2.89</v>
      </c>
      <c r="G66" s="100">
        <v>32.61</v>
      </c>
      <c r="H66" s="100">
        <v>13.53</v>
      </c>
      <c r="I66" s="100">
        <v>17.78</v>
      </c>
      <c r="J66" s="100">
        <v>2.06</v>
      </c>
      <c r="K66" s="100">
        <v>23.28</v>
      </c>
      <c r="L66" s="100">
        <v>29.18</v>
      </c>
      <c r="M66" s="100">
        <v>64.459999999999994</v>
      </c>
      <c r="N66" s="100">
        <v>584.6</v>
      </c>
      <c r="O66" s="100">
        <v>0</v>
      </c>
      <c r="P66" s="100">
        <v>0.86</v>
      </c>
      <c r="Q66" s="100">
        <v>28.33</v>
      </c>
      <c r="R66" s="6"/>
      <c r="S66" s="6"/>
      <c r="T66" s="156"/>
      <c r="U66" s="6"/>
    </row>
    <row r="67" spans="1:21" customFormat="1">
      <c r="A67" s="163" t="s">
        <v>2506</v>
      </c>
      <c r="B67" s="100">
        <v>9.6</v>
      </c>
      <c r="C67" s="100">
        <v>15.07</v>
      </c>
      <c r="D67" s="100">
        <v>14.58</v>
      </c>
      <c r="E67" s="100">
        <v>5.76</v>
      </c>
      <c r="F67" s="100">
        <v>3.6</v>
      </c>
      <c r="G67" s="100">
        <v>32.61</v>
      </c>
      <c r="H67" s="100">
        <v>13.53</v>
      </c>
      <c r="I67" s="100">
        <v>17.68</v>
      </c>
      <c r="J67" s="100">
        <v>1.33</v>
      </c>
      <c r="K67" s="100">
        <v>234.77</v>
      </c>
      <c r="L67" s="100">
        <v>29.7</v>
      </c>
      <c r="M67" s="100">
        <v>61.87</v>
      </c>
      <c r="N67" s="100">
        <v>624.79999999999995</v>
      </c>
      <c r="O67" s="100">
        <v>0</v>
      </c>
      <c r="P67" s="100">
        <v>0.82</v>
      </c>
      <c r="Q67" s="100">
        <v>28.45</v>
      </c>
      <c r="R67" s="6"/>
      <c r="S67" s="6"/>
      <c r="T67" s="156"/>
      <c r="U67" s="6"/>
    </row>
    <row r="68" spans="1:21" customFormat="1">
      <c r="A68" s="163" t="s">
        <v>2507</v>
      </c>
      <c r="B68" s="100">
        <v>9.34</v>
      </c>
      <c r="C68" s="100">
        <v>12.05</v>
      </c>
      <c r="D68" s="100">
        <v>12.79</v>
      </c>
      <c r="E68" s="100">
        <v>5.26</v>
      </c>
      <c r="F68" s="100">
        <v>4.0999999999999996</v>
      </c>
      <c r="G68" s="100">
        <v>32.08</v>
      </c>
      <c r="H68" s="100">
        <v>12.98</v>
      </c>
      <c r="I68" s="100">
        <v>17.489999999999998</v>
      </c>
      <c r="J68" s="100">
        <v>2.5099999999999998</v>
      </c>
      <c r="K68" s="100">
        <v>358.12</v>
      </c>
      <c r="L68" s="100">
        <v>30.58</v>
      </c>
      <c r="M68" s="100">
        <v>59.65</v>
      </c>
      <c r="N68" s="100">
        <v>633.5</v>
      </c>
      <c r="O68" s="100">
        <v>0</v>
      </c>
      <c r="P68" s="100">
        <v>0.8</v>
      </c>
      <c r="Q68" s="100">
        <v>28.64</v>
      </c>
      <c r="R68" s="6"/>
      <c r="S68" s="6"/>
      <c r="T68" s="156"/>
      <c r="U68" s="6"/>
    </row>
    <row r="69" spans="1:21" customFormat="1">
      <c r="A69" s="163" t="s">
        <v>2508</v>
      </c>
      <c r="B69" s="100">
        <v>8.9499999999999993</v>
      </c>
      <c r="C69" s="100">
        <v>12.95</v>
      </c>
      <c r="D69" s="100">
        <v>12.95</v>
      </c>
      <c r="E69" s="100">
        <v>5.57</v>
      </c>
      <c r="F69" s="100">
        <v>4.22</v>
      </c>
      <c r="G69" s="100">
        <v>30.1</v>
      </c>
      <c r="H69" s="100">
        <v>10.91</v>
      </c>
      <c r="I69" s="100">
        <v>17.14</v>
      </c>
      <c r="J69" s="100">
        <v>0.79</v>
      </c>
      <c r="K69" s="100">
        <v>291.16000000000003</v>
      </c>
      <c r="L69" s="100">
        <v>31.12</v>
      </c>
      <c r="M69" s="100">
        <v>57.46</v>
      </c>
      <c r="N69" s="100">
        <v>687.5</v>
      </c>
      <c r="O69" s="100">
        <v>0</v>
      </c>
      <c r="P69" s="100">
        <v>0.8</v>
      </c>
      <c r="Q69" s="100">
        <v>28.65</v>
      </c>
      <c r="R69" s="6"/>
      <c r="S69" s="6"/>
      <c r="T69" s="156"/>
      <c r="U69" s="6"/>
    </row>
    <row r="70" spans="1:21" customFormat="1">
      <c r="A70" s="163" t="s">
        <v>2509</v>
      </c>
      <c r="B70" s="100">
        <v>8.3699999999999992</v>
      </c>
      <c r="C70" s="100">
        <v>10.86</v>
      </c>
      <c r="D70" s="100">
        <v>11.39</v>
      </c>
      <c r="E70" s="100">
        <v>5.94</v>
      </c>
      <c r="F70" s="100">
        <v>6.34</v>
      </c>
      <c r="G70" s="100">
        <v>30.1</v>
      </c>
      <c r="H70" s="100">
        <v>10.91</v>
      </c>
      <c r="I70" s="100">
        <v>16.84</v>
      </c>
      <c r="J70" s="100">
        <v>2</v>
      </c>
      <c r="K70" s="100">
        <v>354.24</v>
      </c>
      <c r="L70" s="100">
        <v>31.43</v>
      </c>
      <c r="M70" s="100">
        <v>55.96</v>
      </c>
      <c r="N70" s="100">
        <v>654.5</v>
      </c>
      <c r="O70" s="100">
        <v>0</v>
      </c>
      <c r="P70" s="100">
        <v>0.76</v>
      </c>
      <c r="Q70" s="100">
        <v>28.81</v>
      </c>
      <c r="R70" s="6"/>
      <c r="S70" s="6"/>
      <c r="T70" s="156"/>
      <c r="U70" s="6"/>
    </row>
    <row r="71" spans="1:21" customFormat="1">
      <c r="A71" s="163" t="s">
        <v>2510</v>
      </c>
      <c r="B71" s="100">
        <v>7.75</v>
      </c>
      <c r="C71" s="100">
        <v>10.8</v>
      </c>
      <c r="D71" s="100">
        <v>10.87</v>
      </c>
      <c r="E71" s="100">
        <v>5.6</v>
      </c>
      <c r="F71" s="100">
        <v>7.87</v>
      </c>
      <c r="G71" s="100">
        <v>30.1</v>
      </c>
      <c r="H71" s="100">
        <v>10.91</v>
      </c>
      <c r="I71" s="100">
        <v>16.61</v>
      </c>
      <c r="J71" s="100">
        <v>1.1200000000000001</v>
      </c>
      <c r="K71" s="100">
        <v>353.96</v>
      </c>
      <c r="L71" s="100">
        <v>31.37</v>
      </c>
      <c r="M71" s="100">
        <v>56.83</v>
      </c>
      <c r="N71" s="100">
        <v>555.20000000000005</v>
      </c>
      <c r="O71" s="100">
        <v>0</v>
      </c>
      <c r="P71" s="100">
        <v>0.73</v>
      </c>
      <c r="Q71" s="100">
        <v>28.87</v>
      </c>
      <c r="R71" s="6"/>
      <c r="S71" s="6"/>
      <c r="T71" s="156"/>
      <c r="U71" s="6"/>
    </row>
    <row r="72" spans="1:21" customFormat="1">
      <c r="A72" s="163" t="s">
        <v>2511</v>
      </c>
      <c r="B72" s="100">
        <v>6.97</v>
      </c>
      <c r="C72" s="100">
        <v>11.31</v>
      </c>
      <c r="D72" s="100">
        <v>10.51</v>
      </c>
      <c r="E72" s="100">
        <v>5.46</v>
      </c>
      <c r="F72" s="100">
        <v>10.23</v>
      </c>
      <c r="G72" s="100">
        <v>30.02</v>
      </c>
      <c r="H72" s="100">
        <v>11.19</v>
      </c>
      <c r="I72" s="100">
        <v>15.97</v>
      </c>
      <c r="J72" s="100">
        <v>2.57</v>
      </c>
      <c r="K72" s="100">
        <v>266.38</v>
      </c>
      <c r="L72" s="100">
        <v>30.74</v>
      </c>
      <c r="M72" s="100">
        <v>57.82</v>
      </c>
      <c r="N72" s="100">
        <v>319</v>
      </c>
      <c r="O72" s="100">
        <v>0</v>
      </c>
      <c r="P72" s="100">
        <v>0.7</v>
      </c>
      <c r="Q72" s="100">
        <v>28.86</v>
      </c>
      <c r="R72" s="6"/>
      <c r="S72" s="6"/>
      <c r="T72" s="156"/>
      <c r="U72" s="6"/>
    </row>
    <row r="73" spans="1:21" customFormat="1">
      <c r="A73" s="163" t="s">
        <v>2512</v>
      </c>
      <c r="B73" s="100">
        <v>6.08</v>
      </c>
      <c r="C73" s="100">
        <v>11.76</v>
      </c>
      <c r="D73" s="100">
        <v>10.02</v>
      </c>
      <c r="E73" s="100">
        <v>5.37</v>
      </c>
      <c r="F73" s="100">
        <v>11.15</v>
      </c>
      <c r="G73" s="100">
        <v>29.73</v>
      </c>
      <c r="H73" s="100">
        <v>12.21</v>
      </c>
      <c r="I73" s="100">
        <v>15.36</v>
      </c>
      <c r="J73" s="100">
        <v>1.8</v>
      </c>
      <c r="K73" s="100">
        <v>213.78</v>
      </c>
      <c r="L73" s="100">
        <v>30.51</v>
      </c>
      <c r="M73" s="100">
        <v>59.99</v>
      </c>
      <c r="N73" s="100">
        <v>267.60000000000002</v>
      </c>
      <c r="O73" s="100">
        <v>0</v>
      </c>
      <c r="P73" s="100">
        <v>0.67</v>
      </c>
      <c r="Q73" s="100">
        <v>28.85</v>
      </c>
      <c r="R73" s="6"/>
      <c r="S73" s="6"/>
      <c r="T73" s="156"/>
      <c r="U73" s="6"/>
    </row>
    <row r="74" spans="1:21" customFormat="1">
      <c r="A74" s="163" t="s">
        <v>2513</v>
      </c>
      <c r="B74" s="100">
        <v>5.5</v>
      </c>
      <c r="C74" s="100">
        <v>11</v>
      </c>
      <c r="D74" s="100">
        <v>9.16</v>
      </c>
      <c r="E74" s="100">
        <v>5.43</v>
      </c>
      <c r="F74" s="100">
        <v>11.34</v>
      </c>
      <c r="G74" s="100">
        <v>29.73</v>
      </c>
      <c r="H74" s="100">
        <v>12.21</v>
      </c>
      <c r="I74" s="100">
        <v>14.67</v>
      </c>
      <c r="J74" s="100">
        <v>1.34</v>
      </c>
      <c r="K74" s="100">
        <v>348.5</v>
      </c>
      <c r="L74" s="100">
        <v>30.72</v>
      </c>
      <c r="M74" s="100">
        <v>60.11</v>
      </c>
      <c r="N74" s="100">
        <v>305.8</v>
      </c>
      <c r="O74" s="100">
        <v>0</v>
      </c>
      <c r="P74" s="100">
        <v>0.66</v>
      </c>
      <c r="Q74" s="100">
        <v>28.92</v>
      </c>
      <c r="R74" s="6"/>
      <c r="S74" s="6"/>
      <c r="T74" s="156"/>
      <c r="U74" s="6"/>
    </row>
    <row r="75" spans="1:21" customFormat="1">
      <c r="A75" s="163" t="s">
        <v>2514</v>
      </c>
      <c r="B75" s="100">
        <v>5.14</v>
      </c>
      <c r="C75" s="100">
        <v>11.06</v>
      </c>
      <c r="D75" s="100">
        <v>8.91</v>
      </c>
      <c r="E75" s="100">
        <v>5.33</v>
      </c>
      <c r="F75" s="100">
        <v>9.6999999999999993</v>
      </c>
      <c r="G75" s="100">
        <v>29.73</v>
      </c>
      <c r="H75" s="100">
        <v>12.21</v>
      </c>
      <c r="I75" s="100">
        <v>13.96</v>
      </c>
      <c r="J75" s="100">
        <v>3.53</v>
      </c>
      <c r="K75" s="100">
        <v>262.57</v>
      </c>
      <c r="L75" s="100">
        <v>29.77</v>
      </c>
      <c r="M75" s="100">
        <v>61.87</v>
      </c>
      <c r="N75" s="100">
        <v>194.2</v>
      </c>
      <c r="O75" s="100">
        <v>0</v>
      </c>
      <c r="P75" s="100">
        <v>0.63</v>
      </c>
      <c r="Q75" s="100">
        <v>28.94</v>
      </c>
      <c r="R75" s="6"/>
      <c r="S75" s="6"/>
      <c r="T75" s="156"/>
      <c r="U75" s="6"/>
    </row>
    <row r="76" spans="1:21" customFormat="1">
      <c r="A76" s="163" t="s">
        <v>2515</v>
      </c>
      <c r="B76" s="100">
        <v>4.55</v>
      </c>
      <c r="C76" s="100">
        <v>10.28</v>
      </c>
      <c r="D76" s="100">
        <v>8.0299999999999994</v>
      </c>
      <c r="E76" s="100">
        <v>5.85</v>
      </c>
      <c r="F76" s="100">
        <v>13.92</v>
      </c>
      <c r="G76" s="100">
        <v>28.81</v>
      </c>
      <c r="H76" s="100">
        <v>12.01</v>
      </c>
      <c r="I76" s="100">
        <v>13.45</v>
      </c>
      <c r="J76" s="100">
        <v>2.12</v>
      </c>
      <c r="K76" s="100">
        <v>171.21</v>
      </c>
      <c r="L76" s="100">
        <v>29.47</v>
      </c>
      <c r="M76" s="100">
        <v>63.35</v>
      </c>
      <c r="N76" s="100">
        <v>143.5</v>
      </c>
      <c r="O76" s="100">
        <v>0</v>
      </c>
      <c r="P76" s="100">
        <v>0.59</v>
      </c>
      <c r="Q76" s="100">
        <v>29</v>
      </c>
      <c r="R76" s="6"/>
      <c r="S76" s="6"/>
      <c r="T76" s="156"/>
      <c r="U76" s="6"/>
    </row>
    <row r="77" spans="1:21" customFormat="1">
      <c r="A77" s="163" t="s">
        <v>2516</v>
      </c>
      <c r="B77" s="100">
        <v>4.1100000000000003</v>
      </c>
      <c r="C77" s="100">
        <v>10.5</v>
      </c>
      <c r="D77" s="100">
        <v>7.79</v>
      </c>
      <c r="E77" s="100">
        <v>5.73</v>
      </c>
      <c r="F77" s="100">
        <v>11.85</v>
      </c>
      <c r="G77" s="100">
        <v>25.37</v>
      </c>
      <c r="H77" s="100">
        <v>11.29</v>
      </c>
      <c r="I77" s="100">
        <v>13.07</v>
      </c>
      <c r="J77" s="100">
        <v>3.64</v>
      </c>
      <c r="K77" s="100">
        <v>279.49</v>
      </c>
      <c r="L77" s="100">
        <v>29.29</v>
      </c>
      <c r="M77" s="100">
        <v>63.07</v>
      </c>
      <c r="N77" s="100">
        <v>113.7</v>
      </c>
      <c r="O77" s="100">
        <v>0</v>
      </c>
      <c r="P77" s="100">
        <v>0.52</v>
      </c>
      <c r="Q77" s="100">
        <v>29.01</v>
      </c>
      <c r="R77" s="6"/>
      <c r="S77" s="6"/>
      <c r="T77" s="156"/>
      <c r="U77" s="6"/>
    </row>
    <row r="78" spans="1:21" customFormat="1">
      <c r="A78" s="163" t="s">
        <v>2517</v>
      </c>
      <c r="B78" s="100">
        <v>3.83</v>
      </c>
      <c r="C78" s="100">
        <v>9.9499999999999993</v>
      </c>
      <c r="D78" s="100">
        <v>7.28</v>
      </c>
      <c r="E78" s="100">
        <v>6.24</v>
      </c>
      <c r="F78" s="100">
        <v>11.73</v>
      </c>
      <c r="G78" s="100">
        <v>25.37</v>
      </c>
      <c r="H78" s="100">
        <v>11.29</v>
      </c>
      <c r="I78" s="100">
        <v>12.52</v>
      </c>
      <c r="J78" s="100">
        <v>2.29</v>
      </c>
      <c r="K78" s="100">
        <v>325.52</v>
      </c>
      <c r="L78" s="100">
        <v>29.19</v>
      </c>
      <c r="M78" s="100">
        <v>63.76</v>
      </c>
      <c r="N78" s="100">
        <v>94.8</v>
      </c>
      <c r="O78" s="100">
        <v>0</v>
      </c>
      <c r="P78" s="100">
        <v>0.51</v>
      </c>
      <c r="Q78" s="100">
        <v>29.05</v>
      </c>
      <c r="R78" s="6"/>
      <c r="S78" s="6"/>
      <c r="T78" s="156"/>
      <c r="U78" s="6"/>
    </row>
    <row r="79" spans="1:21" customFormat="1">
      <c r="A79" s="163" t="s">
        <v>2518</v>
      </c>
      <c r="B79" s="100">
        <v>3.99</v>
      </c>
      <c r="C79" s="100">
        <v>12.25</v>
      </c>
      <c r="D79" s="100">
        <v>8.6</v>
      </c>
      <c r="E79" s="100">
        <v>5.27</v>
      </c>
      <c r="F79" s="100">
        <v>4.8600000000000003</v>
      </c>
      <c r="G79" s="100">
        <v>25.37</v>
      </c>
      <c r="H79" s="100">
        <v>11.29</v>
      </c>
      <c r="I79" s="100">
        <v>11.86</v>
      </c>
      <c r="J79" s="100">
        <v>2.12</v>
      </c>
      <c r="K79" s="100">
        <v>270.81</v>
      </c>
      <c r="L79" s="100">
        <v>28.99</v>
      </c>
      <c r="M79" s="100">
        <v>64.34</v>
      </c>
      <c r="N79" s="100">
        <v>56.2</v>
      </c>
      <c r="O79" s="100">
        <v>0</v>
      </c>
      <c r="P79" s="100">
        <v>0.56000000000000005</v>
      </c>
      <c r="Q79" s="100">
        <v>28.96</v>
      </c>
      <c r="R79" s="6"/>
      <c r="S79" s="6"/>
      <c r="T79" s="156"/>
      <c r="U79" s="6"/>
    </row>
    <row r="80" spans="1:21" customFormat="1">
      <c r="A80" s="163" t="s">
        <v>2519</v>
      </c>
      <c r="B80" s="100">
        <v>4.12</v>
      </c>
      <c r="C80" s="100">
        <v>12.3</v>
      </c>
      <c r="D80" s="100">
        <v>8.74</v>
      </c>
      <c r="E80" s="100">
        <v>5.55</v>
      </c>
      <c r="F80" s="100">
        <v>6.5</v>
      </c>
      <c r="G80" s="100">
        <v>24.64</v>
      </c>
      <c r="H80" s="100">
        <v>10.65</v>
      </c>
      <c r="I80" s="100">
        <v>11.72</v>
      </c>
      <c r="J80" s="100">
        <v>1.5</v>
      </c>
      <c r="K80" s="100">
        <v>204.84</v>
      </c>
      <c r="L80" s="100">
        <v>28.75</v>
      </c>
      <c r="M80" s="100">
        <v>66.540000000000006</v>
      </c>
      <c r="N80" s="100">
        <v>42.9</v>
      </c>
      <c r="O80" s="100">
        <v>0</v>
      </c>
      <c r="P80" s="100">
        <v>0.54</v>
      </c>
      <c r="Q80" s="100">
        <v>29.01</v>
      </c>
      <c r="R80" s="6"/>
      <c r="S80" s="6"/>
      <c r="T80" s="156"/>
      <c r="U80" s="6"/>
    </row>
    <row r="81" spans="1:21" customFormat="1">
      <c r="A81" s="163" t="s">
        <v>2520</v>
      </c>
      <c r="B81" s="100">
        <v>4.1500000000000004</v>
      </c>
      <c r="C81" s="100">
        <v>10.94</v>
      </c>
      <c r="D81" s="100">
        <v>8.0500000000000007</v>
      </c>
      <c r="E81" s="100">
        <v>6.12</v>
      </c>
      <c r="F81" s="100">
        <v>7.23</v>
      </c>
      <c r="G81" s="100">
        <v>21.92</v>
      </c>
      <c r="H81" s="100">
        <v>8.2200000000000006</v>
      </c>
      <c r="I81" s="100">
        <v>12.61</v>
      </c>
      <c r="J81" s="100">
        <v>2.19</v>
      </c>
      <c r="K81" s="100">
        <v>198.5</v>
      </c>
      <c r="L81" s="100">
        <v>28.69</v>
      </c>
      <c r="M81" s="100">
        <v>66.81</v>
      </c>
      <c r="N81" s="100">
        <v>40.9</v>
      </c>
      <c r="O81" s="100">
        <v>0</v>
      </c>
      <c r="P81" s="100">
        <v>0.52</v>
      </c>
      <c r="Q81" s="100">
        <v>29.13</v>
      </c>
      <c r="R81" s="6"/>
      <c r="S81" s="6"/>
      <c r="T81" s="156"/>
      <c r="U81" s="6"/>
    </row>
    <row r="82" spans="1:21" customFormat="1">
      <c r="A82" s="163" t="s">
        <v>2521</v>
      </c>
      <c r="B82" s="100">
        <v>4.21</v>
      </c>
      <c r="C82" s="100">
        <v>9.91</v>
      </c>
      <c r="D82" s="100">
        <v>7.56</v>
      </c>
      <c r="E82" s="100">
        <v>6.15</v>
      </c>
      <c r="F82" s="100">
        <v>8.5399999999999991</v>
      </c>
      <c r="G82" s="100">
        <v>21.92</v>
      </c>
      <c r="H82" s="100">
        <v>8.2200000000000006</v>
      </c>
      <c r="I82" s="100">
        <v>12.24</v>
      </c>
      <c r="J82" s="100">
        <v>1.7</v>
      </c>
      <c r="K82" s="100">
        <v>279.18</v>
      </c>
      <c r="L82" s="100">
        <v>28.37</v>
      </c>
      <c r="M82" s="100">
        <v>66.45</v>
      </c>
      <c r="N82" s="100">
        <v>32.5</v>
      </c>
      <c r="O82" s="100">
        <v>0</v>
      </c>
      <c r="P82" s="100">
        <v>0.5</v>
      </c>
      <c r="Q82" s="100">
        <v>29.19</v>
      </c>
      <c r="R82" s="6"/>
      <c r="S82" s="6"/>
      <c r="T82" s="156"/>
      <c r="U82" s="6"/>
    </row>
    <row r="83" spans="1:21" customFormat="1">
      <c r="A83" s="163" t="s">
        <v>2522</v>
      </c>
      <c r="B83" s="100">
        <v>4.24</v>
      </c>
      <c r="C83" s="100">
        <v>9.68</v>
      </c>
      <c r="D83" s="100">
        <v>7.47</v>
      </c>
      <c r="E83" s="100">
        <v>6.06</v>
      </c>
      <c r="F83" s="100">
        <v>9.51</v>
      </c>
      <c r="G83" s="100">
        <v>21.92</v>
      </c>
      <c r="H83" s="100">
        <v>8.2200000000000006</v>
      </c>
      <c r="I83" s="100">
        <v>11.86</v>
      </c>
      <c r="J83" s="100">
        <v>1.97</v>
      </c>
      <c r="K83" s="100">
        <v>197.53</v>
      </c>
      <c r="L83" s="100">
        <v>28.3</v>
      </c>
      <c r="M83" s="100">
        <v>67.650000000000006</v>
      </c>
      <c r="N83" s="100">
        <v>25.2</v>
      </c>
      <c r="O83" s="100">
        <v>0</v>
      </c>
      <c r="P83" s="100">
        <v>0.51</v>
      </c>
      <c r="Q83" s="100">
        <v>29.28</v>
      </c>
      <c r="R83" s="6"/>
      <c r="S83" s="6"/>
      <c r="T83" s="156"/>
      <c r="U83" s="6"/>
    </row>
    <row r="84" spans="1:21" customFormat="1">
      <c r="A84" s="163" t="s">
        <v>2523</v>
      </c>
      <c r="B84" s="100">
        <v>4.46</v>
      </c>
      <c r="C84" s="100">
        <v>10.45</v>
      </c>
      <c r="D84" s="100">
        <v>8.0399999999999991</v>
      </c>
      <c r="E84" s="100">
        <v>6.31</v>
      </c>
      <c r="F84" s="100">
        <v>8.93</v>
      </c>
      <c r="G84" s="100">
        <v>21.93</v>
      </c>
      <c r="H84" s="100">
        <v>7.78</v>
      </c>
      <c r="I84" s="100">
        <v>11.81</v>
      </c>
      <c r="J84" s="100">
        <v>4.13</v>
      </c>
      <c r="K84" s="100">
        <v>306.83</v>
      </c>
      <c r="L84" s="100">
        <v>28.17</v>
      </c>
      <c r="M84" s="100">
        <v>66.91</v>
      </c>
      <c r="N84" s="100">
        <v>23.6</v>
      </c>
      <c r="O84" s="100">
        <v>0</v>
      </c>
      <c r="P84" s="100">
        <v>0.53</v>
      </c>
      <c r="Q84" s="100">
        <v>29.2</v>
      </c>
      <c r="R84" s="6"/>
      <c r="S84" s="6"/>
      <c r="T84" s="156"/>
      <c r="U84" s="6"/>
    </row>
    <row r="85" spans="1:21" customFormat="1">
      <c r="A85" s="163" t="s">
        <v>2524</v>
      </c>
      <c r="B85" s="100">
        <v>4.62</v>
      </c>
      <c r="C85" s="100">
        <v>12.25</v>
      </c>
      <c r="D85" s="100">
        <v>9.11</v>
      </c>
      <c r="E85" s="100">
        <v>6.54</v>
      </c>
      <c r="F85" s="100">
        <v>8.91</v>
      </c>
      <c r="G85" s="100">
        <v>21.95</v>
      </c>
      <c r="H85" s="100">
        <v>6.12</v>
      </c>
      <c r="I85" s="100">
        <v>11.66</v>
      </c>
      <c r="J85" s="100">
        <v>3.27</v>
      </c>
      <c r="K85" s="100">
        <v>242.39</v>
      </c>
      <c r="L85" s="100">
        <v>27.91</v>
      </c>
      <c r="M85" s="100">
        <v>68.319999999999993</v>
      </c>
      <c r="N85" s="100">
        <v>23.5</v>
      </c>
      <c r="O85" s="100">
        <v>0</v>
      </c>
      <c r="P85" s="100">
        <v>0.54</v>
      </c>
      <c r="Q85" s="100">
        <v>29.16</v>
      </c>
      <c r="R85" s="6"/>
      <c r="S85" s="6"/>
      <c r="T85" s="156"/>
      <c r="U85" s="6"/>
    </row>
    <row r="86" spans="1:21" customFormat="1">
      <c r="A86" s="163" t="s">
        <v>2525</v>
      </c>
      <c r="B86" s="100">
        <v>4.49</v>
      </c>
      <c r="C86" s="100">
        <v>12.04</v>
      </c>
      <c r="D86" s="100">
        <v>8.89</v>
      </c>
      <c r="E86" s="100">
        <v>6.57</v>
      </c>
      <c r="F86" s="100">
        <v>11.22</v>
      </c>
      <c r="G86" s="100">
        <v>21.95</v>
      </c>
      <c r="H86" s="100">
        <v>6.12</v>
      </c>
      <c r="I86" s="100">
        <v>12.18</v>
      </c>
      <c r="J86" s="100">
        <v>1.84</v>
      </c>
      <c r="K86" s="100">
        <v>279.3</v>
      </c>
      <c r="L86" s="100">
        <v>27.8</v>
      </c>
      <c r="M86" s="100">
        <v>69.53</v>
      </c>
      <c r="N86" s="100">
        <v>23.4</v>
      </c>
      <c r="O86" s="100">
        <v>0</v>
      </c>
      <c r="P86" s="100">
        <v>0.53</v>
      </c>
      <c r="Q86" s="100">
        <v>29.1</v>
      </c>
      <c r="R86" s="6"/>
      <c r="S86" s="6"/>
      <c r="T86" s="156"/>
      <c r="U86" s="6"/>
    </row>
    <row r="87" spans="1:21" customFormat="1">
      <c r="A87" s="163" t="s">
        <v>2526</v>
      </c>
      <c r="B87" s="100">
        <v>5.1100000000000003</v>
      </c>
      <c r="C87" s="100">
        <v>12.32</v>
      </c>
      <c r="D87" s="100">
        <v>9.5399999999999991</v>
      </c>
      <c r="E87" s="100">
        <v>7</v>
      </c>
      <c r="F87" s="100">
        <v>9.64</v>
      </c>
      <c r="G87" s="100">
        <v>21.95</v>
      </c>
      <c r="H87" s="100">
        <v>6.12</v>
      </c>
      <c r="I87" s="100">
        <v>12.64</v>
      </c>
      <c r="J87" s="100">
        <v>3.43</v>
      </c>
      <c r="K87" s="100">
        <v>359.42</v>
      </c>
      <c r="L87" s="100">
        <v>27.53</v>
      </c>
      <c r="M87" s="100">
        <v>71.260000000000005</v>
      </c>
      <c r="N87" s="100">
        <v>23.5</v>
      </c>
      <c r="O87" s="100">
        <v>0</v>
      </c>
      <c r="P87" s="100">
        <v>0.56999999999999995</v>
      </c>
      <c r="Q87" s="100">
        <v>29.03</v>
      </c>
      <c r="R87" s="6"/>
      <c r="S87" s="6"/>
      <c r="T87" s="156"/>
      <c r="U87" s="6"/>
    </row>
    <row r="88" spans="1:21" customFormat="1">
      <c r="A88" s="163" t="s">
        <v>2527</v>
      </c>
      <c r="B88" s="100">
        <v>5.28</v>
      </c>
      <c r="C88" s="100">
        <v>13.31</v>
      </c>
      <c r="D88" s="100">
        <v>10.19</v>
      </c>
      <c r="E88" s="100">
        <v>7.38</v>
      </c>
      <c r="F88" s="100">
        <v>8.24</v>
      </c>
      <c r="G88" s="100">
        <v>22.77</v>
      </c>
      <c r="H88" s="100">
        <v>6.28</v>
      </c>
      <c r="I88" s="100">
        <v>12.4</v>
      </c>
      <c r="J88" s="100">
        <v>1.91</v>
      </c>
      <c r="K88" s="100">
        <v>99.74</v>
      </c>
      <c r="L88" s="100">
        <v>27.2</v>
      </c>
      <c r="M88" s="100">
        <v>73.11</v>
      </c>
      <c r="N88" s="100">
        <v>23.5</v>
      </c>
      <c r="O88" s="100">
        <v>0</v>
      </c>
      <c r="P88" s="100">
        <v>0.57999999999999996</v>
      </c>
      <c r="Q88" s="100">
        <v>28.96</v>
      </c>
      <c r="R88" s="6"/>
      <c r="S88" s="6"/>
      <c r="T88" s="156"/>
      <c r="U88" s="6"/>
    </row>
    <row r="89" spans="1:21" customFormat="1">
      <c r="A89" s="163" t="s">
        <v>2528</v>
      </c>
      <c r="B89" s="100">
        <v>5.15</v>
      </c>
      <c r="C89" s="100">
        <v>13.64</v>
      </c>
      <c r="D89" s="100">
        <v>10.26</v>
      </c>
      <c r="E89" s="100">
        <v>6.38</v>
      </c>
      <c r="F89" s="100">
        <v>7.81</v>
      </c>
      <c r="G89" s="100">
        <v>25.85</v>
      </c>
      <c r="H89" s="100">
        <v>6.89</v>
      </c>
      <c r="I89" s="100">
        <v>12.73</v>
      </c>
      <c r="J89" s="100">
        <v>3.37</v>
      </c>
      <c r="K89" s="100">
        <v>139.05000000000001</v>
      </c>
      <c r="L89" s="100">
        <v>26.95</v>
      </c>
      <c r="M89" s="100">
        <v>73.19</v>
      </c>
      <c r="N89" s="100">
        <v>23.3</v>
      </c>
      <c r="O89" s="100">
        <v>0</v>
      </c>
      <c r="P89" s="100">
        <v>0.56999999999999995</v>
      </c>
      <c r="Q89" s="100">
        <v>28.93</v>
      </c>
      <c r="R89" s="6"/>
      <c r="S89" s="6"/>
      <c r="T89" s="156"/>
      <c r="U89" s="6"/>
    </row>
    <row r="90" spans="1:21" customFormat="1">
      <c r="A90" s="163" t="s">
        <v>2529</v>
      </c>
      <c r="B90" s="100">
        <v>5.59</v>
      </c>
      <c r="C90" s="100">
        <v>14.47</v>
      </c>
      <c r="D90" s="100">
        <v>11.05</v>
      </c>
      <c r="E90" s="100">
        <v>6.39</v>
      </c>
      <c r="F90" s="100">
        <v>5.95</v>
      </c>
      <c r="G90" s="100">
        <v>25.85</v>
      </c>
      <c r="H90" s="100">
        <v>6.89</v>
      </c>
      <c r="I90" s="100">
        <v>13.15</v>
      </c>
      <c r="J90" s="100">
        <v>1.72</v>
      </c>
      <c r="K90" s="100">
        <v>66.23</v>
      </c>
      <c r="L90" s="100">
        <v>26.88</v>
      </c>
      <c r="M90" s="100">
        <v>73.959999999999994</v>
      </c>
      <c r="N90" s="100">
        <v>23.3</v>
      </c>
      <c r="O90" s="100">
        <v>0</v>
      </c>
      <c r="P90" s="100">
        <v>0.61</v>
      </c>
      <c r="Q90" s="100">
        <v>28.92</v>
      </c>
      <c r="R90" s="6"/>
      <c r="S90" s="6"/>
      <c r="T90" s="156"/>
      <c r="U90" s="6"/>
    </row>
    <row r="91" spans="1:21" customFormat="1">
      <c r="A91" s="163" t="s">
        <v>2530</v>
      </c>
      <c r="B91" s="100">
        <v>7.74</v>
      </c>
      <c r="C91" s="100">
        <v>17.170000000000002</v>
      </c>
      <c r="D91" s="100">
        <v>14.18</v>
      </c>
      <c r="E91" s="100">
        <v>6.55</v>
      </c>
      <c r="F91" s="100">
        <v>3.29</v>
      </c>
      <c r="G91" s="100">
        <v>25.85</v>
      </c>
      <c r="H91" s="100">
        <v>6.89</v>
      </c>
      <c r="I91" s="100">
        <v>12.88</v>
      </c>
      <c r="J91" s="100">
        <v>5.46</v>
      </c>
      <c r="K91" s="100">
        <v>155.07</v>
      </c>
      <c r="L91" s="100">
        <v>26.72</v>
      </c>
      <c r="M91" s="100">
        <v>75.87</v>
      </c>
      <c r="N91" s="100">
        <v>23.3</v>
      </c>
      <c r="O91" s="100">
        <v>0</v>
      </c>
      <c r="P91" s="100">
        <v>0.69</v>
      </c>
      <c r="Q91" s="100">
        <v>28.77</v>
      </c>
      <c r="R91" s="6"/>
      <c r="S91" s="6"/>
      <c r="T91" s="156"/>
      <c r="U91" s="6"/>
    </row>
    <row r="92" spans="1:21" customFormat="1">
      <c r="A92" s="163" t="s">
        <v>2531</v>
      </c>
      <c r="B92" s="100">
        <v>9.32</v>
      </c>
      <c r="C92" s="100">
        <v>16.989999999999998</v>
      </c>
      <c r="D92" s="100">
        <v>15.36</v>
      </c>
      <c r="E92" s="100">
        <v>6.19</v>
      </c>
      <c r="F92" s="100">
        <v>2.67</v>
      </c>
      <c r="G92" s="100">
        <v>27.86</v>
      </c>
      <c r="H92" s="100">
        <v>7.82</v>
      </c>
      <c r="I92" s="100">
        <v>13.75</v>
      </c>
      <c r="J92" s="100">
        <v>4.9800000000000004</v>
      </c>
      <c r="K92" s="100">
        <v>147.44</v>
      </c>
      <c r="L92" s="100">
        <v>26.59</v>
      </c>
      <c r="M92" s="100">
        <v>76.900000000000006</v>
      </c>
      <c r="N92" s="100">
        <v>23.3</v>
      </c>
      <c r="O92" s="100">
        <v>0</v>
      </c>
      <c r="P92" s="100">
        <v>0.72</v>
      </c>
      <c r="Q92" s="100">
        <v>28.52</v>
      </c>
      <c r="R92" s="6"/>
      <c r="S92" s="6"/>
      <c r="T92" s="156"/>
      <c r="U92" s="6"/>
    </row>
    <row r="93" spans="1:21" customFormat="1">
      <c r="A93" s="163" t="s">
        <v>2532</v>
      </c>
      <c r="B93" s="100">
        <v>9.9</v>
      </c>
      <c r="C93" s="100">
        <v>17.02</v>
      </c>
      <c r="D93" s="100">
        <v>15.83</v>
      </c>
      <c r="E93" s="100">
        <v>6.32</v>
      </c>
      <c r="F93" s="100">
        <v>2.59</v>
      </c>
      <c r="G93" s="100">
        <v>35.36</v>
      </c>
      <c r="H93" s="100">
        <v>11.28</v>
      </c>
      <c r="I93" s="100">
        <v>15.35</v>
      </c>
      <c r="J93" s="100">
        <v>5.0199999999999996</v>
      </c>
      <c r="K93" s="100">
        <v>160.69999999999999</v>
      </c>
      <c r="L93" s="100">
        <v>26.67</v>
      </c>
      <c r="M93" s="100">
        <v>76.989999999999995</v>
      </c>
      <c r="N93" s="100">
        <v>23.1</v>
      </c>
      <c r="O93" s="100">
        <v>0</v>
      </c>
      <c r="P93" s="100">
        <v>0.67</v>
      </c>
      <c r="Q93" s="100">
        <v>28.43</v>
      </c>
      <c r="R93" s="6"/>
      <c r="S93" s="6"/>
      <c r="T93" s="156"/>
      <c r="U93" s="6"/>
    </row>
    <row r="94" spans="1:21" customFormat="1">
      <c r="A94" s="163" t="s">
        <v>2533</v>
      </c>
      <c r="B94" s="100">
        <v>10.66</v>
      </c>
      <c r="C94" s="100">
        <v>15.59</v>
      </c>
      <c r="D94" s="100">
        <v>15.7</v>
      </c>
      <c r="E94" s="100">
        <v>7.12</v>
      </c>
      <c r="F94" s="100">
        <v>2.78</v>
      </c>
      <c r="G94" s="100">
        <v>35.36</v>
      </c>
      <c r="H94" s="100">
        <v>11.28</v>
      </c>
      <c r="I94" s="100">
        <v>14.62</v>
      </c>
      <c r="J94" s="100">
        <v>5.1100000000000003</v>
      </c>
      <c r="K94" s="100">
        <v>140.19999999999999</v>
      </c>
      <c r="L94" s="100">
        <v>26.83</v>
      </c>
      <c r="M94" s="100">
        <v>75.73</v>
      </c>
      <c r="N94" s="100">
        <v>23.1</v>
      </c>
      <c r="O94" s="100">
        <v>0</v>
      </c>
      <c r="P94" s="100">
        <v>0.72</v>
      </c>
      <c r="Q94" s="100">
        <v>28.44</v>
      </c>
      <c r="R94" s="6"/>
      <c r="S94" s="6"/>
      <c r="T94" s="156"/>
      <c r="U94" s="6"/>
    </row>
    <row r="95" spans="1:21" customFormat="1">
      <c r="A95" s="163" t="s">
        <v>2534</v>
      </c>
      <c r="B95" s="100">
        <v>14.47</v>
      </c>
      <c r="C95" s="100">
        <v>14.41</v>
      </c>
      <c r="D95" s="100">
        <v>18.14</v>
      </c>
      <c r="E95" s="100">
        <v>7.11</v>
      </c>
      <c r="F95" s="100">
        <v>2.58</v>
      </c>
      <c r="G95" s="100">
        <v>35.36</v>
      </c>
      <c r="H95" s="100">
        <v>11.28</v>
      </c>
      <c r="I95" s="100">
        <v>14.93</v>
      </c>
      <c r="J95" s="100">
        <v>5.33</v>
      </c>
      <c r="K95" s="100">
        <v>103.45</v>
      </c>
      <c r="L95" s="100">
        <v>26.96</v>
      </c>
      <c r="M95" s="100">
        <v>76.23</v>
      </c>
      <c r="N95" s="100">
        <v>23.2</v>
      </c>
      <c r="O95" s="100">
        <v>0</v>
      </c>
      <c r="P95" s="100">
        <v>0.74</v>
      </c>
      <c r="Q95" s="100">
        <v>28.48</v>
      </c>
      <c r="R95" s="6"/>
      <c r="S95" s="6"/>
      <c r="T95" s="156"/>
      <c r="U95" s="6"/>
    </row>
    <row r="96" spans="1:21" customFormat="1">
      <c r="A96" s="163" t="s">
        <v>2535</v>
      </c>
      <c r="B96" s="100">
        <v>12.8</v>
      </c>
      <c r="C96" s="100">
        <v>13.46</v>
      </c>
      <c r="D96" s="100">
        <v>16.3</v>
      </c>
      <c r="E96" s="100">
        <v>6.69</v>
      </c>
      <c r="F96" s="100">
        <v>2.57</v>
      </c>
      <c r="G96" s="100">
        <v>38.229999999999997</v>
      </c>
      <c r="H96" s="100">
        <v>11.71</v>
      </c>
      <c r="I96" s="100">
        <v>15.24</v>
      </c>
      <c r="J96" s="100">
        <v>4.66</v>
      </c>
      <c r="K96" s="100">
        <v>132.76</v>
      </c>
      <c r="L96" s="100">
        <v>26.9</v>
      </c>
      <c r="M96" s="100">
        <v>77.28</v>
      </c>
      <c r="N96" s="100">
        <v>23.2</v>
      </c>
      <c r="O96" s="100">
        <v>0</v>
      </c>
      <c r="P96" s="100">
        <v>0.76</v>
      </c>
      <c r="Q96" s="100">
        <v>28.45</v>
      </c>
      <c r="R96" s="6"/>
      <c r="S96" s="6"/>
      <c r="T96" s="156"/>
      <c r="U96" s="6"/>
    </row>
    <row r="97" spans="1:28" customFormat="1">
      <c r="A97" s="163" t="s">
        <v>2536</v>
      </c>
      <c r="B97" s="100">
        <v>14.15</v>
      </c>
      <c r="C97" s="100">
        <v>15.18</v>
      </c>
      <c r="D97" s="100">
        <v>18.28</v>
      </c>
      <c r="E97" s="100">
        <v>6.82</v>
      </c>
      <c r="F97" s="100">
        <v>2.39</v>
      </c>
      <c r="G97" s="100">
        <v>48.96</v>
      </c>
      <c r="H97" s="100">
        <v>13.33</v>
      </c>
      <c r="I97" s="100">
        <v>16.22</v>
      </c>
      <c r="J97" s="100">
        <v>3.95</v>
      </c>
      <c r="K97" s="100">
        <v>147.08000000000001</v>
      </c>
      <c r="L97" s="100">
        <v>26.82</v>
      </c>
      <c r="M97" s="100">
        <v>78.14</v>
      </c>
      <c r="N97" s="100">
        <v>23</v>
      </c>
      <c r="O97" s="100">
        <v>0</v>
      </c>
      <c r="P97" s="100">
        <v>0.85</v>
      </c>
      <c r="Q97" s="100">
        <v>28.4</v>
      </c>
      <c r="R97" s="6"/>
      <c r="S97" s="6"/>
      <c r="T97" s="156"/>
      <c r="U97" s="6"/>
    </row>
    <row r="98" spans="1:28" customFormat="1">
      <c r="A98" s="163" t="s">
        <v>2537</v>
      </c>
      <c r="B98" s="100">
        <v>17.48</v>
      </c>
      <c r="C98" s="100">
        <v>17.97</v>
      </c>
      <c r="D98" s="100">
        <v>22.41</v>
      </c>
      <c r="E98" s="100">
        <v>8.6300000000000008</v>
      </c>
      <c r="F98" s="100">
        <v>2.57</v>
      </c>
      <c r="G98" s="100">
        <v>48.96</v>
      </c>
      <c r="H98" s="100">
        <v>13.33</v>
      </c>
      <c r="I98" s="100">
        <v>16.34</v>
      </c>
      <c r="J98" s="100">
        <v>3.76</v>
      </c>
      <c r="K98" s="100">
        <v>68.22</v>
      </c>
      <c r="L98" s="100">
        <v>26.56</v>
      </c>
      <c r="M98" s="100">
        <v>80.38</v>
      </c>
      <c r="N98" s="100">
        <v>23.4</v>
      </c>
      <c r="O98" s="100">
        <v>0</v>
      </c>
      <c r="P98" s="100">
        <v>0.91</v>
      </c>
      <c r="Q98" s="100">
        <v>28.27</v>
      </c>
      <c r="R98" s="6"/>
      <c r="S98" s="6"/>
      <c r="T98" s="156"/>
      <c r="U98" s="6"/>
    </row>
    <row r="99" spans="1:28" customFormat="1">
      <c r="A99" s="163" t="s">
        <v>2538</v>
      </c>
      <c r="B99" s="100">
        <v>16.22</v>
      </c>
      <c r="C99" s="100">
        <v>17.899999999999999</v>
      </c>
      <c r="D99" s="100">
        <v>21.36</v>
      </c>
      <c r="E99" s="100">
        <v>7.08</v>
      </c>
      <c r="F99" s="100">
        <v>2.75</v>
      </c>
      <c r="G99" s="100">
        <v>48.96</v>
      </c>
      <c r="H99" s="100">
        <v>13.33</v>
      </c>
      <c r="I99" s="100">
        <v>16.149999999999999</v>
      </c>
      <c r="J99" s="100">
        <v>3.57</v>
      </c>
      <c r="K99" s="100">
        <v>127.54</v>
      </c>
      <c r="L99" s="100">
        <v>26.41</v>
      </c>
      <c r="M99" s="100">
        <v>81.599999999999994</v>
      </c>
      <c r="N99" s="100">
        <v>23.5</v>
      </c>
      <c r="O99" s="100">
        <v>0</v>
      </c>
      <c r="P99" s="100">
        <v>0.83</v>
      </c>
      <c r="Q99" s="100">
        <v>28.11</v>
      </c>
      <c r="R99" s="6"/>
      <c r="S99" s="6"/>
      <c r="T99" s="156"/>
      <c r="U99" s="6"/>
    </row>
    <row r="100" spans="1:28" customFormat="1">
      <c r="A100" s="163" t="s">
        <v>2539</v>
      </c>
      <c r="B100" s="100">
        <v>14.89</v>
      </c>
      <c r="C100" s="100">
        <v>17</v>
      </c>
      <c r="D100" s="100">
        <v>19.829999999999998</v>
      </c>
      <c r="E100" s="100">
        <v>7.22</v>
      </c>
      <c r="F100" s="100">
        <v>2.96</v>
      </c>
      <c r="G100" s="100">
        <v>52.54</v>
      </c>
      <c r="H100" s="100">
        <v>14.33</v>
      </c>
      <c r="I100" s="100">
        <v>14.57</v>
      </c>
      <c r="J100" s="100">
        <v>2.27</v>
      </c>
      <c r="K100" s="100">
        <v>132.4</v>
      </c>
      <c r="L100" s="100">
        <v>26.33</v>
      </c>
      <c r="M100" s="100">
        <v>81.459999999999994</v>
      </c>
      <c r="N100" s="100">
        <v>23.3</v>
      </c>
      <c r="O100" s="100">
        <v>0</v>
      </c>
      <c r="P100" s="100">
        <v>0.84</v>
      </c>
      <c r="Q100" s="100">
        <v>28</v>
      </c>
      <c r="R100" s="6"/>
      <c r="S100" s="6"/>
      <c r="T100" s="156"/>
      <c r="U100" s="6"/>
      <c r="AB100" s="161"/>
    </row>
    <row r="101" spans="1:28" customFormat="1">
      <c r="A101" s="163" t="s">
        <v>2540</v>
      </c>
      <c r="B101" s="100">
        <v>13.79</v>
      </c>
      <c r="C101" s="100">
        <v>16.34</v>
      </c>
      <c r="D101" s="100">
        <v>18.600000000000001</v>
      </c>
      <c r="E101" s="100">
        <v>6.01</v>
      </c>
      <c r="F101" s="100">
        <v>3.8</v>
      </c>
      <c r="G101" s="100">
        <v>65.91</v>
      </c>
      <c r="H101" s="100">
        <v>18.059999999999999</v>
      </c>
      <c r="I101" s="100">
        <v>17.059999999999999</v>
      </c>
      <c r="J101" s="100">
        <v>3.59</v>
      </c>
      <c r="K101" s="100">
        <v>124.4</v>
      </c>
      <c r="L101" s="100">
        <v>26.31</v>
      </c>
      <c r="M101" s="100">
        <v>80.58</v>
      </c>
      <c r="N101" s="100">
        <v>23.3</v>
      </c>
      <c r="O101" s="100">
        <v>0</v>
      </c>
      <c r="P101" s="100">
        <v>0.77</v>
      </c>
      <c r="Q101" s="100">
        <v>27.97</v>
      </c>
      <c r="R101" s="6"/>
      <c r="S101" s="6"/>
      <c r="T101" s="156"/>
      <c r="U101" s="6"/>
    </row>
    <row r="102" spans="1:28" customFormat="1">
      <c r="A102" s="163" t="s">
        <v>2541</v>
      </c>
      <c r="B102" s="100">
        <v>13.75</v>
      </c>
      <c r="C102" s="100">
        <v>16.21</v>
      </c>
      <c r="D102" s="100">
        <v>18.5</v>
      </c>
      <c r="E102" s="100">
        <v>7.05</v>
      </c>
      <c r="F102" s="100">
        <v>3.79</v>
      </c>
      <c r="G102" s="100">
        <v>65.91</v>
      </c>
      <c r="H102" s="100">
        <v>18.059999999999999</v>
      </c>
      <c r="I102" s="100">
        <v>17.07</v>
      </c>
      <c r="J102" s="100">
        <v>1.73</v>
      </c>
      <c r="K102" s="100">
        <v>131.58000000000001</v>
      </c>
      <c r="L102" s="100">
        <v>26.28</v>
      </c>
      <c r="M102" s="100">
        <v>81.27</v>
      </c>
      <c r="N102" s="100">
        <v>23.3</v>
      </c>
      <c r="O102" s="100">
        <v>0</v>
      </c>
      <c r="P102" s="100">
        <v>0.81</v>
      </c>
      <c r="Q102" s="100">
        <v>27.97</v>
      </c>
      <c r="R102" s="6"/>
      <c r="S102" s="6"/>
      <c r="T102" s="156"/>
      <c r="U102" s="6"/>
    </row>
    <row r="103" spans="1:28" customFormat="1">
      <c r="A103" s="163" t="s">
        <v>2542</v>
      </c>
      <c r="B103" s="100">
        <v>13.12</v>
      </c>
      <c r="C103" s="100">
        <v>16.510000000000002</v>
      </c>
      <c r="D103" s="100">
        <v>18.149999999999999</v>
      </c>
      <c r="E103" s="100">
        <v>7.16</v>
      </c>
      <c r="F103" s="100">
        <v>4.0999999999999996</v>
      </c>
      <c r="G103" s="100">
        <v>65.91</v>
      </c>
      <c r="H103" s="100">
        <v>18.059999999999999</v>
      </c>
      <c r="I103" s="100">
        <v>16.579999999999998</v>
      </c>
      <c r="J103" s="100">
        <v>0.85</v>
      </c>
      <c r="K103" s="100">
        <v>77.69</v>
      </c>
      <c r="L103" s="100">
        <v>26.38</v>
      </c>
      <c r="M103" s="100">
        <v>80.7</v>
      </c>
      <c r="N103" s="100">
        <v>23.2</v>
      </c>
      <c r="O103" s="100">
        <v>0</v>
      </c>
      <c r="P103" s="100">
        <v>0.83</v>
      </c>
      <c r="Q103" s="100">
        <v>27.99</v>
      </c>
      <c r="R103" s="6"/>
      <c r="S103" s="6"/>
      <c r="T103" s="156"/>
      <c r="U103" s="6"/>
    </row>
    <row r="104" spans="1:28" customFormat="1">
      <c r="A104" s="163" t="s">
        <v>2543</v>
      </c>
      <c r="B104" s="100">
        <v>13.46</v>
      </c>
      <c r="C104" s="100">
        <v>14.24</v>
      </c>
      <c r="D104" s="100">
        <v>17.239999999999998</v>
      </c>
      <c r="E104" s="100">
        <v>6.65</v>
      </c>
      <c r="F104" s="100">
        <v>5.48</v>
      </c>
      <c r="G104" s="100">
        <v>64.27</v>
      </c>
      <c r="H104" s="100">
        <v>16.989999999999998</v>
      </c>
      <c r="I104" s="100">
        <v>17.04</v>
      </c>
      <c r="J104" s="100">
        <v>3.64</v>
      </c>
      <c r="K104" s="100">
        <v>204.74</v>
      </c>
      <c r="L104" s="100">
        <v>26.52</v>
      </c>
      <c r="M104" s="100">
        <v>78.36</v>
      </c>
      <c r="N104" s="100">
        <v>23.4</v>
      </c>
      <c r="O104" s="100">
        <v>0</v>
      </c>
      <c r="P104" s="100">
        <v>0.76</v>
      </c>
      <c r="Q104" s="100">
        <v>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3.83</v>
      </c>
      <c r="C106" s="158">
        <f>MIN(C9:C104)</f>
        <v>7.85</v>
      </c>
      <c r="D106" s="158">
        <f t="shared" ref="D106:Q106" si="0">MIN(D9:D104)</f>
        <v>7.17</v>
      </c>
      <c r="E106" s="158">
        <f t="shared" si="0"/>
        <v>4.62</v>
      </c>
      <c r="F106" s="158">
        <f t="shared" si="0"/>
        <v>2.31</v>
      </c>
      <c r="G106" s="158">
        <f t="shared" si="0"/>
        <v>10.99</v>
      </c>
      <c r="H106" s="158">
        <f t="shared" si="0"/>
        <v>2.4700000000000002</v>
      </c>
      <c r="I106" s="158">
        <f t="shared" si="0"/>
        <v>6.37</v>
      </c>
      <c r="J106" s="158">
        <f t="shared" si="0"/>
        <v>0.79</v>
      </c>
      <c r="K106" s="158">
        <f t="shared" si="0"/>
        <v>23.28</v>
      </c>
      <c r="L106" s="158">
        <f t="shared" si="0"/>
        <v>22.85</v>
      </c>
      <c r="M106" s="158">
        <f t="shared" si="0"/>
        <v>55.96</v>
      </c>
      <c r="N106" s="158">
        <f t="shared" si="0"/>
        <v>23</v>
      </c>
      <c r="O106" s="158">
        <f t="shared" si="0"/>
        <v>0</v>
      </c>
      <c r="P106" s="158">
        <f t="shared" si="0"/>
        <v>0.33</v>
      </c>
      <c r="Q106" s="158">
        <f t="shared" si="0"/>
        <v>27.97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17.48</v>
      </c>
      <c r="C107" s="157">
        <f t="shared" ref="C107:Q107" si="1">MAX(C9:C104)</f>
        <v>17.97</v>
      </c>
      <c r="D107" s="157">
        <f t="shared" si="1"/>
        <v>22.41</v>
      </c>
      <c r="E107" s="157">
        <f t="shared" si="1"/>
        <v>8.6300000000000008</v>
      </c>
      <c r="F107" s="157">
        <f t="shared" si="1"/>
        <v>13.92</v>
      </c>
      <c r="G107" s="157">
        <f t="shared" si="1"/>
        <v>65.91</v>
      </c>
      <c r="H107" s="157">
        <f t="shared" si="1"/>
        <v>18.059999999999999</v>
      </c>
      <c r="I107" s="157">
        <f t="shared" si="1"/>
        <v>19.100000000000001</v>
      </c>
      <c r="J107" s="157">
        <f t="shared" si="1"/>
        <v>6.43</v>
      </c>
      <c r="K107" s="157">
        <f t="shared" si="1"/>
        <v>359.42</v>
      </c>
      <c r="L107" s="157">
        <f t="shared" si="1"/>
        <v>31.43</v>
      </c>
      <c r="M107" s="157">
        <f t="shared" si="1"/>
        <v>97.05</v>
      </c>
      <c r="N107" s="157">
        <f t="shared" si="1"/>
        <v>687.5</v>
      </c>
      <c r="O107" s="157">
        <f t="shared" si="1"/>
        <v>7.2</v>
      </c>
      <c r="P107" s="157">
        <f t="shared" si="1"/>
        <v>0.91</v>
      </c>
      <c r="Q107" s="157">
        <f t="shared" si="1"/>
        <v>29.28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9.0002083333333349</v>
      </c>
      <c r="C108" s="158">
        <f t="shared" ref="C108:Q108" si="2">AVERAGE(C9:C104)</f>
        <v>12.2659375</v>
      </c>
      <c r="D108" s="158">
        <f t="shared" si="2"/>
        <v>12.631666666666662</v>
      </c>
      <c r="E108" s="158">
        <f t="shared" si="2"/>
        <v>5.7195833333333326</v>
      </c>
      <c r="F108" s="158">
        <f t="shared" si="2"/>
        <v>4.708541666666668</v>
      </c>
      <c r="G108" s="158">
        <f t="shared" si="2"/>
        <v>23.490208333333317</v>
      </c>
      <c r="H108" s="158">
        <f t="shared" si="2"/>
        <v>7.1430208333333338</v>
      </c>
      <c r="I108" s="158">
        <f t="shared" si="2"/>
        <v>11.708124999999997</v>
      </c>
      <c r="J108" s="158">
        <f t="shared" si="2"/>
        <v>3.6161458333333329</v>
      </c>
      <c r="K108" s="158">
        <f t="shared" si="2"/>
        <v>205.76312500000003</v>
      </c>
      <c r="L108" s="158">
        <f t="shared" si="2"/>
        <v>26.348437500000003</v>
      </c>
      <c r="M108" s="158">
        <f t="shared" si="2"/>
        <v>78.909479166666628</v>
      </c>
      <c r="N108" s="158">
        <f t="shared" si="2"/>
        <v>134.18437499999999</v>
      </c>
      <c r="O108" s="158">
        <f t="shared" si="2"/>
        <v>0.28333333333333333</v>
      </c>
      <c r="P108" s="158">
        <f t="shared" si="2"/>
        <v>0.55958333333333343</v>
      </c>
      <c r="Q108" s="158">
        <f t="shared" si="2"/>
        <v>28.653854166666665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3.4336554034766733</v>
      </c>
      <c r="C109" s="158">
        <f t="shared" ref="C109:Q109" si="3">STDEV(C9:C104)</f>
        <v>2.6067949985516048</v>
      </c>
      <c r="D109" s="158">
        <f t="shared" si="3"/>
        <v>3.7576472669020227</v>
      </c>
      <c r="E109" s="158">
        <f t="shared" si="3"/>
        <v>0.69313462908376977</v>
      </c>
      <c r="F109" s="158">
        <f t="shared" si="3"/>
        <v>2.6843358402980706</v>
      </c>
      <c r="G109" s="158">
        <f t="shared" si="3"/>
        <v>12.817231409659922</v>
      </c>
      <c r="H109" s="158">
        <f t="shared" si="3"/>
        <v>4.3123053108863081</v>
      </c>
      <c r="I109" s="158">
        <f t="shared" si="3"/>
        <v>4.4493522443988311</v>
      </c>
      <c r="J109" s="158">
        <f t="shared" si="3"/>
        <v>1.467005090789911</v>
      </c>
      <c r="K109" s="158">
        <f t="shared" si="3"/>
        <v>69.375035632992208</v>
      </c>
      <c r="L109" s="158">
        <f t="shared" si="3"/>
        <v>2.1055632216257862</v>
      </c>
      <c r="M109" s="158">
        <f t="shared" si="3"/>
        <v>11.799692892506302</v>
      </c>
      <c r="N109" s="158">
        <f t="shared" si="3"/>
        <v>185.99021328419403</v>
      </c>
      <c r="O109" s="158">
        <f t="shared" si="3"/>
        <v>0.94686926421168205</v>
      </c>
      <c r="P109" s="158">
        <f t="shared" si="3"/>
        <v>0.19604466014643079</v>
      </c>
      <c r="Q109" s="158">
        <f t="shared" si="3"/>
        <v>0.35253180458735095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9" sqref="G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2544</v>
      </c>
      <c r="B9" s="100">
        <v>14.31</v>
      </c>
      <c r="C9" s="100">
        <v>12.11</v>
      </c>
      <c r="D9" s="100">
        <v>16.8</v>
      </c>
      <c r="E9" s="100">
        <v>6.29</v>
      </c>
      <c r="F9" s="100">
        <v>3.82</v>
      </c>
      <c r="G9" s="100">
        <v>58.16</v>
      </c>
      <c r="H9" s="100">
        <v>12.99</v>
      </c>
      <c r="I9" s="100">
        <v>17.100000000000001</v>
      </c>
      <c r="J9" s="100">
        <v>4.68</v>
      </c>
      <c r="K9" s="100">
        <v>217.75</v>
      </c>
      <c r="L9" s="100">
        <v>26.2</v>
      </c>
      <c r="M9" s="100">
        <v>78.709999999999994</v>
      </c>
      <c r="N9" s="100">
        <v>23.9</v>
      </c>
      <c r="O9" s="100">
        <v>0</v>
      </c>
      <c r="P9" s="100">
        <v>0.8</v>
      </c>
      <c r="Q9" s="100">
        <v>28.09</v>
      </c>
      <c r="R9" s="6"/>
      <c r="S9" s="6"/>
      <c r="T9" s="156"/>
      <c r="U9" s="6"/>
    </row>
    <row r="10" spans="1:21" customFormat="1">
      <c r="A10" s="163" t="s">
        <v>2545</v>
      </c>
      <c r="B10" s="100">
        <v>13.78</v>
      </c>
      <c r="C10" s="100">
        <v>13.38</v>
      </c>
      <c r="D10" s="100">
        <v>17.04</v>
      </c>
      <c r="E10" s="100">
        <v>6.6</v>
      </c>
      <c r="F10" s="100">
        <v>2.89</v>
      </c>
      <c r="G10" s="100">
        <v>58.16</v>
      </c>
      <c r="H10" s="100">
        <v>12.99</v>
      </c>
      <c r="I10" s="100">
        <v>16.27</v>
      </c>
      <c r="J10" s="100">
        <v>4.6500000000000004</v>
      </c>
      <c r="K10" s="100">
        <v>217.71</v>
      </c>
      <c r="L10" s="100">
        <v>25.4</v>
      </c>
      <c r="M10" s="100">
        <v>76.94</v>
      </c>
      <c r="N10" s="100">
        <v>24.6</v>
      </c>
      <c r="O10" s="100">
        <v>0</v>
      </c>
      <c r="P10" s="100">
        <v>0.76</v>
      </c>
      <c r="Q10" s="100">
        <v>28.17</v>
      </c>
      <c r="R10" s="6"/>
      <c r="S10" s="6"/>
      <c r="T10" s="156"/>
      <c r="U10" s="6"/>
    </row>
    <row r="11" spans="1:21" customFormat="1">
      <c r="A11" s="163" t="s">
        <v>2546</v>
      </c>
      <c r="B11" s="100">
        <v>13.04</v>
      </c>
      <c r="C11" s="100">
        <v>11.95</v>
      </c>
      <c r="D11" s="100">
        <v>15.71</v>
      </c>
      <c r="E11" s="100">
        <v>6.52</v>
      </c>
      <c r="F11" s="100">
        <v>2.67</v>
      </c>
      <c r="G11" s="100">
        <v>58.16</v>
      </c>
      <c r="H11" s="100">
        <v>12.99</v>
      </c>
      <c r="I11" s="100">
        <v>16.350000000000001</v>
      </c>
      <c r="J11" s="100">
        <v>3.54</v>
      </c>
      <c r="K11" s="100">
        <v>205.79</v>
      </c>
      <c r="L11" s="100">
        <v>25.19</v>
      </c>
      <c r="M11" s="100">
        <v>77.7</v>
      </c>
      <c r="N11" s="100">
        <v>23.7</v>
      </c>
      <c r="O11" s="100">
        <v>0</v>
      </c>
      <c r="P11" s="100">
        <v>0.72</v>
      </c>
      <c r="Q11" s="100">
        <v>28.34</v>
      </c>
      <c r="R11" s="6"/>
      <c r="S11" s="6"/>
      <c r="T11" s="156"/>
      <c r="U11" s="6"/>
    </row>
    <row r="12" spans="1:21" customFormat="1">
      <c r="A12" s="163" t="s">
        <v>2547</v>
      </c>
      <c r="B12" s="100">
        <v>12.45</v>
      </c>
      <c r="C12" s="100">
        <v>9.7200000000000006</v>
      </c>
      <c r="D12" s="100">
        <v>14.07</v>
      </c>
      <c r="E12" s="100">
        <v>6.41</v>
      </c>
      <c r="F12" s="100">
        <v>3.68</v>
      </c>
      <c r="G12" s="100">
        <v>54.52</v>
      </c>
      <c r="H12" s="100">
        <v>13.16</v>
      </c>
      <c r="I12" s="100">
        <v>15.94</v>
      </c>
      <c r="J12" s="100">
        <v>3.49</v>
      </c>
      <c r="K12" s="100">
        <v>209.72</v>
      </c>
      <c r="L12" s="100">
        <v>25.1</v>
      </c>
      <c r="M12" s="100">
        <v>78.53</v>
      </c>
      <c r="N12" s="100">
        <v>23.5</v>
      </c>
      <c r="O12" s="100">
        <v>0</v>
      </c>
      <c r="P12" s="100">
        <v>0.68</v>
      </c>
      <c r="Q12" s="100">
        <v>28.49</v>
      </c>
      <c r="R12" s="6"/>
      <c r="S12" s="6"/>
      <c r="T12" s="156"/>
      <c r="U12" s="6"/>
    </row>
    <row r="13" spans="1:21" customFormat="1">
      <c r="A13" s="163" t="s">
        <v>2548</v>
      </c>
      <c r="B13" s="100">
        <v>12.2</v>
      </c>
      <c r="C13" s="100">
        <v>8.1</v>
      </c>
      <c r="D13" s="100">
        <v>13.02</v>
      </c>
      <c r="E13" s="100">
        <v>6.14</v>
      </c>
      <c r="F13" s="100">
        <v>3.95</v>
      </c>
      <c r="G13" s="100">
        <v>40.93</v>
      </c>
      <c r="H13" s="100">
        <v>13.79</v>
      </c>
      <c r="I13" s="100">
        <v>15.43</v>
      </c>
      <c r="J13" s="100">
        <v>3.68</v>
      </c>
      <c r="K13" s="100">
        <v>231.95</v>
      </c>
      <c r="L13" s="100">
        <v>24.92</v>
      </c>
      <c r="M13" s="100">
        <v>79.27</v>
      </c>
      <c r="N13" s="100">
        <v>23.7</v>
      </c>
      <c r="O13" s="100">
        <v>0</v>
      </c>
      <c r="P13" s="100">
        <v>0.67</v>
      </c>
      <c r="Q13" s="100">
        <v>28.61</v>
      </c>
      <c r="R13" s="6"/>
      <c r="S13" s="6"/>
      <c r="T13" s="156"/>
      <c r="U13" s="6"/>
    </row>
    <row r="14" spans="1:21" customFormat="1">
      <c r="A14" s="163" t="s">
        <v>2549</v>
      </c>
      <c r="B14" s="100">
        <v>12.05</v>
      </c>
      <c r="C14" s="100">
        <v>10.31</v>
      </c>
      <c r="D14" s="100">
        <v>14.06</v>
      </c>
      <c r="E14" s="100">
        <v>6.24</v>
      </c>
      <c r="F14" s="100">
        <v>2.84</v>
      </c>
      <c r="G14" s="100">
        <v>40.93</v>
      </c>
      <c r="H14" s="100">
        <v>13.79</v>
      </c>
      <c r="I14" s="100">
        <v>14.99</v>
      </c>
      <c r="J14" s="100">
        <v>3.78</v>
      </c>
      <c r="K14" s="100">
        <v>259.77999999999997</v>
      </c>
      <c r="L14" s="100">
        <v>24.64</v>
      </c>
      <c r="M14" s="100">
        <v>80.650000000000006</v>
      </c>
      <c r="N14" s="100">
        <v>23.6</v>
      </c>
      <c r="O14" s="100">
        <v>0</v>
      </c>
      <c r="P14" s="100">
        <v>0.68</v>
      </c>
      <c r="Q14" s="100">
        <v>28.52</v>
      </c>
      <c r="R14" s="6"/>
      <c r="S14" s="6"/>
      <c r="T14" s="156"/>
      <c r="U14" s="6"/>
    </row>
    <row r="15" spans="1:21" customFormat="1">
      <c r="A15" s="163" t="s">
        <v>2550</v>
      </c>
      <c r="B15" s="100">
        <v>11.59</v>
      </c>
      <c r="C15" s="100">
        <v>10.7</v>
      </c>
      <c r="D15" s="100">
        <v>13.89</v>
      </c>
      <c r="E15" s="100">
        <v>5.99</v>
      </c>
      <c r="F15" s="100">
        <v>3.49</v>
      </c>
      <c r="G15" s="100">
        <v>40.93</v>
      </c>
      <c r="H15" s="100">
        <v>13.79</v>
      </c>
      <c r="I15" s="100">
        <v>14.68</v>
      </c>
      <c r="J15" s="100">
        <v>2.2999999999999998</v>
      </c>
      <c r="K15" s="100">
        <v>253.88</v>
      </c>
      <c r="L15" s="100">
        <v>24.47</v>
      </c>
      <c r="M15" s="100">
        <v>81.819999999999993</v>
      </c>
      <c r="N15" s="100">
        <v>23.5</v>
      </c>
      <c r="O15" s="100">
        <v>0</v>
      </c>
      <c r="P15" s="100">
        <v>0.61</v>
      </c>
      <c r="Q15" s="100">
        <v>28.55</v>
      </c>
      <c r="R15" s="6"/>
      <c r="S15" s="6"/>
      <c r="T15" s="156"/>
      <c r="U15" s="6"/>
    </row>
    <row r="16" spans="1:21" customFormat="1">
      <c r="A16" s="163" t="s">
        <v>2551</v>
      </c>
      <c r="B16" s="100">
        <v>10.98</v>
      </c>
      <c r="C16" s="100">
        <v>9.7100000000000009</v>
      </c>
      <c r="D16" s="100">
        <v>12.88</v>
      </c>
      <c r="E16" s="100">
        <v>6.05</v>
      </c>
      <c r="F16" s="100">
        <v>4.62</v>
      </c>
      <c r="G16" s="100">
        <v>37.14</v>
      </c>
      <c r="H16" s="100">
        <v>13.08</v>
      </c>
      <c r="I16" s="100">
        <v>14.41</v>
      </c>
      <c r="J16" s="100">
        <v>1.87</v>
      </c>
      <c r="K16" s="100">
        <v>263.82</v>
      </c>
      <c r="L16" s="100">
        <v>24.38</v>
      </c>
      <c r="M16" s="100">
        <v>81.92</v>
      </c>
      <c r="N16" s="100">
        <v>23.4</v>
      </c>
      <c r="O16" s="100">
        <v>0</v>
      </c>
      <c r="P16" s="100">
        <v>0.56999999999999995</v>
      </c>
      <c r="Q16" s="100">
        <v>28.63</v>
      </c>
      <c r="R16" s="6"/>
      <c r="S16" s="6"/>
      <c r="T16" s="156"/>
      <c r="U16" s="6"/>
    </row>
    <row r="17" spans="1:21" customFormat="1">
      <c r="A17" s="163" t="s">
        <v>2552</v>
      </c>
      <c r="B17" s="100">
        <v>10.25</v>
      </c>
      <c r="C17" s="100">
        <v>9.86</v>
      </c>
      <c r="D17" s="100">
        <v>12.38</v>
      </c>
      <c r="E17" s="100">
        <v>5.62</v>
      </c>
      <c r="F17" s="100">
        <v>5.31</v>
      </c>
      <c r="G17" s="100">
        <v>22.98</v>
      </c>
      <c r="H17" s="100">
        <v>10.44</v>
      </c>
      <c r="I17" s="100">
        <v>13.73</v>
      </c>
      <c r="J17" s="100">
        <v>1.6</v>
      </c>
      <c r="K17" s="100">
        <v>166.56</v>
      </c>
      <c r="L17" s="100">
        <v>24.37</v>
      </c>
      <c r="M17" s="100">
        <v>82.5</v>
      </c>
      <c r="N17" s="100">
        <v>23.7</v>
      </c>
      <c r="O17" s="100">
        <v>0</v>
      </c>
      <c r="P17" s="100">
        <v>0.54</v>
      </c>
      <c r="Q17" s="100">
        <v>28.62</v>
      </c>
      <c r="R17" s="6"/>
      <c r="S17" s="6"/>
      <c r="T17" s="156"/>
      <c r="U17" s="6"/>
    </row>
    <row r="18" spans="1:21" customFormat="1">
      <c r="A18" s="163" t="s">
        <v>2553</v>
      </c>
      <c r="B18" s="100">
        <v>9.86</v>
      </c>
      <c r="C18" s="100">
        <v>10.15</v>
      </c>
      <c r="D18" s="100">
        <v>12.21</v>
      </c>
      <c r="E18" s="100">
        <v>5.67</v>
      </c>
      <c r="F18" s="100">
        <v>4.87</v>
      </c>
      <c r="G18" s="100">
        <v>22.98</v>
      </c>
      <c r="H18" s="100">
        <v>10.44</v>
      </c>
      <c r="I18" s="100">
        <v>13.1</v>
      </c>
      <c r="J18" s="100">
        <v>1.63</v>
      </c>
      <c r="K18" s="100">
        <v>312.98</v>
      </c>
      <c r="L18" s="100">
        <v>24.22</v>
      </c>
      <c r="M18" s="100">
        <v>85.02</v>
      </c>
      <c r="N18" s="100">
        <v>23.4</v>
      </c>
      <c r="O18" s="100">
        <v>0</v>
      </c>
      <c r="P18" s="100">
        <v>0.52</v>
      </c>
      <c r="Q18" s="100">
        <v>28.63</v>
      </c>
      <c r="R18" s="6"/>
      <c r="S18" s="6"/>
      <c r="T18" s="156"/>
      <c r="U18" s="6"/>
    </row>
    <row r="19" spans="1:21" customFormat="1">
      <c r="A19" s="163" t="s">
        <v>2554</v>
      </c>
      <c r="B19" s="100">
        <v>9.4700000000000006</v>
      </c>
      <c r="C19" s="100">
        <v>10.55</v>
      </c>
      <c r="D19" s="100">
        <v>12.11</v>
      </c>
      <c r="E19" s="100">
        <v>6.05</v>
      </c>
      <c r="F19" s="100">
        <v>4.9800000000000004</v>
      </c>
      <c r="G19" s="100">
        <v>22.98</v>
      </c>
      <c r="H19" s="100">
        <v>10.44</v>
      </c>
      <c r="I19" s="100">
        <v>12.46</v>
      </c>
      <c r="J19" s="100">
        <v>1.23</v>
      </c>
      <c r="K19" s="100">
        <v>286.77999999999997</v>
      </c>
      <c r="L19" s="100">
        <v>24.27</v>
      </c>
      <c r="M19" s="100">
        <v>84.62</v>
      </c>
      <c r="N19" s="100">
        <v>23.8</v>
      </c>
      <c r="O19" s="100">
        <v>0</v>
      </c>
      <c r="P19" s="100">
        <v>0.51</v>
      </c>
      <c r="Q19" s="100">
        <v>28.6</v>
      </c>
      <c r="R19" s="6"/>
      <c r="S19" s="6"/>
      <c r="T19" s="156"/>
      <c r="U19" s="6"/>
    </row>
    <row r="20" spans="1:21" customFormat="1">
      <c r="A20" s="163" t="s">
        <v>2555</v>
      </c>
      <c r="B20" s="100">
        <v>9.1199999999999992</v>
      </c>
      <c r="C20" s="100">
        <v>10.84</v>
      </c>
      <c r="D20" s="100">
        <v>11.98</v>
      </c>
      <c r="E20" s="100">
        <v>5.96</v>
      </c>
      <c r="F20" s="100">
        <v>5.27</v>
      </c>
      <c r="G20" s="100">
        <v>20.96</v>
      </c>
      <c r="H20" s="100">
        <v>9.92</v>
      </c>
      <c r="I20" s="100">
        <v>12.2</v>
      </c>
      <c r="J20" s="100">
        <v>4.17</v>
      </c>
      <c r="K20" s="100">
        <v>133.96</v>
      </c>
      <c r="L20" s="100">
        <v>24.19</v>
      </c>
      <c r="M20" s="100">
        <v>86.08</v>
      </c>
      <c r="N20" s="100">
        <v>23.8</v>
      </c>
      <c r="O20" s="100">
        <v>0</v>
      </c>
      <c r="P20" s="100">
        <v>0.48</v>
      </c>
      <c r="Q20" s="100">
        <v>28.64</v>
      </c>
      <c r="R20" s="6"/>
      <c r="S20" s="6"/>
      <c r="T20" s="156"/>
      <c r="U20" s="6"/>
    </row>
    <row r="21" spans="1:21" customFormat="1">
      <c r="A21" s="163" t="s">
        <v>2556</v>
      </c>
      <c r="B21" s="100">
        <v>8.84</v>
      </c>
      <c r="C21" s="100">
        <v>11.25</v>
      </c>
      <c r="D21" s="100">
        <v>11.97</v>
      </c>
      <c r="E21" s="100">
        <v>6.21</v>
      </c>
      <c r="F21" s="100">
        <v>4.8</v>
      </c>
      <c r="G21" s="100">
        <v>13.44</v>
      </c>
      <c r="H21" s="100">
        <v>7.94</v>
      </c>
      <c r="I21" s="100">
        <v>11.87</v>
      </c>
      <c r="J21" s="100">
        <v>3.4</v>
      </c>
      <c r="K21" s="100">
        <v>126.42</v>
      </c>
      <c r="L21" s="100">
        <v>24.08</v>
      </c>
      <c r="M21" s="100">
        <v>86.38</v>
      </c>
      <c r="N21" s="100">
        <v>23.7</v>
      </c>
      <c r="O21" s="100">
        <v>0</v>
      </c>
      <c r="P21" s="100">
        <v>0.47</v>
      </c>
      <c r="Q21" s="100">
        <v>28.63</v>
      </c>
      <c r="R21" s="6"/>
      <c r="S21" s="6"/>
      <c r="T21" s="156"/>
      <c r="U21" s="6"/>
    </row>
    <row r="22" spans="1:21" customFormat="1">
      <c r="A22" s="163" t="s">
        <v>2557</v>
      </c>
      <c r="B22" s="100">
        <v>8.98</v>
      </c>
      <c r="C22" s="100">
        <v>11.66</v>
      </c>
      <c r="D22" s="100">
        <v>12.3</v>
      </c>
      <c r="E22" s="100">
        <v>5.69</v>
      </c>
      <c r="F22" s="100">
        <v>3.61</v>
      </c>
      <c r="G22" s="100">
        <v>13.44</v>
      </c>
      <c r="H22" s="100">
        <v>7.94</v>
      </c>
      <c r="I22" s="100">
        <v>11.43</v>
      </c>
      <c r="J22" s="100">
        <v>1.37</v>
      </c>
      <c r="K22" s="100">
        <v>98.66</v>
      </c>
      <c r="L22" s="100">
        <v>24.15</v>
      </c>
      <c r="M22" s="100">
        <v>85.85</v>
      </c>
      <c r="N22" s="100">
        <v>23.6</v>
      </c>
      <c r="O22" s="100">
        <v>0</v>
      </c>
      <c r="P22" s="100">
        <v>0.49</v>
      </c>
      <c r="Q22" s="100">
        <v>28.61</v>
      </c>
      <c r="R22" s="6"/>
      <c r="S22" s="6"/>
      <c r="T22" s="156"/>
      <c r="U22" s="6"/>
    </row>
    <row r="23" spans="1:21" customFormat="1">
      <c r="A23" s="163" t="s">
        <v>2558</v>
      </c>
      <c r="B23" s="100">
        <v>8.99</v>
      </c>
      <c r="C23" s="100">
        <v>14.24</v>
      </c>
      <c r="D23" s="100">
        <v>13.65</v>
      </c>
      <c r="E23" s="100">
        <v>5.88</v>
      </c>
      <c r="F23" s="100">
        <v>2.67</v>
      </c>
      <c r="G23" s="100">
        <v>13.44</v>
      </c>
      <c r="H23" s="100">
        <v>7.94</v>
      </c>
      <c r="I23" s="100">
        <v>11.21</v>
      </c>
      <c r="J23" s="100">
        <v>0.99</v>
      </c>
      <c r="K23" s="100">
        <v>132.53</v>
      </c>
      <c r="L23" s="100">
        <v>24.36</v>
      </c>
      <c r="M23" s="100">
        <v>85.5</v>
      </c>
      <c r="N23" s="100">
        <v>23.5</v>
      </c>
      <c r="O23" s="100">
        <v>0</v>
      </c>
      <c r="P23" s="100">
        <v>0.47</v>
      </c>
      <c r="Q23" s="100">
        <v>28.5</v>
      </c>
      <c r="R23" s="6"/>
      <c r="S23" s="6"/>
      <c r="T23" s="156"/>
      <c r="U23" s="6"/>
    </row>
    <row r="24" spans="1:21" customFormat="1">
      <c r="A24" s="163" t="s">
        <v>2559</v>
      </c>
      <c r="B24" s="100">
        <v>9.01</v>
      </c>
      <c r="C24" s="100">
        <v>13.52</v>
      </c>
      <c r="D24" s="100">
        <v>13.3</v>
      </c>
      <c r="E24" s="100">
        <v>5.98</v>
      </c>
      <c r="F24" s="100">
        <v>2.76</v>
      </c>
      <c r="G24" s="100">
        <v>12.76</v>
      </c>
      <c r="H24" s="100">
        <v>7.52</v>
      </c>
      <c r="I24" s="100">
        <v>11.12</v>
      </c>
      <c r="J24" s="100">
        <v>3.19</v>
      </c>
      <c r="K24" s="100">
        <v>231.66</v>
      </c>
      <c r="L24" s="100">
        <v>24.39</v>
      </c>
      <c r="M24" s="100">
        <v>85.59</v>
      </c>
      <c r="N24" s="100">
        <v>22.8</v>
      </c>
      <c r="O24" s="100">
        <v>0.2</v>
      </c>
      <c r="P24" s="100">
        <v>0.44</v>
      </c>
      <c r="Q24" s="100">
        <v>28.58</v>
      </c>
      <c r="R24" s="6"/>
      <c r="S24" s="6"/>
      <c r="T24" s="156"/>
      <c r="U24" s="6"/>
    </row>
    <row r="25" spans="1:21" customFormat="1">
      <c r="A25" s="163" t="s">
        <v>2560</v>
      </c>
      <c r="B25" s="100">
        <v>9.2200000000000006</v>
      </c>
      <c r="C25" s="100">
        <v>10.41</v>
      </c>
      <c r="D25" s="100">
        <v>11.84</v>
      </c>
      <c r="E25" s="100">
        <v>5.89</v>
      </c>
      <c r="F25" s="100">
        <v>3.2</v>
      </c>
      <c r="G25" s="100">
        <v>10.23</v>
      </c>
      <c r="H25" s="100">
        <v>5.92</v>
      </c>
      <c r="I25" s="100">
        <v>11.05</v>
      </c>
      <c r="J25" s="100">
        <v>0.69</v>
      </c>
      <c r="K25" s="100">
        <v>196.66</v>
      </c>
      <c r="L25" s="100">
        <v>24.35</v>
      </c>
      <c r="M25" s="100">
        <v>86.68</v>
      </c>
      <c r="N25" s="100">
        <v>22.7</v>
      </c>
      <c r="O25" s="100">
        <v>0</v>
      </c>
      <c r="P25" s="100">
        <v>0.43</v>
      </c>
      <c r="Q25" s="100">
        <v>28.69</v>
      </c>
      <c r="R25" s="6"/>
      <c r="S25" s="6"/>
      <c r="T25" s="156"/>
      <c r="U25" s="6"/>
    </row>
    <row r="26" spans="1:21" customFormat="1">
      <c r="A26" s="163" t="s">
        <v>2561</v>
      </c>
      <c r="B26" s="100">
        <v>9.52</v>
      </c>
      <c r="C26" s="100">
        <v>10.23</v>
      </c>
      <c r="D26" s="100">
        <v>11.99</v>
      </c>
      <c r="E26" s="100">
        <v>5.99</v>
      </c>
      <c r="F26" s="100">
        <v>2.74</v>
      </c>
      <c r="G26" s="100">
        <v>10.23</v>
      </c>
      <c r="H26" s="100">
        <v>5.92</v>
      </c>
      <c r="I26" s="100">
        <v>10.87</v>
      </c>
      <c r="J26" s="100">
        <v>1.32</v>
      </c>
      <c r="K26" s="100">
        <v>199.7</v>
      </c>
      <c r="L26" s="100">
        <v>24.32</v>
      </c>
      <c r="M26" s="100">
        <v>87.7</v>
      </c>
      <c r="N26" s="100">
        <v>23.4</v>
      </c>
      <c r="O26" s="100">
        <v>0</v>
      </c>
      <c r="P26" s="100">
        <v>0.42</v>
      </c>
      <c r="Q26" s="100">
        <v>28.82</v>
      </c>
      <c r="R26" s="6"/>
      <c r="S26" s="6"/>
      <c r="T26" s="156"/>
      <c r="U26" s="6"/>
    </row>
    <row r="27" spans="1:21" customFormat="1">
      <c r="A27" s="163" t="s">
        <v>2562</v>
      </c>
      <c r="B27" s="100">
        <v>9.69</v>
      </c>
      <c r="C27" s="100">
        <v>8.67</v>
      </c>
      <c r="D27" s="100">
        <v>11.3</v>
      </c>
      <c r="E27" s="100">
        <v>5.45</v>
      </c>
      <c r="F27" s="100">
        <v>3.08</v>
      </c>
      <c r="G27" s="100">
        <v>10.23</v>
      </c>
      <c r="H27" s="100">
        <v>5.92</v>
      </c>
      <c r="I27" s="100">
        <v>10.56</v>
      </c>
      <c r="J27" s="100">
        <v>4.32</v>
      </c>
      <c r="K27" s="100">
        <v>254.09</v>
      </c>
      <c r="L27" s="100">
        <v>24.3</v>
      </c>
      <c r="M27" s="100">
        <v>86.51</v>
      </c>
      <c r="N27" s="100">
        <v>24</v>
      </c>
      <c r="O27" s="100">
        <v>0</v>
      </c>
      <c r="P27" s="100">
        <v>0.43</v>
      </c>
      <c r="Q27" s="100">
        <v>28.86</v>
      </c>
      <c r="R27" s="6"/>
      <c r="S27" s="6"/>
      <c r="T27" s="156"/>
      <c r="U27" s="6"/>
    </row>
    <row r="28" spans="1:21" customFormat="1">
      <c r="A28" s="163" t="s">
        <v>2563</v>
      </c>
      <c r="B28" s="100">
        <v>9.36</v>
      </c>
      <c r="C28" s="100">
        <v>9.7799999999999994</v>
      </c>
      <c r="D28" s="100">
        <v>11.62</v>
      </c>
      <c r="E28" s="100">
        <v>5.52</v>
      </c>
      <c r="F28" s="100">
        <v>4</v>
      </c>
      <c r="G28" s="100">
        <v>9.99</v>
      </c>
      <c r="H28" s="100">
        <v>5.76</v>
      </c>
      <c r="I28" s="100">
        <v>10.54</v>
      </c>
      <c r="J28" s="100">
        <v>1.69</v>
      </c>
      <c r="K28" s="100">
        <v>357.15</v>
      </c>
      <c r="L28" s="100">
        <v>24.2</v>
      </c>
      <c r="M28" s="100">
        <v>87.05</v>
      </c>
      <c r="N28" s="100">
        <v>23.9</v>
      </c>
      <c r="O28" s="100">
        <v>0</v>
      </c>
      <c r="P28" s="100">
        <v>0.4</v>
      </c>
      <c r="Q28" s="100">
        <v>28.83</v>
      </c>
      <c r="R28" s="6"/>
      <c r="S28" s="6"/>
      <c r="T28" s="156"/>
      <c r="U28" s="6"/>
    </row>
    <row r="29" spans="1:21" customFormat="1">
      <c r="A29" s="163" t="s">
        <v>2564</v>
      </c>
      <c r="B29" s="100">
        <v>9.41</v>
      </c>
      <c r="C29" s="100">
        <v>10.220000000000001</v>
      </c>
      <c r="D29" s="100">
        <v>11.89</v>
      </c>
      <c r="E29" s="100">
        <v>5.27</v>
      </c>
      <c r="F29" s="100">
        <v>3.8</v>
      </c>
      <c r="G29" s="100">
        <v>9.09</v>
      </c>
      <c r="H29" s="100">
        <v>5.16</v>
      </c>
      <c r="I29" s="100">
        <v>10.11</v>
      </c>
      <c r="J29" s="100">
        <v>3.67</v>
      </c>
      <c r="K29" s="100">
        <v>128.93</v>
      </c>
      <c r="L29" s="100">
        <v>24.16</v>
      </c>
      <c r="M29" s="100">
        <v>89.11</v>
      </c>
      <c r="N29" s="100">
        <v>24.1</v>
      </c>
      <c r="O29" s="100">
        <v>0</v>
      </c>
      <c r="P29" s="100">
        <v>0.45</v>
      </c>
      <c r="Q29" s="100">
        <v>28.8</v>
      </c>
      <c r="R29" s="6"/>
      <c r="S29" s="6"/>
      <c r="T29" s="156"/>
      <c r="U29" s="6"/>
    </row>
    <row r="30" spans="1:21" customFormat="1">
      <c r="A30" s="163" t="s">
        <v>2565</v>
      </c>
      <c r="B30" s="100">
        <v>9.6300000000000008</v>
      </c>
      <c r="C30" s="100">
        <v>10.54</v>
      </c>
      <c r="D30" s="100">
        <v>12.24</v>
      </c>
      <c r="E30" s="100">
        <v>5.85</v>
      </c>
      <c r="F30" s="100">
        <v>3.15</v>
      </c>
      <c r="G30" s="100">
        <v>9.09</v>
      </c>
      <c r="H30" s="100">
        <v>5.16</v>
      </c>
      <c r="I30" s="100">
        <v>9.84</v>
      </c>
      <c r="J30" s="100">
        <v>3.37</v>
      </c>
      <c r="K30" s="100">
        <v>168.19</v>
      </c>
      <c r="L30" s="100">
        <v>24.09</v>
      </c>
      <c r="M30" s="100">
        <v>90.21</v>
      </c>
      <c r="N30" s="100">
        <v>26.3</v>
      </c>
      <c r="O30" s="100">
        <v>0</v>
      </c>
      <c r="P30" s="100">
        <v>0.47</v>
      </c>
      <c r="Q30" s="100">
        <v>28.74</v>
      </c>
      <c r="R30" s="6"/>
      <c r="S30" s="6"/>
      <c r="T30" s="156"/>
      <c r="U30" s="6"/>
    </row>
    <row r="31" spans="1:21" customFormat="1">
      <c r="A31" s="163" t="s">
        <v>2566</v>
      </c>
      <c r="B31" s="100">
        <v>9.5500000000000007</v>
      </c>
      <c r="C31" s="100">
        <v>10.75</v>
      </c>
      <c r="D31" s="100">
        <v>12.28</v>
      </c>
      <c r="E31" s="100">
        <v>6.33</v>
      </c>
      <c r="F31" s="100">
        <v>3.49</v>
      </c>
      <c r="G31" s="100">
        <v>9.09</v>
      </c>
      <c r="H31" s="100">
        <v>5.16</v>
      </c>
      <c r="I31" s="100">
        <v>9.8000000000000007</v>
      </c>
      <c r="J31" s="100">
        <v>4.08</v>
      </c>
      <c r="K31" s="100">
        <v>103.42</v>
      </c>
      <c r="L31" s="100">
        <v>23.98</v>
      </c>
      <c r="M31" s="100">
        <v>89.99</v>
      </c>
      <c r="N31" s="100">
        <v>36.700000000000003</v>
      </c>
      <c r="O31" s="100">
        <v>0</v>
      </c>
      <c r="P31" s="100">
        <v>0.47</v>
      </c>
      <c r="Q31" s="100">
        <v>28.68</v>
      </c>
      <c r="R31" s="6"/>
      <c r="S31" s="6"/>
      <c r="T31" s="156"/>
      <c r="U31" s="6"/>
    </row>
    <row r="32" spans="1:21" customFormat="1">
      <c r="A32" s="163" t="s">
        <v>2567</v>
      </c>
      <c r="B32" s="100">
        <v>9.3000000000000007</v>
      </c>
      <c r="C32" s="100">
        <v>11.12</v>
      </c>
      <c r="D32" s="100">
        <v>12.27</v>
      </c>
      <c r="E32" s="100">
        <v>6.35</v>
      </c>
      <c r="F32" s="100">
        <v>3.91</v>
      </c>
      <c r="G32" s="100">
        <v>9.86</v>
      </c>
      <c r="H32" s="100">
        <v>4.88</v>
      </c>
      <c r="I32" s="100">
        <v>9.65</v>
      </c>
      <c r="J32" s="100">
        <v>2.74</v>
      </c>
      <c r="K32" s="100">
        <v>96.89</v>
      </c>
      <c r="L32" s="100">
        <v>24.26</v>
      </c>
      <c r="M32" s="100">
        <v>88.45</v>
      </c>
      <c r="N32" s="100">
        <v>48.8</v>
      </c>
      <c r="O32" s="100">
        <v>0</v>
      </c>
      <c r="P32" s="100">
        <v>0.47</v>
      </c>
      <c r="Q32" s="100">
        <v>28.66</v>
      </c>
      <c r="R32" s="6"/>
      <c r="S32" s="6"/>
      <c r="T32" s="156"/>
      <c r="U32" s="6"/>
    </row>
    <row r="33" spans="1:21" customFormat="1">
      <c r="A33" s="163" t="s">
        <v>2568</v>
      </c>
      <c r="B33" s="100">
        <v>9.4700000000000006</v>
      </c>
      <c r="C33" s="100">
        <v>11.52</v>
      </c>
      <c r="D33" s="100">
        <v>12.62</v>
      </c>
      <c r="E33" s="100">
        <v>6.35</v>
      </c>
      <c r="F33" s="100">
        <v>4.0599999999999996</v>
      </c>
      <c r="G33" s="100">
        <v>12.74</v>
      </c>
      <c r="H33" s="100">
        <v>3.85</v>
      </c>
      <c r="I33" s="100">
        <v>9.4</v>
      </c>
      <c r="J33" s="100">
        <v>3.48</v>
      </c>
      <c r="K33" s="100">
        <v>83.39</v>
      </c>
      <c r="L33" s="100">
        <v>24.33</v>
      </c>
      <c r="M33" s="100">
        <v>87.99</v>
      </c>
      <c r="N33" s="100">
        <v>62.8</v>
      </c>
      <c r="O33" s="100">
        <v>0</v>
      </c>
      <c r="P33" s="100">
        <v>0.46</v>
      </c>
      <c r="Q33" s="100">
        <v>28.64</v>
      </c>
      <c r="R33" s="6"/>
      <c r="S33" s="6"/>
      <c r="T33" s="156"/>
      <c r="U33" s="6"/>
    </row>
    <row r="34" spans="1:21" customFormat="1">
      <c r="A34" s="163" t="s">
        <v>2569</v>
      </c>
      <c r="B34" s="100">
        <v>9.68</v>
      </c>
      <c r="C34" s="100">
        <v>11.68</v>
      </c>
      <c r="D34" s="100">
        <v>12.87</v>
      </c>
      <c r="E34" s="100">
        <v>6.41</v>
      </c>
      <c r="F34" s="100">
        <v>3.4</v>
      </c>
      <c r="G34" s="100">
        <v>12.74</v>
      </c>
      <c r="H34" s="100">
        <v>3.85</v>
      </c>
      <c r="I34" s="100">
        <v>9.19</v>
      </c>
      <c r="J34" s="100">
        <v>4.3099999999999996</v>
      </c>
      <c r="K34" s="100">
        <v>126.16</v>
      </c>
      <c r="L34" s="100">
        <v>24.6</v>
      </c>
      <c r="M34" s="100">
        <v>87.64</v>
      </c>
      <c r="N34" s="100">
        <v>66.900000000000006</v>
      </c>
      <c r="O34" s="100">
        <v>0</v>
      </c>
      <c r="P34" s="100">
        <v>0.48</v>
      </c>
      <c r="Q34" s="100">
        <v>28.64</v>
      </c>
      <c r="R34" s="6"/>
      <c r="S34" s="6"/>
      <c r="T34" s="156"/>
      <c r="U34" s="6"/>
    </row>
    <row r="35" spans="1:21" customFormat="1">
      <c r="A35" s="163" t="s">
        <v>2570</v>
      </c>
      <c r="B35" s="100">
        <v>10.11</v>
      </c>
      <c r="C35" s="100">
        <v>12.05</v>
      </c>
      <c r="D35" s="100">
        <v>13.41</v>
      </c>
      <c r="E35" s="100">
        <v>6.11</v>
      </c>
      <c r="F35" s="100">
        <v>3.05</v>
      </c>
      <c r="G35" s="100">
        <v>12.74</v>
      </c>
      <c r="H35" s="100">
        <v>3.85</v>
      </c>
      <c r="I35" s="100">
        <v>9.49</v>
      </c>
      <c r="J35" s="100">
        <v>3.04</v>
      </c>
      <c r="K35" s="100">
        <v>60.36</v>
      </c>
      <c r="L35" s="100">
        <v>24.87</v>
      </c>
      <c r="M35" s="100">
        <v>85.77</v>
      </c>
      <c r="N35" s="100">
        <v>79.2</v>
      </c>
      <c r="O35" s="100">
        <v>0</v>
      </c>
      <c r="P35" s="100">
        <v>0.48</v>
      </c>
      <c r="Q35" s="100">
        <v>28.59</v>
      </c>
      <c r="R35" s="6"/>
      <c r="S35" s="6"/>
      <c r="T35" s="156"/>
      <c r="U35" s="6"/>
    </row>
    <row r="36" spans="1:21" customFormat="1">
      <c r="A36" s="163" t="s">
        <v>2571</v>
      </c>
      <c r="B36" s="100">
        <v>10.65</v>
      </c>
      <c r="C36" s="100">
        <v>14.76</v>
      </c>
      <c r="D36" s="100">
        <v>15.26</v>
      </c>
      <c r="E36" s="100">
        <v>6.26</v>
      </c>
      <c r="F36" s="100">
        <v>2.57</v>
      </c>
      <c r="G36" s="100">
        <v>14.94</v>
      </c>
      <c r="H36" s="100">
        <v>4.71</v>
      </c>
      <c r="I36" s="100">
        <v>9.7799999999999994</v>
      </c>
      <c r="J36" s="100">
        <v>4.05</v>
      </c>
      <c r="K36" s="100">
        <v>61.85</v>
      </c>
      <c r="L36" s="100">
        <v>25.11</v>
      </c>
      <c r="M36" s="100">
        <v>84.03</v>
      </c>
      <c r="N36" s="100">
        <v>130.9</v>
      </c>
      <c r="O36" s="100">
        <v>0</v>
      </c>
      <c r="P36" s="100">
        <v>0.48</v>
      </c>
      <c r="Q36" s="100">
        <v>28.4</v>
      </c>
      <c r="R36" s="6"/>
      <c r="S36" s="6"/>
      <c r="T36" s="156"/>
      <c r="U36" s="6"/>
    </row>
    <row r="37" spans="1:21" customFormat="1">
      <c r="A37" s="163" t="s">
        <v>2572</v>
      </c>
      <c r="B37" s="100">
        <v>11.26</v>
      </c>
      <c r="C37" s="100">
        <v>14.15</v>
      </c>
      <c r="D37" s="100">
        <v>15.43</v>
      </c>
      <c r="E37" s="100">
        <v>6.15</v>
      </c>
      <c r="F37" s="100">
        <v>2.5299999999999998</v>
      </c>
      <c r="G37" s="100">
        <v>23.17</v>
      </c>
      <c r="H37" s="100">
        <v>7.94</v>
      </c>
      <c r="I37" s="100">
        <v>9.76</v>
      </c>
      <c r="J37" s="100">
        <v>3.43</v>
      </c>
      <c r="K37" s="100">
        <v>72.52</v>
      </c>
      <c r="L37" s="100">
        <v>25.75</v>
      </c>
      <c r="M37" s="100">
        <v>80.88</v>
      </c>
      <c r="N37" s="100">
        <v>99.3</v>
      </c>
      <c r="O37" s="100">
        <v>0</v>
      </c>
      <c r="P37" s="100">
        <v>0.49</v>
      </c>
      <c r="Q37" s="100">
        <v>28.4</v>
      </c>
      <c r="R37" s="6"/>
      <c r="S37" s="6"/>
      <c r="T37" s="156"/>
      <c r="U37" s="6"/>
    </row>
    <row r="38" spans="1:21" customFormat="1">
      <c r="A38" s="163" t="s">
        <v>2573</v>
      </c>
      <c r="B38" s="100">
        <v>11.89</v>
      </c>
      <c r="C38" s="100">
        <v>13.13</v>
      </c>
      <c r="D38" s="100">
        <v>15.4</v>
      </c>
      <c r="E38" s="100">
        <v>6.75</v>
      </c>
      <c r="F38" s="100">
        <v>2.4900000000000002</v>
      </c>
      <c r="G38" s="100">
        <v>23.17</v>
      </c>
      <c r="H38" s="100">
        <v>7.94</v>
      </c>
      <c r="I38" s="100">
        <v>9.91</v>
      </c>
      <c r="J38" s="100">
        <v>3.1</v>
      </c>
      <c r="K38" s="100">
        <v>66.819999999999993</v>
      </c>
      <c r="L38" s="100">
        <v>25.99</v>
      </c>
      <c r="M38" s="100">
        <v>80.19</v>
      </c>
      <c r="N38" s="100">
        <v>96.6</v>
      </c>
      <c r="O38" s="100">
        <v>0</v>
      </c>
      <c r="P38" s="100">
        <v>0.51</v>
      </c>
      <c r="Q38" s="100">
        <v>28.45</v>
      </c>
      <c r="R38" s="6"/>
      <c r="S38" s="6"/>
      <c r="T38" s="156"/>
      <c r="U38" s="6"/>
    </row>
    <row r="39" spans="1:21" customFormat="1">
      <c r="A39" s="163" t="s">
        <v>2574</v>
      </c>
      <c r="B39" s="100">
        <v>12.38</v>
      </c>
      <c r="C39" s="100">
        <v>11.61</v>
      </c>
      <c r="D39" s="100">
        <v>15</v>
      </c>
      <c r="E39" s="100">
        <v>6.71</v>
      </c>
      <c r="F39" s="100">
        <v>2.4500000000000002</v>
      </c>
      <c r="G39" s="100">
        <v>23.17</v>
      </c>
      <c r="H39" s="100">
        <v>7.94</v>
      </c>
      <c r="I39" s="100">
        <v>10.039999999999999</v>
      </c>
      <c r="J39" s="100">
        <v>3.87</v>
      </c>
      <c r="K39" s="100">
        <v>116.44</v>
      </c>
      <c r="L39" s="100">
        <v>25.93</v>
      </c>
      <c r="M39" s="100">
        <v>80.62</v>
      </c>
      <c r="N39" s="100">
        <v>97.9</v>
      </c>
      <c r="O39" s="100">
        <v>0</v>
      </c>
      <c r="P39" s="100">
        <v>0.52</v>
      </c>
      <c r="Q39" s="100">
        <v>28.48</v>
      </c>
      <c r="R39" s="6"/>
      <c r="S39" s="6"/>
      <c r="T39" s="156"/>
      <c r="U39" s="6"/>
    </row>
    <row r="40" spans="1:21" customFormat="1">
      <c r="A40" s="163" t="s">
        <v>2575</v>
      </c>
      <c r="B40" s="100">
        <v>12.98</v>
      </c>
      <c r="C40" s="100">
        <v>11.27</v>
      </c>
      <c r="D40" s="100">
        <v>15.3</v>
      </c>
      <c r="E40" s="100">
        <v>6.59</v>
      </c>
      <c r="F40" s="100">
        <v>2.58</v>
      </c>
      <c r="G40" s="100">
        <v>30.44</v>
      </c>
      <c r="H40" s="100">
        <v>10.93</v>
      </c>
      <c r="I40" s="100">
        <v>10.17</v>
      </c>
      <c r="J40" s="100">
        <v>2.69</v>
      </c>
      <c r="K40" s="100">
        <v>93.99</v>
      </c>
      <c r="L40" s="100">
        <v>26.18</v>
      </c>
      <c r="M40" s="100">
        <v>79.62</v>
      </c>
      <c r="N40" s="100">
        <v>119.8</v>
      </c>
      <c r="O40" s="100">
        <v>0</v>
      </c>
      <c r="P40" s="100">
        <v>0.56000000000000005</v>
      </c>
      <c r="Q40" s="100">
        <v>28.5</v>
      </c>
      <c r="R40" s="6"/>
      <c r="S40" s="6"/>
      <c r="T40" s="156"/>
      <c r="U40" s="6"/>
    </row>
    <row r="41" spans="1:21" customFormat="1">
      <c r="A41" s="163" t="s">
        <v>2576</v>
      </c>
      <c r="B41" s="100">
        <v>13.5</v>
      </c>
      <c r="C41" s="100">
        <v>12.2</v>
      </c>
      <c r="D41" s="100">
        <v>16.21</v>
      </c>
      <c r="E41" s="100">
        <v>6.71</v>
      </c>
      <c r="F41" s="100">
        <v>3.2</v>
      </c>
      <c r="G41" s="100">
        <v>57.6</v>
      </c>
      <c r="H41" s="100">
        <v>22.11</v>
      </c>
      <c r="I41" s="100">
        <v>10.33</v>
      </c>
      <c r="J41" s="100">
        <v>2.2000000000000002</v>
      </c>
      <c r="K41" s="100">
        <v>126.92</v>
      </c>
      <c r="L41" s="100">
        <v>26.5</v>
      </c>
      <c r="M41" s="100">
        <v>78.819999999999993</v>
      </c>
      <c r="N41" s="100">
        <v>135.4</v>
      </c>
      <c r="O41" s="100">
        <v>0</v>
      </c>
      <c r="P41" s="100">
        <v>0.6</v>
      </c>
      <c r="Q41" s="100">
        <v>28.45</v>
      </c>
      <c r="R41" s="6"/>
      <c r="S41" s="6"/>
      <c r="T41" s="156"/>
      <c r="U41" s="6"/>
    </row>
    <row r="42" spans="1:21" customFormat="1">
      <c r="A42" s="163" t="s">
        <v>2577</v>
      </c>
      <c r="B42" s="100">
        <v>13.27</v>
      </c>
      <c r="C42" s="100">
        <v>11.8</v>
      </c>
      <c r="D42" s="100">
        <v>15.81</v>
      </c>
      <c r="E42" s="100">
        <v>6.92</v>
      </c>
      <c r="F42" s="100">
        <v>3.66</v>
      </c>
      <c r="G42" s="100">
        <v>57.6</v>
      </c>
      <c r="H42" s="100">
        <v>22.11</v>
      </c>
      <c r="I42" s="100">
        <v>10.82</v>
      </c>
      <c r="J42" s="100">
        <v>2.14</v>
      </c>
      <c r="K42" s="100">
        <v>159.16</v>
      </c>
      <c r="L42" s="100">
        <v>26.86</v>
      </c>
      <c r="M42" s="100">
        <v>76.91</v>
      </c>
      <c r="N42" s="100">
        <v>309.60000000000002</v>
      </c>
      <c r="O42" s="100">
        <v>0</v>
      </c>
      <c r="P42" s="100">
        <v>0.57999999999999996</v>
      </c>
      <c r="Q42" s="100">
        <v>28.44</v>
      </c>
      <c r="R42" s="6"/>
      <c r="S42" s="6"/>
      <c r="T42" s="156"/>
      <c r="U42" s="6"/>
    </row>
    <row r="43" spans="1:21" customFormat="1">
      <c r="A43" s="163" t="s">
        <v>2578</v>
      </c>
      <c r="B43" s="100">
        <v>12.8</v>
      </c>
      <c r="C43" s="100">
        <v>11.91</v>
      </c>
      <c r="D43" s="100">
        <v>15.49</v>
      </c>
      <c r="E43" s="100">
        <v>6.52</v>
      </c>
      <c r="F43" s="100">
        <v>4.9000000000000004</v>
      </c>
      <c r="G43" s="100">
        <v>57.6</v>
      </c>
      <c r="H43" s="100">
        <v>22.11</v>
      </c>
      <c r="I43" s="100">
        <v>11.44</v>
      </c>
      <c r="J43" s="100">
        <v>2.7</v>
      </c>
      <c r="K43" s="100">
        <v>211.66</v>
      </c>
      <c r="L43" s="100">
        <v>27.46</v>
      </c>
      <c r="M43" s="100">
        <v>72.61</v>
      </c>
      <c r="N43" s="100">
        <v>308</v>
      </c>
      <c r="O43" s="100">
        <v>0</v>
      </c>
      <c r="P43" s="100">
        <v>0.56999999999999995</v>
      </c>
      <c r="Q43" s="100">
        <v>28.4</v>
      </c>
      <c r="R43" s="6"/>
      <c r="S43" s="6"/>
      <c r="T43" s="156"/>
      <c r="U43" s="6"/>
    </row>
    <row r="44" spans="1:21" customFormat="1">
      <c r="A44" s="163" t="s">
        <v>2579</v>
      </c>
      <c r="B44" s="100">
        <v>12.31</v>
      </c>
      <c r="C44" s="100">
        <v>11.93</v>
      </c>
      <c r="D44" s="100">
        <v>15.11</v>
      </c>
      <c r="E44" s="100">
        <v>6.93</v>
      </c>
      <c r="F44" s="100">
        <v>6.76</v>
      </c>
      <c r="G44" s="100">
        <v>59.23</v>
      </c>
      <c r="H44" s="100">
        <v>22.12</v>
      </c>
      <c r="I44" s="100">
        <v>11.19</v>
      </c>
      <c r="J44" s="100">
        <v>1.53</v>
      </c>
      <c r="K44" s="100">
        <v>340.09</v>
      </c>
      <c r="L44" s="100">
        <v>27.91</v>
      </c>
      <c r="M44" s="100">
        <v>70.489999999999995</v>
      </c>
      <c r="N44" s="100">
        <v>429.2</v>
      </c>
      <c r="O44" s="100">
        <v>0</v>
      </c>
      <c r="P44" s="100">
        <v>0.59</v>
      </c>
      <c r="Q44" s="100">
        <v>28.39</v>
      </c>
      <c r="R44" s="6"/>
      <c r="S44" s="6"/>
      <c r="T44" s="156"/>
      <c r="U44" s="6"/>
    </row>
    <row r="45" spans="1:21" customFormat="1">
      <c r="A45" s="163" t="s">
        <v>2580</v>
      </c>
      <c r="B45" s="100">
        <v>11.58</v>
      </c>
      <c r="C45" s="100">
        <v>12</v>
      </c>
      <c r="D45" s="100">
        <v>14.56</v>
      </c>
      <c r="E45" s="100">
        <v>7.57</v>
      </c>
      <c r="F45" s="100">
        <v>6.93</v>
      </c>
      <c r="G45" s="100">
        <v>65.319999999999993</v>
      </c>
      <c r="H45" s="100">
        <v>22.18</v>
      </c>
      <c r="I45" s="100">
        <v>11.07</v>
      </c>
      <c r="J45" s="100">
        <v>2.54</v>
      </c>
      <c r="K45" s="100">
        <v>127.71</v>
      </c>
      <c r="L45" s="100">
        <v>28.58</v>
      </c>
      <c r="M45" s="100">
        <v>68.599999999999994</v>
      </c>
      <c r="N45" s="100">
        <v>351.9</v>
      </c>
      <c r="O45" s="100">
        <v>0</v>
      </c>
      <c r="P45" s="100">
        <v>0.57999999999999996</v>
      </c>
      <c r="Q45" s="100">
        <v>28.4</v>
      </c>
      <c r="R45" s="6"/>
      <c r="S45" s="6"/>
      <c r="T45" s="156"/>
      <c r="U45" s="6"/>
    </row>
    <row r="46" spans="1:21" customFormat="1">
      <c r="A46" s="163" t="s">
        <v>2581</v>
      </c>
      <c r="B46" s="100">
        <v>11.02</v>
      </c>
      <c r="C46" s="100">
        <v>11.94</v>
      </c>
      <c r="D46" s="100">
        <v>14.08</v>
      </c>
      <c r="E46" s="100">
        <v>7.44</v>
      </c>
      <c r="F46" s="100">
        <v>6.72</v>
      </c>
      <c r="G46" s="100">
        <v>65.319999999999993</v>
      </c>
      <c r="H46" s="100">
        <v>22.18</v>
      </c>
      <c r="I46" s="100">
        <v>11.12</v>
      </c>
      <c r="J46" s="100">
        <v>1.25</v>
      </c>
      <c r="K46" s="100">
        <v>115.88</v>
      </c>
      <c r="L46" s="100">
        <v>29.17</v>
      </c>
      <c r="M46" s="100">
        <v>66.260000000000005</v>
      </c>
      <c r="N46" s="100">
        <v>310.60000000000002</v>
      </c>
      <c r="O46" s="100">
        <v>0</v>
      </c>
      <c r="P46" s="100">
        <v>0.57999999999999996</v>
      </c>
      <c r="Q46" s="100">
        <v>28.44</v>
      </c>
      <c r="R46" s="6"/>
      <c r="S46" s="6"/>
      <c r="T46" s="156"/>
      <c r="U46" s="6"/>
    </row>
    <row r="47" spans="1:21" customFormat="1">
      <c r="A47" s="163" t="s">
        <v>2582</v>
      </c>
      <c r="B47" s="100">
        <v>10.27</v>
      </c>
      <c r="C47" s="100">
        <v>11.52</v>
      </c>
      <c r="D47" s="100">
        <v>13.26</v>
      </c>
      <c r="E47" s="100">
        <v>7.49</v>
      </c>
      <c r="F47" s="100">
        <v>7.52</v>
      </c>
      <c r="G47" s="100">
        <v>65.319999999999993</v>
      </c>
      <c r="H47" s="100">
        <v>22.18</v>
      </c>
      <c r="I47" s="100">
        <v>11.01</v>
      </c>
      <c r="J47" s="100">
        <v>2.46</v>
      </c>
      <c r="K47" s="100">
        <v>221.43</v>
      </c>
      <c r="L47" s="100">
        <v>28.47</v>
      </c>
      <c r="M47" s="100">
        <v>68.67</v>
      </c>
      <c r="N47" s="100">
        <v>299.2</v>
      </c>
      <c r="O47" s="100">
        <v>0</v>
      </c>
      <c r="P47" s="100">
        <v>0.56000000000000005</v>
      </c>
      <c r="Q47" s="100">
        <v>28.49</v>
      </c>
      <c r="R47" s="6"/>
      <c r="S47" s="6"/>
      <c r="T47" s="156"/>
      <c r="U47" s="6"/>
    </row>
    <row r="48" spans="1:21" customFormat="1">
      <c r="A48" s="163" t="s">
        <v>2583</v>
      </c>
      <c r="B48" s="100">
        <v>9.52</v>
      </c>
      <c r="C48" s="100">
        <v>11.89</v>
      </c>
      <c r="D48" s="100">
        <v>12.85</v>
      </c>
      <c r="E48" s="100">
        <v>7.65</v>
      </c>
      <c r="F48" s="100">
        <v>5.94</v>
      </c>
      <c r="G48" s="100">
        <v>63.51</v>
      </c>
      <c r="H48" s="100">
        <v>21</v>
      </c>
      <c r="I48" s="100">
        <v>10.97</v>
      </c>
      <c r="J48" s="100">
        <v>2.11</v>
      </c>
      <c r="K48" s="100">
        <v>121.86</v>
      </c>
      <c r="L48" s="100">
        <v>28.96</v>
      </c>
      <c r="M48" s="100">
        <v>67.95</v>
      </c>
      <c r="N48" s="100">
        <v>405.2</v>
      </c>
      <c r="O48" s="100">
        <v>0</v>
      </c>
      <c r="P48" s="100">
        <v>0.57999999999999996</v>
      </c>
      <c r="Q48" s="100">
        <v>28.55</v>
      </c>
      <c r="R48" s="6"/>
      <c r="S48" s="6"/>
      <c r="T48" s="156"/>
      <c r="U48" s="6"/>
    </row>
    <row r="49" spans="1:21" customFormat="1">
      <c r="A49" s="163" t="s">
        <v>2584</v>
      </c>
      <c r="B49" s="100">
        <v>9.35</v>
      </c>
      <c r="C49" s="100">
        <v>13.77</v>
      </c>
      <c r="D49" s="100">
        <v>13.7</v>
      </c>
      <c r="E49" s="100">
        <v>7.18</v>
      </c>
      <c r="F49" s="100">
        <v>3.57</v>
      </c>
      <c r="G49" s="100">
        <v>56.74</v>
      </c>
      <c r="H49" s="100">
        <v>16.62</v>
      </c>
      <c r="I49" s="100">
        <v>10.95</v>
      </c>
      <c r="J49" s="100">
        <v>1.92</v>
      </c>
      <c r="K49" s="100">
        <v>184.16</v>
      </c>
      <c r="L49" s="100">
        <v>29.71</v>
      </c>
      <c r="M49" s="100">
        <v>64.84</v>
      </c>
      <c r="N49" s="100">
        <v>606.70000000000005</v>
      </c>
      <c r="O49" s="100">
        <v>0</v>
      </c>
      <c r="P49" s="100">
        <v>0.57999999999999996</v>
      </c>
      <c r="Q49" s="100">
        <v>28.54</v>
      </c>
      <c r="R49" s="6"/>
      <c r="S49" s="6"/>
      <c r="T49" s="156"/>
      <c r="U49" s="6"/>
    </row>
    <row r="50" spans="1:21" customFormat="1">
      <c r="A50" s="163" t="s">
        <v>2585</v>
      </c>
      <c r="B50" s="100">
        <v>8.84</v>
      </c>
      <c r="C50" s="100">
        <v>12.77</v>
      </c>
      <c r="D50" s="100">
        <v>12.77</v>
      </c>
      <c r="E50" s="100">
        <v>6.97</v>
      </c>
      <c r="F50" s="100">
        <v>3.51</v>
      </c>
      <c r="G50" s="100">
        <v>56.74</v>
      </c>
      <c r="H50" s="100">
        <v>16.62</v>
      </c>
      <c r="I50" s="100">
        <v>11.07</v>
      </c>
      <c r="J50" s="100">
        <v>0.78</v>
      </c>
      <c r="K50" s="100">
        <v>223.38</v>
      </c>
      <c r="L50" s="100">
        <v>30.1</v>
      </c>
      <c r="M50" s="100">
        <v>62.9</v>
      </c>
      <c r="N50" s="100">
        <v>514</v>
      </c>
      <c r="O50" s="100">
        <v>0</v>
      </c>
      <c r="P50" s="100">
        <v>0.56000000000000005</v>
      </c>
      <c r="Q50" s="100">
        <v>28.66</v>
      </c>
      <c r="R50" s="6"/>
      <c r="S50" s="6"/>
      <c r="T50" s="156"/>
      <c r="U50" s="6"/>
    </row>
    <row r="51" spans="1:21" customFormat="1">
      <c r="A51" s="163" t="s">
        <v>2586</v>
      </c>
      <c r="B51" s="100">
        <v>8.02</v>
      </c>
      <c r="C51" s="100">
        <v>9.83</v>
      </c>
      <c r="D51" s="100">
        <v>10.57</v>
      </c>
      <c r="E51" s="100">
        <v>6.68</v>
      </c>
      <c r="F51" s="100">
        <v>6.74</v>
      </c>
      <c r="G51" s="100">
        <v>56.74</v>
      </c>
      <c r="H51" s="100">
        <v>16.62</v>
      </c>
      <c r="I51" s="100">
        <v>11</v>
      </c>
      <c r="J51" s="100">
        <v>2.56</v>
      </c>
      <c r="K51" s="100">
        <v>222.53</v>
      </c>
      <c r="L51" s="100">
        <v>30.26</v>
      </c>
      <c r="M51" s="100">
        <v>61.86</v>
      </c>
      <c r="N51" s="100">
        <v>406.6</v>
      </c>
      <c r="O51" s="100">
        <v>0</v>
      </c>
      <c r="P51" s="100">
        <v>0.52</v>
      </c>
      <c r="Q51" s="100">
        <v>28.87</v>
      </c>
      <c r="R51" s="6"/>
      <c r="S51" s="6"/>
      <c r="T51" s="156"/>
      <c r="U51" s="6"/>
    </row>
    <row r="52" spans="1:21" customFormat="1">
      <c r="A52" s="163" t="s">
        <v>2587</v>
      </c>
      <c r="B52" s="100">
        <v>7.74</v>
      </c>
      <c r="C52" s="100">
        <v>9.7799999999999994</v>
      </c>
      <c r="D52" s="100">
        <v>10.32</v>
      </c>
      <c r="E52" s="100">
        <v>7.06</v>
      </c>
      <c r="F52" s="100">
        <v>4.59</v>
      </c>
      <c r="G52" s="100">
        <v>54.15</v>
      </c>
      <c r="H52" s="100">
        <v>15.9</v>
      </c>
      <c r="I52" s="100">
        <v>10.72</v>
      </c>
      <c r="J52" s="100">
        <v>1.89</v>
      </c>
      <c r="K52" s="100">
        <v>111.29</v>
      </c>
      <c r="L52" s="100">
        <v>30.14</v>
      </c>
      <c r="M52" s="100">
        <v>62.59</v>
      </c>
      <c r="N52" s="100">
        <v>349.7</v>
      </c>
      <c r="O52" s="100">
        <v>0</v>
      </c>
      <c r="P52" s="100">
        <v>0.55000000000000004</v>
      </c>
      <c r="Q52" s="100">
        <v>28.92</v>
      </c>
      <c r="R52" s="6"/>
      <c r="S52" s="6"/>
      <c r="T52" s="156"/>
      <c r="U52" s="6"/>
    </row>
    <row r="53" spans="1:21" customFormat="1">
      <c r="A53" s="163" t="s">
        <v>2588</v>
      </c>
      <c r="B53" s="100">
        <v>7.3</v>
      </c>
      <c r="C53" s="100">
        <v>9.91</v>
      </c>
      <c r="D53" s="100">
        <v>10.029999999999999</v>
      </c>
      <c r="E53" s="100">
        <v>5.29</v>
      </c>
      <c r="F53" s="100">
        <v>4.96</v>
      </c>
      <c r="G53" s="100">
        <v>44.48</v>
      </c>
      <c r="H53" s="100">
        <v>13.22</v>
      </c>
      <c r="I53" s="100">
        <v>10.44</v>
      </c>
      <c r="J53" s="100">
        <v>1.53</v>
      </c>
      <c r="K53" s="100">
        <v>131.49</v>
      </c>
      <c r="L53" s="100">
        <v>30.02</v>
      </c>
      <c r="M53" s="100">
        <v>63.32</v>
      </c>
      <c r="N53" s="100">
        <v>197.4</v>
      </c>
      <c r="O53" s="100">
        <v>0</v>
      </c>
      <c r="P53" s="100">
        <v>0.47</v>
      </c>
      <c r="Q53" s="100">
        <v>28.95</v>
      </c>
      <c r="R53" s="6"/>
      <c r="S53" s="6"/>
      <c r="T53" s="156"/>
      <c r="U53" s="6"/>
    </row>
    <row r="54" spans="1:21" customFormat="1">
      <c r="A54" s="163" t="s">
        <v>2589</v>
      </c>
      <c r="B54" s="100">
        <v>6.66</v>
      </c>
      <c r="C54" s="100">
        <v>9.7799999999999994</v>
      </c>
      <c r="D54" s="100">
        <v>9.4600000000000009</v>
      </c>
      <c r="E54" s="100">
        <v>5.7</v>
      </c>
      <c r="F54" s="100">
        <v>10.19</v>
      </c>
      <c r="G54" s="100">
        <v>44.48</v>
      </c>
      <c r="H54" s="100">
        <v>13.22</v>
      </c>
      <c r="I54" s="100">
        <v>10.53</v>
      </c>
      <c r="J54" s="100">
        <v>2.21</v>
      </c>
      <c r="K54" s="100">
        <v>202.27</v>
      </c>
      <c r="L54" s="100">
        <v>29.4</v>
      </c>
      <c r="M54" s="100">
        <v>63.77</v>
      </c>
      <c r="N54" s="100">
        <v>163.4</v>
      </c>
      <c r="O54" s="100">
        <v>0</v>
      </c>
      <c r="P54" s="100">
        <v>0.46</v>
      </c>
      <c r="Q54" s="100">
        <v>28.99</v>
      </c>
      <c r="R54" s="6"/>
      <c r="S54" s="6"/>
      <c r="T54" s="156"/>
      <c r="U54" s="6"/>
    </row>
    <row r="55" spans="1:21" customFormat="1">
      <c r="A55" s="163" t="s">
        <v>2590</v>
      </c>
      <c r="B55" s="100">
        <v>5.91</v>
      </c>
      <c r="C55" s="100">
        <v>8.51</v>
      </c>
      <c r="D55" s="100">
        <v>8.19</v>
      </c>
      <c r="E55" s="100">
        <v>5.82</v>
      </c>
      <c r="F55" s="100">
        <v>10.09</v>
      </c>
      <c r="G55" s="100">
        <v>44.48</v>
      </c>
      <c r="H55" s="100">
        <v>13.22</v>
      </c>
      <c r="I55" s="100">
        <v>10.220000000000001</v>
      </c>
      <c r="J55" s="100">
        <v>4.96</v>
      </c>
      <c r="K55" s="100">
        <v>201.36</v>
      </c>
      <c r="L55" s="100">
        <v>28.88</v>
      </c>
      <c r="M55" s="100">
        <v>68.08</v>
      </c>
      <c r="N55" s="100">
        <v>174.5</v>
      </c>
      <c r="O55" s="100">
        <v>0</v>
      </c>
      <c r="P55" s="100">
        <v>0.44</v>
      </c>
      <c r="Q55" s="100">
        <v>29.11</v>
      </c>
      <c r="R55" s="6"/>
      <c r="S55" s="6"/>
      <c r="T55" s="156"/>
      <c r="U55" s="6"/>
    </row>
    <row r="56" spans="1:21" customFormat="1">
      <c r="A56" s="163" t="s">
        <v>2591</v>
      </c>
      <c r="B56" s="100">
        <v>5.66</v>
      </c>
      <c r="C56" s="100">
        <v>9.17</v>
      </c>
      <c r="D56" s="100">
        <v>8.34</v>
      </c>
      <c r="E56" s="100">
        <v>5.21</v>
      </c>
      <c r="F56" s="100">
        <v>8.56</v>
      </c>
      <c r="G56" s="100">
        <v>41.57</v>
      </c>
      <c r="H56" s="100">
        <v>12.63</v>
      </c>
      <c r="I56" s="100">
        <v>9.69</v>
      </c>
      <c r="J56" s="100">
        <v>5.44</v>
      </c>
      <c r="K56" s="100">
        <v>213.71</v>
      </c>
      <c r="L56" s="100">
        <v>27.56</v>
      </c>
      <c r="M56" s="100">
        <v>73.75</v>
      </c>
      <c r="N56" s="100">
        <v>257.39999999999998</v>
      </c>
      <c r="O56" s="100">
        <v>0</v>
      </c>
      <c r="P56" s="100">
        <v>0.44</v>
      </c>
      <c r="Q56" s="100">
        <v>29.1</v>
      </c>
      <c r="R56" s="6"/>
      <c r="S56" s="6"/>
      <c r="T56" s="156"/>
      <c r="U56" s="6"/>
    </row>
    <row r="57" spans="1:21" customFormat="1">
      <c r="A57" s="163" t="s">
        <v>2592</v>
      </c>
      <c r="B57" s="100">
        <v>5.15</v>
      </c>
      <c r="C57" s="100">
        <v>9.32</v>
      </c>
      <c r="D57" s="100">
        <v>8</v>
      </c>
      <c r="E57" s="100">
        <v>5.44</v>
      </c>
      <c r="F57" s="100">
        <v>7.87</v>
      </c>
      <c r="G57" s="100">
        <v>30.71</v>
      </c>
      <c r="H57" s="100">
        <v>10.42</v>
      </c>
      <c r="I57" s="100">
        <v>9.3800000000000008</v>
      </c>
      <c r="J57" s="100">
        <v>5.49</v>
      </c>
      <c r="K57" s="100">
        <v>213.03</v>
      </c>
      <c r="L57" s="100">
        <v>28.12</v>
      </c>
      <c r="M57" s="100">
        <v>71.73</v>
      </c>
      <c r="N57" s="100">
        <v>354</v>
      </c>
      <c r="O57" s="100">
        <v>0</v>
      </c>
      <c r="P57" s="100">
        <v>0.44</v>
      </c>
      <c r="Q57" s="100">
        <v>29.12</v>
      </c>
      <c r="R57" s="6"/>
      <c r="S57" s="6"/>
      <c r="T57" s="156"/>
      <c r="U57" s="6"/>
    </row>
    <row r="58" spans="1:21" customFormat="1">
      <c r="A58" s="163" t="s">
        <v>2593</v>
      </c>
      <c r="B58" s="100">
        <v>4.76</v>
      </c>
      <c r="C58" s="100">
        <v>9.16</v>
      </c>
      <c r="D58" s="100">
        <v>7.61</v>
      </c>
      <c r="E58" s="100">
        <v>5.44</v>
      </c>
      <c r="F58" s="100">
        <v>8.43</v>
      </c>
      <c r="G58" s="100">
        <v>30.71</v>
      </c>
      <c r="H58" s="100">
        <v>10.42</v>
      </c>
      <c r="I58" s="100">
        <v>9.52</v>
      </c>
      <c r="J58" s="100">
        <v>4.74</v>
      </c>
      <c r="K58" s="100">
        <v>221.09</v>
      </c>
      <c r="L58" s="100">
        <v>28.93</v>
      </c>
      <c r="M58" s="100">
        <v>68.709999999999994</v>
      </c>
      <c r="N58" s="100">
        <v>385.8</v>
      </c>
      <c r="O58" s="100">
        <v>0</v>
      </c>
      <c r="P58" s="100">
        <v>0.43</v>
      </c>
      <c r="Q58" s="100">
        <v>29.11</v>
      </c>
      <c r="R58" s="6"/>
      <c r="S58" s="6"/>
      <c r="T58" s="156"/>
      <c r="U58" s="6"/>
    </row>
    <row r="59" spans="1:21" customFormat="1">
      <c r="A59" s="163" t="s">
        <v>2594</v>
      </c>
      <c r="B59" s="100">
        <v>4.3600000000000003</v>
      </c>
      <c r="C59" s="100">
        <v>9.08</v>
      </c>
      <c r="D59" s="100">
        <v>7.25</v>
      </c>
      <c r="E59" s="100">
        <v>5.43</v>
      </c>
      <c r="F59" s="100">
        <v>9.1199999999999992</v>
      </c>
      <c r="G59" s="100">
        <v>30.71</v>
      </c>
      <c r="H59" s="100">
        <v>10.42</v>
      </c>
      <c r="I59" s="100">
        <v>9.23</v>
      </c>
      <c r="J59" s="100">
        <v>2.66</v>
      </c>
      <c r="K59" s="100">
        <v>212.39</v>
      </c>
      <c r="L59" s="100">
        <v>29.58</v>
      </c>
      <c r="M59" s="100">
        <v>66.510000000000005</v>
      </c>
      <c r="N59" s="100">
        <v>338.7</v>
      </c>
      <c r="O59" s="100">
        <v>0</v>
      </c>
      <c r="P59" s="100">
        <v>0.42</v>
      </c>
      <c r="Q59" s="100">
        <v>29.11</v>
      </c>
      <c r="R59" s="6"/>
      <c r="S59" s="6"/>
      <c r="T59" s="156"/>
      <c r="U59" s="6"/>
    </row>
    <row r="60" spans="1:21" customFormat="1">
      <c r="A60" s="163" t="s">
        <v>2595</v>
      </c>
      <c r="B60" s="100">
        <v>3.81</v>
      </c>
      <c r="C60" s="100">
        <v>8.91</v>
      </c>
      <c r="D60" s="100">
        <v>6.72</v>
      </c>
      <c r="E60" s="100">
        <v>5.23</v>
      </c>
      <c r="F60" s="100">
        <v>13.67</v>
      </c>
      <c r="G60" s="100">
        <v>28.89</v>
      </c>
      <c r="H60" s="100">
        <v>10.85</v>
      </c>
      <c r="I60" s="100">
        <v>9.0500000000000007</v>
      </c>
      <c r="J60" s="100">
        <v>2.84</v>
      </c>
      <c r="K60" s="100">
        <v>171.88</v>
      </c>
      <c r="L60" s="100">
        <v>30.42</v>
      </c>
      <c r="M60" s="100">
        <v>62.8</v>
      </c>
      <c r="N60" s="100">
        <v>384.6</v>
      </c>
      <c r="O60" s="100">
        <v>0</v>
      </c>
      <c r="P60" s="100">
        <v>0.41</v>
      </c>
      <c r="Q60" s="100">
        <v>29.16</v>
      </c>
      <c r="R60" s="6"/>
      <c r="S60" s="6"/>
      <c r="T60" s="156"/>
      <c r="U60" s="6"/>
    </row>
    <row r="61" spans="1:21" customFormat="1">
      <c r="A61" s="163" t="s">
        <v>2596</v>
      </c>
      <c r="B61" s="100">
        <v>3.52</v>
      </c>
      <c r="C61" s="100">
        <v>9.2200000000000006</v>
      </c>
      <c r="D61" s="100">
        <v>6.65</v>
      </c>
      <c r="E61" s="100">
        <v>5.57</v>
      </c>
      <c r="F61" s="100">
        <v>7.25</v>
      </c>
      <c r="G61" s="100">
        <v>22.09</v>
      </c>
      <c r="H61" s="100">
        <v>12.46</v>
      </c>
      <c r="I61" s="100">
        <v>8.75</v>
      </c>
      <c r="J61" s="100">
        <v>0.45</v>
      </c>
      <c r="K61" s="100">
        <v>41.22</v>
      </c>
      <c r="L61" s="100">
        <v>30.69</v>
      </c>
      <c r="M61" s="100">
        <v>59.35</v>
      </c>
      <c r="N61" s="100">
        <v>373.4</v>
      </c>
      <c r="O61" s="100">
        <v>0</v>
      </c>
      <c r="P61" s="100">
        <v>0.43</v>
      </c>
      <c r="Q61" s="100">
        <v>29.16</v>
      </c>
      <c r="R61" s="6"/>
      <c r="S61" s="6"/>
      <c r="T61" s="156"/>
      <c r="U61" s="6"/>
    </row>
    <row r="62" spans="1:21" customFormat="1">
      <c r="A62" s="163" t="s">
        <v>2597</v>
      </c>
      <c r="B62" s="100">
        <v>3.46</v>
      </c>
      <c r="C62" s="100">
        <v>10.75</v>
      </c>
      <c r="D62" s="100">
        <v>7.4</v>
      </c>
      <c r="E62" s="100">
        <v>5.46</v>
      </c>
      <c r="F62" s="100">
        <v>4.8600000000000003</v>
      </c>
      <c r="G62" s="100">
        <v>22.09</v>
      </c>
      <c r="H62" s="100">
        <v>12.46</v>
      </c>
      <c r="I62" s="100">
        <v>8.58</v>
      </c>
      <c r="J62" s="100">
        <v>3.02</v>
      </c>
      <c r="K62" s="100">
        <v>225.33</v>
      </c>
      <c r="L62" s="100">
        <v>31.06</v>
      </c>
      <c r="M62" s="100">
        <v>55.37</v>
      </c>
      <c r="N62" s="100">
        <v>895.2</v>
      </c>
      <c r="O62" s="100">
        <v>0</v>
      </c>
      <c r="P62" s="100">
        <v>0.42</v>
      </c>
      <c r="Q62" s="100">
        <v>29.12</v>
      </c>
      <c r="R62" s="6"/>
      <c r="S62" s="6"/>
      <c r="T62" s="156"/>
      <c r="U62" s="6"/>
    </row>
    <row r="63" spans="1:21" customFormat="1">
      <c r="A63" s="163" t="s">
        <v>2598</v>
      </c>
      <c r="B63" s="100">
        <v>3.39</v>
      </c>
      <c r="C63" s="100">
        <v>8.76</v>
      </c>
      <c r="D63" s="100">
        <v>6.3</v>
      </c>
      <c r="E63" s="100">
        <v>5.56</v>
      </c>
      <c r="F63" s="100">
        <v>10.76</v>
      </c>
      <c r="G63" s="100">
        <v>22.09</v>
      </c>
      <c r="H63" s="100">
        <v>12.46</v>
      </c>
      <c r="I63" s="100">
        <v>8.6300000000000008</v>
      </c>
      <c r="J63" s="100">
        <v>2</v>
      </c>
      <c r="K63" s="100">
        <v>250.98</v>
      </c>
      <c r="L63" s="100">
        <v>31.98</v>
      </c>
      <c r="M63" s="100">
        <v>52.36</v>
      </c>
      <c r="N63" s="100">
        <v>808</v>
      </c>
      <c r="O63" s="100">
        <v>0</v>
      </c>
      <c r="P63" s="100">
        <v>0.4</v>
      </c>
      <c r="Q63" s="100">
        <v>29.27</v>
      </c>
      <c r="R63" s="6"/>
      <c r="S63" s="6"/>
      <c r="T63" s="156"/>
      <c r="U63" s="6"/>
    </row>
    <row r="64" spans="1:21" customFormat="1">
      <c r="A64" s="163" t="s">
        <v>2599</v>
      </c>
      <c r="B64" s="100">
        <v>3.37</v>
      </c>
      <c r="C64" s="100">
        <v>7.86</v>
      </c>
      <c r="D64" s="100">
        <v>5.82</v>
      </c>
      <c r="E64" s="100">
        <v>5.82</v>
      </c>
      <c r="F64" s="100">
        <v>10.58</v>
      </c>
      <c r="G64" s="100">
        <v>23.09</v>
      </c>
      <c r="H64" s="100">
        <v>12.6</v>
      </c>
      <c r="I64" s="100">
        <v>8.7799999999999994</v>
      </c>
      <c r="J64" s="100">
        <v>2.58</v>
      </c>
      <c r="K64" s="100">
        <v>355.72</v>
      </c>
      <c r="L64" s="100">
        <v>32.44</v>
      </c>
      <c r="M64" s="100">
        <v>54.42</v>
      </c>
      <c r="N64" s="100">
        <v>766.9</v>
      </c>
      <c r="O64" s="100">
        <v>0</v>
      </c>
      <c r="P64" s="100">
        <v>0.42</v>
      </c>
      <c r="Q64" s="100">
        <v>29.37</v>
      </c>
      <c r="R64" s="6"/>
      <c r="S64" s="6"/>
      <c r="T64" s="156"/>
      <c r="U64" s="6"/>
    </row>
    <row r="65" spans="1:21" customFormat="1">
      <c r="A65" s="163" t="s">
        <v>2600</v>
      </c>
      <c r="B65" s="100">
        <v>3.24</v>
      </c>
      <c r="C65" s="100">
        <v>8.68</v>
      </c>
      <c r="D65" s="100">
        <v>6.14</v>
      </c>
      <c r="E65" s="100">
        <v>6.1</v>
      </c>
      <c r="F65" s="100">
        <v>11.75</v>
      </c>
      <c r="G65" s="100">
        <v>26.81</v>
      </c>
      <c r="H65" s="100">
        <v>13.15</v>
      </c>
      <c r="I65" s="100">
        <v>8.6</v>
      </c>
      <c r="J65" s="100">
        <v>1.87</v>
      </c>
      <c r="K65" s="100">
        <v>332.05</v>
      </c>
      <c r="L65" s="100">
        <v>31.82</v>
      </c>
      <c r="M65" s="100">
        <v>57.47</v>
      </c>
      <c r="N65" s="100">
        <v>658</v>
      </c>
      <c r="O65" s="100">
        <v>0</v>
      </c>
      <c r="P65" s="100">
        <v>0.43</v>
      </c>
      <c r="Q65" s="100">
        <v>29.29</v>
      </c>
      <c r="R65" s="6"/>
      <c r="S65" s="6"/>
      <c r="T65" s="156"/>
      <c r="U65" s="6"/>
    </row>
    <row r="66" spans="1:21" customFormat="1">
      <c r="A66" s="163" t="s">
        <v>2601</v>
      </c>
      <c r="B66" s="100">
        <v>3.1</v>
      </c>
      <c r="C66" s="100">
        <v>7.88</v>
      </c>
      <c r="D66" s="100">
        <v>5.61</v>
      </c>
      <c r="E66" s="100">
        <v>6.35</v>
      </c>
      <c r="F66" s="100">
        <v>13.46</v>
      </c>
      <c r="G66" s="100">
        <v>26.81</v>
      </c>
      <c r="H66" s="100">
        <v>13.15</v>
      </c>
      <c r="I66" s="100">
        <v>8.75</v>
      </c>
      <c r="J66" s="100">
        <v>2.2400000000000002</v>
      </c>
      <c r="K66" s="100">
        <v>359.79</v>
      </c>
      <c r="L66" s="100">
        <v>31.9</v>
      </c>
      <c r="M66" s="100">
        <v>57.12</v>
      </c>
      <c r="N66" s="100">
        <v>614.20000000000005</v>
      </c>
      <c r="O66" s="100">
        <v>0</v>
      </c>
      <c r="P66" s="100">
        <v>0.42</v>
      </c>
      <c r="Q66" s="100">
        <v>29.36</v>
      </c>
      <c r="R66" s="6"/>
      <c r="S66" s="6"/>
      <c r="T66" s="156"/>
      <c r="U66" s="6"/>
    </row>
    <row r="67" spans="1:21" customFormat="1">
      <c r="A67" s="163" t="s">
        <v>2602</v>
      </c>
      <c r="B67" s="100">
        <v>2.84</v>
      </c>
      <c r="C67" s="100">
        <v>8.1999999999999993</v>
      </c>
      <c r="D67" s="100">
        <v>5.57</v>
      </c>
      <c r="E67" s="100">
        <v>6.15</v>
      </c>
      <c r="F67" s="100">
        <v>13.63</v>
      </c>
      <c r="G67" s="100">
        <v>26.81</v>
      </c>
      <c r="H67" s="100">
        <v>13.15</v>
      </c>
      <c r="I67" s="100">
        <v>8.86</v>
      </c>
      <c r="J67" s="100">
        <v>3.37</v>
      </c>
      <c r="K67" s="100">
        <v>19.86</v>
      </c>
      <c r="L67" s="100">
        <v>32.79</v>
      </c>
      <c r="M67" s="100">
        <v>54.34</v>
      </c>
      <c r="N67" s="100">
        <v>704.8</v>
      </c>
      <c r="O67" s="100">
        <v>0</v>
      </c>
      <c r="P67" s="100">
        <v>0.42</v>
      </c>
      <c r="Q67" s="100">
        <v>29.37</v>
      </c>
      <c r="R67" s="6"/>
      <c r="S67" s="6"/>
      <c r="T67" s="156"/>
      <c r="U67" s="6"/>
    </row>
    <row r="68" spans="1:21" customFormat="1">
      <c r="A68" s="163" t="s">
        <v>2603</v>
      </c>
      <c r="B68" s="100">
        <v>2.73</v>
      </c>
      <c r="C68" s="100">
        <v>9.3699999999999992</v>
      </c>
      <c r="D68" s="100">
        <v>6.09</v>
      </c>
      <c r="E68" s="100">
        <v>6.52</v>
      </c>
      <c r="F68" s="100">
        <v>21.42</v>
      </c>
      <c r="G68" s="100">
        <v>28.18</v>
      </c>
      <c r="H68" s="100">
        <v>13.38</v>
      </c>
      <c r="I68" s="100">
        <v>8.83</v>
      </c>
      <c r="J68" s="100">
        <v>4.25</v>
      </c>
      <c r="K68" s="100">
        <v>39.700000000000003</v>
      </c>
      <c r="L68" s="100">
        <v>32.58</v>
      </c>
      <c r="M68" s="100">
        <v>55.09</v>
      </c>
      <c r="N68" s="100">
        <v>466.4</v>
      </c>
      <c r="O68" s="100">
        <v>0</v>
      </c>
      <c r="P68" s="100">
        <v>0.43</v>
      </c>
      <c r="Q68" s="100">
        <v>29.26</v>
      </c>
      <c r="R68" s="6"/>
      <c r="S68" s="6"/>
      <c r="T68" s="156"/>
      <c r="U68" s="6"/>
    </row>
    <row r="69" spans="1:21" customFormat="1">
      <c r="A69" s="163" t="s">
        <v>2604</v>
      </c>
      <c r="B69" s="100">
        <v>2.5299999999999998</v>
      </c>
      <c r="C69" s="100">
        <v>9.35</v>
      </c>
      <c r="D69" s="100">
        <v>5.92</v>
      </c>
      <c r="E69" s="100">
        <v>6.41</v>
      </c>
      <c r="F69" s="100">
        <v>13.05</v>
      </c>
      <c r="G69" s="100">
        <v>33.26</v>
      </c>
      <c r="H69" s="100">
        <v>14.21</v>
      </c>
      <c r="I69" s="100">
        <v>8.7100000000000009</v>
      </c>
      <c r="J69" s="100">
        <v>3.87</v>
      </c>
      <c r="K69" s="100">
        <v>63.08</v>
      </c>
      <c r="L69" s="100">
        <v>30.8</v>
      </c>
      <c r="M69" s="100">
        <v>61.19</v>
      </c>
      <c r="N69" s="100">
        <v>441.3</v>
      </c>
      <c r="O69" s="100">
        <v>0</v>
      </c>
      <c r="P69" s="100">
        <v>0.42</v>
      </c>
      <c r="Q69" s="100">
        <v>29.24</v>
      </c>
      <c r="R69" s="6"/>
      <c r="S69" s="6"/>
      <c r="T69" s="156"/>
      <c r="U69" s="6"/>
    </row>
    <row r="70" spans="1:21" customFormat="1">
      <c r="A70" s="163" t="s">
        <v>2605</v>
      </c>
      <c r="B70" s="100">
        <v>2.81</v>
      </c>
      <c r="C70" s="100">
        <v>10.51</v>
      </c>
      <c r="D70" s="100">
        <v>6.75</v>
      </c>
      <c r="E70" s="100">
        <v>6.14</v>
      </c>
      <c r="F70" s="100">
        <v>10.16</v>
      </c>
      <c r="G70" s="100">
        <v>33.26</v>
      </c>
      <c r="H70" s="100">
        <v>14.21</v>
      </c>
      <c r="I70" s="100">
        <v>8.51</v>
      </c>
      <c r="J70" s="100">
        <v>3.87</v>
      </c>
      <c r="K70" s="100">
        <v>45.05</v>
      </c>
      <c r="L70" s="100">
        <v>30.63</v>
      </c>
      <c r="M70" s="100">
        <v>59.07</v>
      </c>
      <c r="N70" s="100">
        <v>450</v>
      </c>
      <c r="O70" s="100">
        <v>0</v>
      </c>
      <c r="P70" s="100">
        <v>0.43</v>
      </c>
      <c r="Q70" s="100">
        <v>29.18</v>
      </c>
      <c r="R70" s="6"/>
      <c r="S70" s="6"/>
      <c r="T70" s="156"/>
      <c r="U70" s="6"/>
    </row>
    <row r="71" spans="1:21" customFormat="1">
      <c r="A71" s="163" t="s">
        <v>2606</v>
      </c>
      <c r="B71" s="100">
        <v>2.91</v>
      </c>
      <c r="C71" s="100">
        <v>10.29</v>
      </c>
      <c r="D71" s="100">
        <v>6.71</v>
      </c>
      <c r="E71" s="100">
        <v>6.08</v>
      </c>
      <c r="F71" s="100">
        <v>11.44</v>
      </c>
      <c r="G71" s="100">
        <v>33.26</v>
      </c>
      <c r="H71" s="100">
        <v>14.21</v>
      </c>
      <c r="I71" s="100">
        <v>8.41</v>
      </c>
      <c r="J71" s="100">
        <v>2.95</v>
      </c>
      <c r="K71" s="100">
        <v>45.53</v>
      </c>
      <c r="L71" s="100">
        <v>30.3</v>
      </c>
      <c r="M71" s="100">
        <v>60.48</v>
      </c>
      <c r="N71" s="100">
        <v>281</v>
      </c>
      <c r="O71" s="100">
        <v>0</v>
      </c>
      <c r="P71" s="100">
        <v>0.44</v>
      </c>
      <c r="Q71" s="100">
        <v>29.17</v>
      </c>
      <c r="R71" s="6"/>
      <c r="S71" s="6"/>
      <c r="T71" s="156"/>
      <c r="U71" s="6"/>
    </row>
    <row r="72" spans="1:21" customFormat="1">
      <c r="A72" s="163" t="s">
        <v>2607</v>
      </c>
      <c r="B72" s="100">
        <v>2.77</v>
      </c>
      <c r="C72" s="100">
        <v>10.29</v>
      </c>
      <c r="D72" s="100">
        <v>6.61</v>
      </c>
      <c r="E72" s="100">
        <v>5.72</v>
      </c>
      <c r="F72" s="100">
        <v>12.07</v>
      </c>
      <c r="G72" s="100">
        <v>33.4</v>
      </c>
      <c r="H72" s="100">
        <v>15.25</v>
      </c>
      <c r="I72" s="100">
        <v>8.61</v>
      </c>
      <c r="J72" s="100">
        <v>1.81</v>
      </c>
      <c r="K72" s="100">
        <v>198.12</v>
      </c>
      <c r="L72" s="100">
        <v>30.67</v>
      </c>
      <c r="M72" s="100">
        <v>57.91</v>
      </c>
      <c r="N72" s="100">
        <v>157.9</v>
      </c>
      <c r="O72" s="100">
        <v>0</v>
      </c>
      <c r="P72" s="100">
        <v>0.41</v>
      </c>
      <c r="Q72" s="100">
        <v>29.11</v>
      </c>
      <c r="R72" s="6"/>
      <c r="S72" s="6"/>
      <c r="T72" s="156"/>
      <c r="U72" s="6"/>
    </row>
    <row r="73" spans="1:21" customFormat="1">
      <c r="A73" s="163" t="s">
        <v>2608</v>
      </c>
      <c r="B73" s="100">
        <v>2.75</v>
      </c>
      <c r="C73" s="100">
        <v>9.35</v>
      </c>
      <c r="D73" s="100">
        <v>6.1</v>
      </c>
      <c r="E73" s="100">
        <v>6.02</v>
      </c>
      <c r="F73" s="100">
        <v>11.45</v>
      </c>
      <c r="G73" s="100">
        <v>33.92</v>
      </c>
      <c r="H73" s="100">
        <v>19.13</v>
      </c>
      <c r="I73" s="100">
        <v>8.4700000000000006</v>
      </c>
      <c r="J73" s="100">
        <v>2.3199999999999998</v>
      </c>
      <c r="K73" s="100">
        <v>185.47</v>
      </c>
      <c r="L73" s="100">
        <v>29.83</v>
      </c>
      <c r="M73" s="100">
        <v>60.25</v>
      </c>
      <c r="N73" s="100">
        <v>118.3</v>
      </c>
      <c r="O73" s="100">
        <v>0</v>
      </c>
      <c r="P73" s="100">
        <v>0.4</v>
      </c>
      <c r="Q73" s="100">
        <v>29.19</v>
      </c>
      <c r="R73" s="6"/>
      <c r="S73" s="6"/>
      <c r="T73" s="156"/>
      <c r="U73" s="6"/>
    </row>
    <row r="74" spans="1:21" customFormat="1">
      <c r="A74" s="163" t="s">
        <v>2609</v>
      </c>
      <c r="B74" s="100">
        <v>2.56</v>
      </c>
      <c r="C74" s="100">
        <v>8.7799999999999994</v>
      </c>
      <c r="D74" s="100">
        <v>5.65</v>
      </c>
      <c r="E74" s="100">
        <v>5.76</v>
      </c>
      <c r="F74" s="100">
        <v>14.67</v>
      </c>
      <c r="G74" s="100">
        <v>33.92</v>
      </c>
      <c r="H74" s="100">
        <v>19.13</v>
      </c>
      <c r="I74" s="100">
        <v>8.3699999999999992</v>
      </c>
      <c r="J74" s="100">
        <v>2.58</v>
      </c>
      <c r="K74" s="100">
        <v>133.54</v>
      </c>
      <c r="L74" s="100">
        <v>29.74</v>
      </c>
      <c r="M74" s="100">
        <v>62.65</v>
      </c>
      <c r="N74" s="100">
        <v>116.5</v>
      </c>
      <c r="O74" s="100">
        <v>0</v>
      </c>
      <c r="P74" s="100">
        <v>0.39</v>
      </c>
      <c r="Q74" s="100">
        <v>29.22</v>
      </c>
      <c r="R74" s="6"/>
      <c r="S74" s="6"/>
      <c r="T74" s="156"/>
      <c r="U74" s="6"/>
    </row>
    <row r="75" spans="1:21" customFormat="1">
      <c r="A75" s="163" t="s">
        <v>2610</v>
      </c>
      <c r="B75" s="100">
        <v>2.5299999999999998</v>
      </c>
      <c r="C75" s="100">
        <v>11.08</v>
      </c>
      <c r="D75" s="100">
        <v>6.83</v>
      </c>
      <c r="E75" s="100">
        <v>5.77</v>
      </c>
      <c r="F75" s="100">
        <v>8.98</v>
      </c>
      <c r="G75" s="100">
        <v>33.92</v>
      </c>
      <c r="H75" s="100">
        <v>19.13</v>
      </c>
      <c r="I75" s="100">
        <v>8.09</v>
      </c>
      <c r="J75" s="100">
        <v>2.2400000000000002</v>
      </c>
      <c r="K75" s="100">
        <v>174.28</v>
      </c>
      <c r="L75" s="100">
        <v>30.01</v>
      </c>
      <c r="M75" s="100">
        <v>62.36</v>
      </c>
      <c r="N75" s="100">
        <v>88.7</v>
      </c>
      <c r="O75" s="100">
        <v>0</v>
      </c>
      <c r="P75" s="100">
        <v>0.42</v>
      </c>
      <c r="Q75" s="100">
        <v>29.18</v>
      </c>
      <c r="R75" s="6"/>
      <c r="S75" s="6"/>
      <c r="T75" s="156"/>
      <c r="U75" s="6"/>
    </row>
    <row r="76" spans="1:21" customFormat="1">
      <c r="A76" s="163" t="s">
        <v>2611</v>
      </c>
      <c r="B76" s="100">
        <v>2.58</v>
      </c>
      <c r="C76" s="100">
        <v>11.02</v>
      </c>
      <c r="D76" s="100">
        <v>6.83</v>
      </c>
      <c r="E76" s="100">
        <v>5.8</v>
      </c>
      <c r="F76" s="100">
        <v>5.39</v>
      </c>
      <c r="G76" s="100">
        <v>33.19</v>
      </c>
      <c r="H76" s="100">
        <v>18.37</v>
      </c>
      <c r="I76" s="100">
        <v>7.85</v>
      </c>
      <c r="J76" s="100">
        <v>3.93</v>
      </c>
      <c r="K76" s="100">
        <v>206.07</v>
      </c>
      <c r="L76" s="100">
        <v>29.04</v>
      </c>
      <c r="M76" s="100">
        <v>66.73</v>
      </c>
      <c r="N76" s="100">
        <v>80.2</v>
      </c>
      <c r="O76" s="100">
        <v>0</v>
      </c>
      <c r="P76" s="100">
        <v>0.4</v>
      </c>
      <c r="Q76" s="100">
        <v>29.2</v>
      </c>
      <c r="R76" s="6"/>
      <c r="S76" s="6"/>
      <c r="T76" s="156"/>
      <c r="U76" s="6"/>
    </row>
    <row r="77" spans="1:21" customFormat="1">
      <c r="A77" s="163" t="s">
        <v>2612</v>
      </c>
      <c r="B77" s="100">
        <v>2.64</v>
      </c>
      <c r="C77" s="100">
        <v>9.07</v>
      </c>
      <c r="D77" s="100">
        <v>5.86</v>
      </c>
      <c r="E77" s="100">
        <v>5.91</v>
      </c>
      <c r="F77" s="100">
        <v>9.1199999999999992</v>
      </c>
      <c r="G77" s="100">
        <v>30.45</v>
      </c>
      <c r="H77" s="100">
        <v>15.53</v>
      </c>
      <c r="I77" s="100">
        <v>8.66</v>
      </c>
      <c r="J77" s="100">
        <v>3.63</v>
      </c>
      <c r="K77" s="100">
        <v>218.75</v>
      </c>
      <c r="L77" s="100">
        <v>28.25</v>
      </c>
      <c r="M77" s="100">
        <v>69.430000000000007</v>
      </c>
      <c r="N77" s="100">
        <v>67</v>
      </c>
      <c r="O77" s="100">
        <v>0</v>
      </c>
      <c r="P77" s="100">
        <v>0.41</v>
      </c>
      <c r="Q77" s="100">
        <v>29.32</v>
      </c>
      <c r="R77" s="6"/>
      <c r="S77" s="6"/>
      <c r="T77" s="156"/>
      <c r="U77" s="6"/>
    </row>
    <row r="78" spans="1:21" customFormat="1">
      <c r="A78" s="163" t="s">
        <v>2613</v>
      </c>
      <c r="B78" s="100">
        <v>2.71</v>
      </c>
      <c r="C78" s="100">
        <v>8.18</v>
      </c>
      <c r="D78" s="100">
        <v>5.45</v>
      </c>
      <c r="E78" s="100">
        <v>7</v>
      </c>
      <c r="F78" s="100">
        <v>6.71</v>
      </c>
      <c r="G78" s="100">
        <v>30.45</v>
      </c>
      <c r="H78" s="100">
        <v>15.53</v>
      </c>
      <c r="I78" s="100">
        <v>8.61</v>
      </c>
      <c r="J78" s="100">
        <v>3.58</v>
      </c>
      <c r="K78" s="100">
        <v>201.29</v>
      </c>
      <c r="L78" s="100">
        <v>28.15</v>
      </c>
      <c r="M78" s="100">
        <v>70.39</v>
      </c>
      <c r="N78" s="100">
        <v>59.8</v>
      </c>
      <c r="O78" s="100">
        <v>0</v>
      </c>
      <c r="P78" s="100">
        <v>0.44</v>
      </c>
      <c r="Q78" s="100">
        <v>29.36</v>
      </c>
      <c r="R78" s="6"/>
      <c r="S78" s="6"/>
      <c r="T78" s="156"/>
      <c r="U78" s="6"/>
    </row>
    <row r="79" spans="1:21" customFormat="1">
      <c r="A79" s="163" t="s">
        <v>2614</v>
      </c>
      <c r="B79" s="100">
        <v>2.76</v>
      </c>
      <c r="C79" s="100">
        <v>7.79</v>
      </c>
      <c r="D79" s="100">
        <v>5.29</v>
      </c>
      <c r="E79" s="100">
        <v>6.84</v>
      </c>
      <c r="F79" s="100">
        <v>7.75</v>
      </c>
      <c r="G79" s="100">
        <v>30.45</v>
      </c>
      <c r="H79" s="100">
        <v>15.53</v>
      </c>
      <c r="I79" s="100">
        <v>8.3800000000000008</v>
      </c>
      <c r="J79" s="100">
        <v>3.52</v>
      </c>
      <c r="K79" s="100">
        <v>198.96</v>
      </c>
      <c r="L79" s="100">
        <v>27.82</v>
      </c>
      <c r="M79" s="100">
        <v>71.599999999999994</v>
      </c>
      <c r="N79" s="100">
        <v>54.7</v>
      </c>
      <c r="O79" s="100">
        <v>0</v>
      </c>
      <c r="P79" s="100">
        <v>0.43</v>
      </c>
      <c r="Q79" s="100">
        <v>29.39</v>
      </c>
      <c r="R79" s="6"/>
      <c r="S79" s="6"/>
      <c r="T79" s="156"/>
      <c r="U79" s="6"/>
    </row>
    <row r="80" spans="1:21" customFormat="1">
      <c r="A80" s="163" t="s">
        <v>2615</v>
      </c>
      <c r="B80" s="100">
        <v>2.75</v>
      </c>
      <c r="C80" s="100">
        <v>7.29</v>
      </c>
      <c r="D80" s="100">
        <v>5.0199999999999996</v>
      </c>
      <c r="E80" s="100">
        <v>7</v>
      </c>
      <c r="F80" s="100">
        <v>10.46</v>
      </c>
      <c r="G80" s="100">
        <v>29.7</v>
      </c>
      <c r="H80" s="100">
        <v>14.64</v>
      </c>
      <c r="I80" s="100">
        <v>8.41</v>
      </c>
      <c r="J80" s="100">
        <v>3.41</v>
      </c>
      <c r="K80" s="100">
        <v>158.47999999999999</v>
      </c>
      <c r="L80" s="100">
        <v>27.95</v>
      </c>
      <c r="M80" s="100">
        <v>68.66</v>
      </c>
      <c r="N80" s="100">
        <v>48.8</v>
      </c>
      <c r="O80" s="100">
        <v>0</v>
      </c>
      <c r="P80" s="100">
        <v>0.42</v>
      </c>
      <c r="Q80" s="100">
        <v>29.46</v>
      </c>
      <c r="R80" s="6"/>
      <c r="S80" s="6"/>
      <c r="T80" s="156"/>
      <c r="U80" s="6"/>
    </row>
    <row r="81" spans="1:21" customFormat="1">
      <c r="A81" s="163" t="s">
        <v>2616</v>
      </c>
      <c r="B81" s="100">
        <v>2.78</v>
      </c>
      <c r="C81" s="100">
        <v>8.23</v>
      </c>
      <c r="D81" s="100">
        <v>5.54</v>
      </c>
      <c r="E81" s="100">
        <v>6.59</v>
      </c>
      <c r="F81" s="100">
        <v>10.23</v>
      </c>
      <c r="G81" s="100">
        <v>26.9</v>
      </c>
      <c r="H81" s="100">
        <v>11.32</v>
      </c>
      <c r="I81" s="100">
        <v>8.27</v>
      </c>
      <c r="J81" s="100">
        <v>3.62</v>
      </c>
      <c r="K81" s="100">
        <v>129.51</v>
      </c>
      <c r="L81" s="100">
        <v>27.67</v>
      </c>
      <c r="M81" s="100">
        <v>67.95</v>
      </c>
      <c r="N81" s="100">
        <v>40.299999999999997</v>
      </c>
      <c r="O81" s="100">
        <v>0</v>
      </c>
      <c r="P81" s="100">
        <v>0.42</v>
      </c>
      <c r="Q81" s="100">
        <v>29.39</v>
      </c>
      <c r="R81" s="6"/>
      <c r="S81" s="6"/>
      <c r="T81" s="156"/>
      <c r="U81" s="6"/>
    </row>
    <row r="82" spans="1:21" customFormat="1">
      <c r="A82" s="163" t="s">
        <v>2617</v>
      </c>
      <c r="B82" s="100">
        <v>2.81</v>
      </c>
      <c r="C82" s="100">
        <v>8.67</v>
      </c>
      <c r="D82" s="100">
        <v>5.79</v>
      </c>
      <c r="E82" s="100">
        <v>6.64</v>
      </c>
      <c r="F82" s="100">
        <v>10.64</v>
      </c>
      <c r="G82" s="100">
        <v>26.9</v>
      </c>
      <c r="H82" s="100">
        <v>11.32</v>
      </c>
      <c r="I82" s="100">
        <v>7.97</v>
      </c>
      <c r="J82" s="100">
        <v>4.05</v>
      </c>
      <c r="K82" s="100">
        <v>136.47</v>
      </c>
      <c r="L82" s="100">
        <v>27.39</v>
      </c>
      <c r="M82" s="100">
        <v>66.83</v>
      </c>
      <c r="N82" s="100">
        <v>28.7</v>
      </c>
      <c r="O82" s="100">
        <v>0</v>
      </c>
      <c r="P82" s="100">
        <v>0.41</v>
      </c>
      <c r="Q82" s="100">
        <v>29.34</v>
      </c>
      <c r="R82" s="6"/>
      <c r="S82" s="6"/>
      <c r="T82" s="156"/>
      <c r="U82" s="6"/>
    </row>
    <row r="83" spans="1:21" customFormat="1">
      <c r="A83" s="163" t="s">
        <v>2618</v>
      </c>
      <c r="B83" s="100">
        <v>2.82</v>
      </c>
      <c r="C83" s="100">
        <v>9.32</v>
      </c>
      <c r="D83" s="100">
        <v>6.14</v>
      </c>
      <c r="E83" s="100">
        <v>6.57</v>
      </c>
      <c r="F83" s="100">
        <v>12.16</v>
      </c>
      <c r="G83" s="100">
        <v>26.9</v>
      </c>
      <c r="H83" s="100">
        <v>11.32</v>
      </c>
      <c r="I83" s="100">
        <v>7.74</v>
      </c>
      <c r="J83" s="100">
        <v>2.59</v>
      </c>
      <c r="K83" s="100">
        <v>138.03</v>
      </c>
      <c r="L83" s="100">
        <v>27.24</v>
      </c>
      <c r="M83" s="100">
        <v>66.8</v>
      </c>
      <c r="N83" s="100">
        <v>23.8</v>
      </c>
      <c r="O83" s="100">
        <v>0</v>
      </c>
      <c r="P83" s="100">
        <v>0.43</v>
      </c>
      <c r="Q83" s="100">
        <v>29.29</v>
      </c>
      <c r="R83" s="6"/>
      <c r="S83" s="6"/>
      <c r="T83" s="156"/>
      <c r="U83" s="6"/>
    </row>
    <row r="84" spans="1:21" customFormat="1">
      <c r="A84" s="163" t="s">
        <v>2619</v>
      </c>
      <c r="B84" s="100">
        <v>3.08</v>
      </c>
      <c r="C84" s="100">
        <v>9.84</v>
      </c>
      <c r="D84" s="100">
        <v>6.61</v>
      </c>
      <c r="E84" s="100">
        <v>6.63</v>
      </c>
      <c r="F84" s="100">
        <v>9.08</v>
      </c>
      <c r="G84" s="100">
        <v>25.79</v>
      </c>
      <c r="H84" s="100">
        <v>10.6</v>
      </c>
      <c r="I84" s="100">
        <v>7.71</v>
      </c>
      <c r="J84" s="100">
        <v>3.32</v>
      </c>
      <c r="K84" s="100">
        <v>168.03</v>
      </c>
      <c r="L84" s="100">
        <v>27.28</v>
      </c>
      <c r="M84" s="100">
        <v>66.540000000000006</v>
      </c>
      <c r="N84" s="100">
        <v>23.3</v>
      </c>
      <c r="O84" s="100">
        <v>0</v>
      </c>
      <c r="P84" s="100">
        <v>0.44</v>
      </c>
      <c r="Q84" s="100">
        <v>29.23</v>
      </c>
      <c r="R84" s="6"/>
      <c r="S84" s="6"/>
      <c r="T84" s="156"/>
      <c r="U84" s="6"/>
    </row>
    <row r="85" spans="1:21" customFormat="1">
      <c r="A85" s="163" t="s">
        <v>2620</v>
      </c>
      <c r="B85" s="100">
        <v>3.12</v>
      </c>
      <c r="C85" s="100">
        <v>10.130000000000001</v>
      </c>
      <c r="D85" s="100">
        <v>6.8</v>
      </c>
      <c r="E85" s="100">
        <v>7.08</v>
      </c>
      <c r="F85" s="100">
        <v>9.39</v>
      </c>
      <c r="G85" s="100">
        <v>21.63</v>
      </c>
      <c r="H85" s="100">
        <v>7.93</v>
      </c>
      <c r="I85" s="100">
        <v>7.89</v>
      </c>
      <c r="J85" s="100">
        <v>4.03</v>
      </c>
      <c r="K85" s="100">
        <v>128.27000000000001</v>
      </c>
      <c r="L85" s="100">
        <v>27.09</v>
      </c>
      <c r="M85" s="100">
        <v>68.89</v>
      </c>
      <c r="N85" s="100">
        <v>23.3</v>
      </c>
      <c r="O85" s="100">
        <v>0</v>
      </c>
      <c r="P85" s="100">
        <v>0.46</v>
      </c>
      <c r="Q85" s="100">
        <v>29.17</v>
      </c>
      <c r="R85" s="6"/>
      <c r="S85" s="6"/>
      <c r="T85" s="156"/>
      <c r="U85" s="6"/>
    </row>
    <row r="86" spans="1:21" customFormat="1">
      <c r="A86" s="163" t="s">
        <v>2621</v>
      </c>
      <c r="B86" s="100">
        <v>4.04</v>
      </c>
      <c r="C86" s="100">
        <v>10.99</v>
      </c>
      <c r="D86" s="100">
        <v>7.99</v>
      </c>
      <c r="E86" s="100">
        <v>6.99</v>
      </c>
      <c r="F86" s="100">
        <v>8.43</v>
      </c>
      <c r="G86" s="100">
        <v>21.63</v>
      </c>
      <c r="H86" s="100">
        <v>7.93</v>
      </c>
      <c r="I86" s="100">
        <v>8.15</v>
      </c>
      <c r="J86" s="100">
        <v>3.03</v>
      </c>
      <c r="K86" s="100">
        <v>105.24</v>
      </c>
      <c r="L86" s="100">
        <v>26.97</v>
      </c>
      <c r="M86" s="100">
        <v>71.510000000000005</v>
      </c>
      <c r="N86" s="100">
        <v>23.3</v>
      </c>
      <c r="O86" s="100">
        <v>0</v>
      </c>
      <c r="P86" s="100">
        <v>0.54</v>
      </c>
      <c r="Q86" s="100">
        <v>29.19</v>
      </c>
      <c r="R86" s="6"/>
      <c r="S86" s="6"/>
      <c r="T86" s="156"/>
      <c r="U86" s="6"/>
    </row>
    <row r="87" spans="1:21" customFormat="1">
      <c r="A87" s="163" t="s">
        <v>2622</v>
      </c>
      <c r="B87" s="100">
        <v>4.09</v>
      </c>
      <c r="C87" s="100">
        <v>11.38</v>
      </c>
      <c r="D87" s="100">
        <v>8.24</v>
      </c>
      <c r="E87" s="100">
        <v>7.68</v>
      </c>
      <c r="F87" s="100">
        <v>7.85</v>
      </c>
      <c r="G87" s="100">
        <v>21.63</v>
      </c>
      <c r="H87" s="100">
        <v>7.93</v>
      </c>
      <c r="I87" s="100">
        <v>8.6</v>
      </c>
      <c r="J87" s="100">
        <v>3.04</v>
      </c>
      <c r="K87" s="100">
        <v>100.14</v>
      </c>
      <c r="L87" s="100">
        <v>27.04</v>
      </c>
      <c r="M87" s="100">
        <v>73.5</v>
      </c>
      <c r="N87" s="100">
        <v>23.2</v>
      </c>
      <c r="O87" s="100">
        <v>0</v>
      </c>
      <c r="P87" s="100">
        <v>0.52</v>
      </c>
      <c r="Q87" s="100">
        <v>29.13</v>
      </c>
      <c r="R87" s="6"/>
      <c r="S87" s="6"/>
      <c r="T87" s="156"/>
      <c r="U87" s="6"/>
    </row>
    <row r="88" spans="1:21" customFormat="1">
      <c r="A88" s="163" t="s">
        <v>2623</v>
      </c>
      <c r="B88" s="100">
        <v>3.8</v>
      </c>
      <c r="C88" s="100">
        <v>11.58</v>
      </c>
      <c r="D88" s="100">
        <v>8.1</v>
      </c>
      <c r="E88" s="100">
        <v>7.06</v>
      </c>
      <c r="F88" s="100">
        <v>4.3099999999999996</v>
      </c>
      <c r="G88" s="100">
        <v>22</v>
      </c>
      <c r="H88" s="100">
        <v>7.86</v>
      </c>
      <c r="I88" s="100">
        <v>9.4</v>
      </c>
      <c r="J88" s="100">
        <v>3.89</v>
      </c>
      <c r="K88" s="100">
        <v>130.55000000000001</v>
      </c>
      <c r="L88" s="100">
        <v>27.03</v>
      </c>
      <c r="M88" s="100">
        <v>74.12</v>
      </c>
      <c r="N88" s="100">
        <v>23.2</v>
      </c>
      <c r="O88" s="100">
        <v>0</v>
      </c>
      <c r="P88" s="100">
        <v>0.5</v>
      </c>
      <c r="Q88" s="100">
        <v>29.07</v>
      </c>
      <c r="R88" s="6"/>
      <c r="S88" s="6"/>
      <c r="T88" s="156"/>
      <c r="U88" s="6"/>
    </row>
    <row r="89" spans="1:21" customFormat="1">
      <c r="A89" s="163" t="s">
        <v>2624</v>
      </c>
      <c r="B89" s="100">
        <v>3.84</v>
      </c>
      <c r="C89" s="100">
        <v>12.48</v>
      </c>
      <c r="D89" s="100">
        <v>8.61</v>
      </c>
      <c r="E89" s="100">
        <v>7.19</v>
      </c>
      <c r="F89" s="100">
        <v>4.55</v>
      </c>
      <c r="G89" s="100">
        <v>23.4</v>
      </c>
      <c r="H89" s="100">
        <v>7.62</v>
      </c>
      <c r="I89" s="100">
        <v>9.64</v>
      </c>
      <c r="J89" s="100">
        <v>3.91</v>
      </c>
      <c r="K89" s="100">
        <v>136.21</v>
      </c>
      <c r="L89" s="100">
        <v>27.23</v>
      </c>
      <c r="M89" s="100">
        <v>73.510000000000005</v>
      </c>
      <c r="N89" s="100">
        <v>23</v>
      </c>
      <c r="O89" s="100">
        <v>0</v>
      </c>
      <c r="P89" s="100">
        <v>0.53</v>
      </c>
      <c r="Q89" s="100">
        <v>29</v>
      </c>
      <c r="R89" s="6"/>
      <c r="S89" s="6"/>
      <c r="T89" s="156"/>
      <c r="U89" s="6"/>
    </row>
    <row r="90" spans="1:21" customFormat="1">
      <c r="A90" s="163" t="s">
        <v>2625</v>
      </c>
      <c r="B90" s="100">
        <v>3.71</v>
      </c>
      <c r="C90" s="100">
        <v>11.56</v>
      </c>
      <c r="D90" s="100">
        <v>8.02</v>
      </c>
      <c r="E90" s="100">
        <v>7.36</v>
      </c>
      <c r="F90" s="100">
        <v>7.3</v>
      </c>
      <c r="G90" s="100">
        <v>23.4</v>
      </c>
      <c r="H90" s="100">
        <v>7.62</v>
      </c>
      <c r="I90" s="100">
        <v>9.3699999999999992</v>
      </c>
      <c r="J90" s="100">
        <v>3.45</v>
      </c>
      <c r="K90" s="100">
        <v>149.6</v>
      </c>
      <c r="L90" s="100">
        <v>27.47</v>
      </c>
      <c r="M90" s="100">
        <v>71.62</v>
      </c>
      <c r="N90" s="100">
        <v>22.8</v>
      </c>
      <c r="O90" s="100">
        <v>0</v>
      </c>
      <c r="P90" s="100">
        <v>0.54</v>
      </c>
      <c r="Q90" s="100">
        <v>29.22</v>
      </c>
      <c r="R90" s="6"/>
      <c r="S90" s="6"/>
      <c r="T90" s="156"/>
      <c r="U90" s="6"/>
    </row>
    <row r="91" spans="1:21" customFormat="1">
      <c r="A91" s="163" t="s">
        <v>2626</v>
      </c>
      <c r="B91" s="100">
        <v>3.72</v>
      </c>
      <c r="C91" s="100">
        <v>10.51</v>
      </c>
      <c r="D91" s="100">
        <v>7.48</v>
      </c>
      <c r="E91" s="100">
        <v>7.58</v>
      </c>
      <c r="F91" s="100">
        <v>7.93</v>
      </c>
      <c r="G91" s="100">
        <v>23.4</v>
      </c>
      <c r="H91" s="100">
        <v>7.62</v>
      </c>
      <c r="I91" s="100">
        <v>9.84</v>
      </c>
      <c r="J91" s="100">
        <v>3.67</v>
      </c>
      <c r="K91" s="100">
        <v>156.16</v>
      </c>
      <c r="L91" s="100">
        <v>27.76</v>
      </c>
      <c r="M91" s="100">
        <v>70.44</v>
      </c>
      <c r="N91" s="100">
        <v>22.8</v>
      </c>
      <c r="O91" s="100">
        <v>0</v>
      </c>
      <c r="P91" s="100">
        <v>0.54</v>
      </c>
      <c r="Q91" s="100">
        <v>29.32</v>
      </c>
      <c r="R91" s="6"/>
      <c r="S91" s="6"/>
      <c r="T91" s="156"/>
      <c r="U91" s="6"/>
    </row>
    <row r="92" spans="1:21" customFormat="1">
      <c r="A92" s="163" t="s">
        <v>2627</v>
      </c>
      <c r="B92" s="100">
        <v>4.13</v>
      </c>
      <c r="C92" s="100">
        <v>9.5299999999999994</v>
      </c>
      <c r="D92" s="100">
        <v>7.29</v>
      </c>
      <c r="E92" s="100">
        <v>6.72</v>
      </c>
      <c r="F92" s="100">
        <v>4.3499999999999996</v>
      </c>
      <c r="G92" s="100">
        <v>24.4</v>
      </c>
      <c r="H92" s="100">
        <v>8.76</v>
      </c>
      <c r="I92" s="100">
        <v>10.1</v>
      </c>
      <c r="J92" s="100">
        <v>3.46</v>
      </c>
      <c r="K92" s="100">
        <v>123.75</v>
      </c>
      <c r="L92" s="100">
        <v>27.32</v>
      </c>
      <c r="M92" s="100">
        <v>72.650000000000006</v>
      </c>
      <c r="N92" s="100">
        <v>23.2</v>
      </c>
      <c r="O92" s="100">
        <v>0</v>
      </c>
      <c r="P92" s="100">
        <v>0.53</v>
      </c>
      <c r="Q92" s="100">
        <v>29.27</v>
      </c>
      <c r="R92" s="6"/>
      <c r="S92" s="6"/>
      <c r="T92" s="156"/>
      <c r="U92" s="6"/>
    </row>
    <row r="93" spans="1:21" customFormat="1">
      <c r="A93" s="163" t="s">
        <v>2628</v>
      </c>
      <c r="B93" s="100">
        <v>4.08</v>
      </c>
      <c r="C93" s="100">
        <v>10.89</v>
      </c>
      <c r="D93" s="100">
        <v>7.97</v>
      </c>
      <c r="E93" s="100">
        <v>6.92</v>
      </c>
      <c r="F93" s="100">
        <v>6.26</v>
      </c>
      <c r="G93" s="100">
        <v>28.16</v>
      </c>
      <c r="H93" s="100">
        <v>13.05</v>
      </c>
      <c r="I93" s="100">
        <v>10.39</v>
      </c>
      <c r="J93" s="100">
        <v>3.57</v>
      </c>
      <c r="K93" s="100">
        <v>160.24</v>
      </c>
      <c r="L93" s="100">
        <v>27.52</v>
      </c>
      <c r="M93" s="100">
        <v>71.959999999999994</v>
      </c>
      <c r="N93" s="100">
        <v>22.8</v>
      </c>
      <c r="O93" s="100">
        <v>0</v>
      </c>
      <c r="P93" s="100">
        <v>0.56000000000000005</v>
      </c>
      <c r="Q93" s="100">
        <v>29.2</v>
      </c>
      <c r="R93" s="6"/>
      <c r="S93" s="6"/>
      <c r="T93" s="156"/>
      <c r="U93" s="6"/>
    </row>
    <row r="94" spans="1:21" customFormat="1">
      <c r="A94" s="163" t="s">
        <v>2629</v>
      </c>
      <c r="B94" s="100">
        <v>4.0999999999999996</v>
      </c>
      <c r="C94" s="100">
        <v>10.89</v>
      </c>
      <c r="D94" s="100">
        <v>7.98</v>
      </c>
      <c r="E94" s="100">
        <v>7.51</v>
      </c>
      <c r="F94" s="100">
        <v>8.58</v>
      </c>
      <c r="G94" s="100">
        <v>28.16</v>
      </c>
      <c r="H94" s="100">
        <v>13.05</v>
      </c>
      <c r="I94" s="100">
        <v>10.18</v>
      </c>
      <c r="J94" s="100">
        <v>2.5099999999999998</v>
      </c>
      <c r="K94" s="100">
        <v>143.88</v>
      </c>
      <c r="L94" s="100">
        <v>27.23</v>
      </c>
      <c r="M94" s="100">
        <v>72.459999999999994</v>
      </c>
      <c r="N94" s="100">
        <v>23.3</v>
      </c>
      <c r="O94" s="100">
        <v>0</v>
      </c>
      <c r="P94" s="100">
        <v>0.57999999999999996</v>
      </c>
      <c r="Q94" s="100">
        <v>29.21</v>
      </c>
      <c r="R94" s="6"/>
      <c r="S94" s="6"/>
      <c r="T94" s="156"/>
      <c r="U94" s="6"/>
    </row>
    <row r="95" spans="1:21" customFormat="1">
      <c r="A95" s="163" t="s">
        <v>2630</v>
      </c>
      <c r="B95" s="100">
        <v>4.37</v>
      </c>
      <c r="C95" s="100">
        <v>11.07</v>
      </c>
      <c r="D95" s="100">
        <v>8.2899999999999991</v>
      </c>
      <c r="E95" s="100">
        <v>7.33</v>
      </c>
      <c r="F95" s="100">
        <v>7.58</v>
      </c>
      <c r="G95" s="100">
        <v>28.16</v>
      </c>
      <c r="H95" s="100">
        <v>13.05</v>
      </c>
      <c r="I95" s="100">
        <v>10.77</v>
      </c>
      <c r="J95" s="100">
        <v>2.4700000000000002</v>
      </c>
      <c r="K95" s="100">
        <v>171.71</v>
      </c>
      <c r="L95" s="100">
        <v>27.17</v>
      </c>
      <c r="M95" s="100">
        <v>72.83</v>
      </c>
      <c r="N95" s="100">
        <v>23.2</v>
      </c>
      <c r="O95" s="100">
        <v>0</v>
      </c>
      <c r="P95" s="100">
        <v>0.59</v>
      </c>
      <c r="Q95" s="100">
        <v>29.13</v>
      </c>
      <c r="R95" s="6"/>
      <c r="S95" s="6"/>
      <c r="T95" s="156"/>
      <c r="U95" s="6"/>
    </row>
    <row r="96" spans="1:21" customFormat="1">
      <c r="A96" s="163" t="s">
        <v>2631</v>
      </c>
      <c r="B96" s="100">
        <v>4.59</v>
      </c>
      <c r="C96" s="100">
        <v>11.38</v>
      </c>
      <c r="D96" s="100">
        <v>8.6300000000000008</v>
      </c>
      <c r="E96" s="100">
        <v>7.29</v>
      </c>
      <c r="F96" s="100">
        <v>7.5</v>
      </c>
      <c r="G96" s="100">
        <v>28.7</v>
      </c>
      <c r="H96" s="100">
        <v>12.66</v>
      </c>
      <c r="I96" s="100">
        <v>11.08</v>
      </c>
      <c r="J96" s="100">
        <v>2.65</v>
      </c>
      <c r="K96" s="100">
        <v>185.6</v>
      </c>
      <c r="L96" s="100">
        <v>27.11</v>
      </c>
      <c r="M96" s="100">
        <v>73.13</v>
      </c>
      <c r="N96" s="100">
        <v>23.1</v>
      </c>
      <c r="O96" s="100">
        <v>0</v>
      </c>
      <c r="P96" s="100">
        <v>0.57999999999999996</v>
      </c>
      <c r="Q96" s="100">
        <v>29.09</v>
      </c>
      <c r="R96" s="6"/>
      <c r="S96" s="6"/>
      <c r="T96" s="156"/>
      <c r="U96" s="6"/>
    </row>
    <row r="97" spans="1:28" customFormat="1">
      <c r="A97" s="163" t="s">
        <v>2632</v>
      </c>
      <c r="B97" s="100">
        <v>5.26</v>
      </c>
      <c r="C97" s="100">
        <v>11.39</v>
      </c>
      <c r="D97" s="100">
        <v>9.18</v>
      </c>
      <c r="E97" s="100">
        <v>6.91</v>
      </c>
      <c r="F97" s="100">
        <v>4.4800000000000004</v>
      </c>
      <c r="G97" s="100">
        <v>30.73</v>
      </c>
      <c r="H97" s="100">
        <v>11.24</v>
      </c>
      <c r="I97" s="100">
        <v>11.33</v>
      </c>
      <c r="J97" s="100">
        <v>3.05</v>
      </c>
      <c r="K97" s="100">
        <v>269.07</v>
      </c>
      <c r="L97" s="100">
        <v>27.03</v>
      </c>
      <c r="M97" s="100">
        <v>77.13</v>
      </c>
      <c r="N97" s="100">
        <v>23.5</v>
      </c>
      <c r="O97" s="100">
        <v>0</v>
      </c>
      <c r="P97" s="100">
        <v>0.57999999999999996</v>
      </c>
      <c r="Q97" s="100">
        <v>29.09</v>
      </c>
      <c r="R97" s="6"/>
      <c r="S97" s="6"/>
      <c r="T97" s="156"/>
      <c r="U97" s="6"/>
    </row>
    <row r="98" spans="1:28" customFormat="1">
      <c r="A98" s="163" t="s">
        <v>2633</v>
      </c>
      <c r="B98" s="100">
        <v>5.73</v>
      </c>
      <c r="C98" s="100">
        <v>10.69</v>
      </c>
      <c r="D98" s="100">
        <v>9.18</v>
      </c>
      <c r="E98" s="100">
        <v>6.98</v>
      </c>
      <c r="F98" s="100">
        <v>3.73</v>
      </c>
      <c r="G98" s="100">
        <v>30.73</v>
      </c>
      <c r="H98" s="100">
        <v>11.24</v>
      </c>
      <c r="I98" s="100">
        <v>11.4</v>
      </c>
      <c r="J98" s="100">
        <v>4.5</v>
      </c>
      <c r="K98" s="100">
        <v>243.4</v>
      </c>
      <c r="L98" s="100">
        <v>26.44</v>
      </c>
      <c r="M98" s="100">
        <v>80.540000000000006</v>
      </c>
      <c r="N98" s="100">
        <v>23.6</v>
      </c>
      <c r="O98" s="100">
        <v>0</v>
      </c>
      <c r="P98" s="100">
        <v>0.56999999999999995</v>
      </c>
      <c r="Q98" s="100">
        <v>29.05</v>
      </c>
      <c r="R98" s="6"/>
      <c r="S98" s="6"/>
      <c r="T98" s="156"/>
      <c r="U98" s="6"/>
    </row>
    <row r="99" spans="1:28" customFormat="1">
      <c r="A99" s="163" t="s">
        <v>2634</v>
      </c>
      <c r="B99" s="100">
        <v>5.59</v>
      </c>
      <c r="C99" s="100">
        <v>10.4</v>
      </c>
      <c r="D99" s="100">
        <v>8.92</v>
      </c>
      <c r="E99" s="100">
        <v>7.14</v>
      </c>
      <c r="F99" s="100">
        <v>5.9</v>
      </c>
      <c r="G99" s="100">
        <v>30.73</v>
      </c>
      <c r="H99" s="100">
        <v>11.24</v>
      </c>
      <c r="I99" s="100">
        <v>11.28</v>
      </c>
      <c r="J99" s="100">
        <v>4.37</v>
      </c>
      <c r="K99" s="100">
        <v>184.47</v>
      </c>
      <c r="L99" s="100">
        <v>26.49</v>
      </c>
      <c r="M99" s="100">
        <v>79.27</v>
      </c>
      <c r="N99" s="100">
        <v>23.3</v>
      </c>
      <c r="O99" s="100">
        <v>0</v>
      </c>
      <c r="P99" s="100">
        <v>0.55000000000000004</v>
      </c>
      <c r="Q99" s="100">
        <v>29</v>
      </c>
      <c r="R99" s="6"/>
      <c r="S99" s="6"/>
      <c r="T99" s="156"/>
      <c r="U99" s="6"/>
    </row>
    <row r="100" spans="1:28" customFormat="1">
      <c r="A100" s="163" t="s">
        <v>2635</v>
      </c>
      <c r="B100" s="100">
        <v>5.45</v>
      </c>
      <c r="C100" s="100">
        <v>10.33</v>
      </c>
      <c r="D100" s="100">
        <v>8.77</v>
      </c>
      <c r="E100" s="100">
        <v>6.9</v>
      </c>
      <c r="F100" s="100">
        <v>6.56</v>
      </c>
      <c r="G100" s="100">
        <v>30.15</v>
      </c>
      <c r="H100" s="100">
        <v>12.12</v>
      </c>
      <c r="I100" s="100">
        <v>10.99</v>
      </c>
      <c r="J100" s="100">
        <v>4.8499999999999996</v>
      </c>
      <c r="K100" s="100">
        <v>182.62</v>
      </c>
      <c r="L100" s="100">
        <v>26.37</v>
      </c>
      <c r="M100" s="100">
        <v>79.45</v>
      </c>
      <c r="N100" s="100">
        <v>23.5</v>
      </c>
      <c r="O100" s="100">
        <v>0</v>
      </c>
      <c r="P100" s="100">
        <v>0.55000000000000004</v>
      </c>
      <c r="Q100" s="100">
        <v>28.99</v>
      </c>
      <c r="R100" s="6"/>
      <c r="S100" s="6"/>
      <c r="T100" s="156"/>
      <c r="U100" s="6"/>
      <c r="AB100" s="161"/>
    </row>
    <row r="101" spans="1:28" customFormat="1">
      <c r="A101" s="163" t="s">
        <v>2636</v>
      </c>
      <c r="B101" s="100">
        <v>5.68</v>
      </c>
      <c r="C101" s="100">
        <v>10.51</v>
      </c>
      <c r="D101" s="100">
        <v>9.0500000000000007</v>
      </c>
      <c r="E101" s="100">
        <v>5.57</v>
      </c>
      <c r="F101" s="100">
        <v>4.12</v>
      </c>
      <c r="G101" s="100">
        <v>27.96</v>
      </c>
      <c r="H101" s="100">
        <v>15.43</v>
      </c>
      <c r="I101" s="100">
        <v>10.54</v>
      </c>
      <c r="J101" s="100">
        <v>3.51</v>
      </c>
      <c r="K101" s="100">
        <v>205.58</v>
      </c>
      <c r="L101" s="100">
        <v>26.31</v>
      </c>
      <c r="M101" s="100">
        <v>79.569999999999993</v>
      </c>
      <c r="N101" s="100">
        <v>23.2</v>
      </c>
      <c r="O101" s="100">
        <v>0</v>
      </c>
      <c r="P101" s="100">
        <v>0.51</v>
      </c>
      <c r="Q101" s="100">
        <v>28.97</v>
      </c>
      <c r="R101" s="6"/>
      <c r="S101" s="6"/>
      <c r="T101" s="156"/>
      <c r="U101" s="6"/>
    </row>
    <row r="102" spans="1:28" customFormat="1">
      <c r="A102" s="163" t="s">
        <v>2637</v>
      </c>
      <c r="B102" s="100">
        <v>6.11</v>
      </c>
      <c r="C102" s="100">
        <v>11.73</v>
      </c>
      <c r="D102" s="100">
        <v>10.029999999999999</v>
      </c>
      <c r="E102" s="100">
        <v>6.08</v>
      </c>
      <c r="F102" s="100">
        <v>2.86</v>
      </c>
      <c r="G102" s="100">
        <v>27.96</v>
      </c>
      <c r="H102" s="100">
        <v>15.43</v>
      </c>
      <c r="I102" s="100">
        <v>10.42</v>
      </c>
      <c r="J102" s="100">
        <v>4.2</v>
      </c>
      <c r="K102" s="100">
        <v>235.06</v>
      </c>
      <c r="L102" s="100">
        <v>26.45</v>
      </c>
      <c r="M102" s="100">
        <v>78.34</v>
      </c>
      <c r="N102" s="100">
        <v>22.9</v>
      </c>
      <c r="O102" s="100">
        <v>0</v>
      </c>
      <c r="P102" s="100">
        <v>0.52</v>
      </c>
      <c r="Q102" s="100">
        <v>28.92</v>
      </c>
      <c r="R102" s="6"/>
      <c r="S102" s="6"/>
      <c r="T102" s="156"/>
      <c r="U102" s="6"/>
    </row>
    <row r="103" spans="1:28" customFormat="1">
      <c r="A103" s="163" t="s">
        <v>2638</v>
      </c>
      <c r="B103" s="100">
        <v>6.23</v>
      </c>
      <c r="C103" s="100">
        <v>10.49</v>
      </c>
      <c r="D103" s="100">
        <v>9.48</v>
      </c>
      <c r="E103" s="100">
        <v>6.89</v>
      </c>
      <c r="F103" s="100">
        <v>2.99</v>
      </c>
      <c r="G103" s="100">
        <v>27.96</v>
      </c>
      <c r="H103" s="100">
        <v>15.43</v>
      </c>
      <c r="I103" s="100">
        <v>10.55</v>
      </c>
      <c r="J103" s="100">
        <v>4.1399999999999997</v>
      </c>
      <c r="K103" s="100">
        <v>170.78</v>
      </c>
      <c r="L103" s="100">
        <v>26.4</v>
      </c>
      <c r="M103" s="100">
        <v>79.099999999999994</v>
      </c>
      <c r="N103" s="100">
        <v>23.1</v>
      </c>
      <c r="O103" s="100">
        <v>0</v>
      </c>
      <c r="P103" s="100">
        <v>0.51</v>
      </c>
      <c r="Q103" s="100">
        <v>29.01</v>
      </c>
      <c r="R103" s="6"/>
      <c r="S103" s="6"/>
      <c r="T103" s="156"/>
      <c r="U103" s="6"/>
    </row>
    <row r="104" spans="1:28" customFormat="1">
      <c r="A104" s="163" t="s">
        <v>2639</v>
      </c>
      <c r="B104" s="100">
        <v>6.09</v>
      </c>
      <c r="C104" s="100">
        <v>9.34</v>
      </c>
      <c r="D104" s="100">
        <v>8.77</v>
      </c>
      <c r="E104" s="100">
        <v>6.8</v>
      </c>
      <c r="F104" s="100">
        <v>4.1399999999999997</v>
      </c>
      <c r="G104" s="100">
        <v>28</v>
      </c>
      <c r="H104" s="100">
        <v>14.58</v>
      </c>
      <c r="I104" s="100">
        <v>10.7</v>
      </c>
      <c r="J104" s="100">
        <v>3.78</v>
      </c>
      <c r="K104" s="100">
        <v>178.5</v>
      </c>
      <c r="L104" s="100">
        <v>26.44</v>
      </c>
      <c r="M104" s="100">
        <v>78.97</v>
      </c>
      <c r="N104" s="100">
        <v>22.8</v>
      </c>
      <c r="O104" s="100">
        <v>0</v>
      </c>
      <c r="P104" s="100">
        <v>0.48</v>
      </c>
      <c r="Q104" s="100">
        <v>29.12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2.5299999999999998</v>
      </c>
      <c r="C106" s="158">
        <f>MIN(C9:C104)</f>
        <v>7.29</v>
      </c>
      <c r="D106" s="158">
        <f t="shared" ref="D106:Q106" si="0">MIN(D9:D104)</f>
        <v>5.0199999999999996</v>
      </c>
      <c r="E106" s="158">
        <f t="shared" si="0"/>
        <v>5.21</v>
      </c>
      <c r="F106" s="158">
        <f t="shared" si="0"/>
        <v>2.4500000000000002</v>
      </c>
      <c r="G106" s="158">
        <f t="shared" si="0"/>
        <v>9.09</v>
      </c>
      <c r="H106" s="158">
        <f t="shared" si="0"/>
        <v>3.85</v>
      </c>
      <c r="I106" s="158">
        <f t="shared" si="0"/>
        <v>7.71</v>
      </c>
      <c r="J106" s="158">
        <f t="shared" si="0"/>
        <v>0.45</v>
      </c>
      <c r="K106" s="158">
        <f t="shared" si="0"/>
        <v>19.86</v>
      </c>
      <c r="L106" s="158">
        <f t="shared" si="0"/>
        <v>23.98</v>
      </c>
      <c r="M106" s="158">
        <f t="shared" si="0"/>
        <v>52.36</v>
      </c>
      <c r="N106" s="158">
        <f t="shared" si="0"/>
        <v>22.7</v>
      </c>
      <c r="O106" s="158">
        <f t="shared" si="0"/>
        <v>0</v>
      </c>
      <c r="P106" s="158">
        <f t="shared" si="0"/>
        <v>0.39</v>
      </c>
      <c r="Q106" s="158">
        <f t="shared" si="0"/>
        <v>28.09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14.31</v>
      </c>
      <c r="C107" s="157">
        <f t="shared" ref="C107:Q107" si="1">MAX(C9:C104)</f>
        <v>14.76</v>
      </c>
      <c r="D107" s="157">
        <f t="shared" si="1"/>
        <v>17.04</v>
      </c>
      <c r="E107" s="157">
        <f t="shared" si="1"/>
        <v>7.68</v>
      </c>
      <c r="F107" s="157">
        <f t="shared" si="1"/>
        <v>21.42</v>
      </c>
      <c r="G107" s="157">
        <f t="shared" si="1"/>
        <v>65.319999999999993</v>
      </c>
      <c r="H107" s="157">
        <f t="shared" si="1"/>
        <v>22.18</v>
      </c>
      <c r="I107" s="157">
        <f t="shared" si="1"/>
        <v>17.100000000000001</v>
      </c>
      <c r="J107" s="157">
        <f t="shared" si="1"/>
        <v>5.49</v>
      </c>
      <c r="K107" s="157">
        <f t="shared" si="1"/>
        <v>359.79</v>
      </c>
      <c r="L107" s="157">
        <f t="shared" si="1"/>
        <v>32.79</v>
      </c>
      <c r="M107" s="157">
        <f t="shared" si="1"/>
        <v>90.21</v>
      </c>
      <c r="N107" s="157">
        <f t="shared" si="1"/>
        <v>895.2</v>
      </c>
      <c r="O107" s="157">
        <f t="shared" si="1"/>
        <v>0.2</v>
      </c>
      <c r="P107" s="157">
        <f t="shared" si="1"/>
        <v>0.8</v>
      </c>
      <c r="Q107" s="157">
        <f t="shared" si="1"/>
        <v>29.46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7.0210416666666688</v>
      </c>
      <c r="C108" s="158">
        <f t="shared" ref="C108:Q108" si="2">AVERAGE(C9:C104)</f>
        <v>10.5434375</v>
      </c>
      <c r="D108" s="158">
        <f t="shared" si="2"/>
        <v>10.144583333333335</v>
      </c>
      <c r="E108" s="158">
        <f t="shared" si="2"/>
        <v>6.3786458333333327</v>
      </c>
      <c r="F108" s="158">
        <f t="shared" si="2"/>
        <v>6.5160416666666654</v>
      </c>
      <c r="G108" s="158">
        <f t="shared" si="2"/>
        <v>31.221458333333334</v>
      </c>
      <c r="H108" s="158">
        <f t="shared" si="2"/>
        <v>12.231562500000001</v>
      </c>
      <c r="I108" s="158">
        <f t="shared" si="2"/>
        <v>10.389270833333335</v>
      </c>
      <c r="J108" s="158">
        <f t="shared" si="2"/>
        <v>3.0470833333333336</v>
      </c>
      <c r="K108" s="158">
        <f t="shared" si="2"/>
        <v>173.49937499999996</v>
      </c>
      <c r="L108" s="158">
        <f t="shared" si="2"/>
        <v>27.340416666666673</v>
      </c>
      <c r="M108" s="158">
        <f t="shared" si="2"/>
        <v>73.271249999999995</v>
      </c>
      <c r="N108" s="158">
        <f t="shared" si="2"/>
        <v>165.35104166666662</v>
      </c>
      <c r="O108" s="158">
        <f t="shared" si="2"/>
        <v>2.0833333333333333E-3</v>
      </c>
      <c r="P108" s="158">
        <f t="shared" si="2"/>
        <v>0.50114583333333329</v>
      </c>
      <c r="Q108" s="158">
        <f t="shared" si="2"/>
        <v>28.898020833333334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3.6418013122966455</v>
      </c>
      <c r="C109" s="158">
        <f t="shared" ref="C109:Q109" si="3">STDEV(C9:C104)</f>
        <v>1.5413362815734777</v>
      </c>
      <c r="D109" s="158">
        <f t="shared" si="3"/>
        <v>3.4228464352492054</v>
      </c>
      <c r="E109" s="158">
        <f t="shared" si="3"/>
        <v>0.64588351531130417</v>
      </c>
      <c r="F109" s="158">
        <f t="shared" si="3"/>
        <v>3.591360240520717</v>
      </c>
      <c r="G109" s="158">
        <f t="shared" si="3"/>
        <v>15.053657081755505</v>
      </c>
      <c r="H109" s="158">
        <f t="shared" si="3"/>
        <v>4.6837014890103603</v>
      </c>
      <c r="I109" s="158">
        <f t="shared" si="3"/>
        <v>2.0251218259866923</v>
      </c>
      <c r="J109" s="158">
        <f t="shared" si="3"/>
        <v>1.0943759737539118</v>
      </c>
      <c r="K109" s="158">
        <f t="shared" si="3"/>
        <v>73.782459073777929</v>
      </c>
      <c r="L109" s="158">
        <f t="shared" si="3"/>
        <v>2.4072731534015244</v>
      </c>
      <c r="M109" s="158">
        <f t="shared" si="3"/>
        <v>9.9340493943014785</v>
      </c>
      <c r="N109" s="158">
        <f t="shared" si="3"/>
        <v>211.0056816370452</v>
      </c>
      <c r="O109" s="158">
        <f t="shared" si="3"/>
        <v>2.0412414523193152E-2</v>
      </c>
      <c r="P109" s="158">
        <f t="shared" si="3"/>
        <v>8.3915619168012018E-2</v>
      </c>
      <c r="Q109" s="158">
        <f t="shared" si="3"/>
        <v>0.34070397643908368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2" sqref="G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2640</v>
      </c>
      <c r="B9" s="100">
        <v>6.95</v>
      </c>
      <c r="C9" s="100">
        <v>7.09</v>
      </c>
      <c r="D9" s="100">
        <v>8.2799999999999994</v>
      </c>
      <c r="E9" s="100">
        <v>6.13</v>
      </c>
      <c r="F9" s="100">
        <v>4.08</v>
      </c>
      <c r="G9" s="100">
        <v>28.16</v>
      </c>
      <c r="H9" s="100">
        <v>11.4</v>
      </c>
      <c r="I9" s="100">
        <v>10.53</v>
      </c>
      <c r="J9" s="100">
        <v>3.76</v>
      </c>
      <c r="K9" s="100">
        <v>198.51</v>
      </c>
      <c r="L9" s="100">
        <v>26.37</v>
      </c>
      <c r="M9" s="100">
        <v>79.08</v>
      </c>
      <c r="N9" s="100">
        <v>23.2</v>
      </c>
      <c r="O9" s="100">
        <v>0</v>
      </c>
      <c r="P9" s="100">
        <v>0.49</v>
      </c>
      <c r="Q9" s="100">
        <v>29.15</v>
      </c>
      <c r="R9" s="6"/>
      <c r="S9" s="6"/>
      <c r="T9" s="156"/>
      <c r="U9" s="6"/>
    </row>
    <row r="10" spans="1:21" customFormat="1">
      <c r="A10" s="163" t="s">
        <v>2641</v>
      </c>
      <c r="B10" s="100">
        <v>6.87</v>
      </c>
      <c r="C10" s="100">
        <v>7.76</v>
      </c>
      <c r="D10" s="100">
        <v>8.57</v>
      </c>
      <c r="E10" s="100">
        <v>6.27</v>
      </c>
      <c r="F10" s="100">
        <v>3.98</v>
      </c>
      <c r="G10" s="100">
        <v>28.16</v>
      </c>
      <c r="H10" s="100">
        <v>11.4</v>
      </c>
      <c r="I10" s="100">
        <v>10.44</v>
      </c>
      <c r="J10" s="100">
        <v>4.32</v>
      </c>
      <c r="K10" s="100">
        <v>230.57</v>
      </c>
      <c r="L10" s="100">
        <v>26.26</v>
      </c>
      <c r="M10" s="100">
        <v>78.66</v>
      </c>
      <c r="N10" s="100">
        <v>23.1</v>
      </c>
      <c r="O10" s="100">
        <v>0</v>
      </c>
      <c r="P10" s="100">
        <v>0.49</v>
      </c>
      <c r="Q10" s="100">
        <v>29.2</v>
      </c>
      <c r="R10" s="6"/>
      <c r="S10" s="6"/>
      <c r="T10" s="156"/>
      <c r="U10" s="6"/>
    </row>
    <row r="11" spans="1:21" customFormat="1">
      <c r="A11" s="163" t="s">
        <v>2642</v>
      </c>
      <c r="B11" s="100">
        <v>6.83</v>
      </c>
      <c r="C11" s="100">
        <v>8.1999999999999993</v>
      </c>
      <c r="D11" s="100">
        <v>8.77</v>
      </c>
      <c r="E11" s="100">
        <v>6.34</v>
      </c>
      <c r="F11" s="100">
        <v>5.92</v>
      </c>
      <c r="G11" s="100">
        <v>28.16</v>
      </c>
      <c r="H11" s="100">
        <v>11.4</v>
      </c>
      <c r="I11" s="100">
        <v>10.47</v>
      </c>
      <c r="J11" s="100">
        <v>3.74</v>
      </c>
      <c r="K11" s="100">
        <v>205.61</v>
      </c>
      <c r="L11" s="100">
        <v>26.2</v>
      </c>
      <c r="M11" s="100">
        <v>77.83</v>
      </c>
      <c r="N11" s="100">
        <v>23.4</v>
      </c>
      <c r="O11" s="100">
        <v>0</v>
      </c>
      <c r="P11" s="100">
        <v>0.48</v>
      </c>
      <c r="Q11" s="100">
        <v>29.18</v>
      </c>
      <c r="R11" s="6"/>
      <c r="S11" s="6"/>
      <c r="T11" s="156"/>
      <c r="U11" s="6"/>
    </row>
    <row r="12" spans="1:21" customFormat="1">
      <c r="A12" s="163" t="s">
        <v>2643</v>
      </c>
      <c r="B12" s="100">
        <v>6.94</v>
      </c>
      <c r="C12" s="100">
        <v>8.99</v>
      </c>
      <c r="D12" s="100">
        <v>9.27</v>
      </c>
      <c r="E12" s="100">
        <v>5.66</v>
      </c>
      <c r="F12" s="100">
        <v>4.75</v>
      </c>
      <c r="G12" s="100">
        <v>26.82</v>
      </c>
      <c r="H12" s="100">
        <v>11.41</v>
      </c>
      <c r="I12" s="100">
        <v>10.35</v>
      </c>
      <c r="J12" s="100">
        <v>4.1500000000000004</v>
      </c>
      <c r="K12" s="100">
        <v>222.29</v>
      </c>
      <c r="L12" s="100">
        <v>25.94</v>
      </c>
      <c r="M12" s="100">
        <v>80.61</v>
      </c>
      <c r="N12" s="100">
        <v>23.6</v>
      </c>
      <c r="O12" s="100">
        <v>0</v>
      </c>
      <c r="P12" s="100">
        <v>0.47</v>
      </c>
      <c r="Q12" s="100">
        <v>29.11</v>
      </c>
      <c r="R12" s="6"/>
      <c r="S12" s="6"/>
      <c r="T12" s="156"/>
      <c r="U12" s="6"/>
    </row>
    <row r="13" spans="1:21" customFormat="1">
      <c r="A13" s="163" t="s">
        <v>2644</v>
      </c>
      <c r="B13" s="100">
        <v>6.88</v>
      </c>
      <c r="C13" s="100">
        <v>9.56</v>
      </c>
      <c r="D13" s="100">
        <v>9.51</v>
      </c>
      <c r="E13" s="100">
        <v>6.1</v>
      </c>
      <c r="F13" s="100">
        <v>4.78</v>
      </c>
      <c r="G13" s="100">
        <v>21.81</v>
      </c>
      <c r="H13" s="100">
        <v>11.45</v>
      </c>
      <c r="I13" s="100">
        <v>10.18</v>
      </c>
      <c r="J13" s="100">
        <v>3.71</v>
      </c>
      <c r="K13" s="100">
        <v>198.25</v>
      </c>
      <c r="L13" s="100">
        <v>25.73</v>
      </c>
      <c r="M13" s="100">
        <v>82.33</v>
      </c>
      <c r="N13" s="100">
        <v>23.5</v>
      </c>
      <c r="O13" s="100">
        <v>0</v>
      </c>
      <c r="P13" s="100">
        <v>0.47</v>
      </c>
      <c r="Q13" s="100">
        <v>29.04</v>
      </c>
      <c r="R13" s="6"/>
      <c r="S13" s="6"/>
      <c r="T13" s="156"/>
      <c r="U13" s="6"/>
    </row>
    <row r="14" spans="1:21" customFormat="1">
      <c r="A14" s="163" t="s">
        <v>2645</v>
      </c>
      <c r="B14" s="100">
        <v>6.84</v>
      </c>
      <c r="C14" s="100">
        <v>9.82</v>
      </c>
      <c r="D14" s="100">
        <v>9.6199999999999992</v>
      </c>
      <c r="E14" s="100">
        <v>6.16</v>
      </c>
      <c r="F14" s="100">
        <v>4.57</v>
      </c>
      <c r="G14" s="100">
        <v>21.81</v>
      </c>
      <c r="H14" s="100">
        <v>11.45</v>
      </c>
      <c r="I14" s="100">
        <v>10.07</v>
      </c>
      <c r="J14" s="100">
        <v>3.79</v>
      </c>
      <c r="K14" s="100">
        <v>181.68</v>
      </c>
      <c r="L14" s="100">
        <v>25.63</v>
      </c>
      <c r="M14" s="100">
        <v>83.08</v>
      </c>
      <c r="N14" s="100">
        <v>23.6</v>
      </c>
      <c r="O14" s="100">
        <v>0</v>
      </c>
      <c r="P14" s="100">
        <v>0.46</v>
      </c>
      <c r="Q14" s="100">
        <v>29.01</v>
      </c>
      <c r="R14" s="6"/>
      <c r="S14" s="6"/>
      <c r="T14" s="156"/>
      <c r="U14" s="6"/>
    </row>
    <row r="15" spans="1:21" customFormat="1">
      <c r="A15" s="163" t="s">
        <v>2646</v>
      </c>
      <c r="B15" s="100">
        <v>6.67</v>
      </c>
      <c r="C15" s="100">
        <v>9.6</v>
      </c>
      <c r="D15" s="100">
        <v>9.3699999999999992</v>
      </c>
      <c r="E15" s="100">
        <v>5.89</v>
      </c>
      <c r="F15" s="100">
        <v>5.32</v>
      </c>
      <c r="G15" s="100">
        <v>21.81</v>
      </c>
      <c r="H15" s="100">
        <v>11.45</v>
      </c>
      <c r="I15" s="100">
        <v>9.94</v>
      </c>
      <c r="J15" s="100">
        <v>3.32</v>
      </c>
      <c r="K15" s="100">
        <v>189.03</v>
      </c>
      <c r="L15" s="100">
        <v>25.54</v>
      </c>
      <c r="M15" s="100">
        <v>83.6</v>
      </c>
      <c r="N15" s="100">
        <v>23.4</v>
      </c>
      <c r="O15" s="100">
        <v>0</v>
      </c>
      <c r="P15" s="100">
        <v>0.45</v>
      </c>
      <c r="Q15" s="100">
        <v>29</v>
      </c>
      <c r="R15" s="6"/>
      <c r="S15" s="6"/>
      <c r="T15" s="156"/>
      <c r="U15" s="6"/>
    </row>
    <row r="16" spans="1:21" customFormat="1">
      <c r="A16" s="163" t="s">
        <v>2647</v>
      </c>
      <c r="B16" s="100">
        <v>6.51</v>
      </c>
      <c r="C16" s="100">
        <v>9.58</v>
      </c>
      <c r="D16" s="100">
        <v>9.23</v>
      </c>
      <c r="E16" s="100">
        <v>5.39</v>
      </c>
      <c r="F16" s="100">
        <v>5.82</v>
      </c>
      <c r="G16" s="100">
        <v>21.17</v>
      </c>
      <c r="H16" s="100">
        <v>11.59</v>
      </c>
      <c r="I16" s="100">
        <v>9.7100000000000009</v>
      </c>
      <c r="J16" s="100">
        <v>3.1</v>
      </c>
      <c r="K16" s="100">
        <v>193.82</v>
      </c>
      <c r="L16" s="100">
        <v>25.53</v>
      </c>
      <c r="M16" s="100">
        <v>81.81</v>
      </c>
      <c r="N16" s="100">
        <v>23.2</v>
      </c>
      <c r="O16" s="100">
        <v>0</v>
      </c>
      <c r="P16" s="100">
        <v>0.44</v>
      </c>
      <c r="Q16" s="100">
        <v>29</v>
      </c>
      <c r="R16" s="6"/>
      <c r="S16" s="6"/>
      <c r="T16" s="156"/>
      <c r="U16" s="6"/>
    </row>
    <row r="17" spans="1:21" customFormat="1">
      <c r="A17" s="163" t="s">
        <v>2648</v>
      </c>
      <c r="B17" s="100">
        <v>6.4</v>
      </c>
      <c r="C17" s="100">
        <v>9.7200000000000006</v>
      </c>
      <c r="D17" s="100">
        <v>9.2200000000000006</v>
      </c>
      <c r="E17" s="100">
        <v>6.34</v>
      </c>
      <c r="F17" s="100">
        <v>6.07</v>
      </c>
      <c r="G17" s="100">
        <v>18.79</v>
      </c>
      <c r="H17" s="100">
        <v>12.11</v>
      </c>
      <c r="I17" s="100">
        <v>9.44</v>
      </c>
      <c r="J17" s="100">
        <v>0.72</v>
      </c>
      <c r="K17" s="100">
        <v>244.17</v>
      </c>
      <c r="L17" s="100">
        <v>25.39</v>
      </c>
      <c r="M17" s="100">
        <v>81.83</v>
      </c>
      <c r="N17" s="100">
        <v>23.2</v>
      </c>
      <c r="O17" s="100">
        <v>0</v>
      </c>
      <c r="P17" s="100">
        <v>0.43</v>
      </c>
      <c r="Q17" s="100">
        <v>29.01</v>
      </c>
      <c r="R17" s="6"/>
      <c r="S17" s="6"/>
      <c r="T17" s="156"/>
      <c r="U17" s="6"/>
    </row>
    <row r="18" spans="1:21" customFormat="1">
      <c r="A18" s="163" t="s">
        <v>2649</v>
      </c>
      <c r="B18" s="100">
        <v>6.64</v>
      </c>
      <c r="C18" s="100">
        <v>9.91</v>
      </c>
      <c r="D18" s="100">
        <v>9.51</v>
      </c>
      <c r="E18" s="100">
        <v>5.73</v>
      </c>
      <c r="F18" s="100">
        <v>4.29</v>
      </c>
      <c r="G18" s="100">
        <v>18.79</v>
      </c>
      <c r="H18" s="100">
        <v>12.11</v>
      </c>
      <c r="I18" s="100">
        <v>9.2200000000000006</v>
      </c>
      <c r="J18" s="100">
        <v>0.75</v>
      </c>
      <c r="K18" s="100">
        <v>137.63999999999999</v>
      </c>
      <c r="L18" s="100">
        <v>25.34</v>
      </c>
      <c r="M18" s="100">
        <v>82.5</v>
      </c>
      <c r="N18" s="100">
        <v>23.3</v>
      </c>
      <c r="O18" s="100">
        <v>0</v>
      </c>
      <c r="P18" s="100">
        <v>0.45</v>
      </c>
      <c r="Q18" s="100">
        <v>28.97</v>
      </c>
      <c r="R18" s="6"/>
      <c r="S18" s="6"/>
      <c r="T18" s="156"/>
      <c r="U18" s="6"/>
    </row>
    <row r="19" spans="1:21" customFormat="1">
      <c r="A19" s="163" t="s">
        <v>2650</v>
      </c>
      <c r="B19" s="100">
        <v>6.95</v>
      </c>
      <c r="C19" s="100">
        <v>10.44</v>
      </c>
      <c r="D19" s="100">
        <v>10.029999999999999</v>
      </c>
      <c r="E19" s="100">
        <v>6.07</v>
      </c>
      <c r="F19" s="100">
        <v>3.27</v>
      </c>
      <c r="G19" s="100">
        <v>18.79</v>
      </c>
      <c r="H19" s="100">
        <v>12.11</v>
      </c>
      <c r="I19" s="100">
        <v>9.11</v>
      </c>
      <c r="J19" s="100">
        <v>2.42</v>
      </c>
      <c r="K19" s="100">
        <v>149.08000000000001</v>
      </c>
      <c r="L19" s="100">
        <v>25.19</v>
      </c>
      <c r="M19" s="100">
        <v>84.37</v>
      </c>
      <c r="N19" s="100">
        <v>23</v>
      </c>
      <c r="O19" s="100">
        <v>0</v>
      </c>
      <c r="P19" s="100">
        <v>0.45</v>
      </c>
      <c r="Q19" s="100">
        <v>28.94</v>
      </c>
      <c r="R19" s="6"/>
      <c r="S19" s="6"/>
      <c r="T19" s="156"/>
      <c r="U19" s="6"/>
    </row>
    <row r="20" spans="1:21" customFormat="1">
      <c r="A20" s="163" t="s">
        <v>2651</v>
      </c>
      <c r="B20" s="100">
        <v>9.6999999999999993</v>
      </c>
      <c r="C20" s="100">
        <v>9.43</v>
      </c>
      <c r="D20" s="100">
        <v>11.71</v>
      </c>
      <c r="E20" s="100">
        <v>6.12</v>
      </c>
      <c r="F20" s="100">
        <v>3.23</v>
      </c>
      <c r="G20" s="100">
        <v>18.440000000000001</v>
      </c>
      <c r="H20" s="100">
        <v>11.36</v>
      </c>
      <c r="I20" s="100">
        <v>9.2899999999999991</v>
      </c>
      <c r="J20" s="100">
        <v>0.47</v>
      </c>
      <c r="K20" s="100">
        <v>99.57</v>
      </c>
      <c r="L20" s="100">
        <v>25.48</v>
      </c>
      <c r="M20" s="100">
        <v>82.22</v>
      </c>
      <c r="N20" s="100">
        <v>23</v>
      </c>
      <c r="O20" s="100">
        <v>0</v>
      </c>
      <c r="P20" s="100">
        <v>0.42</v>
      </c>
      <c r="Q20" s="100">
        <v>29.04</v>
      </c>
      <c r="R20" s="6"/>
      <c r="S20" s="6"/>
      <c r="T20" s="156"/>
      <c r="U20" s="6"/>
    </row>
    <row r="21" spans="1:21" customFormat="1">
      <c r="A21" s="163" t="s">
        <v>2652</v>
      </c>
      <c r="B21" s="100">
        <v>7.96</v>
      </c>
      <c r="C21" s="100">
        <v>9.16</v>
      </c>
      <c r="D21" s="100">
        <v>10.17</v>
      </c>
      <c r="E21" s="100">
        <v>6.33</v>
      </c>
      <c r="F21" s="100">
        <v>2.71</v>
      </c>
      <c r="G21" s="100">
        <v>17.12</v>
      </c>
      <c r="H21" s="100">
        <v>8.57</v>
      </c>
      <c r="I21" s="100">
        <v>9.33</v>
      </c>
      <c r="J21" s="100">
        <v>3.9</v>
      </c>
      <c r="K21" s="100">
        <v>141.83000000000001</v>
      </c>
      <c r="L21" s="100">
        <v>25.38</v>
      </c>
      <c r="M21" s="100">
        <v>82.83</v>
      </c>
      <c r="N21" s="100">
        <v>23.2</v>
      </c>
      <c r="O21" s="100">
        <v>0</v>
      </c>
      <c r="P21" s="100">
        <v>0.42</v>
      </c>
      <c r="Q21" s="100">
        <v>29.03</v>
      </c>
      <c r="R21" s="6"/>
      <c r="S21" s="6"/>
      <c r="T21" s="156"/>
      <c r="U21" s="6"/>
    </row>
    <row r="22" spans="1:21" customFormat="1">
      <c r="A22" s="163" t="s">
        <v>2653</v>
      </c>
      <c r="B22" s="100">
        <v>7.75</v>
      </c>
      <c r="C22" s="100">
        <v>7.94</v>
      </c>
      <c r="D22" s="100">
        <v>9.3699999999999992</v>
      </c>
      <c r="E22" s="100">
        <v>6.11</v>
      </c>
      <c r="F22" s="100">
        <v>3.21</v>
      </c>
      <c r="G22" s="100">
        <v>17.12</v>
      </c>
      <c r="H22" s="100">
        <v>8.57</v>
      </c>
      <c r="I22" s="100">
        <v>9.16</v>
      </c>
      <c r="J22" s="100">
        <v>3.98</v>
      </c>
      <c r="K22" s="100">
        <v>130.77000000000001</v>
      </c>
      <c r="L22" s="100">
        <v>25.48</v>
      </c>
      <c r="M22" s="100">
        <v>81.59</v>
      </c>
      <c r="N22" s="100">
        <v>23.1</v>
      </c>
      <c r="O22" s="100">
        <v>0</v>
      </c>
      <c r="P22" s="100">
        <v>0.41</v>
      </c>
      <c r="Q22" s="100">
        <v>29.06</v>
      </c>
      <c r="R22" s="6"/>
      <c r="S22" s="6"/>
      <c r="T22" s="156"/>
      <c r="U22" s="6"/>
    </row>
    <row r="23" spans="1:21" customFormat="1">
      <c r="A23" s="163" t="s">
        <v>2654</v>
      </c>
      <c r="B23" s="100">
        <v>7.79</v>
      </c>
      <c r="C23" s="100">
        <v>7.17</v>
      </c>
      <c r="D23" s="100">
        <v>9</v>
      </c>
      <c r="E23" s="100">
        <v>5.86</v>
      </c>
      <c r="F23" s="100">
        <v>3.39</v>
      </c>
      <c r="G23" s="100">
        <v>17.12</v>
      </c>
      <c r="H23" s="100">
        <v>8.57</v>
      </c>
      <c r="I23" s="100">
        <v>9.11</v>
      </c>
      <c r="J23" s="100">
        <v>3.76</v>
      </c>
      <c r="K23" s="100">
        <v>121.9</v>
      </c>
      <c r="L23" s="100">
        <v>25.54</v>
      </c>
      <c r="M23" s="100">
        <v>82.01</v>
      </c>
      <c r="N23" s="100">
        <v>23</v>
      </c>
      <c r="O23" s="100">
        <v>0</v>
      </c>
      <c r="P23" s="100">
        <v>0.4</v>
      </c>
      <c r="Q23" s="100">
        <v>29.07</v>
      </c>
      <c r="R23" s="6"/>
      <c r="S23" s="6"/>
      <c r="T23" s="156"/>
      <c r="U23" s="6"/>
    </row>
    <row r="24" spans="1:21" customFormat="1">
      <c r="A24" s="163" t="s">
        <v>2655</v>
      </c>
      <c r="B24" s="100">
        <v>7.5</v>
      </c>
      <c r="C24" s="100">
        <v>8.31</v>
      </c>
      <c r="D24" s="100">
        <v>9.36</v>
      </c>
      <c r="E24" s="100">
        <v>5.57</v>
      </c>
      <c r="F24" s="100">
        <v>4.16</v>
      </c>
      <c r="G24" s="100">
        <v>16.739999999999998</v>
      </c>
      <c r="H24" s="100">
        <v>8.58</v>
      </c>
      <c r="I24" s="100">
        <v>8.92</v>
      </c>
      <c r="J24" s="100">
        <v>3.69</v>
      </c>
      <c r="K24" s="100">
        <v>116.92</v>
      </c>
      <c r="L24" s="100">
        <v>25.54</v>
      </c>
      <c r="M24" s="100">
        <v>82.2</v>
      </c>
      <c r="N24" s="100">
        <v>23.2</v>
      </c>
      <c r="O24" s="100">
        <v>0</v>
      </c>
      <c r="P24" s="100">
        <v>0.39</v>
      </c>
      <c r="Q24" s="100">
        <v>29.04</v>
      </c>
      <c r="R24" s="6"/>
      <c r="S24" s="6"/>
      <c r="T24" s="156"/>
      <c r="U24" s="6"/>
    </row>
    <row r="25" spans="1:21" customFormat="1">
      <c r="A25" s="163" t="s">
        <v>2656</v>
      </c>
      <c r="B25" s="100">
        <v>7.55</v>
      </c>
      <c r="C25" s="100">
        <v>9.1199999999999992</v>
      </c>
      <c r="D25" s="100">
        <v>9.83</v>
      </c>
      <c r="E25" s="100">
        <v>5.95</v>
      </c>
      <c r="F25" s="100">
        <v>4.26</v>
      </c>
      <c r="G25" s="100">
        <v>15.2</v>
      </c>
      <c r="H25" s="100">
        <v>8.61</v>
      </c>
      <c r="I25" s="100">
        <v>8.77</v>
      </c>
      <c r="J25" s="100">
        <v>3.42</v>
      </c>
      <c r="K25" s="100">
        <v>119.65</v>
      </c>
      <c r="L25" s="100">
        <v>25.29</v>
      </c>
      <c r="M25" s="100">
        <v>82.62</v>
      </c>
      <c r="N25" s="100">
        <v>23.3</v>
      </c>
      <c r="O25" s="100">
        <v>0</v>
      </c>
      <c r="P25" s="100">
        <v>0.38</v>
      </c>
      <c r="Q25" s="100">
        <v>29</v>
      </c>
      <c r="R25" s="6"/>
      <c r="S25" s="6"/>
      <c r="T25" s="156"/>
      <c r="U25" s="6"/>
    </row>
    <row r="26" spans="1:21" customFormat="1">
      <c r="A26" s="163" t="s">
        <v>2657</v>
      </c>
      <c r="B26" s="100">
        <v>7.74</v>
      </c>
      <c r="C26" s="100">
        <v>9.93</v>
      </c>
      <c r="D26" s="100">
        <v>10.4</v>
      </c>
      <c r="E26" s="100">
        <v>5.74</v>
      </c>
      <c r="F26" s="100">
        <v>4.1900000000000004</v>
      </c>
      <c r="G26" s="100">
        <v>15.2</v>
      </c>
      <c r="H26" s="100">
        <v>8.61</v>
      </c>
      <c r="I26" s="100">
        <v>8.5399999999999991</v>
      </c>
      <c r="J26" s="100">
        <v>1.8</v>
      </c>
      <c r="K26" s="100">
        <v>151.72</v>
      </c>
      <c r="L26" s="100">
        <v>25.46</v>
      </c>
      <c r="M26" s="100">
        <v>82.06</v>
      </c>
      <c r="N26" s="100">
        <v>23.2</v>
      </c>
      <c r="O26" s="100">
        <v>0</v>
      </c>
      <c r="P26" s="100">
        <v>0.39</v>
      </c>
      <c r="Q26" s="100">
        <v>28.91</v>
      </c>
      <c r="R26" s="6"/>
      <c r="S26" s="6"/>
      <c r="T26" s="156"/>
      <c r="U26" s="6"/>
    </row>
    <row r="27" spans="1:21" customFormat="1">
      <c r="A27" s="163" t="s">
        <v>2658</v>
      </c>
      <c r="B27" s="100">
        <v>7.92</v>
      </c>
      <c r="C27" s="100">
        <v>10.47</v>
      </c>
      <c r="D27" s="100">
        <v>10.83</v>
      </c>
      <c r="E27" s="100">
        <v>5.84</v>
      </c>
      <c r="F27" s="100">
        <v>3.99</v>
      </c>
      <c r="G27" s="100">
        <v>15.2</v>
      </c>
      <c r="H27" s="100">
        <v>8.61</v>
      </c>
      <c r="I27" s="100">
        <v>8.43</v>
      </c>
      <c r="J27" s="100">
        <v>3.02</v>
      </c>
      <c r="K27" s="100">
        <v>107.04</v>
      </c>
      <c r="L27" s="100">
        <v>25.44</v>
      </c>
      <c r="M27" s="100">
        <v>82.02</v>
      </c>
      <c r="N27" s="100">
        <v>23.4</v>
      </c>
      <c r="O27" s="100">
        <v>0</v>
      </c>
      <c r="P27" s="100">
        <v>0.39</v>
      </c>
      <c r="Q27" s="100">
        <v>28.82</v>
      </c>
      <c r="R27" s="6"/>
      <c r="S27" s="6"/>
      <c r="T27" s="156"/>
      <c r="U27" s="6"/>
    </row>
    <row r="28" spans="1:21" customFormat="1">
      <c r="A28" s="163" t="s">
        <v>2659</v>
      </c>
      <c r="B28" s="100">
        <v>8.0399999999999991</v>
      </c>
      <c r="C28" s="100">
        <v>11.12</v>
      </c>
      <c r="D28" s="100">
        <v>11.26</v>
      </c>
      <c r="E28" s="100">
        <v>6.29</v>
      </c>
      <c r="F28" s="100">
        <v>4.17</v>
      </c>
      <c r="G28" s="100">
        <v>16.63</v>
      </c>
      <c r="H28" s="100">
        <v>8.44</v>
      </c>
      <c r="I28" s="100">
        <v>8.41</v>
      </c>
      <c r="J28" s="100">
        <v>3.76</v>
      </c>
      <c r="K28" s="100">
        <v>109.86</v>
      </c>
      <c r="L28" s="100">
        <v>25.45</v>
      </c>
      <c r="M28" s="100">
        <v>81.5</v>
      </c>
      <c r="N28" s="100">
        <v>23.6</v>
      </c>
      <c r="O28" s="100">
        <v>0</v>
      </c>
      <c r="P28" s="100">
        <v>0.38</v>
      </c>
      <c r="Q28" s="100">
        <v>28.79</v>
      </c>
      <c r="R28" s="6"/>
      <c r="S28" s="6"/>
      <c r="T28" s="156"/>
      <c r="U28" s="6"/>
    </row>
    <row r="29" spans="1:21" customFormat="1">
      <c r="A29" s="163" t="s">
        <v>2660</v>
      </c>
      <c r="B29" s="100">
        <v>8.24</v>
      </c>
      <c r="C29" s="100">
        <v>11.82</v>
      </c>
      <c r="D29" s="100">
        <v>11.79</v>
      </c>
      <c r="E29" s="100">
        <v>5.63</v>
      </c>
      <c r="F29" s="100">
        <v>3.9</v>
      </c>
      <c r="G29" s="100">
        <v>21.96</v>
      </c>
      <c r="H29" s="100">
        <v>7.79</v>
      </c>
      <c r="I29" s="100">
        <v>8.2799999999999994</v>
      </c>
      <c r="J29" s="100">
        <v>3.69</v>
      </c>
      <c r="K29" s="100">
        <v>117.82</v>
      </c>
      <c r="L29" s="100">
        <v>25.42</v>
      </c>
      <c r="M29" s="100">
        <v>81.34</v>
      </c>
      <c r="N29" s="100">
        <v>23.7</v>
      </c>
      <c r="O29" s="100">
        <v>0</v>
      </c>
      <c r="P29" s="100">
        <v>0.38</v>
      </c>
      <c r="Q29" s="100">
        <v>28.71</v>
      </c>
      <c r="R29" s="6"/>
      <c r="S29" s="6"/>
      <c r="T29" s="156"/>
      <c r="U29" s="6"/>
    </row>
    <row r="30" spans="1:21" customFormat="1">
      <c r="A30" s="163" t="s">
        <v>2661</v>
      </c>
      <c r="B30" s="100">
        <v>8.76</v>
      </c>
      <c r="C30" s="100">
        <v>11.6</v>
      </c>
      <c r="D30" s="100">
        <v>12.09</v>
      </c>
      <c r="E30" s="100">
        <v>5.59</v>
      </c>
      <c r="F30" s="100">
        <v>3.82</v>
      </c>
      <c r="G30" s="100">
        <v>21.96</v>
      </c>
      <c r="H30" s="100">
        <v>7.79</v>
      </c>
      <c r="I30" s="100">
        <v>8.52</v>
      </c>
      <c r="J30" s="100">
        <v>2.88</v>
      </c>
      <c r="K30" s="100">
        <v>100.65</v>
      </c>
      <c r="L30" s="100">
        <v>25.38</v>
      </c>
      <c r="M30" s="100">
        <v>82.76</v>
      </c>
      <c r="N30" s="100">
        <v>26.9</v>
      </c>
      <c r="O30" s="100">
        <v>0.6</v>
      </c>
      <c r="P30" s="100">
        <v>0.4</v>
      </c>
      <c r="Q30" s="100">
        <v>28.66</v>
      </c>
      <c r="R30" s="6"/>
      <c r="S30" s="6"/>
      <c r="T30" s="156"/>
      <c r="U30" s="6"/>
    </row>
    <row r="31" spans="1:21" customFormat="1">
      <c r="A31" s="163" t="s">
        <v>2662</v>
      </c>
      <c r="B31" s="100">
        <v>9.48</v>
      </c>
      <c r="C31" s="100">
        <v>11.17</v>
      </c>
      <c r="D31" s="100">
        <v>12.44</v>
      </c>
      <c r="E31" s="100">
        <v>5.72</v>
      </c>
      <c r="F31" s="100">
        <v>3.17</v>
      </c>
      <c r="G31" s="100">
        <v>21.96</v>
      </c>
      <c r="H31" s="100">
        <v>7.79</v>
      </c>
      <c r="I31" s="100">
        <v>9.48</v>
      </c>
      <c r="J31" s="100">
        <v>2.46</v>
      </c>
      <c r="K31" s="100">
        <v>93.57</v>
      </c>
      <c r="L31" s="100">
        <v>24.85</v>
      </c>
      <c r="M31" s="100">
        <v>89.04</v>
      </c>
      <c r="N31" s="100">
        <v>32.4</v>
      </c>
      <c r="O31" s="100">
        <v>0</v>
      </c>
      <c r="P31" s="100">
        <v>0.42</v>
      </c>
      <c r="Q31" s="100">
        <v>28.64</v>
      </c>
      <c r="R31" s="6"/>
      <c r="S31" s="6"/>
      <c r="T31" s="156"/>
      <c r="U31" s="6"/>
    </row>
    <row r="32" spans="1:21" customFormat="1">
      <c r="A32" s="163" t="s">
        <v>2663</v>
      </c>
      <c r="B32" s="100">
        <v>10.02</v>
      </c>
      <c r="C32" s="100">
        <v>11.54</v>
      </c>
      <c r="D32" s="100">
        <v>13.07</v>
      </c>
      <c r="E32" s="100">
        <v>5.68</v>
      </c>
      <c r="F32" s="100">
        <v>2.66</v>
      </c>
      <c r="G32" s="100">
        <v>26.32</v>
      </c>
      <c r="H32" s="100">
        <v>8.32</v>
      </c>
      <c r="I32" s="100">
        <v>9.98</v>
      </c>
      <c r="J32" s="100">
        <v>3.75</v>
      </c>
      <c r="K32" s="100">
        <v>127.21</v>
      </c>
      <c r="L32" s="100">
        <v>24.59</v>
      </c>
      <c r="M32" s="100">
        <v>92.5</v>
      </c>
      <c r="N32" s="100">
        <v>36.5</v>
      </c>
      <c r="O32" s="100">
        <v>0</v>
      </c>
      <c r="P32" s="100">
        <v>0.43</v>
      </c>
      <c r="Q32" s="100">
        <v>28.63</v>
      </c>
      <c r="R32" s="6"/>
      <c r="S32" s="6"/>
      <c r="T32" s="156"/>
      <c r="U32" s="6"/>
    </row>
    <row r="33" spans="1:21" customFormat="1">
      <c r="A33" s="163" t="s">
        <v>2664</v>
      </c>
      <c r="B33" s="100">
        <v>10.65</v>
      </c>
      <c r="C33" s="100">
        <v>11.08</v>
      </c>
      <c r="D33" s="100">
        <v>13.34</v>
      </c>
      <c r="E33" s="100">
        <v>5.78</v>
      </c>
      <c r="F33" s="100">
        <v>2.83</v>
      </c>
      <c r="G33" s="100">
        <v>42.65</v>
      </c>
      <c r="H33" s="100">
        <v>10.3</v>
      </c>
      <c r="I33" s="100">
        <v>9.6999999999999993</v>
      </c>
      <c r="J33" s="100">
        <v>3.69</v>
      </c>
      <c r="K33" s="100">
        <v>130.88</v>
      </c>
      <c r="L33" s="100">
        <v>24.8</v>
      </c>
      <c r="M33" s="100">
        <v>93.61</v>
      </c>
      <c r="N33" s="100">
        <v>39.1</v>
      </c>
      <c r="O33" s="100">
        <v>0</v>
      </c>
      <c r="P33" s="100">
        <v>0.42</v>
      </c>
      <c r="Q33" s="100">
        <v>28.61</v>
      </c>
      <c r="R33" s="6"/>
      <c r="S33" s="6"/>
      <c r="T33" s="156"/>
      <c r="U33" s="6"/>
    </row>
    <row r="34" spans="1:21" customFormat="1">
      <c r="A34" s="163" t="s">
        <v>2665</v>
      </c>
      <c r="B34" s="100">
        <v>11.46</v>
      </c>
      <c r="C34" s="100">
        <v>10.38</v>
      </c>
      <c r="D34" s="100">
        <v>13.62</v>
      </c>
      <c r="E34" s="100">
        <v>6.96</v>
      </c>
      <c r="F34" s="100">
        <v>2.69</v>
      </c>
      <c r="G34" s="100">
        <v>42.65</v>
      </c>
      <c r="H34" s="100">
        <v>10.3</v>
      </c>
      <c r="I34" s="100">
        <v>9.76</v>
      </c>
      <c r="J34" s="100">
        <v>3.18</v>
      </c>
      <c r="K34" s="100">
        <v>112.67</v>
      </c>
      <c r="L34" s="100">
        <v>25.19</v>
      </c>
      <c r="M34" s="100">
        <v>91.09</v>
      </c>
      <c r="N34" s="100">
        <v>44.9</v>
      </c>
      <c r="O34" s="100">
        <v>0</v>
      </c>
      <c r="P34" s="100">
        <v>0.46</v>
      </c>
      <c r="Q34" s="100">
        <v>28.66</v>
      </c>
      <c r="R34" s="6"/>
      <c r="S34" s="6"/>
      <c r="T34" s="156"/>
      <c r="U34" s="6"/>
    </row>
    <row r="35" spans="1:21" customFormat="1">
      <c r="A35" s="163" t="s">
        <v>2666</v>
      </c>
      <c r="B35" s="100">
        <v>11.99</v>
      </c>
      <c r="C35" s="100">
        <v>9.0399999999999991</v>
      </c>
      <c r="D35" s="100">
        <v>13.35</v>
      </c>
      <c r="E35" s="100">
        <v>6.34</v>
      </c>
      <c r="F35" s="100">
        <v>2.61</v>
      </c>
      <c r="G35" s="100">
        <v>42.65</v>
      </c>
      <c r="H35" s="100">
        <v>10.3</v>
      </c>
      <c r="I35" s="100">
        <v>10.28</v>
      </c>
      <c r="J35" s="100">
        <v>2.97</v>
      </c>
      <c r="K35" s="100">
        <v>123.66</v>
      </c>
      <c r="L35" s="100">
        <v>25.32</v>
      </c>
      <c r="M35" s="100">
        <v>90.61</v>
      </c>
      <c r="N35" s="100">
        <v>59.9</v>
      </c>
      <c r="O35" s="100">
        <v>0</v>
      </c>
      <c r="P35" s="100">
        <v>0.49</v>
      </c>
      <c r="Q35" s="100">
        <v>28.69</v>
      </c>
      <c r="R35" s="6"/>
      <c r="S35" s="6"/>
      <c r="T35" s="156"/>
      <c r="U35" s="6"/>
    </row>
    <row r="36" spans="1:21" customFormat="1">
      <c r="A36" s="163" t="s">
        <v>2667</v>
      </c>
      <c r="B36" s="100">
        <v>12.6</v>
      </c>
      <c r="C36" s="100">
        <v>8.77</v>
      </c>
      <c r="D36" s="100">
        <v>13.7</v>
      </c>
      <c r="E36" s="100">
        <v>6.35</v>
      </c>
      <c r="F36" s="100">
        <v>2.4500000000000002</v>
      </c>
      <c r="G36" s="100">
        <v>46.23</v>
      </c>
      <c r="H36" s="100">
        <v>12.1</v>
      </c>
      <c r="I36" s="100">
        <v>11.1</v>
      </c>
      <c r="J36" s="100">
        <v>2.89</v>
      </c>
      <c r="K36" s="100">
        <v>104.9</v>
      </c>
      <c r="L36" s="100">
        <v>25.67</v>
      </c>
      <c r="M36" s="100">
        <v>88.52</v>
      </c>
      <c r="N36" s="100">
        <v>110.9</v>
      </c>
      <c r="O36" s="100">
        <v>0</v>
      </c>
      <c r="P36" s="100">
        <v>0.51</v>
      </c>
      <c r="Q36" s="100">
        <v>28.65</v>
      </c>
      <c r="R36" s="6"/>
      <c r="S36" s="6"/>
      <c r="T36" s="156"/>
      <c r="U36" s="6"/>
    </row>
    <row r="37" spans="1:21" customFormat="1">
      <c r="A37" s="163" t="s">
        <v>2668</v>
      </c>
      <c r="B37" s="100">
        <v>12.81</v>
      </c>
      <c r="C37" s="100">
        <v>10.039999999999999</v>
      </c>
      <c r="D37" s="100">
        <v>14.52</v>
      </c>
      <c r="E37" s="100">
        <v>6.36</v>
      </c>
      <c r="F37" s="100">
        <v>2.87</v>
      </c>
      <c r="G37" s="100">
        <v>59.64</v>
      </c>
      <c r="H37" s="100">
        <v>18.829999999999998</v>
      </c>
      <c r="I37" s="100">
        <v>11.11</v>
      </c>
      <c r="J37" s="100">
        <v>1.41</v>
      </c>
      <c r="K37" s="100">
        <v>89.91</v>
      </c>
      <c r="L37" s="100">
        <v>26.44</v>
      </c>
      <c r="M37" s="100">
        <v>85.23</v>
      </c>
      <c r="N37" s="100">
        <v>166.6</v>
      </c>
      <c r="O37" s="100">
        <v>0</v>
      </c>
      <c r="P37" s="100">
        <v>0.57999999999999996</v>
      </c>
      <c r="Q37" s="100">
        <v>28.61</v>
      </c>
      <c r="R37" s="6"/>
      <c r="S37" s="6"/>
      <c r="T37" s="156"/>
      <c r="U37" s="6"/>
    </row>
    <row r="38" spans="1:21" customFormat="1">
      <c r="A38" s="163" t="s">
        <v>2669</v>
      </c>
      <c r="B38" s="100">
        <v>13.4</v>
      </c>
      <c r="C38" s="100">
        <v>11.27</v>
      </c>
      <c r="D38" s="100">
        <v>15.64</v>
      </c>
      <c r="E38" s="100">
        <v>6.78</v>
      </c>
      <c r="F38" s="100">
        <v>3.96</v>
      </c>
      <c r="G38" s="100">
        <v>59.64</v>
      </c>
      <c r="H38" s="100">
        <v>18.829999999999998</v>
      </c>
      <c r="I38" s="100">
        <v>11.74</v>
      </c>
      <c r="J38" s="100">
        <v>2.67</v>
      </c>
      <c r="K38" s="100">
        <v>46.04</v>
      </c>
      <c r="L38" s="100">
        <v>26.92</v>
      </c>
      <c r="M38" s="100">
        <v>80.91</v>
      </c>
      <c r="N38" s="100">
        <v>141.6</v>
      </c>
      <c r="O38" s="100">
        <v>0</v>
      </c>
      <c r="P38" s="100">
        <v>0.64</v>
      </c>
      <c r="Q38" s="100">
        <v>28.54</v>
      </c>
      <c r="R38" s="6"/>
      <c r="S38" s="6"/>
      <c r="T38" s="156"/>
      <c r="U38" s="6"/>
    </row>
    <row r="39" spans="1:21" customFormat="1">
      <c r="A39" s="163" t="s">
        <v>2670</v>
      </c>
      <c r="B39" s="100">
        <v>15.32</v>
      </c>
      <c r="C39" s="100">
        <v>12.46</v>
      </c>
      <c r="D39" s="100">
        <v>17.8</v>
      </c>
      <c r="E39" s="100">
        <v>6.88</v>
      </c>
      <c r="F39" s="100">
        <v>3.61</v>
      </c>
      <c r="G39" s="100">
        <v>59.64</v>
      </c>
      <c r="H39" s="100">
        <v>18.829999999999998</v>
      </c>
      <c r="I39" s="100">
        <v>12.37</v>
      </c>
      <c r="J39" s="100">
        <v>2.72</v>
      </c>
      <c r="K39" s="100">
        <v>121.24</v>
      </c>
      <c r="L39" s="100">
        <v>27.16</v>
      </c>
      <c r="M39" s="100">
        <v>79.44</v>
      </c>
      <c r="N39" s="100">
        <v>115.2</v>
      </c>
      <c r="O39" s="100">
        <v>0</v>
      </c>
      <c r="P39" s="100">
        <v>0.71</v>
      </c>
      <c r="Q39" s="100">
        <v>28.45</v>
      </c>
      <c r="R39" s="6"/>
      <c r="S39" s="6"/>
      <c r="T39" s="156"/>
      <c r="U39" s="6"/>
    </row>
    <row r="40" spans="1:21" customFormat="1">
      <c r="A40" s="163" t="s">
        <v>2671</v>
      </c>
      <c r="B40" s="100">
        <v>14.47</v>
      </c>
      <c r="C40" s="100">
        <v>12.45</v>
      </c>
      <c r="D40" s="100">
        <v>17.11</v>
      </c>
      <c r="E40" s="100">
        <v>6.77</v>
      </c>
      <c r="F40" s="100">
        <v>4.0599999999999996</v>
      </c>
      <c r="G40" s="100">
        <v>65.3</v>
      </c>
      <c r="H40" s="100">
        <v>21.06</v>
      </c>
      <c r="I40" s="100">
        <v>13.58</v>
      </c>
      <c r="J40" s="100">
        <v>3.09</v>
      </c>
      <c r="K40" s="100">
        <v>148.26</v>
      </c>
      <c r="L40" s="100">
        <v>27.18</v>
      </c>
      <c r="M40" s="100">
        <v>78.38</v>
      </c>
      <c r="N40" s="100">
        <v>119.1</v>
      </c>
      <c r="O40" s="100">
        <v>0</v>
      </c>
      <c r="P40" s="100">
        <v>0.7</v>
      </c>
      <c r="Q40" s="100">
        <v>28.35</v>
      </c>
      <c r="R40" s="6"/>
      <c r="S40" s="6"/>
      <c r="T40" s="156"/>
      <c r="U40" s="6"/>
    </row>
    <row r="41" spans="1:21" customFormat="1">
      <c r="A41" s="163" t="s">
        <v>2672</v>
      </c>
      <c r="B41" s="100">
        <v>13.13</v>
      </c>
      <c r="C41" s="100">
        <v>11.64</v>
      </c>
      <c r="D41" s="100">
        <v>15.62</v>
      </c>
      <c r="E41" s="100">
        <v>6.5</v>
      </c>
      <c r="F41" s="100">
        <v>6.4</v>
      </c>
      <c r="G41" s="100">
        <v>86.47</v>
      </c>
      <c r="H41" s="100">
        <v>29.41</v>
      </c>
      <c r="I41" s="100">
        <v>14.65</v>
      </c>
      <c r="J41" s="100">
        <v>2.57</v>
      </c>
      <c r="K41" s="100">
        <v>147.16999999999999</v>
      </c>
      <c r="L41" s="100">
        <v>27.45</v>
      </c>
      <c r="M41" s="100">
        <v>76.44</v>
      </c>
      <c r="N41" s="100">
        <v>210</v>
      </c>
      <c r="O41" s="100">
        <v>0</v>
      </c>
      <c r="P41" s="100">
        <v>0.66</v>
      </c>
      <c r="Q41" s="100">
        <v>28.3</v>
      </c>
      <c r="R41" s="6"/>
      <c r="S41" s="6"/>
      <c r="T41" s="156"/>
      <c r="U41" s="6"/>
    </row>
    <row r="42" spans="1:21" customFormat="1">
      <c r="A42" s="163" t="s">
        <v>2673</v>
      </c>
      <c r="B42" s="100">
        <v>12.9</v>
      </c>
      <c r="C42" s="100">
        <v>11.56</v>
      </c>
      <c r="D42" s="100">
        <v>15.39</v>
      </c>
      <c r="E42" s="100">
        <v>6.44</v>
      </c>
      <c r="F42" s="100">
        <v>7.41</v>
      </c>
      <c r="G42" s="100">
        <v>86.47</v>
      </c>
      <c r="H42" s="100">
        <v>29.41</v>
      </c>
      <c r="I42" s="100">
        <v>14.3</v>
      </c>
      <c r="J42" s="100">
        <v>4.6399999999999997</v>
      </c>
      <c r="K42" s="100">
        <v>219.73</v>
      </c>
      <c r="L42" s="100">
        <v>28.04</v>
      </c>
      <c r="M42" s="100">
        <v>71.540000000000006</v>
      </c>
      <c r="N42" s="100">
        <v>261.3</v>
      </c>
      <c r="O42" s="100">
        <v>0</v>
      </c>
      <c r="P42" s="100">
        <v>0.68</v>
      </c>
      <c r="Q42" s="100">
        <v>28.29</v>
      </c>
      <c r="R42" s="6"/>
      <c r="S42" s="6"/>
      <c r="T42" s="156"/>
      <c r="U42" s="6"/>
    </row>
    <row r="43" spans="1:21" customFormat="1">
      <c r="A43" s="163" t="s">
        <v>2674</v>
      </c>
      <c r="B43" s="100">
        <v>12.28</v>
      </c>
      <c r="C43" s="100">
        <v>11.27</v>
      </c>
      <c r="D43" s="100">
        <v>14.74</v>
      </c>
      <c r="E43" s="100">
        <v>5.92</v>
      </c>
      <c r="F43" s="100">
        <v>8.1300000000000008</v>
      </c>
      <c r="G43" s="100">
        <v>86.47</v>
      </c>
      <c r="H43" s="100">
        <v>29.41</v>
      </c>
      <c r="I43" s="100">
        <v>13.6</v>
      </c>
      <c r="J43" s="100">
        <v>0.69</v>
      </c>
      <c r="K43" s="100">
        <v>217.16</v>
      </c>
      <c r="L43" s="100">
        <v>28.82</v>
      </c>
      <c r="M43" s="100">
        <v>68.73</v>
      </c>
      <c r="N43" s="100">
        <v>408.6</v>
      </c>
      <c r="O43" s="100">
        <v>0</v>
      </c>
      <c r="P43" s="100">
        <v>0.65</v>
      </c>
      <c r="Q43" s="100">
        <v>28.32</v>
      </c>
      <c r="R43" s="6"/>
      <c r="S43" s="6"/>
      <c r="T43" s="156"/>
      <c r="U43" s="6"/>
    </row>
    <row r="44" spans="1:21" customFormat="1">
      <c r="A44" s="163" t="s">
        <v>2675</v>
      </c>
      <c r="B44" s="100">
        <v>11.78</v>
      </c>
      <c r="C44" s="100">
        <v>10.91</v>
      </c>
      <c r="D44" s="100">
        <v>14.16</v>
      </c>
      <c r="E44" s="100">
        <v>6.26</v>
      </c>
      <c r="F44" s="100">
        <v>6.53</v>
      </c>
      <c r="G44" s="100">
        <v>83.43</v>
      </c>
      <c r="H44" s="100">
        <v>29.21</v>
      </c>
      <c r="I44" s="100">
        <v>13.65</v>
      </c>
      <c r="J44" s="100">
        <v>2.2000000000000002</v>
      </c>
      <c r="K44" s="100">
        <v>193.55</v>
      </c>
      <c r="L44" s="100">
        <v>28.77</v>
      </c>
      <c r="M44" s="100">
        <v>68.72</v>
      </c>
      <c r="N44" s="100">
        <v>191.4</v>
      </c>
      <c r="O44" s="100">
        <v>0</v>
      </c>
      <c r="P44" s="100">
        <v>0.65</v>
      </c>
      <c r="Q44" s="100">
        <v>28.39</v>
      </c>
      <c r="R44" s="6"/>
      <c r="S44" s="6"/>
      <c r="T44" s="156"/>
      <c r="U44" s="6"/>
    </row>
    <row r="45" spans="1:21" customFormat="1">
      <c r="A45" s="163" t="s">
        <v>2676</v>
      </c>
      <c r="B45" s="100">
        <v>11.5</v>
      </c>
      <c r="C45" s="100">
        <v>12.59</v>
      </c>
      <c r="D45" s="100">
        <v>14.81</v>
      </c>
      <c r="E45" s="100">
        <v>5.93</v>
      </c>
      <c r="F45" s="100">
        <v>7.05</v>
      </c>
      <c r="G45" s="100">
        <v>72.06</v>
      </c>
      <c r="H45" s="100">
        <v>28.48</v>
      </c>
      <c r="I45" s="100">
        <v>13.18</v>
      </c>
      <c r="J45" s="100">
        <v>1.39</v>
      </c>
      <c r="K45" s="100">
        <v>157.19</v>
      </c>
      <c r="L45" s="100">
        <v>28.72</v>
      </c>
      <c r="M45" s="100">
        <v>68.75</v>
      </c>
      <c r="N45" s="100">
        <v>233.8</v>
      </c>
      <c r="O45" s="100">
        <v>0</v>
      </c>
      <c r="P45" s="100">
        <v>0.66</v>
      </c>
      <c r="Q45" s="100">
        <v>28.36</v>
      </c>
      <c r="R45" s="6"/>
      <c r="S45" s="6"/>
      <c r="T45" s="156"/>
      <c r="U45" s="6"/>
    </row>
    <row r="46" spans="1:21" customFormat="1">
      <c r="A46" s="163" t="s">
        <v>2677</v>
      </c>
      <c r="B46" s="100">
        <v>10.85</v>
      </c>
      <c r="C46" s="100">
        <v>11.73</v>
      </c>
      <c r="D46" s="100">
        <v>13.83</v>
      </c>
      <c r="E46" s="100">
        <v>6.28</v>
      </c>
      <c r="F46" s="100">
        <v>9.5500000000000007</v>
      </c>
      <c r="G46" s="100">
        <v>72.06</v>
      </c>
      <c r="H46" s="100">
        <v>28.48</v>
      </c>
      <c r="I46" s="100">
        <v>13.04</v>
      </c>
      <c r="J46" s="100">
        <v>1.44</v>
      </c>
      <c r="K46" s="100">
        <v>139.34</v>
      </c>
      <c r="L46" s="100">
        <v>29.14</v>
      </c>
      <c r="M46" s="100">
        <v>67.58</v>
      </c>
      <c r="N46" s="100">
        <v>217.1</v>
      </c>
      <c r="O46" s="100">
        <v>0</v>
      </c>
      <c r="P46" s="100">
        <v>0.64</v>
      </c>
      <c r="Q46" s="100">
        <v>28.5</v>
      </c>
      <c r="R46" s="6"/>
      <c r="S46" s="6"/>
      <c r="T46" s="156"/>
      <c r="U46" s="6"/>
    </row>
    <row r="47" spans="1:21" customFormat="1">
      <c r="A47" s="163" t="s">
        <v>2678</v>
      </c>
      <c r="B47" s="100">
        <v>10.61</v>
      </c>
      <c r="C47" s="100">
        <v>10.74</v>
      </c>
      <c r="D47" s="100">
        <v>13.13</v>
      </c>
      <c r="E47" s="100">
        <v>6.23</v>
      </c>
      <c r="F47" s="100">
        <v>4.59</v>
      </c>
      <c r="G47" s="100">
        <v>72.06</v>
      </c>
      <c r="H47" s="100">
        <v>28.48</v>
      </c>
      <c r="I47" s="100">
        <v>13.09</v>
      </c>
      <c r="J47" s="100">
        <v>2.39</v>
      </c>
      <c r="K47" s="100">
        <v>134.75</v>
      </c>
      <c r="L47" s="100">
        <v>29.08</v>
      </c>
      <c r="M47" s="100">
        <v>69.69</v>
      </c>
      <c r="N47" s="100">
        <v>187.5</v>
      </c>
      <c r="O47" s="100">
        <v>0</v>
      </c>
      <c r="P47" s="100">
        <v>0.66</v>
      </c>
      <c r="Q47" s="100">
        <v>28.59</v>
      </c>
      <c r="R47" s="6"/>
      <c r="S47" s="6"/>
      <c r="T47" s="156"/>
      <c r="U47" s="6"/>
    </row>
    <row r="48" spans="1:21" customFormat="1">
      <c r="A48" s="163" t="s">
        <v>2679</v>
      </c>
      <c r="B48" s="100">
        <v>9.69</v>
      </c>
      <c r="C48" s="100">
        <v>11.86</v>
      </c>
      <c r="D48" s="100">
        <v>12.97</v>
      </c>
      <c r="E48" s="100">
        <v>6.8</v>
      </c>
      <c r="F48" s="100">
        <v>11.2</v>
      </c>
      <c r="G48" s="100">
        <v>70.47</v>
      </c>
      <c r="H48" s="100">
        <v>27.42</v>
      </c>
      <c r="I48" s="100">
        <v>12.84</v>
      </c>
      <c r="J48" s="100">
        <v>1.62</v>
      </c>
      <c r="K48" s="100">
        <v>66.62</v>
      </c>
      <c r="L48" s="100">
        <v>29.3</v>
      </c>
      <c r="M48" s="100">
        <v>68.709999999999994</v>
      </c>
      <c r="N48" s="100">
        <v>189.1</v>
      </c>
      <c r="O48" s="100">
        <v>0</v>
      </c>
      <c r="P48" s="100">
        <v>0.72</v>
      </c>
      <c r="Q48" s="100">
        <v>28.61</v>
      </c>
      <c r="R48" s="6"/>
      <c r="S48" s="6"/>
      <c r="T48" s="156"/>
      <c r="U48" s="6"/>
    </row>
    <row r="49" spans="1:21" customFormat="1">
      <c r="A49" s="163" t="s">
        <v>2680</v>
      </c>
      <c r="B49" s="100">
        <v>9.3699999999999992</v>
      </c>
      <c r="C49" s="100">
        <v>10.27</v>
      </c>
      <c r="D49" s="100">
        <v>11.89</v>
      </c>
      <c r="E49" s="100">
        <v>6.31</v>
      </c>
      <c r="F49" s="100">
        <v>6</v>
      </c>
      <c r="G49" s="100">
        <v>64.540000000000006</v>
      </c>
      <c r="H49" s="100">
        <v>23.45</v>
      </c>
      <c r="I49" s="100">
        <v>13.28</v>
      </c>
      <c r="J49" s="100">
        <v>2.76</v>
      </c>
      <c r="K49" s="100">
        <v>175.5</v>
      </c>
      <c r="L49" s="100">
        <v>29.71</v>
      </c>
      <c r="M49" s="100">
        <v>67.3</v>
      </c>
      <c r="N49" s="100">
        <v>364.3</v>
      </c>
      <c r="O49" s="100">
        <v>0</v>
      </c>
      <c r="P49" s="100">
        <v>0.67</v>
      </c>
      <c r="Q49" s="100">
        <v>28.72</v>
      </c>
      <c r="R49" s="6"/>
      <c r="S49" s="6"/>
      <c r="T49" s="156"/>
      <c r="U49" s="6"/>
    </row>
    <row r="50" spans="1:21" customFormat="1">
      <c r="A50" s="163" t="s">
        <v>2681</v>
      </c>
      <c r="B50" s="100">
        <v>8.64</v>
      </c>
      <c r="C50" s="100">
        <v>9.8800000000000008</v>
      </c>
      <c r="D50" s="100">
        <v>11.09</v>
      </c>
      <c r="E50" s="100">
        <v>6.3</v>
      </c>
      <c r="F50" s="100">
        <v>11.58</v>
      </c>
      <c r="G50" s="100">
        <v>64.540000000000006</v>
      </c>
      <c r="H50" s="100">
        <v>23.45</v>
      </c>
      <c r="I50" s="100">
        <v>13.78</v>
      </c>
      <c r="J50" s="100">
        <v>2.3199999999999998</v>
      </c>
      <c r="K50" s="100">
        <v>193.11</v>
      </c>
      <c r="L50" s="100">
        <v>30.25</v>
      </c>
      <c r="M50" s="100">
        <v>65.36</v>
      </c>
      <c r="N50" s="100">
        <v>353.1</v>
      </c>
      <c r="O50" s="100">
        <v>0</v>
      </c>
      <c r="P50" s="100">
        <v>0.64</v>
      </c>
      <c r="Q50" s="100">
        <v>28.77</v>
      </c>
      <c r="R50" s="6"/>
      <c r="S50" s="6"/>
      <c r="T50" s="156"/>
      <c r="U50" s="6"/>
    </row>
    <row r="51" spans="1:21" customFormat="1">
      <c r="A51" s="163" t="s">
        <v>2682</v>
      </c>
      <c r="B51" s="100">
        <v>7.94</v>
      </c>
      <c r="C51" s="100">
        <v>9.76</v>
      </c>
      <c r="D51" s="100">
        <v>10.47</v>
      </c>
      <c r="E51" s="100">
        <v>6.33</v>
      </c>
      <c r="F51" s="100">
        <v>10.75</v>
      </c>
      <c r="G51" s="100">
        <v>64.540000000000006</v>
      </c>
      <c r="H51" s="100">
        <v>23.45</v>
      </c>
      <c r="I51" s="100">
        <v>13.43</v>
      </c>
      <c r="J51" s="100">
        <v>3.26</v>
      </c>
      <c r="K51" s="100">
        <v>241.63</v>
      </c>
      <c r="L51" s="100">
        <v>29.78</v>
      </c>
      <c r="M51" s="100">
        <v>65.36</v>
      </c>
      <c r="N51" s="100">
        <v>571</v>
      </c>
      <c r="O51" s="100">
        <v>0</v>
      </c>
      <c r="P51" s="100">
        <v>0.64</v>
      </c>
      <c r="Q51" s="100">
        <v>28.8</v>
      </c>
      <c r="R51" s="6"/>
      <c r="S51" s="6"/>
      <c r="T51" s="156"/>
      <c r="U51" s="6"/>
    </row>
    <row r="52" spans="1:21" customFormat="1">
      <c r="A52" s="163" t="s">
        <v>2683</v>
      </c>
      <c r="B52" s="100">
        <v>7.17</v>
      </c>
      <c r="C52" s="100">
        <v>10.029999999999999</v>
      </c>
      <c r="D52" s="100">
        <v>10</v>
      </c>
      <c r="E52" s="100">
        <v>6.4</v>
      </c>
      <c r="F52" s="100">
        <v>12.46</v>
      </c>
      <c r="G52" s="100">
        <v>63.3</v>
      </c>
      <c r="H52" s="100">
        <v>23.12</v>
      </c>
      <c r="I52" s="100">
        <v>13</v>
      </c>
      <c r="J52" s="100">
        <v>3.82</v>
      </c>
      <c r="K52" s="100">
        <v>220.97</v>
      </c>
      <c r="L52" s="100">
        <v>30.17</v>
      </c>
      <c r="M52" s="100">
        <v>64.19</v>
      </c>
      <c r="N52" s="100">
        <v>462.9</v>
      </c>
      <c r="O52" s="100">
        <v>0</v>
      </c>
      <c r="P52" s="100">
        <v>0.62</v>
      </c>
      <c r="Q52" s="100">
        <v>28.86</v>
      </c>
      <c r="R52" s="6"/>
      <c r="S52" s="6"/>
      <c r="T52" s="156"/>
      <c r="U52" s="6"/>
    </row>
    <row r="53" spans="1:21" customFormat="1">
      <c r="A53" s="163" t="s">
        <v>2684</v>
      </c>
      <c r="B53" s="100">
        <v>6.65</v>
      </c>
      <c r="C53" s="100">
        <v>10.71</v>
      </c>
      <c r="D53" s="100">
        <v>9.94</v>
      </c>
      <c r="E53" s="100">
        <v>4.91</v>
      </c>
      <c r="F53" s="100">
        <v>6.06</v>
      </c>
      <c r="G53" s="100">
        <v>58.67</v>
      </c>
      <c r="H53" s="100">
        <v>21.89</v>
      </c>
      <c r="I53" s="100">
        <v>12.81</v>
      </c>
      <c r="J53" s="100">
        <v>4.58</v>
      </c>
      <c r="K53" s="100">
        <v>227.74</v>
      </c>
      <c r="L53" s="100">
        <v>29.45</v>
      </c>
      <c r="M53" s="100">
        <v>67.53</v>
      </c>
      <c r="N53" s="100">
        <v>304.7</v>
      </c>
      <c r="O53" s="100">
        <v>0</v>
      </c>
      <c r="P53" s="100">
        <v>0.61</v>
      </c>
      <c r="Q53" s="100">
        <v>28.84</v>
      </c>
      <c r="R53" s="6"/>
      <c r="S53" s="6"/>
      <c r="T53" s="156"/>
      <c r="U53" s="6"/>
    </row>
    <row r="54" spans="1:21" customFormat="1">
      <c r="A54" s="163" t="s">
        <v>2685</v>
      </c>
      <c r="B54" s="100">
        <v>6.02</v>
      </c>
      <c r="C54" s="100">
        <v>10.44</v>
      </c>
      <c r="D54" s="100">
        <v>9.2899999999999991</v>
      </c>
      <c r="E54" s="100">
        <v>5.95</v>
      </c>
      <c r="F54" s="100">
        <v>7.72</v>
      </c>
      <c r="G54" s="100">
        <v>58.67</v>
      </c>
      <c r="H54" s="100">
        <v>21.89</v>
      </c>
      <c r="I54" s="100">
        <v>12.86</v>
      </c>
      <c r="J54" s="100">
        <v>4.2699999999999996</v>
      </c>
      <c r="K54" s="100">
        <v>224.39</v>
      </c>
      <c r="L54" s="100">
        <v>29.71</v>
      </c>
      <c r="M54" s="100">
        <v>65.760000000000005</v>
      </c>
      <c r="N54" s="100">
        <v>624.70000000000005</v>
      </c>
      <c r="O54" s="100">
        <v>0</v>
      </c>
      <c r="P54" s="100">
        <v>0.62</v>
      </c>
      <c r="Q54" s="100">
        <v>28.93</v>
      </c>
      <c r="R54" s="6"/>
      <c r="S54" s="6"/>
      <c r="T54" s="156"/>
      <c r="U54" s="6"/>
    </row>
    <row r="55" spans="1:21" customFormat="1">
      <c r="A55" s="163" t="s">
        <v>2686</v>
      </c>
      <c r="B55" s="100">
        <v>5.15</v>
      </c>
      <c r="C55" s="100">
        <v>10.17</v>
      </c>
      <c r="D55" s="100">
        <v>8.4499999999999993</v>
      </c>
      <c r="E55" s="100">
        <v>5.59</v>
      </c>
      <c r="F55" s="100">
        <v>9.5399999999999991</v>
      </c>
      <c r="G55" s="100">
        <v>58.67</v>
      </c>
      <c r="H55" s="100">
        <v>21.89</v>
      </c>
      <c r="I55" s="100">
        <v>12.89</v>
      </c>
      <c r="J55" s="100">
        <v>3</v>
      </c>
      <c r="K55" s="100">
        <v>199.98</v>
      </c>
      <c r="L55" s="100">
        <v>30.58</v>
      </c>
      <c r="M55" s="100">
        <v>63.5</v>
      </c>
      <c r="N55" s="100">
        <v>560.70000000000005</v>
      </c>
      <c r="O55" s="100">
        <v>0</v>
      </c>
      <c r="P55" s="100">
        <v>0.6</v>
      </c>
      <c r="Q55" s="100">
        <v>28.97</v>
      </c>
      <c r="R55" s="6"/>
      <c r="S55" s="6"/>
      <c r="T55" s="156"/>
      <c r="U55" s="6"/>
    </row>
    <row r="56" spans="1:21" customFormat="1">
      <c r="A56" s="163" t="s">
        <v>2687</v>
      </c>
      <c r="B56" s="100">
        <v>4.38</v>
      </c>
      <c r="C56" s="100">
        <v>9.69</v>
      </c>
      <c r="D56" s="100">
        <v>7.58</v>
      </c>
      <c r="E56" s="100">
        <v>6.18</v>
      </c>
      <c r="F56" s="100">
        <v>14.27</v>
      </c>
      <c r="G56" s="100">
        <v>54.91</v>
      </c>
      <c r="H56" s="100">
        <v>22.07</v>
      </c>
      <c r="I56" s="100">
        <v>12.62</v>
      </c>
      <c r="J56" s="100">
        <v>3.04</v>
      </c>
      <c r="K56" s="100">
        <v>231.71</v>
      </c>
      <c r="L56" s="100">
        <v>31.16</v>
      </c>
      <c r="M56" s="100">
        <v>60.52</v>
      </c>
      <c r="N56" s="100">
        <v>691.4</v>
      </c>
      <c r="O56" s="100">
        <v>0</v>
      </c>
      <c r="P56" s="100">
        <v>0.57999999999999996</v>
      </c>
      <c r="Q56" s="100">
        <v>29.03</v>
      </c>
      <c r="R56" s="6"/>
      <c r="S56" s="6"/>
      <c r="T56" s="156"/>
      <c r="U56" s="6"/>
    </row>
    <row r="57" spans="1:21" customFormat="1">
      <c r="A57" s="163" t="s">
        <v>2688</v>
      </c>
      <c r="B57" s="100">
        <v>4</v>
      </c>
      <c r="C57" s="100">
        <v>9.99</v>
      </c>
      <c r="D57" s="100">
        <v>7.43</v>
      </c>
      <c r="E57" s="100">
        <v>6.06</v>
      </c>
      <c r="F57" s="100">
        <v>7.86</v>
      </c>
      <c r="G57" s="100">
        <v>40.86</v>
      </c>
      <c r="H57" s="100">
        <v>22.76</v>
      </c>
      <c r="I57" s="100">
        <v>12.01</v>
      </c>
      <c r="J57" s="100">
        <v>4.4800000000000004</v>
      </c>
      <c r="K57" s="100">
        <v>221.09</v>
      </c>
      <c r="L57" s="100">
        <v>31.28</v>
      </c>
      <c r="M57" s="100">
        <v>59.35</v>
      </c>
      <c r="N57" s="100">
        <v>545.20000000000005</v>
      </c>
      <c r="O57" s="100">
        <v>0</v>
      </c>
      <c r="P57" s="100">
        <v>0.6</v>
      </c>
      <c r="Q57" s="100">
        <v>29.07</v>
      </c>
      <c r="R57" s="6"/>
      <c r="S57" s="6"/>
      <c r="T57" s="156"/>
      <c r="U57" s="6"/>
    </row>
    <row r="58" spans="1:21" customFormat="1">
      <c r="A58" s="163" t="s">
        <v>2689</v>
      </c>
      <c r="B58" s="100">
        <v>3.69</v>
      </c>
      <c r="C58" s="100">
        <v>10.95</v>
      </c>
      <c r="D58" s="100">
        <v>7.69</v>
      </c>
      <c r="E58" s="100">
        <v>5.85</v>
      </c>
      <c r="F58" s="100">
        <v>8.0299999999999994</v>
      </c>
      <c r="G58" s="100">
        <v>40.86</v>
      </c>
      <c r="H58" s="100">
        <v>22.76</v>
      </c>
      <c r="I58" s="100">
        <v>11.6</v>
      </c>
      <c r="J58" s="100">
        <v>3.47</v>
      </c>
      <c r="K58" s="100">
        <v>144.04</v>
      </c>
      <c r="L58" s="100">
        <v>30.94</v>
      </c>
      <c r="M58" s="100">
        <v>61.48</v>
      </c>
      <c r="N58" s="100">
        <v>158.6</v>
      </c>
      <c r="O58" s="100">
        <v>0</v>
      </c>
      <c r="P58" s="100">
        <v>0.6</v>
      </c>
      <c r="Q58" s="100">
        <v>29.15</v>
      </c>
      <c r="R58" s="6"/>
      <c r="S58" s="6"/>
      <c r="T58" s="156"/>
      <c r="U58" s="6"/>
    </row>
    <row r="59" spans="1:21" customFormat="1">
      <c r="A59" s="163" t="s">
        <v>2690</v>
      </c>
      <c r="B59" s="100">
        <v>3.36</v>
      </c>
      <c r="C59" s="100">
        <v>10.45</v>
      </c>
      <c r="D59" s="100">
        <v>7.16</v>
      </c>
      <c r="E59" s="100">
        <v>6.02</v>
      </c>
      <c r="F59" s="100">
        <v>9.02</v>
      </c>
      <c r="G59" s="100">
        <v>40.86</v>
      </c>
      <c r="H59" s="100">
        <v>22.76</v>
      </c>
      <c r="I59" s="100">
        <v>12.01</v>
      </c>
      <c r="J59" s="100">
        <v>3.02</v>
      </c>
      <c r="K59" s="100">
        <v>159.61000000000001</v>
      </c>
      <c r="L59" s="100">
        <v>30.74</v>
      </c>
      <c r="M59" s="100">
        <v>61.95</v>
      </c>
      <c r="N59" s="100">
        <v>153.69999999999999</v>
      </c>
      <c r="O59" s="100">
        <v>0</v>
      </c>
      <c r="P59" s="100">
        <v>0.56999999999999995</v>
      </c>
      <c r="Q59" s="100">
        <v>29.18</v>
      </c>
      <c r="R59" s="6"/>
      <c r="S59" s="6"/>
      <c r="T59" s="156"/>
      <c r="U59" s="6"/>
    </row>
    <row r="60" spans="1:21" customFormat="1">
      <c r="A60" s="163" t="s">
        <v>2691</v>
      </c>
      <c r="B60" s="100">
        <v>3.09</v>
      </c>
      <c r="C60" s="100">
        <v>8.81</v>
      </c>
      <c r="D60" s="100">
        <v>6.09</v>
      </c>
      <c r="E60" s="100">
        <v>6.34</v>
      </c>
      <c r="F60" s="100">
        <v>16.72</v>
      </c>
      <c r="G60" s="100">
        <v>39.880000000000003</v>
      </c>
      <c r="H60" s="100">
        <v>22.04</v>
      </c>
      <c r="I60" s="100">
        <v>11.93</v>
      </c>
      <c r="J60" s="100">
        <v>2.73</v>
      </c>
      <c r="K60" s="100">
        <v>128.96</v>
      </c>
      <c r="L60" s="100">
        <v>30.62</v>
      </c>
      <c r="M60" s="100">
        <v>64.22</v>
      </c>
      <c r="N60" s="100">
        <v>143.80000000000001</v>
      </c>
      <c r="O60" s="100">
        <v>0</v>
      </c>
      <c r="P60" s="100">
        <v>0.55000000000000004</v>
      </c>
      <c r="Q60" s="100">
        <v>29.32</v>
      </c>
      <c r="R60" s="6"/>
      <c r="S60" s="6"/>
      <c r="T60" s="156"/>
      <c r="U60" s="6"/>
    </row>
    <row r="61" spans="1:21" customFormat="1">
      <c r="A61" s="163" t="s">
        <v>2692</v>
      </c>
      <c r="B61" s="100">
        <v>3.21</v>
      </c>
      <c r="C61" s="100">
        <v>8.3800000000000008</v>
      </c>
      <c r="D61" s="100">
        <v>5.96</v>
      </c>
      <c r="E61" s="100">
        <v>5.93</v>
      </c>
      <c r="F61" s="100">
        <v>5.16</v>
      </c>
      <c r="G61" s="100">
        <v>36.21</v>
      </c>
      <c r="H61" s="100">
        <v>19.34</v>
      </c>
      <c r="I61" s="100">
        <v>11.47</v>
      </c>
      <c r="J61" s="100">
        <v>3.07</v>
      </c>
      <c r="K61" s="100">
        <v>137.72999999999999</v>
      </c>
      <c r="L61" s="100">
        <v>29.66</v>
      </c>
      <c r="M61" s="100">
        <v>67.88</v>
      </c>
      <c r="N61" s="100">
        <v>131.30000000000001</v>
      </c>
      <c r="O61" s="100">
        <v>0</v>
      </c>
      <c r="P61" s="100">
        <v>0.56999999999999995</v>
      </c>
      <c r="Q61" s="100">
        <v>29.37</v>
      </c>
      <c r="R61" s="6"/>
      <c r="S61" s="6"/>
      <c r="T61" s="156"/>
      <c r="U61" s="6"/>
    </row>
    <row r="62" spans="1:21" customFormat="1">
      <c r="A62" s="163" t="s">
        <v>2693</v>
      </c>
      <c r="B62" s="100">
        <v>3.19</v>
      </c>
      <c r="C62" s="100">
        <v>8.44</v>
      </c>
      <c r="D62" s="100">
        <v>5.97</v>
      </c>
      <c r="E62" s="100">
        <v>5.82</v>
      </c>
      <c r="F62" s="100">
        <v>8.6199999999999992</v>
      </c>
      <c r="G62" s="100">
        <v>36.21</v>
      </c>
      <c r="H62" s="100">
        <v>19.34</v>
      </c>
      <c r="I62" s="100">
        <v>11.1</v>
      </c>
      <c r="J62" s="100">
        <v>4.4800000000000004</v>
      </c>
      <c r="K62" s="100">
        <v>144.09</v>
      </c>
      <c r="L62" s="100">
        <v>29.22</v>
      </c>
      <c r="M62" s="100">
        <v>66.19</v>
      </c>
      <c r="N62" s="100">
        <v>128.5</v>
      </c>
      <c r="O62" s="100">
        <v>0</v>
      </c>
      <c r="P62" s="100">
        <v>0.54</v>
      </c>
      <c r="Q62" s="100">
        <v>29.35</v>
      </c>
      <c r="R62" s="6"/>
      <c r="S62" s="6"/>
      <c r="T62" s="156"/>
      <c r="U62" s="6"/>
    </row>
    <row r="63" spans="1:21" customFormat="1">
      <c r="A63" s="163" t="s">
        <v>2694</v>
      </c>
      <c r="B63" s="100">
        <v>3.15</v>
      </c>
      <c r="C63" s="100">
        <v>7.62</v>
      </c>
      <c r="D63" s="100">
        <v>5.51</v>
      </c>
      <c r="E63" s="100">
        <v>5.99</v>
      </c>
      <c r="F63" s="100">
        <v>12.44</v>
      </c>
      <c r="G63" s="100">
        <v>36.21</v>
      </c>
      <c r="H63" s="100">
        <v>19.34</v>
      </c>
      <c r="I63" s="100">
        <v>11.49</v>
      </c>
      <c r="J63" s="100">
        <v>3.97</v>
      </c>
      <c r="K63" s="100">
        <v>138.86000000000001</v>
      </c>
      <c r="L63" s="100">
        <v>29.64</v>
      </c>
      <c r="M63" s="100">
        <v>66.150000000000006</v>
      </c>
      <c r="N63" s="100">
        <v>136.6</v>
      </c>
      <c r="O63" s="100">
        <v>0</v>
      </c>
      <c r="P63" s="100">
        <v>0.52</v>
      </c>
      <c r="Q63" s="100">
        <v>29.44</v>
      </c>
      <c r="R63" s="6"/>
      <c r="S63" s="6"/>
      <c r="T63" s="156"/>
      <c r="U63" s="6"/>
    </row>
    <row r="64" spans="1:21" customFormat="1">
      <c r="A64" s="163" t="s">
        <v>2695</v>
      </c>
      <c r="B64" s="100">
        <v>3.13</v>
      </c>
      <c r="C64" s="100">
        <v>8.58</v>
      </c>
      <c r="D64" s="100">
        <v>6</v>
      </c>
      <c r="E64" s="100">
        <v>6.42</v>
      </c>
      <c r="F64" s="100">
        <v>14.93</v>
      </c>
      <c r="G64" s="100">
        <v>33.78</v>
      </c>
      <c r="H64" s="100">
        <v>18.22</v>
      </c>
      <c r="I64" s="100">
        <v>11.13</v>
      </c>
      <c r="J64" s="100">
        <v>3.84</v>
      </c>
      <c r="K64" s="100">
        <v>144.44999999999999</v>
      </c>
      <c r="L64" s="100">
        <v>29.59</v>
      </c>
      <c r="M64" s="100">
        <v>68.510000000000005</v>
      </c>
      <c r="N64" s="100">
        <v>163.1</v>
      </c>
      <c r="O64" s="100">
        <v>0</v>
      </c>
      <c r="P64" s="100">
        <v>0.54</v>
      </c>
      <c r="Q64" s="100">
        <v>29.4</v>
      </c>
      <c r="R64" s="6"/>
      <c r="S64" s="6"/>
      <c r="T64" s="156"/>
      <c r="U64" s="6"/>
    </row>
    <row r="65" spans="1:21" customFormat="1">
      <c r="A65" s="163" t="s">
        <v>2696</v>
      </c>
      <c r="B65" s="100">
        <v>3.3</v>
      </c>
      <c r="C65" s="100">
        <v>9.66</v>
      </c>
      <c r="D65" s="100">
        <v>6.7</v>
      </c>
      <c r="E65" s="100">
        <v>6.35</v>
      </c>
      <c r="F65" s="100">
        <v>16.399999999999999</v>
      </c>
      <c r="G65" s="100">
        <v>24.68</v>
      </c>
      <c r="H65" s="100">
        <v>14</v>
      </c>
      <c r="I65" s="100">
        <v>10.89</v>
      </c>
      <c r="J65" s="100">
        <v>3.94</v>
      </c>
      <c r="K65" s="100">
        <v>204.17</v>
      </c>
      <c r="L65" s="100">
        <v>29.84</v>
      </c>
      <c r="M65" s="100">
        <v>64.489999999999995</v>
      </c>
      <c r="N65" s="100">
        <v>198.4</v>
      </c>
      <c r="O65" s="100">
        <v>0</v>
      </c>
      <c r="P65" s="100">
        <v>0.54</v>
      </c>
      <c r="Q65" s="100">
        <v>29.35</v>
      </c>
      <c r="R65" s="6"/>
      <c r="S65" s="6"/>
      <c r="T65" s="156"/>
      <c r="U65" s="6"/>
    </row>
    <row r="66" spans="1:21" customFormat="1">
      <c r="A66" s="163" t="s">
        <v>2697</v>
      </c>
      <c r="B66" s="100">
        <v>3.35</v>
      </c>
      <c r="C66" s="100">
        <v>9.56</v>
      </c>
      <c r="D66" s="100">
        <v>6.68</v>
      </c>
      <c r="E66" s="100">
        <v>5.92</v>
      </c>
      <c r="F66" s="100">
        <v>15.04</v>
      </c>
      <c r="G66" s="100">
        <v>24.68</v>
      </c>
      <c r="H66" s="100">
        <v>14</v>
      </c>
      <c r="I66" s="100">
        <v>10.72</v>
      </c>
      <c r="J66" s="100">
        <v>4.42</v>
      </c>
      <c r="K66" s="100">
        <v>199.13</v>
      </c>
      <c r="L66" s="100">
        <v>30.19</v>
      </c>
      <c r="M66" s="100">
        <v>62.22</v>
      </c>
      <c r="N66" s="100">
        <v>221.2</v>
      </c>
      <c r="O66" s="100">
        <v>0</v>
      </c>
      <c r="P66" s="100">
        <v>0.53</v>
      </c>
      <c r="Q66" s="100">
        <v>29.3</v>
      </c>
      <c r="R66" s="6"/>
      <c r="S66" s="6"/>
      <c r="T66" s="156"/>
      <c r="U66" s="6"/>
    </row>
    <row r="67" spans="1:21" customFormat="1">
      <c r="A67" s="163" t="s">
        <v>2698</v>
      </c>
      <c r="B67" s="100">
        <v>3.45</v>
      </c>
      <c r="C67" s="100">
        <v>9.44</v>
      </c>
      <c r="D67" s="100">
        <v>6.71</v>
      </c>
      <c r="E67" s="100">
        <v>5.99</v>
      </c>
      <c r="F67" s="100">
        <v>15.11</v>
      </c>
      <c r="G67" s="100">
        <v>24.68</v>
      </c>
      <c r="H67" s="100">
        <v>14</v>
      </c>
      <c r="I67" s="100">
        <v>10.77</v>
      </c>
      <c r="J67" s="100">
        <v>4.34</v>
      </c>
      <c r="K67" s="100">
        <v>203.82</v>
      </c>
      <c r="L67" s="100">
        <v>30.59</v>
      </c>
      <c r="M67" s="100">
        <v>58.79</v>
      </c>
      <c r="N67" s="100">
        <v>275.8</v>
      </c>
      <c r="O67" s="100">
        <v>0</v>
      </c>
      <c r="P67" s="100">
        <v>0.54</v>
      </c>
      <c r="Q67" s="100">
        <v>29.27</v>
      </c>
      <c r="R67" s="6"/>
      <c r="S67" s="6"/>
      <c r="T67" s="156"/>
      <c r="U67" s="6"/>
    </row>
    <row r="68" spans="1:21" customFormat="1">
      <c r="A68" s="163" t="s">
        <v>2699</v>
      </c>
      <c r="B68" s="100">
        <v>3.48</v>
      </c>
      <c r="C68" s="100">
        <v>9.76</v>
      </c>
      <c r="D68" s="100">
        <v>6.9</v>
      </c>
      <c r="E68" s="100">
        <v>6.57</v>
      </c>
      <c r="F68" s="100">
        <v>13.11</v>
      </c>
      <c r="G68" s="100">
        <v>25.59</v>
      </c>
      <c r="H68" s="100">
        <v>13.78</v>
      </c>
      <c r="I68" s="100">
        <v>10.69</v>
      </c>
      <c r="J68" s="100">
        <v>4.2300000000000004</v>
      </c>
      <c r="K68" s="100">
        <v>198.05</v>
      </c>
      <c r="L68" s="100">
        <v>31.19</v>
      </c>
      <c r="M68" s="100">
        <v>55.47</v>
      </c>
      <c r="N68" s="100">
        <v>319.3</v>
      </c>
      <c r="O68" s="100">
        <v>0</v>
      </c>
      <c r="P68" s="100">
        <v>0.51</v>
      </c>
      <c r="Q68" s="100">
        <v>29.26</v>
      </c>
      <c r="R68" s="6"/>
      <c r="S68" s="6"/>
      <c r="T68" s="156"/>
      <c r="U68" s="6"/>
    </row>
    <row r="69" spans="1:21" customFormat="1">
      <c r="A69" s="163" t="s">
        <v>2700</v>
      </c>
      <c r="B69" s="100">
        <v>3.69</v>
      </c>
      <c r="C69" s="100">
        <v>11.07</v>
      </c>
      <c r="D69" s="100">
        <v>7.75</v>
      </c>
      <c r="E69" s="100">
        <v>6.18</v>
      </c>
      <c r="F69" s="100">
        <v>11.95</v>
      </c>
      <c r="G69" s="100">
        <v>28.99</v>
      </c>
      <c r="H69" s="100">
        <v>12.94</v>
      </c>
      <c r="I69" s="100">
        <v>10.49</v>
      </c>
      <c r="J69" s="100">
        <v>3.75</v>
      </c>
      <c r="K69" s="100">
        <v>222.1</v>
      </c>
      <c r="L69" s="100">
        <v>31.73</v>
      </c>
      <c r="M69" s="100">
        <v>52.02</v>
      </c>
      <c r="N69" s="100">
        <v>251.2</v>
      </c>
      <c r="O69" s="100">
        <v>0</v>
      </c>
      <c r="P69" s="100">
        <v>0.49</v>
      </c>
      <c r="Q69" s="100">
        <v>29.23</v>
      </c>
      <c r="R69" s="6"/>
      <c r="S69" s="6"/>
      <c r="T69" s="156"/>
      <c r="U69" s="6"/>
    </row>
    <row r="70" spans="1:21" customFormat="1">
      <c r="A70" s="163" t="s">
        <v>2701</v>
      </c>
      <c r="B70" s="100">
        <v>3.53</v>
      </c>
      <c r="C70" s="100">
        <v>10.82</v>
      </c>
      <c r="D70" s="100">
        <v>7.49</v>
      </c>
      <c r="E70" s="100">
        <v>5.34</v>
      </c>
      <c r="F70" s="100">
        <v>11.77</v>
      </c>
      <c r="G70" s="100">
        <v>28.99</v>
      </c>
      <c r="H70" s="100">
        <v>12.94</v>
      </c>
      <c r="I70" s="100">
        <v>10.06</v>
      </c>
      <c r="J70" s="100">
        <v>4.5</v>
      </c>
      <c r="K70" s="100">
        <v>225.08</v>
      </c>
      <c r="L70" s="100">
        <v>31.21</v>
      </c>
      <c r="M70" s="100">
        <v>53.26</v>
      </c>
      <c r="N70" s="100">
        <v>198.8</v>
      </c>
      <c r="O70" s="100">
        <v>0</v>
      </c>
      <c r="P70" s="100">
        <v>0.51</v>
      </c>
      <c r="Q70" s="100">
        <v>29.2</v>
      </c>
      <c r="R70" s="6"/>
      <c r="S70" s="6"/>
      <c r="T70" s="156"/>
      <c r="U70" s="6"/>
    </row>
    <row r="71" spans="1:21" customFormat="1">
      <c r="A71" s="163" t="s">
        <v>2702</v>
      </c>
      <c r="B71" s="100">
        <v>3.36</v>
      </c>
      <c r="C71" s="100">
        <v>10.79</v>
      </c>
      <c r="D71" s="100">
        <v>7.34</v>
      </c>
      <c r="E71" s="100">
        <v>5.0999999999999996</v>
      </c>
      <c r="F71" s="100">
        <v>5.95</v>
      </c>
      <c r="G71" s="100">
        <v>28.99</v>
      </c>
      <c r="H71" s="100">
        <v>12.94</v>
      </c>
      <c r="I71" s="100">
        <v>9.9499999999999993</v>
      </c>
      <c r="J71" s="100">
        <v>4.4000000000000004</v>
      </c>
      <c r="K71" s="100">
        <v>206.12</v>
      </c>
      <c r="L71" s="100">
        <v>31.75</v>
      </c>
      <c r="M71" s="100">
        <v>53.46</v>
      </c>
      <c r="N71" s="100">
        <v>226.6</v>
      </c>
      <c r="O71" s="100">
        <v>0</v>
      </c>
      <c r="P71" s="100">
        <v>0.52</v>
      </c>
      <c r="Q71" s="100">
        <v>29.14</v>
      </c>
      <c r="R71" s="6"/>
      <c r="S71" s="6"/>
      <c r="T71" s="156"/>
      <c r="U71" s="6"/>
    </row>
    <row r="72" spans="1:21" customFormat="1">
      <c r="A72" s="163" t="s">
        <v>2703</v>
      </c>
      <c r="B72" s="100">
        <v>3.41</v>
      </c>
      <c r="C72" s="100">
        <v>10.65</v>
      </c>
      <c r="D72" s="100">
        <v>7.3</v>
      </c>
      <c r="E72" s="100">
        <v>5.38</v>
      </c>
      <c r="F72" s="100">
        <v>5.7</v>
      </c>
      <c r="G72" s="100">
        <v>28.43</v>
      </c>
      <c r="H72" s="100">
        <v>13.16</v>
      </c>
      <c r="I72" s="100">
        <v>10.34</v>
      </c>
      <c r="J72" s="100">
        <v>4.24</v>
      </c>
      <c r="K72" s="100">
        <v>223.4</v>
      </c>
      <c r="L72" s="100">
        <v>31.8</v>
      </c>
      <c r="M72" s="100">
        <v>53.13</v>
      </c>
      <c r="N72" s="100">
        <v>311.3</v>
      </c>
      <c r="O72" s="100">
        <v>0</v>
      </c>
      <c r="P72" s="100">
        <v>0.51</v>
      </c>
      <c r="Q72" s="100">
        <v>29.18</v>
      </c>
      <c r="R72" s="6"/>
      <c r="S72" s="6"/>
      <c r="T72" s="156"/>
      <c r="U72" s="6"/>
    </row>
    <row r="73" spans="1:21" customFormat="1">
      <c r="A73" s="163" t="s">
        <v>2704</v>
      </c>
      <c r="B73" s="100">
        <v>3.59</v>
      </c>
      <c r="C73" s="100">
        <v>9.39</v>
      </c>
      <c r="D73" s="100">
        <v>6.79</v>
      </c>
      <c r="E73" s="100">
        <v>5.49</v>
      </c>
      <c r="F73" s="100">
        <v>8.15</v>
      </c>
      <c r="G73" s="100">
        <v>26.33</v>
      </c>
      <c r="H73" s="100">
        <v>13.96</v>
      </c>
      <c r="I73" s="100">
        <v>10.45</v>
      </c>
      <c r="J73" s="100">
        <v>5.37</v>
      </c>
      <c r="K73" s="100">
        <v>240.38</v>
      </c>
      <c r="L73" s="100">
        <v>31.74</v>
      </c>
      <c r="M73" s="100">
        <v>52.81</v>
      </c>
      <c r="N73" s="100">
        <v>284.8</v>
      </c>
      <c r="O73" s="100">
        <v>0</v>
      </c>
      <c r="P73" s="100">
        <v>0.5</v>
      </c>
      <c r="Q73" s="100">
        <v>29.27</v>
      </c>
      <c r="R73" s="6"/>
      <c r="S73" s="6"/>
      <c r="T73" s="156"/>
      <c r="U73" s="6"/>
    </row>
    <row r="74" spans="1:21" customFormat="1">
      <c r="A74" s="163" t="s">
        <v>2705</v>
      </c>
      <c r="B74" s="100">
        <v>3.5</v>
      </c>
      <c r="C74" s="100">
        <v>8.2200000000000006</v>
      </c>
      <c r="D74" s="100">
        <v>6.11</v>
      </c>
      <c r="E74" s="100">
        <v>6.21</v>
      </c>
      <c r="F74" s="100">
        <v>12.9</v>
      </c>
      <c r="G74" s="100">
        <v>26.33</v>
      </c>
      <c r="H74" s="100">
        <v>13.96</v>
      </c>
      <c r="I74" s="100">
        <v>10.31</v>
      </c>
      <c r="J74" s="100">
        <v>4.43</v>
      </c>
      <c r="K74" s="100">
        <v>245.9</v>
      </c>
      <c r="L74" s="100">
        <v>31.82</v>
      </c>
      <c r="M74" s="100">
        <v>53.04</v>
      </c>
      <c r="N74" s="100">
        <v>241.5</v>
      </c>
      <c r="O74" s="100">
        <v>0</v>
      </c>
      <c r="P74" s="100">
        <v>0.48</v>
      </c>
      <c r="Q74" s="100">
        <v>29.36</v>
      </c>
      <c r="R74" s="6"/>
      <c r="S74" s="6"/>
      <c r="T74" s="156"/>
      <c r="U74" s="6"/>
    </row>
    <row r="75" spans="1:21" customFormat="1">
      <c r="A75" s="163" t="s">
        <v>2706</v>
      </c>
      <c r="B75" s="100">
        <v>3.42</v>
      </c>
      <c r="C75" s="100">
        <v>9.2200000000000006</v>
      </c>
      <c r="D75" s="100">
        <v>6.57</v>
      </c>
      <c r="E75" s="100">
        <v>7.05</v>
      </c>
      <c r="F75" s="100">
        <v>23.3</v>
      </c>
      <c r="G75" s="100">
        <v>26.33</v>
      </c>
      <c r="H75" s="100">
        <v>13.96</v>
      </c>
      <c r="I75" s="100">
        <v>10.33</v>
      </c>
      <c r="J75" s="100">
        <v>2.2799999999999998</v>
      </c>
      <c r="K75" s="100">
        <v>215.33</v>
      </c>
      <c r="L75" s="100">
        <v>32.31</v>
      </c>
      <c r="M75" s="100">
        <v>52.63</v>
      </c>
      <c r="N75" s="100">
        <v>209.6</v>
      </c>
      <c r="O75" s="100">
        <v>0</v>
      </c>
      <c r="P75" s="100">
        <v>0.5</v>
      </c>
      <c r="Q75" s="100">
        <v>29.38</v>
      </c>
      <c r="R75" s="6"/>
      <c r="S75" s="6"/>
      <c r="T75" s="156"/>
      <c r="U75" s="6"/>
    </row>
    <row r="76" spans="1:21" customFormat="1">
      <c r="A76" s="163" t="s">
        <v>2707</v>
      </c>
      <c r="B76" s="100">
        <v>3.12</v>
      </c>
      <c r="C76" s="100">
        <v>9.58</v>
      </c>
      <c r="D76" s="100">
        <v>6.51</v>
      </c>
      <c r="E76" s="100">
        <v>7</v>
      </c>
      <c r="F76" s="100">
        <v>24.05</v>
      </c>
      <c r="G76" s="100">
        <v>27.72</v>
      </c>
      <c r="H76" s="100">
        <v>14.09</v>
      </c>
      <c r="I76" s="100">
        <v>10.33</v>
      </c>
      <c r="J76" s="100">
        <v>1.38</v>
      </c>
      <c r="K76" s="100">
        <v>10.92</v>
      </c>
      <c r="L76" s="100">
        <v>32.96</v>
      </c>
      <c r="M76" s="100">
        <v>51.9</v>
      </c>
      <c r="N76" s="100">
        <v>181</v>
      </c>
      <c r="O76" s="100">
        <v>0</v>
      </c>
      <c r="P76" s="100">
        <v>0.55000000000000004</v>
      </c>
      <c r="Q76" s="100">
        <v>29.43</v>
      </c>
      <c r="R76" s="6"/>
      <c r="S76" s="6"/>
      <c r="T76" s="156"/>
      <c r="U76" s="6"/>
    </row>
    <row r="77" spans="1:21" customFormat="1">
      <c r="A77" s="163" t="s">
        <v>2708</v>
      </c>
      <c r="B77" s="100">
        <v>3.25</v>
      </c>
      <c r="C77" s="100">
        <v>12.33</v>
      </c>
      <c r="D77" s="100">
        <v>8.0500000000000007</v>
      </c>
      <c r="E77" s="100">
        <v>5.28</v>
      </c>
      <c r="F77" s="100">
        <v>28.67</v>
      </c>
      <c r="G77" s="100">
        <v>32.909999999999997</v>
      </c>
      <c r="H77" s="100">
        <v>14.55</v>
      </c>
      <c r="I77" s="100">
        <v>13.24</v>
      </c>
      <c r="J77" s="100">
        <v>2.59</v>
      </c>
      <c r="K77" s="100">
        <v>56.84</v>
      </c>
      <c r="L77" s="100">
        <v>32.35</v>
      </c>
      <c r="M77" s="100">
        <v>54.53</v>
      </c>
      <c r="N77" s="100">
        <v>162.69999999999999</v>
      </c>
      <c r="O77" s="100">
        <v>0</v>
      </c>
      <c r="P77" s="100">
        <v>0.59</v>
      </c>
      <c r="Q77" s="100">
        <v>29.3</v>
      </c>
      <c r="R77" s="6"/>
      <c r="S77" s="6"/>
      <c r="T77" s="156"/>
      <c r="U77" s="6"/>
    </row>
    <row r="78" spans="1:21" customFormat="1">
      <c r="A78" s="163" t="s">
        <v>2709</v>
      </c>
      <c r="B78" s="100">
        <v>3</v>
      </c>
      <c r="C78" s="100">
        <v>11.68</v>
      </c>
      <c r="D78" s="100">
        <v>7.51</v>
      </c>
      <c r="E78" s="100">
        <v>6.36</v>
      </c>
      <c r="F78" s="100">
        <v>26.96</v>
      </c>
      <c r="G78" s="100">
        <v>32.909999999999997</v>
      </c>
      <c r="H78" s="100">
        <v>14.55</v>
      </c>
      <c r="I78" s="100">
        <v>17.13</v>
      </c>
      <c r="J78" s="100">
        <v>2.4900000000000002</v>
      </c>
      <c r="K78" s="100">
        <v>248.49</v>
      </c>
      <c r="L78" s="100">
        <v>32.04</v>
      </c>
      <c r="M78" s="100">
        <v>54.81</v>
      </c>
      <c r="N78" s="100">
        <v>145.19999999999999</v>
      </c>
      <c r="O78" s="100">
        <v>0</v>
      </c>
      <c r="P78" s="100">
        <v>0.54</v>
      </c>
      <c r="Q78" s="100">
        <v>29.24</v>
      </c>
      <c r="R78" s="6"/>
      <c r="S78" s="6"/>
      <c r="T78" s="156"/>
      <c r="U78" s="6"/>
    </row>
    <row r="79" spans="1:21" customFormat="1">
      <c r="A79" s="163" t="s">
        <v>2710</v>
      </c>
      <c r="B79" s="100">
        <v>2.61</v>
      </c>
      <c r="C79" s="100">
        <v>11.18</v>
      </c>
      <c r="D79" s="100">
        <v>6.94</v>
      </c>
      <c r="E79" s="100">
        <v>6.59</v>
      </c>
      <c r="F79" s="100">
        <v>28.5</v>
      </c>
      <c r="G79" s="100">
        <v>32.909999999999997</v>
      </c>
      <c r="H79" s="100">
        <v>14.55</v>
      </c>
      <c r="I79" s="100">
        <v>11.02</v>
      </c>
      <c r="J79" s="100">
        <v>2.81</v>
      </c>
      <c r="K79" s="100">
        <v>48.69</v>
      </c>
      <c r="L79" s="100">
        <v>31.75</v>
      </c>
      <c r="M79" s="100">
        <v>56.68</v>
      </c>
      <c r="N79" s="100">
        <v>108.7</v>
      </c>
      <c r="O79" s="100">
        <v>0</v>
      </c>
      <c r="P79" s="100">
        <v>0.56000000000000005</v>
      </c>
      <c r="Q79" s="100">
        <v>29.23</v>
      </c>
      <c r="R79" s="6"/>
      <c r="S79" s="6"/>
      <c r="T79" s="156"/>
      <c r="U79" s="6"/>
    </row>
    <row r="80" spans="1:21" customFormat="1">
      <c r="A80" s="163" t="s">
        <v>2711</v>
      </c>
      <c r="B80" s="100">
        <v>3.59</v>
      </c>
      <c r="C80" s="100">
        <v>16.55</v>
      </c>
      <c r="D80" s="100">
        <v>10.53</v>
      </c>
      <c r="E80" s="100">
        <v>6.99</v>
      </c>
      <c r="F80" s="100">
        <v>26.03</v>
      </c>
      <c r="G80" s="100">
        <v>33.479999999999997</v>
      </c>
      <c r="H80" s="100">
        <v>14.83</v>
      </c>
      <c r="I80" s="100">
        <v>12.34</v>
      </c>
      <c r="J80" s="100">
        <v>3.86</v>
      </c>
      <c r="K80" s="100">
        <v>31.4</v>
      </c>
      <c r="L80" s="100">
        <v>31.25</v>
      </c>
      <c r="M80" s="100">
        <v>59.08</v>
      </c>
      <c r="N80" s="100">
        <v>53.4</v>
      </c>
      <c r="O80" s="100">
        <v>0</v>
      </c>
      <c r="P80" s="100">
        <v>0.71</v>
      </c>
      <c r="Q80" s="100">
        <v>29.18</v>
      </c>
      <c r="R80" s="6"/>
      <c r="S80" s="6"/>
      <c r="T80" s="156"/>
      <c r="U80" s="6"/>
    </row>
    <row r="81" spans="1:21" customFormat="1">
      <c r="A81" s="163" t="s">
        <v>2712</v>
      </c>
      <c r="B81" s="100">
        <v>4.3600000000000003</v>
      </c>
      <c r="C81" s="100">
        <v>19.62</v>
      </c>
      <c r="D81" s="100">
        <v>12.75</v>
      </c>
      <c r="E81" s="100">
        <v>6.98</v>
      </c>
      <c r="F81" s="100">
        <v>14.74</v>
      </c>
      <c r="G81" s="100">
        <v>35.61</v>
      </c>
      <c r="H81" s="100">
        <v>15.9</v>
      </c>
      <c r="I81" s="100">
        <v>12.33</v>
      </c>
      <c r="J81" s="100">
        <v>2.41</v>
      </c>
      <c r="K81" s="100">
        <v>79.87</v>
      </c>
      <c r="L81" s="100">
        <v>29.76</v>
      </c>
      <c r="M81" s="100">
        <v>66.13</v>
      </c>
      <c r="N81" s="100">
        <v>34.4</v>
      </c>
      <c r="O81" s="100">
        <v>0</v>
      </c>
      <c r="P81" s="100">
        <v>0.66</v>
      </c>
      <c r="Q81" s="100">
        <v>29.11</v>
      </c>
      <c r="R81" s="6"/>
      <c r="S81" s="6"/>
      <c r="T81" s="156"/>
      <c r="U81" s="6"/>
    </row>
    <row r="82" spans="1:21" customFormat="1">
      <c r="A82" s="163" t="s">
        <v>2713</v>
      </c>
      <c r="B82" s="100">
        <v>4.21</v>
      </c>
      <c r="C82" s="100">
        <v>17.350000000000001</v>
      </c>
      <c r="D82" s="100">
        <v>11.44</v>
      </c>
      <c r="E82" s="100">
        <v>6.3</v>
      </c>
      <c r="F82" s="100">
        <v>10.63</v>
      </c>
      <c r="G82" s="100">
        <v>35.61</v>
      </c>
      <c r="H82" s="100">
        <v>15.9</v>
      </c>
      <c r="I82" s="100">
        <v>12.35</v>
      </c>
      <c r="J82" s="100">
        <v>2.33</v>
      </c>
      <c r="K82" s="100">
        <v>110.84</v>
      </c>
      <c r="L82" s="100">
        <v>29.34</v>
      </c>
      <c r="M82" s="100">
        <v>66.180000000000007</v>
      </c>
      <c r="N82" s="100">
        <v>28.2</v>
      </c>
      <c r="O82" s="100">
        <v>0</v>
      </c>
      <c r="P82" s="100">
        <v>0.69</v>
      </c>
      <c r="Q82" s="100">
        <v>29.05</v>
      </c>
      <c r="R82" s="6"/>
      <c r="S82" s="6"/>
      <c r="T82" s="156"/>
      <c r="U82" s="6"/>
    </row>
    <row r="83" spans="1:21" customFormat="1">
      <c r="A83" s="163" t="s">
        <v>2714</v>
      </c>
      <c r="B83" s="100">
        <v>3.71</v>
      </c>
      <c r="C83" s="100">
        <v>14.36</v>
      </c>
      <c r="D83" s="100">
        <v>9.48</v>
      </c>
      <c r="E83" s="100">
        <v>6.35</v>
      </c>
      <c r="F83" s="100">
        <v>13.06</v>
      </c>
      <c r="G83" s="100">
        <v>35.61</v>
      </c>
      <c r="H83" s="100">
        <v>15.9</v>
      </c>
      <c r="I83" s="100">
        <v>10.99</v>
      </c>
      <c r="J83" s="100">
        <v>3.74</v>
      </c>
      <c r="K83" s="100">
        <v>151.4</v>
      </c>
      <c r="L83" s="100">
        <v>28.26</v>
      </c>
      <c r="M83" s="100">
        <v>71.34</v>
      </c>
      <c r="N83" s="100">
        <v>24.1</v>
      </c>
      <c r="O83" s="100">
        <v>0</v>
      </c>
      <c r="P83" s="100">
        <v>0.6</v>
      </c>
      <c r="Q83" s="100">
        <v>29.01</v>
      </c>
      <c r="R83" s="6"/>
      <c r="S83" s="6"/>
      <c r="T83" s="156"/>
      <c r="U83" s="6"/>
    </row>
    <row r="84" spans="1:21" customFormat="1">
      <c r="A84" s="163" t="s">
        <v>2715</v>
      </c>
      <c r="B84" s="100">
        <v>3.44</v>
      </c>
      <c r="C84" s="100">
        <v>12.89</v>
      </c>
      <c r="D84" s="100">
        <v>8.5</v>
      </c>
      <c r="E84" s="100">
        <v>5.98</v>
      </c>
      <c r="F84" s="100">
        <v>4.42</v>
      </c>
      <c r="G84" s="100">
        <v>36.11</v>
      </c>
      <c r="H84" s="100">
        <v>16.68</v>
      </c>
      <c r="I84" s="100">
        <v>13.71</v>
      </c>
      <c r="J84" s="100">
        <v>4.33</v>
      </c>
      <c r="K84" s="100">
        <v>138.32</v>
      </c>
      <c r="L84" s="100">
        <v>27.01</v>
      </c>
      <c r="M84" s="100">
        <v>79.510000000000005</v>
      </c>
      <c r="N84" s="100">
        <v>22.6</v>
      </c>
      <c r="O84" s="100">
        <v>0.2</v>
      </c>
      <c r="P84" s="100">
        <v>0.6</v>
      </c>
      <c r="Q84" s="100">
        <v>28.98</v>
      </c>
      <c r="R84" s="6"/>
      <c r="S84" s="6"/>
      <c r="T84" s="156"/>
      <c r="U84" s="6"/>
    </row>
    <row r="85" spans="1:21" customFormat="1">
      <c r="A85" s="163" t="s">
        <v>2716</v>
      </c>
      <c r="B85" s="100">
        <v>3.43</v>
      </c>
      <c r="C85" s="100">
        <v>14.89</v>
      </c>
      <c r="D85" s="100">
        <v>9.5399999999999991</v>
      </c>
      <c r="E85" s="100">
        <v>6.81</v>
      </c>
      <c r="F85" s="100">
        <v>8.6</v>
      </c>
      <c r="G85" s="100">
        <v>37.979999999999997</v>
      </c>
      <c r="H85" s="100">
        <v>19.57</v>
      </c>
      <c r="I85" s="100">
        <v>13.5</v>
      </c>
      <c r="J85" s="100">
        <v>4.4800000000000004</v>
      </c>
      <c r="K85" s="100">
        <v>142.44999999999999</v>
      </c>
      <c r="L85" s="100">
        <v>27.36</v>
      </c>
      <c r="M85" s="100">
        <v>77.680000000000007</v>
      </c>
      <c r="N85" s="100">
        <v>23.3</v>
      </c>
      <c r="O85" s="100">
        <v>0</v>
      </c>
      <c r="P85" s="100">
        <v>0.66</v>
      </c>
      <c r="Q85" s="100">
        <v>28.98</v>
      </c>
      <c r="R85" s="6"/>
      <c r="S85" s="6"/>
      <c r="T85" s="156"/>
      <c r="U85" s="6"/>
    </row>
    <row r="86" spans="1:21" customFormat="1">
      <c r="A86" s="163" t="s">
        <v>2717</v>
      </c>
      <c r="B86" s="100">
        <v>4.2</v>
      </c>
      <c r="C86" s="100">
        <v>13.98</v>
      </c>
      <c r="D86" s="100">
        <v>9.68</v>
      </c>
      <c r="E86" s="100">
        <v>6.81</v>
      </c>
      <c r="F86" s="100">
        <v>8.86</v>
      </c>
      <c r="G86" s="100">
        <v>37.979999999999997</v>
      </c>
      <c r="H86" s="100">
        <v>19.57</v>
      </c>
      <c r="I86" s="100">
        <v>13.19</v>
      </c>
      <c r="J86" s="100">
        <v>2.92</v>
      </c>
      <c r="K86" s="100">
        <v>104.25</v>
      </c>
      <c r="L86" s="100">
        <v>27.74</v>
      </c>
      <c r="M86" s="100">
        <v>74.5</v>
      </c>
      <c r="N86" s="100">
        <v>23.8</v>
      </c>
      <c r="O86" s="100">
        <v>0</v>
      </c>
      <c r="P86" s="100">
        <v>0.71</v>
      </c>
      <c r="Q86" s="100">
        <v>29.13</v>
      </c>
      <c r="R86" s="6"/>
      <c r="S86" s="6"/>
      <c r="T86" s="156"/>
      <c r="U86" s="6"/>
    </row>
    <row r="87" spans="1:21" customFormat="1">
      <c r="A87" s="163" t="s">
        <v>2718</v>
      </c>
      <c r="B87" s="100">
        <v>4.8099999999999996</v>
      </c>
      <c r="C87" s="100">
        <v>14.6</v>
      </c>
      <c r="D87" s="100">
        <v>10.49</v>
      </c>
      <c r="E87" s="100">
        <v>6.63</v>
      </c>
      <c r="F87" s="100">
        <v>8.0399999999999991</v>
      </c>
      <c r="G87" s="100">
        <v>37.979999999999997</v>
      </c>
      <c r="H87" s="100">
        <v>19.57</v>
      </c>
      <c r="I87" s="100">
        <v>13.88</v>
      </c>
      <c r="J87" s="100">
        <v>4.38</v>
      </c>
      <c r="K87" s="100">
        <v>149.52000000000001</v>
      </c>
      <c r="L87" s="100">
        <v>27.81</v>
      </c>
      <c r="M87" s="100">
        <v>75.31</v>
      </c>
      <c r="N87" s="100">
        <v>23.5</v>
      </c>
      <c r="O87" s="100">
        <v>0</v>
      </c>
      <c r="P87" s="100">
        <v>0.75</v>
      </c>
      <c r="Q87" s="100">
        <v>29.14</v>
      </c>
      <c r="R87" s="6"/>
      <c r="S87" s="6"/>
      <c r="T87" s="156"/>
      <c r="U87" s="6"/>
    </row>
    <row r="88" spans="1:21" customFormat="1">
      <c r="A88" s="163" t="s">
        <v>2719</v>
      </c>
      <c r="B88" s="100">
        <v>4.29</v>
      </c>
      <c r="C88" s="100">
        <v>13.91</v>
      </c>
      <c r="D88" s="100">
        <v>9.7100000000000009</v>
      </c>
      <c r="E88" s="100">
        <v>6.38</v>
      </c>
      <c r="F88" s="100">
        <v>7.98</v>
      </c>
      <c r="G88" s="100">
        <v>38.549999999999997</v>
      </c>
      <c r="H88" s="100">
        <v>19.86</v>
      </c>
      <c r="I88" s="100">
        <v>14.33</v>
      </c>
      <c r="J88" s="100">
        <v>3.48</v>
      </c>
      <c r="K88" s="100">
        <v>129.56</v>
      </c>
      <c r="L88" s="100">
        <v>28.05</v>
      </c>
      <c r="M88" s="100">
        <v>70.930000000000007</v>
      </c>
      <c r="N88" s="100">
        <v>23.6</v>
      </c>
      <c r="O88" s="100">
        <v>0</v>
      </c>
      <c r="P88" s="100">
        <v>0.73</v>
      </c>
      <c r="Q88" s="100">
        <v>29.18</v>
      </c>
      <c r="R88" s="6"/>
      <c r="S88" s="6"/>
      <c r="T88" s="156"/>
      <c r="U88" s="6"/>
    </row>
    <row r="89" spans="1:21" customFormat="1">
      <c r="A89" s="163" t="s">
        <v>2720</v>
      </c>
      <c r="B89" s="100">
        <v>6.05</v>
      </c>
      <c r="C89" s="100">
        <v>14.65</v>
      </c>
      <c r="D89" s="100">
        <v>11.51</v>
      </c>
      <c r="E89" s="100">
        <v>6.52</v>
      </c>
      <c r="F89" s="100">
        <v>5.43</v>
      </c>
      <c r="G89" s="100">
        <v>40.65</v>
      </c>
      <c r="H89" s="100">
        <v>20.94</v>
      </c>
      <c r="I89" s="100">
        <v>15.32</v>
      </c>
      <c r="J89" s="100">
        <v>3.48</v>
      </c>
      <c r="K89" s="100">
        <v>113.05</v>
      </c>
      <c r="L89" s="100">
        <v>27.88</v>
      </c>
      <c r="M89" s="100">
        <v>70.95</v>
      </c>
      <c r="N89" s="100">
        <v>23.2</v>
      </c>
      <c r="O89" s="100">
        <v>0</v>
      </c>
      <c r="P89" s="100">
        <v>0.77</v>
      </c>
      <c r="Q89" s="100">
        <v>29.12</v>
      </c>
      <c r="R89" s="6"/>
      <c r="S89" s="6"/>
      <c r="T89" s="156"/>
      <c r="U89" s="6"/>
    </row>
    <row r="90" spans="1:21" customFormat="1">
      <c r="A90" s="163" t="s">
        <v>2721</v>
      </c>
      <c r="B90" s="100">
        <v>5.5</v>
      </c>
      <c r="C90" s="100">
        <v>13.64</v>
      </c>
      <c r="D90" s="100">
        <v>10.54</v>
      </c>
      <c r="E90" s="100">
        <v>6.39</v>
      </c>
      <c r="F90" s="100">
        <v>7.13</v>
      </c>
      <c r="G90" s="100">
        <v>40.65</v>
      </c>
      <c r="H90" s="100">
        <v>20.94</v>
      </c>
      <c r="I90" s="100">
        <v>15.55</v>
      </c>
      <c r="J90" s="100">
        <v>2.63</v>
      </c>
      <c r="K90" s="100">
        <v>139.08000000000001</v>
      </c>
      <c r="L90" s="100">
        <v>27.46</v>
      </c>
      <c r="M90" s="100">
        <v>71.41</v>
      </c>
      <c r="N90" s="100">
        <v>23.6</v>
      </c>
      <c r="O90" s="100">
        <v>0</v>
      </c>
      <c r="P90" s="100">
        <v>0.72</v>
      </c>
      <c r="Q90" s="100">
        <v>29.06</v>
      </c>
      <c r="R90" s="6"/>
      <c r="S90" s="6"/>
      <c r="T90" s="156"/>
      <c r="U90" s="6"/>
    </row>
    <row r="91" spans="1:21" customFormat="1">
      <c r="A91" s="163" t="s">
        <v>2722</v>
      </c>
      <c r="B91" s="100">
        <v>5.32</v>
      </c>
      <c r="C91" s="100">
        <v>14.52</v>
      </c>
      <c r="D91" s="100">
        <v>10.85</v>
      </c>
      <c r="E91" s="100">
        <v>5.78</v>
      </c>
      <c r="F91" s="100">
        <v>6.56</v>
      </c>
      <c r="G91" s="100">
        <v>40.65</v>
      </c>
      <c r="H91" s="100">
        <v>20.94</v>
      </c>
      <c r="I91" s="100">
        <v>15.8</v>
      </c>
      <c r="J91" s="100">
        <v>3.07</v>
      </c>
      <c r="K91" s="100">
        <v>147.58000000000001</v>
      </c>
      <c r="L91" s="100">
        <v>27.19</v>
      </c>
      <c r="M91" s="100">
        <v>73.88</v>
      </c>
      <c r="N91" s="100">
        <v>23.2</v>
      </c>
      <c r="O91" s="100">
        <v>0</v>
      </c>
      <c r="P91" s="100">
        <v>0.74</v>
      </c>
      <c r="Q91" s="100">
        <v>28.95</v>
      </c>
      <c r="R91" s="6"/>
      <c r="S91" s="6"/>
      <c r="T91" s="156"/>
      <c r="U91" s="6"/>
    </row>
    <row r="92" spans="1:21" customFormat="1">
      <c r="A92" s="163" t="s">
        <v>2723</v>
      </c>
      <c r="B92" s="100">
        <v>5.01</v>
      </c>
      <c r="C92" s="100">
        <v>14.27</v>
      </c>
      <c r="D92" s="100">
        <v>10.48</v>
      </c>
      <c r="E92" s="100">
        <v>6.2</v>
      </c>
      <c r="F92" s="100">
        <v>7.59</v>
      </c>
      <c r="G92" s="100">
        <v>41.27</v>
      </c>
      <c r="H92" s="100">
        <v>20.94</v>
      </c>
      <c r="I92" s="100">
        <v>15.16</v>
      </c>
      <c r="J92" s="100">
        <v>4.8</v>
      </c>
      <c r="K92" s="100">
        <v>139.44</v>
      </c>
      <c r="L92" s="100">
        <v>27.02</v>
      </c>
      <c r="M92" s="100">
        <v>75.78</v>
      </c>
      <c r="N92" s="100">
        <v>23.2</v>
      </c>
      <c r="O92" s="100">
        <v>0</v>
      </c>
      <c r="P92" s="100">
        <v>0.73</v>
      </c>
      <c r="Q92" s="100">
        <v>28.91</v>
      </c>
      <c r="R92" s="6"/>
      <c r="S92" s="6"/>
      <c r="T92" s="156"/>
      <c r="U92" s="6"/>
    </row>
    <row r="93" spans="1:21" customFormat="1">
      <c r="A93" s="163" t="s">
        <v>2724</v>
      </c>
      <c r="B93" s="100">
        <v>4.93</v>
      </c>
      <c r="C93" s="100">
        <v>13.81</v>
      </c>
      <c r="D93" s="100">
        <v>10.17</v>
      </c>
      <c r="E93" s="100">
        <v>5.44</v>
      </c>
      <c r="F93" s="100">
        <v>7.24</v>
      </c>
      <c r="G93" s="100">
        <v>43.58</v>
      </c>
      <c r="H93" s="100">
        <v>20.97</v>
      </c>
      <c r="I93" s="100">
        <v>15.16</v>
      </c>
      <c r="J93" s="100">
        <v>3.86</v>
      </c>
      <c r="K93" s="100">
        <v>157.72999999999999</v>
      </c>
      <c r="L93" s="100">
        <v>26.92</v>
      </c>
      <c r="M93" s="100">
        <v>77.28</v>
      </c>
      <c r="N93" s="100">
        <v>23.2</v>
      </c>
      <c r="O93" s="100">
        <v>0</v>
      </c>
      <c r="P93" s="100">
        <v>0.72</v>
      </c>
      <c r="Q93" s="100">
        <v>28.86</v>
      </c>
      <c r="R93" s="6"/>
      <c r="S93" s="6"/>
      <c r="T93" s="156"/>
      <c r="U93" s="6"/>
    </row>
    <row r="94" spans="1:21" customFormat="1">
      <c r="A94" s="163" t="s">
        <v>2725</v>
      </c>
      <c r="B94" s="100">
        <v>5.16</v>
      </c>
      <c r="C94" s="100">
        <v>13.07</v>
      </c>
      <c r="D94" s="100">
        <v>9.9700000000000006</v>
      </c>
      <c r="E94" s="100">
        <v>5.21</v>
      </c>
      <c r="F94" s="100">
        <v>6.75</v>
      </c>
      <c r="G94" s="100">
        <v>43.58</v>
      </c>
      <c r="H94" s="100">
        <v>20.97</v>
      </c>
      <c r="I94" s="100">
        <v>14.89</v>
      </c>
      <c r="J94" s="100">
        <v>3.41</v>
      </c>
      <c r="K94" s="100">
        <v>187.64</v>
      </c>
      <c r="L94" s="100">
        <v>26.83</v>
      </c>
      <c r="M94" s="100">
        <v>78.28</v>
      </c>
      <c r="N94" s="100">
        <v>23.2</v>
      </c>
      <c r="O94" s="100">
        <v>0</v>
      </c>
      <c r="P94" s="100">
        <v>0.73</v>
      </c>
      <c r="Q94" s="100">
        <v>28.86</v>
      </c>
      <c r="R94" s="6"/>
      <c r="S94" s="6"/>
      <c r="T94" s="156"/>
      <c r="U94" s="6"/>
    </row>
    <row r="95" spans="1:21" customFormat="1">
      <c r="A95" s="163" t="s">
        <v>2726</v>
      </c>
      <c r="B95" s="100">
        <v>5.05</v>
      </c>
      <c r="C95" s="100">
        <v>12.9</v>
      </c>
      <c r="D95" s="100">
        <v>9.7899999999999991</v>
      </c>
      <c r="E95" s="100">
        <v>5.46</v>
      </c>
      <c r="F95" s="100">
        <v>6.72</v>
      </c>
      <c r="G95" s="100">
        <v>43.58</v>
      </c>
      <c r="H95" s="100">
        <v>20.97</v>
      </c>
      <c r="I95" s="100">
        <v>14.91</v>
      </c>
      <c r="J95" s="100">
        <v>2.77</v>
      </c>
      <c r="K95" s="100">
        <v>139.77000000000001</v>
      </c>
      <c r="L95" s="100">
        <v>26.67</v>
      </c>
      <c r="M95" s="100">
        <v>79.88</v>
      </c>
      <c r="N95" s="100">
        <v>23.3</v>
      </c>
      <c r="O95" s="100">
        <v>0</v>
      </c>
      <c r="P95" s="100">
        <v>0.72</v>
      </c>
      <c r="Q95" s="100">
        <v>28.85</v>
      </c>
      <c r="R95" s="6"/>
      <c r="S95" s="6"/>
      <c r="T95" s="156"/>
      <c r="U95" s="6"/>
    </row>
    <row r="96" spans="1:21" customFormat="1">
      <c r="A96" s="163" t="s">
        <v>2727</v>
      </c>
      <c r="B96" s="100">
        <v>4.87</v>
      </c>
      <c r="C96" s="100">
        <v>13.24</v>
      </c>
      <c r="D96" s="100">
        <v>9.83</v>
      </c>
      <c r="E96" s="100">
        <v>5.46</v>
      </c>
      <c r="F96" s="100">
        <v>7.76</v>
      </c>
      <c r="G96" s="100">
        <v>42.1</v>
      </c>
      <c r="H96" s="100">
        <v>20.27</v>
      </c>
      <c r="I96" s="100">
        <v>14.73</v>
      </c>
      <c r="J96" s="100">
        <v>2.96</v>
      </c>
      <c r="K96" s="100">
        <v>192.84</v>
      </c>
      <c r="L96" s="100">
        <v>26.81</v>
      </c>
      <c r="M96" s="100">
        <v>77.989999999999995</v>
      </c>
      <c r="N96" s="100">
        <v>23.1</v>
      </c>
      <c r="O96" s="100">
        <v>0</v>
      </c>
      <c r="P96" s="100">
        <v>0.72</v>
      </c>
      <c r="Q96" s="100">
        <v>28.82</v>
      </c>
      <c r="R96" s="6"/>
      <c r="S96" s="6"/>
      <c r="T96" s="156"/>
      <c r="U96" s="6"/>
    </row>
    <row r="97" spans="1:28" customFormat="1">
      <c r="A97" s="163" t="s">
        <v>2728</v>
      </c>
      <c r="B97" s="100">
        <v>5.27</v>
      </c>
      <c r="C97" s="100">
        <v>13.19</v>
      </c>
      <c r="D97" s="100">
        <v>10.119999999999999</v>
      </c>
      <c r="E97" s="100">
        <v>5.57</v>
      </c>
      <c r="F97" s="100">
        <v>3.92</v>
      </c>
      <c r="G97" s="100">
        <v>36.590000000000003</v>
      </c>
      <c r="H97" s="100">
        <v>17.68</v>
      </c>
      <c r="I97" s="100">
        <v>14.6</v>
      </c>
      <c r="J97" s="100">
        <v>4.7</v>
      </c>
      <c r="K97" s="100">
        <v>216.08</v>
      </c>
      <c r="L97" s="100">
        <v>26.93</v>
      </c>
      <c r="M97" s="100">
        <v>77.599999999999994</v>
      </c>
      <c r="N97" s="100">
        <v>23.2</v>
      </c>
      <c r="O97" s="100">
        <v>0</v>
      </c>
      <c r="P97" s="100">
        <v>0.73</v>
      </c>
      <c r="Q97" s="100">
        <v>28.83</v>
      </c>
      <c r="R97" s="6"/>
      <c r="S97" s="6"/>
      <c r="T97" s="156"/>
      <c r="U97" s="6"/>
    </row>
    <row r="98" spans="1:28" customFormat="1">
      <c r="A98" s="163" t="s">
        <v>2729</v>
      </c>
      <c r="B98" s="100">
        <v>5.84</v>
      </c>
      <c r="C98" s="100">
        <v>12.96</v>
      </c>
      <c r="D98" s="100">
        <v>10.46</v>
      </c>
      <c r="E98" s="100">
        <v>5.65</v>
      </c>
      <c r="F98" s="100">
        <v>3.26</v>
      </c>
      <c r="G98" s="100">
        <v>36.590000000000003</v>
      </c>
      <c r="H98" s="100">
        <v>17.68</v>
      </c>
      <c r="I98" s="100">
        <v>14.64</v>
      </c>
      <c r="J98" s="100">
        <v>5.81</v>
      </c>
      <c r="K98" s="100">
        <v>221.63</v>
      </c>
      <c r="L98" s="100">
        <v>26.7</v>
      </c>
      <c r="M98" s="100">
        <v>78.28</v>
      </c>
      <c r="N98" s="100">
        <v>23.5</v>
      </c>
      <c r="O98" s="100">
        <v>0</v>
      </c>
      <c r="P98" s="100">
        <v>0.72</v>
      </c>
      <c r="Q98" s="100">
        <v>28.77</v>
      </c>
      <c r="R98" s="6"/>
      <c r="S98" s="6"/>
      <c r="T98" s="156"/>
      <c r="U98" s="6"/>
    </row>
    <row r="99" spans="1:28" customFormat="1">
      <c r="A99" s="163" t="s">
        <v>2730</v>
      </c>
      <c r="B99" s="100">
        <v>6.01</v>
      </c>
      <c r="C99" s="100">
        <v>11.65</v>
      </c>
      <c r="D99" s="100">
        <v>9.91</v>
      </c>
      <c r="E99" s="100">
        <v>5.53</v>
      </c>
      <c r="F99" s="100">
        <v>4.2699999999999996</v>
      </c>
      <c r="G99" s="100">
        <v>36.590000000000003</v>
      </c>
      <c r="H99" s="100">
        <v>17.68</v>
      </c>
      <c r="I99" s="100">
        <v>14.86</v>
      </c>
      <c r="J99" s="100">
        <v>5.0599999999999996</v>
      </c>
      <c r="K99" s="100">
        <v>199.22</v>
      </c>
      <c r="L99" s="100">
        <v>26.76</v>
      </c>
      <c r="M99" s="100">
        <v>77.64</v>
      </c>
      <c r="N99" s="100">
        <v>23.4</v>
      </c>
      <c r="O99" s="100">
        <v>0</v>
      </c>
      <c r="P99" s="100">
        <v>0.68</v>
      </c>
      <c r="Q99" s="100">
        <v>28.89</v>
      </c>
      <c r="R99" s="6"/>
      <c r="S99" s="6"/>
      <c r="T99" s="156"/>
      <c r="U99" s="6"/>
    </row>
    <row r="100" spans="1:28" customFormat="1">
      <c r="A100" s="163" t="s">
        <v>2731</v>
      </c>
      <c r="B100" s="100">
        <v>5.91</v>
      </c>
      <c r="C100" s="100">
        <v>9.85</v>
      </c>
      <c r="D100" s="100">
        <v>8.89</v>
      </c>
      <c r="E100" s="100">
        <v>5.6</v>
      </c>
      <c r="F100" s="100">
        <v>5.22</v>
      </c>
      <c r="G100" s="100">
        <v>35.85</v>
      </c>
      <c r="H100" s="100">
        <v>17.440000000000001</v>
      </c>
      <c r="I100" s="100">
        <v>14.74</v>
      </c>
      <c r="J100" s="100">
        <v>3.38</v>
      </c>
      <c r="K100" s="100">
        <v>169.18</v>
      </c>
      <c r="L100" s="100">
        <v>26.9</v>
      </c>
      <c r="M100" s="100">
        <v>76.58</v>
      </c>
      <c r="N100" s="100">
        <v>23.2</v>
      </c>
      <c r="O100" s="100">
        <v>0</v>
      </c>
      <c r="P100" s="100">
        <v>0.65</v>
      </c>
      <c r="Q100" s="100">
        <v>29.04</v>
      </c>
      <c r="R100" s="6"/>
      <c r="S100" s="6"/>
      <c r="T100" s="156"/>
      <c r="U100" s="6"/>
      <c r="AB100" s="161"/>
    </row>
    <row r="101" spans="1:28" customFormat="1">
      <c r="A101" s="163" t="s">
        <v>2732</v>
      </c>
      <c r="B101" s="100">
        <v>6.22</v>
      </c>
      <c r="C101" s="100">
        <v>9.51</v>
      </c>
      <c r="D101" s="100">
        <v>8.9600000000000009</v>
      </c>
      <c r="E101" s="100">
        <v>6</v>
      </c>
      <c r="F101" s="100">
        <v>4.01</v>
      </c>
      <c r="G101" s="100">
        <v>33.08</v>
      </c>
      <c r="H101" s="100">
        <v>16.54</v>
      </c>
      <c r="I101" s="100">
        <v>14.38</v>
      </c>
      <c r="J101" s="100">
        <v>2.93</v>
      </c>
      <c r="K101" s="100">
        <v>194.39</v>
      </c>
      <c r="L101" s="100">
        <v>26.76</v>
      </c>
      <c r="M101" s="100">
        <v>76.849999999999994</v>
      </c>
      <c r="N101" s="100">
        <v>23.3</v>
      </c>
      <c r="O101" s="100">
        <v>0</v>
      </c>
      <c r="P101" s="100">
        <v>0.6</v>
      </c>
      <c r="Q101" s="100">
        <v>29</v>
      </c>
      <c r="R101" s="6"/>
      <c r="S101" s="6"/>
      <c r="T101" s="156"/>
      <c r="U101" s="6"/>
    </row>
    <row r="102" spans="1:28" customFormat="1">
      <c r="A102" s="163" t="s">
        <v>2733</v>
      </c>
      <c r="B102" s="100">
        <v>6.02</v>
      </c>
      <c r="C102" s="100">
        <v>9.52</v>
      </c>
      <c r="D102" s="100">
        <v>8.8000000000000007</v>
      </c>
      <c r="E102" s="100">
        <v>6.4</v>
      </c>
      <c r="F102" s="100">
        <v>6.82</v>
      </c>
      <c r="G102" s="100">
        <v>33.08</v>
      </c>
      <c r="H102" s="100">
        <v>16.54</v>
      </c>
      <c r="I102" s="100">
        <v>14.06</v>
      </c>
      <c r="J102" s="100">
        <v>3.52</v>
      </c>
      <c r="K102" s="100">
        <v>187.26</v>
      </c>
      <c r="L102" s="100">
        <v>27.01</v>
      </c>
      <c r="M102" s="100">
        <v>75.44</v>
      </c>
      <c r="N102" s="100">
        <v>23</v>
      </c>
      <c r="O102" s="100">
        <v>0</v>
      </c>
      <c r="P102" s="100">
        <v>0.56000000000000005</v>
      </c>
      <c r="Q102" s="100">
        <v>29.04</v>
      </c>
      <c r="R102" s="6"/>
      <c r="S102" s="6"/>
      <c r="T102" s="156"/>
      <c r="U102" s="6"/>
    </row>
    <row r="103" spans="1:28" customFormat="1">
      <c r="A103" s="163" t="s">
        <v>2734</v>
      </c>
      <c r="B103" s="100">
        <v>5.95</v>
      </c>
      <c r="C103" s="100">
        <v>9.01</v>
      </c>
      <c r="D103" s="100">
        <v>8.48</v>
      </c>
      <c r="E103" s="100">
        <v>6.13</v>
      </c>
      <c r="F103" s="100">
        <v>7.82</v>
      </c>
      <c r="G103" s="100">
        <v>33.08</v>
      </c>
      <c r="H103" s="100">
        <v>16.54</v>
      </c>
      <c r="I103" s="100">
        <v>14.13</v>
      </c>
      <c r="J103" s="100">
        <v>3.54</v>
      </c>
      <c r="K103" s="100">
        <v>209.99</v>
      </c>
      <c r="L103" s="100">
        <v>26.88</v>
      </c>
      <c r="M103" s="100">
        <v>75.91</v>
      </c>
      <c r="N103" s="100">
        <v>23.5</v>
      </c>
      <c r="O103" s="100">
        <v>0</v>
      </c>
      <c r="P103" s="100">
        <v>0.54</v>
      </c>
      <c r="Q103" s="100">
        <v>29.11</v>
      </c>
      <c r="R103" s="6"/>
      <c r="S103" s="6"/>
      <c r="T103" s="156"/>
      <c r="U103" s="6"/>
    </row>
    <row r="104" spans="1:28" customFormat="1">
      <c r="A104" s="163" t="s">
        <v>2735</v>
      </c>
      <c r="B104" s="100">
        <v>6.16</v>
      </c>
      <c r="C104" s="100">
        <v>9.58</v>
      </c>
      <c r="D104" s="100">
        <v>8.9499999999999993</v>
      </c>
      <c r="E104" s="100">
        <v>6.3</v>
      </c>
      <c r="F104" s="100">
        <v>7.08</v>
      </c>
      <c r="G104" s="100">
        <v>32.99</v>
      </c>
      <c r="H104" s="100">
        <v>15.5</v>
      </c>
      <c r="I104" s="100">
        <v>13.27</v>
      </c>
      <c r="J104" s="100">
        <v>4.2300000000000004</v>
      </c>
      <c r="K104" s="100">
        <v>223.64</v>
      </c>
      <c r="L104" s="100">
        <v>26.86</v>
      </c>
      <c r="M104" s="100">
        <v>75.78</v>
      </c>
      <c r="N104" s="100">
        <v>23.4</v>
      </c>
      <c r="O104" s="100">
        <v>0</v>
      </c>
      <c r="P104" s="100">
        <v>0.54</v>
      </c>
      <c r="Q104" s="100">
        <v>29.03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2.61</v>
      </c>
      <c r="C106" s="158">
        <f>MIN(C9:C104)</f>
        <v>7.09</v>
      </c>
      <c r="D106" s="158">
        <f t="shared" ref="D106:Q106" si="0">MIN(D9:D104)</f>
        <v>5.51</v>
      </c>
      <c r="E106" s="158">
        <f t="shared" si="0"/>
        <v>4.91</v>
      </c>
      <c r="F106" s="158">
        <f t="shared" si="0"/>
        <v>2.4500000000000002</v>
      </c>
      <c r="G106" s="158">
        <f t="shared" si="0"/>
        <v>15.2</v>
      </c>
      <c r="H106" s="158">
        <f t="shared" si="0"/>
        <v>7.79</v>
      </c>
      <c r="I106" s="158">
        <f t="shared" si="0"/>
        <v>8.2799999999999994</v>
      </c>
      <c r="J106" s="158">
        <f t="shared" si="0"/>
        <v>0.47</v>
      </c>
      <c r="K106" s="158">
        <f t="shared" si="0"/>
        <v>10.92</v>
      </c>
      <c r="L106" s="158">
        <f t="shared" si="0"/>
        <v>24.59</v>
      </c>
      <c r="M106" s="158">
        <f t="shared" si="0"/>
        <v>51.9</v>
      </c>
      <c r="N106" s="158">
        <f t="shared" si="0"/>
        <v>22.6</v>
      </c>
      <c r="O106" s="158">
        <f t="shared" si="0"/>
        <v>0</v>
      </c>
      <c r="P106" s="158">
        <f t="shared" si="0"/>
        <v>0.38</v>
      </c>
      <c r="Q106" s="158">
        <f t="shared" si="0"/>
        <v>28.29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15.32</v>
      </c>
      <c r="C107" s="157">
        <f t="shared" ref="C107:Q107" si="1">MAX(C9:C104)</f>
        <v>19.62</v>
      </c>
      <c r="D107" s="157">
        <f t="shared" si="1"/>
        <v>17.8</v>
      </c>
      <c r="E107" s="157">
        <f t="shared" si="1"/>
        <v>7.05</v>
      </c>
      <c r="F107" s="157">
        <f t="shared" si="1"/>
        <v>28.67</v>
      </c>
      <c r="G107" s="157">
        <f t="shared" si="1"/>
        <v>86.47</v>
      </c>
      <c r="H107" s="157">
        <f t="shared" si="1"/>
        <v>29.41</v>
      </c>
      <c r="I107" s="157">
        <f t="shared" si="1"/>
        <v>17.13</v>
      </c>
      <c r="J107" s="157">
        <f t="shared" si="1"/>
        <v>5.81</v>
      </c>
      <c r="K107" s="157">
        <f t="shared" si="1"/>
        <v>248.49</v>
      </c>
      <c r="L107" s="157">
        <f t="shared" si="1"/>
        <v>32.96</v>
      </c>
      <c r="M107" s="157">
        <f t="shared" si="1"/>
        <v>93.61</v>
      </c>
      <c r="N107" s="157">
        <f t="shared" si="1"/>
        <v>691.4</v>
      </c>
      <c r="O107" s="157">
        <f t="shared" si="1"/>
        <v>0.6</v>
      </c>
      <c r="P107" s="157">
        <f t="shared" si="1"/>
        <v>0.77</v>
      </c>
      <c r="Q107" s="157">
        <f t="shared" si="1"/>
        <v>29.44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6.6237499999999985</v>
      </c>
      <c r="C108" s="158">
        <f t="shared" ref="C108:Q108" si="2">AVERAGE(C9:C104)</f>
        <v>10.919583333333334</v>
      </c>
      <c r="D108" s="158">
        <f t="shared" si="2"/>
        <v>10.022187500000003</v>
      </c>
      <c r="E108" s="158">
        <f t="shared" si="2"/>
        <v>6.0955208333333353</v>
      </c>
      <c r="F108" s="158">
        <f t="shared" si="2"/>
        <v>8.2740624999999994</v>
      </c>
      <c r="G108" s="158">
        <f t="shared" si="2"/>
        <v>38.532604166666658</v>
      </c>
      <c r="H108" s="158">
        <f t="shared" si="2"/>
        <v>16.727187500000007</v>
      </c>
      <c r="I108" s="158">
        <f t="shared" si="2"/>
        <v>11.881458333333335</v>
      </c>
      <c r="J108" s="158">
        <f t="shared" si="2"/>
        <v>3.3050000000000002</v>
      </c>
      <c r="K108" s="158">
        <f t="shared" si="2"/>
        <v>160.42333333333329</v>
      </c>
      <c r="L108" s="158">
        <f t="shared" si="2"/>
        <v>28.066145833333351</v>
      </c>
      <c r="M108" s="158">
        <f t="shared" si="2"/>
        <v>72.42729166666669</v>
      </c>
      <c r="N108" s="158">
        <f t="shared" si="2"/>
        <v>132.7104166666667</v>
      </c>
      <c r="O108" s="158">
        <f t="shared" si="2"/>
        <v>8.3333333333333332E-3</v>
      </c>
      <c r="P108" s="158">
        <f t="shared" si="2"/>
        <v>0.56708333333333316</v>
      </c>
      <c r="Q108" s="158">
        <f t="shared" si="2"/>
        <v>28.960104166666664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3.1384911728576337</v>
      </c>
      <c r="C109" s="158">
        <f t="shared" ref="C109:Q109" si="3">STDEV(C9:C104)</f>
        <v>2.2256106987647595</v>
      </c>
      <c r="D109" s="158">
        <f t="shared" si="3"/>
        <v>2.6905860066555207</v>
      </c>
      <c r="E109" s="158">
        <f t="shared" si="3"/>
        <v>0.46323773546787339</v>
      </c>
      <c r="F109" s="158">
        <f t="shared" si="3"/>
        <v>5.8954786561844426</v>
      </c>
      <c r="G109" s="158">
        <f t="shared" si="3"/>
        <v>17.723782787678989</v>
      </c>
      <c r="H109" s="158">
        <f t="shared" si="3"/>
        <v>5.8591500556821083</v>
      </c>
      <c r="I109" s="158">
        <f t="shared" si="3"/>
        <v>2.1224310684568444</v>
      </c>
      <c r="J109" s="158">
        <f t="shared" si="3"/>
        <v>1.0500987422242969</v>
      </c>
      <c r="K109" s="158">
        <f t="shared" si="3"/>
        <v>53.550415235830272</v>
      </c>
      <c r="L109" s="158">
        <f t="shared" si="3"/>
        <v>2.3123218542097774</v>
      </c>
      <c r="M109" s="158">
        <f t="shared" si="3"/>
        <v>10.663232597567164</v>
      </c>
      <c r="N109" s="158">
        <f t="shared" si="3"/>
        <v>153.40165612168994</v>
      </c>
      <c r="O109" s="158">
        <f t="shared" si="3"/>
        <v>6.4345558333058092E-2</v>
      </c>
      <c r="P109" s="158">
        <f t="shared" si="3"/>
        <v>0.11032885452297163</v>
      </c>
      <c r="Q109" s="158">
        <f t="shared" si="3"/>
        <v>0.28070398265288843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N119" sqref="N1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2736</v>
      </c>
      <c r="B9" s="100">
        <v>5.81</v>
      </c>
      <c r="C9" s="100">
        <v>11.5</v>
      </c>
      <c r="D9" s="100">
        <v>9.68</v>
      </c>
      <c r="E9" s="100">
        <v>6.16</v>
      </c>
      <c r="F9" s="100">
        <v>6.1</v>
      </c>
      <c r="G9" s="100">
        <v>32.659999999999997</v>
      </c>
      <c r="H9" s="100">
        <v>11.62</v>
      </c>
      <c r="I9" s="100">
        <v>12.88</v>
      </c>
      <c r="J9" s="100">
        <v>4.26</v>
      </c>
      <c r="K9" s="100">
        <v>223.97</v>
      </c>
      <c r="L9" s="100">
        <v>26.86</v>
      </c>
      <c r="M9" s="100">
        <v>75.75</v>
      </c>
      <c r="N9" s="100">
        <v>23.5</v>
      </c>
      <c r="O9" s="100">
        <v>0</v>
      </c>
      <c r="P9" s="100">
        <v>0.54</v>
      </c>
      <c r="Q9" s="100">
        <v>28.98</v>
      </c>
      <c r="R9" s="6"/>
      <c r="S9" s="6"/>
      <c r="T9" s="156"/>
      <c r="U9" s="6"/>
    </row>
    <row r="10" spans="1:21" customFormat="1">
      <c r="A10" s="163" t="s">
        <v>2737</v>
      </c>
      <c r="B10" s="100">
        <v>5.82</v>
      </c>
      <c r="C10" s="100">
        <v>10.48</v>
      </c>
      <c r="D10" s="100">
        <v>9.15</v>
      </c>
      <c r="E10" s="100">
        <v>6.46</v>
      </c>
      <c r="F10" s="100">
        <v>6.99</v>
      </c>
      <c r="G10" s="100">
        <v>32.659999999999997</v>
      </c>
      <c r="H10" s="100">
        <v>11.62</v>
      </c>
      <c r="I10" s="100">
        <v>12.82</v>
      </c>
      <c r="J10" s="100">
        <v>4.3</v>
      </c>
      <c r="K10" s="100">
        <v>234.03</v>
      </c>
      <c r="L10" s="100">
        <v>26.85</v>
      </c>
      <c r="M10" s="100">
        <v>76.5</v>
      </c>
      <c r="N10" s="100">
        <v>23.3</v>
      </c>
      <c r="O10" s="100">
        <v>0</v>
      </c>
      <c r="P10" s="100">
        <v>0.51</v>
      </c>
      <c r="Q10" s="100">
        <v>28.95</v>
      </c>
      <c r="R10" s="6"/>
      <c r="S10" s="6"/>
      <c r="T10" s="156"/>
      <c r="U10" s="6"/>
    </row>
    <row r="11" spans="1:21" customFormat="1">
      <c r="A11" s="163" t="s">
        <v>2738</v>
      </c>
      <c r="B11" s="100">
        <v>6.02</v>
      </c>
      <c r="C11" s="100">
        <v>10.78</v>
      </c>
      <c r="D11" s="100">
        <v>9.4700000000000006</v>
      </c>
      <c r="E11" s="100">
        <v>5.92</v>
      </c>
      <c r="F11" s="100">
        <v>6.02</v>
      </c>
      <c r="G11" s="100">
        <v>32.659999999999997</v>
      </c>
      <c r="H11" s="100">
        <v>11.62</v>
      </c>
      <c r="I11" s="100">
        <v>12.65</v>
      </c>
      <c r="J11" s="100">
        <v>4.26</v>
      </c>
      <c r="K11" s="100">
        <v>226.12</v>
      </c>
      <c r="L11" s="100">
        <v>26.75</v>
      </c>
      <c r="M11" s="100">
        <v>77.52</v>
      </c>
      <c r="N11" s="100">
        <v>23.5</v>
      </c>
      <c r="O11" s="100">
        <v>0</v>
      </c>
      <c r="P11" s="100">
        <v>0.51</v>
      </c>
      <c r="Q11" s="100">
        <v>28.89</v>
      </c>
      <c r="R11" s="6"/>
      <c r="S11" s="6"/>
      <c r="T11" s="156"/>
      <c r="U11" s="6"/>
    </row>
    <row r="12" spans="1:21" customFormat="1">
      <c r="A12" s="163" t="s">
        <v>2739</v>
      </c>
      <c r="B12" s="100">
        <v>5.85</v>
      </c>
      <c r="C12" s="100">
        <v>10.210000000000001</v>
      </c>
      <c r="D12" s="100">
        <v>9.0299999999999994</v>
      </c>
      <c r="E12" s="100">
        <v>5.9</v>
      </c>
      <c r="F12" s="100">
        <v>6.6</v>
      </c>
      <c r="G12" s="100">
        <v>31.24</v>
      </c>
      <c r="H12" s="100">
        <v>11.9</v>
      </c>
      <c r="I12" s="100">
        <v>12.43</v>
      </c>
      <c r="J12" s="100">
        <v>4.1500000000000004</v>
      </c>
      <c r="K12" s="100">
        <v>181.89</v>
      </c>
      <c r="L12" s="100">
        <v>26.6</v>
      </c>
      <c r="M12" s="100">
        <v>78.91</v>
      </c>
      <c r="N12" s="100">
        <v>23.6</v>
      </c>
      <c r="O12" s="100">
        <v>0</v>
      </c>
      <c r="P12" s="100">
        <v>0.49</v>
      </c>
      <c r="Q12" s="100">
        <v>28.89</v>
      </c>
      <c r="R12" s="6"/>
      <c r="S12" s="6"/>
      <c r="T12" s="156"/>
      <c r="U12" s="6"/>
    </row>
    <row r="13" spans="1:21" customFormat="1">
      <c r="A13" s="163" t="s">
        <v>2740</v>
      </c>
      <c r="B13" s="100">
        <v>5.78</v>
      </c>
      <c r="C13" s="100">
        <v>10.199999999999999</v>
      </c>
      <c r="D13" s="100">
        <v>8.9700000000000006</v>
      </c>
      <c r="E13" s="100">
        <v>5.95</v>
      </c>
      <c r="F13" s="100">
        <v>6</v>
      </c>
      <c r="G13" s="100">
        <v>25.91</v>
      </c>
      <c r="H13" s="100">
        <v>12.93</v>
      </c>
      <c r="I13" s="100">
        <v>12.35</v>
      </c>
      <c r="J13" s="100">
        <v>3.63</v>
      </c>
      <c r="K13" s="100">
        <v>201.42</v>
      </c>
      <c r="L13" s="100">
        <v>26.49</v>
      </c>
      <c r="M13" s="100">
        <v>79.37</v>
      </c>
      <c r="N13" s="100">
        <v>23.4</v>
      </c>
      <c r="O13" s="100">
        <v>0</v>
      </c>
      <c r="P13" s="100">
        <v>0.48</v>
      </c>
      <c r="Q13" s="100">
        <v>28.88</v>
      </c>
      <c r="R13" s="6"/>
      <c r="S13" s="6"/>
      <c r="T13" s="156"/>
      <c r="U13" s="6"/>
    </row>
    <row r="14" spans="1:21" customFormat="1">
      <c r="A14" s="163" t="s">
        <v>2741</v>
      </c>
      <c r="B14" s="100">
        <v>6.11</v>
      </c>
      <c r="C14" s="100">
        <v>9.61</v>
      </c>
      <c r="D14" s="100">
        <v>8.93</v>
      </c>
      <c r="E14" s="100">
        <v>5.38</v>
      </c>
      <c r="F14" s="100">
        <v>4.55</v>
      </c>
      <c r="G14" s="100">
        <v>25.91</v>
      </c>
      <c r="H14" s="100">
        <v>12.93</v>
      </c>
      <c r="I14" s="100">
        <v>11.75</v>
      </c>
      <c r="J14" s="100">
        <v>3.85</v>
      </c>
      <c r="K14" s="100">
        <v>183.61</v>
      </c>
      <c r="L14" s="100">
        <v>26.37</v>
      </c>
      <c r="M14" s="100">
        <v>78.349999999999994</v>
      </c>
      <c r="N14" s="100">
        <v>23.5</v>
      </c>
      <c r="O14" s="100">
        <v>0</v>
      </c>
      <c r="P14" s="100">
        <v>0.49</v>
      </c>
      <c r="Q14" s="100">
        <v>28.9</v>
      </c>
      <c r="R14" s="6"/>
      <c r="S14" s="6"/>
      <c r="T14" s="156"/>
      <c r="U14" s="6"/>
    </row>
    <row r="15" spans="1:21" customFormat="1">
      <c r="A15" s="163" t="s">
        <v>2742</v>
      </c>
      <c r="B15" s="100">
        <v>6.47</v>
      </c>
      <c r="C15" s="100">
        <v>9.6199999999999992</v>
      </c>
      <c r="D15" s="100">
        <v>9.2100000000000009</v>
      </c>
      <c r="E15" s="100">
        <v>5.6</v>
      </c>
      <c r="F15" s="100">
        <v>3.13</v>
      </c>
      <c r="G15" s="100">
        <v>25.91</v>
      </c>
      <c r="H15" s="100">
        <v>12.93</v>
      </c>
      <c r="I15" s="100">
        <v>11.45</v>
      </c>
      <c r="J15" s="100">
        <v>3.71</v>
      </c>
      <c r="K15" s="100">
        <v>183.44</v>
      </c>
      <c r="L15" s="100">
        <v>26.32</v>
      </c>
      <c r="M15" s="100">
        <v>76.48</v>
      </c>
      <c r="N15" s="100">
        <v>23.3</v>
      </c>
      <c r="O15" s="100">
        <v>0</v>
      </c>
      <c r="P15" s="100">
        <v>0.5</v>
      </c>
      <c r="Q15" s="100">
        <v>28.93</v>
      </c>
      <c r="R15" s="6"/>
      <c r="S15" s="6"/>
      <c r="T15" s="156"/>
      <c r="U15" s="6"/>
    </row>
    <row r="16" spans="1:21" customFormat="1">
      <c r="A16" s="163" t="s">
        <v>2743</v>
      </c>
      <c r="B16" s="100">
        <v>6.27</v>
      </c>
      <c r="C16" s="100">
        <v>8.81</v>
      </c>
      <c r="D16" s="100">
        <v>8.64</v>
      </c>
      <c r="E16" s="100">
        <v>5.65</v>
      </c>
      <c r="F16" s="100">
        <v>5.03</v>
      </c>
      <c r="G16" s="100">
        <v>24.37</v>
      </c>
      <c r="H16" s="100">
        <v>12.24</v>
      </c>
      <c r="I16" s="100">
        <v>11.7</v>
      </c>
      <c r="J16" s="100">
        <v>3.24</v>
      </c>
      <c r="K16" s="100">
        <v>175.55</v>
      </c>
      <c r="L16" s="100">
        <v>26.51</v>
      </c>
      <c r="M16" s="100">
        <v>75.25</v>
      </c>
      <c r="N16" s="100">
        <v>22.9</v>
      </c>
      <c r="O16" s="100">
        <v>0</v>
      </c>
      <c r="P16" s="100">
        <v>0.42</v>
      </c>
      <c r="Q16" s="100">
        <v>28.96</v>
      </c>
      <c r="R16" s="6"/>
      <c r="S16" s="6"/>
      <c r="T16" s="156"/>
      <c r="U16" s="6"/>
    </row>
    <row r="17" spans="1:21" customFormat="1">
      <c r="A17" s="163" t="s">
        <v>2744</v>
      </c>
      <c r="B17" s="100">
        <v>6.7</v>
      </c>
      <c r="C17" s="100">
        <v>7.56</v>
      </c>
      <c r="D17" s="100">
        <v>8.33</v>
      </c>
      <c r="E17" s="100">
        <v>5.94</v>
      </c>
      <c r="F17" s="100">
        <v>3.81</v>
      </c>
      <c r="G17" s="100">
        <v>18.62</v>
      </c>
      <c r="H17" s="100">
        <v>9.4499999999999993</v>
      </c>
      <c r="I17" s="100">
        <v>11.56</v>
      </c>
      <c r="J17" s="100">
        <v>3.68</v>
      </c>
      <c r="K17" s="100">
        <v>158.82</v>
      </c>
      <c r="L17" s="100">
        <v>26.26</v>
      </c>
      <c r="M17" s="100">
        <v>76.84</v>
      </c>
      <c r="N17" s="100">
        <v>23.5</v>
      </c>
      <c r="O17" s="100">
        <v>0</v>
      </c>
      <c r="P17" s="100">
        <v>0.47</v>
      </c>
      <c r="Q17" s="100">
        <v>29.04</v>
      </c>
      <c r="R17" s="6"/>
      <c r="S17" s="6"/>
      <c r="T17" s="156"/>
      <c r="U17" s="6"/>
    </row>
    <row r="18" spans="1:21" customFormat="1">
      <c r="A18" s="163" t="s">
        <v>2745</v>
      </c>
      <c r="B18" s="100">
        <v>6.66</v>
      </c>
      <c r="C18" s="100">
        <v>8.09</v>
      </c>
      <c r="D18" s="100">
        <v>8.58</v>
      </c>
      <c r="E18" s="100">
        <v>5.91</v>
      </c>
      <c r="F18" s="100">
        <v>3.84</v>
      </c>
      <c r="G18" s="100">
        <v>18.62</v>
      </c>
      <c r="H18" s="100">
        <v>9.4499999999999993</v>
      </c>
      <c r="I18" s="100">
        <v>10.96</v>
      </c>
      <c r="J18" s="100">
        <v>2.25</v>
      </c>
      <c r="K18" s="100">
        <v>176.82</v>
      </c>
      <c r="L18" s="100">
        <v>26.26</v>
      </c>
      <c r="M18" s="100">
        <v>76.62</v>
      </c>
      <c r="N18" s="100">
        <v>23</v>
      </c>
      <c r="O18" s="100">
        <v>0</v>
      </c>
      <c r="P18" s="100">
        <v>0.43</v>
      </c>
      <c r="Q18" s="100">
        <v>29.05</v>
      </c>
      <c r="R18" s="6"/>
      <c r="S18" s="6"/>
      <c r="T18" s="156"/>
      <c r="U18" s="6"/>
    </row>
    <row r="19" spans="1:21" customFormat="1">
      <c r="A19" s="163" t="s">
        <v>2746</v>
      </c>
      <c r="B19" s="100">
        <v>6.64</v>
      </c>
      <c r="C19" s="100">
        <v>6.72</v>
      </c>
      <c r="D19" s="100">
        <v>7.84</v>
      </c>
      <c r="E19" s="100">
        <v>5.91</v>
      </c>
      <c r="F19" s="100">
        <v>5.33</v>
      </c>
      <c r="G19" s="100">
        <v>18.62</v>
      </c>
      <c r="H19" s="100">
        <v>9.4499999999999993</v>
      </c>
      <c r="I19" s="100">
        <v>11.28</v>
      </c>
      <c r="J19" s="100">
        <v>3.79</v>
      </c>
      <c r="K19" s="100">
        <v>160.13</v>
      </c>
      <c r="L19" s="100">
        <v>26.28</v>
      </c>
      <c r="M19" s="100">
        <v>76.64</v>
      </c>
      <c r="N19" s="100">
        <v>23.3</v>
      </c>
      <c r="O19" s="100">
        <v>0</v>
      </c>
      <c r="P19" s="100">
        <v>0.42</v>
      </c>
      <c r="Q19" s="100">
        <v>29.16</v>
      </c>
      <c r="R19" s="6"/>
      <c r="S19" s="6"/>
      <c r="T19" s="156"/>
      <c r="U19" s="6"/>
    </row>
    <row r="20" spans="1:21" customFormat="1">
      <c r="A20" s="163" t="s">
        <v>2747</v>
      </c>
      <c r="B20" s="100">
        <v>6.92</v>
      </c>
      <c r="C20" s="100">
        <v>7.67</v>
      </c>
      <c r="D20" s="100">
        <v>8.56</v>
      </c>
      <c r="E20" s="100">
        <v>6</v>
      </c>
      <c r="F20" s="100">
        <v>4.88</v>
      </c>
      <c r="G20" s="100">
        <v>17.940000000000001</v>
      </c>
      <c r="H20" s="100">
        <v>8.89</v>
      </c>
      <c r="I20" s="100">
        <v>10.84</v>
      </c>
      <c r="J20" s="100">
        <v>3.84</v>
      </c>
      <c r="K20" s="100">
        <v>191.81</v>
      </c>
      <c r="L20" s="100">
        <v>25.96</v>
      </c>
      <c r="M20" s="100">
        <v>76.87</v>
      </c>
      <c r="N20" s="100">
        <v>23.3</v>
      </c>
      <c r="O20" s="100">
        <v>0</v>
      </c>
      <c r="P20" s="100">
        <v>0.42</v>
      </c>
      <c r="Q20" s="100">
        <v>29.05</v>
      </c>
      <c r="R20" s="6"/>
      <c r="S20" s="6"/>
      <c r="T20" s="156"/>
      <c r="U20" s="6"/>
    </row>
    <row r="21" spans="1:21" customFormat="1">
      <c r="A21" s="163" t="s">
        <v>2748</v>
      </c>
      <c r="B21" s="100">
        <v>6.97</v>
      </c>
      <c r="C21" s="100">
        <v>7.36</v>
      </c>
      <c r="D21" s="100">
        <v>8.44</v>
      </c>
      <c r="E21" s="100">
        <v>5.62</v>
      </c>
      <c r="F21" s="100">
        <v>5.0599999999999996</v>
      </c>
      <c r="G21" s="100">
        <v>15.4</v>
      </c>
      <c r="H21" s="100">
        <v>6.8</v>
      </c>
      <c r="I21" s="100">
        <v>10.41</v>
      </c>
      <c r="J21" s="100">
        <v>3.68</v>
      </c>
      <c r="K21" s="100">
        <v>192.33</v>
      </c>
      <c r="L21" s="100">
        <v>25.89</v>
      </c>
      <c r="M21" s="100">
        <v>76.95</v>
      </c>
      <c r="N21" s="100">
        <v>23.3</v>
      </c>
      <c r="O21" s="100">
        <v>0</v>
      </c>
      <c r="P21" s="100">
        <v>0.39</v>
      </c>
      <c r="Q21" s="100">
        <v>29.05</v>
      </c>
      <c r="R21" s="6"/>
      <c r="S21" s="6"/>
      <c r="T21" s="156"/>
      <c r="U21" s="6"/>
    </row>
    <row r="22" spans="1:21" customFormat="1">
      <c r="A22" s="163" t="s">
        <v>2749</v>
      </c>
      <c r="B22" s="100">
        <v>7.1</v>
      </c>
      <c r="C22" s="100">
        <v>7.52</v>
      </c>
      <c r="D22" s="100">
        <v>8.6199999999999992</v>
      </c>
      <c r="E22" s="100">
        <v>5.82</v>
      </c>
      <c r="F22" s="100">
        <v>4.71</v>
      </c>
      <c r="G22" s="100">
        <v>15.4</v>
      </c>
      <c r="H22" s="100">
        <v>6.8</v>
      </c>
      <c r="I22" s="100">
        <v>10.49</v>
      </c>
      <c r="J22" s="100">
        <v>3.72</v>
      </c>
      <c r="K22" s="100">
        <v>186.01</v>
      </c>
      <c r="L22" s="100">
        <v>25.78</v>
      </c>
      <c r="M22" s="100">
        <v>78.12</v>
      </c>
      <c r="N22" s="100">
        <v>23.3</v>
      </c>
      <c r="O22" s="100">
        <v>0</v>
      </c>
      <c r="P22" s="100">
        <v>0.37</v>
      </c>
      <c r="Q22" s="100">
        <v>29.02</v>
      </c>
      <c r="R22" s="6"/>
      <c r="S22" s="6"/>
      <c r="T22" s="156"/>
      <c r="U22" s="6"/>
    </row>
    <row r="23" spans="1:21" customFormat="1">
      <c r="A23" s="163" t="s">
        <v>2750</v>
      </c>
      <c r="B23" s="100">
        <v>7.17</v>
      </c>
      <c r="C23" s="100">
        <v>7.96</v>
      </c>
      <c r="D23" s="100">
        <v>8.91</v>
      </c>
      <c r="E23" s="100">
        <v>5.81</v>
      </c>
      <c r="F23" s="100">
        <v>4.7699999999999996</v>
      </c>
      <c r="G23" s="100">
        <v>15.4</v>
      </c>
      <c r="H23" s="100">
        <v>6.8</v>
      </c>
      <c r="I23" s="100">
        <v>9.9499999999999993</v>
      </c>
      <c r="J23" s="100">
        <v>3.45</v>
      </c>
      <c r="K23" s="100">
        <v>195.54</v>
      </c>
      <c r="L23" s="100">
        <v>25.83</v>
      </c>
      <c r="M23" s="100">
        <v>77.61</v>
      </c>
      <c r="N23" s="100">
        <v>23.2</v>
      </c>
      <c r="O23" s="100">
        <v>0</v>
      </c>
      <c r="P23" s="100">
        <v>0.37</v>
      </c>
      <c r="Q23" s="100">
        <v>28.93</v>
      </c>
      <c r="R23" s="6"/>
      <c r="S23" s="6"/>
      <c r="T23" s="156"/>
      <c r="U23" s="6"/>
    </row>
    <row r="24" spans="1:21" customFormat="1">
      <c r="A24" s="163" t="s">
        <v>2751</v>
      </c>
      <c r="B24" s="100">
        <v>6.94</v>
      </c>
      <c r="C24" s="100">
        <v>8.5</v>
      </c>
      <c r="D24" s="100">
        <v>9.01</v>
      </c>
      <c r="E24" s="100">
        <v>5.82</v>
      </c>
      <c r="F24" s="100">
        <v>5</v>
      </c>
      <c r="G24" s="100">
        <v>14.98</v>
      </c>
      <c r="H24" s="100">
        <v>6.38</v>
      </c>
      <c r="I24" s="100">
        <v>9.6300000000000008</v>
      </c>
      <c r="J24" s="100">
        <v>3.72</v>
      </c>
      <c r="K24" s="100">
        <v>145.13999999999999</v>
      </c>
      <c r="L24" s="100">
        <v>25.67</v>
      </c>
      <c r="M24" s="100">
        <v>78.67</v>
      </c>
      <c r="N24" s="100">
        <v>23.4</v>
      </c>
      <c r="O24" s="100">
        <v>0</v>
      </c>
      <c r="P24" s="100">
        <v>0.35</v>
      </c>
      <c r="Q24" s="100">
        <v>28.92</v>
      </c>
      <c r="R24" s="6"/>
      <c r="S24" s="6"/>
      <c r="T24" s="156"/>
      <c r="U24" s="6"/>
    </row>
    <row r="25" spans="1:21" customFormat="1">
      <c r="A25" s="163" t="s">
        <v>2752</v>
      </c>
      <c r="B25" s="100">
        <v>7.51</v>
      </c>
      <c r="C25" s="100">
        <v>8.7899999999999991</v>
      </c>
      <c r="D25" s="100">
        <v>9.6199999999999992</v>
      </c>
      <c r="E25" s="100">
        <v>5.28</v>
      </c>
      <c r="F25" s="100">
        <v>4.1500000000000004</v>
      </c>
      <c r="G25" s="100">
        <v>13.4</v>
      </c>
      <c r="H25" s="100">
        <v>4.82</v>
      </c>
      <c r="I25" s="100">
        <v>9.31</v>
      </c>
      <c r="J25" s="100">
        <v>4.1900000000000004</v>
      </c>
      <c r="K25" s="100">
        <v>176.44</v>
      </c>
      <c r="L25" s="100">
        <v>25.61</v>
      </c>
      <c r="M25" s="100">
        <v>79.09</v>
      </c>
      <c r="N25" s="100">
        <v>23.3</v>
      </c>
      <c r="O25" s="100">
        <v>0</v>
      </c>
      <c r="P25" s="100">
        <v>0.35</v>
      </c>
      <c r="Q25" s="100">
        <v>28.89</v>
      </c>
      <c r="R25" s="6"/>
      <c r="S25" s="6"/>
      <c r="T25" s="156"/>
      <c r="U25" s="6"/>
    </row>
    <row r="26" spans="1:21" customFormat="1">
      <c r="A26" s="163" t="s">
        <v>2753</v>
      </c>
      <c r="B26" s="100">
        <v>7.88</v>
      </c>
      <c r="C26" s="100">
        <v>9.15</v>
      </c>
      <c r="D26" s="100">
        <v>10.11</v>
      </c>
      <c r="E26" s="100">
        <v>5.62</v>
      </c>
      <c r="F26" s="100">
        <v>3.57</v>
      </c>
      <c r="G26" s="100">
        <v>13.4</v>
      </c>
      <c r="H26" s="100">
        <v>4.82</v>
      </c>
      <c r="I26" s="100">
        <v>8.91</v>
      </c>
      <c r="J26" s="100">
        <v>4.08</v>
      </c>
      <c r="K26" s="100">
        <v>182.78</v>
      </c>
      <c r="L26" s="100">
        <v>25.65</v>
      </c>
      <c r="M26" s="100">
        <v>78.61</v>
      </c>
      <c r="N26" s="100">
        <v>23.4</v>
      </c>
      <c r="O26" s="100">
        <v>0</v>
      </c>
      <c r="P26" s="100">
        <v>0.34</v>
      </c>
      <c r="Q26" s="100">
        <v>28.96</v>
      </c>
      <c r="R26" s="6"/>
      <c r="S26" s="6"/>
      <c r="T26" s="156"/>
      <c r="U26" s="6"/>
    </row>
    <row r="27" spans="1:21" customFormat="1">
      <c r="A27" s="163" t="s">
        <v>2754</v>
      </c>
      <c r="B27" s="100">
        <v>8.15</v>
      </c>
      <c r="C27" s="100">
        <v>9.2899999999999991</v>
      </c>
      <c r="D27" s="100">
        <v>10.4</v>
      </c>
      <c r="E27" s="100">
        <v>5.6</v>
      </c>
      <c r="F27" s="100">
        <v>3.45</v>
      </c>
      <c r="G27" s="100">
        <v>13.4</v>
      </c>
      <c r="H27" s="100">
        <v>4.82</v>
      </c>
      <c r="I27" s="100">
        <v>9.1199999999999992</v>
      </c>
      <c r="J27" s="100">
        <v>4.22</v>
      </c>
      <c r="K27" s="100">
        <v>178.38</v>
      </c>
      <c r="L27" s="100">
        <v>25.61</v>
      </c>
      <c r="M27" s="100">
        <v>79.010000000000005</v>
      </c>
      <c r="N27" s="100">
        <v>23.5</v>
      </c>
      <c r="O27" s="100">
        <v>0</v>
      </c>
      <c r="P27" s="100">
        <v>0.35</v>
      </c>
      <c r="Q27" s="100">
        <v>28.9</v>
      </c>
      <c r="R27" s="6"/>
      <c r="S27" s="6"/>
      <c r="T27" s="156"/>
      <c r="U27" s="6"/>
    </row>
    <row r="28" spans="1:21" customFormat="1">
      <c r="A28" s="163" t="s">
        <v>2755</v>
      </c>
      <c r="B28" s="100">
        <v>8.5299999999999994</v>
      </c>
      <c r="C28" s="100">
        <v>11.47</v>
      </c>
      <c r="D28" s="100">
        <v>11.84</v>
      </c>
      <c r="E28" s="100">
        <v>5.65</v>
      </c>
      <c r="F28" s="100">
        <v>2.91</v>
      </c>
      <c r="G28" s="100">
        <v>13.63</v>
      </c>
      <c r="H28" s="100">
        <v>4.5999999999999996</v>
      </c>
      <c r="I28" s="100">
        <v>9.0399999999999991</v>
      </c>
      <c r="J28" s="100">
        <v>3.51</v>
      </c>
      <c r="K28" s="100">
        <v>193.45</v>
      </c>
      <c r="L28" s="100">
        <v>25.59</v>
      </c>
      <c r="M28" s="100">
        <v>78.55</v>
      </c>
      <c r="N28" s="100">
        <v>23.3</v>
      </c>
      <c r="O28" s="100">
        <v>0</v>
      </c>
      <c r="P28" s="100">
        <v>0.35</v>
      </c>
      <c r="Q28" s="100">
        <v>28.79</v>
      </c>
      <c r="R28" s="6"/>
      <c r="S28" s="6"/>
      <c r="T28" s="156"/>
      <c r="U28" s="6"/>
    </row>
    <row r="29" spans="1:21" customFormat="1">
      <c r="A29" s="163" t="s">
        <v>2756</v>
      </c>
      <c r="B29" s="100">
        <v>8.82</v>
      </c>
      <c r="C29" s="100">
        <v>11.45</v>
      </c>
      <c r="D29" s="100">
        <v>12.06</v>
      </c>
      <c r="E29" s="100">
        <v>4.97</v>
      </c>
      <c r="F29" s="100">
        <v>3.01</v>
      </c>
      <c r="G29" s="100">
        <v>14.49</v>
      </c>
      <c r="H29" s="100">
        <v>3.75</v>
      </c>
      <c r="I29" s="100">
        <v>8.99</v>
      </c>
      <c r="J29" s="100">
        <v>3.69</v>
      </c>
      <c r="K29" s="100">
        <v>192.1</v>
      </c>
      <c r="L29" s="100">
        <v>25.65</v>
      </c>
      <c r="M29" s="100">
        <v>77.61</v>
      </c>
      <c r="N29" s="100">
        <v>24</v>
      </c>
      <c r="O29" s="100">
        <v>0</v>
      </c>
      <c r="P29" s="100">
        <v>0.39</v>
      </c>
      <c r="Q29" s="100">
        <v>28.76</v>
      </c>
      <c r="R29" s="6"/>
      <c r="S29" s="6"/>
      <c r="T29" s="156"/>
      <c r="U29" s="6"/>
    </row>
    <row r="30" spans="1:21" customFormat="1">
      <c r="A30" s="163" t="s">
        <v>2757</v>
      </c>
      <c r="B30" s="100">
        <v>9.1199999999999992</v>
      </c>
      <c r="C30" s="100">
        <v>10.69</v>
      </c>
      <c r="D30" s="100">
        <v>11.9</v>
      </c>
      <c r="E30" s="100">
        <v>5.4</v>
      </c>
      <c r="F30" s="100">
        <v>2.77</v>
      </c>
      <c r="G30" s="100">
        <v>14.49</v>
      </c>
      <c r="H30" s="100">
        <v>3.75</v>
      </c>
      <c r="I30" s="100">
        <v>9.0299999999999994</v>
      </c>
      <c r="J30" s="100">
        <v>3.46</v>
      </c>
      <c r="K30" s="100">
        <v>139.68</v>
      </c>
      <c r="L30" s="100">
        <v>25.84</v>
      </c>
      <c r="M30" s="100">
        <v>76.86</v>
      </c>
      <c r="N30" s="100">
        <v>25.3</v>
      </c>
      <c r="O30" s="100">
        <v>0</v>
      </c>
      <c r="P30" s="100">
        <v>0.39</v>
      </c>
      <c r="Q30" s="100">
        <v>28.81</v>
      </c>
      <c r="R30" s="6"/>
      <c r="S30" s="6"/>
      <c r="T30" s="156"/>
      <c r="U30" s="6"/>
    </row>
    <row r="31" spans="1:21" customFormat="1">
      <c r="A31" s="163" t="s">
        <v>2758</v>
      </c>
      <c r="B31" s="100">
        <v>8.9499999999999993</v>
      </c>
      <c r="C31" s="100">
        <v>9.34</v>
      </c>
      <c r="D31" s="100">
        <v>11.07</v>
      </c>
      <c r="E31" s="100">
        <v>5.52</v>
      </c>
      <c r="F31" s="100">
        <v>3.35</v>
      </c>
      <c r="G31" s="100">
        <v>14.49</v>
      </c>
      <c r="H31" s="100">
        <v>3.75</v>
      </c>
      <c r="I31" s="100">
        <v>8.86</v>
      </c>
      <c r="J31" s="100">
        <v>5.0999999999999996</v>
      </c>
      <c r="K31" s="100">
        <v>142.41999999999999</v>
      </c>
      <c r="L31" s="100">
        <v>26.3</v>
      </c>
      <c r="M31" s="100">
        <v>74.64</v>
      </c>
      <c r="N31" s="100">
        <v>30.4</v>
      </c>
      <c r="O31" s="100">
        <v>0</v>
      </c>
      <c r="P31" s="100">
        <v>0.37</v>
      </c>
      <c r="Q31" s="100">
        <v>28.92</v>
      </c>
      <c r="R31" s="6"/>
      <c r="S31" s="6"/>
      <c r="T31" s="156"/>
      <c r="U31" s="6"/>
    </row>
    <row r="32" spans="1:21" customFormat="1">
      <c r="A32" s="163" t="s">
        <v>2759</v>
      </c>
      <c r="B32" s="100">
        <v>9.2200000000000006</v>
      </c>
      <c r="C32" s="100">
        <v>7.84</v>
      </c>
      <c r="D32" s="100">
        <v>10.5</v>
      </c>
      <c r="E32" s="100">
        <v>5.5</v>
      </c>
      <c r="F32" s="100">
        <v>3.51</v>
      </c>
      <c r="G32" s="100">
        <v>14.72</v>
      </c>
      <c r="H32" s="100">
        <v>3.53</v>
      </c>
      <c r="I32" s="100">
        <v>8.77</v>
      </c>
      <c r="J32" s="100">
        <v>4.07</v>
      </c>
      <c r="K32" s="100">
        <v>97.08</v>
      </c>
      <c r="L32" s="100">
        <v>26.08</v>
      </c>
      <c r="M32" s="100">
        <v>75.959999999999994</v>
      </c>
      <c r="N32" s="100">
        <v>43.4</v>
      </c>
      <c r="O32" s="100">
        <v>0</v>
      </c>
      <c r="P32" s="100">
        <v>0.38</v>
      </c>
      <c r="Q32" s="100">
        <v>29</v>
      </c>
      <c r="R32" s="6"/>
      <c r="S32" s="6"/>
      <c r="T32" s="156"/>
      <c r="U32" s="6"/>
    </row>
    <row r="33" spans="1:21" customFormat="1">
      <c r="A33" s="163" t="s">
        <v>2760</v>
      </c>
      <c r="B33" s="100">
        <v>9.34</v>
      </c>
      <c r="C33" s="100">
        <v>9.5299999999999994</v>
      </c>
      <c r="D33" s="100">
        <v>11.47</v>
      </c>
      <c r="E33" s="100">
        <v>5.58</v>
      </c>
      <c r="F33" s="100">
        <v>3.37</v>
      </c>
      <c r="G33" s="100">
        <v>15.58</v>
      </c>
      <c r="H33" s="100">
        <v>2.71</v>
      </c>
      <c r="I33" s="100">
        <v>8.49</v>
      </c>
      <c r="J33" s="100">
        <v>1.89</v>
      </c>
      <c r="K33" s="100">
        <v>224.62</v>
      </c>
      <c r="L33" s="100">
        <v>25.98</v>
      </c>
      <c r="M33" s="100">
        <v>75.92</v>
      </c>
      <c r="N33" s="100">
        <v>52.7</v>
      </c>
      <c r="O33" s="100">
        <v>0</v>
      </c>
      <c r="P33" s="100">
        <v>0.39</v>
      </c>
      <c r="Q33" s="100">
        <v>28.87</v>
      </c>
      <c r="R33" s="6"/>
      <c r="S33" s="6"/>
      <c r="T33" s="156"/>
      <c r="U33" s="6"/>
    </row>
    <row r="34" spans="1:21" customFormat="1">
      <c r="A34" s="163" t="s">
        <v>2761</v>
      </c>
      <c r="B34" s="100">
        <v>9.07</v>
      </c>
      <c r="C34" s="100">
        <v>8.83</v>
      </c>
      <c r="D34" s="100">
        <v>10.9</v>
      </c>
      <c r="E34" s="100">
        <v>6.36</v>
      </c>
      <c r="F34" s="100">
        <v>4.6399999999999997</v>
      </c>
      <c r="G34" s="100">
        <v>15.58</v>
      </c>
      <c r="H34" s="100">
        <v>2.71</v>
      </c>
      <c r="I34" s="100">
        <v>8.6300000000000008</v>
      </c>
      <c r="J34" s="100">
        <v>3.58</v>
      </c>
      <c r="K34" s="100">
        <v>236.54</v>
      </c>
      <c r="L34" s="100">
        <v>26.3</v>
      </c>
      <c r="M34" s="100">
        <v>72.94</v>
      </c>
      <c r="N34" s="100">
        <v>62.8</v>
      </c>
      <c r="O34" s="100">
        <v>0</v>
      </c>
      <c r="P34" s="100">
        <v>0.37</v>
      </c>
      <c r="Q34" s="100">
        <v>28.88</v>
      </c>
      <c r="R34" s="6"/>
      <c r="S34" s="6"/>
      <c r="T34" s="156"/>
      <c r="U34" s="6"/>
    </row>
    <row r="35" spans="1:21" customFormat="1">
      <c r="A35" s="163" t="s">
        <v>2762</v>
      </c>
      <c r="B35" s="100">
        <v>9.6999999999999993</v>
      </c>
      <c r="C35" s="100">
        <v>8.91</v>
      </c>
      <c r="D35" s="100">
        <v>11.44</v>
      </c>
      <c r="E35" s="100">
        <v>6.09</v>
      </c>
      <c r="F35" s="100">
        <v>4.51</v>
      </c>
      <c r="G35" s="100">
        <v>15.58</v>
      </c>
      <c r="H35" s="100">
        <v>2.71</v>
      </c>
      <c r="I35" s="100">
        <v>8.64</v>
      </c>
      <c r="J35" s="100">
        <v>3.08</v>
      </c>
      <c r="K35" s="100">
        <v>221.05</v>
      </c>
      <c r="L35" s="100">
        <v>26.57</v>
      </c>
      <c r="M35" s="100">
        <v>71.88</v>
      </c>
      <c r="N35" s="100">
        <v>71</v>
      </c>
      <c r="O35" s="100">
        <v>0</v>
      </c>
      <c r="P35" s="100">
        <v>0.37</v>
      </c>
      <c r="Q35" s="100">
        <v>28.85</v>
      </c>
      <c r="R35" s="6"/>
      <c r="S35" s="6"/>
      <c r="T35" s="156"/>
      <c r="U35" s="6"/>
    </row>
    <row r="36" spans="1:21" customFormat="1">
      <c r="A36" s="163" t="s">
        <v>2763</v>
      </c>
      <c r="B36" s="100">
        <v>10.039999999999999</v>
      </c>
      <c r="C36" s="100">
        <v>9.69</v>
      </c>
      <c r="D36" s="100">
        <v>12.12</v>
      </c>
      <c r="E36" s="100">
        <v>5.9</v>
      </c>
      <c r="F36" s="100">
        <v>3.95</v>
      </c>
      <c r="G36" s="100">
        <v>16.46</v>
      </c>
      <c r="H36" s="100">
        <v>2.58</v>
      </c>
      <c r="I36" s="100">
        <v>8.32</v>
      </c>
      <c r="J36" s="100">
        <v>2.56</v>
      </c>
      <c r="K36" s="100">
        <v>233.64</v>
      </c>
      <c r="L36" s="100">
        <v>26.71</v>
      </c>
      <c r="M36" s="100">
        <v>72.459999999999994</v>
      </c>
      <c r="N36" s="100">
        <v>61.7</v>
      </c>
      <c r="O36" s="100">
        <v>0</v>
      </c>
      <c r="P36" s="100">
        <v>0.4</v>
      </c>
      <c r="Q36" s="100">
        <v>28.76</v>
      </c>
      <c r="R36" s="6"/>
      <c r="S36" s="6"/>
      <c r="T36" s="156"/>
      <c r="U36" s="6"/>
    </row>
    <row r="37" spans="1:21" customFormat="1">
      <c r="A37" s="163" t="s">
        <v>2764</v>
      </c>
      <c r="B37" s="100">
        <v>10.57</v>
      </c>
      <c r="C37" s="100">
        <v>10.69</v>
      </c>
      <c r="D37" s="100">
        <v>13.06</v>
      </c>
      <c r="E37" s="100">
        <v>6.41</v>
      </c>
      <c r="F37" s="100">
        <v>3.55</v>
      </c>
      <c r="G37" s="100">
        <v>19.77</v>
      </c>
      <c r="H37" s="100">
        <v>2.11</v>
      </c>
      <c r="I37" s="100">
        <v>8.61</v>
      </c>
      <c r="J37" s="100">
        <v>2.6</v>
      </c>
      <c r="K37" s="100">
        <v>205.7</v>
      </c>
      <c r="L37" s="100">
        <v>26.72</v>
      </c>
      <c r="M37" s="100">
        <v>73.540000000000006</v>
      </c>
      <c r="N37" s="100">
        <v>64.8</v>
      </c>
      <c r="O37" s="100">
        <v>0</v>
      </c>
      <c r="P37" s="100">
        <v>0.44</v>
      </c>
      <c r="Q37" s="100">
        <v>28.7</v>
      </c>
      <c r="R37" s="6"/>
      <c r="S37" s="6"/>
      <c r="T37" s="156"/>
      <c r="U37" s="6"/>
    </row>
    <row r="38" spans="1:21" customFormat="1">
      <c r="A38" s="163" t="s">
        <v>2765</v>
      </c>
      <c r="B38" s="100">
        <v>11.1</v>
      </c>
      <c r="C38" s="100">
        <v>10.24</v>
      </c>
      <c r="D38" s="100">
        <v>13.26</v>
      </c>
      <c r="E38" s="100">
        <v>5.73</v>
      </c>
      <c r="F38" s="100">
        <v>3.33</v>
      </c>
      <c r="G38" s="100">
        <v>19.77</v>
      </c>
      <c r="H38" s="100">
        <v>2.11</v>
      </c>
      <c r="I38" s="100">
        <v>9.09</v>
      </c>
      <c r="J38" s="100">
        <v>3.03</v>
      </c>
      <c r="K38" s="100">
        <v>201.1</v>
      </c>
      <c r="L38" s="100">
        <v>26.66</v>
      </c>
      <c r="M38" s="100">
        <v>74.459999999999994</v>
      </c>
      <c r="N38" s="100">
        <v>54.9</v>
      </c>
      <c r="O38" s="100">
        <v>0</v>
      </c>
      <c r="P38" s="100">
        <v>0.41</v>
      </c>
      <c r="Q38" s="100">
        <v>28.66</v>
      </c>
      <c r="R38" s="6"/>
      <c r="S38" s="6"/>
      <c r="T38" s="156"/>
      <c r="U38" s="6"/>
    </row>
    <row r="39" spans="1:21" customFormat="1">
      <c r="A39" s="163" t="s">
        <v>2766</v>
      </c>
      <c r="B39" s="100">
        <v>11.86</v>
      </c>
      <c r="C39" s="100">
        <v>10.31</v>
      </c>
      <c r="D39" s="100">
        <v>13.9</v>
      </c>
      <c r="E39" s="100">
        <v>6.16</v>
      </c>
      <c r="F39" s="100">
        <v>3.05</v>
      </c>
      <c r="G39" s="100">
        <v>19.77</v>
      </c>
      <c r="H39" s="100">
        <v>2.11</v>
      </c>
      <c r="I39" s="100">
        <v>9.5299999999999994</v>
      </c>
      <c r="J39" s="100">
        <v>4.24</v>
      </c>
      <c r="K39" s="100">
        <v>258.27</v>
      </c>
      <c r="L39" s="100">
        <v>26.59</v>
      </c>
      <c r="M39" s="100">
        <v>74.98</v>
      </c>
      <c r="N39" s="100">
        <v>86.5</v>
      </c>
      <c r="O39" s="100">
        <v>0</v>
      </c>
      <c r="P39" s="100">
        <v>0.43</v>
      </c>
      <c r="Q39" s="100">
        <v>28.59</v>
      </c>
      <c r="R39" s="6"/>
      <c r="S39" s="6"/>
      <c r="T39" s="156"/>
      <c r="U39" s="6"/>
    </row>
    <row r="40" spans="1:21" customFormat="1">
      <c r="A40" s="163" t="s">
        <v>2767</v>
      </c>
      <c r="B40" s="100">
        <v>12.75</v>
      </c>
      <c r="C40" s="100">
        <v>10.39</v>
      </c>
      <c r="D40" s="100">
        <v>14.66</v>
      </c>
      <c r="E40" s="100">
        <v>5.93</v>
      </c>
      <c r="F40" s="100">
        <v>3.17</v>
      </c>
      <c r="G40" s="100">
        <v>20.68</v>
      </c>
      <c r="H40" s="100">
        <v>2.54</v>
      </c>
      <c r="I40" s="100">
        <v>9.24</v>
      </c>
      <c r="J40" s="100">
        <v>2.91</v>
      </c>
      <c r="K40" s="100">
        <v>225.48</v>
      </c>
      <c r="L40" s="100">
        <v>26.47</v>
      </c>
      <c r="M40" s="100">
        <v>78.739999999999995</v>
      </c>
      <c r="N40" s="100">
        <v>134.80000000000001</v>
      </c>
      <c r="O40" s="100">
        <v>0</v>
      </c>
      <c r="P40" s="100">
        <v>0.46</v>
      </c>
      <c r="Q40" s="100">
        <v>28.58</v>
      </c>
      <c r="R40" s="6"/>
      <c r="S40" s="6"/>
      <c r="T40" s="156"/>
      <c r="U40" s="6"/>
    </row>
    <row r="41" spans="1:21" customFormat="1">
      <c r="A41" s="163" t="s">
        <v>2768</v>
      </c>
      <c r="B41" s="100">
        <v>12.89</v>
      </c>
      <c r="C41" s="100">
        <v>12.07</v>
      </c>
      <c r="D41" s="100">
        <v>15.65</v>
      </c>
      <c r="E41" s="100">
        <v>5.48</v>
      </c>
      <c r="F41" s="100">
        <v>2.5099999999999998</v>
      </c>
      <c r="G41" s="100">
        <v>24.34</v>
      </c>
      <c r="H41" s="100">
        <v>4.1500000000000004</v>
      </c>
      <c r="I41" s="100">
        <v>9.6300000000000008</v>
      </c>
      <c r="J41" s="100">
        <v>4.41</v>
      </c>
      <c r="K41" s="100">
        <v>179.06</v>
      </c>
      <c r="L41" s="100">
        <v>27.08</v>
      </c>
      <c r="M41" s="100">
        <v>75.64</v>
      </c>
      <c r="N41" s="100">
        <v>280</v>
      </c>
      <c r="O41" s="100">
        <v>0</v>
      </c>
      <c r="P41" s="100">
        <v>0.45</v>
      </c>
      <c r="Q41" s="100">
        <v>28.42</v>
      </c>
      <c r="R41" s="6"/>
      <c r="S41" s="6"/>
      <c r="T41" s="156"/>
      <c r="U41" s="6"/>
    </row>
    <row r="42" spans="1:21" customFormat="1">
      <c r="A42" s="163" t="s">
        <v>2769</v>
      </c>
      <c r="B42" s="100">
        <v>12.92</v>
      </c>
      <c r="C42" s="100">
        <v>12.12</v>
      </c>
      <c r="D42" s="100">
        <v>15.7</v>
      </c>
      <c r="E42" s="100">
        <v>6.16</v>
      </c>
      <c r="F42" s="100">
        <v>2.7</v>
      </c>
      <c r="G42" s="100">
        <v>24.34</v>
      </c>
      <c r="H42" s="100">
        <v>4.1500000000000004</v>
      </c>
      <c r="I42" s="100">
        <v>9.98</v>
      </c>
      <c r="J42" s="100">
        <v>3.14</v>
      </c>
      <c r="K42" s="100">
        <v>210.68</v>
      </c>
      <c r="L42" s="100">
        <v>27.94</v>
      </c>
      <c r="M42" s="100">
        <v>71.02</v>
      </c>
      <c r="N42" s="100">
        <v>370.6</v>
      </c>
      <c r="O42" s="100">
        <v>0</v>
      </c>
      <c r="P42" s="100">
        <v>0.44</v>
      </c>
      <c r="Q42" s="100">
        <v>28.44</v>
      </c>
      <c r="R42" s="6"/>
      <c r="S42" s="6"/>
      <c r="T42" s="156"/>
      <c r="U42" s="6"/>
    </row>
    <row r="43" spans="1:21" customFormat="1">
      <c r="A43" s="163" t="s">
        <v>2770</v>
      </c>
      <c r="B43" s="100">
        <v>12.88</v>
      </c>
      <c r="C43" s="100">
        <v>9.33</v>
      </c>
      <c r="D43" s="100">
        <v>14.21</v>
      </c>
      <c r="E43" s="100">
        <v>5.5</v>
      </c>
      <c r="F43" s="100">
        <v>3.92</v>
      </c>
      <c r="G43" s="100">
        <v>24.34</v>
      </c>
      <c r="H43" s="100">
        <v>4.1500000000000004</v>
      </c>
      <c r="I43" s="100">
        <v>9.76</v>
      </c>
      <c r="J43" s="100">
        <v>3.63</v>
      </c>
      <c r="K43" s="100">
        <v>245.48</v>
      </c>
      <c r="L43" s="100">
        <v>28.11</v>
      </c>
      <c r="M43" s="100">
        <v>70.02</v>
      </c>
      <c r="N43" s="100">
        <v>341.6</v>
      </c>
      <c r="O43" s="100">
        <v>0</v>
      </c>
      <c r="P43" s="100">
        <v>0.44</v>
      </c>
      <c r="Q43" s="100">
        <v>28.65</v>
      </c>
      <c r="R43" s="6"/>
      <c r="S43" s="6"/>
      <c r="T43" s="156"/>
      <c r="U43" s="6"/>
    </row>
    <row r="44" spans="1:21" customFormat="1">
      <c r="A44" s="163" t="s">
        <v>2771</v>
      </c>
      <c r="B44" s="100">
        <v>13.08</v>
      </c>
      <c r="C44" s="100">
        <v>8.82</v>
      </c>
      <c r="D44" s="100">
        <v>14.11</v>
      </c>
      <c r="E44" s="100">
        <v>5.84</v>
      </c>
      <c r="F44" s="100">
        <v>4.1900000000000004</v>
      </c>
      <c r="G44" s="100">
        <v>25.62</v>
      </c>
      <c r="H44" s="100">
        <v>4.6399999999999997</v>
      </c>
      <c r="I44" s="100">
        <v>9.86</v>
      </c>
      <c r="J44" s="100">
        <v>3.25</v>
      </c>
      <c r="K44" s="100">
        <v>279.16000000000003</v>
      </c>
      <c r="L44" s="100">
        <v>28.61</v>
      </c>
      <c r="M44" s="100">
        <v>68.430000000000007</v>
      </c>
      <c r="N44" s="100">
        <v>268.3</v>
      </c>
      <c r="O44" s="100">
        <v>0</v>
      </c>
      <c r="P44" s="100">
        <v>0.47</v>
      </c>
      <c r="Q44" s="100">
        <v>28.67</v>
      </c>
      <c r="R44" s="6"/>
      <c r="S44" s="6"/>
      <c r="T44" s="156"/>
      <c r="U44" s="6"/>
    </row>
    <row r="45" spans="1:21" customFormat="1">
      <c r="A45" s="163" t="s">
        <v>2772</v>
      </c>
      <c r="B45" s="100">
        <v>13.25</v>
      </c>
      <c r="C45" s="100">
        <v>8.9700000000000006</v>
      </c>
      <c r="D45" s="100">
        <v>14.32</v>
      </c>
      <c r="E45" s="100">
        <v>5.75</v>
      </c>
      <c r="F45" s="100">
        <v>3.61</v>
      </c>
      <c r="G45" s="100">
        <v>30.4</v>
      </c>
      <c r="H45" s="100">
        <v>6.47</v>
      </c>
      <c r="I45" s="100">
        <v>10.1</v>
      </c>
      <c r="J45" s="100">
        <v>4.87</v>
      </c>
      <c r="K45" s="100">
        <v>243.25</v>
      </c>
      <c r="L45" s="100">
        <v>28.1</v>
      </c>
      <c r="M45" s="100">
        <v>70.56</v>
      </c>
      <c r="N45" s="100">
        <v>260</v>
      </c>
      <c r="O45" s="100">
        <v>0</v>
      </c>
      <c r="P45" s="100">
        <v>0.48</v>
      </c>
      <c r="Q45" s="100">
        <v>28.62</v>
      </c>
      <c r="R45" s="6"/>
      <c r="S45" s="6"/>
      <c r="T45" s="156"/>
      <c r="U45" s="6"/>
    </row>
    <row r="46" spans="1:21" customFormat="1">
      <c r="A46" s="163" t="s">
        <v>2773</v>
      </c>
      <c r="B46" s="100">
        <v>12.94</v>
      </c>
      <c r="C46" s="100">
        <v>9.4600000000000009</v>
      </c>
      <c r="D46" s="100">
        <v>14.32</v>
      </c>
      <c r="E46" s="100">
        <v>5.98</v>
      </c>
      <c r="F46" s="100">
        <v>3.44</v>
      </c>
      <c r="G46" s="100">
        <v>30.4</v>
      </c>
      <c r="H46" s="100">
        <v>6.47</v>
      </c>
      <c r="I46" s="100">
        <v>10.45</v>
      </c>
      <c r="J46" s="100">
        <v>3.1</v>
      </c>
      <c r="K46" s="100">
        <v>255.39</v>
      </c>
      <c r="L46" s="100">
        <v>28.44</v>
      </c>
      <c r="M46" s="100">
        <v>69.510000000000005</v>
      </c>
      <c r="N46" s="100">
        <v>251.6</v>
      </c>
      <c r="O46" s="100">
        <v>0</v>
      </c>
      <c r="P46" s="100">
        <v>0.48</v>
      </c>
      <c r="Q46" s="100">
        <v>28.66</v>
      </c>
      <c r="R46" s="6"/>
      <c r="S46" s="6"/>
      <c r="T46" s="156"/>
      <c r="U46" s="6"/>
    </row>
    <row r="47" spans="1:21" customFormat="1">
      <c r="A47" s="163" t="s">
        <v>2774</v>
      </c>
      <c r="B47" s="100">
        <v>12.63</v>
      </c>
      <c r="C47" s="100">
        <v>9.92</v>
      </c>
      <c r="D47" s="100">
        <v>14.31</v>
      </c>
      <c r="E47" s="100">
        <v>6.31</v>
      </c>
      <c r="F47" s="100">
        <v>5.12</v>
      </c>
      <c r="G47" s="100">
        <v>30.4</v>
      </c>
      <c r="H47" s="100">
        <v>6.47</v>
      </c>
      <c r="I47" s="100">
        <v>10.6</v>
      </c>
      <c r="J47" s="100">
        <v>3.15</v>
      </c>
      <c r="K47" s="100">
        <v>253.14</v>
      </c>
      <c r="L47" s="100">
        <v>28.46</v>
      </c>
      <c r="M47" s="100">
        <v>68.87</v>
      </c>
      <c r="N47" s="100">
        <v>275</v>
      </c>
      <c r="O47" s="100">
        <v>0</v>
      </c>
      <c r="P47" s="100">
        <v>0.47</v>
      </c>
      <c r="Q47" s="100">
        <v>28.62</v>
      </c>
      <c r="R47" s="6"/>
      <c r="S47" s="6"/>
      <c r="T47" s="156"/>
      <c r="U47" s="6"/>
    </row>
    <row r="48" spans="1:21" customFormat="1">
      <c r="A48" s="163" t="s">
        <v>2775</v>
      </c>
      <c r="B48" s="100">
        <v>12.29</v>
      </c>
      <c r="C48" s="100">
        <v>10.28</v>
      </c>
      <c r="D48" s="100">
        <v>14.23</v>
      </c>
      <c r="E48" s="100">
        <v>5.9</v>
      </c>
      <c r="F48" s="100">
        <v>4.08</v>
      </c>
      <c r="G48" s="100">
        <v>30.01</v>
      </c>
      <c r="H48" s="100">
        <v>6.35</v>
      </c>
      <c r="I48" s="100">
        <v>10.68</v>
      </c>
      <c r="J48" s="100">
        <v>5.17</v>
      </c>
      <c r="K48" s="100">
        <v>243.58</v>
      </c>
      <c r="L48" s="100">
        <v>28.48</v>
      </c>
      <c r="M48" s="100">
        <v>68.7</v>
      </c>
      <c r="N48" s="100">
        <v>280.10000000000002</v>
      </c>
      <c r="O48" s="100">
        <v>0</v>
      </c>
      <c r="P48" s="100">
        <v>0.47</v>
      </c>
      <c r="Q48" s="100">
        <v>28.58</v>
      </c>
      <c r="R48" s="6"/>
      <c r="S48" s="6"/>
      <c r="T48" s="156"/>
      <c r="U48" s="6"/>
    </row>
    <row r="49" spans="1:21" customFormat="1">
      <c r="A49" s="163" t="s">
        <v>2776</v>
      </c>
      <c r="B49" s="100">
        <v>11.58</v>
      </c>
      <c r="C49" s="100">
        <v>10.39</v>
      </c>
      <c r="D49" s="100">
        <v>13.72</v>
      </c>
      <c r="E49" s="100">
        <v>6.25</v>
      </c>
      <c r="F49" s="100">
        <v>6.09</v>
      </c>
      <c r="G49" s="100">
        <v>28.55</v>
      </c>
      <c r="H49" s="100">
        <v>5.92</v>
      </c>
      <c r="I49" s="100">
        <v>10.64</v>
      </c>
      <c r="J49" s="100">
        <v>3.46</v>
      </c>
      <c r="K49" s="100">
        <v>256.18</v>
      </c>
      <c r="L49" s="100">
        <v>28.78</v>
      </c>
      <c r="M49" s="100">
        <v>68.14</v>
      </c>
      <c r="N49" s="100">
        <v>383.9</v>
      </c>
      <c r="O49" s="100">
        <v>0</v>
      </c>
      <c r="P49" s="100">
        <v>0.47</v>
      </c>
      <c r="Q49" s="100">
        <v>28.58</v>
      </c>
      <c r="R49" s="6"/>
      <c r="S49" s="6"/>
      <c r="T49" s="156"/>
      <c r="U49" s="6"/>
    </row>
    <row r="50" spans="1:21" customFormat="1">
      <c r="A50" s="163" t="s">
        <v>2777</v>
      </c>
      <c r="B50" s="100">
        <v>10.8</v>
      </c>
      <c r="C50" s="100">
        <v>10.199999999999999</v>
      </c>
      <c r="D50" s="100">
        <v>12.99</v>
      </c>
      <c r="E50" s="100">
        <v>6.46</v>
      </c>
      <c r="F50" s="100">
        <v>6.64</v>
      </c>
      <c r="G50" s="100">
        <v>28.55</v>
      </c>
      <c r="H50" s="100">
        <v>5.92</v>
      </c>
      <c r="I50" s="100">
        <v>10.52</v>
      </c>
      <c r="J50" s="100">
        <v>3.29</v>
      </c>
      <c r="K50" s="100">
        <v>241.54</v>
      </c>
      <c r="L50" s="100">
        <v>29.36</v>
      </c>
      <c r="M50" s="100">
        <v>66.92</v>
      </c>
      <c r="N50" s="100">
        <v>609</v>
      </c>
      <c r="O50" s="100">
        <v>0</v>
      </c>
      <c r="P50" s="100">
        <v>0.47</v>
      </c>
      <c r="Q50" s="100">
        <v>28.6</v>
      </c>
      <c r="R50" s="6"/>
      <c r="S50" s="6"/>
      <c r="T50" s="156"/>
      <c r="U50" s="6"/>
    </row>
    <row r="51" spans="1:21" customFormat="1">
      <c r="A51" s="163" t="s">
        <v>2778</v>
      </c>
      <c r="B51" s="100">
        <v>9.68</v>
      </c>
      <c r="C51" s="100">
        <v>9.9</v>
      </c>
      <c r="D51" s="100">
        <v>11.94</v>
      </c>
      <c r="E51" s="100">
        <v>6.3</v>
      </c>
      <c r="F51" s="100">
        <v>6.47</v>
      </c>
      <c r="G51" s="100">
        <v>28.55</v>
      </c>
      <c r="H51" s="100">
        <v>5.92</v>
      </c>
      <c r="I51" s="100">
        <v>10.41</v>
      </c>
      <c r="J51" s="100">
        <v>3.43</v>
      </c>
      <c r="K51" s="100">
        <v>243.35</v>
      </c>
      <c r="L51" s="100">
        <v>29.75</v>
      </c>
      <c r="M51" s="100">
        <v>65.930000000000007</v>
      </c>
      <c r="N51" s="100">
        <v>647.6</v>
      </c>
      <c r="O51" s="100">
        <v>0</v>
      </c>
      <c r="P51" s="100">
        <v>0.47</v>
      </c>
      <c r="Q51" s="100">
        <v>28.66</v>
      </c>
      <c r="R51" s="6"/>
      <c r="S51" s="6"/>
      <c r="T51" s="156"/>
      <c r="U51" s="6"/>
    </row>
    <row r="52" spans="1:21" customFormat="1">
      <c r="A52" s="163" t="s">
        <v>2779</v>
      </c>
      <c r="B52" s="100">
        <v>8.5399999999999991</v>
      </c>
      <c r="C52" s="100">
        <v>10.32</v>
      </c>
      <c r="D52" s="100">
        <v>11.25</v>
      </c>
      <c r="E52" s="100">
        <v>6.28</v>
      </c>
      <c r="F52" s="100">
        <v>10.29</v>
      </c>
      <c r="G52" s="100">
        <v>28.76</v>
      </c>
      <c r="H52" s="100">
        <v>6.21</v>
      </c>
      <c r="I52" s="100">
        <v>10.39</v>
      </c>
      <c r="J52" s="100">
        <v>2.2799999999999998</v>
      </c>
      <c r="K52" s="100">
        <v>241.52</v>
      </c>
      <c r="L52" s="100">
        <v>30.43</v>
      </c>
      <c r="M52" s="100">
        <v>63.94</v>
      </c>
      <c r="N52" s="100">
        <v>617.9</v>
      </c>
      <c r="O52" s="100">
        <v>0</v>
      </c>
      <c r="P52" s="100">
        <v>0.47</v>
      </c>
      <c r="Q52" s="100">
        <v>28.67</v>
      </c>
      <c r="R52" s="6"/>
      <c r="S52" s="6"/>
      <c r="T52" s="156"/>
      <c r="U52" s="6"/>
    </row>
    <row r="53" spans="1:21" customFormat="1">
      <c r="A53" s="163" t="s">
        <v>2780</v>
      </c>
      <c r="B53" s="100">
        <v>7.6</v>
      </c>
      <c r="C53" s="100">
        <v>10.6</v>
      </c>
      <c r="D53" s="100">
        <v>10.64</v>
      </c>
      <c r="E53" s="100">
        <v>5.66</v>
      </c>
      <c r="F53" s="100">
        <v>9.5299999999999994</v>
      </c>
      <c r="G53" s="100">
        <v>29.55</v>
      </c>
      <c r="H53" s="100">
        <v>7.3</v>
      </c>
      <c r="I53" s="100">
        <v>10.18</v>
      </c>
      <c r="J53" s="100">
        <v>1.26</v>
      </c>
      <c r="K53" s="100">
        <v>286.76</v>
      </c>
      <c r="L53" s="100">
        <v>31.11</v>
      </c>
      <c r="M53" s="100">
        <v>62.31</v>
      </c>
      <c r="N53" s="100">
        <v>464.2</v>
      </c>
      <c r="O53" s="100">
        <v>0</v>
      </c>
      <c r="P53" s="100">
        <v>0.47</v>
      </c>
      <c r="Q53" s="100">
        <v>28.74</v>
      </c>
      <c r="R53" s="6"/>
      <c r="S53" s="6"/>
      <c r="T53" s="156"/>
      <c r="U53" s="6"/>
    </row>
    <row r="54" spans="1:21" customFormat="1">
      <c r="A54" s="163" t="s">
        <v>2781</v>
      </c>
      <c r="B54" s="100">
        <v>6.91</v>
      </c>
      <c r="C54" s="100">
        <v>12.04</v>
      </c>
      <c r="D54" s="100">
        <v>10.84</v>
      </c>
      <c r="E54" s="100">
        <v>6.07</v>
      </c>
      <c r="F54" s="100">
        <v>7.2</v>
      </c>
      <c r="G54" s="100">
        <v>29.55</v>
      </c>
      <c r="H54" s="100">
        <v>7.3</v>
      </c>
      <c r="I54" s="100">
        <v>10.29</v>
      </c>
      <c r="J54" s="100">
        <v>1.54</v>
      </c>
      <c r="K54" s="100">
        <v>257.87</v>
      </c>
      <c r="L54" s="100">
        <v>30.92</v>
      </c>
      <c r="M54" s="100">
        <v>63.25</v>
      </c>
      <c r="N54" s="100">
        <v>463.6</v>
      </c>
      <c r="O54" s="100">
        <v>0</v>
      </c>
      <c r="P54" s="100">
        <v>0.51</v>
      </c>
      <c r="Q54" s="100">
        <v>28.74</v>
      </c>
      <c r="R54" s="6"/>
      <c r="S54" s="6"/>
      <c r="T54" s="156"/>
      <c r="U54" s="6"/>
    </row>
    <row r="55" spans="1:21" customFormat="1">
      <c r="A55" s="163" t="s">
        <v>2782</v>
      </c>
      <c r="B55" s="100">
        <v>6.55</v>
      </c>
      <c r="C55" s="100">
        <v>12.78</v>
      </c>
      <c r="D55" s="100">
        <v>10.94</v>
      </c>
      <c r="E55" s="100">
        <v>6.19</v>
      </c>
      <c r="F55" s="100">
        <v>7.32</v>
      </c>
      <c r="G55" s="100">
        <v>29.55</v>
      </c>
      <c r="H55" s="100">
        <v>7.3</v>
      </c>
      <c r="I55" s="100">
        <v>10.31</v>
      </c>
      <c r="J55" s="100">
        <v>1.38</v>
      </c>
      <c r="K55" s="100">
        <v>275.64</v>
      </c>
      <c r="L55" s="100">
        <v>31.48</v>
      </c>
      <c r="M55" s="100">
        <v>59.74</v>
      </c>
      <c r="N55" s="100">
        <v>558.29999999999995</v>
      </c>
      <c r="O55" s="100">
        <v>0</v>
      </c>
      <c r="P55" s="100">
        <v>0.48</v>
      </c>
      <c r="Q55" s="100">
        <v>28.84</v>
      </c>
      <c r="R55" s="6"/>
      <c r="S55" s="6"/>
      <c r="T55" s="156"/>
      <c r="U55" s="6"/>
    </row>
    <row r="56" spans="1:21" customFormat="1">
      <c r="A56" s="163" t="s">
        <v>2783</v>
      </c>
      <c r="B56" s="100">
        <v>6.54</v>
      </c>
      <c r="C56" s="100">
        <v>11.76</v>
      </c>
      <c r="D56" s="100">
        <v>10.39</v>
      </c>
      <c r="E56" s="100">
        <v>6.72</v>
      </c>
      <c r="F56" s="100">
        <v>11.98</v>
      </c>
      <c r="G56" s="100">
        <v>30.39</v>
      </c>
      <c r="H56" s="100">
        <v>9.41</v>
      </c>
      <c r="I56" s="100">
        <v>10.47</v>
      </c>
      <c r="J56" s="100">
        <v>0.08</v>
      </c>
      <c r="K56" s="100">
        <v>313.29000000000002</v>
      </c>
      <c r="L56" s="100">
        <v>32.380000000000003</v>
      </c>
      <c r="M56" s="100">
        <v>57.57</v>
      </c>
      <c r="N56" s="100">
        <v>594.6</v>
      </c>
      <c r="O56" s="100">
        <v>0</v>
      </c>
      <c r="P56" s="100">
        <v>0.48</v>
      </c>
      <c r="Q56" s="100">
        <v>29.01</v>
      </c>
      <c r="R56" s="6"/>
      <c r="S56" s="6"/>
      <c r="T56" s="156"/>
      <c r="U56" s="6"/>
    </row>
    <row r="57" spans="1:21" customFormat="1">
      <c r="A57" s="163" t="s">
        <v>2784</v>
      </c>
      <c r="B57" s="100">
        <v>5.53</v>
      </c>
      <c r="C57" s="100">
        <v>9.4499999999999993</v>
      </c>
      <c r="D57" s="100">
        <v>8.3699999999999992</v>
      </c>
      <c r="E57" s="100">
        <v>6.47</v>
      </c>
      <c r="F57" s="100">
        <v>8.6</v>
      </c>
      <c r="G57" s="100">
        <v>33.520000000000003</v>
      </c>
      <c r="H57" s="100">
        <v>17.260000000000002</v>
      </c>
      <c r="I57" s="100">
        <v>10.59</v>
      </c>
      <c r="J57" s="100">
        <v>3.79</v>
      </c>
      <c r="K57" s="100">
        <v>254.63</v>
      </c>
      <c r="L57" s="100">
        <v>31.82</v>
      </c>
      <c r="M57" s="100">
        <v>58.07</v>
      </c>
      <c r="N57" s="100">
        <v>469.3</v>
      </c>
      <c r="O57" s="100">
        <v>0</v>
      </c>
      <c r="P57" s="100">
        <v>0.48</v>
      </c>
      <c r="Q57" s="100">
        <v>29.07</v>
      </c>
      <c r="R57" s="6"/>
      <c r="S57" s="6"/>
      <c r="T57" s="156"/>
      <c r="U57" s="6"/>
    </row>
    <row r="58" spans="1:21" customFormat="1">
      <c r="A58" s="163" t="s">
        <v>2785</v>
      </c>
      <c r="B58" s="100">
        <v>4.9000000000000004</v>
      </c>
      <c r="C58" s="100">
        <v>9.23</v>
      </c>
      <c r="D58" s="100">
        <v>7.76</v>
      </c>
      <c r="E58" s="100">
        <v>5.98</v>
      </c>
      <c r="F58" s="100">
        <v>5.73</v>
      </c>
      <c r="G58" s="100">
        <v>33.520000000000003</v>
      </c>
      <c r="H58" s="100">
        <v>17.260000000000002</v>
      </c>
      <c r="I58" s="100">
        <v>10.34</v>
      </c>
      <c r="J58" s="100">
        <v>4.3600000000000003</v>
      </c>
      <c r="K58" s="100">
        <v>228.54</v>
      </c>
      <c r="L58" s="100">
        <v>31.71</v>
      </c>
      <c r="M58" s="100">
        <v>57.83</v>
      </c>
      <c r="N58" s="100">
        <v>478.1</v>
      </c>
      <c r="O58" s="100">
        <v>0</v>
      </c>
      <c r="P58" s="100">
        <v>0.49</v>
      </c>
      <c r="Q58" s="100">
        <v>29.13</v>
      </c>
      <c r="R58" s="6"/>
      <c r="S58" s="6"/>
      <c r="T58" s="156"/>
      <c r="U58" s="6"/>
    </row>
    <row r="59" spans="1:21" customFormat="1">
      <c r="A59" s="163" t="s">
        <v>2786</v>
      </c>
      <c r="B59" s="100">
        <v>4.3899999999999997</v>
      </c>
      <c r="C59" s="100">
        <v>9.1999999999999993</v>
      </c>
      <c r="D59" s="100">
        <v>7.33</v>
      </c>
      <c r="E59" s="100">
        <v>6.05</v>
      </c>
      <c r="F59" s="100">
        <v>8.8800000000000008</v>
      </c>
      <c r="G59" s="100">
        <v>33.520000000000003</v>
      </c>
      <c r="H59" s="100">
        <v>17.260000000000002</v>
      </c>
      <c r="I59" s="100">
        <v>10.48</v>
      </c>
      <c r="J59" s="100">
        <v>4.3499999999999996</v>
      </c>
      <c r="K59" s="100">
        <v>220.24</v>
      </c>
      <c r="L59" s="100">
        <v>31.91</v>
      </c>
      <c r="M59" s="100">
        <v>57.86</v>
      </c>
      <c r="N59" s="100">
        <v>399.3</v>
      </c>
      <c r="O59" s="100">
        <v>0</v>
      </c>
      <c r="P59" s="100">
        <v>0.48</v>
      </c>
      <c r="Q59" s="100">
        <v>29.18</v>
      </c>
      <c r="R59" s="6"/>
      <c r="S59" s="6"/>
      <c r="T59" s="156"/>
      <c r="U59" s="6"/>
    </row>
    <row r="60" spans="1:21" customFormat="1">
      <c r="A60" s="163" t="s">
        <v>2787</v>
      </c>
      <c r="B60" s="100">
        <v>3.68</v>
      </c>
      <c r="C60" s="100">
        <v>9.35</v>
      </c>
      <c r="D60" s="100">
        <v>6.84</v>
      </c>
      <c r="E60" s="100">
        <v>6.36</v>
      </c>
      <c r="F60" s="100">
        <v>18.88</v>
      </c>
      <c r="G60" s="100">
        <v>33.19</v>
      </c>
      <c r="H60" s="100">
        <v>16.84</v>
      </c>
      <c r="I60" s="100">
        <v>10.53</v>
      </c>
      <c r="J60" s="100">
        <v>3.12</v>
      </c>
      <c r="K60" s="100">
        <v>242.58</v>
      </c>
      <c r="L60" s="100">
        <v>31.83</v>
      </c>
      <c r="M60" s="100">
        <v>57.9</v>
      </c>
      <c r="N60" s="100">
        <v>401</v>
      </c>
      <c r="O60" s="100">
        <v>0</v>
      </c>
      <c r="P60" s="100">
        <v>0.48</v>
      </c>
      <c r="Q60" s="100">
        <v>29.19</v>
      </c>
      <c r="R60" s="6"/>
      <c r="S60" s="6"/>
      <c r="T60" s="156"/>
      <c r="U60" s="6"/>
    </row>
    <row r="61" spans="1:21" customFormat="1">
      <c r="A61" s="163" t="s">
        <v>2788</v>
      </c>
      <c r="B61" s="100">
        <v>3.41</v>
      </c>
      <c r="C61" s="100">
        <v>9.19</v>
      </c>
      <c r="D61" s="100">
        <v>6.54</v>
      </c>
      <c r="E61" s="100">
        <v>6.48</v>
      </c>
      <c r="F61" s="100">
        <v>19.36</v>
      </c>
      <c r="G61" s="100">
        <v>31.85</v>
      </c>
      <c r="H61" s="100">
        <v>15.26</v>
      </c>
      <c r="I61" s="100">
        <v>10.34</v>
      </c>
      <c r="J61" s="100">
        <v>1.85</v>
      </c>
      <c r="K61" s="100">
        <v>264.47000000000003</v>
      </c>
      <c r="L61" s="100">
        <v>32.42</v>
      </c>
      <c r="M61" s="100">
        <v>55.32</v>
      </c>
      <c r="N61" s="100">
        <v>743.6</v>
      </c>
      <c r="O61" s="100">
        <v>0</v>
      </c>
      <c r="P61" s="100">
        <v>0.5</v>
      </c>
      <c r="Q61" s="100">
        <v>29.22</v>
      </c>
      <c r="R61" s="6"/>
      <c r="S61" s="6"/>
      <c r="T61" s="156"/>
      <c r="U61" s="6"/>
    </row>
    <row r="62" spans="1:21" customFormat="1">
      <c r="A62" s="163" t="s">
        <v>2789</v>
      </c>
      <c r="B62" s="100">
        <v>3.11</v>
      </c>
      <c r="C62" s="100">
        <v>9.27</v>
      </c>
      <c r="D62" s="100">
        <v>6.35</v>
      </c>
      <c r="E62" s="100">
        <v>6.45</v>
      </c>
      <c r="F62" s="100">
        <v>11.29</v>
      </c>
      <c r="G62" s="100">
        <v>31.85</v>
      </c>
      <c r="H62" s="100">
        <v>15.26</v>
      </c>
      <c r="I62" s="100">
        <v>10.3</v>
      </c>
      <c r="J62" s="100">
        <v>3.97</v>
      </c>
      <c r="K62" s="100">
        <v>251.75</v>
      </c>
      <c r="L62" s="100">
        <v>32.69</v>
      </c>
      <c r="M62" s="100">
        <v>53.46</v>
      </c>
      <c r="N62" s="100">
        <v>757.4</v>
      </c>
      <c r="O62" s="100">
        <v>0</v>
      </c>
      <c r="P62" s="100">
        <v>0.49</v>
      </c>
      <c r="Q62" s="100">
        <v>29.22</v>
      </c>
      <c r="R62" s="6"/>
      <c r="S62" s="6"/>
      <c r="T62" s="156"/>
      <c r="U62" s="6"/>
    </row>
    <row r="63" spans="1:21" customFormat="1">
      <c r="A63" s="163" t="s">
        <v>2790</v>
      </c>
      <c r="B63" s="100">
        <v>2.81</v>
      </c>
      <c r="C63" s="100">
        <v>9.3000000000000007</v>
      </c>
      <c r="D63" s="100">
        <v>6.12</v>
      </c>
      <c r="E63" s="100">
        <v>6.25</v>
      </c>
      <c r="F63" s="100">
        <v>18.899999999999999</v>
      </c>
      <c r="G63" s="100">
        <v>31.85</v>
      </c>
      <c r="H63" s="100">
        <v>15.26</v>
      </c>
      <c r="I63" s="100">
        <v>10.3</v>
      </c>
      <c r="J63" s="100">
        <v>3.43</v>
      </c>
      <c r="K63" s="100">
        <v>295.08999999999997</v>
      </c>
      <c r="L63" s="100">
        <v>33.29</v>
      </c>
      <c r="M63" s="100">
        <v>51.93</v>
      </c>
      <c r="N63" s="100">
        <v>692.3</v>
      </c>
      <c r="O63" s="100">
        <v>0</v>
      </c>
      <c r="P63" s="100">
        <v>0.49</v>
      </c>
      <c r="Q63" s="100">
        <v>29.27</v>
      </c>
      <c r="R63" s="6"/>
      <c r="S63" s="6"/>
      <c r="T63" s="156"/>
      <c r="U63" s="6"/>
    </row>
    <row r="64" spans="1:21" customFormat="1">
      <c r="A64" s="163" t="s">
        <v>2791</v>
      </c>
      <c r="B64" s="100">
        <v>2.63</v>
      </c>
      <c r="C64" s="100">
        <v>8.7799999999999994</v>
      </c>
      <c r="D64" s="100">
        <v>5.7</v>
      </c>
      <c r="E64" s="100">
        <v>6.1</v>
      </c>
      <c r="F64" s="100">
        <v>11.92</v>
      </c>
      <c r="G64" s="100">
        <v>31.29</v>
      </c>
      <c r="H64" s="100">
        <v>15.14</v>
      </c>
      <c r="I64" s="100">
        <v>10.68</v>
      </c>
      <c r="J64" s="100">
        <v>3.25</v>
      </c>
      <c r="K64" s="100">
        <v>240.43</v>
      </c>
      <c r="L64" s="100">
        <v>33.340000000000003</v>
      </c>
      <c r="M64" s="100">
        <v>51.62</v>
      </c>
      <c r="N64" s="100">
        <v>668.5</v>
      </c>
      <c r="O64" s="100">
        <v>0</v>
      </c>
      <c r="P64" s="100">
        <v>0.5</v>
      </c>
      <c r="Q64" s="100">
        <v>29.3</v>
      </c>
      <c r="R64" s="6"/>
      <c r="S64" s="6"/>
      <c r="T64" s="156"/>
      <c r="U64" s="6"/>
    </row>
    <row r="65" spans="1:21" customFormat="1">
      <c r="A65" s="163" t="s">
        <v>2792</v>
      </c>
      <c r="B65" s="100">
        <v>2.54</v>
      </c>
      <c r="C65" s="100">
        <v>9.4499999999999993</v>
      </c>
      <c r="D65" s="100">
        <v>5.98</v>
      </c>
      <c r="E65" s="100">
        <v>6.34</v>
      </c>
      <c r="F65" s="100">
        <v>13.43</v>
      </c>
      <c r="G65" s="100">
        <v>29.23</v>
      </c>
      <c r="H65" s="100">
        <v>14.69</v>
      </c>
      <c r="I65" s="100">
        <v>10.87</v>
      </c>
      <c r="J65" s="100">
        <v>2.97</v>
      </c>
      <c r="K65" s="100">
        <v>262.07</v>
      </c>
      <c r="L65" s="100">
        <v>33.15</v>
      </c>
      <c r="M65" s="100">
        <v>51.59</v>
      </c>
      <c r="N65" s="100">
        <v>650.70000000000005</v>
      </c>
      <c r="O65" s="100">
        <v>0</v>
      </c>
      <c r="P65" s="100">
        <v>0.5</v>
      </c>
      <c r="Q65" s="100">
        <v>29.26</v>
      </c>
      <c r="R65" s="6"/>
      <c r="S65" s="6"/>
      <c r="T65" s="156"/>
      <c r="U65" s="6"/>
    </row>
    <row r="66" spans="1:21" customFormat="1">
      <c r="A66" s="163" t="s">
        <v>2793</v>
      </c>
      <c r="B66" s="100">
        <v>2.5299999999999998</v>
      </c>
      <c r="C66" s="100">
        <v>8.82</v>
      </c>
      <c r="D66" s="100">
        <v>5.64</v>
      </c>
      <c r="E66" s="100">
        <v>7.22</v>
      </c>
      <c r="F66" s="100">
        <v>24.39</v>
      </c>
      <c r="G66" s="100">
        <v>29.23</v>
      </c>
      <c r="H66" s="100">
        <v>14.69</v>
      </c>
      <c r="I66" s="100">
        <v>11.09</v>
      </c>
      <c r="J66" s="100">
        <v>0.31</v>
      </c>
      <c r="K66" s="100">
        <v>240.85</v>
      </c>
      <c r="L66" s="100">
        <v>34.380000000000003</v>
      </c>
      <c r="M66" s="100">
        <v>48.48</v>
      </c>
      <c r="N66" s="100">
        <v>501.9</v>
      </c>
      <c r="O66" s="100">
        <v>0</v>
      </c>
      <c r="P66" s="100">
        <v>0.49</v>
      </c>
      <c r="Q66" s="100">
        <v>29.3</v>
      </c>
      <c r="R66" s="6"/>
      <c r="S66" s="6"/>
      <c r="T66" s="156"/>
      <c r="U66" s="6"/>
    </row>
    <row r="67" spans="1:21" customFormat="1">
      <c r="A67" s="163" t="s">
        <v>2794</v>
      </c>
      <c r="B67" s="100">
        <v>2.38</v>
      </c>
      <c r="C67" s="100">
        <v>9.43</v>
      </c>
      <c r="D67" s="100">
        <v>5.85</v>
      </c>
      <c r="E67" s="100">
        <v>6.43</v>
      </c>
      <c r="F67" s="100">
        <v>10.82</v>
      </c>
      <c r="G67" s="100">
        <v>29.23</v>
      </c>
      <c r="H67" s="100">
        <v>14.69</v>
      </c>
      <c r="I67" s="100">
        <v>10.98</v>
      </c>
      <c r="J67" s="100">
        <v>1.77</v>
      </c>
      <c r="K67" s="100">
        <v>278.49</v>
      </c>
      <c r="L67" s="100">
        <v>33.909999999999997</v>
      </c>
      <c r="M67" s="100">
        <v>49.5</v>
      </c>
      <c r="N67" s="100">
        <v>431.7</v>
      </c>
      <c r="O67" s="100">
        <v>0</v>
      </c>
      <c r="P67" s="100">
        <v>0.51</v>
      </c>
      <c r="Q67" s="100">
        <v>29.27</v>
      </c>
      <c r="R67" s="6"/>
      <c r="S67" s="6"/>
      <c r="T67" s="156"/>
      <c r="U67" s="6"/>
    </row>
    <row r="68" spans="1:21" customFormat="1">
      <c r="A68" s="163" t="s">
        <v>2795</v>
      </c>
      <c r="B68" s="100">
        <v>1.71</v>
      </c>
      <c r="C68" s="100">
        <v>9.3000000000000007</v>
      </c>
      <c r="D68" s="100">
        <v>5.23</v>
      </c>
      <c r="E68" s="100">
        <v>6.88</v>
      </c>
      <c r="F68" s="100">
        <v>16.93</v>
      </c>
      <c r="G68" s="100">
        <v>29.47</v>
      </c>
      <c r="H68" s="100">
        <v>15.54</v>
      </c>
      <c r="I68" s="100">
        <v>10.72</v>
      </c>
      <c r="J68" s="100">
        <v>0.32</v>
      </c>
      <c r="K68" s="100">
        <v>168.13</v>
      </c>
      <c r="L68" s="100">
        <v>33.83</v>
      </c>
      <c r="M68" s="100">
        <v>49.95</v>
      </c>
      <c r="N68" s="100">
        <v>273.60000000000002</v>
      </c>
      <c r="O68" s="100">
        <v>0</v>
      </c>
      <c r="P68" s="100">
        <v>0.48</v>
      </c>
      <c r="Q68" s="100">
        <v>29.29</v>
      </c>
      <c r="R68" s="6"/>
      <c r="S68" s="6"/>
      <c r="T68" s="156"/>
      <c r="U68" s="6"/>
    </row>
    <row r="69" spans="1:21" customFormat="1">
      <c r="A69" s="163" t="s">
        <v>2796</v>
      </c>
      <c r="B69" s="100">
        <v>1.44</v>
      </c>
      <c r="C69" s="100">
        <v>8.4600000000000009</v>
      </c>
      <c r="D69" s="100">
        <v>4.58</v>
      </c>
      <c r="E69" s="100">
        <v>7.14</v>
      </c>
      <c r="F69" s="100">
        <v>24.37</v>
      </c>
      <c r="G69" s="100">
        <v>30.34</v>
      </c>
      <c r="H69" s="100">
        <v>18.7</v>
      </c>
      <c r="I69" s="100">
        <v>10.69</v>
      </c>
      <c r="J69" s="100">
        <v>2.13</v>
      </c>
      <c r="K69" s="100">
        <v>167.13</v>
      </c>
      <c r="L69" s="100">
        <v>33.44</v>
      </c>
      <c r="M69" s="100">
        <v>54.27</v>
      </c>
      <c r="N69" s="100">
        <v>119.8</v>
      </c>
      <c r="O69" s="100">
        <v>0</v>
      </c>
      <c r="P69" s="100">
        <v>0.46</v>
      </c>
      <c r="Q69" s="100">
        <v>29.39</v>
      </c>
      <c r="R69" s="6"/>
      <c r="S69" s="6"/>
      <c r="T69" s="156"/>
      <c r="U69" s="6"/>
    </row>
    <row r="70" spans="1:21" customFormat="1">
      <c r="A70" s="163" t="s">
        <v>2797</v>
      </c>
      <c r="B70" s="100">
        <v>1.41</v>
      </c>
      <c r="C70" s="100">
        <v>7.62</v>
      </c>
      <c r="D70" s="100">
        <v>4.12</v>
      </c>
      <c r="E70" s="100">
        <v>7.32</v>
      </c>
      <c r="F70" s="100">
        <v>17.55</v>
      </c>
      <c r="G70" s="100">
        <v>30.34</v>
      </c>
      <c r="H70" s="100">
        <v>18.7</v>
      </c>
      <c r="I70" s="100">
        <v>10.33</v>
      </c>
      <c r="J70" s="100">
        <v>3.87</v>
      </c>
      <c r="K70" s="100">
        <v>176.37</v>
      </c>
      <c r="L70" s="100">
        <v>31.95</v>
      </c>
      <c r="M70" s="100">
        <v>59.85</v>
      </c>
      <c r="N70" s="100">
        <v>113.4</v>
      </c>
      <c r="O70" s="100">
        <v>0</v>
      </c>
      <c r="P70" s="100">
        <v>0.46</v>
      </c>
      <c r="Q70" s="100">
        <v>29.48</v>
      </c>
      <c r="R70" s="6"/>
      <c r="S70" s="6"/>
      <c r="T70" s="156"/>
      <c r="U70" s="6"/>
    </row>
    <row r="71" spans="1:21" customFormat="1">
      <c r="A71" s="163" t="s">
        <v>2798</v>
      </c>
      <c r="B71" s="100">
        <v>1.68</v>
      </c>
      <c r="C71" s="100">
        <v>8.07</v>
      </c>
      <c r="D71" s="100">
        <v>4.57</v>
      </c>
      <c r="E71" s="100">
        <v>7.07</v>
      </c>
      <c r="F71" s="100">
        <v>10.54</v>
      </c>
      <c r="G71" s="100">
        <v>30.34</v>
      </c>
      <c r="H71" s="100">
        <v>18.7</v>
      </c>
      <c r="I71" s="100">
        <v>10.02</v>
      </c>
      <c r="J71" s="100">
        <v>2.4</v>
      </c>
      <c r="K71" s="100">
        <v>117.35</v>
      </c>
      <c r="L71" s="100">
        <v>30.76</v>
      </c>
      <c r="M71" s="100">
        <v>64.06</v>
      </c>
      <c r="N71" s="100">
        <v>57.8</v>
      </c>
      <c r="O71" s="100">
        <v>0</v>
      </c>
      <c r="P71" s="100">
        <v>0.5</v>
      </c>
      <c r="Q71" s="100">
        <v>29.46</v>
      </c>
      <c r="R71" s="6"/>
      <c r="S71" s="6"/>
      <c r="T71" s="156"/>
      <c r="U71" s="6"/>
    </row>
    <row r="72" spans="1:21" customFormat="1">
      <c r="A72" s="163" t="s">
        <v>2799</v>
      </c>
      <c r="B72" s="100">
        <v>2.02</v>
      </c>
      <c r="C72" s="100">
        <v>8.84</v>
      </c>
      <c r="D72" s="100">
        <v>5.24</v>
      </c>
      <c r="E72" s="100">
        <v>6.33</v>
      </c>
      <c r="F72" s="100">
        <v>7.57</v>
      </c>
      <c r="G72" s="100">
        <v>31.5</v>
      </c>
      <c r="H72" s="100">
        <v>18.7</v>
      </c>
      <c r="I72" s="100">
        <v>10.37</v>
      </c>
      <c r="J72" s="100">
        <v>2.39</v>
      </c>
      <c r="K72" s="100">
        <v>148.47</v>
      </c>
      <c r="L72" s="100">
        <v>26.99</v>
      </c>
      <c r="M72" s="100">
        <v>81.63</v>
      </c>
      <c r="N72" s="100">
        <v>42.9</v>
      </c>
      <c r="O72" s="100">
        <v>0.6</v>
      </c>
      <c r="P72" s="100">
        <v>0.48</v>
      </c>
      <c r="Q72" s="100">
        <v>29.44</v>
      </c>
      <c r="R72" s="6"/>
      <c r="S72" s="6"/>
      <c r="T72" s="156"/>
      <c r="U72" s="6"/>
    </row>
    <row r="73" spans="1:21" customFormat="1">
      <c r="A73" s="163" t="s">
        <v>2800</v>
      </c>
      <c r="B73" s="100">
        <v>2.14</v>
      </c>
      <c r="C73" s="100">
        <v>10.14</v>
      </c>
      <c r="D73" s="100">
        <v>6.02</v>
      </c>
      <c r="E73" s="100">
        <v>6.78</v>
      </c>
      <c r="F73" s="100">
        <v>12.19</v>
      </c>
      <c r="G73" s="100">
        <v>35.86</v>
      </c>
      <c r="H73" s="100">
        <v>18.7</v>
      </c>
      <c r="I73" s="100">
        <v>10.59</v>
      </c>
      <c r="J73" s="100">
        <v>1.28</v>
      </c>
      <c r="K73" s="100">
        <v>87.99</v>
      </c>
      <c r="L73" s="100">
        <v>25.37</v>
      </c>
      <c r="M73" s="100">
        <v>83.99</v>
      </c>
      <c r="N73" s="100">
        <v>37.9</v>
      </c>
      <c r="O73" s="100">
        <v>0</v>
      </c>
      <c r="P73" s="100">
        <v>0.49</v>
      </c>
      <c r="Q73" s="100">
        <v>29.35</v>
      </c>
      <c r="R73" s="6"/>
      <c r="S73" s="6"/>
      <c r="T73" s="156"/>
      <c r="U73" s="6"/>
    </row>
    <row r="74" spans="1:21" customFormat="1">
      <c r="A74" s="163" t="s">
        <v>2801</v>
      </c>
      <c r="B74" s="100">
        <v>2.15</v>
      </c>
      <c r="C74" s="100">
        <v>10.95</v>
      </c>
      <c r="D74" s="100">
        <v>6.45</v>
      </c>
      <c r="E74" s="100">
        <v>6.46</v>
      </c>
      <c r="F74" s="100">
        <v>6.66</v>
      </c>
      <c r="G74" s="100">
        <v>35.86</v>
      </c>
      <c r="H74" s="100">
        <v>18.7</v>
      </c>
      <c r="I74" s="100">
        <v>10.55</v>
      </c>
      <c r="J74" s="100">
        <v>2.73</v>
      </c>
      <c r="K74" s="100">
        <v>159.19</v>
      </c>
      <c r="L74" s="100">
        <v>24.76</v>
      </c>
      <c r="M74" s="100">
        <v>85.7</v>
      </c>
      <c r="N74" s="100">
        <v>34.9</v>
      </c>
      <c r="O74" s="100">
        <v>0.4</v>
      </c>
      <c r="P74" s="100">
        <v>0.48</v>
      </c>
      <c r="Q74" s="100">
        <v>29.23</v>
      </c>
      <c r="R74" s="6"/>
      <c r="S74" s="6"/>
      <c r="T74" s="156"/>
      <c r="U74" s="6"/>
    </row>
    <row r="75" spans="1:21" customFormat="1">
      <c r="A75" s="163" t="s">
        <v>2802</v>
      </c>
      <c r="B75" s="100">
        <v>2.0299999999999998</v>
      </c>
      <c r="C75" s="100">
        <v>11.18</v>
      </c>
      <c r="D75" s="100">
        <v>6.47</v>
      </c>
      <c r="E75" s="100">
        <v>5.84</v>
      </c>
      <c r="F75" s="100">
        <v>9.19</v>
      </c>
      <c r="G75" s="100">
        <v>35.86</v>
      </c>
      <c r="H75" s="100">
        <v>18.7</v>
      </c>
      <c r="I75" s="100">
        <v>10.37</v>
      </c>
      <c r="J75" s="100">
        <v>2.02</v>
      </c>
      <c r="K75" s="100">
        <v>175.68</v>
      </c>
      <c r="L75" s="100">
        <v>24.57</v>
      </c>
      <c r="M75" s="100">
        <v>87.51</v>
      </c>
      <c r="N75" s="100">
        <v>32</v>
      </c>
      <c r="O75" s="100">
        <v>0.2</v>
      </c>
      <c r="P75" s="100">
        <v>0.47</v>
      </c>
      <c r="Q75" s="100">
        <v>29.15</v>
      </c>
      <c r="R75" s="6"/>
      <c r="S75" s="6"/>
      <c r="T75" s="156"/>
      <c r="U75" s="6"/>
    </row>
    <row r="76" spans="1:21" customFormat="1">
      <c r="A76" s="163" t="s">
        <v>2803</v>
      </c>
      <c r="B76" s="100">
        <v>2.02</v>
      </c>
      <c r="C76" s="100">
        <v>11.42</v>
      </c>
      <c r="D76" s="100">
        <v>6.59</v>
      </c>
      <c r="E76" s="100">
        <v>6.28</v>
      </c>
      <c r="F76" s="100">
        <v>8.86</v>
      </c>
      <c r="G76" s="100">
        <v>34.380000000000003</v>
      </c>
      <c r="H76" s="100">
        <v>18.760000000000002</v>
      </c>
      <c r="I76" s="100">
        <v>10.220000000000001</v>
      </c>
      <c r="J76" s="100">
        <v>1.74</v>
      </c>
      <c r="K76" s="100">
        <v>103.05</v>
      </c>
      <c r="L76" s="100">
        <v>24.65</v>
      </c>
      <c r="M76" s="100">
        <v>88.1</v>
      </c>
      <c r="N76" s="100">
        <v>31.6</v>
      </c>
      <c r="O76" s="100">
        <v>0</v>
      </c>
      <c r="P76" s="100">
        <v>0.47</v>
      </c>
      <c r="Q76" s="100">
        <v>29.15</v>
      </c>
      <c r="R76" s="6"/>
      <c r="S76" s="6"/>
      <c r="T76" s="156"/>
      <c r="U76" s="6"/>
    </row>
    <row r="77" spans="1:21" customFormat="1">
      <c r="A77" s="163" t="s">
        <v>2804</v>
      </c>
      <c r="B77" s="100">
        <v>2.1800000000000002</v>
      </c>
      <c r="C77" s="100">
        <v>12.01</v>
      </c>
      <c r="D77" s="100">
        <v>7.03</v>
      </c>
      <c r="E77" s="100">
        <v>5.76</v>
      </c>
      <c r="F77" s="100">
        <v>6.7</v>
      </c>
      <c r="G77" s="100">
        <v>28.86</v>
      </c>
      <c r="H77" s="100">
        <v>18.989999999999998</v>
      </c>
      <c r="I77" s="100">
        <v>9.9600000000000009</v>
      </c>
      <c r="J77" s="100">
        <v>1.96</v>
      </c>
      <c r="K77" s="100">
        <v>253.11</v>
      </c>
      <c r="L77" s="100">
        <v>24.77</v>
      </c>
      <c r="M77" s="100">
        <v>86.07</v>
      </c>
      <c r="N77" s="100">
        <v>30.9</v>
      </c>
      <c r="O77" s="100">
        <v>0</v>
      </c>
      <c r="P77" s="100">
        <v>0.47</v>
      </c>
      <c r="Q77" s="100">
        <v>29.13</v>
      </c>
      <c r="R77" s="6"/>
      <c r="S77" s="6"/>
      <c r="T77" s="156"/>
      <c r="U77" s="6"/>
    </row>
    <row r="78" spans="1:21" customFormat="1">
      <c r="A78" s="163" t="s">
        <v>2805</v>
      </c>
      <c r="B78" s="100">
        <v>2.15</v>
      </c>
      <c r="C78" s="100">
        <v>11.9</v>
      </c>
      <c r="D78" s="100">
        <v>6.94</v>
      </c>
      <c r="E78" s="100">
        <v>6.4</v>
      </c>
      <c r="F78" s="100">
        <v>11.15</v>
      </c>
      <c r="G78" s="100">
        <v>28.86</v>
      </c>
      <c r="H78" s="100">
        <v>18.989999999999998</v>
      </c>
      <c r="I78" s="100">
        <v>10.050000000000001</v>
      </c>
      <c r="J78" s="100">
        <v>1.88</v>
      </c>
      <c r="K78" s="100">
        <v>133.69999999999999</v>
      </c>
      <c r="L78" s="100">
        <v>24.79</v>
      </c>
      <c r="M78" s="100">
        <v>84.57</v>
      </c>
      <c r="N78" s="100">
        <v>29.3</v>
      </c>
      <c r="O78" s="100">
        <v>0</v>
      </c>
      <c r="P78" s="100">
        <v>0.47</v>
      </c>
      <c r="Q78" s="100">
        <v>29.11</v>
      </c>
      <c r="R78" s="6"/>
      <c r="S78" s="6"/>
      <c r="T78" s="156"/>
      <c r="U78" s="6"/>
    </row>
    <row r="79" spans="1:21" customFormat="1">
      <c r="A79" s="163" t="s">
        <v>2806</v>
      </c>
      <c r="B79" s="100">
        <v>2.19</v>
      </c>
      <c r="C79" s="100">
        <v>12.22</v>
      </c>
      <c r="D79" s="100">
        <v>7.14</v>
      </c>
      <c r="E79" s="100">
        <v>6.14</v>
      </c>
      <c r="F79" s="100">
        <v>7.67</v>
      </c>
      <c r="G79" s="100">
        <v>28.86</v>
      </c>
      <c r="H79" s="100">
        <v>18.989999999999998</v>
      </c>
      <c r="I79" s="100">
        <v>10.1</v>
      </c>
      <c r="J79" s="100">
        <v>2.57</v>
      </c>
      <c r="K79" s="100">
        <v>139.91999999999999</v>
      </c>
      <c r="L79" s="100">
        <v>24.59</v>
      </c>
      <c r="M79" s="100">
        <v>85.94</v>
      </c>
      <c r="N79" s="100">
        <v>27.5</v>
      </c>
      <c r="O79" s="100">
        <v>0</v>
      </c>
      <c r="P79" s="100">
        <v>0.49</v>
      </c>
      <c r="Q79" s="100">
        <v>29.07</v>
      </c>
      <c r="R79" s="6"/>
      <c r="S79" s="6"/>
      <c r="T79" s="156"/>
      <c r="U79" s="6"/>
    </row>
    <row r="80" spans="1:21" customFormat="1">
      <c r="A80" s="163" t="s">
        <v>2807</v>
      </c>
      <c r="B80" s="100">
        <v>2.2400000000000002</v>
      </c>
      <c r="C80" s="100">
        <v>12.06</v>
      </c>
      <c r="D80" s="100">
        <v>7.11</v>
      </c>
      <c r="E80" s="100">
        <v>6.12</v>
      </c>
      <c r="F80" s="100">
        <v>4.53</v>
      </c>
      <c r="G80" s="100">
        <v>28.95</v>
      </c>
      <c r="H80" s="100">
        <v>17.91</v>
      </c>
      <c r="I80" s="100">
        <v>9.86</v>
      </c>
      <c r="J80" s="100">
        <v>3.48</v>
      </c>
      <c r="K80" s="100">
        <v>135.6</v>
      </c>
      <c r="L80" s="100">
        <v>24.66</v>
      </c>
      <c r="M80" s="100">
        <v>86.1</v>
      </c>
      <c r="N80" s="100">
        <v>27</v>
      </c>
      <c r="O80" s="100">
        <v>0</v>
      </c>
      <c r="P80" s="100">
        <v>0.5</v>
      </c>
      <c r="Q80" s="100">
        <v>29.06</v>
      </c>
      <c r="R80" s="6"/>
      <c r="S80" s="6"/>
      <c r="T80" s="156"/>
      <c r="U80" s="6"/>
    </row>
    <row r="81" spans="1:21" customFormat="1">
      <c r="A81" s="163" t="s">
        <v>2808</v>
      </c>
      <c r="B81" s="100">
        <v>2.31</v>
      </c>
      <c r="C81" s="100">
        <v>11.96</v>
      </c>
      <c r="D81" s="100">
        <v>7.1</v>
      </c>
      <c r="E81" s="100">
        <v>6.47</v>
      </c>
      <c r="F81" s="100">
        <v>4.63</v>
      </c>
      <c r="G81" s="100">
        <v>29.28</v>
      </c>
      <c r="H81" s="100">
        <v>13.88</v>
      </c>
      <c r="I81" s="100">
        <v>10.119999999999999</v>
      </c>
      <c r="J81" s="100">
        <v>2.95</v>
      </c>
      <c r="K81" s="100">
        <v>130.13999999999999</v>
      </c>
      <c r="L81" s="100">
        <v>24.7</v>
      </c>
      <c r="M81" s="100">
        <v>86.26</v>
      </c>
      <c r="N81" s="100">
        <v>25.1</v>
      </c>
      <c r="O81" s="100">
        <v>0</v>
      </c>
      <c r="P81" s="100">
        <v>0.49</v>
      </c>
      <c r="Q81" s="100">
        <v>29.06</v>
      </c>
      <c r="R81" s="6"/>
      <c r="S81" s="6"/>
      <c r="T81" s="156"/>
      <c r="U81" s="6"/>
    </row>
    <row r="82" spans="1:21" customFormat="1">
      <c r="A82" s="163" t="s">
        <v>2809</v>
      </c>
      <c r="B82" s="100">
        <v>2.5</v>
      </c>
      <c r="C82" s="100">
        <v>9.92</v>
      </c>
      <c r="D82" s="100">
        <v>6.19</v>
      </c>
      <c r="E82" s="100">
        <v>6.37</v>
      </c>
      <c r="F82" s="100">
        <v>6.35</v>
      </c>
      <c r="G82" s="100">
        <v>29.28</v>
      </c>
      <c r="H82" s="100">
        <v>13.88</v>
      </c>
      <c r="I82" s="100">
        <v>10.199999999999999</v>
      </c>
      <c r="J82" s="100">
        <v>3.86</v>
      </c>
      <c r="K82" s="100">
        <v>217.79</v>
      </c>
      <c r="L82" s="100">
        <v>25.06</v>
      </c>
      <c r="M82" s="100">
        <v>85.05</v>
      </c>
      <c r="N82" s="100">
        <v>23.9</v>
      </c>
      <c r="O82" s="100">
        <v>0</v>
      </c>
      <c r="P82" s="100">
        <v>0.47</v>
      </c>
      <c r="Q82" s="100">
        <v>29.19</v>
      </c>
      <c r="R82" s="6"/>
      <c r="S82" s="6"/>
      <c r="T82" s="156"/>
      <c r="U82" s="6"/>
    </row>
    <row r="83" spans="1:21" customFormat="1">
      <c r="A83" s="163" t="s">
        <v>2810</v>
      </c>
      <c r="B83" s="100">
        <v>2.56</v>
      </c>
      <c r="C83" s="100">
        <v>9.07</v>
      </c>
      <c r="D83" s="100">
        <v>5.8</v>
      </c>
      <c r="E83" s="100">
        <v>5.67</v>
      </c>
      <c r="F83" s="100">
        <v>4.3600000000000003</v>
      </c>
      <c r="G83" s="100">
        <v>29.28</v>
      </c>
      <c r="H83" s="100">
        <v>13.88</v>
      </c>
      <c r="I83" s="100">
        <v>10.16</v>
      </c>
      <c r="J83" s="100">
        <v>3.86</v>
      </c>
      <c r="K83" s="100">
        <v>212.89</v>
      </c>
      <c r="L83" s="100">
        <v>25.02</v>
      </c>
      <c r="M83" s="100">
        <v>84.76</v>
      </c>
      <c r="N83" s="100">
        <v>24.5</v>
      </c>
      <c r="O83" s="100">
        <v>0</v>
      </c>
      <c r="P83" s="100">
        <v>0.48</v>
      </c>
      <c r="Q83" s="100">
        <v>29.25</v>
      </c>
      <c r="R83" s="6"/>
      <c r="S83" s="6"/>
      <c r="T83" s="156"/>
      <c r="U83" s="6"/>
    </row>
    <row r="84" spans="1:21" customFormat="1">
      <c r="A84" s="163" t="s">
        <v>2811</v>
      </c>
      <c r="B84" s="100">
        <v>2.62</v>
      </c>
      <c r="C84" s="100">
        <v>7.88</v>
      </c>
      <c r="D84" s="100">
        <v>5.22</v>
      </c>
      <c r="E84" s="100">
        <v>5.97</v>
      </c>
      <c r="F84" s="100">
        <v>5.76</v>
      </c>
      <c r="G84" s="100">
        <v>29.51</v>
      </c>
      <c r="H84" s="100">
        <v>14.13</v>
      </c>
      <c r="I84" s="100">
        <v>10.029999999999999</v>
      </c>
      <c r="J84" s="100">
        <v>3.37</v>
      </c>
      <c r="K84" s="100">
        <v>181.25</v>
      </c>
      <c r="L84" s="100">
        <v>25.06</v>
      </c>
      <c r="M84" s="100">
        <v>85.32</v>
      </c>
      <c r="N84" s="100">
        <v>24.2</v>
      </c>
      <c r="O84" s="100">
        <v>0</v>
      </c>
      <c r="P84" s="100">
        <v>0.47</v>
      </c>
      <c r="Q84" s="100">
        <v>29.34</v>
      </c>
      <c r="R84" s="6"/>
      <c r="S84" s="6"/>
      <c r="T84" s="156"/>
      <c r="U84" s="6"/>
    </row>
    <row r="85" spans="1:21" customFormat="1">
      <c r="A85" s="163" t="s">
        <v>2812</v>
      </c>
      <c r="B85" s="100">
        <v>2.74</v>
      </c>
      <c r="C85" s="100">
        <v>8.66</v>
      </c>
      <c r="D85" s="100">
        <v>5.73</v>
      </c>
      <c r="E85" s="100">
        <v>5.97</v>
      </c>
      <c r="F85" s="100">
        <v>3.52</v>
      </c>
      <c r="G85" s="100">
        <v>30.36</v>
      </c>
      <c r="H85" s="100">
        <v>15.08</v>
      </c>
      <c r="I85" s="100">
        <v>10.029999999999999</v>
      </c>
      <c r="J85" s="100">
        <v>2.74</v>
      </c>
      <c r="K85" s="100">
        <v>189.99</v>
      </c>
      <c r="L85" s="100">
        <v>24.9</v>
      </c>
      <c r="M85" s="100">
        <v>86.24</v>
      </c>
      <c r="N85" s="100">
        <v>24.2</v>
      </c>
      <c r="O85" s="100">
        <v>0</v>
      </c>
      <c r="P85" s="100">
        <v>0.49</v>
      </c>
      <c r="Q85" s="100">
        <v>29.28</v>
      </c>
      <c r="R85" s="6"/>
      <c r="S85" s="6"/>
      <c r="T85" s="156"/>
      <c r="U85" s="6"/>
    </row>
    <row r="86" spans="1:21" customFormat="1">
      <c r="A86" s="163" t="s">
        <v>2813</v>
      </c>
      <c r="B86" s="100">
        <v>2.8</v>
      </c>
      <c r="C86" s="100">
        <v>9.58</v>
      </c>
      <c r="D86" s="100">
        <v>6.26</v>
      </c>
      <c r="E86" s="100">
        <v>6.22</v>
      </c>
      <c r="F86" s="100">
        <v>7.41</v>
      </c>
      <c r="G86" s="100">
        <v>30.36</v>
      </c>
      <c r="H86" s="100">
        <v>15.08</v>
      </c>
      <c r="I86" s="100">
        <v>9.99</v>
      </c>
      <c r="J86" s="100">
        <v>3.46</v>
      </c>
      <c r="K86" s="100">
        <v>191.38</v>
      </c>
      <c r="L86" s="100">
        <v>24.88</v>
      </c>
      <c r="M86" s="100">
        <v>85.59</v>
      </c>
      <c r="N86" s="100">
        <v>24.5</v>
      </c>
      <c r="O86" s="100">
        <v>0</v>
      </c>
      <c r="P86" s="100">
        <v>0.46</v>
      </c>
      <c r="Q86" s="100">
        <v>29.22</v>
      </c>
      <c r="R86" s="6"/>
      <c r="S86" s="6"/>
      <c r="T86" s="156"/>
      <c r="U86" s="6"/>
    </row>
    <row r="87" spans="1:21" customFormat="1">
      <c r="A87" s="163" t="s">
        <v>2814</v>
      </c>
      <c r="B87" s="100">
        <v>2.88</v>
      </c>
      <c r="C87" s="100">
        <v>8.99</v>
      </c>
      <c r="D87" s="100">
        <v>6.01</v>
      </c>
      <c r="E87" s="100">
        <v>6.52</v>
      </c>
      <c r="F87" s="100">
        <v>6.15</v>
      </c>
      <c r="G87" s="100">
        <v>30.36</v>
      </c>
      <c r="H87" s="100">
        <v>15.08</v>
      </c>
      <c r="I87" s="100">
        <v>10.039999999999999</v>
      </c>
      <c r="J87" s="100">
        <v>3.45</v>
      </c>
      <c r="K87" s="100">
        <v>230.29</v>
      </c>
      <c r="L87" s="100">
        <v>24.88</v>
      </c>
      <c r="M87" s="100">
        <v>85.78</v>
      </c>
      <c r="N87" s="100">
        <v>24.2</v>
      </c>
      <c r="O87" s="100">
        <v>0</v>
      </c>
      <c r="P87" s="100">
        <v>0.45</v>
      </c>
      <c r="Q87" s="100">
        <v>29.28</v>
      </c>
      <c r="R87" s="6"/>
      <c r="S87" s="6"/>
      <c r="T87" s="156"/>
      <c r="U87" s="6"/>
    </row>
    <row r="88" spans="1:21" customFormat="1">
      <c r="A88" s="163" t="s">
        <v>2815</v>
      </c>
      <c r="B88" s="100">
        <v>2.92</v>
      </c>
      <c r="C88" s="100">
        <v>9.1</v>
      </c>
      <c r="D88" s="100">
        <v>6.11</v>
      </c>
      <c r="E88" s="100">
        <v>5.9</v>
      </c>
      <c r="F88" s="100">
        <v>6.87</v>
      </c>
      <c r="G88" s="100">
        <v>28.37</v>
      </c>
      <c r="H88" s="100">
        <v>14.87</v>
      </c>
      <c r="I88" s="100">
        <v>9.82</v>
      </c>
      <c r="J88" s="100">
        <v>3.9</v>
      </c>
      <c r="K88" s="100">
        <v>196.3</v>
      </c>
      <c r="L88" s="100">
        <v>24.77</v>
      </c>
      <c r="M88" s="100">
        <v>85.88</v>
      </c>
      <c r="N88" s="100">
        <v>24.5</v>
      </c>
      <c r="O88" s="100">
        <v>0</v>
      </c>
      <c r="P88" s="100">
        <v>0.46</v>
      </c>
      <c r="Q88" s="100">
        <v>29.26</v>
      </c>
      <c r="R88" s="6"/>
      <c r="S88" s="6"/>
      <c r="T88" s="156"/>
      <c r="U88" s="6"/>
    </row>
    <row r="89" spans="1:21" customFormat="1">
      <c r="A89" s="163" t="s">
        <v>2816</v>
      </c>
      <c r="B89" s="100">
        <v>2.75</v>
      </c>
      <c r="C89" s="100">
        <v>9.5</v>
      </c>
      <c r="D89" s="100">
        <v>6.18</v>
      </c>
      <c r="E89" s="100">
        <v>6.14</v>
      </c>
      <c r="F89" s="100">
        <v>7.69</v>
      </c>
      <c r="G89" s="100">
        <v>20.94</v>
      </c>
      <c r="H89" s="100">
        <v>14.07</v>
      </c>
      <c r="I89" s="100">
        <v>9.85</v>
      </c>
      <c r="J89" s="100">
        <v>3.77</v>
      </c>
      <c r="K89" s="100">
        <v>208.79</v>
      </c>
      <c r="L89" s="100">
        <v>24.75</v>
      </c>
      <c r="M89" s="100">
        <v>86.18</v>
      </c>
      <c r="N89" s="100">
        <v>24</v>
      </c>
      <c r="O89" s="100">
        <v>0</v>
      </c>
      <c r="P89" s="100">
        <v>0.47</v>
      </c>
      <c r="Q89" s="100">
        <v>29.24</v>
      </c>
      <c r="R89" s="6"/>
      <c r="S89" s="6"/>
      <c r="T89" s="156"/>
      <c r="U89" s="6"/>
    </row>
    <row r="90" spans="1:21" customFormat="1">
      <c r="A90" s="163" t="s">
        <v>2817</v>
      </c>
      <c r="B90" s="100">
        <v>2.68</v>
      </c>
      <c r="C90" s="100">
        <v>9.7899999999999991</v>
      </c>
      <c r="D90" s="100">
        <v>6.27</v>
      </c>
      <c r="E90" s="100">
        <v>6.27</v>
      </c>
      <c r="F90" s="100">
        <v>5</v>
      </c>
      <c r="G90" s="100">
        <v>20.94</v>
      </c>
      <c r="H90" s="100">
        <v>14.07</v>
      </c>
      <c r="I90" s="100">
        <v>9.83</v>
      </c>
      <c r="J90" s="100">
        <v>3.56</v>
      </c>
      <c r="K90" s="100">
        <v>232.53</v>
      </c>
      <c r="L90" s="100">
        <v>24.74</v>
      </c>
      <c r="M90" s="100">
        <v>86.41</v>
      </c>
      <c r="N90" s="100">
        <v>23.9</v>
      </c>
      <c r="O90" s="100">
        <v>0</v>
      </c>
      <c r="P90" s="100">
        <v>0.46</v>
      </c>
      <c r="Q90" s="100">
        <v>29.18</v>
      </c>
      <c r="R90" s="6"/>
      <c r="S90" s="6"/>
      <c r="T90" s="156"/>
      <c r="U90" s="6"/>
    </row>
    <row r="91" spans="1:21" customFormat="1">
      <c r="A91" s="163" t="s">
        <v>2818</v>
      </c>
      <c r="B91" s="100">
        <v>2.58</v>
      </c>
      <c r="C91" s="100">
        <v>10.039999999999999</v>
      </c>
      <c r="D91" s="100">
        <v>6.32</v>
      </c>
      <c r="E91" s="100">
        <v>6.12</v>
      </c>
      <c r="F91" s="100">
        <v>7.23</v>
      </c>
      <c r="G91" s="100">
        <v>20.94</v>
      </c>
      <c r="H91" s="100">
        <v>14.07</v>
      </c>
      <c r="I91" s="100">
        <v>9.64</v>
      </c>
      <c r="J91" s="100">
        <v>2.2200000000000002</v>
      </c>
      <c r="K91" s="100">
        <v>222.99</v>
      </c>
      <c r="L91" s="100">
        <v>24.67</v>
      </c>
      <c r="M91" s="100">
        <v>86.31</v>
      </c>
      <c r="N91" s="100">
        <v>24</v>
      </c>
      <c r="O91" s="100">
        <v>0</v>
      </c>
      <c r="P91" s="100">
        <v>0.46</v>
      </c>
      <c r="Q91" s="100">
        <v>29.13</v>
      </c>
      <c r="R91" s="6"/>
      <c r="S91" s="6"/>
      <c r="T91" s="156"/>
      <c r="U91" s="6"/>
    </row>
    <row r="92" spans="1:21" customFormat="1">
      <c r="A92" s="163" t="s">
        <v>2819</v>
      </c>
      <c r="B92" s="100">
        <v>2.7</v>
      </c>
      <c r="C92" s="100">
        <v>10.42</v>
      </c>
      <c r="D92" s="100">
        <v>6.61</v>
      </c>
      <c r="E92" s="100">
        <v>6.32</v>
      </c>
      <c r="F92" s="100">
        <v>8.27</v>
      </c>
      <c r="G92" s="100">
        <v>20.81</v>
      </c>
      <c r="H92" s="100">
        <v>14.02</v>
      </c>
      <c r="I92" s="100">
        <v>9.68</v>
      </c>
      <c r="J92" s="100">
        <v>3.89</v>
      </c>
      <c r="K92" s="100">
        <v>254.81</v>
      </c>
      <c r="L92" s="100">
        <v>24.79</v>
      </c>
      <c r="M92" s="100">
        <v>84.25</v>
      </c>
      <c r="N92" s="100">
        <v>24</v>
      </c>
      <c r="O92" s="100">
        <v>0</v>
      </c>
      <c r="P92" s="100">
        <v>0.47</v>
      </c>
      <c r="Q92" s="100">
        <v>29.11</v>
      </c>
      <c r="R92" s="6"/>
      <c r="S92" s="6"/>
      <c r="T92" s="156"/>
      <c r="U92" s="6"/>
    </row>
    <row r="93" spans="1:21" customFormat="1">
      <c r="A93" s="163" t="s">
        <v>2820</v>
      </c>
      <c r="B93" s="100">
        <v>2.7</v>
      </c>
      <c r="C93" s="100">
        <v>10.38</v>
      </c>
      <c r="D93" s="100">
        <v>6.59</v>
      </c>
      <c r="E93" s="100">
        <v>6.02</v>
      </c>
      <c r="F93" s="100">
        <v>5.17</v>
      </c>
      <c r="G93" s="100">
        <v>20.34</v>
      </c>
      <c r="H93" s="100">
        <v>13.82</v>
      </c>
      <c r="I93" s="100">
        <v>9.61</v>
      </c>
      <c r="J93" s="100">
        <v>4.8499999999999996</v>
      </c>
      <c r="K93" s="100">
        <v>251.72</v>
      </c>
      <c r="L93" s="100">
        <v>24.83</v>
      </c>
      <c r="M93" s="100">
        <v>83.83</v>
      </c>
      <c r="N93" s="100">
        <v>23.8</v>
      </c>
      <c r="O93" s="100">
        <v>0</v>
      </c>
      <c r="P93" s="100">
        <v>0.47</v>
      </c>
      <c r="Q93" s="100">
        <v>29.12</v>
      </c>
      <c r="R93" s="6"/>
      <c r="S93" s="6"/>
      <c r="T93" s="156"/>
      <c r="U93" s="6"/>
    </row>
    <row r="94" spans="1:21" customFormat="1">
      <c r="A94" s="163" t="s">
        <v>2821</v>
      </c>
      <c r="B94" s="100">
        <v>2.77</v>
      </c>
      <c r="C94" s="100">
        <v>10.88</v>
      </c>
      <c r="D94" s="100">
        <v>6.92</v>
      </c>
      <c r="E94" s="100">
        <v>5.92</v>
      </c>
      <c r="F94" s="100">
        <v>3.4</v>
      </c>
      <c r="G94" s="100">
        <v>20.34</v>
      </c>
      <c r="H94" s="100">
        <v>13.82</v>
      </c>
      <c r="I94" s="100">
        <v>9.49</v>
      </c>
      <c r="J94" s="100">
        <v>4.9400000000000004</v>
      </c>
      <c r="K94" s="100">
        <v>230.95</v>
      </c>
      <c r="L94" s="100">
        <v>24.87</v>
      </c>
      <c r="M94" s="100">
        <v>83.09</v>
      </c>
      <c r="N94" s="100">
        <v>23.5</v>
      </c>
      <c r="O94" s="100">
        <v>0</v>
      </c>
      <c r="P94" s="100">
        <v>0.48</v>
      </c>
      <c r="Q94" s="100">
        <v>29.09</v>
      </c>
      <c r="R94" s="6"/>
      <c r="S94" s="6"/>
      <c r="T94" s="156"/>
      <c r="U94" s="6"/>
    </row>
    <row r="95" spans="1:21" customFormat="1">
      <c r="A95" s="163" t="s">
        <v>2822</v>
      </c>
      <c r="B95" s="100">
        <v>2.94</v>
      </c>
      <c r="C95" s="100">
        <v>9.9</v>
      </c>
      <c r="D95" s="100">
        <v>6.54</v>
      </c>
      <c r="E95" s="100">
        <v>5.82</v>
      </c>
      <c r="F95" s="100">
        <v>3.15</v>
      </c>
      <c r="G95" s="100">
        <v>20.34</v>
      </c>
      <c r="H95" s="100">
        <v>13.82</v>
      </c>
      <c r="I95" s="100">
        <v>9.4700000000000006</v>
      </c>
      <c r="J95" s="100">
        <v>4.4400000000000004</v>
      </c>
      <c r="K95" s="100">
        <v>240.73</v>
      </c>
      <c r="L95" s="100">
        <v>25.02</v>
      </c>
      <c r="M95" s="100">
        <v>82.38</v>
      </c>
      <c r="N95" s="100">
        <v>23.3</v>
      </c>
      <c r="O95" s="100">
        <v>0</v>
      </c>
      <c r="P95" s="100">
        <v>0.46</v>
      </c>
      <c r="Q95" s="100">
        <v>29.18</v>
      </c>
      <c r="R95" s="6"/>
      <c r="S95" s="6"/>
      <c r="T95" s="156"/>
      <c r="U95" s="6"/>
    </row>
    <row r="96" spans="1:21" customFormat="1">
      <c r="A96" s="163" t="s">
        <v>2823</v>
      </c>
      <c r="B96" s="100">
        <v>3.05</v>
      </c>
      <c r="C96" s="100">
        <v>8.4</v>
      </c>
      <c r="D96" s="100">
        <v>5.84</v>
      </c>
      <c r="E96" s="100">
        <v>5.83</v>
      </c>
      <c r="F96" s="100">
        <v>3.68</v>
      </c>
      <c r="G96" s="100">
        <v>20.54</v>
      </c>
      <c r="H96" s="100">
        <v>13.06</v>
      </c>
      <c r="I96" s="100">
        <v>9.61</v>
      </c>
      <c r="J96" s="100">
        <v>4.72</v>
      </c>
      <c r="K96" s="100">
        <v>230.55</v>
      </c>
      <c r="L96" s="100">
        <v>25.13</v>
      </c>
      <c r="M96" s="100">
        <v>83.2</v>
      </c>
      <c r="N96" s="100">
        <v>23.3</v>
      </c>
      <c r="O96" s="100">
        <v>0</v>
      </c>
      <c r="P96" s="100">
        <v>0.45</v>
      </c>
      <c r="Q96" s="100">
        <v>29.25</v>
      </c>
      <c r="R96" s="6"/>
      <c r="S96" s="6"/>
      <c r="T96" s="156"/>
      <c r="U96" s="6"/>
    </row>
    <row r="97" spans="1:28" customFormat="1">
      <c r="A97" s="163" t="s">
        <v>2824</v>
      </c>
      <c r="B97" s="100">
        <v>3.22</v>
      </c>
      <c r="C97" s="100">
        <v>8.16</v>
      </c>
      <c r="D97" s="100">
        <v>5.85</v>
      </c>
      <c r="E97" s="100">
        <v>5.6</v>
      </c>
      <c r="F97" s="100">
        <v>3.37</v>
      </c>
      <c r="G97" s="100">
        <v>21.28</v>
      </c>
      <c r="H97" s="100">
        <v>10.210000000000001</v>
      </c>
      <c r="I97" s="100">
        <v>9.5299999999999994</v>
      </c>
      <c r="J97" s="100">
        <v>4.4800000000000004</v>
      </c>
      <c r="K97" s="100">
        <v>236.86</v>
      </c>
      <c r="L97" s="100">
        <v>25.08</v>
      </c>
      <c r="M97" s="100">
        <v>84.18</v>
      </c>
      <c r="N97" s="100">
        <v>23.3</v>
      </c>
      <c r="O97" s="100">
        <v>0</v>
      </c>
      <c r="P97" s="100">
        <v>0.46</v>
      </c>
      <c r="Q97" s="100">
        <v>29.32</v>
      </c>
      <c r="R97" s="6"/>
      <c r="S97" s="6"/>
      <c r="T97" s="156"/>
      <c r="U97" s="6"/>
    </row>
    <row r="98" spans="1:28" customFormat="1">
      <c r="A98" s="163" t="s">
        <v>2825</v>
      </c>
      <c r="B98" s="100">
        <v>3.4</v>
      </c>
      <c r="C98" s="100">
        <v>7.67</v>
      </c>
      <c r="D98" s="100">
        <v>5.74</v>
      </c>
      <c r="E98" s="100">
        <v>5.74</v>
      </c>
      <c r="F98" s="100">
        <v>3.17</v>
      </c>
      <c r="G98" s="100">
        <v>21.28</v>
      </c>
      <c r="H98" s="100">
        <v>10.210000000000001</v>
      </c>
      <c r="I98" s="100">
        <v>9.6300000000000008</v>
      </c>
      <c r="J98" s="100">
        <v>1.35</v>
      </c>
      <c r="K98" s="100">
        <v>308.14</v>
      </c>
      <c r="L98" s="100">
        <v>25.16</v>
      </c>
      <c r="M98" s="100">
        <v>83.88</v>
      </c>
      <c r="N98" s="100">
        <v>23.3</v>
      </c>
      <c r="O98" s="100">
        <v>0</v>
      </c>
      <c r="P98" s="100">
        <v>0.47</v>
      </c>
      <c r="Q98" s="100">
        <v>29.32</v>
      </c>
      <c r="R98" s="6"/>
      <c r="S98" s="6"/>
      <c r="T98" s="156"/>
      <c r="U98" s="6"/>
    </row>
    <row r="99" spans="1:28" customFormat="1">
      <c r="A99" s="163" t="s">
        <v>2826</v>
      </c>
      <c r="B99" s="100">
        <v>3.55</v>
      </c>
      <c r="C99" s="100">
        <v>9.4499999999999993</v>
      </c>
      <c r="D99" s="100">
        <v>6.79</v>
      </c>
      <c r="E99" s="100">
        <v>5.94</v>
      </c>
      <c r="F99" s="100">
        <v>2.79</v>
      </c>
      <c r="G99" s="100">
        <v>21.28</v>
      </c>
      <c r="H99" s="100">
        <v>10.210000000000001</v>
      </c>
      <c r="I99" s="100">
        <v>9.76</v>
      </c>
      <c r="J99" s="100">
        <v>4.43</v>
      </c>
      <c r="K99" s="100">
        <v>241.94</v>
      </c>
      <c r="L99" s="100">
        <v>25.13</v>
      </c>
      <c r="M99" s="100">
        <v>83.24</v>
      </c>
      <c r="N99" s="100">
        <v>23.3</v>
      </c>
      <c r="O99" s="100">
        <v>0</v>
      </c>
      <c r="P99" s="100">
        <v>0.49</v>
      </c>
      <c r="Q99" s="100">
        <v>29.18</v>
      </c>
      <c r="R99" s="6"/>
      <c r="S99" s="6"/>
      <c r="T99" s="156"/>
      <c r="U99" s="6"/>
    </row>
    <row r="100" spans="1:28" customFormat="1">
      <c r="A100" s="163" t="s">
        <v>2827</v>
      </c>
      <c r="B100" s="100">
        <v>3.86</v>
      </c>
      <c r="C100" s="100">
        <v>9.31</v>
      </c>
      <c r="D100" s="100">
        <v>6.96</v>
      </c>
      <c r="E100" s="100">
        <v>6.1</v>
      </c>
      <c r="F100" s="100">
        <v>4.21</v>
      </c>
      <c r="G100" s="100">
        <v>22.4</v>
      </c>
      <c r="H100" s="100">
        <v>11.37</v>
      </c>
      <c r="I100" s="100">
        <v>10.11</v>
      </c>
      <c r="J100" s="100">
        <v>4.46</v>
      </c>
      <c r="K100" s="100">
        <v>247.82</v>
      </c>
      <c r="L100" s="100">
        <v>25.15</v>
      </c>
      <c r="M100" s="100">
        <v>83.08</v>
      </c>
      <c r="N100" s="100">
        <v>23.4</v>
      </c>
      <c r="O100" s="100">
        <v>0</v>
      </c>
      <c r="P100" s="100">
        <v>0.49</v>
      </c>
      <c r="Q100" s="100">
        <v>29.18</v>
      </c>
      <c r="R100" s="6"/>
      <c r="S100" s="6"/>
      <c r="T100" s="156"/>
      <c r="U100" s="6"/>
      <c r="AB100" s="161"/>
    </row>
    <row r="101" spans="1:28" customFormat="1">
      <c r="A101" s="163" t="s">
        <v>2828</v>
      </c>
      <c r="B101" s="100">
        <v>4</v>
      </c>
      <c r="C101" s="100">
        <v>9.36</v>
      </c>
      <c r="D101" s="100">
        <v>7.1</v>
      </c>
      <c r="E101" s="100">
        <v>4.88</v>
      </c>
      <c r="F101" s="100">
        <v>4.75</v>
      </c>
      <c r="G101" s="100">
        <v>26.57</v>
      </c>
      <c r="H101" s="100">
        <v>15.72</v>
      </c>
      <c r="I101" s="100">
        <v>10.83</v>
      </c>
      <c r="J101" s="100">
        <v>4.07</v>
      </c>
      <c r="K101" s="100">
        <v>242.45</v>
      </c>
      <c r="L101" s="100">
        <v>25.12</v>
      </c>
      <c r="M101" s="100">
        <v>82.96</v>
      </c>
      <c r="N101" s="100">
        <v>23.5</v>
      </c>
      <c r="O101" s="100">
        <v>0</v>
      </c>
      <c r="P101" s="100">
        <v>0.48</v>
      </c>
      <c r="Q101" s="100">
        <v>29.16</v>
      </c>
      <c r="R101" s="6"/>
      <c r="S101" s="6"/>
      <c r="T101" s="156"/>
      <c r="U101" s="6"/>
    </row>
    <row r="102" spans="1:28" customFormat="1">
      <c r="A102" s="163" t="s">
        <v>2829</v>
      </c>
      <c r="B102" s="100">
        <v>3.92</v>
      </c>
      <c r="C102" s="100">
        <v>9.8000000000000007</v>
      </c>
      <c r="D102" s="100">
        <v>7.27</v>
      </c>
      <c r="E102" s="100">
        <v>5.25</v>
      </c>
      <c r="F102" s="100">
        <v>6.21</v>
      </c>
      <c r="G102" s="100">
        <v>26.57</v>
      </c>
      <c r="H102" s="100">
        <v>15.72</v>
      </c>
      <c r="I102" s="100">
        <v>11.72</v>
      </c>
      <c r="J102" s="100">
        <v>4.3899999999999997</v>
      </c>
      <c r="K102" s="100">
        <v>248.01</v>
      </c>
      <c r="L102" s="100">
        <v>25.14</v>
      </c>
      <c r="M102" s="100">
        <v>82.47</v>
      </c>
      <c r="N102" s="100">
        <v>23.4</v>
      </c>
      <c r="O102" s="100">
        <v>0</v>
      </c>
      <c r="P102" s="100">
        <v>0.51</v>
      </c>
      <c r="Q102" s="100">
        <v>29.08</v>
      </c>
      <c r="R102" s="6"/>
      <c r="S102" s="6"/>
      <c r="T102" s="156"/>
      <c r="U102" s="6"/>
    </row>
    <row r="103" spans="1:28" customFormat="1">
      <c r="A103" s="163" t="s">
        <v>2830</v>
      </c>
      <c r="B103" s="100">
        <v>3.91</v>
      </c>
      <c r="C103" s="100">
        <v>9.8699999999999992</v>
      </c>
      <c r="D103" s="100">
        <v>7.3</v>
      </c>
      <c r="E103" s="100">
        <v>5.55</v>
      </c>
      <c r="F103" s="100">
        <v>6.31</v>
      </c>
      <c r="G103" s="100">
        <v>26.57</v>
      </c>
      <c r="H103" s="100">
        <v>15.72</v>
      </c>
      <c r="I103" s="100">
        <v>12.53</v>
      </c>
      <c r="J103" s="100">
        <v>4.3099999999999996</v>
      </c>
      <c r="K103" s="100">
        <v>246.95</v>
      </c>
      <c r="L103" s="100">
        <v>25.22</v>
      </c>
      <c r="M103" s="100">
        <v>81.650000000000006</v>
      </c>
      <c r="N103" s="100">
        <v>23.3</v>
      </c>
      <c r="O103" s="100">
        <v>0</v>
      </c>
      <c r="P103" s="100">
        <v>0.51</v>
      </c>
      <c r="Q103" s="100">
        <v>29.04</v>
      </c>
      <c r="R103" s="6"/>
      <c r="S103" s="6"/>
      <c r="T103" s="156"/>
      <c r="U103" s="6"/>
    </row>
    <row r="104" spans="1:28" customFormat="1">
      <c r="A104" s="163" t="s">
        <v>2831</v>
      </c>
      <c r="B104" s="100">
        <v>3.94</v>
      </c>
      <c r="C104" s="100">
        <v>10.81</v>
      </c>
      <c r="D104" s="100">
        <v>7.81</v>
      </c>
      <c r="E104" s="100">
        <v>5.66</v>
      </c>
      <c r="F104" s="100">
        <v>4.97</v>
      </c>
      <c r="G104" s="100">
        <v>28.83</v>
      </c>
      <c r="H104" s="100">
        <v>16.079999999999998</v>
      </c>
      <c r="I104" s="100">
        <v>12.94</v>
      </c>
      <c r="J104" s="100">
        <v>4.17</v>
      </c>
      <c r="K104" s="100">
        <v>239.33</v>
      </c>
      <c r="L104" s="100">
        <v>25.22</v>
      </c>
      <c r="M104" s="100">
        <v>82.02</v>
      </c>
      <c r="N104" s="100">
        <v>23.4</v>
      </c>
      <c r="O104" s="100">
        <v>0</v>
      </c>
      <c r="P104" s="100">
        <v>0.52</v>
      </c>
      <c r="Q104" s="100">
        <v>28.98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1.41</v>
      </c>
      <c r="C106" s="158">
        <f>MIN(C9:C104)</f>
        <v>6.72</v>
      </c>
      <c r="D106" s="158">
        <f t="shared" ref="D106:Q106" si="0">MIN(D9:D104)</f>
        <v>4.12</v>
      </c>
      <c r="E106" s="158">
        <f t="shared" si="0"/>
        <v>4.88</v>
      </c>
      <c r="F106" s="158">
        <f t="shared" si="0"/>
        <v>2.5099999999999998</v>
      </c>
      <c r="G106" s="158">
        <f t="shared" si="0"/>
        <v>13.4</v>
      </c>
      <c r="H106" s="158">
        <f t="shared" si="0"/>
        <v>2.11</v>
      </c>
      <c r="I106" s="158">
        <f t="shared" si="0"/>
        <v>8.32</v>
      </c>
      <c r="J106" s="158">
        <f t="shared" si="0"/>
        <v>0.08</v>
      </c>
      <c r="K106" s="158">
        <f t="shared" si="0"/>
        <v>87.99</v>
      </c>
      <c r="L106" s="158">
        <f t="shared" si="0"/>
        <v>24.57</v>
      </c>
      <c r="M106" s="158">
        <f t="shared" si="0"/>
        <v>48.48</v>
      </c>
      <c r="N106" s="158">
        <f t="shared" si="0"/>
        <v>22.9</v>
      </c>
      <c r="O106" s="158">
        <f t="shared" si="0"/>
        <v>0</v>
      </c>
      <c r="P106" s="158">
        <f t="shared" si="0"/>
        <v>0.34</v>
      </c>
      <c r="Q106" s="158">
        <f t="shared" si="0"/>
        <v>28.42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13.25</v>
      </c>
      <c r="C107" s="157">
        <f t="shared" ref="C107:Q107" si="1">MAX(C9:C104)</f>
        <v>12.78</v>
      </c>
      <c r="D107" s="157">
        <f t="shared" si="1"/>
        <v>15.7</v>
      </c>
      <c r="E107" s="157">
        <f t="shared" si="1"/>
        <v>7.32</v>
      </c>
      <c r="F107" s="157">
        <f t="shared" si="1"/>
        <v>24.39</v>
      </c>
      <c r="G107" s="157">
        <f t="shared" si="1"/>
        <v>35.86</v>
      </c>
      <c r="H107" s="157">
        <f t="shared" si="1"/>
        <v>18.989999999999998</v>
      </c>
      <c r="I107" s="157">
        <f t="shared" si="1"/>
        <v>12.94</v>
      </c>
      <c r="J107" s="157">
        <f t="shared" si="1"/>
        <v>5.17</v>
      </c>
      <c r="K107" s="157">
        <f t="shared" si="1"/>
        <v>313.29000000000002</v>
      </c>
      <c r="L107" s="157">
        <f t="shared" si="1"/>
        <v>34.380000000000003</v>
      </c>
      <c r="M107" s="157">
        <f t="shared" si="1"/>
        <v>88.1</v>
      </c>
      <c r="N107" s="157">
        <f t="shared" si="1"/>
        <v>757.4</v>
      </c>
      <c r="O107" s="157">
        <f t="shared" si="1"/>
        <v>0.6</v>
      </c>
      <c r="P107" s="157">
        <f t="shared" si="1"/>
        <v>0.54</v>
      </c>
      <c r="Q107" s="157">
        <f t="shared" si="1"/>
        <v>29.48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5.8696875000000004</v>
      </c>
      <c r="C108" s="158">
        <f t="shared" ref="C108:Q108" si="2">AVERAGE(C9:C104)</f>
        <v>9.7156249999999957</v>
      </c>
      <c r="D108" s="158">
        <f t="shared" si="2"/>
        <v>8.7887500000000056</v>
      </c>
      <c r="E108" s="158">
        <f t="shared" si="2"/>
        <v>6.0343750000000016</v>
      </c>
      <c r="F108" s="158">
        <f t="shared" si="2"/>
        <v>6.8096874999999981</v>
      </c>
      <c r="G108" s="158">
        <f t="shared" si="2"/>
        <v>25.305625000000003</v>
      </c>
      <c r="H108" s="158">
        <f t="shared" si="2"/>
        <v>11.030416666666675</v>
      </c>
      <c r="I108" s="158">
        <f t="shared" si="2"/>
        <v>10.259895833333335</v>
      </c>
      <c r="J108" s="158">
        <f t="shared" si="2"/>
        <v>3.299583333333334</v>
      </c>
      <c r="K108" s="158">
        <f t="shared" si="2"/>
        <v>211.7779166666667</v>
      </c>
      <c r="L108" s="158">
        <f t="shared" si="2"/>
        <v>27.326145833333328</v>
      </c>
      <c r="M108" s="158">
        <f t="shared" si="2"/>
        <v>74.349583333333342</v>
      </c>
      <c r="N108" s="158">
        <f t="shared" si="2"/>
        <v>161.14166666666659</v>
      </c>
      <c r="O108" s="158">
        <f t="shared" si="2"/>
        <v>1.2499999999999999E-2</v>
      </c>
      <c r="P108" s="158">
        <f t="shared" si="2"/>
        <v>0.45749999999999985</v>
      </c>
      <c r="Q108" s="158">
        <f t="shared" si="2"/>
        <v>29.01229166666667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3.5595116321218185</v>
      </c>
      <c r="C109" s="158">
        <f t="shared" ref="C109:Q109" si="3">STDEV(C9:C104)</f>
        <v>1.2811202437505462</v>
      </c>
      <c r="D109" s="158">
        <f t="shared" si="3"/>
        <v>2.9771318765762165</v>
      </c>
      <c r="E109" s="158">
        <f t="shared" si="3"/>
        <v>0.44389854815332697</v>
      </c>
      <c r="F109" s="158">
        <f t="shared" si="3"/>
        <v>4.5551126748153221</v>
      </c>
      <c r="G109" s="158">
        <f t="shared" si="3"/>
        <v>6.4798750495588013</v>
      </c>
      <c r="H109" s="158">
        <f t="shared" si="3"/>
        <v>5.3534112915168492</v>
      </c>
      <c r="I109" s="158">
        <f t="shared" si="3"/>
        <v>0.98851882264289637</v>
      </c>
      <c r="J109" s="158">
        <f t="shared" si="3"/>
        <v>1.0828285733661824</v>
      </c>
      <c r="K109" s="158">
        <f t="shared" si="3"/>
        <v>47.013494477462999</v>
      </c>
      <c r="L109" s="158">
        <f t="shared" si="3"/>
        <v>2.8603089158862569</v>
      </c>
      <c r="M109" s="158">
        <f t="shared" si="3"/>
        <v>10.813963966403103</v>
      </c>
      <c r="N109" s="158">
        <f t="shared" si="3"/>
        <v>217.33859960253946</v>
      </c>
      <c r="O109" s="158">
        <f t="shared" si="3"/>
        <v>7.5741944160835739E-2</v>
      </c>
      <c r="P109" s="158">
        <f t="shared" si="3"/>
        <v>4.5398817513003016E-2</v>
      </c>
      <c r="Q109" s="158">
        <f t="shared" si="3"/>
        <v>0.24802580157236478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2832</v>
      </c>
      <c r="B9" s="100">
        <v>4.33</v>
      </c>
      <c r="C9" s="100">
        <v>12.61</v>
      </c>
      <c r="D9" s="100">
        <v>9.07</v>
      </c>
      <c r="E9" s="100">
        <v>5.68</v>
      </c>
      <c r="F9" s="100">
        <v>5.5</v>
      </c>
      <c r="G9" s="100">
        <v>37.270000000000003</v>
      </c>
      <c r="H9" s="100">
        <v>17.45</v>
      </c>
      <c r="I9" s="100">
        <v>13.1</v>
      </c>
      <c r="J9" s="100">
        <v>3.44</v>
      </c>
      <c r="K9" s="100">
        <v>251.6</v>
      </c>
      <c r="L9" s="100">
        <v>25.22</v>
      </c>
      <c r="M9" s="100">
        <v>81.52</v>
      </c>
      <c r="N9" s="100">
        <v>23.3</v>
      </c>
      <c r="O9" s="100">
        <v>0</v>
      </c>
      <c r="P9" s="100">
        <v>0.53</v>
      </c>
      <c r="Q9" s="100">
        <v>28.97</v>
      </c>
      <c r="R9" s="6"/>
      <c r="S9" s="6"/>
      <c r="T9" s="156"/>
      <c r="U9" s="6"/>
    </row>
    <row r="10" spans="1:21" customFormat="1">
      <c r="A10" s="163" t="s">
        <v>2833</v>
      </c>
      <c r="B10" s="100">
        <v>4.51</v>
      </c>
      <c r="C10" s="100">
        <v>11.48</v>
      </c>
      <c r="D10" s="100">
        <v>8.6199999999999992</v>
      </c>
      <c r="E10" s="100">
        <v>5.51</v>
      </c>
      <c r="F10" s="100">
        <v>4.68</v>
      </c>
      <c r="G10" s="100">
        <v>37.270000000000003</v>
      </c>
      <c r="H10" s="100">
        <v>17.45</v>
      </c>
      <c r="I10" s="100">
        <v>13.64</v>
      </c>
      <c r="J10" s="100">
        <v>2.75</v>
      </c>
      <c r="K10" s="100">
        <v>236.77</v>
      </c>
      <c r="L10" s="100">
        <v>25.27</v>
      </c>
      <c r="M10" s="100">
        <v>81.33</v>
      </c>
      <c r="N10" s="100">
        <v>23.3</v>
      </c>
      <c r="O10" s="100">
        <v>0</v>
      </c>
      <c r="P10" s="100">
        <v>0.54</v>
      </c>
      <c r="Q10" s="100">
        <v>28.94</v>
      </c>
      <c r="R10" s="6"/>
      <c r="S10" s="6"/>
      <c r="T10" s="156"/>
      <c r="U10" s="6"/>
    </row>
    <row r="11" spans="1:21" customFormat="1">
      <c r="A11" s="163" t="s">
        <v>2834</v>
      </c>
      <c r="B11" s="100">
        <v>4.71</v>
      </c>
      <c r="C11" s="100">
        <v>12.81</v>
      </c>
      <c r="D11" s="100">
        <v>9.48</v>
      </c>
      <c r="E11" s="100">
        <v>5.41</v>
      </c>
      <c r="F11" s="100">
        <v>3</v>
      </c>
      <c r="G11" s="100">
        <v>37.270000000000003</v>
      </c>
      <c r="H11" s="100">
        <v>17.45</v>
      </c>
      <c r="I11" s="100">
        <v>14.04</v>
      </c>
      <c r="J11" s="100">
        <v>2.7</v>
      </c>
      <c r="K11" s="100">
        <v>237.6</v>
      </c>
      <c r="L11" s="100">
        <v>25.27</v>
      </c>
      <c r="M11" s="100">
        <v>80.760000000000005</v>
      </c>
      <c r="N11" s="100">
        <v>23.2</v>
      </c>
      <c r="O11" s="100">
        <v>0</v>
      </c>
      <c r="P11" s="100">
        <v>0.54</v>
      </c>
      <c r="Q11" s="100">
        <v>28.85</v>
      </c>
      <c r="R11" s="6"/>
      <c r="S11" s="6"/>
      <c r="T11" s="156"/>
      <c r="U11" s="6"/>
    </row>
    <row r="12" spans="1:21" customFormat="1">
      <c r="A12" s="163" t="s">
        <v>2835</v>
      </c>
      <c r="B12" s="100">
        <v>4.87</v>
      </c>
      <c r="C12" s="100">
        <v>13.04</v>
      </c>
      <c r="D12" s="100">
        <v>9.7200000000000006</v>
      </c>
      <c r="E12" s="100">
        <v>5.13</v>
      </c>
      <c r="F12" s="100">
        <v>2.85</v>
      </c>
      <c r="G12" s="100">
        <v>38.94</v>
      </c>
      <c r="H12" s="100">
        <v>18</v>
      </c>
      <c r="I12" s="100">
        <v>14.13</v>
      </c>
      <c r="J12" s="100">
        <v>2.93</v>
      </c>
      <c r="K12" s="100">
        <v>261.95999999999998</v>
      </c>
      <c r="L12" s="100">
        <v>25.27</v>
      </c>
      <c r="M12" s="100">
        <v>80.569999999999993</v>
      </c>
      <c r="N12" s="100">
        <v>23.3</v>
      </c>
      <c r="O12" s="100">
        <v>0</v>
      </c>
      <c r="P12" s="100">
        <v>0.54</v>
      </c>
      <c r="Q12" s="100">
        <v>28.86</v>
      </c>
      <c r="R12" s="6"/>
      <c r="S12" s="6"/>
      <c r="T12" s="156"/>
      <c r="U12" s="6"/>
    </row>
    <row r="13" spans="1:21" customFormat="1">
      <c r="A13" s="163" t="s">
        <v>2836</v>
      </c>
      <c r="B13" s="100">
        <v>5.05</v>
      </c>
      <c r="C13" s="100">
        <v>11.18</v>
      </c>
      <c r="D13" s="100">
        <v>8.9</v>
      </c>
      <c r="E13" s="100">
        <v>5.27</v>
      </c>
      <c r="F13" s="100">
        <v>3.55</v>
      </c>
      <c r="G13" s="100">
        <v>45.16</v>
      </c>
      <c r="H13" s="100">
        <v>20.079999999999998</v>
      </c>
      <c r="I13" s="100">
        <v>14.14</v>
      </c>
      <c r="J13" s="100">
        <v>4.16</v>
      </c>
      <c r="K13" s="100">
        <v>241.35</v>
      </c>
      <c r="L13" s="100">
        <v>25.17</v>
      </c>
      <c r="M13" s="100">
        <v>80.45</v>
      </c>
      <c r="N13" s="100">
        <v>23.3</v>
      </c>
      <c r="O13" s="100">
        <v>0</v>
      </c>
      <c r="P13" s="100">
        <v>0.53</v>
      </c>
      <c r="Q13" s="100">
        <v>28.95</v>
      </c>
      <c r="R13" s="6"/>
      <c r="S13" s="6"/>
      <c r="T13" s="156"/>
      <c r="U13" s="6"/>
    </row>
    <row r="14" spans="1:21" customFormat="1">
      <c r="A14" s="163" t="s">
        <v>2837</v>
      </c>
      <c r="B14" s="100">
        <v>5.24</v>
      </c>
      <c r="C14" s="100">
        <v>10.1</v>
      </c>
      <c r="D14" s="100">
        <v>8.49</v>
      </c>
      <c r="E14" s="100">
        <v>5.16</v>
      </c>
      <c r="F14" s="100">
        <v>3.12</v>
      </c>
      <c r="G14" s="100">
        <v>45.16</v>
      </c>
      <c r="H14" s="100">
        <v>20.079999999999998</v>
      </c>
      <c r="I14" s="100">
        <v>14.38</v>
      </c>
      <c r="J14" s="100">
        <v>4.53</v>
      </c>
      <c r="K14" s="100">
        <v>243.86</v>
      </c>
      <c r="L14" s="100">
        <v>25.13</v>
      </c>
      <c r="M14" s="100">
        <v>80.28</v>
      </c>
      <c r="N14" s="100">
        <v>23.3</v>
      </c>
      <c r="O14" s="100">
        <v>0</v>
      </c>
      <c r="P14" s="100">
        <v>0.55000000000000004</v>
      </c>
      <c r="Q14" s="100">
        <v>29.02</v>
      </c>
      <c r="R14" s="6"/>
      <c r="S14" s="6"/>
      <c r="T14" s="156"/>
      <c r="U14" s="6"/>
    </row>
    <row r="15" spans="1:21" customFormat="1">
      <c r="A15" s="163" t="s">
        <v>2838</v>
      </c>
      <c r="B15" s="100">
        <v>5.13</v>
      </c>
      <c r="C15" s="100">
        <v>10.28</v>
      </c>
      <c r="D15" s="100">
        <v>8.49</v>
      </c>
      <c r="E15" s="100">
        <v>5.42</v>
      </c>
      <c r="F15" s="100">
        <v>3.25</v>
      </c>
      <c r="G15" s="100">
        <v>45.16</v>
      </c>
      <c r="H15" s="100">
        <v>20.079999999999998</v>
      </c>
      <c r="I15" s="100">
        <v>14.52</v>
      </c>
      <c r="J15" s="100">
        <v>2.92</v>
      </c>
      <c r="K15" s="100">
        <v>261.22000000000003</v>
      </c>
      <c r="L15" s="100">
        <v>25.17</v>
      </c>
      <c r="M15" s="100">
        <v>80</v>
      </c>
      <c r="N15" s="100">
        <v>23.3</v>
      </c>
      <c r="O15" s="100">
        <v>0</v>
      </c>
      <c r="P15" s="100">
        <v>0.54</v>
      </c>
      <c r="Q15" s="100">
        <v>29.03</v>
      </c>
      <c r="R15" s="6"/>
      <c r="S15" s="6"/>
      <c r="T15" s="156"/>
      <c r="U15" s="6"/>
    </row>
    <row r="16" spans="1:21" customFormat="1">
      <c r="A16" s="163" t="s">
        <v>2839</v>
      </c>
      <c r="B16" s="100">
        <v>4.99</v>
      </c>
      <c r="C16" s="100">
        <v>10.39</v>
      </c>
      <c r="D16" s="100">
        <v>8.43</v>
      </c>
      <c r="E16" s="100">
        <v>5.58</v>
      </c>
      <c r="F16" s="100">
        <v>5.49</v>
      </c>
      <c r="G16" s="100">
        <v>45.62</v>
      </c>
      <c r="H16" s="100">
        <v>19.8</v>
      </c>
      <c r="I16" s="100">
        <v>14.41</v>
      </c>
      <c r="J16" s="100">
        <v>2.41</v>
      </c>
      <c r="K16" s="100">
        <v>254.17</v>
      </c>
      <c r="L16" s="100">
        <v>25.2</v>
      </c>
      <c r="M16" s="100">
        <v>79.92</v>
      </c>
      <c r="N16" s="100">
        <v>23.2</v>
      </c>
      <c r="O16" s="100">
        <v>0</v>
      </c>
      <c r="P16" s="100">
        <v>0.54</v>
      </c>
      <c r="Q16" s="100">
        <v>29.02</v>
      </c>
      <c r="R16" s="6"/>
      <c r="S16" s="6"/>
      <c r="T16" s="156"/>
      <c r="U16" s="6"/>
    </row>
    <row r="17" spans="1:21" customFormat="1">
      <c r="A17" s="163" t="s">
        <v>2840</v>
      </c>
      <c r="B17" s="100">
        <v>4.91</v>
      </c>
      <c r="C17" s="100">
        <v>9.83</v>
      </c>
      <c r="D17" s="100">
        <v>8.08</v>
      </c>
      <c r="E17" s="100">
        <v>5.86</v>
      </c>
      <c r="F17" s="100">
        <v>6.49</v>
      </c>
      <c r="G17" s="100">
        <v>47.31</v>
      </c>
      <c r="H17" s="100">
        <v>18.760000000000002</v>
      </c>
      <c r="I17" s="100">
        <v>14.26</v>
      </c>
      <c r="J17" s="100">
        <v>1.79</v>
      </c>
      <c r="K17" s="100">
        <v>55.8</v>
      </c>
      <c r="L17" s="100">
        <v>25.11</v>
      </c>
      <c r="M17" s="100">
        <v>81.39</v>
      </c>
      <c r="N17" s="100">
        <v>23.3</v>
      </c>
      <c r="O17" s="100">
        <v>0</v>
      </c>
      <c r="P17" s="100">
        <v>0.53</v>
      </c>
      <c r="Q17" s="100">
        <v>29.01</v>
      </c>
      <c r="R17" s="6"/>
      <c r="S17" s="6"/>
      <c r="T17" s="156"/>
      <c r="U17" s="6"/>
    </row>
    <row r="18" spans="1:21" customFormat="1">
      <c r="A18" s="163" t="s">
        <v>2841</v>
      </c>
      <c r="B18" s="100">
        <v>5.12</v>
      </c>
      <c r="C18" s="100">
        <v>9.64</v>
      </c>
      <c r="D18" s="100">
        <v>8.15</v>
      </c>
      <c r="E18" s="100">
        <v>5.53</v>
      </c>
      <c r="F18" s="100">
        <v>5.21</v>
      </c>
      <c r="G18" s="100">
        <v>47.31</v>
      </c>
      <c r="H18" s="100">
        <v>18.760000000000002</v>
      </c>
      <c r="I18" s="100">
        <v>14.19</v>
      </c>
      <c r="J18" s="100">
        <v>2.93</v>
      </c>
      <c r="K18" s="100">
        <v>70.05</v>
      </c>
      <c r="L18" s="100">
        <v>24.92</v>
      </c>
      <c r="M18" s="100">
        <v>82.91</v>
      </c>
      <c r="N18" s="100">
        <v>23.4</v>
      </c>
      <c r="O18" s="100">
        <v>0</v>
      </c>
      <c r="P18" s="100">
        <v>0.53</v>
      </c>
      <c r="Q18" s="100">
        <v>28.97</v>
      </c>
      <c r="R18" s="6"/>
      <c r="S18" s="6"/>
      <c r="T18" s="156"/>
      <c r="U18" s="6"/>
    </row>
    <row r="19" spans="1:21" customFormat="1">
      <c r="A19" s="163" t="s">
        <v>2842</v>
      </c>
      <c r="B19" s="100">
        <v>5.15</v>
      </c>
      <c r="C19" s="100">
        <v>10.11</v>
      </c>
      <c r="D19" s="100">
        <v>8.42</v>
      </c>
      <c r="E19" s="100">
        <v>5.51</v>
      </c>
      <c r="F19" s="100">
        <v>5.13</v>
      </c>
      <c r="G19" s="100">
        <v>47.31</v>
      </c>
      <c r="H19" s="100">
        <v>18.760000000000002</v>
      </c>
      <c r="I19" s="100">
        <v>14.03</v>
      </c>
      <c r="J19" s="100">
        <v>3.46</v>
      </c>
      <c r="K19" s="100">
        <v>111.01</v>
      </c>
      <c r="L19" s="100">
        <v>24.77</v>
      </c>
      <c r="M19" s="100">
        <v>83.81</v>
      </c>
      <c r="N19" s="100">
        <v>23.5</v>
      </c>
      <c r="O19" s="100">
        <v>0</v>
      </c>
      <c r="P19" s="100">
        <v>0.54</v>
      </c>
      <c r="Q19" s="100">
        <v>28.94</v>
      </c>
      <c r="R19" s="6"/>
      <c r="S19" s="6"/>
      <c r="T19" s="156"/>
      <c r="U19" s="6"/>
    </row>
    <row r="20" spans="1:21" customFormat="1">
      <c r="A20" s="163" t="s">
        <v>2843</v>
      </c>
      <c r="B20" s="100">
        <v>5.28</v>
      </c>
      <c r="C20" s="100">
        <v>10.210000000000001</v>
      </c>
      <c r="D20" s="100">
        <v>8.57</v>
      </c>
      <c r="E20" s="100">
        <v>5.48</v>
      </c>
      <c r="F20" s="100">
        <v>5.77</v>
      </c>
      <c r="G20" s="100">
        <v>47.82</v>
      </c>
      <c r="H20" s="100">
        <v>19.489999999999998</v>
      </c>
      <c r="I20" s="100">
        <v>14.04</v>
      </c>
      <c r="J20" s="100">
        <v>0.73</v>
      </c>
      <c r="K20" s="100">
        <v>192.93</v>
      </c>
      <c r="L20" s="100">
        <v>24.81</v>
      </c>
      <c r="M20" s="100">
        <v>82.29</v>
      </c>
      <c r="N20" s="100">
        <v>23.2</v>
      </c>
      <c r="O20" s="100">
        <v>0</v>
      </c>
      <c r="P20" s="100">
        <v>0.54</v>
      </c>
      <c r="Q20" s="100">
        <v>28.9</v>
      </c>
      <c r="R20" s="6"/>
      <c r="S20" s="6"/>
      <c r="T20" s="156"/>
      <c r="U20" s="6"/>
    </row>
    <row r="21" spans="1:21" customFormat="1">
      <c r="A21" s="163" t="s">
        <v>2844</v>
      </c>
      <c r="B21" s="100">
        <v>5.37</v>
      </c>
      <c r="C21" s="100">
        <v>10.32</v>
      </c>
      <c r="D21" s="100">
        <v>8.7100000000000009</v>
      </c>
      <c r="E21" s="100">
        <v>5.53</v>
      </c>
      <c r="F21" s="100">
        <v>6.37</v>
      </c>
      <c r="G21" s="100">
        <v>49.72</v>
      </c>
      <c r="H21" s="100">
        <v>22.22</v>
      </c>
      <c r="I21" s="100">
        <v>13.88</v>
      </c>
      <c r="J21" s="100">
        <v>1.36</v>
      </c>
      <c r="K21" s="100">
        <v>256.57</v>
      </c>
      <c r="L21" s="100">
        <v>24.88</v>
      </c>
      <c r="M21" s="100">
        <v>81.59</v>
      </c>
      <c r="N21" s="100">
        <v>23.2</v>
      </c>
      <c r="O21" s="100">
        <v>0</v>
      </c>
      <c r="P21" s="100">
        <v>0.54</v>
      </c>
      <c r="Q21" s="100">
        <v>28.89</v>
      </c>
      <c r="R21" s="6"/>
      <c r="S21" s="6"/>
      <c r="T21" s="156"/>
      <c r="U21" s="6"/>
    </row>
    <row r="22" spans="1:21" customFormat="1">
      <c r="A22" s="163" t="s">
        <v>2845</v>
      </c>
      <c r="B22" s="100">
        <v>5.42</v>
      </c>
      <c r="C22" s="100">
        <v>10.37</v>
      </c>
      <c r="D22" s="100">
        <v>8.77</v>
      </c>
      <c r="E22" s="100">
        <v>5.47</v>
      </c>
      <c r="F22" s="100">
        <v>5.69</v>
      </c>
      <c r="G22" s="100">
        <v>49.72</v>
      </c>
      <c r="H22" s="100">
        <v>22.22</v>
      </c>
      <c r="I22" s="100">
        <v>13.68</v>
      </c>
      <c r="J22" s="100">
        <v>2.16</v>
      </c>
      <c r="K22" s="100">
        <v>180.58</v>
      </c>
      <c r="L22" s="100">
        <v>24.83</v>
      </c>
      <c r="M22" s="100">
        <v>82.06</v>
      </c>
      <c r="N22" s="100">
        <v>23.3</v>
      </c>
      <c r="O22" s="100">
        <v>0</v>
      </c>
      <c r="P22" s="100">
        <v>0.54</v>
      </c>
      <c r="Q22" s="100">
        <v>28.88</v>
      </c>
      <c r="R22" s="6"/>
      <c r="S22" s="6"/>
      <c r="T22" s="156"/>
      <c r="U22" s="6"/>
    </row>
    <row r="23" spans="1:21" customFormat="1">
      <c r="A23" s="163" t="s">
        <v>2846</v>
      </c>
      <c r="B23" s="100">
        <v>5.52</v>
      </c>
      <c r="C23" s="100">
        <v>10.56</v>
      </c>
      <c r="D23" s="100">
        <v>8.9499999999999993</v>
      </c>
      <c r="E23" s="100">
        <v>5.4</v>
      </c>
      <c r="F23" s="100">
        <v>5.32</v>
      </c>
      <c r="G23" s="100">
        <v>49.72</v>
      </c>
      <c r="H23" s="100">
        <v>22.22</v>
      </c>
      <c r="I23" s="100">
        <v>13.46</v>
      </c>
      <c r="J23" s="100">
        <v>1.64</v>
      </c>
      <c r="K23" s="100">
        <v>249.32</v>
      </c>
      <c r="L23" s="100">
        <v>24.85</v>
      </c>
      <c r="M23" s="100">
        <v>81.59</v>
      </c>
      <c r="N23" s="100">
        <v>23.3</v>
      </c>
      <c r="O23" s="100">
        <v>0</v>
      </c>
      <c r="P23" s="100">
        <v>0.52</v>
      </c>
      <c r="Q23" s="100">
        <v>28.85</v>
      </c>
      <c r="R23" s="6"/>
      <c r="S23" s="6"/>
      <c r="T23" s="156"/>
      <c r="U23" s="6"/>
    </row>
    <row r="24" spans="1:21" customFormat="1">
      <c r="A24" s="163" t="s">
        <v>2847</v>
      </c>
      <c r="B24" s="100">
        <v>5.83</v>
      </c>
      <c r="C24" s="100">
        <v>12.8</v>
      </c>
      <c r="D24" s="100">
        <v>10.37</v>
      </c>
      <c r="E24" s="100">
        <v>4.88</v>
      </c>
      <c r="F24" s="100">
        <v>3.78</v>
      </c>
      <c r="G24" s="100">
        <v>48.3</v>
      </c>
      <c r="H24" s="100">
        <v>22.33</v>
      </c>
      <c r="I24" s="100">
        <v>13.38</v>
      </c>
      <c r="J24" s="100">
        <v>3.21</v>
      </c>
      <c r="K24" s="100">
        <v>193.96</v>
      </c>
      <c r="L24" s="100">
        <v>24.95</v>
      </c>
      <c r="M24" s="100">
        <v>80.81</v>
      </c>
      <c r="N24" s="100">
        <v>23.2</v>
      </c>
      <c r="O24" s="100">
        <v>0</v>
      </c>
      <c r="P24" s="100">
        <v>0.53</v>
      </c>
      <c r="Q24" s="100">
        <v>28.78</v>
      </c>
      <c r="R24" s="6"/>
      <c r="S24" s="6"/>
      <c r="T24" s="156"/>
      <c r="U24" s="6"/>
    </row>
    <row r="25" spans="1:21" customFormat="1">
      <c r="A25" s="163" t="s">
        <v>2848</v>
      </c>
      <c r="B25" s="100">
        <v>6.06</v>
      </c>
      <c r="C25" s="100">
        <v>13.84</v>
      </c>
      <c r="D25" s="100">
        <v>11.1</v>
      </c>
      <c r="E25" s="100">
        <v>5.35</v>
      </c>
      <c r="F25" s="100">
        <v>3.35</v>
      </c>
      <c r="G25" s="100">
        <v>43</v>
      </c>
      <c r="H25" s="100">
        <v>22.76</v>
      </c>
      <c r="I25" s="100">
        <v>13.34</v>
      </c>
      <c r="J25" s="100">
        <v>3.73</v>
      </c>
      <c r="K25" s="100">
        <v>210.18</v>
      </c>
      <c r="L25" s="100">
        <v>25.09</v>
      </c>
      <c r="M25" s="100">
        <v>80.88</v>
      </c>
      <c r="N25" s="100">
        <v>23</v>
      </c>
      <c r="O25" s="100">
        <v>0</v>
      </c>
      <c r="P25" s="100">
        <v>0.52</v>
      </c>
      <c r="Q25" s="100">
        <v>28.76</v>
      </c>
      <c r="R25" s="6"/>
      <c r="S25" s="6"/>
      <c r="T25" s="156"/>
      <c r="U25" s="6"/>
    </row>
    <row r="26" spans="1:21" customFormat="1">
      <c r="A26" s="163" t="s">
        <v>2849</v>
      </c>
      <c r="B26" s="100">
        <v>6.33</v>
      </c>
      <c r="C26" s="100">
        <v>13.19</v>
      </c>
      <c r="D26" s="100">
        <v>10.97</v>
      </c>
      <c r="E26" s="100">
        <v>4.84</v>
      </c>
      <c r="F26" s="100">
        <v>2.86</v>
      </c>
      <c r="G26" s="100">
        <v>43</v>
      </c>
      <c r="H26" s="100">
        <v>22.76</v>
      </c>
      <c r="I26" s="100">
        <v>13.46</v>
      </c>
      <c r="J26" s="100">
        <v>3.67</v>
      </c>
      <c r="K26" s="100">
        <v>218.29</v>
      </c>
      <c r="L26" s="100">
        <v>25.01</v>
      </c>
      <c r="M26" s="100">
        <v>82.25</v>
      </c>
      <c r="N26" s="100">
        <v>23.5</v>
      </c>
      <c r="O26" s="100">
        <v>0</v>
      </c>
      <c r="P26" s="100">
        <v>0.52</v>
      </c>
      <c r="Q26" s="100">
        <v>28.87</v>
      </c>
      <c r="R26" s="6"/>
      <c r="S26" s="6"/>
      <c r="T26" s="156"/>
      <c r="U26" s="6"/>
    </row>
    <row r="27" spans="1:21" customFormat="1">
      <c r="A27" s="163" t="s">
        <v>2850</v>
      </c>
      <c r="B27" s="100">
        <v>6.56</v>
      </c>
      <c r="C27" s="100">
        <v>12.88</v>
      </c>
      <c r="D27" s="100">
        <v>10.99</v>
      </c>
      <c r="E27" s="100">
        <v>4.9000000000000004</v>
      </c>
      <c r="F27" s="100">
        <v>2.85</v>
      </c>
      <c r="G27" s="100">
        <v>43</v>
      </c>
      <c r="H27" s="100">
        <v>22.76</v>
      </c>
      <c r="I27" s="100">
        <v>13.3</v>
      </c>
      <c r="J27" s="100">
        <v>0.99</v>
      </c>
      <c r="K27" s="100">
        <v>301.39</v>
      </c>
      <c r="L27" s="100">
        <v>25.13</v>
      </c>
      <c r="M27" s="100">
        <v>81.88</v>
      </c>
      <c r="N27" s="100">
        <v>23.2</v>
      </c>
      <c r="O27" s="100">
        <v>0</v>
      </c>
      <c r="P27" s="100">
        <v>0.52</v>
      </c>
      <c r="Q27" s="100">
        <v>28.84</v>
      </c>
      <c r="R27" s="6"/>
      <c r="S27" s="6"/>
      <c r="T27" s="156"/>
      <c r="U27" s="6"/>
    </row>
    <row r="28" spans="1:21" customFormat="1">
      <c r="A28" s="163" t="s">
        <v>2851</v>
      </c>
      <c r="B28" s="100">
        <v>6.82</v>
      </c>
      <c r="C28" s="100">
        <v>12.37</v>
      </c>
      <c r="D28" s="100">
        <v>10.93</v>
      </c>
      <c r="E28" s="100">
        <v>5.18</v>
      </c>
      <c r="F28" s="100">
        <v>2.8</v>
      </c>
      <c r="G28" s="100">
        <v>43.6</v>
      </c>
      <c r="H28" s="100">
        <v>23.12</v>
      </c>
      <c r="I28" s="100">
        <v>13.32</v>
      </c>
      <c r="J28" s="100">
        <v>2.67</v>
      </c>
      <c r="K28" s="100">
        <v>237.1</v>
      </c>
      <c r="L28" s="100">
        <v>24.89</v>
      </c>
      <c r="M28" s="100">
        <v>82.5</v>
      </c>
      <c r="N28" s="100">
        <v>23.3</v>
      </c>
      <c r="O28" s="100">
        <v>0</v>
      </c>
      <c r="P28" s="100">
        <v>0.52</v>
      </c>
      <c r="Q28" s="100">
        <v>28.84</v>
      </c>
      <c r="R28" s="6"/>
      <c r="S28" s="6"/>
      <c r="T28" s="156"/>
      <c r="U28" s="6"/>
    </row>
    <row r="29" spans="1:21" customFormat="1">
      <c r="A29" s="163" t="s">
        <v>2852</v>
      </c>
      <c r="B29" s="100">
        <v>7.04</v>
      </c>
      <c r="C29" s="100">
        <v>12.38</v>
      </c>
      <c r="D29" s="100">
        <v>11.12</v>
      </c>
      <c r="E29" s="100">
        <v>5.53</v>
      </c>
      <c r="F29" s="100">
        <v>3.02</v>
      </c>
      <c r="G29" s="100">
        <v>45.83</v>
      </c>
      <c r="H29" s="100">
        <v>24.47</v>
      </c>
      <c r="I29" s="100">
        <v>13.36</v>
      </c>
      <c r="J29" s="100">
        <v>3.47</v>
      </c>
      <c r="K29" s="100">
        <v>184.25</v>
      </c>
      <c r="L29" s="100">
        <v>24.99</v>
      </c>
      <c r="M29" s="100">
        <v>83.37</v>
      </c>
      <c r="N29" s="100">
        <v>23.8</v>
      </c>
      <c r="O29" s="100">
        <v>0</v>
      </c>
      <c r="P29" s="100">
        <v>0.51</v>
      </c>
      <c r="Q29" s="100">
        <v>28.84</v>
      </c>
      <c r="R29" s="6"/>
      <c r="S29" s="6"/>
      <c r="T29" s="156"/>
      <c r="U29" s="6"/>
    </row>
    <row r="30" spans="1:21" customFormat="1">
      <c r="A30" s="163" t="s">
        <v>2853</v>
      </c>
      <c r="B30" s="100">
        <v>7.11</v>
      </c>
      <c r="C30" s="100">
        <v>11.03</v>
      </c>
      <c r="D30" s="100">
        <v>10.47</v>
      </c>
      <c r="E30" s="100">
        <v>5.61</v>
      </c>
      <c r="F30" s="100">
        <v>3.73</v>
      </c>
      <c r="G30" s="100">
        <v>45.83</v>
      </c>
      <c r="H30" s="100">
        <v>24.47</v>
      </c>
      <c r="I30" s="100">
        <v>13.36</v>
      </c>
      <c r="J30" s="100">
        <v>3.19</v>
      </c>
      <c r="K30" s="100">
        <v>199.23</v>
      </c>
      <c r="L30" s="100">
        <v>24.72</v>
      </c>
      <c r="M30" s="100">
        <v>86.13</v>
      </c>
      <c r="N30" s="100">
        <v>26.3</v>
      </c>
      <c r="O30" s="100">
        <v>0</v>
      </c>
      <c r="P30" s="100">
        <v>0.51</v>
      </c>
      <c r="Q30" s="100">
        <v>28.87</v>
      </c>
      <c r="R30" s="6"/>
      <c r="S30" s="6"/>
      <c r="T30" s="156"/>
      <c r="U30" s="6"/>
    </row>
    <row r="31" spans="1:21" customFormat="1">
      <c r="A31" s="163" t="s">
        <v>2854</v>
      </c>
      <c r="B31" s="100">
        <v>7.44</v>
      </c>
      <c r="C31" s="100">
        <v>10.14</v>
      </c>
      <c r="D31" s="100">
        <v>10.27</v>
      </c>
      <c r="E31" s="100">
        <v>5.44</v>
      </c>
      <c r="F31" s="100">
        <v>3.43</v>
      </c>
      <c r="G31" s="100">
        <v>45.83</v>
      </c>
      <c r="H31" s="100">
        <v>24.47</v>
      </c>
      <c r="I31" s="100">
        <v>13.42</v>
      </c>
      <c r="J31" s="100">
        <v>4.0199999999999996</v>
      </c>
      <c r="K31" s="100">
        <v>177.13</v>
      </c>
      <c r="L31" s="100">
        <v>24.65</v>
      </c>
      <c r="M31" s="100">
        <v>87.7</v>
      </c>
      <c r="N31" s="100">
        <v>32.299999999999997</v>
      </c>
      <c r="O31" s="100">
        <v>0</v>
      </c>
      <c r="P31" s="100">
        <v>0.53</v>
      </c>
      <c r="Q31" s="100">
        <v>28.87</v>
      </c>
      <c r="R31" s="6"/>
      <c r="S31" s="6"/>
      <c r="T31" s="156"/>
      <c r="U31" s="6"/>
    </row>
    <row r="32" spans="1:21" customFormat="1">
      <c r="A32" s="163" t="s">
        <v>2855</v>
      </c>
      <c r="B32" s="100">
        <v>7.58</v>
      </c>
      <c r="C32" s="100">
        <v>10.3</v>
      </c>
      <c r="D32" s="100">
        <v>10.47</v>
      </c>
      <c r="E32" s="100">
        <v>5.68</v>
      </c>
      <c r="F32" s="100">
        <v>3.41</v>
      </c>
      <c r="G32" s="100">
        <v>46.34</v>
      </c>
      <c r="H32" s="100">
        <v>24.42</v>
      </c>
      <c r="I32" s="100">
        <v>13.49</v>
      </c>
      <c r="J32" s="100">
        <v>4.1100000000000003</v>
      </c>
      <c r="K32" s="100">
        <v>189.84</v>
      </c>
      <c r="L32" s="100">
        <v>24.65</v>
      </c>
      <c r="M32" s="100">
        <v>88.15</v>
      </c>
      <c r="N32" s="100">
        <v>40.700000000000003</v>
      </c>
      <c r="O32" s="100">
        <v>0</v>
      </c>
      <c r="P32" s="100">
        <v>0.54</v>
      </c>
      <c r="Q32" s="100">
        <v>28.83</v>
      </c>
      <c r="R32" s="6"/>
      <c r="S32" s="6"/>
      <c r="T32" s="156"/>
      <c r="U32" s="6"/>
    </row>
    <row r="33" spans="1:21" customFormat="1">
      <c r="A33" s="163" t="s">
        <v>2856</v>
      </c>
      <c r="B33" s="100">
        <v>7.7</v>
      </c>
      <c r="C33" s="100">
        <v>10.59</v>
      </c>
      <c r="D33" s="100">
        <v>10.71</v>
      </c>
      <c r="E33" s="100">
        <v>5.7</v>
      </c>
      <c r="F33" s="100">
        <v>3.55</v>
      </c>
      <c r="G33" s="100">
        <v>48.26</v>
      </c>
      <c r="H33" s="100">
        <v>24.26</v>
      </c>
      <c r="I33" s="100">
        <v>13.59</v>
      </c>
      <c r="J33" s="100">
        <v>4.4000000000000004</v>
      </c>
      <c r="K33" s="100">
        <v>202.02</v>
      </c>
      <c r="L33" s="100">
        <v>24.64</v>
      </c>
      <c r="M33" s="100">
        <v>88.34</v>
      </c>
      <c r="N33" s="100">
        <v>53.4</v>
      </c>
      <c r="O33" s="100">
        <v>0</v>
      </c>
      <c r="P33" s="100">
        <v>0.54</v>
      </c>
      <c r="Q33" s="100">
        <v>28.77</v>
      </c>
      <c r="R33" s="6"/>
      <c r="S33" s="6"/>
      <c r="T33" s="156"/>
      <c r="U33" s="6"/>
    </row>
    <row r="34" spans="1:21" customFormat="1">
      <c r="A34" s="163" t="s">
        <v>2857</v>
      </c>
      <c r="B34" s="100">
        <v>7.8</v>
      </c>
      <c r="C34" s="100">
        <v>10.55</v>
      </c>
      <c r="D34" s="100">
        <v>10.77</v>
      </c>
      <c r="E34" s="100">
        <v>5.85</v>
      </c>
      <c r="F34" s="100">
        <v>3.63</v>
      </c>
      <c r="G34" s="100">
        <v>48.26</v>
      </c>
      <c r="H34" s="100">
        <v>24.26</v>
      </c>
      <c r="I34" s="100">
        <v>13.65</v>
      </c>
      <c r="J34" s="100">
        <v>4.01</v>
      </c>
      <c r="K34" s="100">
        <v>207.22</v>
      </c>
      <c r="L34" s="100">
        <v>24.7</v>
      </c>
      <c r="M34" s="100">
        <v>87.87</v>
      </c>
      <c r="N34" s="100">
        <v>66.900000000000006</v>
      </c>
      <c r="O34" s="100">
        <v>0</v>
      </c>
      <c r="P34" s="100">
        <v>0.54</v>
      </c>
      <c r="Q34" s="100">
        <v>28.76</v>
      </c>
      <c r="R34" s="6"/>
      <c r="S34" s="6"/>
      <c r="T34" s="156"/>
      <c r="U34" s="6"/>
    </row>
    <row r="35" spans="1:21" customFormat="1">
      <c r="A35" s="163" t="s">
        <v>2858</v>
      </c>
      <c r="B35" s="100">
        <v>7.83</v>
      </c>
      <c r="C35" s="100">
        <v>10.52</v>
      </c>
      <c r="D35" s="100">
        <v>10.79</v>
      </c>
      <c r="E35" s="100">
        <v>5.68</v>
      </c>
      <c r="F35" s="100">
        <v>3.97</v>
      </c>
      <c r="G35" s="100">
        <v>48.26</v>
      </c>
      <c r="H35" s="100">
        <v>24.26</v>
      </c>
      <c r="I35" s="100">
        <v>13.72</v>
      </c>
      <c r="J35" s="100">
        <v>3.83</v>
      </c>
      <c r="K35" s="100">
        <v>185.35</v>
      </c>
      <c r="L35" s="100">
        <v>24.94</v>
      </c>
      <c r="M35" s="100">
        <v>86.96</v>
      </c>
      <c r="N35" s="100">
        <v>89.8</v>
      </c>
      <c r="O35" s="100">
        <v>0</v>
      </c>
      <c r="P35" s="100">
        <v>0.55000000000000004</v>
      </c>
      <c r="Q35" s="100">
        <v>28.75</v>
      </c>
      <c r="R35" s="6"/>
      <c r="S35" s="6"/>
      <c r="T35" s="156"/>
      <c r="U35" s="6"/>
    </row>
    <row r="36" spans="1:21" customFormat="1">
      <c r="A36" s="163" t="s">
        <v>2859</v>
      </c>
      <c r="B36" s="100">
        <v>7.95</v>
      </c>
      <c r="C36" s="100">
        <v>10.56</v>
      </c>
      <c r="D36" s="100">
        <v>10.9</v>
      </c>
      <c r="E36" s="100">
        <v>5.69</v>
      </c>
      <c r="F36" s="100">
        <v>3.79</v>
      </c>
      <c r="G36" s="100">
        <v>48.39</v>
      </c>
      <c r="H36" s="100">
        <v>24.71</v>
      </c>
      <c r="I36" s="100">
        <v>13.65</v>
      </c>
      <c r="J36" s="100">
        <v>4.07</v>
      </c>
      <c r="K36" s="100">
        <v>218.41</v>
      </c>
      <c r="L36" s="100">
        <v>25.2</v>
      </c>
      <c r="M36" s="100">
        <v>85.28</v>
      </c>
      <c r="N36" s="100">
        <v>108.2</v>
      </c>
      <c r="O36" s="100">
        <v>0</v>
      </c>
      <c r="P36" s="100">
        <v>0.54</v>
      </c>
      <c r="Q36" s="100">
        <v>28.77</v>
      </c>
      <c r="R36" s="6"/>
      <c r="S36" s="6"/>
      <c r="T36" s="156"/>
      <c r="U36" s="6"/>
    </row>
    <row r="37" spans="1:21" customFormat="1">
      <c r="A37" s="163" t="s">
        <v>2860</v>
      </c>
      <c r="B37" s="100">
        <v>8.14</v>
      </c>
      <c r="C37" s="100">
        <v>11.72</v>
      </c>
      <c r="D37" s="100">
        <v>11.66</v>
      </c>
      <c r="E37" s="100">
        <v>5.51</v>
      </c>
      <c r="F37" s="100">
        <v>3.02</v>
      </c>
      <c r="G37" s="100">
        <v>48.92</v>
      </c>
      <c r="H37" s="100">
        <v>26.41</v>
      </c>
      <c r="I37" s="100">
        <v>13.51</v>
      </c>
      <c r="J37" s="100">
        <v>4.99</v>
      </c>
      <c r="K37" s="100">
        <v>244.82</v>
      </c>
      <c r="L37" s="100">
        <v>25.18</v>
      </c>
      <c r="M37" s="100">
        <v>84.93</v>
      </c>
      <c r="N37" s="100">
        <v>110.4</v>
      </c>
      <c r="O37" s="100">
        <v>0</v>
      </c>
      <c r="P37" s="100">
        <v>0.54</v>
      </c>
      <c r="Q37" s="100">
        <v>28.76</v>
      </c>
      <c r="R37" s="6"/>
      <c r="S37" s="6"/>
      <c r="T37" s="156"/>
      <c r="U37" s="6"/>
    </row>
    <row r="38" spans="1:21" customFormat="1">
      <c r="A38" s="163" t="s">
        <v>2861</v>
      </c>
      <c r="B38" s="100">
        <v>8.14</v>
      </c>
      <c r="C38" s="100">
        <v>12.38</v>
      </c>
      <c r="D38" s="100">
        <v>12</v>
      </c>
      <c r="E38" s="100">
        <v>5.66</v>
      </c>
      <c r="F38" s="100">
        <v>2.75</v>
      </c>
      <c r="G38" s="100">
        <v>48.92</v>
      </c>
      <c r="H38" s="100">
        <v>26.41</v>
      </c>
      <c r="I38" s="100">
        <v>13.35</v>
      </c>
      <c r="J38" s="100">
        <v>4.1500000000000004</v>
      </c>
      <c r="K38" s="100">
        <v>247.35</v>
      </c>
      <c r="L38" s="100">
        <v>25.34</v>
      </c>
      <c r="M38" s="100">
        <v>84.38</v>
      </c>
      <c r="N38" s="100">
        <v>138.30000000000001</v>
      </c>
      <c r="O38" s="100">
        <v>0</v>
      </c>
      <c r="P38" s="100">
        <v>0.53</v>
      </c>
      <c r="Q38" s="100">
        <v>28.75</v>
      </c>
      <c r="R38" s="6"/>
      <c r="S38" s="6"/>
      <c r="T38" s="156"/>
      <c r="U38" s="6"/>
    </row>
    <row r="39" spans="1:21" customFormat="1">
      <c r="A39" s="163" t="s">
        <v>2862</v>
      </c>
      <c r="B39" s="100">
        <v>8.32</v>
      </c>
      <c r="C39" s="100">
        <v>10.72</v>
      </c>
      <c r="D39" s="100">
        <v>11.28</v>
      </c>
      <c r="E39" s="100">
        <v>5.64</v>
      </c>
      <c r="F39" s="100">
        <v>2.99</v>
      </c>
      <c r="G39" s="100">
        <v>48.92</v>
      </c>
      <c r="H39" s="100">
        <v>26.41</v>
      </c>
      <c r="I39" s="100">
        <v>13.23</v>
      </c>
      <c r="J39" s="100">
        <v>4</v>
      </c>
      <c r="K39" s="100">
        <v>252.42</v>
      </c>
      <c r="L39" s="100">
        <v>25.8</v>
      </c>
      <c r="M39" s="100">
        <v>81.09</v>
      </c>
      <c r="N39" s="100">
        <v>174.7</v>
      </c>
      <c r="O39" s="100">
        <v>0</v>
      </c>
      <c r="P39" s="100">
        <v>0.53</v>
      </c>
      <c r="Q39" s="100">
        <v>28.82</v>
      </c>
      <c r="R39" s="6"/>
      <c r="S39" s="6"/>
      <c r="T39" s="156"/>
      <c r="U39" s="6"/>
    </row>
    <row r="40" spans="1:21" customFormat="1">
      <c r="A40" s="163" t="s">
        <v>2863</v>
      </c>
      <c r="B40" s="100">
        <v>8.44</v>
      </c>
      <c r="C40" s="100">
        <v>10.72</v>
      </c>
      <c r="D40" s="100">
        <v>11.37</v>
      </c>
      <c r="E40" s="100">
        <v>5.65</v>
      </c>
      <c r="F40" s="100">
        <v>3.37</v>
      </c>
      <c r="G40" s="100">
        <v>48.91</v>
      </c>
      <c r="H40" s="100">
        <v>25.89</v>
      </c>
      <c r="I40" s="100">
        <v>13.22</v>
      </c>
      <c r="J40" s="100">
        <v>2.2200000000000002</v>
      </c>
      <c r="K40" s="100">
        <v>229.93</v>
      </c>
      <c r="L40" s="100">
        <v>26.61</v>
      </c>
      <c r="M40" s="100">
        <v>77.25</v>
      </c>
      <c r="N40" s="100">
        <v>250.4</v>
      </c>
      <c r="O40" s="100">
        <v>0</v>
      </c>
      <c r="P40" s="100">
        <v>0.56000000000000005</v>
      </c>
      <c r="Q40" s="100">
        <v>28.83</v>
      </c>
      <c r="R40" s="6"/>
      <c r="S40" s="6"/>
      <c r="T40" s="156"/>
      <c r="U40" s="6"/>
    </row>
    <row r="41" spans="1:21" customFormat="1">
      <c r="A41" s="163" t="s">
        <v>2864</v>
      </c>
      <c r="B41" s="100">
        <v>8.68</v>
      </c>
      <c r="C41" s="100">
        <v>11.36</v>
      </c>
      <c r="D41" s="100">
        <v>11.9</v>
      </c>
      <c r="E41" s="100">
        <v>6</v>
      </c>
      <c r="F41" s="100">
        <v>3.62</v>
      </c>
      <c r="G41" s="100">
        <v>48.87</v>
      </c>
      <c r="H41" s="100">
        <v>23.96</v>
      </c>
      <c r="I41" s="100">
        <v>13.32</v>
      </c>
      <c r="J41" s="100">
        <v>4.67</v>
      </c>
      <c r="K41" s="100">
        <v>194.75</v>
      </c>
      <c r="L41" s="100">
        <v>27.19</v>
      </c>
      <c r="M41" s="100">
        <v>74.47</v>
      </c>
      <c r="N41" s="100">
        <v>316.39999999999998</v>
      </c>
      <c r="O41" s="100">
        <v>0</v>
      </c>
      <c r="P41" s="100">
        <v>0.56999999999999995</v>
      </c>
      <c r="Q41" s="100">
        <v>28.81</v>
      </c>
      <c r="R41" s="6"/>
      <c r="S41" s="6"/>
      <c r="T41" s="156"/>
      <c r="U41" s="6"/>
    </row>
    <row r="42" spans="1:21" customFormat="1">
      <c r="A42" s="163" t="s">
        <v>2865</v>
      </c>
      <c r="B42" s="100">
        <v>8.68</v>
      </c>
      <c r="C42" s="100">
        <v>11.99</v>
      </c>
      <c r="D42" s="100">
        <v>12.23</v>
      </c>
      <c r="E42" s="100">
        <v>5.61</v>
      </c>
      <c r="F42" s="100">
        <v>3.69</v>
      </c>
      <c r="G42" s="100">
        <v>48.87</v>
      </c>
      <c r="H42" s="100">
        <v>23.96</v>
      </c>
      <c r="I42" s="100">
        <v>13.43</v>
      </c>
      <c r="J42" s="100">
        <v>3.99</v>
      </c>
      <c r="K42" s="100">
        <v>10.88</v>
      </c>
      <c r="L42" s="100">
        <v>27.97</v>
      </c>
      <c r="M42" s="100">
        <v>69.89</v>
      </c>
      <c r="N42" s="100">
        <v>371.1</v>
      </c>
      <c r="O42" s="100">
        <v>0</v>
      </c>
      <c r="P42" s="100">
        <v>0.56999999999999995</v>
      </c>
      <c r="Q42" s="100">
        <v>28.77</v>
      </c>
      <c r="R42" s="6"/>
      <c r="S42" s="6"/>
      <c r="T42" s="156"/>
      <c r="U42" s="6"/>
    </row>
    <row r="43" spans="1:21" customFormat="1">
      <c r="A43" s="163" t="s">
        <v>2866</v>
      </c>
      <c r="B43" s="100">
        <v>8.44</v>
      </c>
      <c r="C43" s="100">
        <v>11.52</v>
      </c>
      <c r="D43" s="100">
        <v>11.79</v>
      </c>
      <c r="E43" s="100">
        <v>5.83</v>
      </c>
      <c r="F43" s="100">
        <v>8.1</v>
      </c>
      <c r="G43" s="100">
        <v>48.87</v>
      </c>
      <c r="H43" s="100">
        <v>23.96</v>
      </c>
      <c r="I43" s="100">
        <v>13.46</v>
      </c>
      <c r="J43" s="100">
        <v>1.42</v>
      </c>
      <c r="K43" s="100">
        <v>343.52</v>
      </c>
      <c r="L43" s="100">
        <v>28.52</v>
      </c>
      <c r="M43" s="100">
        <v>67.739999999999995</v>
      </c>
      <c r="N43" s="100">
        <v>410.4</v>
      </c>
      <c r="O43" s="100">
        <v>0</v>
      </c>
      <c r="P43" s="100">
        <v>0.57999999999999996</v>
      </c>
      <c r="Q43" s="100">
        <v>28.79</v>
      </c>
      <c r="R43" s="6"/>
      <c r="S43" s="6"/>
      <c r="T43" s="156"/>
      <c r="U43" s="6"/>
    </row>
    <row r="44" spans="1:21" customFormat="1">
      <c r="A44" s="163" t="s">
        <v>2867</v>
      </c>
      <c r="B44" s="100">
        <v>8</v>
      </c>
      <c r="C44" s="100">
        <v>10.83</v>
      </c>
      <c r="D44" s="100">
        <v>11.08</v>
      </c>
      <c r="E44" s="100">
        <v>6.08</v>
      </c>
      <c r="F44" s="100">
        <v>9.18</v>
      </c>
      <c r="G44" s="100">
        <v>49.36</v>
      </c>
      <c r="H44" s="100">
        <v>24.5</v>
      </c>
      <c r="I44" s="100">
        <v>13.39</v>
      </c>
      <c r="J44" s="100">
        <v>1.75</v>
      </c>
      <c r="K44" s="100">
        <v>346.5</v>
      </c>
      <c r="L44" s="100">
        <v>28.59</v>
      </c>
      <c r="M44" s="100">
        <v>67.19</v>
      </c>
      <c r="N44" s="100">
        <v>433.5</v>
      </c>
      <c r="O44" s="100">
        <v>0</v>
      </c>
      <c r="P44" s="100">
        <v>0.57999999999999996</v>
      </c>
      <c r="Q44" s="100">
        <v>28.83</v>
      </c>
      <c r="R44" s="6"/>
      <c r="S44" s="6"/>
      <c r="T44" s="156"/>
      <c r="U44" s="6"/>
    </row>
    <row r="45" spans="1:21" customFormat="1">
      <c r="A45" s="163" t="s">
        <v>2868</v>
      </c>
      <c r="B45" s="100">
        <v>7.45</v>
      </c>
      <c r="C45" s="100">
        <v>11.39</v>
      </c>
      <c r="D45" s="100">
        <v>10.93</v>
      </c>
      <c r="E45" s="100">
        <v>6.23</v>
      </c>
      <c r="F45" s="100">
        <v>10.27</v>
      </c>
      <c r="G45" s="100">
        <v>51.2</v>
      </c>
      <c r="H45" s="100">
        <v>26.53</v>
      </c>
      <c r="I45" s="100">
        <v>13.4</v>
      </c>
      <c r="J45" s="100">
        <v>3.32</v>
      </c>
      <c r="K45" s="100">
        <v>353.41</v>
      </c>
      <c r="L45" s="100">
        <v>29.07</v>
      </c>
      <c r="M45" s="100">
        <v>63.93</v>
      </c>
      <c r="N45" s="100">
        <v>369.3</v>
      </c>
      <c r="O45" s="100">
        <v>0</v>
      </c>
      <c r="P45" s="100">
        <v>0.63</v>
      </c>
      <c r="Q45" s="100">
        <v>28.74</v>
      </c>
      <c r="R45" s="6"/>
      <c r="S45" s="6"/>
      <c r="T45" s="156"/>
      <c r="U45" s="6"/>
    </row>
    <row r="46" spans="1:21" customFormat="1">
      <c r="A46" s="163" t="s">
        <v>2869</v>
      </c>
      <c r="B46" s="100">
        <v>7.31</v>
      </c>
      <c r="C46" s="100">
        <v>12.31</v>
      </c>
      <c r="D46" s="100">
        <v>11.3</v>
      </c>
      <c r="E46" s="100">
        <v>6.52</v>
      </c>
      <c r="F46" s="100">
        <v>9.86</v>
      </c>
      <c r="G46" s="100">
        <v>51.2</v>
      </c>
      <c r="H46" s="100">
        <v>26.53</v>
      </c>
      <c r="I46" s="100">
        <v>13.35</v>
      </c>
      <c r="J46" s="100">
        <v>3.53</v>
      </c>
      <c r="K46" s="100">
        <v>39.33</v>
      </c>
      <c r="L46" s="100">
        <v>29.64</v>
      </c>
      <c r="M46" s="100">
        <v>60.67</v>
      </c>
      <c r="N46" s="100">
        <v>298.8</v>
      </c>
      <c r="O46" s="100">
        <v>0</v>
      </c>
      <c r="P46" s="100">
        <v>0.65</v>
      </c>
      <c r="Q46" s="100">
        <v>28.76</v>
      </c>
      <c r="R46" s="6"/>
      <c r="S46" s="6"/>
      <c r="T46" s="156"/>
      <c r="U46" s="6"/>
    </row>
    <row r="47" spans="1:21" customFormat="1">
      <c r="A47" s="163" t="s">
        <v>2870</v>
      </c>
      <c r="B47" s="100">
        <v>6.9</v>
      </c>
      <c r="C47" s="100">
        <v>14.09</v>
      </c>
      <c r="D47" s="100">
        <v>11.9</v>
      </c>
      <c r="E47" s="100">
        <v>7.01</v>
      </c>
      <c r="F47" s="100">
        <v>10.199999999999999</v>
      </c>
      <c r="G47" s="100">
        <v>51.2</v>
      </c>
      <c r="H47" s="100">
        <v>26.53</v>
      </c>
      <c r="I47" s="100">
        <v>13.27</v>
      </c>
      <c r="J47" s="100">
        <v>0.91</v>
      </c>
      <c r="K47" s="100">
        <v>82.02</v>
      </c>
      <c r="L47" s="100">
        <v>30.54</v>
      </c>
      <c r="M47" s="100">
        <v>60.45</v>
      </c>
      <c r="N47" s="100">
        <v>432.5</v>
      </c>
      <c r="O47" s="100">
        <v>0</v>
      </c>
      <c r="P47" s="100">
        <v>0.71</v>
      </c>
      <c r="Q47" s="100">
        <v>28.73</v>
      </c>
      <c r="R47" s="6"/>
      <c r="S47" s="6"/>
      <c r="T47" s="156"/>
      <c r="U47" s="6"/>
    </row>
    <row r="48" spans="1:21" customFormat="1">
      <c r="A48" s="163" t="s">
        <v>2871</v>
      </c>
      <c r="B48" s="100">
        <v>7.19</v>
      </c>
      <c r="C48" s="100">
        <v>16.579999999999998</v>
      </c>
      <c r="D48" s="100">
        <v>13.44</v>
      </c>
      <c r="E48" s="100">
        <v>7.51</v>
      </c>
      <c r="F48" s="100">
        <v>10.47</v>
      </c>
      <c r="G48" s="100">
        <v>56.11</v>
      </c>
      <c r="H48" s="100">
        <v>28.55</v>
      </c>
      <c r="I48" s="100">
        <v>13.69</v>
      </c>
      <c r="J48" s="100">
        <v>3.21</v>
      </c>
      <c r="K48" s="100">
        <v>27.61</v>
      </c>
      <c r="L48" s="100">
        <v>30.68</v>
      </c>
      <c r="M48" s="100">
        <v>61.34</v>
      </c>
      <c r="N48" s="100">
        <v>415.6</v>
      </c>
      <c r="O48" s="100">
        <v>0</v>
      </c>
      <c r="P48" s="100">
        <v>0.79</v>
      </c>
      <c r="Q48" s="100">
        <v>28.67</v>
      </c>
      <c r="R48" s="6"/>
      <c r="S48" s="6"/>
      <c r="T48" s="156"/>
      <c r="U48" s="6"/>
    </row>
    <row r="49" spans="1:21" customFormat="1">
      <c r="A49" s="163" t="s">
        <v>2872</v>
      </c>
      <c r="B49" s="100">
        <v>7.03</v>
      </c>
      <c r="C49" s="100">
        <v>17.09</v>
      </c>
      <c r="D49" s="100">
        <v>13.57</v>
      </c>
      <c r="E49" s="100">
        <v>7.67</v>
      </c>
      <c r="F49" s="100">
        <v>10.48</v>
      </c>
      <c r="G49" s="100">
        <v>74.459999999999994</v>
      </c>
      <c r="H49" s="100">
        <v>36.08</v>
      </c>
      <c r="I49" s="100">
        <v>14.57</v>
      </c>
      <c r="J49" s="100">
        <v>3.01</v>
      </c>
      <c r="K49" s="100">
        <v>130.78</v>
      </c>
      <c r="L49" s="100">
        <v>30.56</v>
      </c>
      <c r="M49" s="100">
        <v>63.43</v>
      </c>
      <c r="N49" s="100">
        <v>244.7</v>
      </c>
      <c r="O49" s="100">
        <v>0</v>
      </c>
      <c r="P49" s="100">
        <v>0.77</v>
      </c>
      <c r="Q49" s="100">
        <v>28.61</v>
      </c>
      <c r="R49" s="6"/>
      <c r="S49" s="6"/>
      <c r="T49" s="156"/>
      <c r="U49" s="6"/>
    </row>
    <row r="50" spans="1:21" customFormat="1">
      <c r="A50" s="163" t="s">
        <v>2873</v>
      </c>
      <c r="B50" s="100">
        <v>6.09</v>
      </c>
      <c r="C50" s="100">
        <v>16.309999999999999</v>
      </c>
      <c r="D50" s="100">
        <v>12.41</v>
      </c>
      <c r="E50" s="100">
        <v>6.76</v>
      </c>
      <c r="F50" s="100">
        <v>6.19</v>
      </c>
      <c r="G50" s="100">
        <v>74.459999999999994</v>
      </c>
      <c r="H50" s="100">
        <v>36.08</v>
      </c>
      <c r="I50" s="100">
        <v>15.31</v>
      </c>
      <c r="J50" s="100">
        <v>2.98</v>
      </c>
      <c r="K50" s="100">
        <v>125.56</v>
      </c>
      <c r="L50" s="100">
        <v>29.89</v>
      </c>
      <c r="M50" s="100">
        <v>65.8</v>
      </c>
      <c r="N50" s="100">
        <v>128.80000000000001</v>
      </c>
      <c r="O50" s="100">
        <v>0</v>
      </c>
      <c r="P50" s="100">
        <v>0.74</v>
      </c>
      <c r="Q50" s="100">
        <v>28.56</v>
      </c>
      <c r="R50" s="6"/>
      <c r="S50" s="6"/>
      <c r="T50" s="156"/>
      <c r="U50" s="6"/>
    </row>
    <row r="51" spans="1:21" customFormat="1">
      <c r="A51" s="163" t="s">
        <v>2874</v>
      </c>
      <c r="B51" s="100">
        <v>6.13</v>
      </c>
      <c r="C51" s="100">
        <v>17.649999999999999</v>
      </c>
      <c r="D51" s="100">
        <v>13.14</v>
      </c>
      <c r="E51" s="100">
        <v>7.59</v>
      </c>
      <c r="F51" s="100">
        <v>9.14</v>
      </c>
      <c r="G51" s="100">
        <v>74.459999999999994</v>
      </c>
      <c r="H51" s="100">
        <v>36.08</v>
      </c>
      <c r="I51" s="100">
        <v>15.49</v>
      </c>
      <c r="J51" s="100">
        <v>3.42</v>
      </c>
      <c r="K51" s="100">
        <v>24.74</v>
      </c>
      <c r="L51" s="100">
        <v>30.45</v>
      </c>
      <c r="M51" s="100">
        <v>61.27</v>
      </c>
      <c r="N51" s="100">
        <v>536.79999999999995</v>
      </c>
      <c r="O51" s="100">
        <v>0</v>
      </c>
      <c r="P51" s="100">
        <v>0.8</v>
      </c>
      <c r="Q51" s="100">
        <v>28.55</v>
      </c>
      <c r="R51" s="6"/>
      <c r="S51" s="6"/>
      <c r="T51" s="156"/>
      <c r="U51" s="6"/>
    </row>
    <row r="52" spans="1:21" customFormat="1">
      <c r="A52" s="163" t="s">
        <v>2875</v>
      </c>
      <c r="B52" s="100">
        <v>5.99</v>
      </c>
      <c r="C52" s="100">
        <v>17.02</v>
      </c>
      <c r="D52" s="100">
        <v>12.7</v>
      </c>
      <c r="E52" s="100">
        <v>7.09</v>
      </c>
      <c r="F52" s="100">
        <v>7.64</v>
      </c>
      <c r="G52" s="100">
        <v>78.2</v>
      </c>
      <c r="H52" s="100">
        <v>37.06</v>
      </c>
      <c r="I52" s="100">
        <v>15.08</v>
      </c>
      <c r="J52" s="100">
        <v>1.55</v>
      </c>
      <c r="K52" s="100">
        <v>116.7</v>
      </c>
      <c r="L52" s="100">
        <v>31.43</v>
      </c>
      <c r="M52" s="100">
        <v>57.25</v>
      </c>
      <c r="N52" s="100">
        <v>444.3</v>
      </c>
      <c r="O52" s="100">
        <v>0</v>
      </c>
      <c r="P52" s="100">
        <v>0.76</v>
      </c>
      <c r="Q52" s="100">
        <v>28.59</v>
      </c>
      <c r="R52" s="6"/>
      <c r="S52" s="6"/>
      <c r="T52" s="156"/>
      <c r="U52" s="6"/>
    </row>
    <row r="53" spans="1:21" customFormat="1">
      <c r="A53" s="163" t="s">
        <v>2876</v>
      </c>
      <c r="B53" s="100">
        <v>5.43</v>
      </c>
      <c r="C53" s="100">
        <v>15.61</v>
      </c>
      <c r="D53" s="100">
        <v>11.52</v>
      </c>
      <c r="E53" s="100">
        <v>6.01</v>
      </c>
      <c r="F53" s="100">
        <v>9.24</v>
      </c>
      <c r="G53" s="100">
        <v>92.2</v>
      </c>
      <c r="H53" s="100">
        <v>40.729999999999997</v>
      </c>
      <c r="I53" s="100">
        <v>15.1</v>
      </c>
      <c r="J53" s="100">
        <v>1.39</v>
      </c>
      <c r="K53" s="100">
        <v>116.91</v>
      </c>
      <c r="L53" s="100">
        <v>31.72</v>
      </c>
      <c r="M53" s="100">
        <v>55.15</v>
      </c>
      <c r="N53" s="100">
        <v>435.9</v>
      </c>
      <c r="O53" s="100">
        <v>0</v>
      </c>
      <c r="P53" s="100">
        <v>0.73</v>
      </c>
      <c r="Q53" s="100">
        <v>28.65</v>
      </c>
      <c r="R53" s="6"/>
      <c r="S53" s="6"/>
      <c r="T53" s="156"/>
      <c r="U53" s="6"/>
    </row>
    <row r="54" spans="1:21" customFormat="1">
      <c r="A54" s="163" t="s">
        <v>2877</v>
      </c>
      <c r="B54" s="100">
        <v>4.95</v>
      </c>
      <c r="C54" s="100">
        <v>13.81</v>
      </c>
      <c r="D54" s="100">
        <v>10.19</v>
      </c>
      <c r="E54" s="100">
        <v>8.86</v>
      </c>
      <c r="F54" s="100">
        <v>14.43</v>
      </c>
      <c r="G54" s="100">
        <v>92.2</v>
      </c>
      <c r="H54" s="100">
        <v>40.729999999999997</v>
      </c>
      <c r="I54" s="100">
        <v>14.96</v>
      </c>
      <c r="J54" s="100">
        <v>0.97</v>
      </c>
      <c r="K54" s="100">
        <v>135.25</v>
      </c>
      <c r="L54" s="100">
        <v>32.4</v>
      </c>
      <c r="M54" s="100">
        <v>53.03</v>
      </c>
      <c r="N54" s="100">
        <v>639</v>
      </c>
      <c r="O54" s="100">
        <v>0</v>
      </c>
      <c r="P54" s="100">
        <v>0.76</v>
      </c>
      <c r="Q54" s="100">
        <v>28.85</v>
      </c>
      <c r="R54" s="6"/>
      <c r="S54" s="6"/>
      <c r="T54" s="156"/>
      <c r="U54" s="6"/>
    </row>
    <row r="55" spans="1:21" customFormat="1">
      <c r="A55" s="163" t="s">
        <v>2878</v>
      </c>
      <c r="B55" s="100">
        <v>4.88</v>
      </c>
      <c r="C55" s="100">
        <v>13.21</v>
      </c>
      <c r="D55" s="100">
        <v>9.82</v>
      </c>
      <c r="E55" s="100">
        <v>8.57</v>
      </c>
      <c r="F55" s="100">
        <v>6.11</v>
      </c>
      <c r="G55" s="100">
        <v>92.2</v>
      </c>
      <c r="H55" s="100">
        <v>40.729999999999997</v>
      </c>
      <c r="I55" s="100">
        <v>14.73</v>
      </c>
      <c r="J55" s="100">
        <v>1.34</v>
      </c>
      <c r="K55" s="100">
        <v>57.41</v>
      </c>
      <c r="L55" s="100">
        <v>32.89</v>
      </c>
      <c r="M55" s="100">
        <v>50.76</v>
      </c>
      <c r="N55" s="100">
        <v>660.6</v>
      </c>
      <c r="O55" s="100">
        <v>0</v>
      </c>
      <c r="P55" s="100">
        <v>0.76</v>
      </c>
      <c r="Q55" s="100">
        <v>28.92</v>
      </c>
      <c r="R55" s="6"/>
      <c r="S55" s="6"/>
      <c r="T55" s="156"/>
      <c r="U55" s="6"/>
    </row>
    <row r="56" spans="1:21" customFormat="1">
      <c r="A56" s="163" t="s">
        <v>2879</v>
      </c>
      <c r="B56" s="100">
        <v>4.59</v>
      </c>
      <c r="C56" s="100">
        <v>15.04</v>
      </c>
      <c r="D56" s="100">
        <v>10.54</v>
      </c>
      <c r="E56" s="100">
        <v>9.35</v>
      </c>
      <c r="F56" s="100">
        <v>19.89</v>
      </c>
      <c r="G56" s="100">
        <v>90.39</v>
      </c>
      <c r="H56" s="100">
        <v>39.86</v>
      </c>
      <c r="I56" s="100">
        <v>14.42</v>
      </c>
      <c r="J56" s="100">
        <v>3.84</v>
      </c>
      <c r="K56" s="100">
        <v>41.92</v>
      </c>
      <c r="L56" s="100">
        <v>33.119999999999997</v>
      </c>
      <c r="M56" s="100">
        <v>49</v>
      </c>
      <c r="N56" s="100">
        <v>765.3</v>
      </c>
      <c r="O56" s="100">
        <v>0</v>
      </c>
      <c r="P56" s="100">
        <v>0.75</v>
      </c>
      <c r="Q56" s="100">
        <v>28.88</v>
      </c>
      <c r="R56" s="6"/>
      <c r="S56" s="6"/>
      <c r="T56" s="156"/>
      <c r="U56" s="6"/>
    </row>
    <row r="57" spans="1:21" customFormat="1">
      <c r="A57" s="163" t="s">
        <v>2880</v>
      </c>
      <c r="B57" s="100">
        <v>4.3899999999999997</v>
      </c>
      <c r="C57" s="100">
        <v>13.2</v>
      </c>
      <c r="D57" s="100">
        <v>9.42</v>
      </c>
      <c r="E57" s="100">
        <v>8.68</v>
      </c>
      <c r="F57" s="100">
        <v>18.39</v>
      </c>
      <c r="G57" s="100">
        <v>83.6</v>
      </c>
      <c r="H57" s="100">
        <v>36.6</v>
      </c>
      <c r="I57" s="100">
        <v>14.25</v>
      </c>
      <c r="J57" s="100">
        <v>2.89</v>
      </c>
      <c r="K57" s="100">
        <v>53.87</v>
      </c>
      <c r="L57" s="100">
        <v>33.04</v>
      </c>
      <c r="M57" s="100">
        <v>48.63</v>
      </c>
      <c r="N57" s="100">
        <v>578.6</v>
      </c>
      <c r="O57" s="100">
        <v>0</v>
      </c>
      <c r="P57" s="100">
        <v>0.72</v>
      </c>
      <c r="Q57" s="100">
        <v>28.93</v>
      </c>
      <c r="R57" s="6"/>
      <c r="S57" s="6"/>
      <c r="T57" s="156"/>
      <c r="U57" s="6"/>
    </row>
    <row r="58" spans="1:21" customFormat="1">
      <c r="A58" s="163" t="s">
        <v>2881</v>
      </c>
      <c r="B58" s="100">
        <v>4.1100000000000003</v>
      </c>
      <c r="C58" s="100">
        <v>12.9</v>
      </c>
      <c r="D58" s="100">
        <v>9.0399999999999991</v>
      </c>
      <c r="E58" s="100">
        <v>8.86</v>
      </c>
      <c r="F58" s="100">
        <v>23.79</v>
      </c>
      <c r="G58" s="100">
        <v>83.6</v>
      </c>
      <c r="H58" s="100">
        <v>36.6</v>
      </c>
      <c r="I58" s="100">
        <v>13.86</v>
      </c>
      <c r="J58" s="100">
        <v>3.9</v>
      </c>
      <c r="K58" s="100">
        <v>37.43</v>
      </c>
      <c r="L58" s="100">
        <v>33</v>
      </c>
      <c r="M58" s="100">
        <v>49.08</v>
      </c>
      <c r="N58" s="100">
        <v>592.20000000000005</v>
      </c>
      <c r="O58" s="100">
        <v>0</v>
      </c>
      <c r="P58" s="100">
        <v>0.74</v>
      </c>
      <c r="Q58" s="100">
        <v>29.03</v>
      </c>
      <c r="R58" s="6"/>
      <c r="S58" s="6"/>
      <c r="T58" s="156"/>
      <c r="U58" s="6"/>
    </row>
    <row r="59" spans="1:21" customFormat="1">
      <c r="A59" s="163" t="s">
        <v>2882</v>
      </c>
      <c r="B59" s="100">
        <v>3.9</v>
      </c>
      <c r="C59" s="100">
        <v>13.39</v>
      </c>
      <c r="D59" s="100">
        <v>9.1300000000000008</v>
      </c>
      <c r="E59" s="100">
        <v>8.24</v>
      </c>
      <c r="F59" s="100">
        <v>19.2</v>
      </c>
      <c r="G59" s="100">
        <v>83.6</v>
      </c>
      <c r="H59" s="100">
        <v>36.6</v>
      </c>
      <c r="I59" s="100">
        <v>13.47</v>
      </c>
      <c r="J59" s="100">
        <v>4.12</v>
      </c>
      <c r="K59" s="100">
        <v>21.85</v>
      </c>
      <c r="L59" s="100">
        <v>33.33</v>
      </c>
      <c r="M59" s="100">
        <v>47.63</v>
      </c>
      <c r="N59" s="100">
        <v>724.4</v>
      </c>
      <c r="O59" s="100">
        <v>0</v>
      </c>
      <c r="P59" s="100">
        <v>0.75</v>
      </c>
      <c r="Q59" s="100">
        <v>28.95</v>
      </c>
      <c r="R59" s="6"/>
      <c r="S59" s="6"/>
      <c r="T59" s="156"/>
      <c r="U59" s="6"/>
    </row>
    <row r="60" spans="1:21" customFormat="1">
      <c r="A60" s="163" t="s">
        <v>2883</v>
      </c>
      <c r="B60" s="100">
        <v>3.63</v>
      </c>
      <c r="C60" s="100">
        <v>12.43</v>
      </c>
      <c r="D60" s="100">
        <v>8.41</v>
      </c>
      <c r="E60" s="100">
        <v>8.08</v>
      </c>
      <c r="F60" s="100">
        <v>20.350000000000001</v>
      </c>
      <c r="G60" s="100">
        <v>84.14</v>
      </c>
      <c r="H60" s="100">
        <v>37.229999999999997</v>
      </c>
      <c r="I60" s="100">
        <v>13.7</v>
      </c>
      <c r="J60" s="100">
        <v>3.26</v>
      </c>
      <c r="K60" s="100">
        <v>7.59</v>
      </c>
      <c r="L60" s="100">
        <v>33.659999999999997</v>
      </c>
      <c r="M60" s="100">
        <v>45.36</v>
      </c>
      <c r="N60" s="100">
        <v>691.1</v>
      </c>
      <c r="O60" s="100">
        <v>0</v>
      </c>
      <c r="P60" s="100">
        <v>0.71</v>
      </c>
      <c r="Q60" s="100">
        <v>28.99</v>
      </c>
      <c r="R60" s="6"/>
      <c r="S60" s="6"/>
      <c r="T60" s="156"/>
      <c r="U60" s="6"/>
    </row>
    <row r="61" spans="1:21" customFormat="1">
      <c r="A61" s="163" t="s">
        <v>2884</v>
      </c>
      <c r="B61" s="100">
        <v>3.12</v>
      </c>
      <c r="C61" s="100">
        <v>13.09</v>
      </c>
      <c r="D61" s="100">
        <v>8.35</v>
      </c>
      <c r="E61" s="100">
        <v>8.23</v>
      </c>
      <c r="F61" s="100">
        <v>23.24</v>
      </c>
      <c r="G61" s="100">
        <v>86.15</v>
      </c>
      <c r="H61" s="100">
        <v>39.58</v>
      </c>
      <c r="I61" s="100">
        <v>13.76</v>
      </c>
      <c r="J61" s="100">
        <v>3.8</v>
      </c>
      <c r="K61" s="100">
        <v>19.739999999999998</v>
      </c>
      <c r="L61" s="100">
        <v>34.32</v>
      </c>
      <c r="M61" s="100">
        <v>44.85</v>
      </c>
      <c r="N61" s="100">
        <v>655.4</v>
      </c>
      <c r="O61" s="100">
        <v>0</v>
      </c>
      <c r="P61" s="100">
        <v>0.72</v>
      </c>
      <c r="Q61" s="100">
        <v>28.98</v>
      </c>
      <c r="R61" s="6"/>
      <c r="S61" s="6"/>
      <c r="T61" s="156"/>
      <c r="U61" s="6"/>
    </row>
    <row r="62" spans="1:21" customFormat="1">
      <c r="A62" s="163" t="s">
        <v>2885</v>
      </c>
      <c r="B62" s="100">
        <v>4</v>
      </c>
      <c r="C62" s="100">
        <v>11.07</v>
      </c>
      <c r="D62" s="100">
        <v>8</v>
      </c>
      <c r="E62" s="100">
        <v>8.39</v>
      </c>
      <c r="F62" s="100">
        <v>23.25</v>
      </c>
      <c r="G62" s="100">
        <v>86.15</v>
      </c>
      <c r="H62" s="100">
        <v>39.58</v>
      </c>
      <c r="I62" s="100">
        <v>13.11</v>
      </c>
      <c r="J62" s="100">
        <v>4.71</v>
      </c>
      <c r="K62" s="100">
        <v>16.22</v>
      </c>
      <c r="L62" s="100">
        <v>34.369999999999997</v>
      </c>
      <c r="M62" s="100">
        <v>44.19</v>
      </c>
      <c r="N62" s="100">
        <v>732.8</v>
      </c>
      <c r="O62" s="100">
        <v>0</v>
      </c>
      <c r="P62" s="100">
        <v>0.7</v>
      </c>
      <c r="Q62" s="100">
        <v>29</v>
      </c>
      <c r="R62" s="6"/>
      <c r="S62" s="6"/>
      <c r="T62" s="156"/>
      <c r="U62" s="6"/>
    </row>
    <row r="63" spans="1:21" customFormat="1">
      <c r="A63" s="163" t="s">
        <v>2886</v>
      </c>
      <c r="B63" s="100">
        <v>2.87</v>
      </c>
      <c r="C63" s="100">
        <v>12.29</v>
      </c>
      <c r="D63" s="100">
        <v>7.73</v>
      </c>
      <c r="E63" s="100">
        <v>8.0399999999999991</v>
      </c>
      <c r="F63" s="100">
        <v>12.87</v>
      </c>
      <c r="G63" s="100">
        <v>86.15</v>
      </c>
      <c r="H63" s="100">
        <v>39.58</v>
      </c>
      <c r="I63" s="100">
        <v>12.97</v>
      </c>
      <c r="J63" s="100">
        <v>2.93</v>
      </c>
      <c r="K63" s="100">
        <v>50.38</v>
      </c>
      <c r="L63" s="100">
        <v>34.97</v>
      </c>
      <c r="M63" s="100">
        <v>43.6</v>
      </c>
      <c r="N63" s="100">
        <v>580.4</v>
      </c>
      <c r="O63" s="100">
        <v>0</v>
      </c>
      <c r="P63" s="100">
        <v>0.7</v>
      </c>
      <c r="Q63" s="100">
        <v>29.02</v>
      </c>
      <c r="R63" s="6"/>
      <c r="S63" s="6"/>
      <c r="T63" s="156"/>
      <c r="U63" s="6"/>
    </row>
    <row r="64" spans="1:21" customFormat="1">
      <c r="A64" s="163" t="s">
        <v>2887</v>
      </c>
      <c r="B64" s="100">
        <v>2.5</v>
      </c>
      <c r="C64" s="100">
        <v>14.4</v>
      </c>
      <c r="D64" s="100">
        <v>8.5299999999999994</v>
      </c>
      <c r="E64" s="100">
        <v>8.73</v>
      </c>
      <c r="F64" s="100">
        <v>21.51</v>
      </c>
      <c r="G64" s="100">
        <v>86.09</v>
      </c>
      <c r="H64" s="100">
        <v>38.68</v>
      </c>
      <c r="I64" s="100">
        <v>12.83</v>
      </c>
      <c r="J64" s="100">
        <v>3.82</v>
      </c>
      <c r="K64" s="100">
        <v>38.33</v>
      </c>
      <c r="L64" s="100">
        <v>34.65</v>
      </c>
      <c r="M64" s="100">
        <v>44.61</v>
      </c>
      <c r="N64" s="100">
        <v>532.20000000000005</v>
      </c>
      <c r="O64" s="100">
        <v>0</v>
      </c>
      <c r="P64" s="100">
        <v>0.71</v>
      </c>
      <c r="Q64" s="100">
        <v>28.96</v>
      </c>
      <c r="R64" s="6"/>
      <c r="S64" s="6"/>
      <c r="T64" s="156"/>
      <c r="U64" s="6"/>
    </row>
    <row r="65" spans="1:21" customFormat="1">
      <c r="A65" s="163" t="s">
        <v>2888</v>
      </c>
      <c r="B65" s="100">
        <v>2.41</v>
      </c>
      <c r="C65" s="100">
        <v>14.08</v>
      </c>
      <c r="D65" s="100">
        <v>8.3000000000000007</v>
      </c>
      <c r="E65" s="100">
        <v>9.24</v>
      </c>
      <c r="F65" s="100">
        <v>16.350000000000001</v>
      </c>
      <c r="G65" s="100">
        <v>85.88</v>
      </c>
      <c r="H65" s="100">
        <v>35.33</v>
      </c>
      <c r="I65" s="100">
        <v>12.86</v>
      </c>
      <c r="J65" s="100">
        <v>3.72</v>
      </c>
      <c r="K65" s="100">
        <v>53.09</v>
      </c>
      <c r="L65" s="100">
        <v>34.78</v>
      </c>
      <c r="M65" s="100">
        <v>43.99</v>
      </c>
      <c r="N65" s="100">
        <v>354.6</v>
      </c>
      <c r="O65" s="100">
        <v>0</v>
      </c>
      <c r="P65" s="100">
        <v>0.68</v>
      </c>
      <c r="Q65" s="100">
        <v>29.04</v>
      </c>
      <c r="R65" s="6"/>
      <c r="S65" s="6"/>
      <c r="T65" s="156"/>
      <c r="U65" s="6"/>
    </row>
    <row r="66" spans="1:21" customFormat="1">
      <c r="A66" s="163" t="s">
        <v>2889</v>
      </c>
      <c r="B66" s="100">
        <v>2.13</v>
      </c>
      <c r="C66" s="100">
        <v>13.18</v>
      </c>
      <c r="D66" s="100">
        <v>7.6</v>
      </c>
      <c r="E66" s="100">
        <v>9.5299999999999994</v>
      </c>
      <c r="F66" s="100">
        <v>23.84</v>
      </c>
      <c r="G66" s="100">
        <v>85.88</v>
      </c>
      <c r="H66" s="100">
        <v>35.33</v>
      </c>
      <c r="I66" s="100">
        <v>12.87</v>
      </c>
      <c r="J66" s="100">
        <v>2.99</v>
      </c>
      <c r="K66" s="100">
        <v>63.25</v>
      </c>
      <c r="L66" s="100">
        <v>34.43</v>
      </c>
      <c r="M66" s="100">
        <v>44.72</v>
      </c>
      <c r="N66" s="100">
        <v>292.60000000000002</v>
      </c>
      <c r="O66" s="100">
        <v>0</v>
      </c>
      <c r="P66" s="100">
        <v>0.65</v>
      </c>
      <c r="Q66" s="100">
        <v>29.11</v>
      </c>
      <c r="R66" s="6"/>
      <c r="S66" s="6"/>
      <c r="T66" s="156"/>
      <c r="U66" s="6"/>
    </row>
    <row r="67" spans="1:21" customFormat="1">
      <c r="A67" s="163" t="s">
        <v>2890</v>
      </c>
      <c r="B67" s="100">
        <v>1.98</v>
      </c>
      <c r="C67" s="100">
        <v>10.97</v>
      </c>
      <c r="D67" s="100">
        <v>6.32</v>
      </c>
      <c r="E67" s="100">
        <v>10.039999999999999</v>
      </c>
      <c r="F67" s="100">
        <v>31.39</v>
      </c>
      <c r="G67" s="100">
        <v>85.88</v>
      </c>
      <c r="H67" s="100">
        <v>35.33</v>
      </c>
      <c r="I67" s="100">
        <v>12.49</v>
      </c>
      <c r="J67" s="100">
        <v>4.05</v>
      </c>
      <c r="K67" s="100">
        <v>69.38</v>
      </c>
      <c r="L67" s="100">
        <v>34.450000000000003</v>
      </c>
      <c r="M67" s="100">
        <v>44.76</v>
      </c>
      <c r="N67" s="100">
        <v>377.6</v>
      </c>
      <c r="O67" s="100">
        <v>0</v>
      </c>
      <c r="P67" s="100">
        <v>0.63</v>
      </c>
      <c r="Q67" s="100">
        <v>29.29</v>
      </c>
      <c r="R67" s="6"/>
      <c r="S67" s="6"/>
      <c r="T67" s="156"/>
      <c r="U67" s="6"/>
    </row>
    <row r="68" spans="1:21" customFormat="1">
      <c r="A68" s="163" t="s">
        <v>2891</v>
      </c>
      <c r="B68" s="100">
        <v>1.87</v>
      </c>
      <c r="C68" s="100">
        <v>10.7</v>
      </c>
      <c r="D68" s="100">
        <v>6.1</v>
      </c>
      <c r="E68" s="100">
        <v>9.8699999999999992</v>
      </c>
      <c r="F68" s="100">
        <v>24.26</v>
      </c>
      <c r="G68" s="100">
        <v>83.31</v>
      </c>
      <c r="H68" s="100">
        <v>35.68</v>
      </c>
      <c r="I68" s="100">
        <v>12.13</v>
      </c>
      <c r="J68" s="100">
        <v>0.88</v>
      </c>
      <c r="K68" s="100">
        <v>315.88</v>
      </c>
      <c r="L68" s="100">
        <v>34.340000000000003</v>
      </c>
      <c r="M68" s="100">
        <v>44.1</v>
      </c>
      <c r="N68" s="100">
        <v>265.39999999999998</v>
      </c>
      <c r="O68" s="100">
        <v>0</v>
      </c>
      <c r="P68" s="100">
        <v>0.66</v>
      </c>
      <c r="Q68" s="100">
        <v>29.31</v>
      </c>
      <c r="R68" s="6"/>
      <c r="S68" s="6"/>
      <c r="T68" s="156"/>
      <c r="U68" s="6"/>
    </row>
    <row r="69" spans="1:21" customFormat="1">
      <c r="A69" s="163" t="s">
        <v>2892</v>
      </c>
      <c r="B69" s="100">
        <v>2.31</v>
      </c>
      <c r="C69" s="100">
        <v>13.59</v>
      </c>
      <c r="D69" s="100">
        <v>7.96</v>
      </c>
      <c r="E69" s="100">
        <v>10.050000000000001</v>
      </c>
      <c r="F69" s="100">
        <v>35.770000000000003</v>
      </c>
      <c r="G69" s="100">
        <v>73.72</v>
      </c>
      <c r="H69" s="100">
        <v>36.99</v>
      </c>
      <c r="I69" s="100">
        <v>11.82</v>
      </c>
      <c r="J69" s="100">
        <v>2.11</v>
      </c>
      <c r="K69" s="100">
        <v>334.25</v>
      </c>
      <c r="L69" s="100">
        <v>34.369999999999997</v>
      </c>
      <c r="M69" s="100">
        <v>43.26</v>
      </c>
      <c r="N69" s="100">
        <v>345.5</v>
      </c>
      <c r="O69" s="100">
        <v>0</v>
      </c>
      <c r="P69" s="100">
        <v>0.64</v>
      </c>
      <c r="Q69" s="100">
        <v>29.21</v>
      </c>
      <c r="R69" s="6"/>
      <c r="S69" s="6"/>
      <c r="T69" s="156"/>
      <c r="U69" s="6"/>
    </row>
    <row r="70" spans="1:21" customFormat="1">
      <c r="A70" s="163" t="s">
        <v>2893</v>
      </c>
      <c r="B70" s="100">
        <v>2.63</v>
      </c>
      <c r="C70" s="100">
        <v>13.6</v>
      </c>
      <c r="D70" s="100">
        <v>8.2200000000000006</v>
      </c>
      <c r="E70" s="100">
        <v>9.4</v>
      </c>
      <c r="F70" s="100">
        <v>32.53</v>
      </c>
      <c r="G70" s="100">
        <v>73.72</v>
      </c>
      <c r="H70" s="100">
        <v>36.99</v>
      </c>
      <c r="I70" s="100">
        <v>12.02</v>
      </c>
      <c r="J70" s="100">
        <v>2.4900000000000002</v>
      </c>
      <c r="K70" s="100">
        <v>32.65</v>
      </c>
      <c r="L70" s="100">
        <v>34.79</v>
      </c>
      <c r="M70" s="100">
        <v>40.36</v>
      </c>
      <c r="N70" s="100">
        <v>382.4</v>
      </c>
      <c r="O70" s="100">
        <v>0</v>
      </c>
      <c r="P70" s="100">
        <v>0.64</v>
      </c>
      <c r="Q70" s="100">
        <v>29.27</v>
      </c>
      <c r="R70" s="6"/>
      <c r="S70" s="6"/>
      <c r="T70" s="156"/>
      <c r="U70" s="6"/>
    </row>
    <row r="71" spans="1:21" customFormat="1">
      <c r="A71" s="163" t="s">
        <v>2894</v>
      </c>
      <c r="B71" s="100">
        <v>4.6100000000000003</v>
      </c>
      <c r="C71" s="100">
        <v>15.43</v>
      </c>
      <c r="D71" s="100">
        <v>10.77</v>
      </c>
      <c r="E71" s="100">
        <v>8.32</v>
      </c>
      <c r="F71" s="100">
        <v>31.61</v>
      </c>
      <c r="G71" s="100">
        <v>73.72</v>
      </c>
      <c r="H71" s="100">
        <v>36.99</v>
      </c>
      <c r="I71" s="100">
        <v>11.66</v>
      </c>
      <c r="J71" s="100">
        <v>2.0499999999999998</v>
      </c>
      <c r="K71" s="100">
        <v>105.18</v>
      </c>
      <c r="L71" s="100">
        <v>35.200000000000003</v>
      </c>
      <c r="M71" s="100">
        <v>42.93</v>
      </c>
      <c r="N71" s="100">
        <v>364.8</v>
      </c>
      <c r="O71" s="100">
        <v>0</v>
      </c>
      <c r="P71" s="100">
        <v>0.63</v>
      </c>
      <c r="Q71" s="100">
        <v>29.26</v>
      </c>
      <c r="R71" s="6"/>
      <c r="S71" s="6"/>
      <c r="T71" s="156"/>
      <c r="U71" s="6"/>
    </row>
    <row r="72" spans="1:21" customFormat="1">
      <c r="A72" s="163" t="s">
        <v>2895</v>
      </c>
      <c r="B72" s="100">
        <v>2.5299999999999998</v>
      </c>
      <c r="C72" s="100">
        <v>11.15</v>
      </c>
      <c r="D72" s="100">
        <v>6.86</v>
      </c>
      <c r="E72" s="100">
        <v>9.0299999999999994</v>
      </c>
      <c r="F72" s="100">
        <v>40.130000000000003</v>
      </c>
      <c r="G72" s="100">
        <v>73.19</v>
      </c>
      <c r="H72" s="100">
        <v>37.229999999999997</v>
      </c>
      <c r="I72" s="100">
        <v>11.39</v>
      </c>
      <c r="J72" s="100">
        <v>2.41</v>
      </c>
      <c r="K72" s="100">
        <v>114.33</v>
      </c>
      <c r="L72" s="100">
        <v>34.659999999999997</v>
      </c>
      <c r="M72" s="100">
        <v>46.61</v>
      </c>
      <c r="N72" s="100">
        <v>172.1</v>
      </c>
      <c r="O72" s="100">
        <v>0</v>
      </c>
      <c r="P72" s="100">
        <v>0.62</v>
      </c>
      <c r="Q72" s="100">
        <v>29.28</v>
      </c>
      <c r="R72" s="6"/>
      <c r="S72" s="6"/>
      <c r="T72" s="156"/>
      <c r="U72" s="6"/>
    </row>
    <row r="73" spans="1:21" customFormat="1">
      <c r="A73" s="163" t="s">
        <v>2896</v>
      </c>
      <c r="B73" s="100">
        <v>1.63</v>
      </c>
      <c r="C73" s="100">
        <v>11.76</v>
      </c>
      <c r="D73" s="100">
        <v>6.45</v>
      </c>
      <c r="E73" s="100">
        <v>8.69</v>
      </c>
      <c r="F73" s="100">
        <v>30.72</v>
      </c>
      <c r="G73" s="100">
        <v>71.22</v>
      </c>
      <c r="H73" s="100">
        <v>38.19</v>
      </c>
      <c r="I73" s="100">
        <v>11.29</v>
      </c>
      <c r="J73" s="100">
        <v>2.34</v>
      </c>
      <c r="K73" s="100">
        <v>150.66</v>
      </c>
      <c r="L73" s="100">
        <v>33.39</v>
      </c>
      <c r="M73" s="100">
        <v>47.2</v>
      </c>
      <c r="N73" s="100">
        <v>136.9</v>
      </c>
      <c r="O73" s="100">
        <v>0</v>
      </c>
      <c r="P73" s="100">
        <v>0.62</v>
      </c>
      <c r="Q73" s="100">
        <v>29.22</v>
      </c>
      <c r="R73" s="6"/>
      <c r="S73" s="6"/>
      <c r="T73" s="156"/>
      <c r="U73" s="6"/>
    </row>
    <row r="74" spans="1:21" customFormat="1">
      <c r="A74" s="163" t="s">
        <v>2897</v>
      </c>
      <c r="B74" s="100">
        <v>1.52</v>
      </c>
      <c r="C74" s="100">
        <v>11.09</v>
      </c>
      <c r="D74" s="100">
        <v>6.02</v>
      </c>
      <c r="E74" s="100">
        <v>9.14</v>
      </c>
      <c r="F74" s="100">
        <v>30.73</v>
      </c>
      <c r="G74" s="100">
        <v>71.22</v>
      </c>
      <c r="H74" s="100">
        <v>38.19</v>
      </c>
      <c r="I74" s="100">
        <v>11.27</v>
      </c>
      <c r="J74" s="100">
        <v>3.54</v>
      </c>
      <c r="K74" s="100">
        <v>156.15</v>
      </c>
      <c r="L74" s="100">
        <v>33.69</v>
      </c>
      <c r="M74" s="100">
        <v>47.21</v>
      </c>
      <c r="N74" s="100">
        <v>254</v>
      </c>
      <c r="O74" s="100">
        <v>0</v>
      </c>
      <c r="P74" s="100">
        <v>0.6</v>
      </c>
      <c r="Q74" s="100">
        <v>29.25</v>
      </c>
      <c r="R74" s="6"/>
      <c r="S74" s="6"/>
      <c r="T74" s="156"/>
      <c r="U74" s="6"/>
    </row>
    <row r="75" spans="1:21" customFormat="1">
      <c r="A75" s="163" t="s">
        <v>2898</v>
      </c>
      <c r="B75" s="100">
        <v>1.47</v>
      </c>
      <c r="C75" s="100">
        <v>10.24</v>
      </c>
      <c r="D75" s="100">
        <v>5.54</v>
      </c>
      <c r="E75" s="100">
        <v>8.69</v>
      </c>
      <c r="F75" s="100">
        <v>31.73</v>
      </c>
      <c r="G75" s="100">
        <v>71.22</v>
      </c>
      <c r="H75" s="100">
        <v>38.19</v>
      </c>
      <c r="I75" s="100">
        <v>11.29</v>
      </c>
      <c r="J75" s="100">
        <v>3.06</v>
      </c>
      <c r="K75" s="100">
        <v>136.33000000000001</v>
      </c>
      <c r="L75" s="100">
        <v>34.03</v>
      </c>
      <c r="M75" s="100">
        <v>46.22</v>
      </c>
      <c r="N75" s="100">
        <v>173.1</v>
      </c>
      <c r="O75" s="100">
        <v>0</v>
      </c>
      <c r="P75" s="100">
        <v>0.59</v>
      </c>
      <c r="Q75" s="100">
        <v>29.27</v>
      </c>
      <c r="R75" s="6"/>
      <c r="S75" s="6"/>
      <c r="T75" s="156"/>
      <c r="U75" s="6"/>
    </row>
    <row r="76" spans="1:21" customFormat="1">
      <c r="A76" s="163" t="s">
        <v>2899</v>
      </c>
      <c r="B76" s="100">
        <v>1.37</v>
      </c>
      <c r="C76" s="100">
        <v>10.54</v>
      </c>
      <c r="D76" s="100">
        <v>5.61</v>
      </c>
      <c r="E76" s="100">
        <v>8.92</v>
      </c>
      <c r="F76" s="100">
        <v>34.33</v>
      </c>
      <c r="G76" s="100">
        <v>69.67</v>
      </c>
      <c r="H76" s="100">
        <v>38.04</v>
      </c>
      <c r="I76" s="100">
        <v>10.78</v>
      </c>
      <c r="J76" s="100">
        <v>3.18</v>
      </c>
      <c r="K76" s="100">
        <v>132.54</v>
      </c>
      <c r="L76" s="100">
        <v>33.15</v>
      </c>
      <c r="M76" s="100">
        <v>48.94</v>
      </c>
      <c r="N76" s="100">
        <v>82</v>
      </c>
      <c r="O76" s="100">
        <v>0</v>
      </c>
      <c r="P76" s="100">
        <v>0.57999999999999996</v>
      </c>
      <c r="Q76" s="100">
        <v>29.25</v>
      </c>
      <c r="R76" s="6"/>
      <c r="S76" s="6"/>
      <c r="T76" s="156"/>
      <c r="U76" s="6"/>
    </row>
    <row r="77" spans="1:21" customFormat="1">
      <c r="A77" s="163" t="s">
        <v>2900</v>
      </c>
      <c r="B77" s="100">
        <v>1.51</v>
      </c>
      <c r="C77" s="100">
        <v>12.37</v>
      </c>
      <c r="D77" s="100">
        <v>6.68</v>
      </c>
      <c r="E77" s="100">
        <v>6.27</v>
      </c>
      <c r="F77" s="100">
        <v>29.16</v>
      </c>
      <c r="G77" s="100">
        <v>63.84</v>
      </c>
      <c r="H77" s="100">
        <v>37.47</v>
      </c>
      <c r="I77" s="100">
        <v>10.64</v>
      </c>
      <c r="J77" s="100">
        <v>3.58</v>
      </c>
      <c r="K77" s="100">
        <v>163.93</v>
      </c>
      <c r="L77" s="100">
        <v>32.92</v>
      </c>
      <c r="M77" s="100">
        <v>50.74</v>
      </c>
      <c r="N77" s="100">
        <v>59.6</v>
      </c>
      <c r="O77" s="100">
        <v>0</v>
      </c>
      <c r="P77" s="100">
        <v>0.56000000000000005</v>
      </c>
      <c r="Q77" s="100">
        <v>29.18</v>
      </c>
      <c r="R77" s="6"/>
      <c r="S77" s="6"/>
      <c r="T77" s="156"/>
      <c r="U77" s="6"/>
    </row>
    <row r="78" spans="1:21" customFormat="1">
      <c r="A78" s="163" t="s">
        <v>2901</v>
      </c>
      <c r="B78" s="100">
        <v>1.43</v>
      </c>
      <c r="C78" s="100">
        <v>11.68</v>
      </c>
      <c r="D78" s="100">
        <v>6.25</v>
      </c>
      <c r="E78" s="100">
        <v>7.47</v>
      </c>
      <c r="F78" s="100">
        <v>25.57</v>
      </c>
      <c r="G78" s="100">
        <v>63.84</v>
      </c>
      <c r="H78" s="100">
        <v>37.47</v>
      </c>
      <c r="I78" s="100">
        <v>10.61</v>
      </c>
      <c r="J78" s="100">
        <v>1.1499999999999999</v>
      </c>
      <c r="K78" s="100">
        <v>222.98</v>
      </c>
      <c r="L78" s="100">
        <v>32.369999999999997</v>
      </c>
      <c r="M78" s="100">
        <v>52.2</v>
      </c>
      <c r="N78" s="100">
        <v>56.5</v>
      </c>
      <c r="O78" s="100">
        <v>0</v>
      </c>
      <c r="P78" s="100">
        <v>0.59</v>
      </c>
      <c r="Q78" s="100">
        <v>29.19</v>
      </c>
      <c r="R78" s="6"/>
      <c r="S78" s="6"/>
      <c r="T78" s="156"/>
      <c r="U78" s="6"/>
    </row>
    <row r="79" spans="1:21" customFormat="1">
      <c r="A79" s="163" t="s">
        <v>2902</v>
      </c>
      <c r="B79" s="100">
        <v>1.59</v>
      </c>
      <c r="C79" s="100">
        <v>10.31</v>
      </c>
      <c r="D79" s="100">
        <v>5.67</v>
      </c>
      <c r="E79" s="100">
        <v>8.43</v>
      </c>
      <c r="F79" s="100">
        <v>10.84</v>
      </c>
      <c r="G79" s="100">
        <v>63.84</v>
      </c>
      <c r="H79" s="100">
        <v>37.47</v>
      </c>
      <c r="I79" s="100">
        <v>11.38</v>
      </c>
      <c r="J79" s="100">
        <v>4.3</v>
      </c>
      <c r="K79" s="100">
        <v>240.81</v>
      </c>
      <c r="L79" s="100">
        <v>29.25</v>
      </c>
      <c r="M79" s="100">
        <v>60.22</v>
      </c>
      <c r="N79" s="100">
        <v>54.2</v>
      </c>
      <c r="O79" s="100">
        <v>0</v>
      </c>
      <c r="P79" s="100">
        <v>0.57999999999999996</v>
      </c>
      <c r="Q79" s="100">
        <v>29.34</v>
      </c>
      <c r="R79" s="6"/>
      <c r="S79" s="6"/>
      <c r="T79" s="156"/>
      <c r="U79" s="6"/>
    </row>
    <row r="80" spans="1:21" customFormat="1">
      <c r="A80" s="163" t="s">
        <v>2903</v>
      </c>
      <c r="B80" s="100">
        <v>1.55</v>
      </c>
      <c r="C80" s="100">
        <v>9.9499999999999993</v>
      </c>
      <c r="D80" s="100">
        <v>5.44</v>
      </c>
      <c r="E80" s="100">
        <v>7.83</v>
      </c>
      <c r="F80" s="100">
        <v>7.63</v>
      </c>
      <c r="G80" s="100">
        <v>62.76</v>
      </c>
      <c r="H80" s="100">
        <v>36.25</v>
      </c>
      <c r="I80" s="100">
        <v>11.79</v>
      </c>
      <c r="J80" s="100">
        <v>3.5</v>
      </c>
      <c r="K80" s="100">
        <v>245.82</v>
      </c>
      <c r="L80" s="100">
        <v>28.51</v>
      </c>
      <c r="M80" s="100">
        <v>61.43</v>
      </c>
      <c r="N80" s="100">
        <v>48.2</v>
      </c>
      <c r="O80" s="100">
        <v>0</v>
      </c>
      <c r="P80" s="100">
        <v>0.59</v>
      </c>
      <c r="Q80" s="100">
        <v>29.37</v>
      </c>
      <c r="R80" s="6"/>
      <c r="S80" s="6"/>
      <c r="T80" s="156"/>
      <c r="U80" s="6"/>
    </row>
    <row r="81" spans="1:21" customFormat="1">
      <c r="A81" s="163" t="s">
        <v>2904</v>
      </c>
      <c r="B81" s="100">
        <v>1.73</v>
      </c>
      <c r="C81" s="100">
        <v>12.39</v>
      </c>
      <c r="D81" s="100">
        <v>6.87</v>
      </c>
      <c r="E81" s="100">
        <v>7.92</v>
      </c>
      <c r="F81" s="100">
        <v>15.47</v>
      </c>
      <c r="G81" s="100">
        <v>58.73</v>
      </c>
      <c r="H81" s="100">
        <v>31.69</v>
      </c>
      <c r="I81" s="100">
        <v>11.48</v>
      </c>
      <c r="J81" s="100">
        <v>2.25</v>
      </c>
      <c r="K81" s="100">
        <v>33.33</v>
      </c>
      <c r="L81" s="100">
        <v>29.2</v>
      </c>
      <c r="M81" s="100">
        <v>60.59</v>
      </c>
      <c r="N81" s="100">
        <v>37.6</v>
      </c>
      <c r="O81" s="100">
        <v>0</v>
      </c>
      <c r="P81" s="100">
        <v>0.6</v>
      </c>
      <c r="Q81" s="100">
        <v>29.28</v>
      </c>
      <c r="R81" s="6"/>
      <c r="S81" s="6"/>
      <c r="T81" s="156"/>
      <c r="U81" s="6"/>
    </row>
    <row r="82" spans="1:21" customFormat="1">
      <c r="A82" s="163" t="s">
        <v>2905</v>
      </c>
      <c r="B82" s="100">
        <v>1.82</v>
      </c>
      <c r="C82" s="100">
        <v>12.31</v>
      </c>
      <c r="D82" s="100">
        <v>6.9</v>
      </c>
      <c r="E82" s="100">
        <v>8.02</v>
      </c>
      <c r="F82" s="100">
        <v>18.88</v>
      </c>
      <c r="G82" s="100">
        <v>58.73</v>
      </c>
      <c r="H82" s="100">
        <v>31.69</v>
      </c>
      <c r="I82" s="100">
        <v>11.43</v>
      </c>
      <c r="J82" s="100">
        <v>2.2000000000000002</v>
      </c>
      <c r="K82" s="100">
        <v>59.12</v>
      </c>
      <c r="L82" s="100">
        <v>28.66</v>
      </c>
      <c r="M82" s="100">
        <v>63.31</v>
      </c>
      <c r="N82" s="100">
        <v>26.9</v>
      </c>
      <c r="O82" s="100">
        <v>0</v>
      </c>
      <c r="P82" s="100">
        <v>0.59</v>
      </c>
      <c r="Q82" s="100">
        <v>29.26</v>
      </c>
      <c r="R82" s="6"/>
      <c r="S82" s="6"/>
      <c r="T82" s="156"/>
      <c r="U82" s="6"/>
    </row>
    <row r="83" spans="1:21" customFormat="1">
      <c r="A83" s="163" t="s">
        <v>2906</v>
      </c>
      <c r="B83" s="100">
        <v>1.89</v>
      </c>
      <c r="C83" s="100">
        <v>11.48</v>
      </c>
      <c r="D83" s="100">
        <v>6.52</v>
      </c>
      <c r="E83" s="100">
        <v>7.96</v>
      </c>
      <c r="F83" s="100">
        <v>23.92</v>
      </c>
      <c r="G83" s="100">
        <v>58.73</v>
      </c>
      <c r="H83" s="100">
        <v>31.69</v>
      </c>
      <c r="I83" s="100">
        <v>11.34</v>
      </c>
      <c r="J83" s="100">
        <v>0.96</v>
      </c>
      <c r="K83" s="100">
        <v>243.07</v>
      </c>
      <c r="L83" s="100">
        <v>28.8</v>
      </c>
      <c r="M83" s="100">
        <v>61.34</v>
      </c>
      <c r="N83" s="100">
        <v>23.5</v>
      </c>
      <c r="O83" s="100">
        <v>0</v>
      </c>
      <c r="P83" s="100">
        <v>0.56000000000000005</v>
      </c>
      <c r="Q83" s="100">
        <v>29.3</v>
      </c>
      <c r="R83" s="6"/>
      <c r="S83" s="6"/>
      <c r="T83" s="156"/>
      <c r="U83" s="6"/>
    </row>
    <row r="84" spans="1:21" customFormat="1">
      <c r="A84" s="163" t="s">
        <v>2907</v>
      </c>
      <c r="B84" s="100">
        <v>2</v>
      </c>
      <c r="C84" s="100">
        <v>11.31</v>
      </c>
      <c r="D84" s="100">
        <v>6.52</v>
      </c>
      <c r="E84" s="100">
        <v>7.34</v>
      </c>
      <c r="F84" s="100">
        <v>8.4499999999999993</v>
      </c>
      <c r="G84" s="100">
        <v>58.25</v>
      </c>
      <c r="H84" s="100">
        <v>32.380000000000003</v>
      </c>
      <c r="I84" s="100">
        <v>11.08</v>
      </c>
      <c r="J84" s="100">
        <v>5.01</v>
      </c>
      <c r="K84" s="100">
        <v>244.11</v>
      </c>
      <c r="L84" s="100">
        <v>28.7</v>
      </c>
      <c r="M84" s="100">
        <v>61.96</v>
      </c>
      <c r="N84" s="100">
        <v>23.4</v>
      </c>
      <c r="O84" s="100">
        <v>0</v>
      </c>
      <c r="P84" s="100">
        <v>0.57999999999999996</v>
      </c>
      <c r="Q84" s="100">
        <v>29.24</v>
      </c>
      <c r="R84" s="6"/>
      <c r="S84" s="6"/>
      <c r="T84" s="156"/>
      <c r="U84" s="6"/>
    </row>
    <row r="85" spans="1:21" customFormat="1">
      <c r="A85" s="163" t="s">
        <v>2908</v>
      </c>
      <c r="B85" s="100">
        <v>2.08</v>
      </c>
      <c r="C85" s="100">
        <v>11.11</v>
      </c>
      <c r="D85" s="100">
        <v>6.48</v>
      </c>
      <c r="E85" s="100">
        <v>6.55</v>
      </c>
      <c r="F85" s="100">
        <v>5.98</v>
      </c>
      <c r="G85" s="100">
        <v>56.45</v>
      </c>
      <c r="H85" s="100">
        <v>34.96</v>
      </c>
      <c r="I85" s="100">
        <v>10.94</v>
      </c>
      <c r="J85" s="100">
        <v>5.86</v>
      </c>
      <c r="K85" s="100">
        <v>239.52</v>
      </c>
      <c r="L85" s="100">
        <v>27.71</v>
      </c>
      <c r="M85" s="100">
        <v>66.16</v>
      </c>
      <c r="N85" s="100">
        <v>24.4</v>
      </c>
      <c r="O85" s="100">
        <v>0</v>
      </c>
      <c r="P85" s="100">
        <v>0.57999999999999996</v>
      </c>
      <c r="Q85" s="100">
        <v>29.21</v>
      </c>
      <c r="R85" s="6"/>
      <c r="S85" s="6"/>
      <c r="T85" s="156"/>
      <c r="U85" s="6"/>
    </row>
    <row r="86" spans="1:21" customFormat="1">
      <c r="A86" s="163" t="s">
        <v>2909</v>
      </c>
      <c r="B86" s="100">
        <v>2.0699999999999998</v>
      </c>
      <c r="C86" s="100">
        <v>10.96</v>
      </c>
      <c r="D86" s="100">
        <v>6.39</v>
      </c>
      <c r="E86" s="100">
        <v>6.65</v>
      </c>
      <c r="F86" s="100">
        <v>5.89</v>
      </c>
      <c r="G86" s="100">
        <v>56.45</v>
      </c>
      <c r="H86" s="100">
        <v>34.96</v>
      </c>
      <c r="I86" s="100">
        <v>11.28</v>
      </c>
      <c r="J86" s="100">
        <v>5.35</v>
      </c>
      <c r="K86" s="100">
        <v>241.37</v>
      </c>
      <c r="L86" s="100">
        <v>27.45</v>
      </c>
      <c r="M86" s="100">
        <v>67.63</v>
      </c>
      <c r="N86" s="100">
        <v>23.6</v>
      </c>
      <c r="O86" s="100">
        <v>0</v>
      </c>
      <c r="P86" s="100">
        <v>0.56999999999999995</v>
      </c>
      <c r="Q86" s="100">
        <v>29.21</v>
      </c>
      <c r="R86" s="6"/>
      <c r="S86" s="6"/>
      <c r="T86" s="156"/>
      <c r="U86" s="6"/>
    </row>
    <row r="87" spans="1:21" customFormat="1">
      <c r="A87" s="163" t="s">
        <v>2910</v>
      </c>
      <c r="B87" s="100">
        <v>2.09</v>
      </c>
      <c r="C87" s="100">
        <v>10.75</v>
      </c>
      <c r="D87" s="100">
        <v>6.3</v>
      </c>
      <c r="E87" s="100">
        <v>6.74</v>
      </c>
      <c r="F87" s="100">
        <v>10.35</v>
      </c>
      <c r="G87" s="100">
        <v>56.45</v>
      </c>
      <c r="H87" s="100">
        <v>34.96</v>
      </c>
      <c r="I87" s="100">
        <v>11.34</v>
      </c>
      <c r="J87" s="100">
        <v>4.57</v>
      </c>
      <c r="K87" s="100">
        <v>257.10000000000002</v>
      </c>
      <c r="L87" s="100">
        <v>27.64</v>
      </c>
      <c r="M87" s="100">
        <v>65.62</v>
      </c>
      <c r="N87" s="100">
        <v>23</v>
      </c>
      <c r="O87" s="100">
        <v>0</v>
      </c>
      <c r="P87" s="100">
        <v>0.56000000000000005</v>
      </c>
      <c r="Q87" s="100">
        <v>29.22</v>
      </c>
      <c r="R87" s="6"/>
      <c r="S87" s="6"/>
      <c r="T87" s="156"/>
      <c r="U87" s="6"/>
    </row>
    <row r="88" spans="1:21" customFormat="1">
      <c r="A88" s="163" t="s">
        <v>2911</v>
      </c>
      <c r="B88" s="100">
        <v>2.1800000000000002</v>
      </c>
      <c r="C88" s="100">
        <v>10.94</v>
      </c>
      <c r="D88" s="100">
        <v>6.47</v>
      </c>
      <c r="E88" s="100">
        <v>7.01</v>
      </c>
      <c r="F88" s="100">
        <v>12.9</v>
      </c>
      <c r="G88" s="100">
        <v>55.54</v>
      </c>
      <c r="H88" s="100">
        <v>33.909999999999997</v>
      </c>
      <c r="I88" s="100">
        <v>11.14</v>
      </c>
      <c r="J88" s="100">
        <v>4.3499999999999996</v>
      </c>
      <c r="K88" s="100">
        <v>254.21</v>
      </c>
      <c r="L88" s="100">
        <v>27.84</v>
      </c>
      <c r="M88" s="100">
        <v>66.38</v>
      </c>
      <c r="N88" s="100">
        <v>22.5</v>
      </c>
      <c r="O88" s="100">
        <v>0</v>
      </c>
      <c r="P88" s="100">
        <v>0.57999999999999996</v>
      </c>
      <c r="Q88" s="100">
        <v>29.19</v>
      </c>
      <c r="R88" s="6"/>
      <c r="S88" s="6"/>
      <c r="T88" s="156"/>
      <c r="U88" s="6"/>
    </row>
    <row r="89" spans="1:21" customFormat="1">
      <c r="A89" s="163" t="s">
        <v>2912</v>
      </c>
      <c r="B89" s="100">
        <v>2.2599999999999998</v>
      </c>
      <c r="C89" s="100">
        <v>11.26</v>
      </c>
      <c r="D89" s="100">
        <v>6.7</v>
      </c>
      <c r="E89" s="100">
        <v>6.48</v>
      </c>
      <c r="F89" s="100">
        <v>5.56</v>
      </c>
      <c r="G89" s="100">
        <v>52.16</v>
      </c>
      <c r="H89" s="100">
        <v>29.98</v>
      </c>
      <c r="I89" s="100">
        <v>10.98</v>
      </c>
      <c r="J89" s="100">
        <v>3.84</v>
      </c>
      <c r="K89" s="100">
        <v>244.5</v>
      </c>
      <c r="L89" s="100">
        <v>27.88</v>
      </c>
      <c r="M89" s="100">
        <v>66.55</v>
      </c>
      <c r="N89" s="100">
        <v>22.1</v>
      </c>
      <c r="O89" s="100">
        <v>0</v>
      </c>
      <c r="P89" s="100">
        <v>0.57999999999999996</v>
      </c>
      <c r="Q89" s="100">
        <v>29.23</v>
      </c>
      <c r="R89" s="6"/>
      <c r="S89" s="6"/>
      <c r="T89" s="156"/>
      <c r="U89" s="6"/>
    </row>
    <row r="90" spans="1:21" customFormat="1">
      <c r="A90" s="163" t="s">
        <v>2913</v>
      </c>
      <c r="B90" s="100">
        <v>2.29</v>
      </c>
      <c r="C90" s="100">
        <v>13.27</v>
      </c>
      <c r="D90" s="100">
        <v>7.77</v>
      </c>
      <c r="E90" s="100">
        <v>6.51</v>
      </c>
      <c r="F90" s="100">
        <v>4.6399999999999997</v>
      </c>
      <c r="G90" s="100">
        <v>52.16</v>
      </c>
      <c r="H90" s="100">
        <v>29.98</v>
      </c>
      <c r="I90" s="100">
        <v>11.16</v>
      </c>
      <c r="J90" s="100">
        <v>4.3</v>
      </c>
      <c r="K90" s="100">
        <v>245.21</v>
      </c>
      <c r="L90" s="100">
        <v>27.81</v>
      </c>
      <c r="M90" s="100">
        <v>66.290000000000006</v>
      </c>
      <c r="N90" s="100">
        <v>22.9</v>
      </c>
      <c r="O90" s="100">
        <v>0</v>
      </c>
      <c r="P90" s="100">
        <v>0.59</v>
      </c>
      <c r="Q90" s="100">
        <v>29.11</v>
      </c>
      <c r="R90" s="6"/>
      <c r="S90" s="6"/>
      <c r="T90" s="156"/>
      <c r="U90" s="6"/>
    </row>
    <row r="91" spans="1:21" customFormat="1">
      <c r="A91" s="163" t="s">
        <v>2914</v>
      </c>
      <c r="B91" s="100">
        <v>2.36</v>
      </c>
      <c r="C91" s="100">
        <v>12.67</v>
      </c>
      <c r="D91" s="100">
        <v>7.52</v>
      </c>
      <c r="E91" s="100">
        <v>6.25</v>
      </c>
      <c r="F91" s="100">
        <v>3.5</v>
      </c>
      <c r="G91" s="100">
        <v>52.16</v>
      </c>
      <c r="H91" s="100">
        <v>29.98</v>
      </c>
      <c r="I91" s="100">
        <v>11.27</v>
      </c>
      <c r="J91" s="100">
        <v>5.17</v>
      </c>
      <c r="K91" s="100">
        <v>237.06</v>
      </c>
      <c r="L91" s="100">
        <v>27.69</v>
      </c>
      <c r="M91" s="100">
        <v>67.739999999999995</v>
      </c>
      <c r="N91" s="100">
        <v>23.4</v>
      </c>
      <c r="O91" s="100">
        <v>0</v>
      </c>
      <c r="P91" s="100">
        <v>0.59</v>
      </c>
      <c r="Q91" s="100">
        <v>29.11</v>
      </c>
      <c r="R91" s="6"/>
      <c r="S91" s="6"/>
      <c r="T91" s="156"/>
      <c r="U91" s="6"/>
    </row>
    <row r="92" spans="1:21" customFormat="1">
      <c r="A92" s="163" t="s">
        <v>2915</v>
      </c>
      <c r="B92" s="100">
        <v>2.48</v>
      </c>
      <c r="C92" s="100">
        <v>11.68</v>
      </c>
      <c r="D92" s="100">
        <v>7.09</v>
      </c>
      <c r="E92" s="100">
        <v>6.98</v>
      </c>
      <c r="F92" s="100">
        <v>3.35</v>
      </c>
      <c r="G92" s="100">
        <v>52.21</v>
      </c>
      <c r="H92" s="100">
        <v>29.52</v>
      </c>
      <c r="I92" s="100">
        <v>11.47</v>
      </c>
      <c r="J92" s="100">
        <v>5.29</v>
      </c>
      <c r="K92" s="100">
        <v>238.79</v>
      </c>
      <c r="L92" s="100">
        <v>27.63</v>
      </c>
      <c r="M92" s="100">
        <v>68.489999999999995</v>
      </c>
      <c r="N92" s="100">
        <v>23.5</v>
      </c>
      <c r="O92" s="100">
        <v>0</v>
      </c>
      <c r="P92" s="100">
        <v>0.6</v>
      </c>
      <c r="Q92" s="100">
        <v>29.15</v>
      </c>
      <c r="R92" s="6"/>
      <c r="S92" s="6"/>
      <c r="T92" s="156"/>
      <c r="U92" s="6"/>
    </row>
    <row r="93" spans="1:21" customFormat="1">
      <c r="A93" s="163" t="s">
        <v>2916</v>
      </c>
      <c r="B93" s="100">
        <v>2.77</v>
      </c>
      <c r="C93" s="100">
        <v>10.210000000000001</v>
      </c>
      <c r="D93" s="100">
        <v>6.56</v>
      </c>
      <c r="E93" s="100">
        <v>6.74</v>
      </c>
      <c r="F93" s="100">
        <v>3.93</v>
      </c>
      <c r="G93" s="100">
        <v>52.37</v>
      </c>
      <c r="H93" s="100">
        <v>27.8</v>
      </c>
      <c r="I93" s="100">
        <v>11.86</v>
      </c>
      <c r="J93" s="100">
        <v>5.45</v>
      </c>
      <c r="K93" s="100">
        <v>239.97</v>
      </c>
      <c r="L93" s="100">
        <v>27.45</v>
      </c>
      <c r="M93" s="100">
        <v>69.319999999999993</v>
      </c>
      <c r="N93" s="100">
        <v>23.6</v>
      </c>
      <c r="O93" s="100">
        <v>0</v>
      </c>
      <c r="P93" s="100">
        <v>0.61</v>
      </c>
      <c r="Q93" s="100">
        <v>29.34</v>
      </c>
      <c r="R93" s="6"/>
      <c r="S93" s="6"/>
      <c r="T93" s="156"/>
      <c r="U93" s="6"/>
    </row>
    <row r="94" spans="1:21" customFormat="1">
      <c r="A94" s="163" t="s">
        <v>2917</v>
      </c>
      <c r="B94" s="100">
        <v>2.86</v>
      </c>
      <c r="C94" s="100">
        <v>11.17</v>
      </c>
      <c r="D94" s="100">
        <v>7.13</v>
      </c>
      <c r="E94" s="100">
        <v>6.54</v>
      </c>
      <c r="F94" s="100">
        <v>3.04</v>
      </c>
      <c r="G94" s="100">
        <v>52.37</v>
      </c>
      <c r="H94" s="100">
        <v>27.8</v>
      </c>
      <c r="I94" s="100">
        <v>12.79</v>
      </c>
      <c r="J94" s="100">
        <v>5.69</v>
      </c>
      <c r="K94" s="100">
        <v>238.57</v>
      </c>
      <c r="L94" s="100">
        <v>27.02</v>
      </c>
      <c r="M94" s="100">
        <v>67.77</v>
      </c>
      <c r="N94" s="100">
        <v>23.9</v>
      </c>
      <c r="O94" s="100">
        <v>0</v>
      </c>
      <c r="P94" s="100">
        <v>0.61</v>
      </c>
      <c r="Q94" s="100">
        <v>29.22</v>
      </c>
      <c r="R94" s="6"/>
      <c r="S94" s="6"/>
      <c r="T94" s="156"/>
      <c r="U94" s="6"/>
    </row>
    <row r="95" spans="1:21" customFormat="1">
      <c r="A95" s="163" t="s">
        <v>2918</v>
      </c>
      <c r="B95" s="100">
        <v>2.86</v>
      </c>
      <c r="C95" s="100">
        <v>10.19</v>
      </c>
      <c r="D95" s="100">
        <v>6.62</v>
      </c>
      <c r="E95" s="100">
        <v>6.48</v>
      </c>
      <c r="F95" s="100">
        <v>4.0199999999999996</v>
      </c>
      <c r="G95" s="100">
        <v>52.37</v>
      </c>
      <c r="H95" s="100">
        <v>27.8</v>
      </c>
      <c r="I95" s="100">
        <v>13.57</v>
      </c>
      <c r="J95" s="100">
        <v>5.1100000000000003</v>
      </c>
      <c r="K95" s="100">
        <v>235.75</v>
      </c>
      <c r="L95" s="100">
        <v>26.84</v>
      </c>
      <c r="M95" s="100">
        <v>68.97</v>
      </c>
      <c r="N95" s="100">
        <v>23.6</v>
      </c>
      <c r="O95" s="100">
        <v>0</v>
      </c>
      <c r="P95" s="100">
        <v>0.61</v>
      </c>
      <c r="Q95" s="100">
        <v>29.27</v>
      </c>
      <c r="R95" s="6"/>
      <c r="S95" s="6"/>
      <c r="T95" s="156"/>
      <c r="U95" s="6"/>
    </row>
    <row r="96" spans="1:21" customFormat="1">
      <c r="A96" s="163" t="s">
        <v>2919</v>
      </c>
      <c r="B96" s="100">
        <v>2.98</v>
      </c>
      <c r="C96" s="100">
        <v>10.02</v>
      </c>
      <c r="D96" s="100">
        <v>6.63</v>
      </c>
      <c r="E96" s="100">
        <v>6.64</v>
      </c>
      <c r="F96" s="100">
        <v>5.86</v>
      </c>
      <c r="G96" s="100">
        <v>51.62</v>
      </c>
      <c r="H96" s="100">
        <v>27.46</v>
      </c>
      <c r="I96" s="100">
        <v>13.71</v>
      </c>
      <c r="J96" s="100">
        <v>4.28</v>
      </c>
      <c r="K96" s="100">
        <v>223.12</v>
      </c>
      <c r="L96" s="100">
        <v>26.54</v>
      </c>
      <c r="M96" s="100">
        <v>71.22</v>
      </c>
      <c r="N96" s="100">
        <v>23.6</v>
      </c>
      <c r="O96" s="100">
        <v>0</v>
      </c>
      <c r="P96" s="100">
        <v>0.63</v>
      </c>
      <c r="Q96" s="100">
        <v>29.24</v>
      </c>
      <c r="R96" s="6"/>
      <c r="S96" s="6"/>
      <c r="T96" s="156"/>
      <c r="U96" s="6"/>
    </row>
    <row r="97" spans="1:28" customFormat="1">
      <c r="A97" s="163" t="s">
        <v>2920</v>
      </c>
      <c r="B97" s="100">
        <v>3.06</v>
      </c>
      <c r="C97" s="100">
        <v>10.199999999999999</v>
      </c>
      <c r="D97" s="100">
        <v>6.79</v>
      </c>
      <c r="E97" s="100">
        <v>6.5</v>
      </c>
      <c r="F97" s="100">
        <v>4.38</v>
      </c>
      <c r="G97" s="100">
        <v>48.81</v>
      </c>
      <c r="H97" s="100">
        <v>26.22</v>
      </c>
      <c r="I97" s="100">
        <v>13.86</v>
      </c>
      <c r="J97" s="100">
        <v>5.6</v>
      </c>
      <c r="K97" s="100">
        <v>239.54</v>
      </c>
      <c r="L97" s="100">
        <v>26.22</v>
      </c>
      <c r="M97" s="100">
        <v>72.39</v>
      </c>
      <c r="N97" s="100">
        <v>23.7</v>
      </c>
      <c r="O97" s="100">
        <v>0</v>
      </c>
      <c r="P97" s="100">
        <v>0.62</v>
      </c>
      <c r="Q97" s="100">
        <v>29.19</v>
      </c>
      <c r="R97" s="6"/>
      <c r="S97" s="6"/>
      <c r="T97" s="156"/>
      <c r="U97" s="6"/>
    </row>
    <row r="98" spans="1:28" customFormat="1">
      <c r="A98" s="163" t="s">
        <v>2921</v>
      </c>
      <c r="B98" s="100">
        <v>2.97</v>
      </c>
      <c r="C98" s="100">
        <v>10.1</v>
      </c>
      <c r="D98" s="100">
        <v>6.66</v>
      </c>
      <c r="E98" s="100">
        <v>6.19</v>
      </c>
      <c r="F98" s="100">
        <v>4.09</v>
      </c>
      <c r="G98" s="100">
        <v>48.81</v>
      </c>
      <c r="H98" s="100">
        <v>26.22</v>
      </c>
      <c r="I98" s="100">
        <v>13.87</v>
      </c>
      <c r="J98" s="100">
        <v>5.35</v>
      </c>
      <c r="K98" s="100">
        <v>240.39</v>
      </c>
      <c r="L98" s="100">
        <v>26.01</v>
      </c>
      <c r="M98" s="100">
        <v>74.13</v>
      </c>
      <c r="N98" s="100">
        <v>23.6</v>
      </c>
      <c r="O98" s="100">
        <v>0</v>
      </c>
      <c r="P98" s="100">
        <v>0.62</v>
      </c>
      <c r="Q98" s="100">
        <v>29.23</v>
      </c>
      <c r="R98" s="6"/>
      <c r="S98" s="6"/>
      <c r="T98" s="156"/>
      <c r="U98" s="6"/>
    </row>
    <row r="99" spans="1:28" customFormat="1">
      <c r="A99" s="163" t="s">
        <v>2922</v>
      </c>
      <c r="B99" s="100">
        <v>2.81</v>
      </c>
      <c r="C99" s="100">
        <v>9.9600000000000009</v>
      </c>
      <c r="D99" s="100">
        <v>6.46</v>
      </c>
      <c r="E99" s="100">
        <v>6.27</v>
      </c>
      <c r="F99" s="100">
        <v>5.17</v>
      </c>
      <c r="G99" s="100">
        <v>48.81</v>
      </c>
      <c r="H99" s="100">
        <v>26.22</v>
      </c>
      <c r="I99" s="100">
        <v>13.73</v>
      </c>
      <c r="J99" s="100">
        <v>5.07</v>
      </c>
      <c r="K99" s="100">
        <v>240.54</v>
      </c>
      <c r="L99" s="100">
        <v>25.8</v>
      </c>
      <c r="M99" s="100">
        <v>75.11</v>
      </c>
      <c r="N99" s="100">
        <v>23.3</v>
      </c>
      <c r="O99" s="100">
        <v>0</v>
      </c>
      <c r="P99" s="100">
        <v>0.6</v>
      </c>
      <c r="Q99" s="100">
        <v>29.24</v>
      </c>
      <c r="R99" s="6"/>
      <c r="S99" s="6"/>
      <c r="T99" s="156"/>
      <c r="U99" s="6"/>
    </row>
    <row r="100" spans="1:28" customFormat="1">
      <c r="A100" s="163" t="s">
        <v>2923</v>
      </c>
      <c r="B100" s="100">
        <v>2.77</v>
      </c>
      <c r="C100" s="100">
        <v>9.89</v>
      </c>
      <c r="D100" s="100">
        <v>6.39</v>
      </c>
      <c r="E100" s="100">
        <v>5.66</v>
      </c>
      <c r="F100" s="100">
        <v>5.35</v>
      </c>
      <c r="G100" s="100">
        <v>47.89</v>
      </c>
      <c r="H100" s="100">
        <v>25.28</v>
      </c>
      <c r="I100" s="100">
        <v>13.42</v>
      </c>
      <c r="J100" s="100">
        <v>5.3</v>
      </c>
      <c r="K100" s="100">
        <v>241.78</v>
      </c>
      <c r="L100" s="100">
        <v>25.96</v>
      </c>
      <c r="M100" s="100">
        <v>74.27</v>
      </c>
      <c r="N100" s="100">
        <v>23.1</v>
      </c>
      <c r="O100" s="100">
        <v>0</v>
      </c>
      <c r="P100" s="100">
        <v>0.59</v>
      </c>
      <c r="Q100" s="100">
        <v>29.23</v>
      </c>
      <c r="R100" s="6"/>
      <c r="S100" s="6"/>
      <c r="T100" s="156"/>
      <c r="U100" s="6"/>
      <c r="AB100" s="161"/>
    </row>
    <row r="101" spans="1:28" customFormat="1">
      <c r="A101" s="163" t="s">
        <v>2924</v>
      </c>
      <c r="B101" s="100">
        <v>2.8</v>
      </c>
      <c r="C101" s="100">
        <v>9.9499999999999993</v>
      </c>
      <c r="D101" s="100">
        <v>6.45</v>
      </c>
      <c r="E101" s="100">
        <v>5.47</v>
      </c>
      <c r="F101" s="100">
        <v>4.08</v>
      </c>
      <c r="G101" s="100">
        <v>44.41</v>
      </c>
      <c r="H101" s="100">
        <v>21.75</v>
      </c>
      <c r="I101" s="100">
        <v>13.01</v>
      </c>
      <c r="J101" s="100">
        <v>6.61</v>
      </c>
      <c r="K101" s="100">
        <v>240.81</v>
      </c>
      <c r="L101" s="100">
        <v>26</v>
      </c>
      <c r="M101" s="100">
        <v>73.06</v>
      </c>
      <c r="N101" s="100">
        <v>23.4</v>
      </c>
      <c r="O101" s="100">
        <v>0</v>
      </c>
      <c r="P101" s="100">
        <v>0.53</v>
      </c>
      <c r="Q101" s="100">
        <v>29.26</v>
      </c>
      <c r="R101" s="6"/>
      <c r="S101" s="6"/>
      <c r="T101" s="156"/>
      <c r="U101" s="6"/>
    </row>
    <row r="102" spans="1:28" customFormat="1">
      <c r="A102" s="163" t="s">
        <v>2925</v>
      </c>
      <c r="B102" s="100">
        <v>2.66</v>
      </c>
      <c r="C102" s="100">
        <v>9.8800000000000008</v>
      </c>
      <c r="D102" s="100">
        <v>6.3</v>
      </c>
      <c r="E102" s="100">
        <v>5.58</v>
      </c>
      <c r="F102" s="100">
        <v>4.3099999999999996</v>
      </c>
      <c r="G102" s="100">
        <v>44.41</v>
      </c>
      <c r="H102" s="100">
        <v>21.75</v>
      </c>
      <c r="I102" s="100">
        <v>12.87</v>
      </c>
      <c r="J102" s="100">
        <v>4.72</v>
      </c>
      <c r="K102" s="100">
        <v>223.13</v>
      </c>
      <c r="L102" s="100">
        <v>25.89</v>
      </c>
      <c r="M102" s="100">
        <v>72.77</v>
      </c>
      <c r="N102" s="100">
        <v>23.5</v>
      </c>
      <c r="O102" s="100">
        <v>0</v>
      </c>
      <c r="P102" s="100">
        <v>0.55000000000000004</v>
      </c>
      <c r="Q102" s="100">
        <v>29.26</v>
      </c>
      <c r="R102" s="6"/>
      <c r="S102" s="6"/>
      <c r="T102" s="156"/>
      <c r="U102" s="6"/>
    </row>
    <row r="103" spans="1:28" customFormat="1">
      <c r="A103" s="163" t="s">
        <v>2926</v>
      </c>
      <c r="B103" s="100">
        <v>2.61</v>
      </c>
      <c r="C103" s="100">
        <v>11.42</v>
      </c>
      <c r="D103" s="100">
        <v>7.06</v>
      </c>
      <c r="E103" s="100">
        <v>6.19</v>
      </c>
      <c r="F103" s="100">
        <v>3.49</v>
      </c>
      <c r="G103" s="100">
        <v>44.41</v>
      </c>
      <c r="H103" s="100">
        <v>21.75</v>
      </c>
      <c r="I103" s="100">
        <v>12.97</v>
      </c>
      <c r="J103" s="100">
        <v>5.2</v>
      </c>
      <c r="K103" s="100">
        <v>226.31</v>
      </c>
      <c r="L103" s="100">
        <v>25.65</v>
      </c>
      <c r="M103" s="100">
        <v>70.84</v>
      </c>
      <c r="N103" s="100">
        <v>23.5</v>
      </c>
      <c r="O103" s="100">
        <v>0</v>
      </c>
      <c r="P103" s="100">
        <v>0.56000000000000005</v>
      </c>
      <c r="Q103" s="100">
        <v>29.17</v>
      </c>
      <c r="R103" s="6"/>
      <c r="S103" s="6"/>
      <c r="T103" s="156"/>
      <c r="U103" s="6"/>
    </row>
    <row r="104" spans="1:28" customFormat="1">
      <c r="A104" s="163" t="s">
        <v>2927</v>
      </c>
      <c r="B104" s="100">
        <v>2.66</v>
      </c>
      <c r="C104" s="100">
        <v>11.47</v>
      </c>
      <c r="D104" s="100">
        <v>7.13</v>
      </c>
      <c r="E104" s="100">
        <v>6.11</v>
      </c>
      <c r="F104" s="100">
        <v>3.09</v>
      </c>
      <c r="G104" s="100">
        <v>43.36</v>
      </c>
      <c r="H104" s="100">
        <v>21.14</v>
      </c>
      <c r="I104" s="100">
        <v>12.94</v>
      </c>
      <c r="J104" s="100">
        <v>5.88</v>
      </c>
      <c r="K104" s="100">
        <v>238.84</v>
      </c>
      <c r="L104" s="100">
        <v>25.69</v>
      </c>
      <c r="M104" s="100">
        <v>70.650000000000006</v>
      </c>
      <c r="N104" s="100">
        <v>23.3</v>
      </c>
      <c r="O104" s="100">
        <v>0</v>
      </c>
      <c r="P104" s="100">
        <v>0.54</v>
      </c>
      <c r="Q104" s="100">
        <v>29.21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1.37</v>
      </c>
      <c r="C106" s="158">
        <f>MIN(C9:C104)</f>
        <v>9.64</v>
      </c>
      <c r="D106" s="158">
        <f t="shared" ref="D106:Q106" si="0">MIN(D9:D104)</f>
        <v>5.44</v>
      </c>
      <c r="E106" s="158">
        <f t="shared" si="0"/>
        <v>4.84</v>
      </c>
      <c r="F106" s="158">
        <f t="shared" si="0"/>
        <v>2.75</v>
      </c>
      <c r="G106" s="158">
        <f t="shared" si="0"/>
        <v>37.270000000000003</v>
      </c>
      <c r="H106" s="158">
        <f t="shared" si="0"/>
        <v>17.45</v>
      </c>
      <c r="I106" s="158">
        <f t="shared" si="0"/>
        <v>10.61</v>
      </c>
      <c r="J106" s="158">
        <f t="shared" si="0"/>
        <v>0.73</v>
      </c>
      <c r="K106" s="158">
        <f t="shared" si="0"/>
        <v>7.59</v>
      </c>
      <c r="L106" s="158">
        <f t="shared" si="0"/>
        <v>24.64</v>
      </c>
      <c r="M106" s="158">
        <f t="shared" si="0"/>
        <v>40.36</v>
      </c>
      <c r="N106" s="158">
        <f t="shared" si="0"/>
        <v>22.1</v>
      </c>
      <c r="O106" s="158">
        <f t="shared" si="0"/>
        <v>0</v>
      </c>
      <c r="P106" s="158">
        <f t="shared" si="0"/>
        <v>0.51</v>
      </c>
      <c r="Q106" s="158">
        <f t="shared" si="0"/>
        <v>28.55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8.68</v>
      </c>
      <c r="C107" s="157">
        <f t="shared" ref="C107:Q107" si="1">MAX(C9:C104)</f>
        <v>17.649999999999999</v>
      </c>
      <c r="D107" s="157">
        <f t="shared" si="1"/>
        <v>13.57</v>
      </c>
      <c r="E107" s="157">
        <f t="shared" si="1"/>
        <v>10.050000000000001</v>
      </c>
      <c r="F107" s="157">
        <f t="shared" si="1"/>
        <v>40.130000000000003</v>
      </c>
      <c r="G107" s="157">
        <f t="shared" si="1"/>
        <v>92.2</v>
      </c>
      <c r="H107" s="157">
        <f t="shared" si="1"/>
        <v>40.729999999999997</v>
      </c>
      <c r="I107" s="157">
        <f t="shared" si="1"/>
        <v>15.49</v>
      </c>
      <c r="J107" s="157">
        <f t="shared" si="1"/>
        <v>6.61</v>
      </c>
      <c r="K107" s="157">
        <f t="shared" si="1"/>
        <v>353.41</v>
      </c>
      <c r="L107" s="157">
        <f t="shared" si="1"/>
        <v>35.200000000000003</v>
      </c>
      <c r="M107" s="157">
        <f t="shared" si="1"/>
        <v>88.34</v>
      </c>
      <c r="N107" s="157">
        <f t="shared" si="1"/>
        <v>765.3</v>
      </c>
      <c r="O107" s="157">
        <f t="shared" si="1"/>
        <v>0</v>
      </c>
      <c r="P107" s="157">
        <f t="shared" si="1"/>
        <v>0.8</v>
      </c>
      <c r="Q107" s="157">
        <f t="shared" si="1"/>
        <v>29.37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4.4640624999999998</v>
      </c>
      <c r="C108" s="158">
        <f t="shared" ref="C108:Q108" si="2">AVERAGE(C9:C104)</f>
        <v>11.91072916666667</v>
      </c>
      <c r="D108" s="158">
        <f t="shared" si="2"/>
        <v>8.8082291666666652</v>
      </c>
      <c r="E108" s="158">
        <f t="shared" si="2"/>
        <v>6.8163541666666676</v>
      </c>
      <c r="F108" s="158">
        <f t="shared" si="2"/>
        <v>10.886666666666663</v>
      </c>
      <c r="G108" s="158">
        <f t="shared" si="2"/>
        <v>58.73572916666663</v>
      </c>
      <c r="H108" s="158">
        <f t="shared" si="2"/>
        <v>29.180624999999996</v>
      </c>
      <c r="I108" s="158">
        <f t="shared" si="2"/>
        <v>13.051770833333334</v>
      </c>
      <c r="J108" s="158">
        <f t="shared" si="2"/>
        <v>3.4388541666666677</v>
      </c>
      <c r="K108" s="158">
        <f t="shared" si="2"/>
        <v>178.1223958333334</v>
      </c>
      <c r="L108" s="158">
        <f t="shared" si="2"/>
        <v>28.591354166666672</v>
      </c>
      <c r="M108" s="158">
        <f t="shared" si="2"/>
        <v>66.739687500000016</v>
      </c>
      <c r="N108" s="158">
        <f t="shared" si="2"/>
        <v>183.01354166666667</v>
      </c>
      <c r="O108" s="158">
        <f t="shared" si="2"/>
        <v>0</v>
      </c>
      <c r="P108" s="158">
        <f t="shared" si="2"/>
        <v>0.60302083333333345</v>
      </c>
      <c r="Q108" s="158">
        <f t="shared" si="2"/>
        <v>29.005937500000005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2.2553293974028459</v>
      </c>
      <c r="C109" s="158">
        <f t="shared" ref="C109:Q109" si="3">STDEV(C9:C104)</f>
        <v>1.8180274126771372</v>
      </c>
      <c r="D109" s="158">
        <f t="shared" si="3"/>
        <v>2.1611161808033041</v>
      </c>
      <c r="E109" s="158">
        <f t="shared" si="3"/>
        <v>1.4221955745230563</v>
      </c>
      <c r="F109" s="158">
        <f t="shared" si="3"/>
        <v>9.8257082419610065</v>
      </c>
      <c r="G109" s="158">
        <f t="shared" si="3"/>
        <v>15.683150042392526</v>
      </c>
      <c r="H109" s="158">
        <f t="shared" si="3"/>
        <v>7.0837053658749944</v>
      </c>
      <c r="I109" s="158">
        <f t="shared" si="3"/>
        <v>1.1948327297965107</v>
      </c>
      <c r="J109" s="158">
        <f t="shared" si="3"/>
        <v>1.3525304703575443</v>
      </c>
      <c r="K109" s="158">
        <f t="shared" si="3"/>
        <v>91.119230539988379</v>
      </c>
      <c r="L109" s="158">
        <f t="shared" si="3"/>
        <v>3.5900425506323264</v>
      </c>
      <c r="M109" s="158">
        <f t="shared" si="3"/>
        <v>14.479930972002089</v>
      </c>
      <c r="N109" s="158">
        <f t="shared" si="3"/>
        <v>219.72115420270001</v>
      </c>
      <c r="O109" s="158">
        <f t="shared" si="3"/>
        <v>0</v>
      </c>
      <c r="P109" s="158">
        <f t="shared" si="3"/>
        <v>7.6723972671232751E-2</v>
      </c>
      <c r="Q109" s="158">
        <f t="shared" si="3"/>
        <v>0.21606323696645174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7" workbookViewId="0">
      <selection activeCell="L13" sqref="L13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2928</v>
      </c>
      <c r="B9" s="100">
        <v>2.93</v>
      </c>
      <c r="C9" s="100">
        <v>8.98</v>
      </c>
      <c r="D9" s="100">
        <v>6.04</v>
      </c>
      <c r="E9" s="100">
        <v>6.01</v>
      </c>
      <c r="F9" s="100">
        <v>3.85</v>
      </c>
      <c r="G9" s="100">
        <v>39.42</v>
      </c>
      <c r="H9" s="100">
        <v>18.899999999999999</v>
      </c>
      <c r="I9" s="100">
        <v>12.98</v>
      </c>
      <c r="J9" s="100">
        <v>5.48</v>
      </c>
      <c r="K9" s="100">
        <v>239.28</v>
      </c>
      <c r="L9" s="100">
        <v>25.58</v>
      </c>
      <c r="M9" s="100">
        <v>71.239999999999995</v>
      </c>
      <c r="N9" s="100">
        <v>23.4</v>
      </c>
      <c r="O9" s="100">
        <v>0</v>
      </c>
      <c r="P9" s="100">
        <v>0.51</v>
      </c>
      <c r="Q9" s="100">
        <v>29.33</v>
      </c>
      <c r="R9" s="6"/>
      <c r="S9" s="6"/>
      <c r="T9" s="156"/>
      <c r="U9" s="6"/>
    </row>
    <row r="10" spans="1:21">
      <c r="A10" s="163" t="s">
        <v>2929</v>
      </c>
      <c r="B10" s="100">
        <v>2.97</v>
      </c>
      <c r="C10" s="100">
        <v>9.2799999999999994</v>
      </c>
      <c r="D10" s="100">
        <v>6.23</v>
      </c>
      <c r="E10" s="100">
        <v>6.12</v>
      </c>
      <c r="F10" s="100">
        <v>3.05</v>
      </c>
      <c r="G10" s="100">
        <v>39.42</v>
      </c>
      <c r="H10" s="100">
        <v>18.899999999999999</v>
      </c>
      <c r="I10" s="100">
        <v>12.77</v>
      </c>
      <c r="J10" s="100">
        <v>6.01</v>
      </c>
      <c r="K10" s="100">
        <v>245.48</v>
      </c>
      <c r="L10" s="100">
        <v>25.53</v>
      </c>
      <c r="M10" s="100">
        <v>72.41</v>
      </c>
      <c r="N10" s="100">
        <v>23.3</v>
      </c>
      <c r="O10" s="100">
        <v>0</v>
      </c>
      <c r="P10" s="100">
        <v>0.51</v>
      </c>
      <c r="Q10" s="100">
        <v>29.36</v>
      </c>
      <c r="R10" s="6"/>
      <c r="S10" s="6"/>
      <c r="T10" s="156"/>
      <c r="U10" s="6"/>
    </row>
    <row r="11" spans="1:21">
      <c r="A11" s="163" t="s">
        <v>2930</v>
      </c>
      <c r="B11" s="100">
        <v>3.15</v>
      </c>
      <c r="C11" s="100">
        <v>7.81</v>
      </c>
      <c r="D11" s="100">
        <v>5.61</v>
      </c>
      <c r="E11" s="100">
        <v>5.59</v>
      </c>
      <c r="F11" s="100">
        <v>3.24</v>
      </c>
      <c r="G11" s="100">
        <v>39.42</v>
      </c>
      <c r="H11" s="100">
        <v>18.899999999999999</v>
      </c>
      <c r="I11" s="100">
        <v>12.52</v>
      </c>
      <c r="J11" s="100">
        <v>5.92</v>
      </c>
      <c r="K11" s="100">
        <v>238.67</v>
      </c>
      <c r="L11" s="100">
        <v>25.43</v>
      </c>
      <c r="M11" s="100">
        <v>74.400000000000006</v>
      </c>
      <c r="N11" s="100">
        <v>23.4</v>
      </c>
      <c r="O11" s="100">
        <v>0</v>
      </c>
      <c r="P11" s="100">
        <v>0.49</v>
      </c>
      <c r="Q11" s="100">
        <v>29.43</v>
      </c>
      <c r="R11" s="6"/>
      <c r="S11" s="6"/>
      <c r="T11" s="156"/>
      <c r="U11" s="6"/>
    </row>
    <row r="12" spans="1:21">
      <c r="A12" s="163" t="s">
        <v>2931</v>
      </c>
      <c r="B12" s="100">
        <v>3.39</v>
      </c>
      <c r="C12" s="100">
        <v>8.85</v>
      </c>
      <c r="D12" s="100">
        <v>6.35</v>
      </c>
      <c r="E12" s="100">
        <v>5.46</v>
      </c>
      <c r="F12" s="100">
        <v>3.35</v>
      </c>
      <c r="G12" s="100">
        <v>38.26</v>
      </c>
      <c r="H12" s="100">
        <v>18.43</v>
      </c>
      <c r="I12" s="100">
        <v>12.47</v>
      </c>
      <c r="J12" s="100">
        <v>5.82</v>
      </c>
      <c r="K12" s="100">
        <v>236</v>
      </c>
      <c r="L12" s="100">
        <v>25.56</v>
      </c>
      <c r="M12" s="100">
        <v>74.489999999999995</v>
      </c>
      <c r="N12" s="100">
        <v>23</v>
      </c>
      <c r="O12" s="100">
        <v>0</v>
      </c>
      <c r="P12" s="100">
        <v>0.53</v>
      </c>
      <c r="Q12" s="100">
        <v>29.35</v>
      </c>
      <c r="R12" s="6"/>
      <c r="S12" s="6"/>
      <c r="T12" s="156"/>
      <c r="U12" s="6"/>
    </row>
    <row r="13" spans="1:21">
      <c r="A13" s="163" t="s">
        <v>2932</v>
      </c>
      <c r="B13" s="100">
        <v>3.48</v>
      </c>
      <c r="C13" s="100">
        <v>9.35</v>
      </c>
      <c r="D13" s="100">
        <v>6.68</v>
      </c>
      <c r="E13" s="100">
        <v>5.53</v>
      </c>
      <c r="F13" s="100">
        <v>5.34</v>
      </c>
      <c r="G13" s="100">
        <v>33.9</v>
      </c>
      <c r="H13" s="100">
        <v>16.7</v>
      </c>
      <c r="I13" s="100">
        <v>12.38</v>
      </c>
      <c r="J13" s="100">
        <v>5.54</v>
      </c>
      <c r="K13" s="100">
        <v>237.22</v>
      </c>
      <c r="L13" s="100">
        <v>25.58</v>
      </c>
      <c r="M13" s="100">
        <v>74.34</v>
      </c>
      <c r="N13" s="100">
        <v>23.3</v>
      </c>
      <c r="O13" s="100">
        <v>0</v>
      </c>
      <c r="P13" s="100">
        <v>0.5</v>
      </c>
      <c r="Q13" s="100">
        <v>29.31</v>
      </c>
      <c r="R13" s="6"/>
      <c r="S13" s="6"/>
      <c r="T13" s="156"/>
      <c r="U13" s="6"/>
    </row>
    <row r="14" spans="1:21">
      <c r="A14" s="163" t="s">
        <v>2933</v>
      </c>
      <c r="B14" s="100">
        <v>3.52</v>
      </c>
      <c r="C14" s="100">
        <v>9.23</v>
      </c>
      <c r="D14" s="100">
        <v>6.65</v>
      </c>
      <c r="E14" s="100">
        <v>5.48</v>
      </c>
      <c r="F14" s="100">
        <v>3.76</v>
      </c>
      <c r="G14" s="100">
        <v>33.9</v>
      </c>
      <c r="H14" s="100">
        <v>16.7</v>
      </c>
      <c r="I14" s="100">
        <v>12.42</v>
      </c>
      <c r="J14" s="100">
        <v>4.96</v>
      </c>
      <c r="K14" s="100">
        <v>242.04</v>
      </c>
      <c r="L14" s="100">
        <v>25.49</v>
      </c>
      <c r="M14" s="100">
        <v>74.77</v>
      </c>
      <c r="N14" s="100">
        <v>23.3</v>
      </c>
      <c r="O14" s="100">
        <v>0</v>
      </c>
      <c r="P14" s="100">
        <v>0.5</v>
      </c>
      <c r="Q14" s="100">
        <v>29.3</v>
      </c>
      <c r="R14" s="6"/>
      <c r="S14" s="6"/>
      <c r="T14" s="156"/>
      <c r="U14" s="6"/>
    </row>
    <row r="15" spans="1:21">
      <c r="A15" s="163" t="s">
        <v>2934</v>
      </c>
      <c r="B15" s="100">
        <v>3.54</v>
      </c>
      <c r="C15" s="100">
        <v>9.74</v>
      </c>
      <c r="D15" s="100">
        <v>6.94</v>
      </c>
      <c r="E15" s="100">
        <v>5.18</v>
      </c>
      <c r="F15" s="100">
        <v>3.88</v>
      </c>
      <c r="G15" s="100">
        <v>33.9</v>
      </c>
      <c r="H15" s="100">
        <v>16.7</v>
      </c>
      <c r="I15" s="100">
        <v>12.23</v>
      </c>
      <c r="J15" s="100">
        <v>4.55</v>
      </c>
      <c r="K15" s="100">
        <v>236.93</v>
      </c>
      <c r="L15" s="100">
        <v>25.44</v>
      </c>
      <c r="M15" s="100">
        <v>75.33</v>
      </c>
      <c r="N15" s="100">
        <v>23.4</v>
      </c>
      <c r="O15" s="100">
        <v>0</v>
      </c>
      <c r="P15" s="100">
        <v>0.48</v>
      </c>
      <c r="Q15" s="100">
        <v>29.26</v>
      </c>
      <c r="R15" s="6"/>
      <c r="S15" s="6"/>
      <c r="T15" s="156"/>
      <c r="U15" s="6"/>
    </row>
    <row r="16" spans="1:21">
      <c r="A16" s="163" t="s">
        <v>2935</v>
      </c>
      <c r="B16" s="100">
        <v>3.74</v>
      </c>
      <c r="C16" s="100">
        <v>10.37</v>
      </c>
      <c r="D16" s="100">
        <v>7.42</v>
      </c>
      <c r="E16" s="100">
        <v>5.94</v>
      </c>
      <c r="F16" s="100">
        <v>4.38</v>
      </c>
      <c r="G16" s="100">
        <v>32.549999999999997</v>
      </c>
      <c r="H16" s="100">
        <v>16.28</v>
      </c>
      <c r="I16" s="100">
        <v>12.03</v>
      </c>
      <c r="J16" s="100">
        <v>4.84</v>
      </c>
      <c r="K16" s="100">
        <v>240.84</v>
      </c>
      <c r="L16" s="100">
        <v>25.54</v>
      </c>
      <c r="M16" s="100">
        <v>75.22</v>
      </c>
      <c r="N16" s="100">
        <v>23.1</v>
      </c>
      <c r="O16" s="100">
        <v>0</v>
      </c>
      <c r="P16" s="100">
        <v>0.47</v>
      </c>
      <c r="Q16" s="100">
        <v>29.17</v>
      </c>
      <c r="R16" s="6"/>
      <c r="S16" s="6"/>
      <c r="T16" s="156"/>
      <c r="U16" s="6"/>
    </row>
    <row r="17" spans="1:21">
      <c r="A17" s="163" t="s">
        <v>2936</v>
      </c>
      <c r="B17" s="100">
        <v>3.91</v>
      </c>
      <c r="C17" s="100">
        <v>10.43</v>
      </c>
      <c r="D17" s="100">
        <v>7.59</v>
      </c>
      <c r="E17" s="100">
        <v>5.45</v>
      </c>
      <c r="F17" s="100">
        <v>3.92</v>
      </c>
      <c r="G17" s="100">
        <v>27.53</v>
      </c>
      <c r="H17" s="100">
        <v>14.74</v>
      </c>
      <c r="I17" s="100">
        <v>11.71</v>
      </c>
      <c r="J17" s="100">
        <v>5.19</v>
      </c>
      <c r="K17" s="100">
        <v>237.52</v>
      </c>
      <c r="L17" s="100">
        <v>25.34</v>
      </c>
      <c r="M17" s="100">
        <v>76.180000000000007</v>
      </c>
      <c r="N17" s="100">
        <v>23.5</v>
      </c>
      <c r="O17" s="100">
        <v>0</v>
      </c>
      <c r="P17" s="100">
        <v>0.46</v>
      </c>
      <c r="Q17" s="100">
        <v>29.14</v>
      </c>
      <c r="R17" s="6"/>
      <c r="S17" s="6"/>
      <c r="T17" s="156"/>
      <c r="U17" s="6"/>
    </row>
    <row r="18" spans="1:21">
      <c r="A18" s="163" t="s">
        <v>2937</v>
      </c>
      <c r="B18" s="100">
        <v>3.96</v>
      </c>
      <c r="C18" s="100">
        <v>10.25</v>
      </c>
      <c r="D18" s="100">
        <v>7.53</v>
      </c>
      <c r="E18" s="100">
        <v>5.82</v>
      </c>
      <c r="F18" s="100">
        <v>3.63</v>
      </c>
      <c r="G18" s="100">
        <v>27.53</v>
      </c>
      <c r="H18" s="100">
        <v>14.74</v>
      </c>
      <c r="I18" s="100">
        <v>11.45</v>
      </c>
      <c r="J18" s="100">
        <v>4.7699999999999996</v>
      </c>
      <c r="K18" s="100">
        <v>234.72</v>
      </c>
      <c r="L18" s="100">
        <v>25.34</v>
      </c>
      <c r="M18" s="100">
        <v>76.33</v>
      </c>
      <c r="N18" s="100">
        <v>23.3</v>
      </c>
      <c r="O18" s="100">
        <v>0</v>
      </c>
      <c r="P18" s="100">
        <v>0.46</v>
      </c>
      <c r="Q18" s="100">
        <v>29.15</v>
      </c>
      <c r="R18" s="6"/>
      <c r="S18" s="6"/>
      <c r="T18" s="156"/>
      <c r="U18" s="6"/>
    </row>
    <row r="19" spans="1:21">
      <c r="A19" s="163" t="s">
        <v>2938</v>
      </c>
      <c r="B19" s="100">
        <v>3.89</v>
      </c>
      <c r="C19" s="100">
        <v>10.16</v>
      </c>
      <c r="D19" s="100">
        <v>7.44</v>
      </c>
      <c r="E19" s="100">
        <v>5.85</v>
      </c>
      <c r="F19" s="100">
        <v>4.55</v>
      </c>
      <c r="G19" s="100">
        <v>27.53</v>
      </c>
      <c r="H19" s="100">
        <v>14.74</v>
      </c>
      <c r="I19" s="100">
        <v>11.44</v>
      </c>
      <c r="J19" s="100">
        <v>4.16</v>
      </c>
      <c r="K19" s="100">
        <v>178.33</v>
      </c>
      <c r="L19" s="100">
        <v>25.41</v>
      </c>
      <c r="M19" s="100">
        <v>76.87</v>
      </c>
      <c r="N19" s="100">
        <v>23.5</v>
      </c>
      <c r="O19" s="100">
        <v>0</v>
      </c>
      <c r="P19" s="100">
        <v>0.45</v>
      </c>
      <c r="Q19" s="100">
        <v>29.15</v>
      </c>
      <c r="R19" s="6"/>
      <c r="S19" s="6"/>
      <c r="T19" s="156"/>
      <c r="U19" s="6"/>
    </row>
    <row r="20" spans="1:21">
      <c r="A20" s="163" t="s">
        <v>2939</v>
      </c>
      <c r="B20" s="100">
        <v>3.95</v>
      </c>
      <c r="C20" s="100">
        <v>12.01</v>
      </c>
      <c r="D20" s="100">
        <v>8.4499999999999993</v>
      </c>
      <c r="E20" s="100">
        <v>5.53</v>
      </c>
      <c r="F20" s="100">
        <v>3.39</v>
      </c>
      <c r="G20" s="100">
        <v>27.3</v>
      </c>
      <c r="H20" s="100">
        <v>14.77</v>
      </c>
      <c r="I20" s="100">
        <v>11.26</v>
      </c>
      <c r="J20" s="100">
        <v>3.89</v>
      </c>
      <c r="K20" s="100">
        <v>202.81</v>
      </c>
      <c r="L20" s="100">
        <v>25.2</v>
      </c>
      <c r="M20" s="100">
        <v>78.849999999999994</v>
      </c>
      <c r="N20" s="100">
        <v>23.4</v>
      </c>
      <c r="O20" s="100">
        <v>0</v>
      </c>
      <c r="P20" s="100">
        <v>0.46</v>
      </c>
      <c r="Q20" s="100">
        <v>29.1</v>
      </c>
      <c r="R20" s="6"/>
      <c r="S20" s="6"/>
      <c r="T20" s="156"/>
      <c r="U20" s="6"/>
    </row>
    <row r="21" spans="1:21">
      <c r="A21" s="163" t="s">
        <v>2940</v>
      </c>
      <c r="B21" s="100">
        <v>4.1100000000000003</v>
      </c>
      <c r="C21" s="100">
        <v>14.26</v>
      </c>
      <c r="D21" s="100">
        <v>9.75</v>
      </c>
      <c r="E21" s="100">
        <v>5.76</v>
      </c>
      <c r="F21" s="100">
        <v>2.87</v>
      </c>
      <c r="G21" s="100">
        <v>26.42</v>
      </c>
      <c r="H21" s="100">
        <v>14.88</v>
      </c>
      <c r="I21" s="100">
        <v>11.07</v>
      </c>
      <c r="J21" s="100">
        <v>4.1100000000000003</v>
      </c>
      <c r="K21" s="100">
        <v>213.43</v>
      </c>
      <c r="L21" s="100">
        <v>25.14</v>
      </c>
      <c r="M21" s="100">
        <v>79.12</v>
      </c>
      <c r="N21" s="100">
        <v>23.2</v>
      </c>
      <c r="O21" s="100">
        <v>0</v>
      </c>
      <c r="P21" s="100">
        <v>0.45</v>
      </c>
      <c r="Q21" s="100">
        <v>29.01</v>
      </c>
      <c r="R21" s="6"/>
      <c r="S21" s="6"/>
      <c r="T21" s="156"/>
      <c r="U21" s="6"/>
    </row>
    <row r="22" spans="1:21">
      <c r="A22" s="163" t="s">
        <v>2941</v>
      </c>
      <c r="B22" s="100">
        <v>4.2300000000000004</v>
      </c>
      <c r="C22" s="100">
        <v>12.57</v>
      </c>
      <c r="D22" s="100">
        <v>8.9700000000000006</v>
      </c>
      <c r="E22" s="100">
        <v>5.69</v>
      </c>
      <c r="F22" s="100">
        <v>2.93</v>
      </c>
      <c r="G22" s="100">
        <v>26.42</v>
      </c>
      <c r="H22" s="100">
        <v>14.88</v>
      </c>
      <c r="I22" s="100">
        <v>10.95</v>
      </c>
      <c r="J22" s="100">
        <v>4.7300000000000004</v>
      </c>
      <c r="K22" s="100">
        <v>238.21</v>
      </c>
      <c r="L22" s="100">
        <v>25.06</v>
      </c>
      <c r="M22" s="100">
        <v>79.47</v>
      </c>
      <c r="N22" s="100">
        <v>23.2</v>
      </c>
      <c r="O22" s="100">
        <v>0</v>
      </c>
      <c r="P22" s="100">
        <v>0.44</v>
      </c>
      <c r="Q22" s="100">
        <v>29.09</v>
      </c>
      <c r="R22" s="6"/>
      <c r="S22" s="6"/>
      <c r="T22" s="156"/>
      <c r="U22" s="6"/>
    </row>
    <row r="23" spans="1:21">
      <c r="A23" s="163" t="s">
        <v>2942</v>
      </c>
      <c r="B23" s="100">
        <v>4.4000000000000004</v>
      </c>
      <c r="C23" s="100">
        <v>10.95</v>
      </c>
      <c r="D23" s="100">
        <v>8.26</v>
      </c>
      <c r="E23" s="100">
        <v>5.55</v>
      </c>
      <c r="F23" s="100">
        <v>2.87</v>
      </c>
      <c r="G23" s="100">
        <v>26.42</v>
      </c>
      <c r="H23" s="100">
        <v>14.88</v>
      </c>
      <c r="I23" s="100">
        <v>10.87</v>
      </c>
      <c r="J23" s="100">
        <v>3.96</v>
      </c>
      <c r="K23" s="100">
        <v>207.12</v>
      </c>
      <c r="L23" s="100">
        <v>25.1</v>
      </c>
      <c r="M23" s="100">
        <v>79.41</v>
      </c>
      <c r="N23" s="100">
        <v>23.1</v>
      </c>
      <c r="O23" s="100">
        <v>0</v>
      </c>
      <c r="P23" s="100">
        <v>0.43</v>
      </c>
      <c r="Q23" s="100">
        <v>29.17</v>
      </c>
      <c r="R23" s="6"/>
      <c r="S23" s="6"/>
      <c r="T23" s="156"/>
      <c r="U23" s="6"/>
    </row>
    <row r="24" spans="1:21">
      <c r="A24" s="163" t="s">
        <v>2943</v>
      </c>
      <c r="B24" s="100">
        <v>4.63</v>
      </c>
      <c r="C24" s="100">
        <v>8.06</v>
      </c>
      <c r="D24" s="100">
        <v>6.93</v>
      </c>
      <c r="E24" s="100">
        <v>5.17</v>
      </c>
      <c r="F24" s="100">
        <v>3.64</v>
      </c>
      <c r="G24" s="100">
        <v>26.47</v>
      </c>
      <c r="H24" s="100">
        <v>14.31</v>
      </c>
      <c r="I24" s="100">
        <v>10.76</v>
      </c>
      <c r="J24" s="100">
        <v>3.86</v>
      </c>
      <c r="K24" s="100">
        <v>202.24</v>
      </c>
      <c r="L24" s="100">
        <v>25.22</v>
      </c>
      <c r="M24" s="100">
        <v>78.709999999999994</v>
      </c>
      <c r="N24" s="100">
        <v>23.2</v>
      </c>
      <c r="O24" s="100">
        <v>0</v>
      </c>
      <c r="P24" s="100">
        <v>0.42</v>
      </c>
      <c r="Q24" s="100">
        <v>29.34</v>
      </c>
      <c r="R24" s="6"/>
      <c r="S24" s="6"/>
      <c r="T24" s="156"/>
      <c r="U24" s="6"/>
    </row>
    <row r="25" spans="1:21">
      <c r="A25" s="163" t="s">
        <v>2944</v>
      </c>
      <c r="B25" s="100">
        <v>4.84</v>
      </c>
      <c r="C25" s="100">
        <v>9.15</v>
      </c>
      <c r="D25" s="100">
        <v>7.66</v>
      </c>
      <c r="E25" s="100">
        <v>5</v>
      </c>
      <c r="F25" s="100">
        <v>3.09</v>
      </c>
      <c r="G25" s="100">
        <v>26.66</v>
      </c>
      <c r="H25" s="100">
        <v>12.2</v>
      </c>
      <c r="I25" s="100">
        <v>10.68</v>
      </c>
      <c r="J25" s="100">
        <v>4.17</v>
      </c>
      <c r="K25" s="100">
        <v>175.53</v>
      </c>
      <c r="L25" s="100">
        <v>25.04</v>
      </c>
      <c r="M25" s="100">
        <v>79.98</v>
      </c>
      <c r="N25" s="100">
        <v>23.5</v>
      </c>
      <c r="O25" s="100">
        <v>0</v>
      </c>
      <c r="P25" s="100">
        <v>0.43</v>
      </c>
      <c r="Q25" s="100">
        <v>29.27</v>
      </c>
      <c r="R25" s="6"/>
      <c r="S25" s="6"/>
      <c r="T25" s="156"/>
      <c r="U25" s="6"/>
    </row>
    <row r="26" spans="1:21">
      <c r="A26" s="163" t="s">
        <v>2945</v>
      </c>
      <c r="B26" s="100">
        <v>5.01</v>
      </c>
      <c r="C26" s="100">
        <v>8.8800000000000008</v>
      </c>
      <c r="D26" s="100">
        <v>7.66</v>
      </c>
      <c r="E26" s="100">
        <v>4.87</v>
      </c>
      <c r="F26" s="100">
        <v>4.07</v>
      </c>
      <c r="G26" s="100">
        <v>26.66</v>
      </c>
      <c r="H26" s="100">
        <v>12.2</v>
      </c>
      <c r="I26" s="100">
        <v>10.47</v>
      </c>
      <c r="J26" s="100">
        <v>3.89</v>
      </c>
      <c r="K26" s="100">
        <v>185.93</v>
      </c>
      <c r="L26" s="100">
        <v>24.92</v>
      </c>
      <c r="M26" s="100">
        <v>80.5</v>
      </c>
      <c r="N26" s="100">
        <v>23.4</v>
      </c>
      <c r="O26" s="100">
        <v>0</v>
      </c>
      <c r="P26" s="100">
        <v>0.4</v>
      </c>
      <c r="Q26" s="100">
        <v>29.26</v>
      </c>
      <c r="R26" s="6"/>
      <c r="S26" s="6"/>
      <c r="T26" s="156"/>
      <c r="U26" s="6"/>
    </row>
    <row r="27" spans="1:21">
      <c r="A27" s="163" t="s">
        <v>2946</v>
      </c>
      <c r="B27" s="100">
        <v>5.18</v>
      </c>
      <c r="C27" s="100">
        <v>8.5299999999999994</v>
      </c>
      <c r="D27" s="100">
        <v>7.61</v>
      </c>
      <c r="E27" s="100">
        <v>5.01</v>
      </c>
      <c r="F27" s="100">
        <v>3.79</v>
      </c>
      <c r="G27" s="100">
        <v>26.66</v>
      </c>
      <c r="H27" s="100">
        <v>12.2</v>
      </c>
      <c r="I27" s="100">
        <v>10.38</v>
      </c>
      <c r="J27" s="100">
        <v>4.16</v>
      </c>
      <c r="K27" s="100">
        <v>218.1</v>
      </c>
      <c r="L27" s="100">
        <v>24.83</v>
      </c>
      <c r="M27" s="100">
        <v>80.400000000000006</v>
      </c>
      <c r="N27" s="100">
        <v>23.1</v>
      </c>
      <c r="O27" s="100">
        <v>0</v>
      </c>
      <c r="P27" s="100">
        <v>0.41</v>
      </c>
      <c r="Q27" s="100">
        <v>29.23</v>
      </c>
      <c r="R27" s="6"/>
      <c r="S27" s="6"/>
      <c r="T27" s="156"/>
      <c r="U27" s="6"/>
    </row>
    <row r="28" spans="1:21">
      <c r="A28" s="163" t="s">
        <v>2947</v>
      </c>
      <c r="B28" s="100">
        <v>5.15</v>
      </c>
      <c r="C28" s="100">
        <v>8.8699999999999992</v>
      </c>
      <c r="D28" s="100">
        <v>7.77</v>
      </c>
      <c r="E28" s="100">
        <v>5.32</v>
      </c>
      <c r="F28" s="100">
        <v>4.3600000000000003</v>
      </c>
      <c r="G28" s="100">
        <v>26.52</v>
      </c>
      <c r="H28" s="100">
        <v>12.72</v>
      </c>
      <c r="I28" s="100">
        <v>10.17</v>
      </c>
      <c r="J28" s="100">
        <v>4.07</v>
      </c>
      <c r="K28" s="100">
        <v>217.68</v>
      </c>
      <c r="L28" s="100">
        <v>24.84</v>
      </c>
      <c r="M28" s="100">
        <v>80.180000000000007</v>
      </c>
      <c r="N28" s="100">
        <v>23.2</v>
      </c>
      <c r="O28" s="100">
        <v>0</v>
      </c>
      <c r="P28" s="100">
        <v>0.4</v>
      </c>
      <c r="Q28" s="100">
        <v>29.19</v>
      </c>
      <c r="R28" s="6"/>
      <c r="S28" s="6"/>
      <c r="T28" s="156"/>
      <c r="U28" s="6"/>
    </row>
    <row r="29" spans="1:21">
      <c r="A29" s="163" t="s">
        <v>2948</v>
      </c>
      <c r="B29" s="100">
        <v>5.23</v>
      </c>
      <c r="C29" s="100">
        <v>9.52</v>
      </c>
      <c r="D29" s="100">
        <v>8.17</v>
      </c>
      <c r="E29" s="100">
        <v>4.57</v>
      </c>
      <c r="F29" s="100">
        <v>4.1900000000000004</v>
      </c>
      <c r="G29" s="100">
        <v>25.99</v>
      </c>
      <c r="H29" s="100">
        <v>14.65</v>
      </c>
      <c r="I29" s="100">
        <v>10.039999999999999</v>
      </c>
      <c r="J29" s="100">
        <v>4.4800000000000004</v>
      </c>
      <c r="K29" s="100">
        <v>227.51</v>
      </c>
      <c r="L29" s="100">
        <v>24.75</v>
      </c>
      <c r="M29" s="100">
        <v>80.58</v>
      </c>
      <c r="N29" s="100">
        <v>23.7</v>
      </c>
      <c r="O29" s="100">
        <v>0</v>
      </c>
      <c r="P29" s="100">
        <v>0.38</v>
      </c>
      <c r="Q29" s="100">
        <v>29.12</v>
      </c>
      <c r="R29" s="6"/>
      <c r="S29" s="6"/>
      <c r="T29" s="156"/>
      <c r="U29" s="6"/>
    </row>
    <row r="30" spans="1:21">
      <c r="A30" s="163" t="s">
        <v>2949</v>
      </c>
      <c r="B30" s="100">
        <v>5.32</v>
      </c>
      <c r="C30" s="100">
        <v>9.7100000000000009</v>
      </c>
      <c r="D30" s="100">
        <v>8.34</v>
      </c>
      <c r="E30" s="100">
        <v>4.99</v>
      </c>
      <c r="F30" s="100">
        <v>3.44</v>
      </c>
      <c r="G30" s="100">
        <v>25.99</v>
      </c>
      <c r="H30" s="100">
        <v>14.65</v>
      </c>
      <c r="I30" s="100">
        <v>9.84</v>
      </c>
      <c r="J30" s="100">
        <v>4.29</v>
      </c>
      <c r="K30" s="100">
        <v>220.6</v>
      </c>
      <c r="L30" s="100">
        <v>24.68</v>
      </c>
      <c r="M30" s="100">
        <v>81.03</v>
      </c>
      <c r="N30" s="100">
        <v>27</v>
      </c>
      <c r="O30" s="100">
        <v>0</v>
      </c>
      <c r="P30" s="100">
        <v>0.4</v>
      </c>
      <c r="Q30" s="100">
        <v>29.1</v>
      </c>
      <c r="R30" s="6"/>
      <c r="S30" s="6"/>
      <c r="T30" s="156"/>
      <c r="U30" s="6"/>
    </row>
    <row r="31" spans="1:21">
      <c r="A31" s="163" t="s">
        <v>2950</v>
      </c>
      <c r="B31" s="100">
        <v>5.44</v>
      </c>
      <c r="C31" s="100">
        <v>9.68</v>
      </c>
      <c r="D31" s="100">
        <v>8.42</v>
      </c>
      <c r="E31" s="100">
        <v>5.56</v>
      </c>
      <c r="F31" s="100">
        <v>3.21</v>
      </c>
      <c r="G31" s="100">
        <v>25.99</v>
      </c>
      <c r="H31" s="100">
        <v>14.65</v>
      </c>
      <c r="I31" s="100">
        <v>9.77</v>
      </c>
      <c r="J31" s="100">
        <v>4.1500000000000004</v>
      </c>
      <c r="K31" s="100">
        <v>213.51</v>
      </c>
      <c r="L31" s="100">
        <v>24.6</v>
      </c>
      <c r="M31" s="100">
        <v>81.41</v>
      </c>
      <c r="N31" s="100">
        <v>35.799999999999997</v>
      </c>
      <c r="O31" s="100">
        <v>0</v>
      </c>
      <c r="P31" s="100">
        <v>0.39</v>
      </c>
      <c r="Q31" s="100">
        <v>29.08</v>
      </c>
      <c r="R31" s="6"/>
      <c r="S31" s="6"/>
      <c r="T31" s="156"/>
      <c r="U31" s="6"/>
    </row>
    <row r="32" spans="1:21">
      <c r="A32" s="163" t="s">
        <v>2951</v>
      </c>
      <c r="B32" s="100">
        <v>5.43</v>
      </c>
      <c r="C32" s="100">
        <v>9.65</v>
      </c>
      <c r="D32" s="100">
        <v>8.4</v>
      </c>
      <c r="E32" s="100">
        <v>5.28</v>
      </c>
      <c r="F32" s="100">
        <v>3.62</v>
      </c>
      <c r="G32" s="100">
        <v>25.46</v>
      </c>
      <c r="H32" s="100">
        <v>13.77</v>
      </c>
      <c r="I32" s="100">
        <v>9.67</v>
      </c>
      <c r="J32" s="100">
        <v>4.0999999999999996</v>
      </c>
      <c r="K32" s="100">
        <v>212.12</v>
      </c>
      <c r="L32" s="100">
        <v>24.56</v>
      </c>
      <c r="M32" s="100">
        <v>81.739999999999995</v>
      </c>
      <c r="N32" s="100">
        <v>46.3</v>
      </c>
      <c r="O32" s="100">
        <v>0</v>
      </c>
      <c r="P32" s="100">
        <v>0.38</v>
      </c>
      <c r="Q32" s="100">
        <v>29.08</v>
      </c>
      <c r="R32" s="6"/>
      <c r="S32" s="6"/>
      <c r="T32" s="156"/>
      <c r="U32" s="6"/>
    </row>
    <row r="33" spans="1:21">
      <c r="A33" s="163" t="s">
        <v>2952</v>
      </c>
      <c r="B33" s="100">
        <v>5.45</v>
      </c>
      <c r="C33" s="100">
        <v>11.7</v>
      </c>
      <c r="D33" s="100">
        <v>9.49</v>
      </c>
      <c r="E33" s="100">
        <v>5.57</v>
      </c>
      <c r="F33" s="100">
        <v>3.35</v>
      </c>
      <c r="G33" s="100">
        <v>23.46</v>
      </c>
      <c r="H33" s="100">
        <v>10.47</v>
      </c>
      <c r="I33" s="100">
        <v>9.5</v>
      </c>
      <c r="J33" s="100">
        <v>4.3499999999999996</v>
      </c>
      <c r="K33" s="100">
        <v>218.45</v>
      </c>
      <c r="L33" s="100">
        <v>24.57</v>
      </c>
      <c r="M33" s="100">
        <v>81.89</v>
      </c>
      <c r="N33" s="100">
        <v>58.7</v>
      </c>
      <c r="O33" s="100">
        <v>0</v>
      </c>
      <c r="P33" s="100">
        <v>0.39</v>
      </c>
      <c r="Q33" s="100">
        <v>29.01</v>
      </c>
      <c r="R33" s="6"/>
      <c r="S33" s="6"/>
      <c r="T33" s="156"/>
      <c r="U33" s="6"/>
    </row>
    <row r="34" spans="1:21">
      <c r="A34" s="163" t="s">
        <v>2953</v>
      </c>
      <c r="B34" s="100">
        <v>5.62</v>
      </c>
      <c r="C34" s="100">
        <v>14.1</v>
      </c>
      <c r="D34" s="100">
        <v>10.88</v>
      </c>
      <c r="E34" s="100">
        <v>5.07</v>
      </c>
      <c r="F34" s="100">
        <v>2.8</v>
      </c>
      <c r="G34" s="100">
        <v>23.46</v>
      </c>
      <c r="H34" s="100">
        <v>10.47</v>
      </c>
      <c r="I34" s="100">
        <v>9.26</v>
      </c>
      <c r="J34" s="100">
        <v>3.72</v>
      </c>
      <c r="K34" s="100">
        <v>202.58</v>
      </c>
      <c r="L34" s="100">
        <v>24.8</v>
      </c>
      <c r="M34" s="100">
        <v>81.3</v>
      </c>
      <c r="N34" s="100">
        <v>74.599999999999994</v>
      </c>
      <c r="O34" s="100">
        <v>0</v>
      </c>
      <c r="P34" s="100">
        <v>0.39</v>
      </c>
      <c r="Q34" s="100">
        <v>28.91</v>
      </c>
      <c r="R34" s="6"/>
      <c r="S34" s="6"/>
      <c r="T34" s="156"/>
      <c r="U34" s="6"/>
    </row>
    <row r="35" spans="1:21">
      <c r="A35" s="163" t="s">
        <v>2954</v>
      </c>
      <c r="B35" s="100">
        <v>5.8</v>
      </c>
      <c r="C35" s="100">
        <v>13.7</v>
      </c>
      <c r="D35" s="100">
        <v>10.82</v>
      </c>
      <c r="E35" s="100">
        <v>5.45</v>
      </c>
      <c r="F35" s="100">
        <v>2.5299999999999998</v>
      </c>
      <c r="G35" s="100">
        <v>23.46</v>
      </c>
      <c r="H35" s="100">
        <v>10.47</v>
      </c>
      <c r="I35" s="100">
        <v>9.24</v>
      </c>
      <c r="J35" s="100">
        <v>4.47</v>
      </c>
      <c r="K35" s="100">
        <v>232.13</v>
      </c>
      <c r="L35" s="100">
        <v>24.89</v>
      </c>
      <c r="M35" s="100">
        <v>80.91</v>
      </c>
      <c r="N35" s="100">
        <v>101.1</v>
      </c>
      <c r="O35" s="100">
        <v>0</v>
      </c>
      <c r="P35" s="100">
        <v>0.38</v>
      </c>
      <c r="Q35" s="100">
        <v>28.89</v>
      </c>
      <c r="R35" s="6"/>
      <c r="S35" s="6"/>
      <c r="T35" s="156"/>
      <c r="U35" s="6"/>
    </row>
    <row r="36" spans="1:21">
      <c r="A36" s="163" t="s">
        <v>2955</v>
      </c>
      <c r="B36" s="100">
        <v>5.9</v>
      </c>
      <c r="C36" s="100">
        <v>12.03</v>
      </c>
      <c r="D36" s="100">
        <v>10.02</v>
      </c>
      <c r="E36" s="100">
        <v>5.4</v>
      </c>
      <c r="F36" s="100">
        <v>2.88</v>
      </c>
      <c r="G36" s="100">
        <v>22.99</v>
      </c>
      <c r="H36" s="100">
        <v>10.53</v>
      </c>
      <c r="I36" s="100">
        <v>9.2799999999999994</v>
      </c>
      <c r="J36" s="100">
        <v>4.13</v>
      </c>
      <c r="K36" s="100">
        <v>216.23</v>
      </c>
      <c r="L36" s="100">
        <v>25.07</v>
      </c>
      <c r="M36" s="100">
        <v>80.48</v>
      </c>
      <c r="N36" s="100">
        <v>110.6</v>
      </c>
      <c r="O36" s="100">
        <v>0</v>
      </c>
      <c r="P36" s="100">
        <v>0.38</v>
      </c>
      <c r="Q36" s="100">
        <v>29.01</v>
      </c>
      <c r="R36" s="6"/>
      <c r="S36" s="6"/>
      <c r="T36" s="156"/>
      <c r="U36" s="6"/>
    </row>
    <row r="37" spans="1:21">
      <c r="A37" s="163" t="s">
        <v>2956</v>
      </c>
      <c r="B37" s="100">
        <v>6.09</v>
      </c>
      <c r="C37" s="100">
        <v>12.2</v>
      </c>
      <c r="D37" s="100">
        <v>10.26</v>
      </c>
      <c r="E37" s="100">
        <v>5.37</v>
      </c>
      <c r="F37" s="100">
        <v>2.81</v>
      </c>
      <c r="G37" s="100">
        <v>21.26</v>
      </c>
      <c r="H37" s="100">
        <v>10.75</v>
      </c>
      <c r="I37" s="100">
        <v>9.27</v>
      </c>
      <c r="J37" s="100">
        <v>5.23</v>
      </c>
      <c r="K37" s="100">
        <v>240.46</v>
      </c>
      <c r="L37" s="100">
        <v>25.15</v>
      </c>
      <c r="M37" s="100">
        <v>80.28</v>
      </c>
      <c r="N37" s="100">
        <v>120.9</v>
      </c>
      <c r="O37" s="100">
        <v>0</v>
      </c>
      <c r="P37" s="100">
        <v>0.38</v>
      </c>
      <c r="Q37" s="100">
        <v>28.96</v>
      </c>
      <c r="R37" s="6"/>
      <c r="S37" s="6"/>
      <c r="T37" s="156"/>
      <c r="U37" s="6"/>
    </row>
    <row r="38" spans="1:21">
      <c r="A38" s="163" t="s">
        <v>2957</v>
      </c>
      <c r="B38" s="100">
        <v>6.07</v>
      </c>
      <c r="C38" s="100">
        <v>11</v>
      </c>
      <c r="D38" s="100">
        <v>9.6300000000000008</v>
      </c>
      <c r="E38" s="100">
        <v>5.85</v>
      </c>
      <c r="F38" s="100">
        <v>2.89</v>
      </c>
      <c r="G38" s="100">
        <v>21.26</v>
      </c>
      <c r="H38" s="100">
        <v>10.75</v>
      </c>
      <c r="I38" s="100">
        <v>9.24</v>
      </c>
      <c r="J38" s="100">
        <v>5.21</v>
      </c>
      <c r="K38" s="100">
        <v>244.29</v>
      </c>
      <c r="L38" s="100">
        <v>25.3</v>
      </c>
      <c r="M38" s="100">
        <v>80.09</v>
      </c>
      <c r="N38" s="100">
        <v>144.69999999999999</v>
      </c>
      <c r="O38" s="100">
        <v>0</v>
      </c>
      <c r="P38" s="100">
        <v>0.39</v>
      </c>
      <c r="Q38" s="100">
        <v>29.02</v>
      </c>
      <c r="R38" s="6"/>
      <c r="S38" s="6"/>
      <c r="T38" s="156"/>
      <c r="U38" s="6"/>
    </row>
    <row r="39" spans="1:21">
      <c r="A39" s="163" t="s">
        <v>2958</v>
      </c>
      <c r="B39" s="100">
        <v>6.17</v>
      </c>
      <c r="C39" s="100">
        <v>9.6300000000000008</v>
      </c>
      <c r="D39" s="100">
        <v>8.98</v>
      </c>
      <c r="E39" s="100">
        <v>5.57</v>
      </c>
      <c r="F39" s="100">
        <v>3.09</v>
      </c>
      <c r="G39" s="100">
        <v>21.26</v>
      </c>
      <c r="H39" s="100">
        <v>10.75</v>
      </c>
      <c r="I39" s="100">
        <v>9.41</v>
      </c>
      <c r="J39" s="100">
        <v>5.14</v>
      </c>
      <c r="K39" s="100">
        <v>244.13</v>
      </c>
      <c r="L39" s="100">
        <v>25.6</v>
      </c>
      <c r="M39" s="100">
        <v>78.98</v>
      </c>
      <c r="N39" s="100">
        <v>171</v>
      </c>
      <c r="O39" s="100">
        <v>0</v>
      </c>
      <c r="P39" s="100">
        <v>0.41</v>
      </c>
      <c r="Q39" s="100">
        <v>29.09</v>
      </c>
      <c r="R39" s="6"/>
      <c r="S39" s="6"/>
      <c r="T39" s="156"/>
      <c r="U39" s="6"/>
    </row>
    <row r="40" spans="1:21">
      <c r="A40" s="163" t="s">
        <v>2959</v>
      </c>
      <c r="B40" s="100">
        <v>6.42</v>
      </c>
      <c r="C40" s="100">
        <v>8.74</v>
      </c>
      <c r="D40" s="100">
        <v>8.7200000000000006</v>
      </c>
      <c r="E40" s="100">
        <v>4.99</v>
      </c>
      <c r="F40" s="100">
        <v>3.43</v>
      </c>
      <c r="G40" s="100">
        <v>22.86</v>
      </c>
      <c r="H40" s="100">
        <v>10.69</v>
      </c>
      <c r="I40" s="100">
        <v>9.8800000000000008</v>
      </c>
      <c r="J40" s="100">
        <v>4.59</v>
      </c>
      <c r="K40" s="100">
        <v>232.95</v>
      </c>
      <c r="L40" s="100">
        <v>26.14</v>
      </c>
      <c r="M40" s="100">
        <v>77.27</v>
      </c>
      <c r="N40" s="100">
        <v>214.2</v>
      </c>
      <c r="O40" s="100">
        <v>0</v>
      </c>
      <c r="P40" s="100">
        <v>0.47</v>
      </c>
      <c r="Q40" s="100">
        <v>29.16</v>
      </c>
      <c r="R40" s="6"/>
      <c r="S40" s="6"/>
      <c r="T40" s="156"/>
      <c r="U40" s="6"/>
    </row>
    <row r="41" spans="1:21">
      <c r="A41" s="163" t="s">
        <v>2960</v>
      </c>
      <c r="B41" s="100">
        <v>7.39</v>
      </c>
      <c r="C41" s="100">
        <v>9.4600000000000009</v>
      </c>
      <c r="D41" s="100">
        <v>9.8800000000000008</v>
      </c>
      <c r="E41" s="100">
        <v>5.39</v>
      </c>
      <c r="F41" s="100">
        <v>3.31</v>
      </c>
      <c r="G41" s="100">
        <v>28.83</v>
      </c>
      <c r="H41" s="100">
        <v>10.48</v>
      </c>
      <c r="I41" s="100">
        <v>10.63</v>
      </c>
      <c r="J41" s="100">
        <v>5.51</v>
      </c>
      <c r="K41" s="100">
        <v>243.63</v>
      </c>
      <c r="L41" s="100">
        <v>26.67</v>
      </c>
      <c r="M41" s="100">
        <v>74.7</v>
      </c>
      <c r="N41" s="100">
        <v>338.6</v>
      </c>
      <c r="O41" s="100">
        <v>0</v>
      </c>
      <c r="P41" s="100">
        <v>0.51</v>
      </c>
      <c r="Q41" s="100">
        <v>29.06</v>
      </c>
      <c r="R41" s="6"/>
      <c r="S41" s="6"/>
      <c r="T41" s="156"/>
      <c r="U41" s="6"/>
    </row>
    <row r="42" spans="1:21">
      <c r="A42" s="163" t="s">
        <v>2961</v>
      </c>
      <c r="B42" s="100">
        <v>8.16</v>
      </c>
      <c r="C42" s="100">
        <v>10.33</v>
      </c>
      <c r="D42" s="100">
        <v>10.95</v>
      </c>
      <c r="E42" s="100">
        <v>6.06</v>
      </c>
      <c r="F42" s="100">
        <v>4.53</v>
      </c>
      <c r="G42" s="100">
        <v>28.83</v>
      </c>
      <c r="H42" s="100">
        <v>10.48</v>
      </c>
      <c r="I42" s="100">
        <v>11.49</v>
      </c>
      <c r="J42" s="100">
        <v>5.61</v>
      </c>
      <c r="K42" s="100">
        <v>244.51</v>
      </c>
      <c r="L42" s="100">
        <v>27.25</v>
      </c>
      <c r="M42" s="100">
        <v>70.3</v>
      </c>
      <c r="N42" s="100">
        <v>385.4</v>
      </c>
      <c r="O42" s="100">
        <v>0</v>
      </c>
      <c r="P42" s="100">
        <v>0.53</v>
      </c>
      <c r="Q42" s="100">
        <v>28.99</v>
      </c>
      <c r="R42" s="6"/>
      <c r="S42" s="6"/>
      <c r="T42" s="156"/>
      <c r="U42" s="6"/>
    </row>
    <row r="43" spans="1:21">
      <c r="A43" s="163" t="s">
        <v>2962</v>
      </c>
      <c r="B43" s="100">
        <v>6.98</v>
      </c>
      <c r="C43" s="100">
        <v>10.57</v>
      </c>
      <c r="D43" s="100">
        <v>10.130000000000001</v>
      </c>
      <c r="E43" s="100">
        <v>5.91</v>
      </c>
      <c r="F43" s="100">
        <v>6.89</v>
      </c>
      <c r="G43" s="100">
        <v>28.83</v>
      </c>
      <c r="H43" s="100">
        <v>10.48</v>
      </c>
      <c r="I43" s="100">
        <v>12.14</v>
      </c>
      <c r="J43" s="100">
        <v>4.6900000000000004</v>
      </c>
      <c r="K43" s="100">
        <v>249.57</v>
      </c>
      <c r="L43" s="100">
        <v>28.02</v>
      </c>
      <c r="M43" s="100">
        <v>66.459999999999994</v>
      </c>
      <c r="N43" s="100">
        <v>428.8</v>
      </c>
      <c r="O43" s="100">
        <v>0</v>
      </c>
      <c r="P43" s="100">
        <v>0.54</v>
      </c>
      <c r="Q43" s="100">
        <v>28.93</v>
      </c>
      <c r="R43" s="6"/>
      <c r="S43" s="6"/>
      <c r="T43" s="156"/>
      <c r="U43" s="6"/>
    </row>
    <row r="44" spans="1:21">
      <c r="A44" s="163" t="s">
        <v>2963</v>
      </c>
      <c r="B44" s="100">
        <v>6.38</v>
      </c>
      <c r="C44" s="100">
        <v>10.8</v>
      </c>
      <c r="D44" s="100">
        <v>9.77</v>
      </c>
      <c r="E44" s="100">
        <v>6.41</v>
      </c>
      <c r="F44" s="100">
        <v>7.12</v>
      </c>
      <c r="G44" s="100">
        <v>30.35</v>
      </c>
      <c r="H44" s="100">
        <v>10.95</v>
      </c>
      <c r="I44" s="100">
        <v>12.61</v>
      </c>
      <c r="J44" s="100">
        <v>4.68</v>
      </c>
      <c r="K44" s="100">
        <v>247.3</v>
      </c>
      <c r="L44" s="100">
        <v>28.42</v>
      </c>
      <c r="M44" s="100">
        <v>64.5</v>
      </c>
      <c r="N44" s="100">
        <v>472.2</v>
      </c>
      <c r="O44" s="100">
        <v>0</v>
      </c>
      <c r="P44" s="100">
        <v>0.53</v>
      </c>
      <c r="Q44" s="100">
        <v>28.92</v>
      </c>
      <c r="R44" s="6"/>
      <c r="S44" s="6"/>
      <c r="T44" s="156"/>
      <c r="U44" s="6"/>
    </row>
    <row r="45" spans="1:21">
      <c r="A45" s="163" t="s">
        <v>2964</v>
      </c>
      <c r="B45" s="100">
        <v>5.94</v>
      </c>
      <c r="C45" s="100">
        <v>11.46</v>
      </c>
      <c r="D45" s="100">
        <v>9.75</v>
      </c>
      <c r="E45" s="100">
        <v>6.15</v>
      </c>
      <c r="F45" s="100">
        <v>6.48</v>
      </c>
      <c r="G45" s="100">
        <v>36.44</v>
      </c>
      <c r="H45" s="100">
        <v>12.73</v>
      </c>
      <c r="I45" s="100">
        <v>12.8</v>
      </c>
      <c r="J45" s="100">
        <v>3.82</v>
      </c>
      <c r="K45" s="100">
        <v>248.99</v>
      </c>
      <c r="L45" s="100">
        <v>28.8</v>
      </c>
      <c r="M45" s="100">
        <v>62.32</v>
      </c>
      <c r="N45" s="100">
        <v>390.5</v>
      </c>
      <c r="O45" s="100">
        <v>0</v>
      </c>
      <c r="P45" s="100">
        <v>0.54</v>
      </c>
      <c r="Q45" s="100">
        <v>28.92</v>
      </c>
      <c r="R45" s="6"/>
      <c r="S45" s="6"/>
      <c r="T45" s="156"/>
      <c r="U45" s="6"/>
    </row>
    <row r="46" spans="1:21">
      <c r="A46" s="163" t="s">
        <v>2965</v>
      </c>
      <c r="B46" s="100">
        <v>5.38</v>
      </c>
      <c r="C46" s="100">
        <v>13.35</v>
      </c>
      <c r="D46" s="100">
        <v>10.29</v>
      </c>
      <c r="E46" s="100">
        <v>6.3</v>
      </c>
      <c r="F46" s="100">
        <v>7.23</v>
      </c>
      <c r="G46" s="100">
        <v>36.44</v>
      </c>
      <c r="H46" s="100">
        <v>12.73</v>
      </c>
      <c r="I46" s="100">
        <v>12.73</v>
      </c>
      <c r="J46" s="100">
        <v>1.58</v>
      </c>
      <c r="K46" s="100">
        <v>260</v>
      </c>
      <c r="L46" s="100">
        <v>29.74</v>
      </c>
      <c r="M46" s="100">
        <v>59.46</v>
      </c>
      <c r="N46" s="100">
        <v>285.39999999999998</v>
      </c>
      <c r="O46" s="100">
        <v>0</v>
      </c>
      <c r="P46" s="100">
        <v>0.53</v>
      </c>
      <c r="Q46" s="100">
        <v>28.84</v>
      </c>
      <c r="R46" s="6"/>
      <c r="S46" s="6"/>
      <c r="T46" s="156"/>
      <c r="U46" s="6"/>
    </row>
    <row r="47" spans="1:21">
      <c r="A47" s="163" t="s">
        <v>2966</v>
      </c>
      <c r="B47" s="100">
        <v>5.18</v>
      </c>
      <c r="C47" s="100">
        <v>15.19</v>
      </c>
      <c r="D47" s="100">
        <v>11.1</v>
      </c>
      <c r="E47" s="100">
        <v>6.5</v>
      </c>
      <c r="F47" s="100">
        <v>5.2</v>
      </c>
      <c r="G47" s="100">
        <v>36.44</v>
      </c>
      <c r="H47" s="100">
        <v>12.73</v>
      </c>
      <c r="I47" s="100">
        <v>12.62</v>
      </c>
      <c r="J47" s="100">
        <v>2.98</v>
      </c>
      <c r="K47" s="100">
        <v>254.75</v>
      </c>
      <c r="L47" s="100">
        <v>30.15</v>
      </c>
      <c r="M47" s="100">
        <v>57.27</v>
      </c>
      <c r="N47" s="100">
        <v>463.4</v>
      </c>
      <c r="O47" s="100">
        <v>0</v>
      </c>
      <c r="P47" s="100">
        <v>0.54</v>
      </c>
      <c r="Q47" s="100">
        <v>28.79</v>
      </c>
      <c r="R47" s="6"/>
      <c r="S47" s="6"/>
      <c r="T47" s="156"/>
      <c r="U47" s="6"/>
    </row>
    <row r="48" spans="1:21">
      <c r="A48" s="163" t="s">
        <v>2967</v>
      </c>
      <c r="B48" s="100">
        <v>4.8099999999999996</v>
      </c>
      <c r="C48" s="100">
        <v>14.78</v>
      </c>
      <c r="D48" s="100">
        <v>10.59</v>
      </c>
      <c r="E48" s="100">
        <v>6.5</v>
      </c>
      <c r="F48" s="100">
        <v>5.24</v>
      </c>
      <c r="G48" s="100">
        <v>36.94</v>
      </c>
      <c r="H48" s="100">
        <v>12.46</v>
      </c>
      <c r="I48" s="100">
        <v>12.52</v>
      </c>
      <c r="J48" s="100">
        <v>3.91</v>
      </c>
      <c r="K48" s="100">
        <v>262.06</v>
      </c>
      <c r="L48" s="100">
        <v>30.44</v>
      </c>
      <c r="M48" s="100">
        <v>55.91</v>
      </c>
      <c r="N48" s="100">
        <v>629.20000000000005</v>
      </c>
      <c r="O48" s="100">
        <v>0</v>
      </c>
      <c r="P48" s="100">
        <v>0.54</v>
      </c>
      <c r="Q48" s="100">
        <v>28.87</v>
      </c>
      <c r="R48" s="6"/>
      <c r="S48" s="6"/>
      <c r="T48" s="156"/>
      <c r="U48" s="6"/>
    </row>
    <row r="49" spans="1:21">
      <c r="A49" s="163" t="s">
        <v>2968</v>
      </c>
      <c r="B49" s="100">
        <v>4.37</v>
      </c>
      <c r="C49" s="100">
        <v>13.26</v>
      </c>
      <c r="D49" s="100">
        <v>9.44</v>
      </c>
      <c r="E49" s="100">
        <v>6.26</v>
      </c>
      <c r="F49" s="100">
        <v>9.83</v>
      </c>
      <c r="G49" s="100">
        <v>38.81</v>
      </c>
      <c r="H49" s="100">
        <v>11.42</v>
      </c>
      <c r="I49" s="100">
        <v>12.64</v>
      </c>
      <c r="J49" s="100">
        <v>1.62</v>
      </c>
      <c r="K49" s="100">
        <v>204.75</v>
      </c>
      <c r="L49" s="100">
        <v>31.12</v>
      </c>
      <c r="M49" s="100">
        <v>54.26</v>
      </c>
      <c r="N49" s="100">
        <v>675.7</v>
      </c>
      <c r="O49" s="100">
        <v>0</v>
      </c>
      <c r="P49" s="100">
        <v>0.52</v>
      </c>
      <c r="Q49" s="100">
        <v>28.94</v>
      </c>
      <c r="R49" s="6"/>
      <c r="S49" s="6"/>
      <c r="T49" s="156"/>
      <c r="U49" s="6"/>
    </row>
    <row r="50" spans="1:21">
      <c r="A50" s="163" t="s">
        <v>2969</v>
      </c>
      <c r="B50" s="100">
        <v>3.99</v>
      </c>
      <c r="C50" s="100">
        <v>10.32</v>
      </c>
      <c r="D50" s="100">
        <v>7.6</v>
      </c>
      <c r="E50" s="100">
        <v>6.87</v>
      </c>
      <c r="F50" s="100">
        <v>10.19</v>
      </c>
      <c r="G50" s="100">
        <v>38.81</v>
      </c>
      <c r="H50" s="100">
        <v>11.42</v>
      </c>
      <c r="I50" s="100">
        <v>12.52</v>
      </c>
      <c r="J50" s="100">
        <v>4</v>
      </c>
      <c r="K50" s="100">
        <v>245.72</v>
      </c>
      <c r="L50" s="100">
        <v>31.29</v>
      </c>
      <c r="M50" s="100">
        <v>53.58</v>
      </c>
      <c r="N50" s="100">
        <v>705.6</v>
      </c>
      <c r="O50" s="100">
        <v>0</v>
      </c>
      <c r="P50" s="100">
        <v>0.51</v>
      </c>
      <c r="Q50" s="100">
        <v>29.17</v>
      </c>
      <c r="R50" s="6"/>
      <c r="S50" s="6"/>
      <c r="T50" s="156"/>
      <c r="U50" s="6"/>
    </row>
    <row r="51" spans="1:21">
      <c r="A51" s="163" t="s">
        <v>2970</v>
      </c>
      <c r="B51" s="100">
        <v>3.8</v>
      </c>
      <c r="C51" s="100">
        <v>10.79</v>
      </c>
      <c r="D51" s="100">
        <v>7.69</v>
      </c>
      <c r="E51" s="100">
        <v>6.31</v>
      </c>
      <c r="F51" s="100">
        <v>8.57</v>
      </c>
      <c r="G51" s="100">
        <v>38.81</v>
      </c>
      <c r="H51" s="100">
        <v>11.42</v>
      </c>
      <c r="I51" s="100">
        <v>12.23</v>
      </c>
      <c r="J51" s="100">
        <v>3.24</v>
      </c>
      <c r="K51" s="100">
        <v>231.56</v>
      </c>
      <c r="L51" s="100">
        <v>31.45</v>
      </c>
      <c r="M51" s="100">
        <v>53.11</v>
      </c>
      <c r="N51" s="100">
        <v>712.1</v>
      </c>
      <c r="O51" s="100">
        <v>0</v>
      </c>
      <c r="P51" s="100">
        <v>0.52</v>
      </c>
      <c r="Q51" s="100">
        <v>29.16</v>
      </c>
      <c r="R51" s="6"/>
      <c r="S51" s="6"/>
      <c r="T51" s="156"/>
      <c r="U51" s="6"/>
    </row>
    <row r="52" spans="1:21">
      <c r="A52" s="163" t="s">
        <v>2971</v>
      </c>
      <c r="B52" s="100">
        <v>3.58</v>
      </c>
      <c r="C52" s="100">
        <v>10.7</v>
      </c>
      <c r="D52" s="100">
        <v>7.46</v>
      </c>
      <c r="E52" s="100">
        <v>6.87</v>
      </c>
      <c r="F52" s="100">
        <v>17.52</v>
      </c>
      <c r="G52" s="100">
        <v>39.04</v>
      </c>
      <c r="H52" s="100">
        <v>12.47</v>
      </c>
      <c r="I52" s="100">
        <v>12.13</v>
      </c>
      <c r="J52" s="100">
        <v>2.7</v>
      </c>
      <c r="K52" s="100">
        <v>233.55</v>
      </c>
      <c r="L52" s="100">
        <v>31.77</v>
      </c>
      <c r="M52" s="100">
        <v>52.26</v>
      </c>
      <c r="N52" s="100">
        <v>748.8</v>
      </c>
      <c r="O52" s="100">
        <v>0</v>
      </c>
      <c r="P52" s="100">
        <v>0.5</v>
      </c>
      <c r="Q52" s="100">
        <v>29.2</v>
      </c>
      <c r="R52" s="6"/>
      <c r="S52" s="6"/>
      <c r="T52" s="156"/>
      <c r="U52" s="6"/>
    </row>
    <row r="53" spans="1:21">
      <c r="A53" s="163" t="s">
        <v>2972</v>
      </c>
      <c r="B53" s="100">
        <v>3.21</v>
      </c>
      <c r="C53" s="100">
        <v>9.93</v>
      </c>
      <c r="D53" s="100">
        <v>6.76</v>
      </c>
      <c r="E53" s="100">
        <v>5.98</v>
      </c>
      <c r="F53" s="100">
        <v>21.15</v>
      </c>
      <c r="G53" s="100">
        <v>39.92</v>
      </c>
      <c r="H53" s="100">
        <v>16.39</v>
      </c>
      <c r="I53" s="100">
        <v>12.15</v>
      </c>
      <c r="J53" s="100">
        <v>0.31</v>
      </c>
      <c r="K53" s="100">
        <v>272.64</v>
      </c>
      <c r="L53" s="100">
        <v>32.22</v>
      </c>
      <c r="M53" s="100">
        <v>50.17</v>
      </c>
      <c r="N53" s="100">
        <v>752.2</v>
      </c>
      <c r="O53" s="100">
        <v>0</v>
      </c>
      <c r="P53" s="100">
        <v>0.52</v>
      </c>
      <c r="Q53" s="100">
        <v>29.22</v>
      </c>
      <c r="R53" s="6"/>
      <c r="S53" s="6"/>
      <c r="T53" s="156"/>
      <c r="U53" s="6"/>
    </row>
    <row r="54" spans="1:21">
      <c r="A54" s="163" t="s">
        <v>2973</v>
      </c>
      <c r="B54" s="100">
        <v>3.1</v>
      </c>
      <c r="C54" s="100">
        <v>9.99</v>
      </c>
      <c r="D54" s="100">
        <v>6.71</v>
      </c>
      <c r="E54" s="100">
        <v>7.24</v>
      </c>
      <c r="F54" s="100">
        <v>17.04</v>
      </c>
      <c r="G54" s="100">
        <v>39.92</v>
      </c>
      <c r="H54" s="100">
        <v>16.39</v>
      </c>
      <c r="I54" s="100">
        <v>11.99</v>
      </c>
      <c r="J54" s="100">
        <v>2.3199999999999998</v>
      </c>
      <c r="K54" s="100">
        <v>202.34</v>
      </c>
      <c r="L54" s="100">
        <v>32.82</v>
      </c>
      <c r="M54" s="100">
        <v>48.42</v>
      </c>
      <c r="N54" s="100">
        <v>764.3</v>
      </c>
      <c r="O54" s="100">
        <v>0</v>
      </c>
      <c r="P54" s="100">
        <v>0.55000000000000004</v>
      </c>
      <c r="Q54" s="100">
        <v>29.23</v>
      </c>
      <c r="R54" s="6"/>
      <c r="S54" s="6"/>
      <c r="T54" s="156"/>
      <c r="U54" s="6"/>
    </row>
    <row r="55" spans="1:21">
      <c r="A55" s="163" t="s">
        <v>2974</v>
      </c>
      <c r="B55" s="100">
        <v>2.98</v>
      </c>
      <c r="C55" s="100">
        <v>10.37</v>
      </c>
      <c r="D55" s="100">
        <v>6.81</v>
      </c>
      <c r="E55" s="100">
        <v>7</v>
      </c>
      <c r="F55" s="100">
        <v>14.2</v>
      </c>
      <c r="G55" s="100">
        <v>39.92</v>
      </c>
      <c r="H55" s="100">
        <v>16.39</v>
      </c>
      <c r="I55" s="100">
        <v>11.69</v>
      </c>
      <c r="J55" s="100">
        <v>3.99</v>
      </c>
      <c r="K55" s="100">
        <v>241.44</v>
      </c>
      <c r="L55" s="100">
        <v>32.68</v>
      </c>
      <c r="M55" s="100">
        <v>48.2</v>
      </c>
      <c r="N55" s="100">
        <v>789.9</v>
      </c>
      <c r="O55" s="100">
        <v>0</v>
      </c>
      <c r="P55" s="100">
        <v>0.53</v>
      </c>
      <c r="Q55" s="100">
        <v>29.18</v>
      </c>
      <c r="R55" s="6"/>
      <c r="S55" s="6"/>
      <c r="T55" s="156"/>
      <c r="U55" s="6"/>
    </row>
    <row r="56" spans="1:21">
      <c r="A56" s="163" t="s">
        <v>2975</v>
      </c>
      <c r="B56" s="100">
        <v>2.99</v>
      </c>
      <c r="C56" s="100">
        <v>9.7899999999999991</v>
      </c>
      <c r="D56" s="100">
        <v>6.52</v>
      </c>
      <c r="E56" s="100">
        <v>7.18</v>
      </c>
      <c r="F56" s="100">
        <v>21.46</v>
      </c>
      <c r="G56" s="100">
        <v>39.53</v>
      </c>
      <c r="H56" s="100">
        <v>16.79</v>
      </c>
      <c r="I56" s="100">
        <v>11.51</v>
      </c>
      <c r="J56" s="100">
        <v>3.64</v>
      </c>
      <c r="K56" s="100">
        <v>245.35</v>
      </c>
      <c r="L56" s="100">
        <v>32.9</v>
      </c>
      <c r="M56" s="100">
        <v>47.57</v>
      </c>
      <c r="N56" s="100">
        <v>687.6</v>
      </c>
      <c r="O56" s="100">
        <v>0</v>
      </c>
      <c r="P56" s="100">
        <v>0.53</v>
      </c>
      <c r="Q56" s="100">
        <v>29.24</v>
      </c>
      <c r="R56" s="6"/>
      <c r="S56" s="6"/>
      <c r="T56" s="156"/>
      <c r="U56" s="6"/>
    </row>
    <row r="57" spans="1:21">
      <c r="A57" s="163" t="s">
        <v>2976</v>
      </c>
      <c r="B57" s="100">
        <v>2.74</v>
      </c>
      <c r="C57" s="100">
        <v>10.56</v>
      </c>
      <c r="D57" s="100">
        <v>6.72</v>
      </c>
      <c r="E57" s="100">
        <v>6.99</v>
      </c>
      <c r="F57" s="100">
        <v>23.87</v>
      </c>
      <c r="G57" s="100">
        <v>37.99</v>
      </c>
      <c r="H57" s="100">
        <v>18.28</v>
      </c>
      <c r="I57" s="100">
        <v>11.66</v>
      </c>
      <c r="J57" s="100">
        <v>2.66</v>
      </c>
      <c r="K57" s="100">
        <v>220.41</v>
      </c>
      <c r="L57" s="100">
        <v>33.43</v>
      </c>
      <c r="M57" s="100">
        <v>46.49</v>
      </c>
      <c r="N57" s="100">
        <v>418.2</v>
      </c>
      <c r="O57" s="100">
        <v>0</v>
      </c>
      <c r="P57" s="100">
        <v>0.52</v>
      </c>
      <c r="Q57" s="100">
        <v>29.25</v>
      </c>
      <c r="R57" s="6"/>
      <c r="S57" s="6"/>
      <c r="T57" s="156"/>
      <c r="U57" s="6"/>
    </row>
    <row r="58" spans="1:21">
      <c r="A58" s="163" t="s">
        <v>2977</v>
      </c>
      <c r="B58" s="100">
        <v>2.65</v>
      </c>
      <c r="C58" s="100">
        <v>10.07</v>
      </c>
      <c r="D58" s="100">
        <v>6.39</v>
      </c>
      <c r="E58" s="100">
        <v>7.15</v>
      </c>
      <c r="F58" s="100">
        <v>25.74</v>
      </c>
      <c r="G58" s="100">
        <v>37.99</v>
      </c>
      <c r="H58" s="100">
        <v>18.28</v>
      </c>
      <c r="I58" s="100">
        <v>11.5</v>
      </c>
      <c r="J58" s="100">
        <v>3.79</v>
      </c>
      <c r="K58" s="100">
        <v>241.99</v>
      </c>
      <c r="L58" s="100">
        <v>33.07</v>
      </c>
      <c r="M58" s="100">
        <v>47.04</v>
      </c>
      <c r="N58" s="100">
        <v>531.20000000000005</v>
      </c>
      <c r="O58" s="100">
        <v>0</v>
      </c>
      <c r="P58" s="100">
        <v>0.52</v>
      </c>
      <c r="Q58" s="100">
        <v>29.3</v>
      </c>
      <c r="R58" s="6"/>
      <c r="S58" s="6"/>
      <c r="T58" s="156"/>
      <c r="U58" s="6"/>
    </row>
    <row r="59" spans="1:21">
      <c r="A59" s="163" t="s">
        <v>2978</v>
      </c>
      <c r="B59" s="100">
        <v>2.63</v>
      </c>
      <c r="C59" s="100">
        <v>10.44</v>
      </c>
      <c r="D59" s="100">
        <v>6.57</v>
      </c>
      <c r="E59" s="100">
        <v>6.85</v>
      </c>
      <c r="F59" s="100">
        <v>15.65</v>
      </c>
      <c r="G59" s="100">
        <v>37.99</v>
      </c>
      <c r="H59" s="100">
        <v>18.28</v>
      </c>
      <c r="I59" s="100">
        <v>11.21</v>
      </c>
      <c r="J59" s="100">
        <v>4.12</v>
      </c>
      <c r="K59" s="100">
        <v>236.31</v>
      </c>
      <c r="L59" s="100">
        <v>33.659999999999997</v>
      </c>
      <c r="M59" s="100">
        <v>46.43</v>
      </c>
      <c r="N59" s="100">
        <v>646.70000000000005</v>
      </c>
      <c r="O59" s="100">
        <v>0</v>
      </c>
      <c r="P59" s="100">
        <v>0.55000000000000004</v>
      </c>
      <c r="Q59" s="100">
        <v>29.23</v>
      </c>
      <c r="R59" s="6"/>
      <c r="S59" s="6"/>
      <c r="T59" s="156"/>
      <c r="U59" s="6"/>
    </row>
    <row r="60" spans="1:21">
      <c r="A60" s="163" t="s">
        <v>2979</v>
      </c>
      <c r="B60" s="100">
        <v>2.4300000000000002</v>
      </c>
      <c r="C60" s="100">
        <v>12.62</v>
      </c>
      <c r="D60" s="100">
        <v>7.55</v>
      </c>
      <c r="E60" s="100">
        <v>7.41</v>
      </c>
      <c r="F60" s="100">
        <v>10.9</v>
      </c>
      <c r="G60" s="100">
        <v>38.85</v>
      </c>
      <c r="H60" s="100">
        <v>18.57</v>
      </c>
      <c r="I60" s="100">
        <v>11.42</v>
      </c>
      <c r="J60" s="100">
        <v>4.4000000000000004</v>
      </c>
      <c r="K60" s="100">
        <v>221.26</v>
      </c>
      <c r="L60" s="100">
        <v>33.729999999999997</v>
      </c>
      <c r="M60" s="100">
        <v>45.47</v>
      </c>
      <c r="N60" s="100">
        <v>771.9</v>
      </c>
      <c r="O60" s="100">
        <v>0</v>
      </c>
      <c r="P60" s="100">
        <v>0.55000000000000004</v>
      </c>
      <c r="Q60" s="100">
        <v>29.16</v>
      </c>
      <c r="R60" s="6"/>
      <c r="S60" s="6"/>
      <c r="T60" s="156"/>
      <c r="U60" s="6"/>
    </row>
    <row r="61" spans="1:21">
      <c r="A61" s="163" t="s">
        <v>2980</v>
      </c>
      <c r="B61" s="100">
        <v>2.39</v>
      </c>
      <c r="C61" s="100">
        <v>11.58</v>
      </c>
      <c r="D61" s="100">
        <v>6.97</v>
      </c>
      <c r="E61" s="100">
        <v>7.47</v>
      </c>
      <c r="F61" s="100">
        <v>13.87</v>
      </c>
      <c r="G61" s="100">
        <v>42.08</v>
      </c>
      <c r="H61" s="100">
        <v>19.63</v>
      </c>
      <c r="I61" s="100">
        <v>11.44</v>
      </c>
      <c r="J61" s="100">
        <v>3.8</v>
      </c>
      <c r="K61" s="100">
        <v>235.87</v>
      </c>
      <c r="L61" s="100">
        <v>34.340000000000003</v>
      </c>
      <c r="M61" s="100">
        <v>43.17</v>
      </c>
      <c r="N61" s="100">
        <v>761.7</v>
      </c>
      <c r="O61" s="100">
        <v>0</v>
      </c>
      <c r="P61" s="100">
        <v>0.55000000000000004</v>
      </c>
      <c r="Q61" s="100">
        <v>29.21</v>
      </c>
      <c r="R61" s="6"/>
      <c r="S61" s="6"/>
      <c r="T61" s="156"/>
      <c r="U61" s="6"/>
    </row>
    <row r="62" spans="1:21">
      <c r="A62" s="163" t="s">
        <v>2981</v>
      </c>
      <c r="B62" s="100">
        <v>2.4700000000000002</v>
      </c>
      <c r="C62" s="100">
        <v>10.62</v>
      </c>
      <c r="D62" s="100">
        <v>6.53</v>
      </c>
      <c r="E62" s="100">
        <v>7.82</v>
      </c>
      <c r="F62" s="100">
        <v>17.36</v>
      </c>
      <c r="G62" s="100">
        <v>42.08</v>
      </c>
      <c r="H62" s="100">
        <v>19.63</v>
      </c>
      <c r="I62" s="100">
        <v>11.79</v>
      </c>
      <c r="J62" s="100">
        <v>3.02</v>
      </c>
      <c r="K62" s="100">
        <v>249.09</v>
      </c>
      <c r="L62" s="100">
        <v>34.79</v>
      </c>
      <c r="M62" s="100">
        <v>41.7</v>
      </c>
      <c r="N62" s="100">
        <v>747</v>
      </c>
      <c r="O62" s="100">
        <v>0</v>
      </c>
      <c r="P62" s="100">
        <v>0.55000000000000004</v>
      </c>
      <c r="Q62" s="100">
        <v>29.27</v>
      </c>
      <c r="R62" s="6"/>
      <c r="S62" s="6"/>
      <c r="T62" s="156"/>
      <c r="U62" s="6"/>
    </row>
    <row r="63" spans="1:21">
      <c r="A63" s="163" t="s">
        <v>2982</v>
      </c>
      <c r="B63" s="100">
        <v>2.42</v>
      </c>
      <c r="C63" s="100">
        <v>9.0299999999999994</v>
      </c>
      <c r="D63" s="100">
        <v>5.66</v>
      </c>
      <c r="E63" s="100">
        <v>8.42</v>
      </c>
      <c r="F63" s="100">
        <v>16.63</v>
      </c>
      <c r="G63" s="100">
        <v>42.08</v>
      </c>
      <c r="H63" s="100">
        <v>19.63</v>
      </c>
      <c r="I63" s="100">
        <v>11.89</v>
      </c>
      <c r="J63" s="100">
        <v>3.95</v>
      </c>
      <c r="K63" s="100">
        <v>247.9</v>
      </c>
      <c r="L63" s="100">
        <v>34.9</v>
      </c>
      <c r="M63" s="100">
        <v>42.4</v>
      </c>
      <c r="N63" s="100">
        <v>719.2</v>
      </c>
      <c r="O63" s="100">
        <v>0</v>
      </c>
      <c r="P63" s="100">
        <v>0.56999999999999995</v>
      </c>
      <c r="Q63" s="100">
        <v>29.4</v>
      </c>
      <c r="R63" s="6"/>
      <c r="S63" s="6"/>
      <c r="T63" s="156"/>
      <c r="U63" s="6"/>
    </row>
    <row r="64" spans="1:21">
      <c r="A64" s="163" t="s">
        <v>2983</v>
      </c>
      <c r="B64" s="100">
        <v>2.37</v>
      </c>
      <c r="C64" s="100">
        <v>8.57</v>
      </c>
      <c r="D64" s="100">
        <v>5.38</v>
      </c>
      <c r="E64" s="100">
        <v>8.4700000000000006</v>
      </c>
      <c r="F64" s="100">
        <v>19.47</v>
      </c>
      <c r="G64" s="100">
        <v>42.46</v>
      </c>
      <c r="H64" s="100">
        <v>19.600000000000001</v>
      </c>
      <c r="I64" s="100">
        <v>12.13</v>
      </c>
      <c r="J64" s="100">
        <v>3.16</v>
      </c>
      <c r="K64" s="100">
        <v>258.07</v>
      </c>
      <c r="L64" s="100">
        <v>35.049999999999997</v>
      </c>
      <c r="M64" s="100">
        <v>40.93</v>
      </c>
      <c r="N64" s="100">
        <v>713.4</v>
      </c>
      <c r="O64" s="100">
        <v>0</v>
      </c>
      <c r="P64" s="100">
        <v>0.6</v>
      </c>
      <c r="Q64" s="100">
        <v>29.45</v>
      </c>
      <c r="R64" s="6"/>
      <c r="S64" s="6"/>
      <c r="T64" s="156"/>
      <c r="U64" s="6"/>
    </row>
    <row r="65" spans="1:21">
      <c r="A65" s="163" t="s">
        <v>2984</v>
      </c>
      <c r="B65" s="100">
        <v>2.4</v>
      </c>
      <c r="C65" s="100">
        <v>9.91</v>
      </c>
      <c r="D65" s="100">
        <v>6.11</v>
      </c>
      <c r="E65" s="100">
        <v>8.15</v>
      </c>
      <c r="F65" s="100">
        <v>14.61</v>
      </c>
      <c r="G65" s="100">
        <v>43.91</v>
      </c>
      <c r="H65" s="100">
        <v>19.5</v>
      </c>
      <c r="I65" s="100">
        <v>12.97</v>
      </c>
      <c r="J65" s="100">
        <v>4.51</v>
      </c>
      <c r="K65" s="100">
        <v>229.82</v>
      </c>
      <c r="L65" s="100">
        <v>35.58</v>
      </c>
      <c r="M65" s="100">
        <v>39.35</v>
      </c>
      <c r="N65" s="100">
        <v>688.4</v>
      </c>
      <c r="O65" s="100">
        <v>0</v>
      </c>
      <c r="P65" s="100">
        <v>0.63</v>
      </c>
      <c r="Q65" s="100">
        <v>29.37</v>
      </c>
      <c r="R65" s="6"/>
      <c r="S65" s="6"/>
      <c r="T65" s="156"/>
      <c r="U65" s="6"/>
    </row>
    <row r="66" spans="1:21">
      <c r="A66" s="163" t="s">
        <v>2985</v>
      </c>
      <c r="B66" s="100">
        <v>2.35</v>
      </c>
      <c r="C66" s="100">
        <v>9.93</v>
      </c>
      <c r="D66" s="100">
        <v>6.07</v>
      </c>
      <c r="E66" s="100">
        <v>7.91</v>
      </c>
      <c r="F66" s="100">
        <v>16.77</v>
      </c>
      <c r="G66" s="100">
        <v>43.91</v>
      </c>
      <c r="H66" s="100">
        <v>19.5</v>
      </c>
      <c r="I66" s="100">
        <v>13.59</v>
      </c>
      <c r="J66" s="100">
        <v>5.44</v>
      </c>
      <c r="K66" s="100">
        <v>246.34</v>
      </c>
      <c r="L66" s="100">
        <v>35.04</v>
      </c>
      <c r="M66" s="100">
        <v>41.4</v>
      </c>
      <c r="N66" s="100">
        <v>607.29999999999995</v>
      </c>
      <c r="O66" s="100">
        <v>0</v>
      </c>
      <c r="P66" s="100">
        <v>0.66</v>
      </c>
      <c r="Q66" s="100">
        <v>29.36</v>
      </c>
      <c r="R66" s="6"/>
      <c r="S66" s="6"/>
      <c r="T66" s="156"/>
      <c r="U66" s="6"/>
    </row>
    <row r="67" spans="1:21">
      <c r="A67" s="163" t="s">
        <v>2986</v>
      </c>
      <c r="B67" s="100">
        <v>2.37</v>
      </c>
      <c r="C67" s="100">
        <v>9.9499999999999993</v>
      </c>
      <c r="D67" s="100">
        <v>6.1</v>
      </c>
      <c r="E67" s="100">
        <v>7.82</v>
      </c>
      <c r="F67" s="100">
        <v>15.63</v>
      </c>
      <c r="G67" s="100">
        <v>43.91</v>
      </c>
      <c r="H67" s="100">
        <v>19.5</v>
      </c>
      <c r="I67" s="100">
        <v>13.66</v>
      </c>
      <c r="J67" s="100">
        <v>5.22</v>
      </c>
      <c r="K67" s="100">
        <v>239.41</v>
      </c>
      <c r="L67" s="100">
        <v>35.090000000000003</v>
      </c>
      <c r="M67" s="100">
        <v>41.19</v>
      </c>
      <c r="N67" s="100">
        <v>581.9</v>
      </c>
      <c r="O67" s="100">
        <v>0</v>
      </c>
      <c r="P67" s="100">
        <v>0.71</v>
      </c>
      <c r="Q67" s="100">
        <v>29.33</v>
      </c>
      <c r="R67" s="6"/>
      <c r="S67" s="6"/>
      <c r="T67" s="156"/>
      <c r="U67" s="6"/>
    </row>
    <row r="68" spans="1:21">
      <c r="A68" s="163" t="s">
        <v>2987</v>
      </c>
      <c r="B68" s="100">
        <v>2.39</v>
      </c>
      <c r="C68" s="100">
        <v>9.81</v>
      </c>
      <c r="D68" s="100">
        <v>6.05</v>
      </c>
      <c r="E68" s="100">
        <v>7.63</v>
      </c>
      <c r="F68" s="100">
        <v>20.76</v>
      </c>
      <c r="G68" s="100">
        <v>45.36</v>
      </c>
      <c r="H68" s="100">
        <v>20.43</v>
      </c>
      <c r="I68" s="100">
        <v>14.12</v>
      </c>
      <c r="J68" s="100">
        <v>4.9000000000000004</v>
      </c>
      <c r="K68" s="100">
        <v>241.12</v>
      </c>
      <c r="L68" s="100">
        <v>35.32</v>
      </c>
      <c r="M68" s="100">
        <v>40.11</v>
      </c>
      <c r="N68" s="100">
        <v>555.20000000000005</v>
      </c>
      <c r="O68" s="100">
        <v>0</v>
      </c>
      <c r="P68" s="100">
        <v>0.74</v>
      </c>
      <c r="Q68" s="100">
        <v>29.29</v>
      </c>
      <c r="R68" s="6"/>
      <c r="S68" s="6"/>
      <c r="T68" s="156"/>
      <c r="U68" s="6"/>
    </row>
    <row r="69" spans="1:21">
      <c r="A69" s="163" t="s">
        <v>2988</v>
      </c>
      <c r="B69" s="100">
        <v>2.36</v>
      </c>
      <c r="C69" s="100">
        <v>9.8699999999999992</v>
      </c>
      <c r="D69" s="100">
        <v>6.05</v>
      </c>
      <c r="E69" s="100">
        <v>7.63</v>
      </c>
      <c r="F69" s="100">
        <v>11.62</v>
      </c>
      <c r="G69" s="100">
        <v>50.78</v>
      </c>
      <c r="H69" s="100">
        <v>23.89</v>
      </c>
      <c r="I69" s="100">
        <v>14.85</v>
      </c>
      <c r="J69" s="100">
        <v>5.25</v>
      </c>
      <c r="K69" s="100">
        <v>234.49</v>
      </c>
      <c r="L69" s="100">
        <v>35.299999999999997</v>
      </c>
      <c r="M69" s="100">
        <v>40.08</v>
      </c>
      <c r="N69" s="100">
        <v>502.1</v>
      </c>
      <c r="O69" s="100">
        <v>0</v>
      </c>
      <c r="P69" s="100">
        <v>0.73</v>
      </c>
      <c r="Q69" s="100">
        <v>29.3</v>
      </c>
      <c r="R69" s="6"/>
      <c r="S69" s="6"/>
      <c r="T69" s="156"/>
      <c r="U69" s="6"/>
    </row>
    <row r="70" spans="1:21">
      <c r="A70" s="163" t="s">
        <v>2989</v>
      </c>
      <c r="B70" s="100">
        <v>2.38</v>
      </c>
      <c r="C70" s="100">
        <v>9.3699999999999992</v>
      </c>
      <c r="D70" s="100">
        <v>5.81</v>
      </c>
      <c r="E70" s="100">
        <v>7.68</v>
      </c>
      <c r="F70" s="100">
        <v>11.77</v>
      </c>
      <c r="G70" s="100">
        <v>50.78</v>
      </c>
      <c r="H70" s="100">
        <v>23.89</v>
      </c>
      <c r="I70" s="100">
        <v>14.93</v>
      </c>
      <c r="J70" s="100">
        <v>5.08</v>
      </c>
      <c r="K70" s="100">
        <v>231.63</v>
      </c>
      <c r="L70" s="100">
        <v>35.44</v>
      </c>
      <c r="M70" s="100">
        <v>40.56</v>
      </c>
      <c r="N70" s="100">
        <v>509.9</v>
      </c>
      <c r="O70" s="100">
        <v>0</v>
      </c>
      <c r="P70" s="100">
        <v>0.71</v>
      </c>
      <c r="Q70" s="100">
        <v>29.29</v>
      </c>
      <c r="R70" s="6"/>
      <c r="S70" s="6"/>
      <c r="T70" s="156"/>
      <c r="U70" s="6"/>
    </row>
    <row r="71" spans="1:21">
      <c r="A71" s="163" t="s">
        <v>2990</v>
      </c>
      <c r="B71" s="100">
        <v>2.42</v>
      </c>
      <c r="C71" s="100">
        <v>9.0299999999999994</v>
      </c>
      <c r="D71" s="100">
        <v>5.66</v>
      </c>
      <c r="E71" s="100">
        <v>7.35</v>
      </c>
      <c r="F71" s="100">
        <v>11.71</v>
      </c>
      <c r="G71" s="100">
        <v>50.78</v>
      </c>
      <c r="H71" s="100">
        <v>23.89</v>
      </c>
      <c r="I71" s="100">
        <v>14.72</v>
      </c>
      <c r="J71" s="100">
        <v>5.36</v>
      </c>
      <c r="K71" s="100">
        <v>245.9</v>
      </c>
      <c r="L71" s="100">
        <v>35.32</v>
      </c>
      <c r="M71" s="100">
        <v>40.630000000000003</v>
      </c>
      <c r="N71" s="100">
        <v>440.5</v>
      </c>
      <c r="O71" s="100">
        <v>0</v>
      </c>
      <c r="P71" s="100">
        <v>0.68</v>
      </c>
      <c r="Q71" s="100">
        <v>29.35</v>
      </c>
      <c r="R71" s="6"/>
      <c r="S71" s="6"/>
      <c r="T71" s="156"/>
      <c r="U71" s="6"/>
    </row>
    <row r="72" spans="1:21">
      <c r="A72" s="163" t="s">
        <v>2991</v>
      </c>
      <c r="B72" s="100">
        <v>2.36</v>
      </c>
      <c r="C72" s="100">
        <v>9.3800000000000008</v>
      </c>
      <c r="D72" s="100">
        <v>5.8</v>
      </c>
      <c r="E72" s="100">
        <v>7.2</v>
      </c>
      <c r="F72" s="100">
        <v>10</v>
      </c>
      <c r="G72" s="100">
        <v>49.8</v>
      </c>
      <c r="H72" s="100">
        <v>23.21</v>
      </c>
      <c r="I72" s="100">
        <v>14.11</v>
      </c>
      <c r="J72" s="100">
        <v>5.51</v>
      </c>
      <c r="K72" s="100">
        <v>240.23</v>
      </c>
      <c r="L72" s="100">
        <v>35.06</v>
      </c>
      <c r="M72" s="100">
        <v>41.62</v>
      </c>
      <c r="N72" s="100">
        <v>440.8</v>
      </c>
      <c r="O72" s="100">
        <v>0</v>
      </c>
      <c r="P72" s="100">
        <v>0.67</v>
      </c>
      <c r="Q72" s="100">
        <v>29.31</v>
      </c>
      <c r="R72" s="6"/>
      <c r="S72" s="6"/>
      <c r="T72" s="156"/>
      <c r="U72" s="6"/>
    </row>
    <row r="73" spans="1:21">
      <c r="A73" s="163" t="s">
        <v>2992</v>
      </c>
      <c r="B73" s="100">
        <v>2.37</v>
      </c>
      <c r="C73" s="100">
        <v>10.08</v>
      </c>
      <c r="D73" s="100">
        <v>6.18</v>
      </c>
      <c r="E73" s="100">
        <v>7.78</v>
      </c>
      <c r="F73" s="100">
        <v>15.09</v>
      </c>
      <c r="G73" s="100">
        <v>46.17</v>
      </c>
      <c r="H73" s="100">
        <v>20.68</v>
      </c>
      <c r="I73" s="100">
        <v>13.97</v>
      </c>
      <c r="J73" s="100">
        <v>4.66</v>
      </c>
      <c r="K73" s="100">
        <v>240.97</v>
      </c>
      <c r="L73" s="100">
        <v>34.840000000000003</v>
      </c>
      <c r="M73" s="100">
        <v>42.43</v>
      </c>
      <c r="N73" s="100">
        <v>286.10000000000002</v>
      </c>
      <c r="O73" s="100">
        <v>0</v>
      </c>
      <c r="P73" s="100">
        <v>0.66</v>
      </c>
      <c r="Q73" s="100">
        <v>29.34</v>
      </c>
      <c r="R73" s="6"/>
      <c r="S73" s="6"/>
      <c r="T73" s="156"/>
      <c r="U73" s="6"/>
    </row>
    <row r="74" spans="1:21">
      <c r="A74" s="163" t="s">
        <v>2993</v>
      </c>
      <c r="B74" s="100">
        <v>2.5</v>
      </c>
      <c r="C74" s="100">
        <v>9.34</v>
      </c>
      <c r="D74" s="100">
        <v>5.89</v>
      </c>
      <c r="E74" s="100">
        <v>8.02</v>
      </c>
      <c r="F74" s="100">
        <v>23.34</v>
      </c>
      <c r="G74" s="100">
        <v>46.17</v>
      </c>
      <c r="H74" s="100">
        <v>20.68</v>
      </c>
      <c r="I74" s="100">
        <v>13.83</v>
      </c>
      <c r="J74" s="100">
        <v>4.87</v>
      </c>
      <c r="K74" s="100">
        <v>33.65</v>
      </c>
      <c r="L74" s="100">
        <v>32.119999999999997</v>
      </c>
      <c r="M74" s="100">
        <v>53.02</v>
      </c>
      <c r="N74" s="100">
        <v>63.9</v>
      </c>
      <c r="O74" s="100">
        <v>0</v>
      </c>
      <c r="P74" s="100">
        <v>0.62</v>
      </c>
      <c r="Q74" s="100">
        <v>29.41</v>
      </c>
      <c r="R74" s="6"/>
      <c r="S74" s="6"/>
      <c r="T74" s="156"/>
      <c r="U74" s="6"/>
    </row>
    <row r="75" spans="1:21">
      <c r="A75" s="163" t="s">
        <v>2994</v>
      </c>
      <c r="B75" s="100">
        <v>2.89</v>
      </c>
      <c r="C75" s="100">
        <v>11.27</v>
      </c>
      <c r="D75" s="100">
        <v>7.21</v>
      </c>
      <c r="E75" s="100">
        <v>8.9600000000000009</v>
      </c>
      <c r="F75" s="100">
        <v>17.690000000000001</v>
      </c>
      <c r="G75" s="100">
        <v>46.17</v>
      </c>
      <c r="H75" s="100">
        <v>20.68</v>
      </c>
      <c r="I75" s="100">
        <v>13.55</v>
      </c>
      <c r="J75" s="100">
        <v>4.3600000000000003</v>
      </c>
      <c r="K75" s="100">
        <v>62.34</v>
      </c>
      <c r="L75" s="100">
        <v>29.68</v>
      </c>
      <c r="M75" s="100">
        <v>61.89</v>
      </c>
      <c r="N75" s="100">
        <v>39.299999999999997</v>
      </c>
      <c r="O75" s="100">
        <v>0</v>
      </c>
      <c r="P75" s="100">
        <v>0.63</v>
      </c>
      <c r="Q75" s="100">
        <v>29.29</v>
      </c>
      <c r="R75" s="6"/>
      <c r="S75" s="6"/>
      <c r="T75" s="156"/>
      <c r="U75" s="6"/>
    </row>
    <row r="76" spans="1:21">
      <c r="A76" s="163" t="s">
        <v>2995</v>
      </c>
      <c r="B76" s="100">
        <v>3.11</v>
      </c>
      <c r="C76" s="100">
        <v>10.93</v>
      </c>
      <c r="D76" s="100">
        <v>7.21</v>
      </c>
      <c r="E76" s="100">
        <v>9.51</v>
      </c>
      <c r="F76" s="100">
        <v>14.3</v>
      </c>
      <c r="G76" s="100">
        <v>49.04</v>
      </c>
      <c r="H76" s="100">
        <v>21.79</v>
      </c>
      <c r="I76" s="100">
        <v>13.1</v>
      </c>
      <c r="J76" s="100">
        <v>3.3</v>
      </c>
      <c r="K76" s="100">
        <v>64.63</v>
      </c>
      <c r="L76" s="100">
        <v>27.38</v>
      </c>
      <c r="M76" s="100">
        <v>78.81</v>
      </c>
      <c r="N76" s="100">
        <v>36.700000000000003</v>
      </c>
      <c r="O76" s="100">
        <v>0.2</v>
      </c>
      <c r="P76" s="100">
        <v>0.63</v>
      </c>
      <c r="Q76" s="100">
        <v>29.26</v>
      </c>
      <c r="R76" s="6"/>
      <c r="S76" s="6"/>
      <c r="T76" s="156"/>
      <c r="U76" s="6"/>
    </row>
    <row r="77" spans="1:21">
      <c r="A77" s="163" t="s">
        <v>2996</v>
      </c>
      <c r="B77" s="100">
        <v>3.13</v>
      </c>
      <c r="C77" s="100">
        <v>10.8</v>
      </c>
      <c r="D77" s="100">
        <v>7.16</v>
      </c>
      <c r="E77" s="100">
        <v>5.8</v>
      </c>
      <c r="F77" s="100">
        <v>10.31</v>
      </c>
      <c r="G77" s="100">
        <v>59.76</v>
      </c>
      <c r="H77" s="100">
        <v>25.93</v>
      </c>
      <c r="I77" s="100">
        <v>13</v>
      </c>
      <c r="J77" s="100">
        <v>1.1599999999999999</v>
      </c>
      <c r="K77" s="100">
        <v>68.180000000000007</v>
      </c>
      <c r="L77" s="100">
        <v>26.27</v>
      </c>
      <c r="M77" s="100">
        <v>78.930000000000007</v>
      </c>
      <c r="N77" s="100">
        <v>28</v>
      </c>
      <c r="O77" s="100">
        <v>0.4</v>
      </c>
      <c r="P77" s="100">
        <v>0.6</v>
      </c>
      <c r="Q77" s="100">
        <v>29.17</v>
      </c>
      <c r="R77" s="6"/>
      <c r="S77" s="6"/>
      <c r="T77" s="156"/>
      <c r="U77" s="6"/>
    </row>
    <row r="78" spans="1:21">
      <c r="A78" s="163" t="s">
        <v>2997</v>
      </c>
      <c r="B78" s="100">
        <v>3.14</v>
      </c>
      <c r="C78" s="100">
        <v>11.44</v>
      </c>
      <c r="D78" s="100">
        <v>7.5</v>
      </c>
      <c r="E78" s="100">
        <v>6.65</v>
      </c>
      <c r="F78" s="100">
        <v>5.0599999999999996</v>
      </c>
      <c r="G78" s="100">
        <v>59.76</v>
      </c>
      <c r="H78" s="100">
        <v>25.93</v>
      </c>
      <c r="I78" s="100">
        <v>13.07</v>
      </c>
      <c r="J78" s="100">
        <v>5.58</v>
      </c>
      <c r="K78" s="100">
        <v>230</v>
      </c>
      <c r="L78" s="100">
        <v>24.01</v>
      </c>
      <c r="M78" s="100">
        <v>86.87</v>
      </c>
      <c r="N78" s="100">
        <v>29.2</v>
      </c>
      <c r="O78" s="100">
        <v>2.6</v>
      </c>
      <c r="P78" s="100">
        <v>0.61</v>
      </c>
      <c r="Q78" s="100">
        <v>29.14</v>
      </c>
      <c r="R78" s="6"/>
      <c r="S78" s="6"/>
      <c r="T78" s="156"/>
      <c r="U78" s="6"/>
    </row>
    <row r="79" spans="1:21">
      <c r="A79" s="163" t="s">
        <v>2998</v>
      </c>
      <c r="B79" s="100">
        <v>2.87</v>
      </c>
      <c r="C79" s="100">
        <v>12.17</v>
      </c>
      <c r="D79" s="100">
        <v>7.67</v>
      </c>
      <c r="E79" s="100">
        <v>6.23</v>
      </c>
      <c r="F79" s="100">
        <v>7.34</v>
      </c>
      <c r="G79" s="100">
        <v>59.76</v>
      </c>
      <c r="H79" s="100">
        <v>25.93</v>
      </c>
      <c r="I79" s="100">
        <v>12.72</v>
      </c>
      <c r="J79" s="100">
        <v>5.99</v>
      </c>
      <c r="K79" s="100">
        <v>239.41</v>
      </c>
      <c r="L79" s="100">
        <v>22.7</v>
      </c>
      <c r="M79" s="100">
        <v>90.39</v>
      </c>
      <c r="N79" s="100">
        <v>26</v>
      </c>
      <c r="O79" s="100">
        <v>1.4</v>
      </c>
      <c r="P79" s="100">
        <v>0.57999999999999996</v>
      </c>
      <c r="Q79" s="100">
        <v>29.14</v>
      </c>
      <c r="R79" s="6"/>
      <c r="S79" s="6"/>
      <c r="T79" s="156"/>
      <c r="U79" s="6"/>
    </row>
    <row r="80" spans="1:21">
      <c r="A80" s="163" t="s">
        <v>2999</v>
      </c>
      <c r="B80" s="100">
        <v>2.58</v>
      </c>
      <c r="C80" s="100">
        <v>12.32</v>
      </c>
      <c r="D80" s="100">
        <v>7.51</v>
      </c>
      <c r="E80" s="100">
        <v>6.06</v>
      </c>
      <c r="F80" s="100">
        <v>6.03</v>
      </c>
      <c r="G80" s="100">
        <v>54.82</v>
      </c>
      <c r="H80" s="100">
        <v>24.65</v>
      </c>
      <c r="I80" s="100">
        <v>12.91</v>
      </c>
      <c r="J80" s="100">
        <v>5.66</v>
      </c>
      <c r="K80" s="100">
        <v>237.49</v>
      </c>
      <c r="L80" s="100">
        <v>22.68</v>
      </c>
      <c r="M80" s="100">
        <v>93.5</v>
      </c>
      <c r="N80" s="100">
        <v>24.6</v>
      </c>
      <c r="O80" s="100">
        <v>0.4</v>
      </c>
      <c r="P80" s="100">
        <v>0.54</v>
      </c>
      <c r="Q80" s="100">
        <v>29.15</v>
      </c>
      <c r="R80" s="6"/>
      <c r="S80" s="6"/>
      <c r="T80" s="156"/>
      <c r="U80" s="6"/>
    </row>
    <row r="81" spans="1:21">
      <c r="A81" s="163" t="s">
        <v>3000</v>
      </c>
      <c r="B81" s="100">
        <v>2.5</v>
      </c>
      <c r="C81" s="100">
        <v>12.05</v>
      </c>
      <c r="D81" s="100">
        <v>7.31</v>
      </c>
      <c r="E81" s="100">
        <v>5.82</v>
      </c>
      <c r="F81" s="100">
        <v>6.46</v>
      </c>
      <c r="G81" s="100">
        <v>36.35</v>
      </c>
      <c r="H81" s="100">
        <v>19.84</v>
      </c>
      <c r="I81" s="100">
        <v>12.47</v>
      </c>
      <c r="J81" s="100">
        <v>4.46</v>
      </c>
      <c r="K81" s="100">
        <v>235.31</v>
      </c>
      <c r="L81" s="100">
        <v>23.22</v>
      </c>
      <c r="M81" s="100">
        <v>85.87</v>
      </c>
      <c r="N81" s="100">
        <v>24.3</v>
      </c>
      <c r="O81" s="100">
        <v>0</v>
      </c>
      <c r="P81" s="100">
        <v>0.53</v>
      </c>
      <c r="Q81" s="100">
        <v>29.17</v>
      </c>
      <c r="R81" s="6"/>
      <c r="S81" s="6"/>
      <c r="T81" s="156"/>
      <c r="U81" s="6"/>
    </row>
    <row r="82" spans="1:21">
      <c r="A82" s="163" t="s">
        <v>3001</v>
      </c>
      <c r="B82" s="100">
        <v>2.5099999999999998</v>
      </c>
      <c r="C82" s="100">
        <v>11.99</v>
      </c>
      <c r="D82" s="100">
        <v>7.28</v>
      </c>
      <c r="E82" s="100">
        <v>5.44</v>
      </c>
      <c r="F82" s="100">
        <v>6.02</v>
      </c>
      <c r="G82" s="100">
        <v>36.35</v>
      </c>
      <c r="H82" s="100">
        <v>19.84</v>
      </c>
      <c r="I82" s="100">
        <v>11.93</v>
      </c>
      <c r="J82" s="100">
        <v>3.94</v>
      </c>
      <c r="K82" s="100">
        <v>226.58</v>
      </c>
      <c r="L82" s="100">
        <v>23.64</v>
      </c>
      <c r="M82" s="100">
        <v>81.66</v>
      </c>
      <c r="N82" s="100">
        <v>25</v>
      </c>
      <c r="O82" s="100">
        <v>0</v>
      </c>
      <c r="P82" s="100">
        <v>0.52</v>
      </c>
      <c r="Q82" s="100">
        <v>29.21</v>
      </c>
      <c r="R82" s="6"/>
      <c r="S82" s="6"/>
      <c r="T82" s="156"/>
      <c r="U82" s="6"/>
    </row>
    <row r="83" spans="1:21">
      <c r="A83" s="163" t="s">
        <v>3002</v>
      </c>
      <c r="B83" s="100">
        <v>2.67</v>
      </c>
      <c r="C83" s="100">
        <v>11.62</v>
      </c>
      <c r="D83" s="100">
        <v>7.22</v>
      </c>
      <c r="E83" s="100">
        <v>5.36</v>
      </c>
      <c r="F83" s="100">
        <v>8.67</v>
      </c>
      <c r="G83" s="100">
        <v>36.35</v>
      </c>
      <c r="H83" s="100">
        <v>19.84</v>
      </c>
      <c r="I83" s="100">
        <v>11.52</v>
      </c>
      <c r="J83" s="100">
        <v>2.08</v>
      </c>
      <c r="K83" s="100">
        <v>208.94</v>
      </c>
      <c r="L83" s="100">
        <v>24.43</v>
      </c>
      <c r="M83" s="100">
        <v>75.099999999999994</v>
      </c>
      <c r="N83" s="100">
        <v>25.8</v>
      </c>
      <c r="O83" s="100">
        <v>0</v>
      </c>
      <c r="P83" s="100">
        <v>0.49</v>
      </c>
      <c r="Q83" s="100">
        <v>29.23</v>
      </c>
      <c r="R83" s="6"/>
      <c r="S83" s="6"/>
      <c r="T83" s="156"/>
      <c r="U83" s="6"/>
    </row>
    <row r="84" spans="1:21">
      <c r="A84" s="163" t="s">
        <v>3003</v>
      </c>
      <c r="B84" s="100">
        <v>3.06</v>
      </c>
      <c r="C84" s="100">
        <v>12.32</v>
      </c>
      <c r="D84" s="100">
        <v>7.9</v>
      </c>
      <c r="E84" s="100">
        <v>5.29</v>
      </c>
      <c r="F84" s="100">
        <v>7.24</v>
      </c>
      <c r="G84" s="100">
        <v>33.17</v>
      </c>
      <c r="H84" s="100">
        <v>18.59</v>
      </c>
      <c r="I84" s="100">
        <v>11.17</v>
      </c>
      <c r="J84" s="100">
        <v>2.69</v>
      </c>
      <c r="K84" s="100">
        <v>107.46</v>
      </c>
      <c r="L84" s="100">
        <v>24.1</v>
      </c>
      <c r="M84" s="100">
        <v>80.319999999999993</v>
      </c>
      <c r="N84" s="100">
        <v>24.8</v>
      </c>
      <c r="O84" s="100">
        <v>0</v>
      </c>
      <c r="P84" s="100">
        <v>0.55000000000000004</v>
      </c>
      <c r="Q84" s="100">
        <v>29.16</v>
      </c>
      <c r="R84" s="6"/>
      <c r="S84" s="6"/>
      <c r="T84" s="156"/>
      <c r="U84" s="6"/>
    </row>
    <row r="85" spans="1:21">
      <c r="A85" s="163" t="s">
        <v>3004</v>
      </c>
      <c r="B85" s="100">
        <v>3.34</v>
      </c>
      <c r="C85" s="100">
        <v>13.56</v>
      </c>
      <c r="D85" s="100">
        <v>8.77</v>
      </c>
      <c r="E85" s="100">
        <v>5.21</v>
      </c>
      <c r="F85" s="100">
        <v>6.36</v>
      </c>
      <c r="G85" s="100">
        <v>21.29</v>
      </c>
      <c r="H85" s="100">
        <v>13.89</v>
      </c>
      <c r="I85" s="100">
        <v>10.93</v>
      </c>
      <c r="J85" s="100">
        <v>2.04</v>
      </c>
      <c r="K85" s="100">
        <v>246.11</v>
      </c>
      <c r="L85" s="100">
        <v>24.42</v>
      </c>
      <c r="M85" s="100">
        <v>79.040000000000006</v>
      </c>
      <c r="N85" s="100">
        <v>24.3</v>
      </c>
      <c r="O85" s="100">
        <v>0</v>
      </c>
      <c r="P85" s="100">
        <v>0.55000000000000004</v>
      </c>
      <c r="Q85" s="100">
        <v>29.06</v>
      </c>
      <c r="R85" s="6"/>
      <c r="S85" s="6"/>
      <c r="T85" s="156"/>
      <c r="U85" s="6"/>
    </row>
    <row r="86" spans="1:21">
      <c r="A86" s="163" t="s">
        <v>3005</v>
      </c>
      <c r="B86" s="100">
        <v>3.36</v>
      </c>
      <c r="C86" s="100">
        <v>13.07</v>
      </c>
      <c r="D86" s="100">
        <v>8.5299999999999994</v>
      </c>
      <c r="E86" s="100">
        <v>4.67</v>
      </c>
      <c r="F86" s="100">
        <v>4.03</v>
      </c>
      <c r="G86" s="100">
        <v>21.29</v>
      </c>
      <c r="H86" s="100">
        <v>13.89</v>
      </c>
      <c r="I86" s="100">
        <v>11.11</v>
      </c>
      <c r="J86" s="100">
        <v>4.74</v>
      </c>
      <c r="K86" s="100">
        <v>227.82</v>
      </c>
      <c r="L86" s="100">
        <v>24.84</v>
      </c>
      <c r="M86" s="100">
        <v>75</v>
      </c>
      <c r="N86" s="100">
        <v>25.3</v>
      </c>
      <c r="O86" s="100">
        <v>0</v>
      </c>
      <c r="P86" s="100">
        <v>0.54</v>
      </c>
      <c r="Q86" s="100">
        <v>29.05</v>
      </c>
      <c r="R86" s="6"/>
      <c r="S86" s="6"/>
      <c r="T86" s="156"/>
      <c r="U86" s="6"/>
    </row>
    <row r="87" spans="1:21">
      <c r="A87" s="163" t="s">
        <v>3006</v>
      </c>
      <c r="B87" s="100">
        <v>3.43</v>
      </c>
      <c r="C87" s="100">
        <v>12.96</v>
      </c>
      <c r="D87" s="100">
        <v>8.52</v>
      </c>
      <c r="E87" s="100">
        <v>5.24</v>
      </c>
      <c r="F87" s="100">
        <v>3.41</v>
      </c>
      <c r="G87" s="100">
        <v>21.29</v>
      </c>
      <c r="H87" s="100">
        <v>13.89</v>
      </c>
      <c r="I87" s="100">
        <v>11.15</v>
      </c>
      <c r="J87" s="100">
        <v>3.86</v>
      </c>
      <c r="K87" s="100">
        <v>181.26</v>
      </c>
      <c r="L87" s="100">
        <v>24.67</v>
      </c>
      <c r="M87" s="100">
        <v>77.48</v>
      </c>
      <c r="N87" s="100">
        <v>25</v>
      </c>
      <c r="O87" s="100">
        <v>0</v>
      </c>
      <c r="P87" s="100">
        <v>0.53</v>
      </c>
      <c r="Q87" s="100">
        <v>29.1</v>
      </c>
      <c r="R87" s="6"/>
      <c r="S87" s="6"/>
      <c r="T87" s="156"/>
      <c r="U87" s="6"/>
    </row>
    <row r="88" spans="1:21">
      <c r="A88" s="163" t="s">
        <v>3007</v>
      </c>
      <c r="B88" s="100">
        <v>3.49</v>
      </c>
      <c r="C88" s="100">
        <v>11.45</v>
      </c>
      <c r="D88" s="100">
        <v>7.78</v>
      </c>
      <c r="E88" s="100">
        <v>5.34</v>
      </c>
      <c r="F88" s="100">
        <v>3.21</v>
      </c>
      <c r="G88" s="100">
        <v>21.38</v>
      </c>
      <c r="H88" s="100">
        <v>13.48</v>
      </c>
      <c r="I88" s="100">
        <v>11.02</v>
      </c>
      <c r="J88" s="100">
        <v>3.94</v>
      </c>
      <c r="K88" s="100">
        <v>204.99</v>
      </c>
      <c r="L88" s="100">
        <v>24.68</v>
      </c>
      <c r="M88" s="100">
        <v>79.510000000000005</v>
      </c>
      <c r="N88" s="100">
        <v>24.2</v>
      </c>
      <c r="O88" s="100">
        <v>0</v>
      </c>
      <c r="P88" s="100">
        <v>0.52</v>
      </c>
      <c r="Q88" s="100">
        <v>29.17</v>
      </c>
      <c r="R88" s="6"/>
      <c r="S88" s="6"/>
      <c r="T88" s="156"/>
      <c r="U88" s="6"/>
    </row>
    <row r="89" spans="1:21">
      <c r="A89" s="163" t="s">
        <v>3008</v>
      </c>
      <c r="B89" s="100">
        <v>3.71</v>
      </c>
      <c r="C89" s="100">
        <v>10.17</v>
      </c>
      <c r="D89" s="100">
        <v>7.3</v>
      </c>
      <c r="E89" s="100">
        <v>5.53</v>
      </c>
      <c r="F89" s="100">
        <v>3.13</v>
      </c>
      <c r="G89" s="100">
        <v>21.75</v>
      </c>
      <c r="H89" s="100">
        <v>11.95</v>
      </c>
      <c r="I89" s="100">
        <v>10.93</v>
      </c>
      <c r="J89" s="100">
        <v>4.1399999999999997</v>
      </c>
      <c r="K89" s="100">
        <v>220</v>
      </c>
      <c r="L89" s="100">
        <v>24.7</v>
      </c>
      <c r="M89" s="100">
        <v>81.84</v>
      </c>
      <c r="N89" s="100">
        <v>23.1</v>
      </c>
      <c r="O89" s="100">
        <v>0</v>
      </c>
      <c r="P89" s="100">
        <v>0.51</v>
      </c>
      <c r="Q89" s="100">
        <v>29.17</v>
      </c>
      <c r="R89" s="6"/>
      <c r="S89" s="6"/>
      <c r="T89" s="156"/>
      <c r="U89" s="6"/>
    </row>
    <row r="90" spans="1:21">
      <c r="A90" s="163" t="s">
        <v>3009</v>
      </c>
      <c r="B90" s="100">
        <v>3.88</v>
      </c>
      <c r="C90" s="100">
        <v>8.5299999999999994</v>
      </c>
      <c r="D90" s="100">
        <v>6.57</v>
      </c>
      <c r="E90" s="100">
        <v>5.69</v>
      </c>
      <c r="F90" s="100">
        <v>3.62</v>
      </c>
      <c r="G90" s="100">
        <v>21.75</v>
      </c>
      <c r="H90" s="100">
        <v>11.95</v>
      </c>
      <c r="I90" s="100">
        <v>10.87</v>
      </c>
      <c r="J90" s="100">
        <v>3.97</v>
      </c>
      <c r="K90" s="100">
        <v>207.99</v>
      </c>
      <c r="L90" s="100">
        <v>24.92</v>
      </c>
      <c r="M90" s="100">
        <v>82.5</v>
      </c>
      <c r="N90" s="100">
        <v>23.5</v>
      </c>
      <c r="O90" s="100">
        <v>0</v>
      </c>
      <c r="P90" s="100">
        <v>0.5</v>
      </c>
      <c r="Q90" s="100">
        <v>29.38</v>
      </c>
      <c r="R90" s="6"/>
      <c r="S90" s="6"/>
      <c r="T90" s="156"/>
      <c r="U90" s="6"/>
    </row>
    <row r="91" spans="1:21">
      <c r="A91" s="163" t="s">
        <v>3010</v>
      </c>
      <c r="B91" s="100">
        <v>3.96</v>
      </c>
      <c r="C91" s="100">
        <v>8.34</v>
      </c>
      <c r="D91" s="100">
        <v>6.54</v>
      </c>
      <c r="E91" s="100">
        <v>4.87</v>
      </c>
      <c r="F91" s="100">
        <v>3.65</v>
      </c>
      <c r="G91" s="100">
        <v>21.75</v>
      </c>
      <c r="H91" s="100">
        <v>11.95</v>
      </c>
      <c r="I91" s="100">
        <v>10.83</v>
      </c>
      <c r="J91" s="100">
        <v>3.91</v>
      </c>
      <c r="K91" s="100">
        <v>209.57</v>
      </c>
      <c r="L91" s="100">
        <v>24.94</v>
      </c>
      <c r="M91" s="100">
        <v>83.11</v>
      </c>
      <c r="N91" s="100">
        <v>23.4</v>
      </c>
      <c r="O91" s="100">
        <v>0</v>
      </c>
      <c r="P91" s="100">
        <v>0.5</v>
      </c>
      <c r="Q91" s="100">
        <v>29.35</v>
      </c>
      <c r="R91" s="6"/>
      <c r="S91" s="6"/>
      <c r="T91" s="156"/>
      <c r="U91" s="6"/>
    </row>
    <row r="92" spans="1:21">
      <c r="A92" s="163" t="s">
        <v>3011</v>
      </c>
      <c r="B92" s="100">
        <v>4.05</v>
      </c>
      <c r="C92" s="100">
        <v>8.59</v>
      </c>
      <c r="D92" s="100">
        <v>6.74</v>
      </c>
      <c r="E92" s="100">
        <v>5.19</v>
      </c>
      <c r="F92" s="100">
        <v>5.01</v>
      </c>
      <c r="G92" s="100">
        <v>22.63</v>
      </c>
      <c r="H92" s="100">
        <v>12.2</v>
      </c>
      <c r="I92" s="100">
        <v>10.86</v>
      </c>
      <c r="J92" s="100">
        <v>3.84</v>
      </c>
      <c r="K92" s="100">
        <v>190.51</v>
      </c>
      <c r="L92" s="100">
        <v>25</v>
      </c>
      <c r="M92" s="100">
        <v>82.42</v>
      </c>
      <c r="N92" s="100">
        <v>23.7</v>
      </c>
      <c r="O92" s="100">
        <v>0</v>
      </c>
      <c r="P92" s="100">
        <v>0.49</v>
      </c>
      <c r="Q92" s="100">
        <v>29.28</v>
      </c>
      <c r="R92" s="6"/>
      <c r="S92" s="6"/>
      <c r="T92" s="156"/>
      <c r="U92" s="6"/>
    </row>
    <row r="93" spans="1:21">
      <c r="A93" s="163" t="s">
        <v>3012</v>
      </c>
      <c r="B93" s="100">
        <v>3.87</v>
      </c>
      <c r="C93" s="100">
        <v>8.81</v>
      </c>
      <c r="D93" s="100">
        <v>6.71</v>
      </c>
      <c r="E93" s="100">
        <v>5.03</v>
      </c>
      <c r="F93" s="100">
        <v>9.2100000000000009</v>
      </c>
      <c r="G93" s="100">
        <v>25.93</v>
      </c>
      <c r="H93" s="100">
        <v>13.13</v>
      </c>
      <c r="I93" s="100">
        <v>10.71</v>
      </c>
      <c r="J93" s="100">
        <v>3.25</v>
      </c>
      <c r="K93" s="100">
        <v>198.3</v>
      </c>
      <c r="L93" s="100">
        <v>25.14</v>
      </c>
      <c r="M93" s="100">
        <v>81.39</v>
      </c>
      <c r="N93" s="100">
        <v>23.3</v>
      </c>
      <c r="O93" s="100">
        <v>0</v>
      </c>
      <c r="P93" s="100">
        <v>0.48</v>
      </c>
      <c r="Q93" s="100">
        <v>29.27</v>
      </c>
      <c r="R93" s="6"/>
      <c r="S93" s="6"/>
      <c r="T93" s="156"/>
      <c r="U93" s="6"/>
    </row>
    <row r="94" spans="1:21">
      <c r="A94" s="163" t="s">
        <v>3013</v>
      </c>
      <c r="B94" s="100">
        <v>3.76</v>
      </c>
      <c r="C94" s="100">
        <v>9.39</v>
      </c>
      <c r="D94" s="100">
        <v>6.93</v>
      </c>
      <c r="E94" s="100">
        <v>5.17</v>
      </c>
      <c r="F94" s="100">
        <v>7.43</v>
      </c>
      <c r="G94" s="100">
        <v>25.93</v>
      </c>
      <c r="H94" s="100">
        <v>13.13</v>
      </c>
      <c r="I94" s="100">
        <v>10.38</v>
      </c>
      <c r="J94" s="100">
        <v>3.58</v>
      </c>
      <c r="K94" s="100">
        <v>210.63</v>
      </c>
      <c r="L94" s="100">
        <v>25.37</v>
      </c>
      <c r="M94" s="100">
        <v>79.66</v>
      </c>
      <c r="N94" s="100">
        <v>23.2</v>
      </c>
      <c r="O94" s="100">
        <v>0</v>
      </c>
      <c r="P94" s="100">
        <v>0.49</v>
      </c>
      <c r="Q94" s="100">
        <v>29.23</v>
      </c>
      <c r="R94" s="6"/>
      <c r="S94" s="6"/>
      <c r="T94" s="156"/>
      <c r="U94" s="6"/>
    </row>
    <row r="95" spans="1:21">
      <c r="A95" s="163" t="s">
        <v>3014</v>
      </c>
      <c r="B95" s="100">
        <v>3.72</v>
      </c>
      <c r="C95" s="100">
        <v>9.65</v>
      </c>
      <c r="D95" s="100">
        <v>7.03</v>
      </c>
      <c r="E95" s="100">
        <v>5.37</v>
      </c>
      <c r="F95" s="100">
        <v>7.14</v>
      </c>
      <c r="G95" s="100">
        <v>25.93</v>
      </c>
      <c r="H95" s="100">
        <v>13.13</v>
      </c>
      <c r="I95" s="100">
        <v>10.039999999999999</v>
      </c>
      <c r="J95" s="100">
        <v>3.95</v>
      </c>
      <c r="K95" s="100">
        <v>214.16</v>
      </c>
      <c r="L95" s="100">
        <v>25.58</v>
      </c>
      <c r="M95" s="100">
        <v>77.760000000000005</v>
      </c>
      <c r="N95" s="100">
        <v>23.3</v>
      </c>
      <c r="O95" s="100">
        <v>0</v>
      </c>
      <c r="P95" s="100">
        <v>0.49</v>
      </c>
      <c r="Q95" s="100">
        <v>29.21</v>
      </c>
      <c r="R95" s="6"/>
      <c r="S95" s="6"/>
      <c r="T95" s="156"/>
      <c r="U95" s="6"/>
    </row>
    <row r="96" spans="1:21">
      <c r="A96" s="163" t="s">
        <v>3015</v>
      </c>
      <c r="B96" s="100">
        <v>3.54</v>
      </c>
      <c r="C96" s="100">
        <v>9.7100000000000009</v>
      </c>
      <c r="D96" s="100">
        <v>6.92</v>
      </c>
      <c r="E96" s="100">
        <v>5.28</v>
      </c>
      <c r="F96" s="100">
        <v>8.32</v>
      </c>
      <c r="G96" s="100">
        <v>25.47</v>
      </c>
      <c r="H96" s="100">
        <v>13.22</v>
      </c>
      <c r="I96" s="100">
        <v>10.02</v>
      </c>
      <c r="J96" s="100">
        <v>3.01</v>
      </c>
      <c r="K96" s="100">
        <v>188.99</v>
      </c>
      <c r="L96" s="100">
        <v>25.59</v>
      </c>
      <c r="M96" s="100">
        <v>78.63</v>
      </c>
      <c r="N96" s="100">
        <v>23.5</v>
      </c>
      <c r="O96" s="100">
        <v>0</v>
      </c>
      <c r="P96" s="100">
        <v>0.47</v>
      </c>
      <c r="Q96" s="100">
        <v>29.19</v>
      </c>
      <c r="R96" s="6"/>
      <c r="S96" s="6"/>
      <c r="T96" s="156"/>
      <c r="U96" s="6"/>
    </row>
    <row r="97" spans="1:21">
      <c r="A97" s="163" t="s">
        <v>3016</v>
      </c>
      <c r="B97" s="100">
        <v>3.55</v>
      </c>
      <c r="C97" s="100">
        <v>9.94</v>
      </c>
      <c r="D97" s="100">
        <v>7.05</v>
      </c>
      <c r="E97" s="100">
        <v>5.34</v>
      </c>
      <c r="F97" s="100">
        <v>8.32</v>
      </c>
      <c r="G97" s="100">
        <v>23.72</v>
      </c>
      <c r="H97" s="100">
        <v>13.55</v>
      </c>
      <c r="I97" s="100">
        <v>9.8800000000000008</v>
      </c>
      <c r="J97" s="100">
        <v>2.7</v>
      </c>
      <c r="K97" s="100">
        <v>220.46</v>
      </c>
      <c r="L97" s="100">
        <v>25.7</v>
      </c>
      <c r="M97" s="100">
        <v>78.760000000000005</v>
      </c>
      <c r="N97" s="100">
        <v>23.3</v>
      </c>
      <c r="O97" s="100">
        <v>0</v>
      </c>
      <c r="P97" s="100">
        <v>0.47</v>
      </c>
      <c r="Q97" s="100">
        <v>29.15</v>
      </c>
      <c r="R97" s="6"/>
      <c r="S97" s="6"/>
      <c r="T97" s="156"/>
      <c r="U97" s="6"/>
    </row>
    <row r="98" spans="1:21">
      <c r="A98" s="163" t="s">
        <v>3017</v>
      </c>
      <c r="B98" s="100">
        <v>3.67</v>
      </c>
      <c r="C98" s="100">
        <v>10.119999999999999</v>
      </c>
      <c r="D98" s="100">
        <v>7.24</v>
      </c>
      <c r="E98" s="100">
        <v>4.91</v>
      </c>
      <c r="F98" s="100">
        <v>5.99</v>
      </c>
      <c r="G98" s="100">
        <v>23.72</v>
      </c>
      <c r="H98" s="100">
        <v>13.55</v>
      </c>
      <c r="I98" s="100">
        <v>9.59</v>
      </c>
      <c r="J98" s="100">
        <v>3.99</v>
      </c>
      <c r="K98" s="100">
        <v>232.9</v>
      </c>
      <c r="L98" s="100">
        <v>25.79</v>
      </c>
      <c r="M98" s="100">
        <v>77.98</v>
      </c>
      <c r="N98" s="100">
        <v>23.2</v>
      </c>
      <c r="O98" s="100">
        <v>0</v>
      </c>
      <c r="P98" s="100">
        <v>0.47</v>
      </c>
      <c r="Q98" s="100">
        <v>29.17</v>
      </c>
      <c r="R98" s="6"/>
      <c r="S98" s="6"/>
      <c r="T98" s="156"/>
      <c r="U98" s="6"/>
    </row>
    <row r="99" spans="1:21">
      <c r="A99" s="163" t="s">
        <v>3018</v>
      </c>
      <c r="B99" s="100">
        <v>3.71</v>
      </c>
      <c r="C99" s="100">
        <v>11.47</v>
      </c>
      <c r="D99" s="100">
        <v>7.98</v>
      </c>
      <c r="E99" s="100">
        <v>5.2</v>
      </c>
      <c r="F99" s="100">
        <v>3.42</v>
      </c>
      <c r="G99" s="100">
        <v>23.72</v>
      </c>
      <c r="H99" s="100">
        <v>13.55</v>
      </c>
      <c r="I99" s="100">
        <v>9.4700000000000006</v>
      </c>
      <c r="J99" s="100">
        <v>2.33</v>
      </c>
      <c r="K99" s="100">
        <v>287.31</v>
      </c>
      <c r="L99" s="100">
        <v>25.67</v>
      </c>
      <c r="M99" s="100">
        <v>79.459999999999994</v>
      </c>
      <c r="N99" s="100">
        <v>23.6</v>
      </c>
      <c r="O99" s="100">
        <v>0</v>
      </c>
      <c r="P99" s="100">
        <v>0.49</v>
      </c>
      <c r="Q99" s="100">
        <v>29.12</v>
      </c>
      <c r="R99" s="6"/>
      <c r="S99" s="6"/>
      <c r="T99" s="156"/>
      <c r="U99" s="6"/>
    </row>
    <row r="100" spans="1:21">
      <c r="A100" s="163" t="s">
        <v>3019</v>
      </c>
      <c r="B100" s="100">
        <v>3.96</v>
      </c>
      <c r="C100" s="100">
        <v>12.97</v>
      </c>
      <c r="D100" s="100">
        <v>8.9600000000000009</v>
      </c>
      <c r="E100" s="100">
        <v>5.16</v>
      </c>
      <c r="F100" s="100">
        <v>5.54</v>
      </c>
      <c r="G100" s="100">
        <v>23.92</v>
      </c>
      <c r="H100" s="100">
        <v>13.85</v>
      </c>
      <c r="I100" s="100">
        <v>9.59</v>
      </c>
      <c r="J100" s="100">
        <v>3.07</v>
      </c>
      <c r="K100" s="100">
        <v>358.52</v>
      </c>
      <c r="L100" s="100">
        <v>26.14</v>
      </c>
      <c r="M100" s="100">
        <v>78.209999999999994</v>
      </c>
      <c r="N100" s="100">
        <v>23</v>
      </c>
      <c r="O100" s="100">
        <v>0</v>
      </c>
      <c r="P100" s="100">
        <v>0.48</v>
      </c>
      <c r="Q100" s="100">
        <v>29.09</v>
      </c>
      <c r="R100" s="6"/>
      <c r="S100" s="6"/>
      <c r="T100" s="156"/>
      <c r="U100" s="6"/>
    </row>
    <row r="101" spans="1:21">
      <c r="A101" s="163" t="s">
        <v>3020</v>
      </c>
      <c r="B101" s="100">
        <v>4.2699999999999996</v>
      </c>
      <c r="C101" s="100">
        <v>11.08</v>
      </c>
      <c r="D101" s="100">
        <v>8.2200000000000006</v>
      </c>
      <c r="E101" s="100">
        <v>5.67</v>
      </c>
      <c r="F101" s="100">
        <v>4.3</v>
      </c>
      <c r="G101" s="100">
        <v>24.65</v>
      </c>
      <c r="H101" s="100">
        <v>14.98</v>
      </c>
      <c r="I101" s="100">
        <v>9.64</v>
      </c>
      <c r="J101" s="100">
        <v>3.75</v>
      </c>
      <c r="K101" s="100">
        <v>7.44</v>
      </c>
      <c r="L101" s="100">
        <v>25.79</v>
      </c>
      <c r="M101" s="100">
        <v>79.98</v>
      </c>
      <c r="N101" s="100">
        <v>23.6</v>
      </c>
      <c r="O101" s="100">
        <v>0</v>
      </c>
      <c r="P101" s="100">
        <v>0.46</v>
      </c>
      <c r="Q101" s="100">
        <v>29.14</v>
      </c>
      <c r="R101" s="6"/>
      <c r="S101" s="6"/>
      <c r="T101" s="156"/>
      <c r="U101" s="6"/>
    </row>
    <row r="102" spans="1:21">
      <c r="A102" s="163" t="s">
        <v>3021</v>
      </c>
      <c r="B102" s="100">
        <v>4.5599999999999996</v>
      </c>
      <c r="C102" s="100">
        <v>11.05</v>
      </c>
      <c r="D102" s="100">
        <v>8.44</v>
      </c>
      <c r="E102" s="100">
        <v>6.39</v>
      </c>
      <c r="F102" s="100">
        <v>6.58</v>
      </c>
      <c r="G102" s="100">
        <v>24.65</v>
      </c>
      <c r="H102" s="100">
        <v>14.98</v>
      </c>
      <c r="I102" s="100">
        <v>9.64</v>
      </c>
      <c r="J102" s="100">
        <v>3.12</v>
      </c>
      <c r="K102" s="100">
        <v>28.22</v>
      </c>
      <c r="L102" s="100">
        <v>25.45</v>
      </c>
      <c r="M102" s="100">
        <v>80.14</v>
      </c>
      <c r="N102" s="100">
        <v>23.4</v>
      </c>
      <c r="O102" s="100">
        <v>0</v>
      </c>
      <c r="P102" s="100">
        <v>0.48</v>
      </c>
      <c r="Q102" s="100">
        <v>29.09</v>
      </c>
      <c r="R102" s="6"/>
      <c r="S102" s="6"/>
      <c r="T102" s="156"/>
      <c r="U102" s="6"/>
    </row>
    <row r="103" spans="1:21">
      <c r="A103" s="163" t="s">
        <v>3022</v>
      </c>
      <c r="B103" s="100">
        <v>4.9000000000000004</v>
      </c>
      <c r="C103" s="100">
        <v>9.7899999999999991</v>
      </c>
      <c r="D103" s="100">
        <v>8.0500000000000007</v>
      </c>
      <c r="E103" s="100">
        <v>6.07</v>
      </c>
      <c r="F103" s="100">
        <v>4.8</v>
      </c>
      <c r="G103" s="100">
        <v>24.65</v>
      </c>
      <c r="H103" s="100">
        <v>14.98</v>
      </c>
      <c r="I103" s="100">
        <v>9.61</v>
      </c>
      <c r="J103" s="100">
        <v>2.1</v>
      </c>
      <c r="K103" s="100">
        <v>23.64</v>
      </c>
      <c r="L103" s="100">
        <v>25.54</v>
      </c>
      <c r="M103" s="100">
        <v>79.45</v>
      </c>
      <c r="N103" s="100">
        <v>23.2</v>
      </c>
      <c r="O103" s="100">
        <v>0</v>
      </c>
      <c r="P103" s="100">
        <v>0.49</v>
      </c>
      <c r="Q103" s="100">
        <v>29.11</v>
      </c>
      <c r="R103" s="6"/>
      <c r="S103" s="6"/>
      <c r="T103" s="156"/>
      <c r="U103" s="6"/>
    </row>
    <row r="104" spans="1:21">
      <c r="A104" s="163" t="s">
        <v>3023</v>
      </c>
      <c r="B104" s="100">
        <v>5.01</v>
      </c>
      <c r="C104" s="100">
        <v>9.74</v>
      </c>
      <c r="D104" s="100">
        <v>8.11</v>
      </c>
      <c r="E104" s="100">
        <v>6.17</v>
      </c>
      <c r="F104" s="100">
        <v>5.89</v>
      </c>
      <c r="G104" s="100">
        <v>26.25</v>
      </c>
      <c r="H104" s="100">
        <v>14.7</v>
      </c>
      <c r="I104" s="100">
        <v>9.8000000000000007</v>
      </c>
      <c r="J104" s="100">
        <v>1.2</v>
      </c>
      <c r="K104" s="100">
        <v>171.66</v>
      </c>
      <c r="L104" s="100">
        <v>25.57</v>
      </c>
      <c r="M104" s="100">
        <v>79.069999999999993</v>
      </c>
      <c r="N104" s="100">
        <v>23.1</v>
      </c>
      <c r="O104" s="100">
        <v>0</v>
      </c>
      <c r="P104" s="100">
        <v>0.49</v>
      </c>
      <c r="Q104" s="100">
        <v>29.13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2.35</v>
      </c>
      <c r="C106" s="158">
        <f>MIN(C9:C104)</f>
        <v>7.81</v>
      </c>
      <c r="D106" s="158">
        <f t="shared" ref="D106:Q106" si="0">MIN(D9:D104)</f>
        <v>5.38</v>
      </c>
      <c r="E106" s="158">
        <f t="shared" si="0"/>
        <v>4.57</v>
      </c>
      <c r="F106" s="158">
        <f t="shared" si="0"/>
        <v>2.5299999999999998</v>
      </c>
      <c r="G106" s="158">
        <f t="shared" si="0"/>
        <v>21.26</v>
      </c>
      <c r="H106" s="158">
        <f t="shared" si="0"/>
        <v>10.47</v>
      </c>
      <c r="I106" s="158">
        <f t="shared" si="0"/>
        <v>9.24</v>
      </c>
      <c r="J106" s="158">
        <f t="shared" si="0"/>
        <v>0.31</v>
      </c>
      <c r="K106" s="158">
        <f t="shared" si="0"/>
        <v>7.44</v>
      </c>
      <c r="L106" s="158">
        <f t="shared" si="0"/>
        <v>22.68</v>
      </c>
      <c r="M106" s="158">
        <f t="shared" si="0"/>
        <v>39.35</v>
      </c>
      <c r="N106" s="158">
        <f t="shared" si="0"/>
        <v>23</v>
      </c>
      <c r="O106" s="158">
        <f t="shared" si="0"/>
        <v>0</v>
      </c>
      <c r="P106" s="158">
        <f t="shared" si="0"/>
        <v>0.38</v>
      </c>
      <c r="Q106" s="158">
        <f t="shared" si="0"/>
        <v>28.79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8.16</v>
      </c>
      <c r="C107" s="157">
        <f t="shared" ref="C107:Q107" si="1">MAX(C9:C104)</f>
        <v>15.19</v>
      </c>
      <c r="D107" s="157">
        <f t="shared" si="1"/>
        <v>11.1</v>
      </c>
      <c r="E107" s="157">
        <f t="shared" si="1"/>
        <v>9.51</v>
      </c>
      <c r="F107" s="157">
        <f t="shared" si="1"/>
        <v>25.74</v>
      </c>
      <c r="G107" s="157">
        <f t="shared" si="1"/>
        <v>59.76</v>
      </c>
      <c r="H107" s="157">
        <f t="shared" si="1"/>
        <v>25.93</v>
      </c>
      <c r="I107" s="157">
        <f t="shared" si="1"/>
        <v>14.93</v>
      </c>
      <c r="J107" s="157">
        <f t="shared" si="1"/>
        <v>6.01</v>
      </c>
      <c r="K107" s="157">
        <f t="shared" si="1"/>
        <v>358.52</v>
      </c>
      <c r="L107" s="157">
        <f t="shared" si="1"/>
        <v>35.58</v>
      </c>
      <c r="M107" s="157">
        <f t="shared" si="1"/>
        <v>93.5</v>
      </c>
      <c r="N107" s="157">
        <f t="shared" si="1"/>
        <v>789.9</v>
      </c>
      <c r="O107" s="157">
        <f t="shared" si="1"/>
        <v>2.6</v>
      </c>
      <c r="P107" s="157">
        <f t="shared" si="1"/>
        <v>0.74</v>
      </c>
      <c r="Q107" s="157">
        <f t="shared" si="1"/>
        <v>29.45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3.9308333333333336</v>
      </c>
      <c r="C108" s="158">
        <f t="shared" ref="C108:Q108" si="2">AVERAGE(C9:C104)</f>
        <v>10.603541666666668</v>
      </c>
      <c r="D108" s="158">
        <f t="shared" si="2"/>
        <v>7.6976041666666655</v>
      </c>
      <c r="E108" s="158">
        <f t="shared" si="2"/>
        <v>6.117708333333332</v>
      </c>
      <c r="F108" s="158">
        <f t="shared" si="2"/>
        <v>8.0357291666666644</v>
      </c>
      <c r="G108" s="158">
        <f t="shared" si="2"/>
        <v>33.44250000000001</v>
      </c>
      <c r="H108" s="158">
        <f t="shared" si="2"/>
        <v>15.803541666666673</v>
      </c>
      <c r="I108" s="158">
        <f t="shared" si="2"/>
        <v>11.511562499999998</v>
      </c>
      <c r="J108" s="158">
        <f t="shared" si="2"/>
        <v>4.0411458333333341</v>
      </c>
      <c r="K108" s="158">
        <f t="shared" si="2"/>
        <v>214.85916666666662</v>
      </c>
      <c r="L108" s="158">
        <f t="shared" si="2"/>
        <v>27.782604166666648</v>
      </c>
      <c r="M108" s="158">
        <f t="shared" si="2"/>
        <v>68.764583333333363</v>
      </c>
      <c r="N108" s="158">
        <f t="shared" si="2"/>
        <v>224.63958333333332</v>
      </c>
      <c r="O108" s="158">
        <f t="shared" si="2"/>
        <v>5.2083333333333336E-2</v>
      </c>
      <c r="P108" s="158">
        <f t="shared" si="2"/>
        <v>0.51229166666666681</v>
      </c>
      <c r="Q108" s="158">
        <f t="shared" si="2"/>
        <v>29.173958333333346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1.3139259505424066</v>
      </c>
      <c r="C109" s="158">
        <f t="shared" ref="C109:Q109" si="3">STDEV(C9:C104)</f>
        <v>1.5808811528063169</v>
      </c>
      <c r="D109" s="158">
        <f t="shared" si="3"/>
        <v>1.4032306670054584</v>
      </c>
      <c r="E109" s="158">
        <f t="shared" si="3"/>
        <v>1.0589980161669963</v>
      </c>
      <c r="F109" s="158">
        <f t="shared" si="3"/>
        <v>5.8726469858671146</v>
      </c>
      <c r="G109" s="158">
        <f t="shared" si="3"/>
        <v>10.041155102351137</v>
      </c>
      <c r="H109" s="158">
        <f t="shared" si="3"/>
        <v>4.1177249669579341</v>
      </c>
      <c r="I109" s="158">
        <f t="shared" si="3"/>
        <v>1.4380369134600612</v>
      </c>
      <c r="J109" s="158">
        <f t="shared" si="3"/>
        <v>1.1537160736111662</v>
      </c>
      <c r="K109" s="158">
        <f t="shared" si="3"/>
        <v>56.493251905667641</v>
      </c>
      <c r="L109" s="158">
        <f t="shared" si="3"/>
        <v>3.9688909347819425</v>
      </c>
      <c r="M109" s="158">
        <f t="shared" si="3"/>
        <v>15.585313999279474</v>
      </c>
      <c r="N109" s="158">
        <f t="shared" si="3"/>
        <v>275.8278854950434</v>
      </c>
      <c r="O109" s="158">
        <f t="shared" si="3"/>
        <v>0.30469282777618123</v>
      </c>
      <c r="P109" s="158">
        <f t="shared" si="3"/>
        <v>8.2557529117790768E-2</v>
      </c>
      <c r="Q109" s="158">
        <f t="shared" si="3"/>
        <v>0.1401839330583903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5" t="s">
        <v>56</v>
      </c>
      <c r="C115" s="165"/>
      <c r="D115" s="16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89" activePane="bottomLeft" state="frozen"/>
      <selection pane="bottomLeft" activeCell="L15" sqref="L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3024</v>
      </c>
      <c r="B9" s="100">
        <v>4.4800000000000004</v>
      </c>
      <c r="C9" s="100">
        <v>10.25</v>
      </c>
      <c r="D9" s="100">
        <v>7.95</v>
      </c>
      <c r="E9" s="100">
        <v>6.32</v>
      </c>
      <c r="F9" s="100">
        <v>7.41</v>
      </c>
      <c r="G9" s="100">
        <v>32.24</v>
      </c>
      <c r="H9" s="100">
        <v>13.68</v>
      </c>
      <c r="I9" s="100">
        <v>10.11</v>
      </c>
      <c r="J9" s="100">
        <v>1.61</v>
      </c>
      <c r="K9" s="100">
        <v>190.22</v>
      </c>
      <c r="L9" s="100">
        <v>25.38</v>
      </c>
      <c r="M9" s="100">
        <v>79.12</v>
      </c>
      <c r="N9" s="100">
        <v>23.3</v>
      </c>
      <c r="O9" s="100">
        <v>0</v>
      </c>
      <c r="P9" s="100">
        <v>0.47</v>
      </c>
      <c r="Q9" s="100">
        <v>29.12</v>
      </c>
      <c r="R9" s="6"/>
      <c r="S9" s="6"/>
      <c r="T9" s="156"/>
      <c r="U9" s="6"/>
    </row>
    <row r="10" spans="1:21" customFormat="1">
      <c r="A10" s="163" t="s">
        <v>3025</v>
      </c>
      <c r="B10" s="100">
        <v>4.6900000000000004</v>
      </c>
      <c r="C10" s="100">
        <v>11.26</v>
      </c>
      <c r="D10" s="100">
        <v>8.65</v>
      </c>
      <c r="E10" s="100">
        <v>6.11</v>
      </c>
      <c r="F10" s="100">
        <v>7.07</v>
      </c>
      <c r="G10" s="100">
        <v>32.24</v>
      </c>
      <c r="H10" s="100">
        <v>13.68</v>
      </c>
      <c r="I10" s="100">
        <v>10.18</v>
      </c>
      <c r="J10" s="100">
        <v>3.1</v>
      </c>
      <c r="K10" s="100">
        <v>222.73</v>
      </c>
      <c r="L10" s="100">
        <v>25.37</v>
      </c>
      <c r="M10" s="100">
        <v>79.069999999999993</v>
      </c>
      <c r="N10" s="100">
        <v>23.2</v>
      </c>
      <c r="O10" s="100">
        <v>0</v>
      </c>
      <c r="P10" s="100">
        <v>0.47</v>
      </c>
      <c r="Q10" s="100">
        <v>29.05</v>
      </c>
      <c r="R10" s="6"/>
      <c r="S10" s="6"/>
      <c r="T10" s="156"/>
      <c r="U10" s="6"/>
    </row>
    <row r="11" spans="1:21" customFormat="1">
      <c r="A11" s="163" t="s">
        <v>3026</v>
      </c>
      <c r="B11" s="100">
        <v>4.7300000000000004</v>
      </c>
      <c r="C11" s="100">
        <v>12.12</v>
      </c>
      <c r="D11" s="100">
        <v>9.1300000000000008</v>
      </c>
      <c r="E11" s="100">
        <v>6.48</v>
      </c>
      <c r="F11" s="100">
        <v>7.02</v>
      </c>
      <c r="G11" s="100">
        <v>32.24</v>
      </c>
      <c r="H11" s="100">
        <v>13.68</v>
      </c>
      <c r="I11" s="100">
        <v>10.11</v>
      </c>
      <c r="J11" s="100">
        <v>2.52</v>
      </c>
      <c r="K11" s="100">
        <v>195.91</v>
      </c>
      <c r="L11" s="100">
        <v>25.35</v>
      </c>
      <c r="M11" s="100">
        <v>79.099999999999994</v>
      </c>
      <c r="N11" s="100">
        <v>23.3</v>
      </c>
      <c r="O11" s="100">
        <v>0</v>
      </c>
      <c r="P11" s="100">
        <v>0.47</v>
      </c>
      <c r="Q11" s="100">
        <v>28.99</v>
      </c>
      <c r="R11" s="6"/>
      <c r="S11" s="6"/>
      <c r="T11" s="156"/>
      <c r="U11" s="6"/>
    </row>
    <row r="12" spans="1:21" customFormat="1">
      <c r="A12" s="163" t="s">
        <v>3027</v>
      </c>
      <c r="B12" s="100">
        <v>4.7699999999999996</v>
      </c>
      <c r="C12" s="100">
        <v>12.92</v>
      </c>
      <c r="D12" s="100">
        <v>9.58</v>
      </c>
      <c r="E12" s="100">
        <v>6.42</v>
      </c>
      <c r="F12" s="100">
        <v>5.67</v>
      </c>
      <c r="G12" s="100">
        <v>31.95</v>
      </c>
      <c r="H12" s="100">
        <v>13.94</v>
      </c>
      <c r="I12" s="100">
        <v>10.130000000000001</v>
      </c>
      <c r="J12" s="100">
        <v>3.65</v>
      </c>
      <c r="K12" s="100">
        <v>191.01</v>
      </c>
      <c r="L12" s="100">
        <v>25.48</v>
      </c>
      <c r="M12" s="100">
        <v>79.87</v>
      </c>
      <c r="N12" s="100">
        <v>23.3</v>
      </c>
      <c r="O12" s="100">
        <v>0</v>
      </c>
      <c r="P12" s="100">
        <v>0.47</v>
      </c>
      <c r="Q12" s="100">
        <v>28.92</v>
      </c>
      <c r="R12" s="6"/>
      <c r="S12" s="6"/>
      <c r="T12" s="156"/>
      <c r="U12" s="6"/>
    </row>
    <row r="13" spans="1:21" customFormat="1">
      <c r="A13" s="163" t="s">
        <v>3028</v>
      </c>
      <c r="B13" s="100">
        <v>5.15</v>
      </c>
      <c r="C13" s="100">
        <v>13.1</v>
      </c>
      <c r="D13" s="100">
        <v>9.98</v>
      </c>
      <c r="E13" s="100">
        <v>6.17</v>
      </c>
      <c r="F13" s="100">
        <v>4.6500000000000004</v>
      </c>
      <c r="G13" s="100">
        <v>30.86</v>
      </c>
      <c r="H13" s="100">
        <v>14.92</v>
      </c>
      <c r="I13" s="100">
        <v>10.119999999999999</v>
      </c>
      <c r="J13" s="100">
        <v>3.82</v>
      </c>
      <c r="K13" s="100">
        <v>173.9</v>
      </c>
      <c r="L13" s="100">
        <v>25.29</v>
      </c>
      <c r="M13" s="100">
        <v>81.67</v>
      </c>
      <c r="N13" s="100">
        <v>23.6</v>
      </c>
      <c r="O13" s="100">
        <v>0</v>
      </c>
      <c r="P13" s="100">
        <v>0.48</v>
      </c>
      <c r="Q13" s="100">
        <v>28.85</v>
      </c>
      <c r="R13" s="6"/>
      <c r="S13" s="6"/>
      <c r="T13" s="156"/>
      <c r="U13" s="6"/>
    </row>
    <row r="14" spans="1:21" customFormat="1">
      <c r="A14" s="163" t="s">
        <v>3029</v>
      </c>
      <c r="B14" s="100">
        <v>5.28</v>
      </c>
      <c r="C14" s="100">
        <v>12.36</v>
      </c>
      <c r="D14" s="100">
        <v>9.6999999999999993</v>
      </c>
      <c r="E14" s="100">
        <v>6.47</v>
      </c>
      <c r="F14" s="100">
        <v>4.84</v>
      </c>
      <c r="G14" s="100">
        <v>30.86</v>
      </c>
      <c r="H14" s="100">
        <v>14.92</v>
      </c>
      <c r="I14" s="100">
        <v>10.25</v>
      </c>
      <c r="J14" s="100">
        <v>3.89</v>
      </c>
      <c r="K14" s="100">
        <v>175.2</v>
      </c>
      <c r="L14" s="100">
        <v>25.18</v>
      </c>
      <c r="M14" s="100">
        <v>82.21</v>
      </c>
      <c r="N14" s="100">
        <v>23.6</v>
      </c>
      <c r="O14" s="100">
        <v>0</v>
      </c>
      <c r="P14" s="100">
        <v>0.48</v>
      </c>
      <c r="Q14" s="100">
        <v>28.85</v>
      </c>
      <c r="R14" s="6"/>
      <c r="S14" s="6"/>
      <c r="T14" s="156"/>
      <c r="U14" s="6"/>
    </row>
    <row r="15" spans="1:21" customFormat="1">
      <c r="A15" s="163" t="s">
        <v>3030</v>
      </c>
      <c r="B15" s="100">
        <v>5.29</v>
      </c>
      <c r="C15" s="100">
        <v>11.98</v>
      </c>
      <c r="D15" s="100">
        <v>9.5</v>
      </c>
      <c r="E15" s="100">
        <v>6.2</v>
      </c>
      <c r="F15" s="100">
        <v>5.57</v>
      </c>
      <c r="G15" s="100">
        <v>30.86</v>
      </c>
      <c r="H15" s="100">
        <v>14.92</v>
      </c>
      <c r="I15" s="100">
        <v>10.43</v>
      </c>
      <c r="J15" s="100">
        <v>3.13</v>
      </c>
      <c r="K15" s="100">
        <v>194.43</v>
      </c>
      <c r="L15" s="100">
        <v>25.17</v>
      </c>
      <c r="M15" s="100">
        <v>82.06</v>
      </c>
      <c r="N15" s="100">
        <v>23.4</v>
      </c>
      <c r="O15" s="100">
        <v>0</v>
      </c>
      <c r="P15" s="100">
        <v>0.48</v>
      </c>
      <c r="Q15" s="100">
        <v>28.87</v>
      </c>
      <c r="R15" s="6"/>
      <c r="S15" s="6"/>
      <c r="T15" s="156"/>
      <c r="U15" s="6"/>
    </row>
    <row r="16" spans="1:21" customFormat="1">
      <c r="A16" s="163" t="s">
        <v>3031</v>
      </c>
      <c r="B16" s="100">
        <v>5.36</v>
      </c>
      <c r="C16" s="100">
        <v>11.63</v>
      </c>
      <c r="D16" s="100">
        <v>9.3800000000000008</v>
      </c>
      <c r="E16" s="100">
        <v>6.22</v>
      </c>
      <c r="F16" s="100">
        <v>4.1399999999999997</v>
      </c>
      <c r="G16" s="100">
        <v>31.87</v>
      </c>
      <c r="H16" s="100">
        <v>14.28</v>
      </c>
      <c r="I16" s="100">
        <v>10.55</v>
      </c>
      <c r="J16" s="100">
        <v>1.54</v>
      </c>
      <c r="K16" s="100">
        <v>170.89</v>
      </c>
      <c r="L16" s="100">
        <v>25.22</v>
      </c>
      <c r="M16" s="100">
        <v>81.510000000000005</v>
      </c>
      <c r="N16" s="100">
        <v>23.2</v>
      </c>
      <c r="O16" s="100">
        <v>0</v>
      </c>
      <c r="P16" s="100">
        <v>0.48</v>
      </c>
      <c r="Q16" s="100">
        <v>28.88</v>
      </c>
      <c r="R16" s="6"/>
      <c r="S16" s="6"/>
      <c r="T16" s="156"/>
      <c r="U16" s="6"/>
    </row>
    <row r="17" spans="1:21" customFormat="1">
      <c r="A17" s="163" t="s">
        <v>3032</v>
      </c>
      <c r="B17" s="100">
        <v>5.56</v>
      </c>
      <c r="C17" s="100">
        <v>13.17</v>
      </c>
      <c r="D17" s="100">
        <v>10.34</v>
      </c>
      <c r="E17" s="100">
        <v>5.94</v>
      </c>
      <c r="F17" s="100">
        <v>3.01</v>
      </c>
      <c r="G17" s="100">
        <v>35.630000000000003</v>
      </c>
      <c r="H17" s="100">
        <v>11.76</v>
      </c>
      <c r="I17" s="100">
        <v>10.61</v>
      </c>
      <c r="J17" s="100">
        <v>3.64</v>
      </c>
      <c r="K17" s="100">
        <v>180.89</v>
      </c>
      <c r="L17" s="100">
        <v>25.35</v>
      </c>
      <c r="M17" s="100">
        <v>81.17</v>
      </c>
      <c r="N17" s="100">
        <v>23.1</v>
      </c>
      <c r="O17" s="100">
        <v>0</v>
      </c>
      <c r="P17" s="100">
        <v>0.49</v>
      </c>
      <c r="Q17" s="100">
        <v>28.78</v>
      </c>
      <c r="R17" s="6"/>
      <c r="S17" s="6"/>
      <c r="T17" s="156"/>
      <c r="U17" s="6"/>
    </row>
    <row r="18" spans="1:21" customFormat="1">
      <c r="A18" s="163" t="s">
        <v>3033</v>
      </c>
      <c r="B18" s="100">
        <v>5.79</v>
      </c>
      <c r="C18" s="100">
        <v>11.67</v>
      </c>
      <c r="D18" s="100">
        <v>9.75</v>
      </c>
      <c r="E18" s="100">
        <v>6.22</v>
      </c>
      <c r="F18" s="100">
        <v>2.97</v>
      </c>
      <c r="G18" s="100">
        <v>35.630000000000003</v>
      </c>
      <c r="H18" s="100">
        <v>11.76</v>
      </c>
      <c r="I18" s="100">
        <v>10.63</v>
      </c>
      <c r="J18" s="100">
        <v>4.03</v>
      </c>
      <c r="K18" s="100">
        <v>173.86</v>
      </c>
      <c r="L18" s="100">
        <v>25.67</v>
      </c>
      <c r="M18" s="100">
        <v>79.959999999999994</v>
      </c>
      <c r="N18" s="100">
        <v>23</v>
      </c>
      <c r="O18" s="100">
        <v>0</v>
      </c>
      <c r="P18" s="100">
        <v>0.47</v>
      </c>
      <c r="Q18" s="100">
        <v>28.88</v>
      </c>
      <c r="R18" s="6"/>
      <c r="S18" s="6"/>
      <c r="T18" s="156"/>
      <c r="U18" s="6"/>
    </row>
    <row r="19" spans="1:21" customFormat="1">
      <c r="A19" s="163" t="s">
        <v>3034</v>
      </c>
      <c r="B19" s="100">
        <v>5.97</v>
      </c>
      <c r="C19" s="100">
        <v>8.8800000000000008</v>
      </c>
      <c r="D19" s="100">
        <v>8.43</v>
      </c>
      <c r="E19" s="100">
        <v>5.33</v>
      </c>
      <c r="F19" s="100">
        <v>3.88</v>
      </c>
      <c r="G19" s="100">
        <v>35.630000000000003</v>
      </c>
      <c r="H19" s="100">
        <v>11.76</v>
      </c>
      <c r="I19" s="100">
        <v>10.67</v>
      </c>
      <c r="J19" s="100">
        <v>3.8</v>
      </c>
      <c r="K19" s="100">
        <v>171.49</v>
      </c>
      <c r="L19" s="100">
        <v>25.86</v>
      </c>
      <c r="M19" s="100">
        <v>79.06</v>
      </c>
      <c r="N19" s="100">
        <v>23.3</v>
      </c>
      <c r="O19" s="100">
        <v>0</v>
      </c>
      <c r="P19" s="100">
        <v>0.47</v>
      </c>
      <c r="Q19" s="100">
        <v>29.04</v>
      </c>
      <c r="R19" s="6"/>
      <c r="S19" s="6"/>
      <c r="T19" s="156"/>
      <c r="U19" s="6"/>
    </row>
    <row r="20" spans="1:21" customFormat="1">
      <c r="A20" s="163" t="s">
        <v>3035</v>
      </c>
      <c r="B20" s="100">
        <v>6.14</v>
      </c>
      <c r="C20" s="100">
        <v>9.3000000000000007</v>
      </c>
      <c r="D20" s="100">
        <v>8.7899999999999991</v>
      </c>
      <c r="E20" s="100">
        <v>5.48</v>
      </c>
      <c r="F20" s="100">
        <v>3.65</v>
      </c>
      <c r="G20" s="100">
        <v>35.74</v>
      </c>
      <c r="H20" s="100">
        <v>11.71</v>
      </c>
      <c r="I20" s="100">
        <v>10.79</v>
      </c>
      <c r="J20" s="100">
        <v>3.81</v>
      </c>
      <c r="K20" s="100">
        <v>173.68</v>
      </c>
      <c r="L20" s="100">
        <v>25.67</v>
      </c>
      <c r="M20" s="100">
        <v>80.260000000000005</v>
      </c>
      <c r="N20" s="100">
        <v>23.2</v>
      </c>
      <c r="O20" s="100">
        <v>0</v>
      </c>
      <c r="P20" s="100">
        <v>0.48</v>
      </c>
      <c r="Q20" s="100">
        <v>29.03</v>
      </c>
      <c r="R20" s="6"/>
      <c r="S20" s="6"/>
      <c r="T20" s="156"/>
      <c r="U20" s="6"/>
    </row>
    <row r="21" spans="1:21" customFormat="1">
      <c r="A21" s="163" t="s">
        <v>3036</v>
      </c>
      <c r="B21" s="100">
        <v>6.29</v>
      </c>
      <c r="C21" s="100">
        <v>8.25</v>
      </c>
      <c r="D21" s="100">
        <v>8.36</v>
      </c>
      <c r="E21" s="100">
        <v>5.32</v>
      </c>
      <c r="F21" s="100">
        <v>4.21</v>
      </c>
      <c r="G21" s="100">
        <v>36.18</v>
      </c>
      <c r="H21" s="100">
        <v>11.53</v>
      </c>
      <c r="I21" s="100">
        <v>10.89</v>
      </c>
      <c r="J21" s="100">
        <v>3.55</v>
      </c>
      <c r="K21" s="100">
        <v>185.7</v>
      </c>
      <c r="L21" s="100">
        <v>25.62</v>
      </c>
      <c r="M21" s="100">
        <v>79.89</v>
      </c>
      <c r="N21" s="100">
        <v>23.3</v>
      </c>
      <c r="O21" s="100">
        <v>0</v>
      </c>
      <c r="P21" s="100">
        <v>0.48</v>
      </c>
      <c r="Q21" s="100">
        <v>29.11</v>
      </c>
      <c r="R21" s="6"/>
      <c r="S21" s="6"/>
      <c r="T21" s="156"/>
      <c r="U21" s="6"/>
    </row>
    <row r="22" spans="1:21" customFormat="1">
      <c r="A22" s="163" t="s">
        <v>3037</v>
      </c>
      <c r="B22" s="100">
        <v>6.43</v>
      </c>
      <c r="C22" s="100">
        <v>8.44</v>
      </c>
      <c r="D22" s="100">
        <v>8.57</v>
      </c>
      <c r="E22" s="100">
        <v>5.27</v>
      </c>
      <c r="F22" s="100">
        <v>4.1100000000000003</v>
      </c>
      <c r="G22" s="100">
        <v>36.18</v>
      </c>
      <c r="H22" s="100">
        <v>11.53</v>
      </c>
      <c r="I22" s="100">
        <v>11.04</v>
      </c>
      <c r="J22" s="100">
        <v>4.0199999999999996</v>
      </c>
      <c r="K22" s="100">
        <v>220.72</v>
      </c>
      <c r="L22" s="100">
        <v>25.55</v>
      </c>
      <c r="M22" s="100">
        <v>79.44</v>
      </c>
      <c r="N22" s="100">
        <v>23.1</v>
      </c>
      <c r="O22" s="100">
        <v>0</v>
      </c>
      <c r="P22" s="100">
        <v>0.52</v>
      </c>
      <c r="Q22" s="100">
        <v>29.06</v>
      </c>
      <c r="R22" s="6"/>
      <c r="S22" s="6"/>
      <c r="T22" s="156"/>
      <c r="U22" s="6"/>
    </row>
    <row r="23" spans="1:21" customFormat="1">
      <c r="A23" s="163" t="s">
        <v>3038</v>
      </c>
      <c r="B23" s="100">
        <v>6.48</v>
      </c>
      <c r="C23" s="100">
        <v>8.4600000000000009</v>
      </c>
      <c r="D23" s="100">
        <v>8.6300000000000008</v>
      </c>
      <c r="E23" s="100">
        <v>5.47</v>
      </c>
      <c r="F23" s="100">
        <v>4.24</v>
      </c>
      <c r="G23" s="100">
        <v>36.18</v>
      </c>
      <c r="H23" s="100">
        <v>11.53</v>
      </c>
      <c r="I23" s="100">
        <v>11.55</v>
      </c>
      <c r="J23" s="100">
        <v>4.07</v>
      </c>
      <c r="K23" s="100">
        <v>221.35</v>
      </c>
      <c r="L23" s="100">
        <v>25.63</v>
      </c>
      <c r="M23" s="100">
        <v>78.88</v>
      </c>
      <c r="N23" s="100">
        <v>23.2</v>
      </c>
      <c r="O23" s="100">
        <v>0</v>
      </c>
      <c r="P23" s="100">
        <v>0.53</v>
      </c>
      <c r="Q23" s="100">
        <v>29.07</v>
      </c>
      <c r="R23" s="6"/>
      <c r="S23" s="6"/>
      <c r="T23" s="156"/>
      <c r="U23" s="6"/>
    </row>
    <row r="24" spans="1:21" customFormat="1">
      <c r="A24" s="163" t="s">
        <v>3039</v>
      </c>
      <c r="B24" s="100">
        <v>6.34</v>
      </c>
      <c r="C24" s="100">
        <v>8.9600000000000009</v>
      </c>
      <c r="D24" s="100">
        <v>8.76</v>
      </c>
      <c r="E24" s="100">
        <v>5.09</v>
      </c>
      <c r="F24" s="100">
        <v>5.36</v>
      </c>
      <c r="G24" s="100">
        <v>36.42</v>
      </c>
      <c r="H24" s="100">
        <v>12.17</v>
      </c>
      <c r="I24" s="100">
        <v>12.38</v>
      </c>
      <c r="J24" s="100">
        <v>3.65</v>
      </c>
      <c r="K24" s="100">
        <v>190.91</v>
      </c>
      <c r="L24" s="100">
        <v>25.54</v>
      </c>
      <c r="M24" s="100">
        <v>80.63</v>
      </c>
      <c r="N24" s="100">
        <v>23.5</v>
      </c>
      <c r="O24" s="100">
        <v>0</v>
      </c>
      <c r="P24" s="100">
        <v>0.53</v>
      </c>
      <c r="Q24" s="100">
        <v>29.04</v>
      </c>
      <c r="R24" s="6"/>
      <c r="S24" s="6"/>
      <c r="T24" s="156"/>
      <c r="U24" s="6"/>
    </row>
    <row r="25" spans="1:21" customFormat="1">
      <c r="A25" s="163" t="s">
        <v>3040</v>
      </c>
      <c r="B25" s="100">
        <v>6.42</v>
      </c>
      <c r="C25" s="100">
        <v>9.2799999999999994</v>
      </c>
      <c r="D25" s="100">
        <v>9</v>
      </c>
      <c r="E25" s="100">
        <v>5.85</v>
      </c>
      <c r="F25" s="100">
        <v>4.37</v>
      </c>
      <c r="G25" s="100">
        <v>37.35</v>
      </c>
      <c r="H25" s="100">
        <v>14.56</v>
      </c>
      <c r="I25" s="100">
        <v>12.48</v>
      </c>
      <c r="J25" s="100">
        <v>3.98</v>
      </c>
      <c r="K25" s="100">
        <v>176.27</v>
      </c>
      <c r="L25" s="100">
        <v>25.38</v>
      </c>
      <c r="M25" s="100">
        <v>82.36</v>
      </c>
      <c r="N25" s="100">
        <v>23.6</v>
      </c>
      <c r="O25" s="100">
        <v>0</v>
      </c>
      <c r="P25" s="100">
        <v>0.53</v>
      </c>
      <c r="Q25" s="100">
        <v>29</v>
      </c>
      <c r="R25" s="6"/>
      <c r="S25" s="6"/>
      <c r="T25" s="156"/>
      <c r="U25" s="6"/>
    </row>
    <row r="26" spans="1:21" customFormat="1">
      <c r="A26" s="163" t="s">
        <v>3041</v>
      </c>
      <c r="B26" s="100">
        <v>6.36</v>
      </c>
      <c r="C26" s="100">
        <v>9.43</v>
      </c>
      <c r="D26" s="100">
        <v>9.0299999999999994</v>
      </c>
      <c r="E26" s="100">
        <v>6.28</v>
      </c>
      <c r="F26" s="100">
        <v>3.97</v>
      </c>
      <c r="G26" s="100">
        <v>37.35</v>
      </c>
      <c r="H26" s="100">
        <v>14.56</v>
      </c>
      <c r="I26" s="100">
        <v>12.61</v>
      </c>
      <c r="J26" s="100">
        <v>3.78</v>
      </c>
      <c r="K26" s="100">
        <v>181.6</v>
      </c>
      <c r="L26" s="100">
        <v>25.22</v>
      </c>
      <c r="M26" s="100">
        <v>83.23</v>
      </c>
      <c r="N26" s="100">
        <v>23.5</v>
      </c>
      <c r="O26" s="100">
        <v>0</v>
      </c>
      <c r="P26" s="100">
        <v>0.54</v>
      </c>
      <c r="Q26" s="100">
        <v>29.03</v>
      </c>
      <c r="R26" s="6"/>
      <c r="S26" s="6"/>
      <c r="T26" s="156"/>
      <c r="U26" s="6"/>
    </row>
    <row r="27" spans="1:21" customFormat="1">
      <c r="A27" s="163" t="s">
        <v>3042</v>
      </c>
      <c r="B27" s="100">
        <v>6.28</v>
      </c>
      <c r="C27" s="100">
        <v>9.6</v>
      </c>
      <c r="D27" s="100">
        <v>9.06</v>
      </c>
      <c r="E27" s="100">
        <v>5.88</v>
      </c>
      <c r="F27" s="100">
        <v>3.63</v>
      </c>
      <c r="G27" s="100">
        <v>37.35</v>
      </c>
      <c r="H27" s="100">
        <v>14.56</v>
      </c>
      <c r="I27" s="100">
        <v>12.84</v>
      </c>
      <c r="J27" s="100">
        <v>3.91</v>
      </c>
      <c r="K27" s="100">
        <v>179.09</v>
      </c>
      <c r="L27" s="100">
        <v>25.24</v>
      </c>
      <c r="M27" s="100">
        <v>83.45</v>
      </c>
      <c r="N27" s="100">
        <v>23.3</v>
      </c>
      <c r="O27" s="100">
        <v>0</v>
      </c>
      <c r="P27" s="100">
        <v>0.54</v>
      </c>
      <c r="Q27" s="100">
        <v>29.01</v>
      </c>
      <c r="R27" s="6"/>
      <c r="S27" s="6"/>
      <c r="T27" s="156"/>
      <c r="U27" s="6"/>
    </row>
    <row r="28" spans="1:21" customFormat="1">
      <c r="A28" s="163" t="s">
        <v>3043</v>
      </c>
      <c r="B28" s="100">
        <v>6.26</v>
      </c>
      <c r="C28" s="100">
        <v>9.77</v>
      </c>
      <c r="D28" s="100">
        <v>9.1300000000000008</v>
      </c>
      <c r="E28" s="100">
        <v>5.97</v>
      </c>
      <c r="F28" s="100">
        <v>4.13</v>
      </c>
      <c r="G28" s="100">
        <v>37.51</v>
      </c>
      <c r="H28" s="100">
        <v>14.81</v>
      </c>
      <c r="I28" s="100">
        <v>13.11</v>
      </c>
      <c r="J28" s="100">
        <v>3.77</v>
      </c>
      <c r="K28" s="100">
        <v>180.02</v>
      </c>
      <c r="L28" s="100">
        <v>25.19</v>
      </c>
      <c r="M28" s="100">
        <v>84.17</v>
      </c>
      <c r="N28" s="100">
        <v>23.5</v>
      </c>
      <c r="O28" s="100">
        <v>0</v>
      </c>
      <c r="P28" s="100">
        <v>0.56000000000000005</v>
      </c>
      <c r="Q28" s="100">
        <v>28.98</v>
      </c>
      <c r="R28" s="6"/>
      <c r="S28" s="6"/>
      <c r="T28" s="156"/>
      <c r="U28" s="6"/>
    </row>
    <row r="29" spans="1:21" customFormat="1">
      <c r="A29" s="163" t="s">
        <v>3044</v>
      </c>
      <c r="B29" s="100">
        <v>6.43</v>
      </c>
      <c r="C29" s="100">
        <v>10.36</v>
      </c>
      <c r="D29" s="100">
        <v>9.57</v>
      </c>
      <c r="E29" s="100">
        <v>4.9800000000000004</v>
      </c>
      <c r="F29" s="100">
        <v>3.41</v>
      </c>
      <c r="G29" s="100">
        <v>38.130000000000003</v>
      </c>
      <c r="H29" s="100">
        <v>15.73</v>
      </c>
      <c r="I29" s="100">
        <v>13.37</v>
      </c>
      <c r="J29" s="100">
        <v>3.67</v>
      </c>
      <c r="K29" s="100">
        <v>181.88</v>
      </c>
      <c r="L29" s="100">
        <v>25.12</v>
      </c>
      <c r="M29" s="100">
        <v>85.36</v>
      </c>
      <c r="N29" s="100">
        <v>23.8</v>
      </c>
      <c r="O29" s="100">
        <v>0</v>
      </c>
      <c r="P29" s="100">
        <v>0.5</v>
      </c>
      <c r="Q29" s="100">
        <v>28.9</v>
      </c>
      <c r="R29" s="6"/>
      <c r="S29" s="6"/>
      <c r="T29" s="156"/>
      <c r="U29" s="6"/>
    </row>
    <row r="30" spans="1:21" customFormat="1">
      <c r="A30" s="163" t="s">
        <v>3045</v>
      </c>
      <c r="B30" s="100">
        <v>6.69</v>
      </c>
      <c r="C30" s="100">
        <v>12.09</v>
      </c>
      <c r="D30" s="100">
        <v>10.69</v>
      </c>
      <c r="E30" s="100">
        <v>5.83</v>
      </c>
      <c r="F30" s="100">
        <v>2.87</v>
      </c>
      <c r="G30" s="100">
        <v>38.130000000000003</v>
      </c>
      <c r="H30" s="100">
        <v>15.73</v>
      </c>
      <c r="I30" s="100">
        <v>13.58</v>
      </c>
      <c r="J30" s="100">
        <v>3.71</v>
      </c>
      <c r="K30" s="100">
        <v>200.8</v>
      </c>
      <c r="L30" s="100">
        <v>25.2</v>
      </c>
      <c r="M30" s="100">
        <v>84.97</v>
      </c>
      <c r="N30" s="100">
        <v>27.4</v>
      </c>
      <c r="O30" s="100">
        <v>0</v>
      </c>
      <c r="P30" s="100">
        <v>0.53</v>
      </c>
      <c r="Q30" s="100">
        <v>28.86</v>
      </c>
      <c r="R30" s="6"/>
      <c r="S30" s="6"/>
      <c r="T30" s="156"/>
      <c r="U30" s="6"/>
    </row>
    <row r="31" spans="1:21" customFormat="1">
      <c r="A31" s="163" t="s">
        <v>3046</v>
      </c>
      <c r="B31" s="100">
        <v>6.92</v>
      </c>
      <c r="C31" s="100">
        <v>11.37</v>
      </c>
      <c r="D31" s="100">
        <v>10.49</v>
      </c>
      <c r="E31" s="100">
        <v>6.55</v>
      </c>
      <c r="F31" s="100">
        <v>2.77</v>
      </c>
      <c r="G31" s="100">
        <v>38.130000000000003</v>
      </c>
      <c r="H31" s="100">
        <v>15.73</v>
      </c>
      <c r="I31" s="100">
        <v>13.59</v>
      </c>
      <c r="J31" s="100">
        <v>4.0599999999999996</v>
      </c>
      <c r="K31" s="100">
        <v>212.03</v>
      </c>
      <c r="L31" s="100">
        <v>25.5</v>
      </c>
      <c r="M31" s="100">
        <v>82.91</v>
      </c>
      <c r="N31" s="100">
        <v>37.200000000000003</v>
      </c>
      <c r="O31" s="100">
        <v>0</v>
      </c>
      <c r="P31" s="100">
        <v>0.52</v>
      </c>
      <c r="Q31" s="100">
        <v>28.9</v>
      </c>
      <c r="R31" s="6"/>
      <c r="S31" s="6"/>
      <c r="T31" s="156"/>
      <c r="U31" s="6"/>
    </row>
    <row r="32" spans="1:21" customFormat="1">
      <c r="A32" s="163" t="s">
        <v>3047</v>
      </c>
      <c r="B32" s="100">
        <v>7.02</v>
      </c>
      <c r="C32" s="100">
        <v>9.92</v>
      </c>
      <c r="D32" s="100">
        <v>9.82</v>
      </c>
      <c r="E32" s="100">
        <v>6.52</v>
      </c>
      <c r="F32" s="100">
        <v>2.85</v>
      </c>
      <c r="G32" s="100">
        <v>38.39</v>
      </c>
      <c r="H32" s="100">
        <v>15.9</v>
      </c>
      <c r="I32" s="100">
        <v>13.69</v>
      </c>
      <c r="J32" s="100">
        <v>4.55</v>
      </c>
      <c r="K32" s="100">
        <v>222.95</v>
      </c>
      <c r="L32" s="100">
        <v>25.72</v>
      </c>
      <c r="M32" s="100">
        <v>81.41</v>
      </c>
      <c r="N32" s="100">
        <v>52.3</v>
      </c>
      <c r="O32" s="100">
        <v>0</v>
      </c>
      <c r="P32" s="100">
        <v>0.51</v>
      </c>
      <c r="Q32" s="100">
        <v>28.99</v>
      </c>
      <c r="R32" s="6"/>
      <c r="S32" s="6"/>
      <c r="T32" s="156"/>
      <c r="U32" s="6"/>
    </row>
    <row r="33" spans="1:21" customFormat="1">
      <c r="A33" s="163" t="s">
        <v>3048</v>
      </c>
      <c r="B33" s="100">
        <v>7.19</v>
      </c>
      <c r="C33" s="100">
        <v>7.72</v>
      </c>
      <c r="D33" s="100">
        <v>8.8000000000000007</v>
      </c>
      <c r="E33" s="100">
        <v>6.19</v>
      </c>
      <c r="F33" s="100">
        <v>3.4</v>
      </c>
      <c r="G33" s="100">
        <v>39.369999999999997</v>
      </c>
      <c r="H33" s="100">
        <v>16.559999999999999</v>
      </c>
      <c r="I33" s="100">
        <v>13.72</v>
      </c>
      <c r="J33" s="100">
        <v>4.46</v>
      </c>
      <c r="K33" s="100">
        <v>227.56</v>
      </c>
      <c r="L33" s="100">
        <v>26.05</v>
      </c>
      <c r="M33" s="100">
        <v>78.47</v>
      </c>
      <c r="N33" s="100">
        <v>71.2</v>
      </c>
      <c r="O33" s="100">
        <v>0</v>
      </c>
      <c r="P33" s="100">
        <v>0.49</v>
      </c>
      <c r="Q33" s="100">
        <v>29.08</v>
      </c>
      <c r="R33" s="6"/>
      <c r="S33" s="6"/>
      <c r="T33" s="156"/>
      <c r="U33" s="6"/>
    </row>
    <row r="34" spans="1:21" customFormat="1">
      <c r="A34" s="163" t="s">
        <v>3049</v>
      </c>
      <c r="B34" s="100">
        <v>7.15</v>
      </c>
      <c r="C34" s="100">
        <v>8.24</v>
      </c>
      <c r="D34" s="100">
        <v>9.0399999999999991</v>
      </c>
      <c r="E34" s="100">
        <v>6.06</v>
      </c>
      <c r="F34" s="100">
        <v>3.12</v>
      </c>
      <c r="G34" s="100">
        <v>39.369999999999997</v>
      </c>
      <c r="H34" s="100">
        <v>16.559999999999999</v>
      </c>
      <c r="I34" s="100">
        <v>13.74</v>
      </c>
      <c r="J34" s="100">
        <v>4.4000000000000004</v>
      </c>
      <c r="K34" s="100">
        <v>216.79</v>
      </c>
      <c r="L34" s="100">
        <v>26.4</v>
      </c>
      <c r="M34" s="100">
        <v>75.23</v>
      </c>
      <c r="N34" s="100">
        <v>91.1</v>
      </c>
      <c r="O34" s="100">
        <v>0</v>
      </c>
      <c r="P34" s="100">
        <v>0.51</v>
      </c>
      <c r="Q34" s="100">
        <v>29.08</v>
      </c>
      <c r="R34" s="6"/>
      <c r="S34" s="6"/>
      <c r="T34" s="156"/>
      <c r="U34" s="6"/>
    </row>
    <row r="35" spans="1:21" customFormat="1">
      <c r="A35" s="163" t="s">
        <v>3050</v>
      </c>
      <c r="B35" s="100">
        <v>7.01</v>
      </c>
      <c r="C35" s="100">
        <v>9.49</v>
      </c>
      <c r="D35" s="100">
        <v>9.59</v>
      </c>
      <c r="E35" s="100">
        <v>6.24</v>
      </c>
      <c r="F35" s="100">
        <v>3.39</v>
      </c>
      <c r="G35" s="100">
        <v>39.369999999999997</v>
      </c>
      <c r="H35" s="100">
        <v>16.559999999999999</v>
      </c>
      <c r="I35" s="100">
        <v>13.58</v>
      </c>
      <c r="J35" s="100">
        <v>4.76</v>
      </c>
      <c r="K35" s="100">
        <v>226.83</v>
      </c>
      <c r="L35" s="100">
        <v>26.59</v>
      </c>
      <c r="M35" s="100">
        <v>72.75</v>
      </c>
      <c r="N35" s="100">
        <v>119.5</v>
      </c>
      <c r="O35" s="100">
        <v>0</v>
      </c>
      <c r="P35" s="100">
        <v>0.49</v>
      </c>
      <c r="Q35" s="100">
        <v>29.01</v>
      </c>
      <c r="R35" s="6"/>
      <c r="S35" s="6"/>
      <c r="T35" s="156"/>
      <c r="U35" s="6"/>
    </row>
    <row r="36" spans="1:21" customFormat="1">
      <c r="A36" s="163" t="s">
        <v>3051</v>
      </c>
      <c r="B36" s="100">
        <v>6.53</v>
      </c>
      <c r="C36" s="100">
        <v>8.49</v>
      </c>
      <c r="D36" s="100">
        <v>8.68</v>
      </c>
      <c r="E36" s="100">
        <v>5.97</v>
      </c>
      <c r="F36" s="100">
        <v>4.58</v>
      </c>
      <c r="G36" s="100">
        <v>38.14</v>
      </c>
      <c r="H36" s="100">
        <v>16.12</v>
      </c>
      <c r="I36" s="100">
        <v>13.43</v>
      </c>
      <c r="J36" s="100">
        <v>5.31</v>
      </c>
      <c r="K36" s="100">
        <v>239.14</v>
      </c>
      <c r="L36" s="100">
        <v>26.67</v>
      </c>
      <c r="M36" s="100">
        <v>71.03</v>
      </c>
      <c r="N36" s="100">
        <v>136.30000000000001</v>
      </c>
      <c r="O36" s="100">
        <v>0</v>
      </c>
      <c r="P36" s="100">
        <v>0.47</v>
      </c>
      <c r="Q36" s="100">
        <v>29.07</v>
      </c>
      <c r="R36" s="6"/>
      <c r="S36" s="6"/>
      <c r="T36" s="156"/>
      <c r="U36" s="6"/>
    </row>
    <row r="37" spans="1:21" customFormat="1">
      <c r="A37" s="163" t="s">
        <v>3052</v>
      </c>
      <c r="B37" s="100">
        <v>5.82</v>
      </c>
      <c r="C37" s="100">
        <v>8.64</v>
      </c>
      <c r="D37" s="100">
        <v>8.18</v>
      </c>
      <c r="E37" s="100">
        <v>6.16</v>
      </c>
      <c r="F37" s="100">
        <v>3.92</v>
      </c>
      <c r="G37" s="100">
        <v>33.54</v>
      </c>
      <c r="H37" s="100">
        <v>14.47</v>
      </c>
      <c r="I37" s="100">
        <v>13.15</v>
      </c>
      <c r="J37" s="100">
        <v>4.4800000000000004</v>
      </c>
      <c r="K37" s="100">
        <v>220.17</v>
      </c>
      <c r="L37" s="100">
        <v>26.83</v>
      </c>
      <c r="M37" s="100">
        <v>70.349999999999994</v>
      </c>
      <c r="N37" s="100">
        <v>161</v>
      </c>
      <c r="O37" s="100">
        <v>0</v>
      </c>
      <c r="P37" s="100">
        <v>0.46</v>
      </c>
      <c r="Q37" s="100">
        <v>29.11</v>
      </c>
      <c r="R37" s="6"/>
      <c r="S37" s="6"/>
      <c r="T37" s="156"/>
      <c r="U37" s="6"/>
    </row>
    <row r="38" spans="1:21" customFormat="1">
      <c r="A38" s="163" t="s">
        <v>3053</v>
      </c>
      <c r="B38" s="100">
        <v>5.28</v>
      </c>
      <c r="C38" s="100">
        <v>9.18</v>
      </c>
      <c r="D38" s="100">
        <v>8.0399999999999991</v>
      </c>
      <c r="E38" s="100">
        <v>6.04</v>
      </c>
      <c r="F38" s="100">
        <v>3.65</v>
      </c>
      <c r="G38" s="100">
        <v>33.54</v>
      </c>
      <c r="H38" s="100">
        <v>14.47</v>
      </c>
      <c r="I38" s="100">
        <v>12.71</v>
      </c>
      <c r="J38" s="100">
        <v>4.9400000000000004</v>
      </c>
      <c r="K38" s="100">
        <v>239.78</v>
      </c>
      <c r="L38" s="100">
        <v>27.01</v>
      </c>
      <c r="M38" s="100">
        <v>70.41</v>
      </c>
      <c r="N38" s="100">
        <v>165.7</v>
      </c>
      <c r="O38" s="100">
        <v>0</v>
      </c>
      <c r="P38" s="100">
        <v>0.46</v>
      </c>
      <c r="Q38" s="100">
        <v>29.11</v>
      </c>
      <c r="R38" s="6"/>
      <c r="S38" s="6"/>
      <c r="T38" s="156"/>
      <c r="U38" s="6"/>
    </row>
    <row r="39" spans="1:21" customFormat="1">
      <c r="A39" s="163" t="s">
        <v>3054</v>
      </c>
      <c r="B39" s="100">
        <v>4.93</v>
      </c>
      <c r="C39" s="100">
        <v>9.51</v>
      </c>
      <c r="D39" s="100">
        <v>7.92</v>
      </c>
      <c r="E39" s="100">
        <v>5.85</v>
      </c>
      <c r="F39" s="100">
        <v>4.05</v>
      </c>
      <c r="G39" s="100">
        <v>33.54</v>
      </c>
      <c r="H39" s="100">
        <v>14.47</v>
      </c>
      <c r="I39" s="100">
        <v>12.4</v>
      </c>
      <c r="J39" s="100">
        <v>5.0599999999999996</v>
      </c>
      <c r="K39" s="100">
        <v>244.4</v>
      </c>
      <c r="L39" s="100">
        <v>27.36</v>
      </c>
      <c r="M39" s="100">
        <v>69.959999999999994</v>
      </c>
      <c r="N39" s="100">
        <v>175.5</v>
      </c>
      <c r="O39" s="100">
        <v>0</v>
      </c>
      <c r="P39" s="100">
        <v>0.46</v>
      </c>
      <c r="Q39" s="100">
        <v>29.11</v>
      </c>
      <c r="R39" s="6"/>
      <c r="S39" s="6"/>
      <c r="T39" s="156"/>
      <c r="U39" s="6"/>
    </row>
    <row r="40" spans="1:21" customFormat="1">
      <c r="A40" s="163" t="s">
        <v>3055</v>
      </c>
      <c r="B40" s="100">
        <v>4.9800000000000004</v>
      </c>
      <c r="C40" s="100">
        <v>9.73</v>
      </c>
      <c r="D40" s="100">
        <v>8.08</v>
      </c>
      <c r="E40" s="100">
        <v>6.03</v>
      </c>
      <c r="F40" s="100">
        <v>4.32</v>
      </c>
      <c r="G40" s="100">
        <v>34.14</v>
      </c>
      <c r="H40" s="100">
        <v>14.67</v>
      </c>
      <c r="I40" s="100">
        <v>12.08</v>
      </c>
      <c r="J40" s="100">
        <v>4.8499999999999996</v>
      </c>
      <c r="K40" s="100">
        <v>233.8</v>
      </c>
      <c r="L40" s="100">
        <v>27.62</v>
      </c>
      <c r="M40" s="100">
        <v>69.349999999999994</v>
      </c>
      <c r="N40" s="100">
        <v>251.2</v>
      </c>
      <c r="O40" s="100">
        <v>0</v>
      </c>
      <c r="P40" s="100">
        <v>0.47</v>
      </c>
      <c r="Q40" s="100">
        <v>29.1</v>
      </c>
      <c r="R40" s="6"/>
      <c r="S40" s="6"/>
      <c r="T40" s="156"/>
      <c r="U40" s="6"/>
    </row>
    <row r="41" spans="1:21" customFormat="1">
      <c r="A41" s="163" t="s">
        <v>3056</v>
      </c>
      <c r="B41" s="100">
        <v>5</v>
      </c>
      <c r="C41" s="100">
        <v>10.31</v>
      </c>
      <c r="D41" s="100">
        <v>8.4</v>
      </c>
      <c r="E41" s="100">
        <v>5.8</v>
      </c>
      <c r="F41" s="100">
        <v>3.91</v>
      </c>
      <c r="G41" s="100">
        <v>36.39</v>
      </c>
      <c r="H41" s="100">
        <v>15.39</v>
      </c>
      <c r="I41" s="100">
        <v>11.88</v>
      </c>
      <c r="J41" s="100">
        <v>5.07</v>
      </c>
      <c r="K41" s="100">
        <v>242.06</v>
      </c>
      <c r="L41" s="100">
        <v>27.99</v>
      </c>
      <c r="M41" s="100">
        <v>68.81</v>
      </c>
      <c r="N41" s="100">
        <v>376.8</v>
      </c>
      <c r="O41" s="100">
        <v>0</v>
      </c>
      <c r="P41" s="100">
        <v>0.49</v>
      </c>
      <c r="Q41" s="100">
        <v>29.03</v>
      </c>
      <c r="R41" s="6"/>
      <c r="S41" s="6"/>
      <c r="T41" s="156"/>
      <c r="U41" s="6"/>
    </row>
    <row r="42" spans="1:21" customFormat="1">
      <c r="A42" s="163" t="s">
        <v>3057</v>
      </c>
      <c r="B42" s="100">
        <v>4.99</v>
      </c>
      <c r="C42" s="100">
        <v>11.13</v>
      </c>
      <c r="D42" s="100">
        <v>8.82</v>
      </c>
      <c r="E42" s="100">
        <v>5.78</v>
      </c>
      <c r="F42" s="100">
        <v>3.85</v>
      </c>
      <c r="G42" s="100">
        <v>36.39</v>
      </c>
      <c r="H42" s="100">
        <v>15.39</v>
      </c>
      <c r="I42" s="100">
        <v>12.15</v>
      </c>
      <c r="J42" s="100">
        <v>5.59</v>
      </c>
      <c r="K42" s="100">
        <v>240.89</v>
      </c>
      <c r="L42" s="100">
        <v>28.48</v>
      </c>
      <c r="M42" s="100">
        <v>66.23</v>
      </c>
      <c r="N42" s="100">
        <v>428.8</v>
      </c>
      <c r="O42" s="100">
        <v>0</v>
      </c>
      <c r="P42" s="100">
        <v>0.54</v>
      </c>
      <c r="Q42" s="100">
        <v>28.98</v>
      </c>
      <c r="R42" s="6"/>
      <c r="S42" s="6"/>
      <c r="T42" s="156"/>
      <c r="U42" s="6"/>
    </row>
    <row r="43" spans="1:21" customFormat="1">
      <c r="A43" s="163" t="s">
        <v>3058</v>
      </c>
      <c r="B43" s="100">
        <v>4.79</v>
      </c>
      <c r="C43" s="100">
        <v>13.05</v>
      </c>
      <c r="D43" s="100">
        <v>9.67</v>
      </c>
      <c r="E43" s="100">
        <v>6.29</v>
      </c>
      <c r="F43" s="100">
        <v>3.36</v>
      </c>
      <c r="G43" s="100">
        <v>36.39</v>
      </c>
      <c r="H43" s="100">
        <v>15.39</v>
      </c>
      <c r="I43" s="100">
        <v>12.63</v>
      </c>
      <c r="J43" s="100">
        <v>6.18</v>
      </c>
      <c r="K43" s="100">
        <v>242.45</v>
      </c>
      <c r="L43" s="100">
        <v>28.63</v>
      </c>
      <c r="M43" s="100">
        <v>64.83</v>
      </c>
      <c r="N43" s="100">
        <v>472.2</v>
      </c>
      <c r="O43" s="100">
        <v>0</v>
      </c>
      <c r="P43" s="100">
        <v>0.54</v>
      </c>
      <c r="Q43" s="100">
        <v>28.91</v>
      </c>
      <c r="R43" s="6"/>
      <c r="S43" s="6"/>
      <c r="T43" s="156"/>
      <c r="U43" s="6"/>
    </row>
    <row r="44" spans="1:21" customFormat="1">
      <c r="A44" s="163" t="s">
        <v>3059</v>
      </c>
      <c r="B44" s="100">
        <v>4.26</v>
      </c>
      <c r="C44" s="100">
        <v>12.31</v>
      </c>
      <c r="D44" s="100">
        <v>8.85</v>
      </c>
      <c r="E44" s="100">
        <v>6.25</v>
      </c>
      <c r="F44" s="100">
        <v>3.41</v>
      </c>
      <c r="G44" s="100">
        <v>36.729999999999997</v>
      </c>
      <c r="H44" s="100">
        <v>15.44</v>
      </c>
      <c r="I44" s="100">
        <v>13.01</v>
      </c>
      <c r="J44" s="100">
        <v>6.01</v>
      </c>
      <c r="K44" s="100">
        <v>245.13</v>
      </c>
      <c r="L44" s="100">
        <v>28.48</v>
      </c>
      <c r="M44" s="100">
        <v>65.819999999999993</v>
      </c>
      <c r="N44" s="100">
        <v>299.2</v>
      </c>
      <c r="O44" s="100">
        <v>0</v>
      </c>
      <c r="P44" s="100">
        <v>0.52</v>
      </c>
      <c r="Q44" s="100">
        <v>28.98</v>
      </c>
      <c r="R44" s="6"/>
      <c r="S44" s="6"/>
      <c r="T44" s="156"/>
      <c r="U44" s="6"/>
    </row>
    <row r="45" spans="1:21" customFormat="1">
      <c r="A45" s="163" t="s">
        <v>3060</v>
      </c>
      <c r="B45" s="100">
        <v>3.85</v>
      </c>
      <c r="C45" s="100">
        <v>11.33</v>
      </c>
      <c r="D45" s="100">
        <v>8.01</v>
      </c>
      <c r="E45" s="100">
        <v>6.31</v>
      </c>
      <c r="F45" s="100">
        <v>4.03</v>
      </c>
      <c r="G45" s="100">
        <v>38</v>
      </c>
      <c r="H45" s="100">
        <v>15.64</v>
      </c>
      <c r="I45" s="100">
        <v>12.83</v>
      </c>
      <c r="J45" s="100">
        <v>5.68</v>
      </c>
      <c r="K45" s="100">
        <v>245</v>
      </c>
      <c r="L45" s="100">
        <v>28.6</v>
      </c>
      <c r="M45" s="100">
        <v>65.849999999999994</v>
      </c>
      <c r="N45" s="100">
        <v>309</v>
      </c>
      <c r="O45" s="100">
        <v>0</v>
      </c>
      <c r="P45" s="100">
        <v>0.51</v>
      </c>
      <c r="Q45" s="100">
        <v>29.06</v>
      </c>
      <c r="R45" s="6"/>
      <c r="S45" s="6"/>
      <c r="T45" s="156"/>
      <c r="U45" s="6"/>
    </row>
    <row r="46" spans="1:21" customFormat="1">
      <c r="A46" s="163" t="s">
        <v>3061</v>
      </c>
      <c r="B46" s="100">
        <v>3.58</v>
      </c>
      <c r="C46" s="100">
        <v>10</v>
      </c>
      <c r="D46" s="100">
        <v>7.1</v>
      </c>
      <c r="E46" s="100">
        <v>5.93</v>
      </c>
      <c r="F46" s="100">
        <v>4.51</v>
      </c>
      <c r="G46" s="100">
        <v>38</v>
      </c>
      <c r="H46" s="100">
        <v>15.64</v>
      </c>
      <c r="I46" s="100">
        <v>12.73</v>
      </c>
      <c r="J46" s="100">
        <v>5.61</v>
      </c>
      <c r="K46" s="100">
        <v>254.75</v>
      </c>
      <c r="L46" s="100">
        <v>28.82</v>
      </c>
      <c r="M46" s="100">
        <v>65.03</v>
      </c>
      <c r="N46" s="100">
        <v>347.9</v>
      </c>
      <c r="O46" s="100">
        <v>0</v>
      </c>
      <c r="P46" s="100">
        <v>0.52</v>
      </c>
      <c r="Q46" s="100">
        <v>29.17</v>
      </c>
      <c r="R46" s="6"/>
      <c r="S46" s="6"/>
      <c r="T46" s="156"/>
      <c r="U46" s="6"/>
    </row>
    <row r="47" spans="1:21" customFormat="1">
      <c r="A47" s="163" t="s">
        <v>3062</v>
      </c>
      <c r="B47" s="100">
        <v>3.25</v>
      </c>
      <c r="C47" s="100">
        <v>10.27</v>
      </c>
      <c r="D47" s="100">
        <v>6.98</v>
      </c>
      <c r="E47" s="100">
        <v>6.08</v>
      </c>
      <c r="F47" s="100">
        <v>4.26</v>
      </c>
      <c r="G47" s="100">
        <v>38</v>
      </c>
      <c r="H47" s="100">
        <v>15.64</v>
      </c>
      <c r="I47" s="100">
        <v>12.61</v>
      </c>
      <c r="J47" s="100">
        <v>5.78</v>
      </c>
      <c r="K47" s="100">
        <v>239.28</v>
      </c>
      <c r="L47" s="100">
        <v>28.69</v>
      </c>
      <c r="M47" s="100">
        <v>65.790000000000006</v>
      </c>
      <c r="N47" s="100">
        <v>369.7</v>
      </c>
      <c r="O47" s="100">
        <v>0</v>
      </c>
      <c r="P47" s="100">
        <v>0.51</v>
      </c>
      <c r="Q47" s="100">
        <v>29.16</v>
      </c>
      <c r="R47" s="6"/>
      <c r="S47" s="6"/>
      <c r="T47" s="156"/>
      <c r="U47" s="6"/>
    </row>
    <row r="48" spans="1:21" customFormat="1">
      <c r="A48" s="163" t="s">
        <v>3063</v>
      </c>
      <c r="B48" s="100">
        <v>3.09</v>
      </c>
      <c r="C48" s="100">
        <v>10</v>
      </c>
      <c r="D48" s="100">
        <v>6.71</v>
      </c>
      <c r="E48" s="100">
        <v>5.97</v>
      </c>
      <c r="F48" s="100">
        <v>5.28</v>
      </c>
      <c r="G48" s="100">
        <v>38.07</v>
      </c>
      <c r="H48" s="100">
        <v>15.36</v>
      </c>
      <c r="I48" s="100">
        <v>12.46</v>
      </c>
      <c r="J48" s="100">
        <v>4.96</v>
      </c>
      <c r="K48" s="100">
        <v>228.63</v>
      </c>
      <c r="L48" s="100">
        <v>28.97</v>
      </c>
      <c r="M48" s="100">
        <v>65.510000000000005</v>
      </c>
      <c r="N48" s="100">
        <v>442.3</v>
      </c>
      <c r="O48" s="100">
        <v>0</v>
      </c>
      <c r="P48" s="100">
        <v>0.5</v>
      </c>
      <c r="Q48" s="100">
        <v>29.21</v>
      </c>
      <c r="R48" s="6"/>
      <c r="S48" s="6"/>
      <c r="T48" s="156"/>
      <c r="U48" s="6"/>
    </row>
    <row r="49" spans="1:21" customFormat="1">
      <c r="A49" s="163" t="s">
        <v>3064</v>
      </c>
      <c r="B49" s="100">
        <v>3.05</v>
      </c>
      <c r="C49" s="100">
        <v>10.4</v>
      </c>
      <c r="D49" s="100">
        <v>6.89</v>
      </c>
      <c r="E49" s="100">
        <v>5.98</v>
      </c>
      <c r="F49" s="100">
        <v>7.64</v>
      </c>
      <c r="G49" s="100">
        <v>38.33</v>
      </c>
      <c r="H49" s="100">
        <v>14.33</v>
      </c>
      <c r="I49" s="100">
        <v>12.38</v>
      </c>
      <c r="J49" s="100">
        <v>5</v>
      </c>
      <c r="K49" s="100">
        <v>233.6</v>
      </c>
      <c r="L49" s="100">
        <v>29.48</v>
      </c>
      <c r="M49" s="100">
        <v>64.12</v>
      </c>
      <c r="N49" s="100">
        <v>507.5</v>
      </c>
      <c r="O49" s="100">
        <v>0</v>
      </c>
      <c r="P49" s="100">
        <v>0.5</v>
      </c>
      <c r="Q49" s="100">
        <v>29.21</v>
      </c>
      <c r="R49" s="6"/>
      <c r="S49" s="6"/>
      <c r="T49" s="156"/>
      <c r="U49" s="6"/>
    </row>
    <row r="50" spans="1:21" customFormat="1">
      <c r="A50" s="163" t="s">
        <v>3065</v>
      </c>
      <c r="B50" s="100">
        <v>3.46</v>
      </c>
      <c r="C50" s="100">
        <v>10.37</v>
      </c>
      <c r="D50" s="100">
        <v>7.2</v>
      </c>
      <c r="E50" s="100">
        <v>6.02</v>
      </c>
      <c r="F50" s="100">
        <v>5.87</v>
      </c>
      <c r="G50" s="100">
        <v>38.33</v>
      </c>
      <c r="H50" s="100">
        <v>14.33</v>
      </c>
      <c r="I50" s="100">
        <v>12.34</v>
      </c>
      <c r="J50" s="100">
        <v>5.3</v>
      </c>
      <c r="K50" s="100">
        <v>241.41</v>
      </c>
      <c r="L50" s="100">
        <v>29.78</v>
      </c>
      <c r="M50" s="100">
        <v>62.83</v>
      </c>
      <c r="N50" s="100">
        <v>581.29999999999995</v>
      </c>
      <c r="O50" s="100">
        <v>0</v>
      </c>
      <c r="P50" s="100">
        <v>0.51</v>
      </c>
      <c r="Q50" s="100">
        <v>29.17</v>
      </c>
      <c r="R50" s="6"/>
      <c r="S50" s="6"/>
      <c r="T50" s="156"/>
      <c r="U50" s="6"/>
    </row>
    <row r="51" spans="1:21" customFormat="1">
      <c r="A51" s="163" t="s">
        <v>3066</v>
      </c>
      <c r="B51" s="100">
        <v>2.83</v>
      </c>
      <c r="C51" s="100">
        <v>10.73</v>
      </c>
      <c r="D51" s="100">
        <v>6.88</v>
      </c>
      <c r="E51" s="100">
        <v>5.89</v>
      </c>
      <c r="F51" s="100">
        <v>7.65</v>
      </c>
      <c r="G51" s="100">
        <v>38.33</v>
      </c>
      <c r="H51" s="100">
        <v>14.33</v>
      </c>
      <c r="I51" s="100">
        <v>12.31</v>
      </c>
      <c r="J51" s="100">
        <v>4.78</v>
      </c>
      <c r="K51" s="100">
        <v>245.54</v>
      </c>
      <c r="L51" s="100">
        <v>30.16</v>
      </c>
      <c r="M51" s="100">
        <v>61.02</v>
      </c>
      <c r="N51" s="100">
        <v>667.7</v>
      </c>
      <c r="O51" s="100">
        <v>0</v>
      </c>
      <c r="P51" s="100">
        <v>0.51</v>
      </c>
      <c r="Q51" s="100">
        <v>29.16</v>
      </c>
      <c r="R51" s="6"/>
      <c r="S51" s="6"/>
      <c r="T51" s="156"/>
      <c r="U51" s="6"/>
    </row>
    <row r="52" spans="1:21" customFormat="1">
      <c r="A52" s="163" t="s">
        <v>3067</v>
      </c>
      <c r="B52" s="100">
        <v>2.56</v>
      </c>
      <c r="C52" s="100">
        <v>11.1</v>
      </c>
      <c r="D52" s="100">
        <v>6.86</v>
      </c>
      <c r="E52" s="100">
        <v>6.08</v>
      </c>
      <c r="F52" s="100">
        <v>7.47</v>
      </c>
      <c r="G52" s="100">
        <v>38.79</v>
      </c>
      <c r="H52" s="100">
        <v>14.63</v>
      </c>
      <c r="I52" s="100">
        <v>12.42</v>
      </c>
      <c r="J52" s="100">
        <v>4.96</v>
      </c>
      <c r="K52" s="100">
        <v>238.84</v>
      </c>
      <c r="L52" s="100">
        <v>30.63</v>
      </c>
      <c r="M52" s="100">
        <v>59.63</v>
      </c>
      <c r="N52" s="100">
        <v>714.9</v>
      </c>
      <c r="O52" s="100">
        <v>0</v>
      </c>
      <c r="P52" s="100">
        <v>0.53</v>
      </c>
      <c r="Q52" s="100">
        <v>29.2</v>
      </c>
      <c r="R52" s="6"/>
      <c r="S52" s="6"/>
      <c r="T52" s="156"/>
      <c r="U52" s="6"/>
    </row>
    <row r="53" spans="1:21" customFormat="1">
      <c r="A53" s="163" t="s">
        <v>3068</v>
      </c>
      <c r="B53" s="100">
        <v>2.4500000000000002</v>
      </c>
      <c r="C53" s="100">
        <v>11.04</v>
      </c>
      <c r="D53" s="100">
        <v>6.74</v>
      </c>
      <c r="E53" s="100">
        <v>6.06</v>
      </c>
      <c r="F53" s="100">
        <v>6.77</v>
      </c>
      <c r="G53" s="100">
        <v>40.53</v>
      </c>
      <c r="H53" s="100">
        <v>15.74</v>
      </c>
      <c r="I53" s="100">
        <v>12.45</v>
      </c>
      <c r="J53" s="100">
        <v>5.01</v>
      </c>
      <c r="K53" s="100">
        <v>235.4</v>
      </c>
      <c r="L53" s="100">
        <v>30.88</v>
      </c>
      <c r="M53" s="100">
        <v>59.58</v>
      </c>
      <c r="N53" s="100">
        <v>712.5</v>
      </c>
      <c r="O53" s="100">
        <v>0</v>
      </c>
      <c r="P53" s="100">
        <v>0.53</v>
      </c>
      <c r="Q53" s="100">
        <v>29.2</v>
      </c>
      <c r="R53" s="6"/>
      <c r="S53" s="6"/>
      <c r="T53" s="156"/>
      <c r="U53" s="6"/>
    </row>
    <row r="54" spans="1:21" customFormat="1">
      <c r="A54" s="163" t="s">
        <v>3069</v>
      </c>
      <c r="B54" s="100">
        <v>2.4700000000000002</v>
      </c>
      <c r="C54" s="100">
        <v>10.86</v>
      </c>
      <c r="D54" s="100">
        <v>6.66</v>
      </c>
      <c r="E54" s="100">
        <v>7.25</v>
      </c>
      <c r="F54" s="100">
        <v>10.44</v>
      </c>
      <c r="G54" s="100">
        <v>40.53</v>
      </c>
      <c r="H54" s="100">
        <v>15.74</v>
      </c>
      <c r="I54" s="100">
        <v>12.7</v>
      </c>
      <c r="J54" s="100">
        <v>4.0599999999999996</v>
      </c>
      <c r="K54" s="100">
        <v>205.72</v>
      </c>
      <c r="L54" s="100">
        <v>31.61</v>
      </c>
      <c r="M54" s="100">
        <v>57.66</v>
      </c>
      <c r="N54" s="100">
        <v>753.1</v>
      </c>
      <c r="O54" s="100">
        <v>0</v>
      </c>
      <c r="P54" s="100">
        <v>0.6</v>
      </c>
      <c r="Q54" s="100">
        <v>29.18</v>
      </c>
      <c r="R54" s="6"/>
      <c r="S54" s="6"/>
      <c r="T54" s="156"/>
      <c r="U54" s="6"/>
    </row>
    <row r="55" spans="1:21" customFormat="1">
      <c r="A55" s="163" t="s">
        <v>3070</v>
      </c>
      <c r="B55" s="100">
        <v>2.29</v>
      </c>
      <c r="C55" s="100">
        <v>11.21</v>
      </c>
      <c r="D55" s="100">
        <v>6.69</v>
      </c>
      <c r="E55" s="100">
        <v>7.09</v>
      </c>
      <c r="F55" s="100">
        <v>8.1199999999999992</v>
      </c>
      <c r="G55" s="100">
        <v>40.53</v>
      </c>
      <c r="H55" s="100">
        <v>15.74</v>
      </c>
      <c r="I55" s="100">
        <v>13.24</v>
      </c>
      <c r="J55" s="100">
        <v>3.13</v>
      </c>
      <c r="K55" s="100">
        <v>237.12</v>
      </c>
      <c r="L55" s="100">
        <v>31.63</v>
      </c>
      <c r="M55" s="100">
        <v>56.94</v>
      </c>
      <c r="N55" s="100">
        <v>759.4</v>
      </c>
      <c r="O55" s="100">
        <v>0</v>
      </c>
      <c r="P55" s="100">
        <v>0.63</v>
      </c>
      <c r="Q55" s="100">
        <v>29.15</v>
      </c>
      <c r="R55" s="6"/>
      <c r="S55" s="6"/>
      <c r="T55" s="156"/>
      <c r="U55" s="6"/>
    </row>
    <row r="56" spans="1:21" customFormat="1">
      <c r="A56" s="163" t="s">
        <v>3071</v>
      </c>
      <c r="B56" s="100">
        <v>2.09</v>
      </c>
      <c r="C56" s="100">
        <v>11.4</v>
      </c>
      <c r="D56" s="100">
        <v>6.64</v>
      </c>
      <c r="E56" s="100">
        <v>7.67</v>
      </c>
      <c r="F56" s="100">
        <v>10.29</v>
      </c>
      <c r="G56" s="100">
        <v>41.31</v>
      </c>
      <c r="H56" s="100">
        <v>16.86</v>
      </c>
      <c r="I56" s="100">
        <v>13.62</v>
      </c>
      <c r="J56" s="100">
        <v>3.16</v>
      </c>
      <c r="K56" s="100">
        <v>251.12</v>
      </c>
      <c r="L56" s="100">
        <v>32.450000000000003</v>
      </c>
      <c r="M56" s="100">
        <v>53.13</v>
      </c>
      <c r="N56" s="100">
        <v>762.7</v>
      </c>
      <c r="O56" s="100">
        <v>0</v>
      </c>
      <c r="P56" s="100">
        <v>0.63</v>
      </c>
      <c r="Q56" s="100">
        <v>29.17</v>
      </c>
      <c r="R56" s="6"/>
      <c r="S56" s="6"/>
      <c r="T56" s="156"/>
      <c r="U56" s="6"/>
    </row>
    <row r="57" spans="1:21" customFormat="1">
      <c r="A57" s="163" t="s">
        <v>3072</v>
      </c>
      <c r="B57" s="100">
        <v>2.14</v>
      </c>
      <c r="C57" s="100">
        <v>10.08</v>
      </c>
      <c r="D57" s="100">
        <v>5.99</v>
      </c>
      <c r="E57" s="100">
        <v>8.1199999999999992</v>
      </c>
      <c r="F57" s="100">
        <v>19.899999999999999</v>
      </c>
      <c r="G57" s="100">
        <v>44.25</v>
      </c>
      <c r="H57" s="100">
        <v>21.02</v>
      </c>
      <c r="I57" s="100">
        <v>13.78</v>
      </c>
      <c r="J57" s="100">
        <v>2.19</v>
      </c>
      <c r="K57" s="100">
        <v>261.23</v>
      </c>
      <c r="L57" s="100">
        <v>32.9</v>
      </c>
      <c r="M57" s="100">
        <v>50.88</v>
      </c>
      <c r="N57" s="100">
        <v>797.1</v>
      </c>
      <c r="O57" s="100">
        <v>0</v>
      </c>
      <c r="P57" s="100">
        <v>0.59</v>
      </c>
      <c r="Q57" s="100">
        <v>29.18</v>
      </c>
      <c r="R57" s="6"/>
      <c r="S57" s="6"/>
      <c r="T57" s="156"/>
      <c r="U57" s="6"/>
    </row>
    <row r="58" spans="1:21" customFormat="1">
      <c r="A58" s="163" t="s">
        <v>3073</v>
      </c>
      <c r="B58" s="100">
        <v>2.0499999999999998</v>
      </c>
      <c r="C58" s="100">
        <v>8.57</v>
      </c>
      <c r="D58" s="100">
        <v>5.13</v>
      </c>
      <c r="E58" s="100">
        <v>8.5500000000000007</v>
      </c>
      <c r="F58" s="100">
        <v>20.66</v>
      </c>
      <c r="G58" s="100">
        <v>44.25</v>
      </c>
      <c r="H58" s="100">
        <v>21.02</v>
      </c>
      <c r="I58" s="100">
        <v>13.72</v>
      </c>
      <c r="J58" s="100">
        <v>4.17</v>
      </c>
      <c r="K58" s="100">
        <v>227.16</v>
      </c>
      <c r="L58" s="100">
        <v>32.94</v>
      </c>
      <c r="M58" s="100">
        <v>50.75</v>
      </c>
      <c r="N58" s="100">
        <v>813.2</v>
      </c>
      <c r="O58" s="100">
        <v>0</v>
      </c>
      <c r="P58" s="100">
        <v>0.56999999999999995</v>
      </c>
      <c r="Q58" s="100">
        <v>29.41</v>
      </c>
      <c r="R58" s="6"/>
      <c r="S58" s="6"/>
      <c r="T58" s="156"/>
      <c r="U58" s="6"/>
    </row>
    <row r="59" spans="1:21" customFormat="1">
      <c r="A59" s="163" t="s">
        <v>3074</v>
      </c>
      <c r="B59" s="100">
        <v>2.04</v>
      </c>
      <c r="C59" s="100">
        <v>7.68</v>
      </c>
      <c r="D59" s="100">
        <v>4.66</v>
      </c>
      <c r="E59" s="100">
        <v>8.43</v>
      </c>
      <c r="F59" s="100">
        <v>12.89</v>
      </c>
      <c r="G59" s="100">
        <v>44.25</v>
      </c>
      <c r="H59" s="100">
        <v>21.02</v>
      </c>
      <c r="I59" s="100">
        <v>13.31</v>
      </c>
      <c r="J59" s="100">
        <v>4.4000000000000004</v>
      </c>
      <c r="K59" s="100">
        <v>244.45</v>
      </c>
      <c r="L59" s="100">
        <v>33.17</v>
      </c>
      <c r="M59" s="100">
        <v>49.35</v>
      </c>
      <c r="N59" s="100">
        <v>777.3</v>
      </c>
      <c r="O59" s="100">
        <v>0</v>
      </c>
      <c r="P59" s="100">
        <v>0.56000000000000005</v>
      </c>
      <c r="Q59" s="100">
        <v>29.42</v>
      </c>
      <c r="R59" s="6"/>
      <c r="S59" s="6"/>
      <c r="T59" s="156"/>
      <c r="U59" s="6"/>
    </row>
    <row r="60" spans="1:21" customFormat="1">
      <c r="A60" s="163" t="s">
        <v>3075</v>
      </c>
      <c r="B60" s="100">
        <v>2.04</v>
      </c>
      <c r="C60" s="100">
        <v>7.22</v>
      </c>
      <c r="D60" s="100">
        <v>4.41</v>
      </c>
      <c r="E60" s="100">
        <v>8.77</v>
      </c>
      <c r="F60" s="100">
        <v>20.350000000000001</v>
      </c>
      <c r="G60" s="100">
        <v>43.36</v>
      </c>
      <c r="H60" s="100">
        <v>20.65</v>
      </c>
      <c r="I60" s="100">
        <v>12.91</v>
      </c>
      <c r="J60" s="100">
        <v>2.5499999999999998</v>
      </c>
      <c r="K60" s="100">
        <v>245.21</v>
      </c>
      <c r="L60" s="100">
        <v>33.58</v>
      </c>
      <c r="M60" s="100">
        <v>48.33</v>
      </c>
      <c r="N60" s="100">
        <v>773.7</v>
      </c>
      <c r="O60" s="100">
        <v>0</v>
      </c>
      <c r="P60" s="100">
        <v>0.56999999999999995</v>
      </c>
      <c r="Q60" s="100">
        <v>29.42</v>
      </c>
      <c r="R60" s="6"/>
      <c r="S60" s="6"/>
      <c r="T60" s="156"/>
      <c r="U60" s="6"/>
    </row>
    <row r="61" spans="1:21" customFormat="1">
      <c r="A61" s="163" t="s">
        <v>3076</v>
      </c>
      <c r="B61" s="100">
        <v>2.02</v>
      </c>
      <c r="C61" s="100">
        <v>8.91</v>
      </c>
      <c r="D61" s="100">
        <v>5.28</v>
      </c>
      <c r="E61" s="100">
        <v>8.0399999999999991</v>
      </c>
      <c r="F61" s="100">
        <v>9.4</v>
      </c>
      <c r="G61" s="100">
        <v>40.04</v>
      </c>
      <c r="H61" s="100">
        <v>19.260000000000002</v>
      </c>
      <c r="I61" s="100">
        <v>12.9</v>
      </c>
      <c r="J61" s="100">
        <v>4.8499999999999996</v>
      </c>
      <c r="K61" s="100">
        <v>253.79</v>
      </c>
      <c r="L61" s="100">
        <v>33.56</v>
      </c>
      <c r="M61" s="100">
        <v>47.76</v>
      </c>
      <c r="N61" s="100">
        <v>775.1</v>
      </c>
      <c r="O61" s="100">
        <v>0</v>
      </c>
      <c r="P61" s="100">
        <v>0.57999999999999996</v>
      </c>
      <c r="Q61" s="100">
        <v>29.33</v>
      </c>
      <c r="R61" s="6"/>
      <c r="S61" s="6"/>
      <c r="T61" s="156"/>
      <c r="U61" s="6"/>
    </row>
    <row r="62" spans="1:21" customFormat="1">
      <c r="A62" s="163" t="s">
        <v>3077</v>
      </c>
      <c r="B62" s="100">
        <v>2.0499999999999998</v>
      </c>
      <c r="C62" s="100">
        <v>8.24</v>
      </c>
      <c r="D62" s="100">
        <v>4.96</v>
      </c>
      <c r="E62" s="100">
        <v>8.2899999999999991</v>
      </c>
      <c r="F62" s="100">
        <v>21.72</v>
      </c>
      <c r="G62" s="100">
        <v>40.04</v>
      </c>
      <c r="H62" s="100">
        <v>19.260000000000002</v>
      </c>
      <c r="I62" s="100">
        <v>12.53</v>
      </c>
      <c r="J62" s="100">
        <v>2.13</v>
      </c>
      <c r="K62" s="100">
        <v>250.49</v>
      </c>
      <c r="L62" s="100">
        <v>34.130000000000003</v>
      </c>
      <c r="M62" s="100">
        <v>46.18</v>
      </c>
      <c r="N62" s="100">
        <v>765.8</v>
      </c>
      <c r="O62" s="100">
        <v>0</v>
      </c>
      <c r="P62" s="100">
        <v>0.53</v>
      </c>
      <c r="Q62" s="100">
        <v>29.39</v>
      </c>
      <c r="R62" s="6"/>
      <c r="S62" s="6"/>
      <c r="T62" s="156"/>
      <c r="U62" s="6"/>
    </row>
    <row r="63" spans="1:21" customFormat="1">
      <c r="A63" s="163" t="s">
        <v>3078</v>
      </c>
      <c r="B63" s="100">
        <v>2.06</v>
      </c>
      <c r="C63" s="100">
        <v>7.47</v>
      </c>
      <c r="D63" s="100">
        <v>4.5599999999999996</v>
      </c>
      <c r="E63" s="100">
        <v>7.8</v>
      </c>
      <c r="F63" s="100">
        <v>19.600000000000001</v>
      </c>
      <c r="G63" s="100">
        <v>40.04</v>
      </c>
      <c r="H63" s="100">
        <v>19.260000000000002</v>
      </c>
      <c r="I63" s="100">
        <v>12.5</v>
      </c>
      <c r="J63" s="100">
        <v>3.91</v>
      </c>
      <c r="K63" s="100">
        <v>252.26</v>
      </c>
      <c r="L63" s="100">
        <v>34.42</v>
      </c>
      <c r="M63" s="100">
        <v>45.36</v>
      </c>
      <c r="N63" s="100">
        <v>707.3</v>
      </c>
      <c r="O63" s="100">
        <v>0</v>
      </c>
      <c r="P63" s="100">
        <v>0.53</v>
      </c>
      <c r="Q63" s="100">
        <v>29.4</v>
      </c>
      <c r="R63" s="6"/>
      <c r="S63" s="6"/>
      <c r="T63" s="156"/>
      <c r="U63" s="6"/>
    </row>
    <row r="64" spans="1:21" customFormat="1">
      <c r="A64" s="163" t="s">
        <v>3079</v>
      </c>
      <c r="B64" s="100">
        <v>2.09</v>
      </c>
      <c r="C64" s="100">
        <v>7.79</v>
      </c>
      <c r="D64" s="100">
        <v>4.75</v>
      </c>
      <c r="E64" s="100">
        <v>8.07</v>
      </c>
      <c r="F64" s="100">
        <v>22.26</v>
      </c>
      <c r="G64" s="100">
        <v>39.24</v>
      </c>
      <c r="H64" s="100">
        <v>18.36</v>
      </c>
      <c r="I64" s="100">
        <v>11.82</v>
      </c>
      <c r="J64" s="100">
        <v>3.81</v>
      </c>
      <c r="K64" s="100">
        <v>234.22</v>
      </c>
      <c r="L64" s="100">
        <v>34.76</v>
      </c>
      <c r="M64" s="100">
        <v>43.85</v>
      </c>
      <c r="N64" s="100">
        <v>716.3</v>
      </c>
      <c r="O64" s="100">
        <v>0</v>
      </c>
      <c r="P64" s="100">
        <v>0.54</v>
      </c>
      <c r="Q64" s="100">
        <v>29.41</v>
      </c>
      <c r="R64" s="6"/>
      <c r="S64" s="6"/>
      <c r="T64" s="156"/>
      <c r="U64" s="6"/>
    </row>
    <row r="65" spans="1:21" customFormat="1">
      <c r="A65" s="163" t="s">
        <v>3080</v>
      </c>
      <c r="B65" s="100">
        <v>2.17</v>
      </c>
      <c r="C65" s="100">
        <v>8.5399999999999991</v>
      </c>
      <c r="D65" s="100">
        <v>5.21</v>
      </c>
      <c r="E65" s="100">
        <v>8.0399999999999991</v>
      </c>
      <c r="F65" s="100">
        <v>17.82</v>
      </c>
      <c r="G65" s="100">
        <v>36.22</v>
      </c>
      <c r="H65" s="100">
        <v>14.97</v>
      </c>
      <c r="I65" s="100">
        <v>12.04</v>
      </c>
      <c r="J65" s="100">
        <v>4.6399999999999997</v>
      </c>
      <c r="K65" s="100">
        <v>238.48</v>
      </c>
      <c r="L65" s="100">
        <v>35.32</v>
      </c>
      <c r="M65" s="100">
        <v>41.98</v>
      </c>
      <c r="N65" s="100">
        <v>692</v>
      </c>
      <c r="O65" s="100">
        <v>0</v>
      </c>
      <c r="P65" s="100">
        <v>0.54</v>
      </c>
      <c r="Q65" s="100">
        <v>29.4</v>
      </c>
      <c r="R65" s="6"/>
      <c r="S65" s="6"/>
      <c r="T65" s="156"/>
      <c r="U65" s="6"/>
    </row>
    <row r="66" spans="1:21" customFormat="1">
      <c r="A66" s="163" t="s">
        <v>3081</v>
      </c>
      <c r="B66" s="100">
        <v>2.2200000000000002</v>
      </c>
      <c r="C66" s="100">
        <v>8.4499999999999993</v>
      </c>
      <c r="D66" s="100">
        <v>5.2</v>
      </c>
      <c r="E66" s="100">
        <v>7.98</v>
      </c>
      <c r="F66" s="100">
        <v>10.71</v>
      </c>
      <c r="G66" s="100">
        <v>36.22</v>
      </c>
      <c r="H66" s="100">
        <v>14.97</v>
      </c>
      <c r="I66" s="100">
        <v>12.13</v>
      </c>
      <c r="J66" s="100">
        <v>4.74</v>
      </c>
      <c r="K66" s="100">
        <v>238.47</v>
      </c>
      <c r="L66" s="100">
        <v>35.18</v>
      </c>
      <c r="M66" s="100">
        <v>41.74</v>
      </c>
      <c r="N66" s="100">
        <v>662</v>
      </c>
      <c r="O66" s="100">
        <v>0</v>
      </c>
      <c r="P66" s="100">
        <v>0.54</v>
      </c>
      <c r="Q66" s="100">
        <v>29.35</v>
      </c>
      <c r="R66" s="6"/>
      <c r="S66" s="6"/>
      <c r="T66" s="156"/>
      <c r="U66" s="6"/>
    </row>
    <row r="67" spans="1:21" customFormat="1">
      <c r="A67" s="163" t="s">
        <v>3082</v>
      </c>
      <c r="B67" s="100">
        <v>2.1</v>
      </c>
      <c r="C67" s="100">
        <v>8.52</v>
      </c>
      <c r="D67" s="100">
        <v>5.14</v>
      </c>
      <c r="E67" s="100">
        <v>7.79</v>
      </c>
      <c r="F67" s="100">
        <v>16.71</v>
      </c>
      <c r="G67" s="100">
        <v>36.22</v>
      </c>
      <c r="H67" s="100">
        <v>14.97</v>
      </c>
      <c r="I67" s="100">
        <v>12.36</v>
      </c>
      <c r="J67" s="100">
        <v>3.36</v>
      </c>
      <c r="K67" s="100">
        <v>241.02</v>
      </c>
      <c r="L67" s="100">
        <v>35.24</v>
      </c>
      <c r="M67" s="100">
        <v>41.89</v>
      </c>
      <c r="N67" s="100">
        <v>607.9</v>
      </c>
      <c r="O67" s="100">
        <v>0</v>
      </c>
      <c r="P67" s="100">
        <v>0.52</v>
      </c>
      <c r="Q67" s="100">
        <v>29.34</v>
      </c>
      <c r="R67" s="6"/>
      <c r="S67" s="6"/>
      <c r="T67" s="156"/>
      <c r="U67" s="6"/>
    </row>
    <row r="68" spans="1:21" customFormat="1">
      <c r="A68" s="163" t="s">
        <v>3083</v>
      </c>
      <c r="B68" s="100">
        <v>2.0299999999999998</v>
      </c>
      <c r="C68" s="100">
        <v>7.93</v>
      </c>
      <c r="D68" s="100">
        <v>4.78</v>
      </c>
      <c r="E68" s="100">
        <v>7.94</v>
      </c>
      <c r="F68" s="100">
        <v>18.02</v>
      </c>
      <c r="G68" s="100">
        <v>36.520000000000003</v>
      </c>
      <c r="H68" s="100">
        <v>15.27</v>
      </c>
      <c r="I68" s="100">
        <v>12.07</v>
      </c>
      <c r="J68" s="100">
        <v>3.89</v>
      </c>
      <c r="K68" s="100">
        <v>200.76</v>
      </c>
      <c r="L68" s="100">
        <v>36.369999999999997</v>
      </c>
      <c r="M68" s="100">
        <v>39.93</v>
      </c>
      <c r="N68" s="100">
        <v>557.70000000000005</v>
      </c>
      <c r="O68" s="100">
        <v>0</v>
      </c>
      <c r="P68" s="100">
        <v>0.49</v>
      </c>
      <c r="Q68" s="100">
        <v>29.35</v>
      </c>
      <c r="R68" s="6"/>
      <c r="S68" s="6"/>
      <c r="T68" s="156"/>
      <c r="U68" s="6"/>
    </row>
    <row r="69" spans="1:21" customFormat="1">
      <c r="A69" s="163" t="s">
        <v>3084</v>
      </c>
      <c r="B69" s="100">
        <v>2.0299999999999998</v>
      </c>
      <c r="C69" s="100">
        <v>9.74</v>
      </c>
      <c r="D69" s="100">
        <v>5.72</v>
      </c>
      <c r="E69" s="100">
        <v>8.0299999999999994</v>
      </c>
      <c r="F69" s="100">
        <v>13.59</v>
      </c>
      <c r="G69" s="100">
        <v>37.6</v>
      </c>
      <c r="H69" s="100">
        <v>16.38</v>
      </c>
      <c r="I69" s="100">
        <v>11.49</v>
      </c>
      <c r="J69" s="100">
        <v>4.62</v>
      </c>
      <c r="K69" s="100">
        <v>227.61</v>
      </c>
      <c r="L69" s="100">
        <v>35.99</v>
      </c>
      <c r="M69" s="100">
        <v>40.28</v>
      </c>
      <c r="N69" s="100">
        <v>449.6</v>
      </c>
      <c r="O69" s="100">
        <v>0</v>
      </c>
      <c r="P69" s="100">
        <v>0.51</v>
      </c>
      <c r="Q69" s="100">
        <v>29.3</v>
      </c>
      <c r="R69" s="6"/>
      <c r="S69" s="6"/>
      <c r="T69" s="156"/>
      <c r="U69" s="6"/>
    </row>
    <row r="70" spans="1:21" customFormat="1">
      <c r="A70" s="163" t="s">
        <v>3085</v>
      </c>
      <c r="B70" s="100">
        <v>2.06</v>
      </c>
      <c r="C70" s="100">
        <v>8.48</v>
      </c>
      <c r="D70" s="100">
        <v>5.09</v>
      </c>
      <c r="E70" s="100">
        <v>8.1999999999999993</v>
      </c>
      <c r="F70" s="100">
        <v>11.45</v>
      </c>
      <c r="G70" s="100">
        <v>37.6</v>
      </c>
      <c r="H70" s="100">
        <v>16.38</v>
      </c>
      <c r="I70" s="100">
        <v>11.06</v>
      </c>
      <c r="J70" s="100">
        <v>5.94</v>
      </c>
      <c r="K70" s="100">
        <v>241.99</v>
      </c>
      <c r="L70" s="100">
        <v>34.79</v>
      </c>
      <c r="M70" s="100">
        <v>42.61</v>
      </c>
      <c r="N70" s="100">
        <v>177.3</v>
      </c>
      <c r="O70" s="100">
        <v>0</v>
      </c>
      <c r="P70" s="100">
        <v>0.53</v>
      </c>
      <c r="Q70" s="100">
        <v>29.36</v>
      </c>
      <c r="R70" s="6"/>
      <c r="S70" s="6"/>
      <c r="T70" s="156"/>
      <c r="U70" s="6"/>
    </row>
    <row r="71" spans="1:21" customFormat="1">
      <c r="A71" s="163" t="s">
        <v>3086</v>
      </c>
      <c r="B71" s="100">
        <v>2.0699999999999998</v>
      </c>
      <c r="C71" s="100">
        <v>7.78</v>
      </c>
      <c r="D71" s="100">
        <v>4.7300000000000004</v>
      </c>
      <c r="E71" s="100">
        <v>8.36</v>
      </c>
      <c r="F71" s="100">
        <v>9.4</v>
      </c>
      <c r="G71" s="100">
        <v>37.6</v>
      </c>
      <c r="H71" s="100">
        <v>16.38</v>
      </c>
      <c r="I71" s="100">
        <v>11.73</v>
      </c>
      <c r="J71" s="100">
        <v>6.17</v>
      </c>
      <c r="K71" s="100">
        <v>246.63</v>
      </c>
      <c r="L71" s="100">
        <v>31.76</v>
      </c>
      <c r="M71" s="100">
        <v>49.65</v>
      </c>
      <c r="N71" s="100">
        <v>110.3</v>
      </c>
      <c r="O71" s="100">
        <v>0</v>
      </c>
      <c r="P71" s="100">
        <v>0.52</v>
      </c>
      <c r="Q71" s="100">
        <v>29.4</v>
      </c>
      <c r="R71" s="6"/>
      <c r="S71" s="6"/>
      <c r="T71" s="156"/>
      <c r="U71" s="6"/>
    </row>
    <row r="72" spans="1:21" customFormat="1">
      <c r="A72" s="163" t="s">
        <v>3087</v>
      </c>
      <c r="B72" s="100">
        <v>2</v>
      </c>
      <c r="C72" s="100">
        <v>7.72</v>
      </c>
      <c r="D72" s="100">
        <v>4.6500000000000004</v>
      </c>
      <c r="E72" s="100">
        <v>7.73</v>
      </c>
      <c r="F72" s="100">
        <v>8.56</v>
      </c>
      <c r="G72" s="100">
        <v>37.880000000000003</v>
      </c>
      <c r="H72" s="100">
        <v>17.28</v>
      </c>
      <c r="I72" s="100">
        <v>12.07</v>
      </c>
      <c r="J72" s="100">
        <v>6.61</v>
      </c>
      <c r="K72" s="100">
        <v>241.34</v>
      </c>
      <c r="L72" s="100">
        <v>30.25</v>
      </c>
      <c r="M72" s="100">
        <v>51.65</v>
      </c>
      <c r="N72" s="100">
        <v>88.7</v>
      </c>
      <c r="O72" s="100">
        <v>0</v>
      </c>
      <c r="P72" s="100">
        <v>0.51</v>
      </c>
      <c r="Q72" s="100">
        <v>29.41</v>
      </c>
      <c r="R72" s="6"/>
      <c r="S72" s="6"/>
      <c r="T72" s="156"/>
      <c r="U72" s="6"/>
    </row>
    <row r="73" spans="1:21" customFormat="1">
      <c r="A73" s="163" t="s">
        <v>3088</v>
      </c>
      <c r="B73" s="100">
        <v>2</v>
      </c>
      <c r="C73" s="100">
        <v>8.93</v>
      </c>
      <c r="D73" s="100">
        <v>5.28</v>
      </c>
      <c r="E73" s="100">
        <v>7.44</v>
      </c>
      <c r="F73" s="100">
        <v>10.36</v>
      </c>
      <c r="G73" s="100">
        <v>38.9</v>
      </c>
      <c r="H73" s="100">
        <v>20.63</v>
      </c>
      <c r="I73" s="100">
        <v>12.53</v>
      </c>
      <c r="J73" s="100">
        <v>3.23</v>
      </c>
      <c r="K73" s="100">
        <v>253.06</v>
      </c>
      <c r="L73" s="100">
        <v>29.4</v>
      </c>
      <c r="M73" s="100">
        <v>54.31</v>
      </c>
      <c r="N73" s="100">
        <v>62.2</v>
      </c>
      <c r="O73" s="100">
        <v>0</v>
      </c>
      <c r="P73" s="100">
        <v>0.51</v>
      </c>
      <c r="Q73" s="100">
        <v>29.37</v>
      </c>
      <c r="R73" s="6"/>
      <c r="S73" s="6"/>
      <c r="T73" s="156"/>
      <c r="U73" s="6"/>
    </row>
    <row r="74" spans="1:21" customFormat="1">
      <c r="A74" s="163" t="s">
        <v>3089</v>
      </c>
      <c r="B74" s="100">
        <v>2.0499999999999998</v>
      </c>
      <c r="C74" s="100">
        <v>9.24</v>
      </c>
      <c r="D74" s="100">
        <v>5.48</v>
      </c>
      <c r="E74" s="100">
        <v>7.87</v>
      </c>
      <c r="F74" s="100">
        <v>11.03</v>
      </c>
      <c r="G74" s="100">
        <v>38.9</v>
      </c>
      <c r="H74" s="100">
        <v>20.63</v>
      </c>
      <c r="I74" s="100">
        <v>12.7</v>
      </c>
      <c r="J74" s="100">
        <v>1.82</v>
      </c>
      <c r="K74" s="100">
        <v>212.26</v>
      </c>
      <c r="L74" s="100">
        <v>29.46</v>
      </c>
      <c r="M74" s="100">
        <v>54.19</v>
      </c>
      <c r="N74" s="100">
        <v>51.8</v>
      </c>
      <c r="O74" s="100">
        <v>0</v>
      </c>
      <c r="P74" s="100">
        <v>0.49</v>
      </c>
      <c r="Q74" s="100">
        <v>29.39</v>
      </c>
      <c r="R74" s="6"/>
      <c r="S74" s="6"/>
      <c r="T74" s="156"/>
      <c r="U74" s="6"/>
    </row>
    <row r="75" spans="1:21" customFormat="1">
      <c r="A75" s="163" t="s">
        <v>3090</v>
      </c>
      <c r="B75" s="100">
        <v>2.58</v>
      </c>
      <c r="C75" s="100">
        <v>11.61</v>
      </c>
      <c r="D75" s="100">
        <v>7.14</v>
      </c>
      <c r="E75" s="100">
        <v>8.4</v>
      </c>
      <c r="F75" s="100">
        <v>23.03</v>
      </c>
      <c r="G75" s="100">
        <v>38.9</v>
      </c>
      <c r="H75" s="100">
        <v>20.63</v>
      </c>
      <c r="I75" s="100">
        <v>12.3</v>
      </c>
      <c r="J75" s="100">
        <v>2.23</v>
      </c>
      <c r="K75" s="100">
        <v>78.05</v>
      </c>
      <c r="L75" s="100">
        <v>29.43</v>
      </c>
      <c r="M75" s="100">
        <v>55.78</v>
      </c>
      <c r="N75" s="100">
        <v>45.9</v>
      </c>
      <c r="O75" s="100">
        <v>0</v>
      </c>
      <c r="P75" s="100">
        <v>0.53</v>
      </c>
      <c r="Q75" s="100">
        <v>29.31</v>
      </c>
      <c r="R75" s="6"/>
      <c r="S75" s="6"/>
      <c r="T75" s="156"/>
      <c r="U75" s="6"/>
    </row>
    <row r="76" spans="1:21" customFormat="1">
      <c r="A76" s="163" t="s">
        <v>3091</v>
      </c>
      <c r="B76" s="100">
        <v>3.01</v>
      </c>
      <c r="C76" s="100">
        <v>14.54</v>
      </c>
      <c r="D76" s="100">
        <v>9.02</v>
      </c>
      <c r="E76" s="100">
        <v>8.24</v>
      </c>
      <c r="F76" s="100">
        <v>22.66</v>
      </c>
      <c r="G76" s="100">
        <v>38.81</v>
      </c>
      <c r="H76" s="100">
        <v>19.95</v>
      </c>
      <c r="I76" s="100">
        <v>11.73</v>
      </c>
      <c r="J76" s="100">
        <v>3.75</v>
      </c>
      <c r="K76" s="100">
        <v>49.72</v>
      </c>
      <c r="L76" s="100">
        <v>29.33</v>
      </c>
      <c r="M76" s="100">
        <v>57.09</v>
      </c>
      <c r="N76" s="100">
        <v>46.1</v>
      </c>
      <c r="O76" s="100">
        <v>0</v>
      </c>
      <c r="P76" s="100">
        <v>0.54</v>
      </c>
      <c r="Q76" s="100">
        <v>29.18</v>
      </c>
      <c r="R76" s="6"/>
      <c r="S76" s="6"/>
      <c r="T76" s="156"/>
      <c r="U76" s="6"/>
    </row>
    <row r="77" spans="1:21" customFormat="1">
      <c r="A77" s="163" t="s">
        <v>3092</v>
      </c>
      <c r="B77" s="100">
        <v>3.23</v>
      </c>
      <c r="C77" s="100">
        <v>16.09</v>
      </c>
      <c r="D77" s="100">
        <v>10</v>
      </c>
      <c r="E77" s="100">
        <v>6.29</v>
      </c>
      <c r="F77" s="100">
        <v>17.190000000000001</v>
      </c>
      <c r="G77" s="100">
        <v>38.479999999999997</v>
      </c>
      <c r="H77" s="100">
        <v>17.43</v>
      </c>
      <c r="I77" s="100">
        <v>11.49</v>
      </c>
      <c r="J77" s="100">
        <v>1.55</v>
      </c>
      <c r="K77" s="100">
        <v>138.56</v>
      </c>
      <c r="L77" s="100">
        <v>28.84</v>
      </c>
      <c r="M77" s="100">
        <v>62.84</v>
      </c>
      <c r="N77" s="100">
        <v>50.8</v>
      </c>
      <c r="O77" s="100">
        <v>0</v>
      </c>
      <c r="P77" s="100">
        <v>0.61</v>
      </c>
      <c r="Q77" s="100">
        <v>29.08</v>
      </c>
      <c r="R77" s="6"/>
      <c r="S77" s="6"/>
      <c r="T77" s="156"/>
      <c r="U77" s="6"/>
    </row>
    <row r="78" spans="1:21" customFormat="1">
      <c r="A78" s="163" t="s">
        <v>3093</v>
      </c>
      <c r="B78" s="100">
        <v>2.83</v>
      </c>
      <c r="C78" s="100">
        <v>14.75</v>
      </c>
      <c r="D78" s="100">
        <v>8.98</v>
      </c>
      <c r="E78" s="100">
        <v>6.96</v>
      </c>
      <c r="F78" s="100">
        <v>16.18</v>
      </c>
      <c r="G78" s="100">
        <v>38.479999999999997</v>
      </c>
      <c r="H78" s="100">
        <v>17.43</v>
      </c>
      <c r="I78" s="100">
        <v>11.98</v>
      </c>
      <c r="J78" s="100">
        <v>3.34</v>
      </c>
      <c r="K78" s="100">
        <v>155.28</v>
      </c>
      <c r="L78" s="100">
        <v>29.08</v>
      </c>
      <c r="M78" s="100">
        <v>56.86</v>
      </c>
      <c r="N78" s="100">
        <v>62.1</v>
      </c>
      <c r="O78" s="100">
        <v>0</v>
      </c>
      <c r="P78" s="100">
        <v>0.56999999999999995</v>
      </c>
      <c r="Q78" s="100">
        <v>29.04</v>
      </c>
      <c r="R78" s="6"/>
      <c r="S78" s="6"/>
      <c r="T78" s="156"/>
      <c r="U78" s="6"/>
    </row>
    <row r="79" spans="1:21" customFormat="1">
      <c r="A79" s="163" t="s">
        <v>3094</v>
      </c>
      <c r="B79" s="100">
        <v>2.62</v>
      </c>
      <c r="C79" s="100">
        <v>13.95</v>
      </c>
      <c r="D79" s="100">
        <v>8.4</v>
      </c>
      <c r="E79" s="100">
        <v>7.79</v>
      </c>
      <c r="F79" s="100">
        <v>17.309999999999999</v>
      </c>
      <c r="G79" s="100">
        <v>38.479999999999997</v>
      </c>
      <c r="H79" s="100">
        <v>17.43</v>
      </c>
      <c r="I79" s="100">
        <v>12.75</v>
      </c>
      <c r="J79" s="100">
        <v>3.37</v>
      </c>
      <c r="K79" s="100">
        <v>144.02000000000001</v>
      </c>
      <c r="L79" s="100">
        <v>29.35</v>
      </c>
      <c r="M79" s="100">
        <v>53.43</v>
      </c>
      <c r="N79" s="100">
        <v>53.3</v>
      </c>
      <c r="O79" s="100">
        <v>0</v>
      </c>
      <c r="P79" s="100">
        <v>0.56000000000000005</v>
      </c>
      <c r="Q79" s="100">
        <v>29.01</v>
      </c>
      <c r="R79" s="6"/>
      <c r="S79" s="6"/>
      <c r="T79" s="156"/>
      <c r="U79" s="6"/>
    </row>
    <row r="80" spans="1:21" customFormat="1">
      <c r="A80" s="163" t="s">
        <v>3095</v>
      </c>
      <c r="B80" s="100">
        <v>2.7</v>
      </c>
      <c r="C80" s="100">
        <v>14.01</v>
      </c>
      <c r="D80" s="100">
        <v>8.49</v>
      </c>
      <c r="E80" s="100">
        <v>7.42</v>
      </c>
      <c r="F80" s="100">
        <v>18.399999999999999</v>
      </c>
      <c r="G80" s="100">
        <v>40.68</v>
      </c>
      <c r="H80" s="100">
        <v>17.350000000000001</v>
      </c>
      <c r="I80" s="100">
        <v>12.38</v>
      </c>
      <c r="J80" s="100">
        <v>2.88</v>
      </c>
      <c r="K80" s="100">
        <v>175.09</v>
      </c>
      <c r="L80" s="100">
        <v>29.81</v>
      </c>
      <c r="M80" s="100">
        <v>54.66</v>
      </c>
      <c r="N80" s="100">
        <v>49.2</v>
      </c>
      <c r="O80" s="100">
        <v>0</v>
      </c>
      <c r="P80" s="100">
        <v>0.57999999999999996</v>
      </c>
      <c r="Q80" s="100">
        <v>29.03</v>
      </c>
      <c r="R80" s="6"/>
      <c r="S80" s="6"/>
      <c r="T80" s="156"/>
      <c r="U80" s="6"/>
    </row>
    <row r="81" spans="1:21" customFormat="1">
      <c r="A81" s="163" t="s">
        <v>3096</v>
      </c>
      <c r="B81" s="100">
        <v>2.78</v>
      </c>
      <c r="C81" s="100">
        <v>14.71</v>
      </c>
      <c r="D81" s="100">
        <v>8.92</v>
      </c>
      <c r="E81" s="100">
        <v>6.85</v>
      </c>
      <c r="F81" s="100">
        <v>14.12</v>
      </c>
      <c r="G81" s="100">
        <v>48.9</v>
      </c>
      <c r="H81" s="100">
        <v>17.03</v>
      </c>
      <c r="I81" s="100">
        <v>11.92</v>
      </c>
      <c r="J81" s="100">
        <v>3.87</v>
      </c>
      <c r="K81" s="100">
        <v>193.82</v>
      </c>
      <c r="L81" s="100">
        <v>30.03</v>
      </c>
      <c r="M81" s="100">
        <v>54.23</v>
      </c>
      <c r="N81" s="100">
        <v>36</v>
      </c>
      <c r="O81" s="100">
        <v>0</v>
      </c>
      <c r="P81" s="100">
        <v>0.56999999999999995</v>
      </c>
      <c r="Q81" s="100">
        <v>28.99</v>
      </c>
      <c r="R81" s="6"/>
      <c r="S81" s="6"/>
      <c r="T81" s="156"/>
      <c r="U81" s="6"/>
    </row>
    <row r="82" spans="1:21" customFormat="1">
      <c r="A82" s="163" t="s">
        <v>3097</v>
      </c>
      <c r="B82" s="100">
        <v>2.91</v>
      </c>
      <c r="C82" s="100">
        <v>13.26</v>
      </c>
      <c r="D82" s="100">
        <v>8.27</v>
      </c>
      <c r="E82" s="100">
        <v>6.51</v>
      </c>
      <c r="F82" s="100">
        <v>5.4</v>
      </c>
      <c r="G82" s="100">
        <v>48.9</v>
      </c>
      <c r="H82" s="100">
        <v>17.03</v>
      </c>
      <c r="I82" s="100">
        <v>12.12</v>
      </c>
      <c r="J82" s="100">
        <v>3.95</v>
      </c>
      <c r="K82" s="100">
        <v>185.4</v>
      </c>
      <c r="L82" s="100">
        <v>29.53</v>
      </c>
      <c r="M82" s="100">
        <v>59.15</v>
      </c>
      <c r="N82" s="100">
        <v>27.7</v>
      </c>
      <c r="O82" s="100">
        <v>0</v>
      </c>
      <c r="P82" s="100">
        <v>0.56999999999999995</v>
      </c>
      <c r="Q82" s="100">
        <v>28.98</v>
      </c>
      <c r="R82" s="6"/>
      <c r="S82" s="6"/>
      <c r="T82" s="156"/>
      <c r="U82" s="6"/>
    </row>
    <row r="83" spans="1:21" customFormat="1">
      <c r="A83" s="163" t="s">
        <v>3098</v>
      </c>
      <c r="B83" s="100">
        <v>2.91</v>
      </c>
      <c r="C83" s="100">
        <v>13.31</v>
      </c>
      <c r="D83" s="100">
        <v>8.2899999999999991</v>
      </c>
      <c r="E83" s="100">
        <v>6.49</v>
      </c>
      <c r="F83" s="100">
        <v>11.77</v>
      </c>
      <c r="G83" s="100">
        <v>48.9</v>
      </c>
      <c r="H83" s="100">
        <v>17.03</v>
      </c>
      <c r="I83" s="100">
        <v>12.95</v>
      </c>
      <c r="J83" s="100">
        <v>3.64</v>
      </c>
      <c r="K83" s="100">
        <v>177.75</v>
      </c>
      <c r="L83" s="100">
        <v>29.29</v>
      </c>
      <c r="M83" s="100">
        <v>59.51</v>
      </c>
      <c r="N83" s="100">
        <v>25.3</v>
      </c>
      <c r="O83" s="100">
        <v>0</v>
      </c>
      <c r="P83" s="100">
        <v>0.53</v>
      </c>
      <c r="Q83" s="100">
        <v>29.03</v>
      </c>
      <c r="R83" s="6"/>
      <c r="S83" s="6"/>
      <c r="T83" s="156"/>
      <c r="U83" s="6"/>
    </row>
    <row r="84" spans="1:21" customFormat="1">
      <c r="A84" s="163" t="s">
        <v>3099</v>
      </c>
      <c r="B84" s="100">
        <v>2.95</v>
      </c>
      <c r="C84" s="100">
        <v>11.69</v>
      </c>
      <c r="D84" s="100">
        <v>7.48</v>
      </c>
      <c r="E84" s="100">
        <v>6.93</v>
      </c>
      <c r="F84" s="100">
        <v>9.93</v>
      </c>
      <c r="G84" s="100">
        <v>49.8</v>
      </c>
      <c r="H84" s="100">
        <v>17.940000000000001</v>
      </c>
      <c r="I84" s="100">
        <v>12.5</v>
      </c>
      <c r="J84" s="100">
        <v>3.83</v>
      </c>
      <c r="K84" s="100">
        <v>193.39</v>
      </c>
      <c r="L84" s="100">
        <v>29.3</v>
      </c>
      <c r="M84" s="100">
        <v>58.39</v>
      </c>
      <c r="N84" s="100">
        <v>23.3</v>
      </c>
      <c r="O84" s="100">
        <v>0</v>
      </c>
      <c r="P84" s="100">
        <v>0.53</v>
      </c>
      <c r="Q84" s="100">
        <v>29.17</v>
      </c>
      <c r="R84" s="6"/>
      <c r="S84" s="6"/>
      <c r="T84" s="156"/>
      <c r="U84" s="6"/>
    </row>
    <row r="85" spans="1:21" customFormat="1">
      <c r="A85" s="163" t="s">
        <v>3100</v>
      </c>
      <c r="B85" s="100">
        <v>3.06</v>
      </c>
      <c r="C85" s="100">
        <v>10.83</v>
      </c>
      <c r="D85" s="100">
        <v>7.12</v>
      </c>
      <c r="E85" s="100">
        <v>5.49</v>
      </c>
      <c r="F85" s="100">
        <v>5.52</v>
      </c>
      <c r="G85" s="100">
        <v>53.15</v>
      </c>
      <c r="H85" s="100">
        <v>21.36</v>
      </c>
      <c r="I85" s="100">
        <v>12.96</v>
      </c>
      <c r="J85" s="100">
        <v>3.96</v>
      </c>
      <c r="K85" s="100">
        <v>208.48</v>
      </c>
      <c r="L85" s="100">
        <v>29.06</v>
      </c>
      <c r="M85" s="100">
        <v>58.99</v>
      </c>
      <c r="N85" s="100">
        <v>23.4</v>
      </c>
      <c r="O85" s="100">
        <v>0</v>
      </c>
      <c r="P85" s="100">
        <v>0.55000000000000004</v>
      </c>
      <c r="Q85" s="100">
        <v>29.1</v>
      </c>
      <c r="R85" s="6"/>
      <c r="S85" s="6"/>
      <c r="T85" s="156"/>
      <c r="U85" s="6"/>
    </row>
    <row r="86" spans="1:21" customFormat="1">
      <c r="A86" s="163" t="s">
        <v>3101</v>
      </c>
      <c r="B86" s="100">
        <v>3.16</v>
      </c>
      <c r="C86" s="100">
        <v>9.9499999999999993</v>
      </c>
      <c r="D86" s="100">
        <v>6.74</v>
      </c>
      <c r="E86" s="100">
        <v>6.4</v>
      </c>
      <c r="F86" s="100">
        <v>7.37</v>
      </c>
      <c r="G86" s="100">
        <v>53.15</v>
      </c>
      <c r="H86" s="100">
        <v>21.36</v>
      </c>
      <c r="I86" s="100">
        <v>13.09</v>
      </c>
      <c r="J86" s="100">
        <v>4.6100000000000003</v>
      </c>
      <c r="K86" s="100">
        <v>210.32</v>
      </c>
      <c r="L86" s="100">
        <v>28.66</v>
      </c>
      <c r="M86" s="100">
        <v>61.33</v>
      </c>
      <c r="N86" s="100">
        <v>23.8</v>
      </c>
      <c r="O86" s="100">
        <v>0</v>
      </c>
      <c r="P86" s="100">
        <v>0.52</v>
      </c>
      <c r="Q86" s="100">
        <v>29.17</v>
      </c>
      <c r="R86" s="6"/>
      <c r="S86" s="6"/>
      <c r="T86" s="156"/>
      <c r="U86" s="6"/>
    </row>
    <row r="87" spans="1:21" customFormat="1">
      <c r="A87" s="163" t="s">
        <v>3102</v>
      </c>
      <c r="B87" s="100">
        <v>3.1</v>
      </c>
      <c r="C87" s="100">
        <v>8.25</v>
      </c>
      <c r="D87" s="100">
        <v>5.8</v>
      </c>
      <c r="E87" s="100">
        <v>6.01</v>
      </c>
      <c r="F87" s="100">
        <v>6.18</v>
      </c>
      <c r="G87" s="100">
        <v>53.15</v>
      </c>
      <c r="H87" s="100">
        <v>21.36</v>
      </c>
      <c r="I87" s="100">
        <v>12.73</v>
      </c>
      <c r="J87" s="100">
        <v>4.78</v>
      </c>
      <c r="K87" s="100">
        <v>213.22</v>
      </c>
      <c r="L87" s="100">
        <v>28.3</v>
      </c>
      <c r="M87" s="100">
        <v>60.77</v>
      </c>
      <c r="N87" s="100">
        <v>23.8</v>
      </c>
      <c r="O87" s="100">
        <v>0</v>
      </c>
      <c r="P87" s="100">
        <v>0.53</v>
      </c>
      <c r="Q87" s="100">
        <v>29.33</v>
      </c>
      <c r="R87" s="6"/>
      <c r="S87" s="6"/>
      <c r="T87" s="156"/>
      <c r="U87" s="6"/>
    </row>
    <row r="88" spans="1:21" customFormat="1">
      <c r="A88" s="163" t="s">
        <v>3103</v>
      </c>
      <c r="B88" s="100">
        <v>2.92</v>
      </c>
      <c r="C88" s="100">
        <v>9.1999999999999993</v>
      </c>
      <c r="D88" s="100">
        <v>6.15</v>
      </c>
      <c r="E88" s="100">
        <v>5.83</v>
      </c>
      <c r="F88" s="100">
        <v>6.78</v>
      </c>
      <c r="G88" s="100">
        <v>51.22</v>
      </c>
      <c r="H88" s="100">
        <v>20.02</v>
      </c>
      <c r="I88" s="100">
        <v>12.46</v>
      </c>
      <c r="J88" s="100">
        <v>4.71</v>
      </c>
      <c r="K88" s="100">
        <v>214.62</v>
      </c>
      <c r="L88" s="100">
        <v>27.92</v>
      </c>
      <c r="M88" s="100">
        <v>57.33</v>
      </c>
      <c r="N88" s="100">
        <v>23.7</v>
      </c>
      <c r="O88" s="100">
        <v>0</v>
      </c>
      <c r="P88" s="100">
        <v>0.51</v>
      </c>
      <c r="Q88" s="100">
        <v>29.25</v>
      </c>
      <c r="R88" s="6"/>
      <c r="S88" s="6"/>
      <c r="T88" s="156"/>
      <c r="U88" s="6"/>
    </row>
    <row r="89" spans="1:21" customFormat="1">
      <c r="A89" s="163" t="s">
        <v>3104</v>
      </c>
      <c r="B89" s="100">
        <v>2.57</v>
      </c>
      <c r="C89" s="100">
        <v>10.1</v>
      </c>
      <c r="D89" s="100">
        <v>6.34</v>
      </c>
      <c r="E89" s="100">
        <v>6.01</v>
      </c>
      <c r="F89" s="100">
        <v>8.76</v>
      </c>
      <c r="G89" s="100">
        <v>44.01</v>
      </c>
      <c r="H89" s="100">
        <v>14.99</v>
      </c>
      <c r="I89" s="100">
        <v>12.26</v>
      </c>
      <c r="J89" s="100">
        <v>4.29</v>
      </c>
      <c r="K89" s="100">
        <v>195.23</v>
      </c>
      <c r="L89" s="100">
        <v>27.61</v>
      </c>
      <c r="M89" s="100">
        <v>56.6</v>
      </c>
      <c r="N89" s="100">
        <v>23.8</v>
      </c>
      <c r="O89" s="100">
        <v>0</v>
      </c>
      <c r="P89" s="100">
        <v>0.49</v>
      </c>
      <c r="Q89" s="100">
        <v>29.2</v>
      </c>
      <c r="R89" s="6"/>
      <c r="S89" s="6"/>
      <c r="T89" s="156"/>
      <c r="U89" s="6"/>
    </row>
    <row r="90" spans="1:21" customFormat="1">
      <c r="A90" s="163" t="s">
        <v>3105</v>
      </c>
      <c r="B90" s="100">
        <v>2.31</v>
      </c>
      <c r="C90" s="100">
        <v>10.26</v>
      </c>
      <c r="D90" s="100">
        <v>6.22</v>
      </c>
      <c r="E90" s="100">
        <v>5.9</v>
      </c>
      <c r="F90" s="100">
        <v>9.0399999999999991</v>
      </c>
      <c r="G90" s="100">
        <v>44.01</v>
      </c>
      <c r="H90" s="100">
        <v>14.99</v>
      </c>
      <c r="I90" s="100">
        <v>11.9</v>
      </c>
      <c r="J90" s="100">
        <v>4.1900000000000004</v>
      </c>
      <c r="K90" s="100">
        <v>200.99</v>
      </c>
      <c r="L90" s="100">
        <v>27.52</v>
      </c>
      <c r="M90" s="100">
        <v>55.45</v>
      </c>
      <c r="N90" s="100">
        <v>23.5</v>
      </c>
      <c r="O90" s="100">
        <v>0</v>
      </c>
      <c r="P90" s="100">
        <v>0.47</v>
      </c>
      <c r="Q90" s="100">
        <v>29.29</v>
      </c>
      <c r="R90" s="6"/>
      <c r="S90" s="6"/>
      <c r="T90" s="156"/>
      <c r="U90" s="6"/>
    </row>
    <row r="91" spans="1:21" customFormat="1">
      <c r="A91" s="163" t="s">
        <v>3106</v>
      </c>
      <c r="B91" s="100">
        <v>2.2200000000000002</v>
      </c>
      <c r="C91" s="100">
        <v>10.41</v>
      </c>
      <c r="D91" s="100">
        <v>6.22</v>
      </c>
      <c r="E91" s="100">
        <v>5.03</v>
      </c>
      <c r="F91" s="100">
        <v>7.45</v>
      </c>
      <c r="G91" s="100">
        <v>44.01</v>
      </c>
      <c r="H91" s="100">
        <v>14.99</v>
      </c>
      <c r="I91" s="100">
        <v>11.39</v>
      </c>
      <c r="J91" s="100">
        <v>4.42</v>
      </c>
      <c r="K91" s="100">
        <v>209.15</v>
      </c>
      <c r="L91" s="100">
        <v>27.26</v>
      </c>
      <c r="M91" s="100">
        <v>54.94</v>
      </c>
      <c r="N91" s="100">
        <v>23.6</v>
      </c>
      <c r="O91" s="100">
        <v>0</v>
      </c>
      <c r="P91" s="100">
        <v>0.47</v>
      </c>
      <c r="Q91" s="100">
        <v>29.25</v>
      </c>
      <c r="R91" s="6"/>
      <c r="S91" s="6"/>
      <c r="T91" s="156"/>
      <c r="U91" s="6"/>
    </row>
    <row r="92" spans="1:21" customFormat="1">
      <c r="A92" s="163" t="s">
        <v>3107</v>
      </c>
      <c r="B92" s="100">
        <v>2.19</v>
      </c>
      <c r="C92" s="100">
        <v>10.36</v>
      </c>
      <c r="D92" s="100">
        <v>6.18</v>
      </c>
      <c r="E92" s="100">
        <v>5.08</v>
      </c>
      <c r="F92" s="100">
        <v>8.74</v>
      </c>
      <c r="G92" s="100">
        <v>42.73</v>
      </c>
      <c r="H92" s="100">
        <v>15.43</v>
      </c>
      <c r="I92" s="100">
        <v>11.01</v>
      </c>
      <c r="J92" s="100">
        <v>4.0999999999999996</v>
      </c>
      <c r="K92" s="100">
        <v>197.77</v>
      </c>
      <c r="L92" s="100">
        <v>27.13</v>
      </c>
      <c r="M92" s="100">
        <v>55.2</v>
      </c>
      <c r="N92" s="100">
        <v>23.4</v>
      </c>
      <c r="O92" s="100">
        <v>0</v>
      </c>
      <c r="P92" s="100">
        <v>0.45</v>
      </c>
      <c r="Q92" s="100">
        <v>29.25</v>
      </c>
      <c r="R92" s="6"/>
      <c r="S92" s="6"/>
      <c r="T92" s="156"/>
      <c r="U92" s="6"/>
    </row>
    <row r="93" spans="1:21" customFormat="1">
      <c r="A93" s="163" t="s">
        <v>3108</v>
      </c>
      <c r="B93" s="100">
        <v>2.2200000000000002</v>
      </c>
      <c r="C93" s="100">
        <v>10.65</v>
      </c>
      <c r="D93" s="100">
        <v>6.35</v>
      </c>
      <c r="E93" s="100">
        <v>5.3</v>
      </c>
      <c r="F93" s="100">
        <v>7.36</v>
      </c>
      <c r="G93" s="100">
        <v>37.94</v>
      </c>
      <c r="H93" s="100">
        <v>17.100000000000001</v>
      </c>
      <c r="I93" s="100">
        <v>10.74</v>
      </c>
      <c r="J93" s="100">
        <v>4.3</v>
      </c>
      <c r="K93" s="100">
        <v>179.48</v>
      </c>
      <c r="L93" s="100">
        <v>27.07</v>
      </c>
      <c r="M93" s="100">
        <v>57.28</v>
      </c>
      <c r="N93" s="100">
        <v>23.6</v>
      </c>
      <c r="O93" s="100">
        <v>0</v>
      </c>
      <c r="P93" s="100">
        <v>0.45</v>
      </c>
      <c r="Q93" s="100">
        <v>29.21</v>
      </c>
      <c r="R93" s="6"/>
      <c r="S93" s="6"/>
      <c r="T93" s="156"/>
      <c r="U93" s="6"/>
    </row>
    <row r="94" spans="1:21" customFormat="1">
      <c r="A94" s="163" t="s">
        <v>3109</v>
      </c>
      <c r="B94" s="100">
        <v>2.17</v>
      </c>
      <c r="C94" s="100">
        <v>10.53</v>
      </c>
      <c r="D94" s="100">
        <v>6.25</v>
      </c>
      <c r="E94" s="100">
        <v>5.53</v>
      </c>
      <c r="F94" s="100">
        <v>8.7799999999999994</v>
      </c>
      <c r="G94" s="100">
        <v>37.94</v>
      </c>
      <c r="H94" s="100">
        <v>17.100000000000001</v>
      </c>
      <c r="I94" s="100">
        <v>10.4</v>
      </c>
      <c r="J94" s="100">
        <v>4.07</v>
      </c>
      <c r="K94" s="100">
        <v>188.82</v>
      </c>
      <c r="L94" s="100">
        <v>27.14</v>
      </c>
      <c r="M94" s="100">
        <v>55.79</v>
      </c>
      <c r="N94" s="100">
        <v>23.3</v>
      </c>
      <c r="O94" s="100">
        <v>0</v>
      </c>
      <c r="P94" s="100">
        <v>0.43</v>
      </c>
      <c r="Q94" s="100">
        <v>29.21</v>
      </c>
      <c r="R94" s="6"/>
      <c r="S94" s="6"/>
      <c r="T94" s="156"/>
      <c r="U94" s="6"/>
    </row>
    <row r="95" spans="1:21" customFormat="1">
      <c r="A95" s="163" t="s">
        <v>3110</v>
      </c>
      <c r="B95" s="100">
        <v>2.19</v>
      </c>
      <c r="C95" s="100">
        <v>10.29</v>
      </c>
      <c r="D95" s="100">
        <v>6.14</v>
      </c>
      <c r="E95" s="100">
        <v>5.5</v>
      </c>
      <c r="F95" s="100">
        <v>4.42</v>
      </c>
      <c r="G95" s="100">
        <v>37.94</v>
      </c>
      <c r="H95" s="100">
        <v>17.100000000000001</v>
      </c>
      <c r="I95" s="100">
        <v>10.26</v>
      </c>
      <c r="J95" s="100">
        <v>4.09</v>
      </c>
      <c r="K95" s="100">
        <v>185.13</v>
      </c>
      <c r="L95" s="100">
        <v>27.11</v>
      </c>
      <c r="M95" s="100">
        <v>56.61</v>
      </c>
      <c r="N95" s="100">
        <v>23.5</v>
      </c>
      <c r="O95" s="100">
        <v>0</v>
      </c>
      <c r="P95" s="100">
        <v>0.45</v>
      </c>
      <c r="Q95" s="100">
        <v>29.22</v>
      </c>
      <c r="R95" s="6"/>
      <c r="S95" s="6"/>
      <c r="T95" s="156"/>
      <c r="U95" s="6"/>
    </row>
    <row r="96" spans="1:21" customFormat="1">
      <c r="A96" s="163" t="s">
        <v>3111</v>
      </c>
      <c r="B96" s="100">
        <v>2.3199999999999998</v>
      </c>
      <c r="C96" s="100">
        <v>10.33</v>
      </c>
      <c r="D96" s="100">
        <v>6.26</v>
      </c>
      <c r="E96" s="100">
        <v>5.61</v>
      </c>
      <c r="F96" s="100">
        <v>5.31</v>
      </c>
      <c r="G96" s="100">
        <v>37.229999999999997</v>
      </c>
      <c r="H96" s="100">
        <v>16.079999999999998</v>
      </c>
      <c r="I96" s="100">
        <v>9.89</v>
      </c>
      <c r="J96" s="100">
        <v>4.25</v>
      </c>
      <c r="K96" s="100">
        <v>207.52</v>
      </c>
      <c r="L96" s="100">
        <v>27.15</v>
      </c>
      <c r="M96" s="100">
        <v>58.93</v>
      </c>
      <c r="N96" s="100">
        <v>23.2</v>
      </c>
      <c r="O96" s="100">
        <v>0</v>
      </c>
      <c r="P96" s="100">
        <v>0.43</v>
      </c>
      <c r="Q96" s="100">
        <v>29.24</v>
      </c>
      <c r="R96" s="6"/>
      <c r="S96" s="6"/>
      <c r="T96" s="156"/>
      <c r="U96" s="6"/>
    </row>
    <row r="97" spans="1:28" customFormat="1">
      <c r="A97" s="163" t="s">
        <v>3112</v>
      </c>
      <c r="B97" s="100">
        <v>2.4700000000000002</v>
      </c>
      <c r="C97" s="100">
        <v>8.82</v>
      </c>
      <c r="D97" s="100">
        <v>5.6</v>
      </c>
      <c r="E97" s="100">
        <v>5.37</v>
      </c>
      <c r="F97" s="100">
        <v>4.72</v>
      </c>
      <c r="G97" s="100">
        <v>34.58</v>
      </c>
      <c r="H97" s="100">
        <v>12.26</v>
      </c>
      <c r="I97" s="100">
        <v>9.9</v>
      </c>
      <c r="J97" s="100">
        <v>4.05</v>
      </c>
      <c r="K97" s="100">
        <v>180.69</v>
      </c>
      <c r="L97" s="100">
        <v>27.1</v>
      </c>
      <c r="M97" s="100">
        <v>61.38</v>
      </c>
      <c r="N97" s="100">
        <v>23.5</v>
      </c>
      <c r="O97" s="100">
        <v>0</v>
      </c>
      <c r="P97" s="100">
        <v>0.42</v>
      </c>
      <c r="Q97" s="100">
        <v>29.32</v>
      </c>
      <c r="R97" s="6"/>
      <c r="S97" s="6"/>
      <c r="T97" s="156"/>
      <c r="U97" s="6"/>
    </row>
    <row r="98" spans="1:28" customFormat="1">
      <c r="A98" s="163" t="s">
        <v>3113</v>
      </c>
      <c r="B98" s="100">
        <v>2.62</v>
      </c>
      <c r="C98" s="100">
        <v>8.02</v>
      </c>
      <c r="D98" s="100">
        <v>5.3</v>
      </c>
      <c r="E98" s="100">
        <v>6.11</v>
      </c>
      <c r="F98" s="100">
        <v>7.02</v>
      </c>
      <c r="G98" s="100">
        <v>34.58</v>
      </c>
      <c r="H98" s="100">
        <v>12.26</v>
      </c>
      <c r="I98" s="100">
        <v>9.8800000000000008</v>
      </c>
      <c r="J98" s="100">
        <v>3.92</v>
      </c>
      <c r="K98" s="100">
        <v>204.86</v>
      </c>
      <c r="L98" s="100">
        <v>27.32</v>
      </c>
      <c r="M98" s="100">
        <v>61.94</v>
      </c>
      <c r="N98" s="100">
        <v>23</v>
      </c>
      <c r="O98" s="100">
        <v>0</v>
      </c>
      <c r="P98" s="100">
        <v>0.38</v>
      </c>
      <c r="Q98" s="100">
        <v>29.36</v>
      </c>
      <c r="R98" s="6"/>
      <c r="S98" s="6"/>
      <c r="T98" s="156"/>
      <c r="U98" s="6"/>
    </row>
    <row r="99" spans="1:28" customFormat="1">
      <c r="A99" s="163" t="s">
        <v>3114</v>
      </c>
      <c r="B99" s="100">
        <v>2.72</v>
      </c>
      <c r="C99" s="100">
        <v>6.7</v>
      </c>
      <c r="D99" s="100">
        <v>4.68</v>
      </c>
      <c r="E99" s="100">
        <v>5.39</v>
      </c>
      <c r="F99" s="100">
        <v>5.65</v>
      </c>
      <c r="G99" s="100">
        <v>34.58</v>
      </c>
      <c r="H99" s="100">
        <v>12.26</v>
      </c>
      <c r="I99" s="100">
        <v>9.74</v>
      </c>
      <c r="J99" s="100">
        <v>4</v>
      </c>
      <c r="K99" s="100">
        <v>212.31</v>
      </c>
      <c r="L99" s="100">
        <v>27.39</v>
      </c>
      <c r="M99" s="100">
        <v>63.1</v>
      </c>
      <c r="N99" s="100">
        <v>23.2</v>
      </c>
      <c r="O99" s="100">
        <v>0</v>
      </c>
      <c r="P99" s="100">
        <v>0.39</v>
      </c>
      <c r="Q99" s="100">
        <v>29.45</v>
      </c>
      <c r="R99" s="6"/>
      <c r="S99" s="6"/>
      <c r="T99" s="156"/>
      <c r="U99" s="6"/>
    </row>
    <row r="100" spans="1:28" customFormat="1">
      <c r="A100" s="163" t="s">
        <v>3115</v>
      </c>
      <c r="B100" s="100">
        <v>2.72</v>
      </c>
      <c r="C100" s="100">
        <v>8.14</v>
      </c>
      <c r="D100" s="100">
        <v>5.44</v>
      </c>
      <c r="E100" s="100">
        <v>5.65</v>
      </c>
      <c r="F100" s="100">
        <v>4.67</v>
      </c>
      <c r="G100" s="100">
        <v>34.340000000000003</v>
      </c>
      <c r="H100" s="100">
        <v>12.79</v>
      </c>
      <c r="I100" s="100">
        <v>9.41</v>
      </c>
      <c r="J100" s="100">
        <v>3.93</v>
      </c>
      <c r="K100" s="100">
        <v>206.46</v>
      </c>
      <c r="L100" s="100">
        <v>27.4</v>
      </c>
      <c r="M100" s="100">
        <v>64</v>
      </c>
      <c r="N100" s="100">
        <v>23.3</v>
      </c>
      <c r="O100" s="100">
        <v>0</v>
      </c>
      <c r="P100" s="100">
        <v>0.4</v>
      </c>
      <c r="Q100" s="100">
        <v>29.38</v>
      </c>
      <c r="R100" s="6"/>
      <c r="S100" s="6"/>
      <c r="T100" s="156"/>
      <c r="U100" s="6"/>
      <c r="AB100" s="161"/>
    </row>
    <row r="101" spans="1:28" customFormat="1">
      <c r="A101" s="163" t="s">
        <v>3116</v>
      </c>
      <c r="B101" s="100">
        <v>2.89</v>
      </c>
      <c r="C101" s="100">
        <v>8.4700000000000006</v>
      </c>
      <c r="D101" s="100">
        <v>5.75</v>
      </c>
      <c r="E101" s="100">
        <v>5.63</v>
      </c>
      <c r="F101" s="100">
        <v>8.83</v>
      </c>
      <c r="G101" s="100">
        <v>33.44</v>
      </c>
      <c r="H101" s="100">
        <v>14.77</v>
      </c>
      <c r="I101" s="100">
        <v>9.33</v>
      </c>
      <c r="J101" s="100">
        <v>4.01</v>
      </c>
      <c r="K101" s="100">
        <v>209.54</v>
      </c>
      <c r="L101" s="100">
        <v>27.45</v>
      </c>
      <c r="M101" s="100">
        <v>64.42</v>
      </c>
      <c r="N101" s="100">
        <v>23.3</v>
      </c>
      <c r="O101" s="100">
        <v>0</v>
      </c>
      <c r="P101" s="100">
        <v>0.35</v>
      </c>
      <c r="Q101" s="100">
        <v>29.37</v>
      </c>
      <c r="R101" s="6"/>
      <c r="S101" s="6"/>
      <c r="T101" s="156"/>
      <c r="U101" s="6"/>
    </row>
    <row r="102" spans="1:28" customFormat="1">
      <c r="A102" s="163" t="s">
        <v>3117</v>
      </c>
      <c r="B102" s="100">
        <v>2.93</v>
      </c>
      <c r="C102" s="100">
        <v>8.09</v>
      </c>
      <c r="D102" s="100">
        <v>5.58</v>
      </c>
      <c r="E102" s="100">
        <v>5.81</v>
      </c>
      <c r="F102" s="100">
        <v>7.15</v>
      </c>
      <c r="G102" s="100">
        <v>33.44</v>
      </c>
      <c r="H102" s="100">
        <v>14.77</v>
      </c>
      <c r="I102" s="100">
        <v>9.3000000000000007</v>
      </c>
      <c r="J102" s="100">
        <v>4.01</v>
      </c>
      <c r="K102" s="100">
        <v>207.58</v>
      </c>
      <c r="L102" s="100">
        <v>27.42</v>
      </c>
      <c r="M102" s="100">
        <v>65.23</v>
      </c>
      <c r="N102" s="100">
        <v>23.4</v>
      </c>
      <c r="O102" s="100">
        <v>0</v>
      </c>
      <c r="P102" s="100">
        <v>0.37</v>
      </c>
      <c r="Q102" s="100">
        <v>29.37</v>
      </c>
      <c r="R102" s="6"/>
      <c r="S102" s="6"/>
      <c r="T102" s="156"/>
      <c r="U102" s="6"/>
    </row>
    <row r="103" spans="1:28" customFormat="1">
      <c r="A103" s="163" t="s">
        <v>3118</v>
      </c>
      <c r="B103" s="100">
        <v>2.89</v>
      </c>
      <c r="C103" s="100">
        <v>8.2799999999999994</v>
      </c>
      <c r="D103" s="100">
        <v>5.65</v>
      </c>
      <c r="E103" s="100">
        <v>5.44</v>
      </c>
      <c r="F103" s="100">
        <v>7.7</v>
      </c>
      <c r="G103" s="100">
        <v>33.44</v>
      </c>
      <c r="H103" s="100">
        <v>14.77</v>
      </c>
      <c r="I103" s="100">
        <v>8.93</v>
      </c>
      <c r="J103" s="100">
        <v>4.04</v>
      </c>
      <c r="K103" s="100">
        <v>214.93</v>
      </c>
      <c r="L103" s="100">
        <v>27.38</v>
      </c>
      <c r="M103" s="100">
        <v>66.180000000000007</v>
      </c>
      <c r="N103" s="100">
        <v>23.5</v>
      </c>
      <c r="O103" s="100">
        <v>0</v>
      </c>
      <c r="P103" s="100">
        <v>0.36</v>
      </c>
      <c r="Q103" s="100">
        <v>29.34</v>
      </c>
      <c r="R103" s="6"/>
      <c r="S103" s="6"/>
      <c r="T103" s="156"/>
      <c r="U103" s="6"/>
    </row>
    <row r="104" spans="1:28" customFormat="1">
      <c r="A104" s="163" t="s">
        <v>3119</v>
      </c>
      <c r="B104" s="100">
        <v>2.83</v>
      </c>
      <c r="C104" s="100">
        <v>8.34</v>
      </c>
      <c r="D104" s="100">
        <v>5.64</v>
      </c>
      <c r="E104" s="100">
        <v>5.68</v>
      </c>
      <c r="F104" s="100">
        <v>8.07</v>
      </c>
      <c r="G104" s="100">
        <v>33.18</v>
      </c>
      <c r="H104" s="100">
        <v>14.56</v>
      </c>
      <c r="I104" s="100">
        <v>8.84</v>
      </c>
      <c r="J104" s="100">
        <v>4.22</v>
      </c>
      <c r="K104" s="100">
        <v>217.99</v>
      </c>
      <c r="L104" s="100">
        <v>27.33</v>
      </c>
      <c r="M104" s="100">
        <v>66.95</v>
      </c>
      <c r="N104" s="100">
        <v>23.5</v>
      </c>
      <c r="O104" s="100">
        <v>0</v>
      </c>
      <c r="P104" s="100">
        <v>0.36</v>
      </c>
      <c r="Q104" s="100">
        <v>29.32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</v>
      </c>
      <c r="C106" s="158">
        <f>MIN(C9:C104)</f>
        <v>6.7</v>
      </c>
      <c r="D106" s="158">
        <f t="shared" ref="D106:Q106" si="0">MIN(D9:D104)</f>
        <v>4.41</v>
      </c>
      <c r="E106" s="158">
        <f t="shared" si="0"/>
        <v>4.9800000000000004</v>
      </c>
      <c r="F106" s="158">
        <f t="shared" si="0"/>
        <v>2.77</v>
      </c>
      <c r="G106" s="158">
        <f t="shared" si="0"/>
        <v>30.86</v>
      </c>
      <c r="H106" s="158">
        <f t="shared" si="0"/>
        <v>11.53</v>
      </c>
      <c r="I106" s="158">
        <f t="shared" si="0"/>
        <v>8.84</v>
      </c>
      <c r="J106" s="158">
        <f t="shared" si="0"/>
        <v>1.54</v>
      </c>
      <c r="K106" s="158">
        <f t="shared" si="0"/>
        <v>49.72</v>
      </c>
      <c r="L106" s="158">
        <f t="shared" si="0"/>
        <v>25.12</v>
      </c>
      <c r="M106" s="158">
        <f t="shared" si="0"/>
        <v>39.93</v>
      </c>
      <c r="N106" s="158">
        <f t="shared" si="0"/>
        <v>23</v>
      </c>
      <c r="O106" s="158">
        <f t="shared" si="0"/>
        <v>0</v>
      </c>
      <c r="P106" s="158">
        <f t="shared" si="0"/>
        <v>0.35</v>
      </c>
      <c r="Q106" s="158">
        <f t="shared" si="0"/>
        <v>28.78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7.19</v>
      </c>
      <c r="C107" s="157">
        <f t="shared" ref="C107:Q107" si="1">MAX(C9:C104)</f>
        <v>16.09</v>
      </c>
      <c r="D107" s="157">
        <f t="shared" si="1"/>
        <v>10.69</v>
      </c>
      <c r="E107" s="157">
        <f t="shared" si="1"/>
        <v>8.77</v>
      </c>
      <c r="F107" s="157">
        <f t="shared" si="1"/>
        <v>23.03</v>
      </c>
      <c r="G107" s="157">
        <f t="shared" si="1"/>
        <v>53.15</v>
      </c>
      <c r="H107" s="157">
        <f t="shared" si="1"/>
        <v>21.36</v>
      </c>
      <c r="I107" s="157">
        <f t="shared" si="1"/>
        <v>13.78</v>
      </c>
      <c r="J107" s="157">
        <f t="shared" si="1"/>
        <v>6.61</v>
      </c>
      <c r="K107" s="157">
        <f t="shared" si="1"/>
        <v>261.23</v>
      </c>
      <c r="L107" s="157">
        <f t="shared" si="1"/>
        <v>36.369999999999997</v>
      </c>
      <c r="M107" s="157">
        <f t="shared" si="1"/>
        <v>85.36</v>
      </c>
      <c r="N107" s="157">
        <f t="shared" si="1"/>
        <v>813.2</v>
      </c>
      <c r="O107" s="157">
        <f t="shared" si="1"/>
        <v>0</v>
      </c>
      <c r="P107" s="157">
        <f t="shared" si="1"/>
        <v>0.63</v>
      </c>
      <c r="Q107" s="157">
        <f t="shared" si="1"/>
        <v>29.45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3.7736458333333349</v>
      </c>
      <c r="C108" s="158">
        <f t="shared" ref="C108:Q108" si="2">AVERAGE(C9:C104)</f>
        <v>10.169895833333337</v>
      </c>
      <c r="D108" s="158">
        <f t="shared" si="2"/>
        <v>7.345208333333332</v>
      </c>
      <c r="E108" s="158">
        <f t="shared" si="2"/>
        <v>6.4735416666666667</v>
      </c>
      <c r="F108" s="158">
        <f t="shared" si="2"/>
        <v>8.3648958333333283</v>
      </c>
      <c r="G108" s="158">
        <f t="shared" si="2"/>
        <v>38.502395833333338</v>
      </c>
      <c r="H108" s="158">
        <f t="shared" si="2"/>
        <v>15.896874999999996</v>
      </c>
      <c r="I108" s="158">
        <f t="shared" si="2"/>
        <v>11.90072916666667</v>
      </c>
      <c r="J108" s="158">
        <f t="shared" si="2"/>
        <v>4.0957291666666675</v>
      </c>
      <c r="K108" s="158">
        <f t="shared" si="2"/>
        <v>209.47437500000004</v>
      </c>
      <c r="L108" s="158">
        <f t="shared" si="2"/>
        <v>28.621250000000018</v>
      </c>
      <c r="M108" s="158">
        <f t="shared" si="2"/>
        <v>64.032708333333304</v>
      </c>
      <c r="N108" s="158">
        <f t="shared" si="2"/>
        <v>216.22916666666663</v>
      </c>
      <c r="O108" s="158">
        <f t="shared" si="2"/>
        <v>0</v>
      </c>
      <c r="P108" s="158">
        <f t="shared" si="2"/>
        <v>0.50395833333333351</v>
      </c>
      <c r="Q108" s="158">
        <f t="shared" si="2"/>
        <v>29.155208333333345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1.7049069243257911</v>
      </c>
      <c r="C109" s="158">
        <f t="shared" ref="C109:Q109" si="3">STDEV(C9:C104)</f>
        <v>1.9401478482954595</v>
      </c>
      <c r="D109" s="158">
        <f t="shared" si="3"/>
        <v>1.7401106916797755</v>
      </c>
      <c r="E109" s="158">
        <f t="shared" si="3"/>
        <v>0.99267419700700454</v>
      </c>
      <c r="F109" s="158">
        <f t="shared" si="3"/>
        <v>5.5109196853618627</v>
      </c>
      <c r="G109" s="158">
        <f t="shared" si="3"/>
        <v>4.8847573327199658</v>
      </c>
      <c r="H109" s="158">
        <f t="shared" si="3"/>
        <v>2.528433387443088</v>
      </c>
      <c r="I109" s="158">
        <f t="shared" si="3"/>
        <v>1.2654637134614293</v>
      </c>
      <c r="J109" s="158">
        <f t="shared" si="3"/>
        <v>1.0050658473235099</v>
      </c>
      <c r="K109" s="158">
        <f t="shared" si="3"/>
        <v>35.232899422422214</v>
      </c>
      <c r="L109" s="158">
        <f t="shared" si="3"/>
        <v>3.0179558261213906</v>
      </c>
      <c r="M109" s="158">
        <f t="shared" si="3"/>
        <v>12.602520172290305</v>
      </c>
      <c r="N109" s="158">
        <f t="shared" si="3"/>
        <v>276.86551206665285</v>
      </c>
      <c r="O109" s="158">
        <f t="shared" si="3"/>
        <v>0</v>
      </c>
      <c r="P109" s="158">
        <f t="shared" si="3"/>
        <v>5.5922487081704428E-2</v>
      </c>
      <c r="Q109" s="158">
        <f t="shared" si="3"/>
        <v>0.17001535018416894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102" activePane="bottomLeft" state="frozen"/>
      <selection pane="bottomLeft" activeCell="D17" sqref="D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85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85" t="s">
        <v>2</v>
      </c>
      <c r="B2" s="129" t="str">
        <f>$A$9</f>
        <v>31/05/2025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85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85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85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85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85" t="s">
        <v>22</v>
      </c>
      <c r="B7" s="202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85"/>
      <c r="B8" s="203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63" t="s">
        <v>3120</v>
      </c>
      <c r="B9" s="100">
        <v>2.69</v>
      </c>
      <c r="C9" s="100">
        <v>8.58</v>
      </c>
      <c r="D9" s="100">
        <v>5.64</v>
      </c>
      <c r="E9" s="100">
        <v>5.62</v>
      </c>
      <c r="F9" s="100">
        <v>7.79</v>
      </c>
      <c r="G9" s="100">
        <v>32.17</v>
      </c>
      <c r="H9" s="100">
        <v>13.77</v>
      </c>
      <c r="I9" s="100">
        <v>8.6300000000000008</v>
      </c>
      <c r="J9" s="100">
        <v>3.99</v>
      </c>
      <c r="K9" s="100">
        <v>204.48</v>
      </c>
      <c r="L9" s="100">
        <v>27.35</v>
      </c>
      <c r="M9" s="100">
        <v>67.290000000000006</v>
      </c>
      <c r="N9" s="100">
        <v>23.5</v>
      </c>
      <c r="O9" s="100">
        <v>0</v>
      </c>
      <c r="P9" s="100">
        <v>0.36</v>
      </c>
      <c r="Q9" s="100">
        <v>29.27</v>
      </c>
      <c r="R9" s="6"/>
      <c r="S9" s="6"/>
      <c r="T9" s="156"/>
      <c r="U9" s="6"/>
    </row>
    <row r="10" spans="1:21" customFormat="1">
      <c r="A10" s="163" t="s">
        <v>3121</v>
      </c>
      <c r="B10" s="100">
        <v>2.67</v>
      </c>
      <c r="C10" s="100">
        <v>8.6999999999999993</v>
      </c>
      <c r="D10" s="100">
        <v>5.69</v>
      </c>
      <c r="E10" s="100">
        <v>5.54</v>
      </c>
      <c r="F10" s="100">
        <v>6.84</v>
      </c>
      <c r="G10" s="100">
        <v>32.17</v>
      </c>
      <c r="H10" s="100">
        <v>13.77</v>
      </c>
      <c r="I10" s="100">
        <v>8.4700000000000006</v>
      </c>
      <c r="J10" s="100">
        <v>4.1500000000000004</v>
      </c>
      <c r="K10" s="100">
        <v>214.96</v>
      </c>
      <c r="L10" s="100">
        <v>27.37</v>
      </c>
      <c r="M10" s="100">
        <v>67.02</v>
      </c>
      <c r="N10" s="100">
        <v>23.4</v>
      </c>
      <c r="O10" s="100">
        <v>0</v>
      </c>
      <c r="P10" s="100">
        <v>0.35</v>
      </c>
      <c r="Q10" s="100">
        <v>29.28</v>
      </c>
      <c r="R10" s="6"/>
      <c r="S10" s="6"/>
      <c r="T10" s="156"/>
      <c r="U10" s="6"/>
    </row>
    <row r="11" spans="1:21" customFormat="1">
      <c r="A11" s="163" t="s">
        <v>3122</v>
      </c>
      <c r="B11" s="100">
        <v>2.64</v>
      </c>
      <c r="C11" s="100">
        <v>8.6999999999999993</v>
      </c>
      <c r="D11" s="100">
        <v>5.66</v>
      </c>
      <c r="E11" s="100">
        <v>6.02</v>
      </c>
      <c r="F11" s="100">
        <v>6.84</v>
      </c>
      <c r="G11" s="100">
        <v>32.17</v>
      </c>
      <c r="H11" s="100">
        <v>13.77</v>
      </c>
      <c r="I11" s="100">
        <v>8.33</v>
      </c>
      <c r="J11" s="100">
        <v>4.2</v>
      </c>
      <c r="K11" s="100">
        <v>212.8</v>
      </c>
      <c r="L11" s="100">
        <v>27.31</v>
      </c>
      <c r="M11" s="100">
        <v>67.75</v>
      </c>
      <c r="N11" s="100">
        <v>23.6</v>
      </c>
      <c r="O11" s="100">
        <v>0</v>
      </c>
      <c r="P11" s="100">
        <v>0.34</v>
      </c>
      <c r="Q11" s="100">
        <v>29.31</v>
      </c>
      <c r="R11" s="6"/>
      <c r="S11" s="6"/>
      <c r="T11" s="156"/>
      <c r="U11" s="6"/>
    </row>
    <row r="12" spans="1:21" customFormat="1">
      <c r="A12" s="163" t="s">
        <v>3123</v>
      </c>
      <c r="B12" s="100">
        <v>2.62</v>
      </c>
      <c r="C12" s="100">
        <v>9.19</v>
      </c>
      <c r="D12" s="100">
        <v>5.91</v>
      </c>
      <c r="E12" s="100">
        <v>5.76</v>
      </c>
      <c r="F12" s="100">
        <v>5.2</v>
      </c>
      <c r="G12" s="100">
        <v>31.72</v>
      </c>
      <c r="H12" s="100">
        <v>14.36</v>
      </c>
      <c r="I12" s="100">
        <v>8.1199999999999992</v>
      </c>
      <c r="J12" s="100">
        <v>4.5</v>
      </c>
      <c r="K12" s="100">
        <v>217.66</v>
      </c>
      <c r="L12" s="100">
        <v>27.22</v>
      </c>
      <c r="M12" s="100">
        <v>68.06</v>
      </c>
      <c r="N12" s="100">
        <v>23.6</v>
      </c>
      <c r="O12" s="100">
        <v>0</v>
      </c>
      <c r="P12" s="100">
        <v>0.35</v>
      </c>
      <c r="Q12" s="100">
        <v>29.26</v>
      </c>
      <c r="R12" s="6"/>
      <c r="S12" s="6"/>
      <c r="T12" s="156"/>
      <c r="U12" s="6"/>
    </row>
    <row r="13" spans="1:21" customFormat="1">
      <c r="A13" s="163" t="s">
        <v>3124</v>
      </c>
      <c r="B13" s="100">
        <v>2.7</v>
      </c>
      <c r="C13" s="100">
        <v>10.42</v>
      </c>
      <c r="D13" s="100">
        <v>6.62</v>
      </c>
      <c r="E13" s="100">
        <v>5.88</v>
      </c>
      <c r="F13" s="100">
        <v>3.69</v>
      </c>
      <c r="G13" s="100">
        <v>30.04</v>
      </c>
      <c r="H13" s="100">
        <v>16.559999999999999</v>
      </c>
      <c r="I13" s="100">
        <v>8.0500000000000007</v>
      </c>
      <c r="J13" s="100">
        <v>3.93</v>
      </c>
      <c r="K13" s="100">
        <v>203.52</v>
      </c>
      <c r="L13" s="100">
        <v>27.11</v>
      </c>
      <c r="M13" s="100">
        <v>68.83</v>
      </c>
      <c r="N13" s="100">
        <v>23.6</v>
      </c>
      <c r="O13" s="100">
        <v>0</v>
      </c>
      <c r="P13" s="100">
        <v>0.35</v>
      </c>
      <c r="Q13" s="100">
        <v>29.19</v>
      </c>
      <c r="R13" s="6"/>
      <c r="S13" s="6"/>
      <c r="T13" s="156"/>
      <c r="U13" s="6"/>
    </row>
    <row r="14" spans="1:21" customFormat="1">
      <c r="A14" s="163" t="s">
        <v>3125</v>
      </c>
      <c r="B14" s="100">
        <v>2.92</v>
      </c>
      <c r="C14" s="100">
        <v>8.3000000000000007</v>
      </c>
      <c r="D14" s="100">
        <v>5.68</v>
      </c>
      <c r="E14" s="100">
        <v>5.9</v>
      </c>
      <c r="F14" s="100">
        <v>4.8099999999999996</v>
      </c>
      <c r="G14" s="100">
        <v>30.04</v>
      </c>
      <c r="H14" s="100">
        <v>16.559999999999999</v>
      </c>
      <c r="I14" s="100">
        <v>8.06</v>
      </c>
      <c r="J14" s="100">
        <v>4.3499999999999996</v>
      </c>
      <c r="K14" s="100">
        <v>210.66</v>
      </c>
      <c r="L14" s="100">
        <v>27.07</v>
      </c>
      <c r="M14" s="100">
        <v>68.489999999999995</v>
      </c>
      <c r="N14" s="100">
        <v>23.6</v>
      </c>
      <c r="O14" s="100">
        <v>0</v>
      </c>
      <c r="P14" s="100">
        <v>0.32</v>
      </c>
      <c r="Q14" s="100">
        <v>29.35</v>
      </c>
      <c r="R14" s="6"/>
      <c r="S14" s="6"/>
      <c r="T14" s="156"/>
      <c r="U14" s="6"/>
    </row>
    <row r="15" spans="1:21" customFormat="1">
      <c r="A15" s="163" t="s">
        <v>3126</v>
      </c>
      <c r="B15" s="100">
        <v>2.9</v>
      </c>
      <c r="C15" s="100">
        <v>7.76</v>
      </c>
      <c r="D15" s="100">
        <v>5.38</v>
      </c>
      <c r="E15" s="100">
        <v>5.64</v>
      </c>
      <c r="F15" s="100">
        <v>3.77</v>
      </c>
      <c r="G15" s="100">
        <v>30.04</v>
      </c>
      <c r="H15" s="100">
        <v>16.559999999999999</v>
      </c>
      <c r="I15" s="100">
        <v>8.0500000000000007</v>
      </c>
      <c r="J15" s="100">
        <v>4.33</v>
      </c>
      <c r="K15" s="100">
        <v>212.08</v>
      </c>
      <c r="L15" s="100">
        <v>26.93</v>
      </c>
      <c r="M15" s="100">
        <v>68.81</v>
      </c>
      <c r="N15" s="100">
        <v>23.6</v>
      </c>
      <c r="O15" s="100">
        <v>0</v>
      </c>
      <c r="P15" s="100">
        <v>0.34</v>
      </c>
      <c r="Q15" s="100">
        <v>29.38</v>
      </c>
      <c r="R15" s="6"/>
      <c r="S15" s="6"/>
      <c r="T15" s="156"/>
      <c r="U15" s="6"/>
    </row>
    <row r="16" spans="1:21" customFormat="1">
      <c r="A16" s="163" t="s">
        <v>3127</v>
      </c>
      <c r="B16" s="100">
        <v>2.92</v>
      </c>
      <c r="C16" s="100">
        <v>8.1199999999999992</v>
      </c>
      <c r="D16" s="100">
        <v>5.59</v>
      </c>
      <c r="E16" s="100">
        <v>5.48</v>
      </c>
      <c r="F16" s="100">
        <v>5.99</v>
      </c>
      <c r="G16" s="100">
        <v>30.24</v>
      </c>
      <c r="H16" s="100">
        <v>16.66</v>
      </c>
      <c r="I16" s="100">
        <v>7.91</v>
      </c>
      <c r="J16" s="100">
        <v>4.21</v>
      </c>
      <c r="K16" s="100">
        <v>209.81</v>
      </c>
      <c r="L16" s="100">
        <v>26.94</v>
      </c>
      <c r="M16" s="100">
        <v>68.92</v>
      </c>
      <c r="N16" s="100">
        <v>23.5</v>
      </c>
      <c r="O16" s="100">
        <v>0</v>
      </c>
      <c r="P16" s="100">
        <v>0.32</v>
      </c>
      <c r="Q16" s="100">
        <v>29.37</v>
      </c>
      <c r="R16" s="6"/>
      <c r="S16" s="6"/>
      <c r="T16" s="156"/>
      <c r="U16" s="6"/>
    </row>
    <row r="17" spans="1:21" customFormat="1">
      <c r="A17" s="163" t="s">
        <v>3128</v>
      </c>
      <c r="B17" s="100">
        <v>3</v>
      </c>
      <c r="C17" s="100">
        <v>6.33</v>
      </c>
      <c r="D17" s="100">
        <v>4.72</v>
      </c>
      <c r="E17" s="100">
        <v>5.69</v>
      </c>
      <c r="F17" s="100">
        <v>5.16</v>
      </c>
      <c r="G17" s="100">
        <v>30.97</v>
      </c>
      <c r="H17" s="100">
        <v>17.03</v>
      </c>
      <c r="I17" s="100">
        <v>7.81</v>
      </c>
      <c r="J17" s="100">
        <v>4.42</v>
      </c>
      <c r="K17" s="100">
        <v>217.32</v>
      </c>
      <c r="L17" s="100">
        <v>26.8</v>
      </c>
      <c r="M17" s="100">
        <v>69.599999999999994</v>
      </c>
      <c r="N17" s="100">
        <v>23.6</v>
      </c>
      <c r="O17" s="100">
        <v>0</v>
      </c>
      <c r="P17" s="100">
        <v>0.32</v>
      </c>
      <c r="Q17" s="100">
        <v>29.47</v>
      </c>
      <c r="R17" s="6"/>
      <c r="S17" s="6"/>
      <c r="T17" s="156"/>
      <c r="U17" s="6"/>
    </row>
    <row r="18" spans="1:21" customFormat="1">
      <c r="A18" s="163" t="s">
        <v>3129</v>
      </c>
      <c r="B18" s="100">
        <v>3.04</v>
      </c>
      <c r="C18" s="100">
        <v>6.93</v>
      </c>
      <c r="D18" s="100">
        <v>5.07</v>
      </c>
      <c r="E18" s="100">
        <v>6.01</v>
      </c>
      <c r="F18" s="100">
        <v>5.72</v>
      </c>
      <c r="G18" s="100">
        <v>30.97</v>
      </c>
      <c r="H18" s="100">
        <v>17.03</v>
      </c>
      <c r="I18" s="100">
        <v>7.71</v>
      </c>
      <c r="J18" s="100">
        <v>4.42</v>
      </c>
      <c r="K18" s="100">
        <v>210.18</v>
      </c>
      <c r="L18" s="100">
        <v>26.67</v>
      </c>
      <c r="M18" s="100">
        <v>70.62</v>
      </c>
      <c r="N18" s="100">
        <v>23.6</v>
      </c>
      <c r="O18" s="100">
        <v>0</v>
      </c>
      <c r="P18" s="100">
        <v>0.31</v>
      </c>
      <c r="Q18" s="100">
        <v>29.45</v>
      </c>
      <c r="R18" s="6"/>
      <c r="S18" s="6"/>
      <c r="T18" s="156"/>
      <c r="U18" s="6"/>
    </row>
    <row r="19" spans="1:21" customFormat="1">
      <c r="A19" s="163" t="s">
        <v>3130</v>
      </c>
      <c r="B19" s="100">
        <v>3.06</v>
      </c>
      <c r="C19" s="100">
        <v>6.62</v>
      </c>
      <c r="D19" s="100">
        <v>4.92</v>
      </c>
      <c r="E19" s="100">
        <v>5.37</v>
      </c>
      <c r="F19" s="100">
        <v>5.87</v>
      </c>
      <c r="G19" s="100">
        <v>30.97</v>
      </c>
      <c r="H19" s="100">
        <v>17.03</v>
      </c>
      <c r="I19" s="100">
        <v>7.54</v>
      </c>
      <c r="J19" s="100">
        <v>4.21</v>
      </c>
      <c r="K19" s="100">
        <v>230.5</v>
      </c>
      <c r="L19" s="100">
        <v>26.57</v>
      </c>
      <c r="M19" s="100">
        <v>71.540000000000006</v>
      </c>
      <c r="N19" s="100">
        <v>23.6</v>
      </c>
      <c r="O19" s="100">
        <v>0</v>
      </c>
      <c r="P19" s="100">
        <v>0.3</v>
      </c>
      <c r="Q19" s="100">
        <v>29.47</v>
      </c>
      <c r="R19" s="6"/>
      <c r="S19" s="6"/>
      <c r="T19" s="156"/>
      <c r="U19" s="6"/>
    </row>
    <row r="20" spans="1:21" customFormat="1">
      <c r="A20" s="163" t="s">
        <v>3131</v>
      </c>
      <c r="B20" s="100">
        <v>2.95</v>
      </c>
      <c r="C20" s="100">
        <v>6.85</v>
      </c>
      <c r="D20" s="100">
        <v>4.95</v>
      </c>
      <c r="E20" s="100">
        <v>5.33</v>
      </c>
      <c r="F20" s="100">
        <v>7.55</v>
      </c>
      <c r="G20" s="100">
        <v>30.31</v>
      </c>
      <c r="H20" s="100">
        <v>16.809999999999999</v>
      </c>
      <c r="I20" s="100">
        <v>7.5</v>
      </c>
      <c r="J20" s="100">
        <v>3.77</v>
      </c>
      <c r="K20" s="100">
        <v>236.66</v>
      </c>
      <c r="L20" s="100">
        <v>26.42</v>
      </c>
      <c r="M20" s="100">
        <v>73.290000000000006</v>
      </c>
      <c r="N20" s="100">
        <v>24.9</v>
      </c>
      <c r="O20" s="100">
        <v>0.4</v>
      </c>
      <c r="P20" s="100">
        <v>0.3</v>
      </c>
      <c r="Q20" s="100">
        <v>29.45</v>
      </c>
      <c r="R20" s="6"/>
      <c r="S20" s="6"/>
      <c r="T20" s="156"/>
      <c r="U20" s="6"/>
    </row>
    <row r="21" spans="1:21" customFormat="1">
      <c r="A21" s="163" t="s">
        <v>3132</v>
      </c>
      <c r="B21" s="100">
        <v>2.93</v>
      </c>
      <c r="C21" s="100">
        <v>7.24</v>
      </c>
      <c r="D21" s="100">
        <v>5.14</v>
      </c>
      <c r="E21" s="100">
        <v>5.42</v>
      </c>
      <c r="F21" s="100">
        <v>6.68</v>
      </c>
      <c r="G21" s="100">
        <v>27.83</v>
      </c>
      <c r="H21" s="100">
        <v>15.98</v>
      </c>
      <c r="I21" s="100">
        <v>7.36</v>
      </c>
      <c r="J21" s="100">
        <v>3.47</v>
      </c>
      <c r="K21" s="100">
        <v>230.5</v>
      </c>
      <c r="L21" s="100">
        <v>25.82</v>
      </c>
      <c r="M21" s="100">
        <v>80.569999999999993</v>
      </c>
      <c r="N21" s="100">
        <v>24.4</v>
      </c>
      <c r="O21" s="100">
        <v>0</v>
      </c>
      <c r="P21" s="100">
        <v>0.31</v>
      </c>
      <c r="Q21" s="100">
        <v>29.4</v>
      </c>
      <c r="R21" s="6"/>
      <c r="S21" s="6"/>
      <c r="T21" s="156"/>
      <c r="U21" s="6"/>
    </row>
    <row r="22" spans="1:21" customFormat="1">
      <c r="A22" s="163" t="s">
        <v>3133</v>
      </c>
      <c r="B22" s="100">
        <v>3.02</v>
      </c>
      <c r="C22" s="100">
        <v>7.76</v>
      </c>
      <c r="D22" s="100">
        <v>5.48</v>
      </c>
      <c r="E22" s="100">
        <v>5.58</v>
      </c>
      <c r="F22" s="100">
        <v>5.65</v>
      </c>
      <c r="G22" s="100">
        <v>27.83</v>
      </c>
      <c r="H22" s="100">
        <v>15.98</v>
      </c>
      <c r="I22" s="100">
        <v>7.21</v>
      </c>
      <c r="J22" s="100">
        <v>3.45</v>
      </c>
      <c r="K22" s="100">
        <v>244.65</v>
      </c>
      <c r="L22" s="100">
        <v>25.57</v>
      </c>
      <c r="M22" s="100">
        <v>81.760000000000005</v>
      </c>
      <c r="N22" s="100">
        <v>24.2</v>
      </c>
      <c r="O22" s="100">
        <v>0</v>
      </c>
      <c r="P22" s="100">
        <v>0.31</v>
      </c>
      <c r="Q22" s="100">
        <v>29.36</v>
      </c>
      <c r="R22" s="6"/>
      <c r="S22" s="6"/>
      <c r="T22" s="156"/>
      <c r="U22" s="6"/>
    </row>
    <row r="23" spans="1:21" customFormat="1">
      <c r="A23" s="163" t="s">
        <v>3134</v>
      </c>
      <c r="B23" s="100">
        <v>3.06</v>
      </c>
      <c r="C23" s="100">
        <v>8.07</v>
      </c>
      <c r="D23" s="100">
        <v>5.68</v>
      </c>
      <c r="E23" s="100">
        <v>5.55</v>
      </c>
      <c r="F23" s="100">
        <v>5.29</v>
      </c>
      <c r="G23" s="100">
        <v>27.83</v>
      </c>
      <c r="H23" s="100">
        <v>15.98</v>
      </c>
      <c r="I23" s="100">
        <v>7.22</v>
      </c>
      <c r="J23" s="100">
        <v>3.53</v>
      </c>
      <c r="K23" s="100">
        <v>243.57</v>
      </c>
      <c r="L23" s="100">
        <v>25.77</v>
      </c>
      <c r="M23" s="100">
        <v>82.04</v>
      </c>
      <c r="N23" s="100">
        <v>23.7</v>
      </c>
      <c r="O23" s="100">
        <v>0.4</v>
      </c>
      <c r="P23" s="100">
        <v>0.31</v>
      </c>
      <c r="Q23" s="100">
        <v>29.32</v>
      </c>
      <c r="R23" s="6"/>
      <c r="S23" s="6"/>
      <c r="T23" s="156"/>
      <c r="U23" s="6"/>
    </row>
    <row r="24" spans="1:21" customFormat="1">
      <c r="A24" s="163" t="s">
        <v>3135</v>
      </c>
      <c r="B24" s="100">
        <v>3.03</v>
      </c>
      <c r="C24" s="100">
        <v>8.2100000000000009</v>
      </c>
      <c r="D24" s="100">
        <v>5.73</v>
      </c>
      <c r="E24" s="100">
        <v>5.36</v>
      </c>
      <c r="F24" s="100">
        <v>6.52</v>
      </c>
      <c r="G24" s="100">
        <v>27.84</v>
      </c>
      <c r="H24" s="100">
        <v>16.010000000000002</v>
      </c>
      <c r="I24" s="100">
        <v>7.33</v>
      </c>
      <c r="J24" s="100">
        <v>3.45</v>
      </c>
      <c r="K24" s="100">
        <v>195.68</v>
      </c>
      <c r="L24" s="100">
        <v>25.26</v>
      </c>
      <c r="M24" s="100">
        <v>87.32</v>
      </c>
      <c r="N24" s="100">
        <v>23.8</v>
      </c>
      <c r="O24" s="100">
        <v>0.8</v>
      </c>
      <c r="P24" s="100">
        <v>0.3</v>
      </c>
      <c r="Q24" s="100">
        <v>29.33</v>
      </c>
      <c r="R24" s="6"/>
      <c r="S24" s="6"/>
      <c r="T24" s="156"/>
      <c r="U24" s="6"/>
    </row>
    <row r="25" spans="1:21" customFormat="1">
      <c r="A25" s="163" t="s">
        <v>3136</v>
      </c>
      <c r="B25" s="100">
        <v>3.12</v>
      </c>
      <c r="C25" s="100">
        <v>8.74</v>
      </c>
      <c r="D25" s="100">
        <v>6.07</v>
      </c>
      <c r="E25" s="100">
        <v>5.31</v>
      </c>
      <c r="F25" s="100">
        <v>5.96</v>
      </c>
      <c r="G25" s="100">
        <v>27.84</v>
      </c>
      <c r="H25" s="100">
        <v>16.09</v>
      </c>
      <c r="I25" s="100">
        <v>7.4</v>
      </c>
      <c r="J25" s="100">
        <v>2.81</v>
      </c>
      <c r="K25" s="100">
        <v>133.1</v>
      </c>
      <c r="L25" s="100">
        <v>24.85</v>
      </c>
      <c r="M25" s="100">
        <v>90.27</v>
      </c>
      <c r="N25" s="100">
        <v>23.6</v>
      </c>
      <c r="O25" s="100">
        <v>0.4</v>
      </c>
      <c r="P25" s="100">
        <v>0.3</v>
      </c>
      <c r="Q25" s="100">
        <v>29.27</v>
      </c>
      <c r="R25" s="6"/>
      <c r="S25" s="6"/>
      <c r="T25" s="156"/>
      <c r="U25" s="6"/>
    </row>
    <row r="26" spans="1:21" customFormat="1">
      <c r="A26" s="163" t="s">
        <v>3137</v>
      </c>
      <c r="B26" s="100">
        <v>3.34</v>
      </c>
      <c r="C26" s="100">
        <v>11.5</v>
      </c>
      <c r="D26" s="100">
        <v>7.69</v>
      </c>
      <c r="E26" s="100">
        <v>5.44</v>
      </c>
      <c r="F26" s="100">
        <v>3.11</v>
      </c>
      <c r="G26" s="100">
        <v>27.84</v>
      </c>
      <c r="H26" s="100">
        <v>16.09</v>
      </c>
      <c r="I26" s="100">
        <v>7.18</v>
      </c>
      <c r="J26" s="100">
        <v>2.82</v>
      </c>
      <c r="K26" s="100">
        <v>158.22999999999999</v>
      </c>
      <c r="L26" s="100">
        <v>24.71</v>
      </c>
      <c r="M26" s="100">
        <v>92.41</v>
      </c>
      <c r="N26" s="100">
        <v>23.6</v>
      </c>
      <c r="O26" s="100">
        <v>0.4</v>
      </c>
      <c r="P26" s="100">
        <v>0.31</v>
      </c>
      <c r="Q26" s="100">
        <v>29.14</v>
      </c>
      <c r="R26" s="6"/>
      <c r="S26" s="6"/>
      <c r="T26" s="156"/>
      <c r="U26" s="6"/>
    </row>
    <row r="27" spans="1:21" customFormat="1">
      <c r="A27" s="163" t="s">
        <v>3138</v>
      </c>
      <c r="B27" s="100">
        <v>3.57</v>
      </c>
      <c r="C27" s="100">
        <v>11.42</v>
      </c>
      <c r="D27" s="100">
        <v>7.83</v>
      </c>
      <c r="E27" s="100">
        <v>5.45</v>
      </c>
      <c r="F27" s="100">
        <v>3.72</v>
      </c>
      <c r="G27" s="100">
        <v>27.84</v>
      </c>
      <c r="H27" s="100">
        <v>16.09</v>
      </c>
      <c r="I27" s="100">
        <v>7.12</v>
      </c>
      <c r="J27" s="100">
        <v>2.2999999999999998</v>
      </c>
      <c r="K27" s="100">
        <v>172.23</v>
      </c>
      <c r="L27" s="100">
        <v>24.98</v>
      </c>
      <c r="M27" s="100">
        <v>91.13</v>
      </c>
      <c r="N27" s="100">
        <v>23.4</v>
      </c>
      <c r="O27" s="100">
        <v>0.2</v>
      </c>
      <c r="P27" s="100">
        <v>0.32</v>
      </c>
      <c r="Q27" s="100">
        <v>29.14</v>
      </c>
      <c r="R27" s="6"/>
      <c r="S27" s="6"/>
      <c r="T27" s="156"/>
      <c r="U27" s="6"/>
    </row>
    <row r="28" spans="1:21" customFormat="1">
      <c r="A28" s="163" t="s">
        <v>3139</v>
      </c>
      <c r="B28" s="100">
        <v>3.8</v>
      </c>
      <c r="C28" s="100">
        <v>9.41</v>
      </c>
      <c r="D28" s="100">
        <v>6.97</v>
      </c>
      <c r="E28" s="100">
        <v>5.59</v>
      </c>
      <c r="F28" s="100">
        <v>4.2</v>
      </c>
      <c r="G28" s="100">
        <v>28.75</v>
      </c>
      <c r="H28" s="100">
        <v>16.03</v>
      </c>
      <c r="I28" s="100">
        <v>7.35</v>
      </c>
      <c r="J28" s="100">
        <v>1.76</v>
      </c>
      <c r="K28" s="100">
        <v>168.43</v>
      </c>
      <c r="L28" s="100">
        <v>25.03</v>
      </c>
      <c r="M28" s="100">
        <v>89.89</v>
      </c>
      <c r="N28" s="100">
        <v>23.7</v>
      </c>
      <c r="O28" s="100">
        <v>0</v>
      </c>
      <c r="P28" s="100">
        <v>0.33</v>
      </c>
      <c r="Q28" s="100">
        <v>29.22</v>
      </c>
      <c r="R28" s="6"/>
      <c r="S28" s="6"/>
      <c r="T28" s="156"/>
      <c r="U28" s="6"/>
    </row>
    <row r="29" spans="1:21" customFormat="1">
      <c r="A29" s="163" t="s">
        <v>3140</v>
      </c>
      <c r="B29" s="100">
        <v>4.28</v>
      </c>
      <c r="C29" s="100">
        <v>10.6</v>
      </c>
      <c r="D29" s="100">
        <v>7.97</v>
      </c>
      <c r="E29" s="100">
        <v>5.25</v>
      </c>
      <c r="F29" s="100">
        <v>2.77</v>
      </c>
      <c r="G29" s="100">
        <v>32.11</v>
      </c>
      <c r="H29" s="100">
        <v>15.8</v>
      </c>
      <c r="I29" s="100">
        <v>7.59</v>
      </c>
      <c r="J29" s="100">
        <v>3.17</v>
      </c>
      <c r="K29" s="100">
        <v>134.55000000000001</v>
      </c>
      <c r="L29" s="100">
        <v>24.9</v>
      </c>
      <c r="M29" s="100">
        <v>91.3</v>
      </c>
      <c r="N29" s="100">
        <v>23.6</v>
      </c>
      <c r="O29" s="100">
        <v>0</v>
      </c>
      <c r="P29" s="100">
        <v>0.38</v>
      </c>
      <c r="Q29" s="100">
        <v>29.12</v>
      </c>
      <c r="R29" s="6"/>
      <c r="S29" s="6"/>
      <c r="T29" s="156"/>
      <c r="U29" s="6"/>
    </row>
    <row r="30" spans="1:21" customFormat="1">
      <c r="A30" s="163" t="s">
        <v>3141</v>
      </c>
      <c r="B30" s="100">
        <v>4.76</v>
      </c>
      <c r="C30" s="100">
        <v>10.33</v>
      </c>
      <c r="D30" s="100">
        <v>8.2200000000000006</v>
      </c>
      <c r="E30" s="100">
        <v>5.62</v>
      </c>
      <c r="F30" s="100">
        <v>2.84</v>
      </c>
      <c r="G30" s="100">
        <v>32.11</v>
      </c>
      <c r="H30" s="100">
        <v>15.8</v>
      </c>
      <c r="I30" s="100">
        <v>8</v>
      </c>
      <c r="J30" s="100">
        <v>3.53</v>
      </c>
      <c r="K30" s="100">
        <v>175.8</v>
      </c>
      <c r="L30" s="100">
        <v>25</v>
      </c>
      <c r="M30" s="100">
        <v>90.74</v>
      </c>
      <c r="N30" s="100">
        <v>24.8</v>
      </c>
      <c r="O30" s="100">
        <v>0</v>
      </c>
      <c r="P30" s="100">
        <v>0.44</v>
      </c>
      <c r="Q30" s="100">
        <v>29.09</v>
      </c>
      <c r="R30" s="6"/>
      <c r="S30" s="6"/>
      <c r="T30" s="156"/>
      <c r="U30" s="6"/>
    </row>
    <row r="31" spans="1:21" customFormat="1">
      <c r="A31" s="163" t="s">
        <v>3142</v>
      </c>
      <c r="B31" s="100">
        <v>5.07</v>
      </c>
      <c r="C31" s="100">
        <v>9.49</v>
      </c>
      <c r="D31" s="100">
        <v>8.0299999999999994</v>
      </c>
      <c r="E31" s="100">
        <v>6</v>
      </c>
      <c r="F31" s="100">
        <v>3.72</v>
      </c>
      <c r="G31" s="100">
        <v>32.11</v>
      </c>
      <c r="H31" s="100">
        <v>15.8</v>
      </c>
      <c r="I31" s="100">
        <v>8.2899999999999991</v>
      </c>
      <c r="J31" s="100">
        <v>3.56</v>
      </c>
      <c r="K31" s="100">
        <v>186.09</v>
      </c>
      <c r="L31" s="100">
        <v>25.01</v>
      </c>
      <c r="M31" s="100">
        <v>89.91</v>
      </c>
      <c r="N31" s="100">
        <v>28</v>
      </c>
      <c r="O31" s="100">
        <v>0</v>
      </c>
      <c r="P31" s="100">
        <v>0.44</v>
      </c>
      <c r="Q31" s="100">
        <v>29.13</v>
      </c>
      <c r="R31" s="6"/>
      <c r="S31" s="6"/>
      <c r="T31" s="156"/>
      <c r="U31" s="6"/>
    </row>
    <row r="32" spans="1:21" customFormat="1">
      <c r="A32" s="163" t="s">
        <v>3143</v>
      </c>
      <c r="B32" s="100">
        <v>5.13</v>
      </c>
      <c r="C32" s="100">
        <v>9.07</v>
      </c>
      <c r="D32" s="100">
        <v>7.86</v>
      </c>
      <c r="E32" s="100">
        <v>5.86</v>
      </c>
      <c r="F32" s="100">
        <v>5.0999999999999996</v>
      </c>
      <c r="G32" s="100">
        <v>31.33</v>
      </c>
      <c r="H32" s="100">
        <v>15.55</v>
      </c>
      <c r="I32" s="100">
        <v>8.75</v>
      </c>
      <c r="J32" s="100">
        <v>3.78</v>
      </c>
      <c r="K32" s="100">
        <v>182.8</v>
      </c>
      <c r="L32" s="100">
        <v>24.96</v>
      </c>
      <c r="M32" s="100">
        <v>90.08</v>
      </c>
      <c r="N32" s="100">
        <v>31.9</v>
      </c>
      <c r="O32" s="100">
        <v>0</v>
      </c>
      <c r="P32" s="100">
        <v>0.43</v>
      </c>
      <c r="Q32" s="100">
        <v>29.15</v>
      </c>
      <c r="R32" s="6"/>
      <c r="S32" s="6"/>
      <c r="T32" s="156"/>
      <c r="U32" s="6"/>
    </row>
    <row r="33" spans="1:21" customFormat="1">
      <c r="A33" s="163" t="s">
        <v>3144</v>
      </c>
      <c r="B33" s="100">
        <v>5.42</v>
      </c>
      <c r="C33" s="100">
        <v>9.07</v>
      </c>
      <c r="D33" s="100">
        <v>8.09</v>
      </c>
      <c r="E33" s="100">
        <v>5.59</v>
      </c>
      <c r="F33" s="100">
        <v>4.75</v>
      </c>
      <c r="G33" s="100">
        <v>28.4</v>
      </c>
      <c r="H33" s="100">
        <v>14.62</v>
      </c>
      <c r="I33" s="100">
        <v>8.91</v>
      </c>
      <c r="J33" s="100">
        <v>3.47</v>
      </c>
      <c r="K33" s="100">
        <v>193.35</v>
      </c>
      <c r="L33" s="100">
        <v>25.02</v>
      </c>
      <c r="M33" s="100">
        <v>89.89</v>
      </c>
      <c r="N33" s="100">
        <v>35.6</v>
      </c>
      <c r="O33" s="100">
        <v>0</v>
      </c>
      <c r="P33" s="100">
        <v>0.43</v>
      </c>
      <c r="Q33" s="100">
        <v>29.1</v>
      </c>
      <c r="R33" s="6"/>
      <c r="S33" s="6"/>
      <c r="T33" s="156"/>
      <c r="U33" s="6"/>
    </row>
    <row r="34" spans="1:21" customFormat="1">
      <c r="A34" s="163" t="s">
        <v>3145</v>
      </c>
      <c r="B34" s="100">
        <v>5.57</v>
      </c>
      <c r="C34" s="100">
        <v>9.2799999999999994</v>
      </c>
      <c r="D34" s="100">
        <v>8.32</v>
      </c>
      <c r="E34" s="100">
        <v>5.79</v>
      </c>
      <c r="F34" s="100">
        <v>4.4400000000000004</v>
      </c>
      <c r="G34" s="100">
        <v>28.4</v>
      </c>
      <c r="H34" s="100">
        <v>14.62</v>
      </c>
      <c r="I34" s="100">
        <v>8.75</v>
      </c>
      <c r="J34" s="100">
        <v>3.88</v>
      </c>
      <c r="K34" s="100">
        <v>215.68</v>
      </c>
      <c r="L34" s="100">
        <v>24.88</v>
      </c>
      <c r="M34" s="100">
        <v>87.46</v>
      </c>
      <c r="N34" s="100">
        <v>30.8</v>
      </c>
      <c r="O34" s="100">
        <v>0</v>
      </c>
      <c r="P34" s="100">
        <v>0.43</v>
      </c>
      <c r="Q34" s="100">
        <v>29.07</v>
      </c>
      <c r="R34" s="6"/>
      <c r="S34" s="6"/>
      <c r="T34" s="156"/>
      <c r="U34" s="6"/>
    </row>
    <row r="35" spans="1:21" customFormat="1">
      <c r="A35" s="163" t="s">
        <v>3146</v>
      </c>
      <c r="B35" s="100">
        <v>5.61</v>
      </c>
      <c r="C35" s="100">
        <v>9.39</v>
      </c>
      <c r="D35" s="100">
        <v>8.41</v>
      </c>
      <c r="E35" s="100">
        <v>5.77</v>
      </c>
      <c r="F35" s="100">
        <v>3.78</v>
      </c>
      <c r="G35" s="100">
        <v>28.4</v>
      </c>
      <c r="H35" s="100">
        <v>14.62</v>
      </c>
      <c r="I35" s="100">
        <v>8.77</v>
      </c>
      <c r="J35" s="100">
        <v>3.67</v>
      </c>
      <c r="K35" s="100">
        <v>193.49</v>
      </c>
      <c r="L35" s="100">
        <v>24.53</v>
      </c>
      <c r="M35" s="100">
        <v>89.96</v>
      </c>
      <c r="N35" s="100">
        <v>30.6</v>
      </c>
      <c r="O35" s="100">
        <v>4.2</v>
      </c>
      <c r="P35" s="100">
        <v>0.43</v>
      </c>
      <c r="Q35" s="100">
        <v>29.03</v>
      </c>
      <c r="R35" s="6"/>
      <c r="S35" s="6"/>
      <c r="T35" s="156"/>
      <c r="U35" s="6"/>
    </row>
    <row r="36" spans="1:21" customFormat="1">
      <c r="A36" s="163" t="s">
        <v>3147</v>
      </c>
      <c r="B36" s="100">
        <v>5.44</v>
      </c>
      <c r="C36" s="100">
        <v>9.58</v>
      </c>
      <c r="D36" s="100">
        <v>8.3699999999999992</v>
      </c>
      <c r="E36" s="100">
        <v>5.28</v>
      </c>
      <c r="F36" s="100">
        <v>4.84</v>
      </c>
      <c r="G36" s="100">
        <v>28.3</v>
      </c>
      <c r="H36" s="100">
        <v>14.53</v>
      </c>
      <c r="I36" s="100">
        <v>8.73</v>
      </c>
      <c r="J36" s="100">
        <v>3.72</v>
      </c>
      <c r="K36" s="100">
        <v>184.03</v>
      </c>
      <c r="L36" s="100">
        <v>23.7</v>
      </c>
      <c r="M36" s="100">
        <v>93.69</v>
      </c>
      <c r="N36" s="100">
        <v>33.9</v>
      </c>
      <c r="O36" s="100">
        <v>1.6</v>
      </c>
      <c r="P36" s="100">
        <v>0.42</v>
      </c>
      <c r="Q36" s="100">
        <v>29.04</v>
      </c>
      <c r="R36" s="6"/>
      <c r="S36" s="6"/>
      <c r="T36" s="156"/>
      <c r="U36" s="6"/>
    </row>
    <row r="37" spans="1:21" customFormat="1">
      <c r="A37" s="163" t="s">
        <v>3148</v>
      </c>
      <c r="B37" s="100">
        <v>4.9800000000000004</v>
      </c>
      <c r="C37" s="100">
        <v>9.83</v>
      </c>
      <c r="D37" s="100">
        <v>8.1300000000000008</v>
      </c>
      <c r="E37" s="100">
        <v>5.64</v>
      </c>
      <c r="F37" s="100">
        <v>6.64</v>
      </c>
      <c r="G37" s="100">
        <v>27.93</v>
      </c>
      <c r="H37" s="100">
        <v>14.21</v>
      </c>
      <c r="I37" s="100">
        <v>8.65</v>
      </c>
      <c r="J37" s="100">
        <v>2.02</v>
      </c>
      <c r="K37" s="100">
        <v>108.89</v>
      </c>
      <c r="L37" s="100">
        <v>23.61</v>
      </c>
      <c r="M37" s="100">
        <v>93.93</v>
      </c>
      <c r="N37" s="100">
        <v>29.4</v>
      </c>
      <c r="O37" s="100">
        <v>0.8</v>
      </c>
      <c r="P37" s="100">
        <v>0.42</v>
      </c>
      <c r="Q37" s="100">
        <v>29.02</v>
      </c>
      <c r="R37" s="6"/>
      <c r="S37" s="6"/>
      <c r="T37" s="156"/>
      <c r="U37" s="6"/>
    </row>
    <row r="38" spans="1:21" customFormat="1">
      <c r="A38" s="163" t="s">
        <v>3149</v>
      </c>
      <c r="B38" s="100">
        <v>4.72</v>
      </c>
      <c r="C38" s="100">
        <v>10.35</v>
      </c>
      <c r="D38" s="100">
        <v>8.1999999999999993</v>
      </c>
      <c r="E38" s="100">
        <v>5.67</v>
      </c>
      <c r="F38" s="100">
        <v>4.03</v>
      </c>
      <c r="G38" s="100">
        <v>27.93</v>
      </c>
      <c r="H38" s="100">
        <v>14.21</v>
      </c>
      <c r="I38" s="100">
        <v>8.49</v>
      </c>
      <c r="J38" s="100">
        <v>2.35</v>
      </c>
      <c r="K38" s="100">
        <v>216.65</v>
      </c>
      <c r="L38" s="100">
        <v>23.78</v>
      </c>
      <c r="M38" s="100">
        <v>95.81</v>
      </c>
      <c r="N38" s="100">
        <v>28.1</v>
      </c>
      <c r="O38" s="100">
        <v>1.4</v>
      </c>
      <c r="P38" s="100">
        <v>0.44</v>
      </c>
      <c r="Q38" s="100">
        <v>29</v>
      </c>
      <c r="R38" s="6"/>
      <c r="S38" s="6"/>
      <c r="T38" s="156"/>
      <c r="U38" s="6"/>
    </row>
    <row r="39" spans="1:21" customFormat="1">
      <c r="A39" s="163" t="s">
        <v>3150</v>
      </c>
      <c r="B39" s="100">
        <v>4.6900000000000004</v>
      </c>
      <c r="C39" s="100">
        <v>11.88</v>
      </c>
      <c r="D39" s="100">
        <v>8.9700000000000006</v>
      </c>
      <c r="E39" s="100">
        <v>5.39</v>
      </c>
      <c r="F39" s="100">
        <v>3.51</v>
      </c>
      <c r="G39" s="100">
        <v>27.93</v>
      </c>
      <c r="H39" s="100">
        <v>14.21</v>
      </c>
      <c r="I39" s="100">
        <v>8.3000000000000007</v>
      </c>
      <c r="J39" s="100">
        <v>4.72</v>
      </c>
      <c r="K39" s="100">
        <v>212.1</v>
      </c>
      <c r="L39" s="100">
        <v>23.65</v>
      </c>
      <c r="M39" s="100">
        <v>96.6</v>
      </c>
      <c r="N39" s="100">
        <v>29.4</v>
      </c>
      <c r="O39" s="100">
        <v>3.6</v>
      </c>
      <c r="P39" s="100">
        <v>0.45</v>
      </c>
      <c r="Q39" s="100">
        <v>28.95</v>
      </c>
      <c r="R39" s="6"/>
      <c r="S39" s="6"/>
      <c r="T39" s="156"/>
      <c r="U39" s="6"/>
    </row>
    <row r="40" spans="1:21" customFormat="1">
      <c r="A40" s="163" t="s">
        <v>3151</v>
      </c>
      <c r="B40" s="100">
        <v>4.7699999999999996</v>
      </c>
      <c r="C40" s="100">
        <v>11.66</v>
      </c>
      <c r="D40" s="100">
        <v>8.92</v>
      </c>
      <c r="E40" s="100">
        <v>5.75</v>
      </c>
      <c r="F40" s="100">
        <v>3.22</v>
      </c>
      <c r="G40" s="100">
        <v>27.46</v>
      </c>
      <c r="H40" s="100">
        <v>13.56</v>
      </c>
      <c r="I40" s="100">
        <v>8.35</v>
      </c>
      <c r="J40" s="100">
        <v>3.21</v>
      </c>
      <c r="K40" s="100">
        <v>202.04</v>
      </c>
      <c r="L40" s="100">
        <v>23.64</v>
      </c>
      <c r="M40" s="100">
        <v>96.95</v>
      </c>
      <c r="N40" s="100">
        <v>28.8</v>
      </c>
      <c r="O40" s="100">
        <v>2.4</v>
      </c>
      <c r="P40" s="100">
        <v>0.44</v>
      </c>
      <c r="Q40" s="100">
        <v>28.97</v>
      </c>
      <c r="R40" s="6"/>
      <c r="S40" s="6"/>
      <c r="T40" s="156"/>
      <c r="U40" s="6"/>
    </row>
    <row r="41" spans="1:21" customFormat="1">
      <c r="A41" s="163" t="s">
        <v>3152</v>
      </c>
      <c r="B41" s="100">
        <v>5.04</v>
      </c>
      <c r="C41" s="100">
        <v>10.43</v>
      </c>
      <c r="D41" s="100">
        <v>8.49</v>
      </c>
      <c r="E41" s="100">
        <v>5.76</v>
      </c>
      <c r="F41" s="100">
        <v>2.91</v>
      </c>
      <c r="G41" s="100">
        <v>25.69</v>
      </c>
      <c r="H41" s="100">
        <v>11.1</v>
      </c>
      <c r="I41" s="100">
        <v>8.4499999999999993</v>
      </c>
      <c r="J41" s="100">
        <v>4.24</v>
      </c>
      <c r="K41" s="100">
        <v>189.17</v>
      </c>
      <c r="L41" s="100">
        <v>23.27</v>
      </c>
      <c r="M41" s="100">
        <v>96.95</v>
      </c>
      <c r="N41" s="100">
        <v>31</v>
      </c>
      <c r="O41" s="100">
        <v>12</v>
      </c>
      <c r="P41" s="100">
        <v>0.44</v>
      </c>
      <c r="Q41" s="100">
        <v>29.05</v>
      </c>
      <c r="R41" s="6"/>
      <c r="S41" s="6"/>
      <c r="T41" s="156"/>
      <c r="U41" s="6"/>
    </row>
    <row r="42" spans="1:21" customFormat="1">
      <c r="A42" s="163" t="s">
        <v>3153</v>
      </c>
      <c r="B42" s="100">
        <v>5.43</v>
      </c>
      <c r="C42" s="100">
        <v>9.08</v>
      </c>
      <c r="D42" s="100">
        <v>8.1</v>
      </c>
      <c r="E42" s="100">
        <v>5.75</v>
      </c>
      <c r="F42" s="100">
        <v>2.98</v>
      </c>
      <c r="G42" s="100">
        <v>25.69</v>
      </c>
      <c r="H42" s="100">
        <v>11.1</v>
      </c>
      <c r="I42" s="100">
        <v>8.49</v>
      </c>
      <c r="J42" s="100">
        <v>3.78</v>
      </c>
      <c r="K42" s="100">
        <v>179.16</v>
      </c>
      <c r="L42" s="100">
        <v>22.88</v>
      </c>
      <c r="M42" s="100">
        <v>96.96</v>
      </c>
      <c r="N42" s="100">
        <v>28.9</v>
      </c>
      <c r="O42" s="100">
        <v>13.2</v>
      </c>
      <c r="P42" s="100">
        <v>0.4</v>
      </c>
      <c r="Q42" s="100">
        <v>29.15</v>
      </c>
      <c r="R42" s="6"/>
      <c r="S42" s="6"/>
      <c r="T42" s="156"/>
      <c r="U42" s="6"/>
    </row>
    <row r="43" spans="1:21" customFormat="1">
      <c r="A43" s="163" t="s">
        <v>3154</v>
      </c>
      <c r="B43" s="100">
        <v>5.35</v>
      </c>
      <c r="C43" s="100">
        <v>8.73</v>
      </c>
      <c r="D43" s="100">
        <v>7.86</v>
      </c>
      <c r="E43" s="100">
        <v>5.59</v>
      </c>
      <c r="F43" s="100">
        <v>2.99</v>
      </c>
      <c r="G43" s="100">
        <v>25.69</v>
      </c>
      <c r="H43" s="100">
        <v>11.1</v>
      </c>
      <c r="I43" s="100">
        <v>8.43</v>
      </c>
      <c r="J43" s="100">
        <v>2.94</v>
      </c>
      <c r="K43" s="100">
        <v>195.6</v>
      </c>
      <c r="L43" s="100">
        <v>23.13</v>
      </c>
      <c r="M43" s="100">
        <v>96.98</v>
      </c>
      <c r="N43" s="100">
        <v>27.6</v>
      </c>
      <c r="O43" s="100">
        <v>5.8</v>
      </c>
      <c r="P43" s="100">
        <v>0.43</v>
      </c>
      <c r="Q43" s="100">
        <v>29.11</v>
      </c>
      <c r="R43" s="6"/>
      <c r="S43" s="6"/>
      <c r="T43" s="156"/>
      <c r="U43" s="6"/>
    </row>
    <row r="44" spans="1:21" customFormat="1">
      <c r="A44" s="163" t="s">
        <v>3155</v>
      </c>
      <c r="B44" s="100">
        <v>5.42</v>
      </c>
      <c r="C44" s="100">
        <v>10.87</v>
      </c>
      <c r="D44" s="100">
        <v>9.0299999999999994</v>
      </c>
      <c r="E44" s="100">
        <v>5.15</v>
      </c>
      <c r="F44" s="100">
        <v>3.87</v>
      </c>
      <c r="G44" s="100">
        <v>25</v>
      </c>
      <c r="H44" s="100">
        <v>11.09</v>
      </c>
      <c r="I44" s="100">
        <v>8.4</v>
      </c>
      <c r="J44" s="100">
        <v>3.48</v>
      </c>
      <c r="K44" s="100">
        <v>142.63999999999999</v>
      </c>
      <c r="L44" s="100">
        <v>23.14</v>
      </c>
      <c r="M44" s="100">
        <v>96.98</v>
      </c>
      <c r="N44" s="100">
        <v>48.7</v>
      </c>
      <c r="O44" s="100">
        <v>1.6</v>
      </c>
      <c r="P44" s="100">
        <v>0.43</v>
      </c>
      <c r="Q44" s="100">
        <v>28.96</v>
      </c>
      <c r="R44" s="6"/>
      <c r="S44" s="6"/>
      <c r="T44" s="156"/>
      <c r="U44" s="6"/>
    </row>
    <row r="45" spans="1:21" customFormat="1">
      <c r="A45" s="163" t="s">
        <v>3156</v>
      </c>
      <c r="B45" s="100">
        <v>5.87</v>
      </c>
      <c r="C45" s="100">
        <v>10.73</v>
      </c>
      <c r="D45" s="100">
        <v>9.32</v>
      </c>
      <c r="E45" s="100">
        <v>5.35</v>
      </c>
      <c r="F45" s="100">
        <v>4.5199999999999996</v>
      </c>
      <c r="G45" s="100">
        <v>22.41</v>
      </c>
      <c r="H45" s="100">
        <v>11.06</v>
      </c>
      <c r="I45" s="100">
        <v>8.3800000000000008</v>
      </c>
      <c r="J45" s="100">
        <v>3.44</v>
      </c>
      <c r="K45" s="100">
        <v>213.86</v>
      </c>
      <c r="L45" s="100">
        <v>23.27</v>
      </c>
      <c r="M45" s="100">
        <v>96.98</v>
      </c>
      <c r="N45" s="100">
        <v>81.2</v>
      </c>
      <c r="O45" s="100">
        <v>0</v>
      </c>
      <c r="P45" s="100">
        <v>0.42</v>
      </c>
      <c r="Q45" s="100">
        <v>28.9</v>
      </c>
      <c r="R45" s="6"/>
      <c r="S45" s="6"/>
      <c r="T45" s="156"/>
      <c r="U45" s="6"/>
    </row>
    <row r="46" spans="1:21" customFormat="1">
      <c r="A46" s="163" t="s">
        <v>3157</v>
      </c>
      <c r="B46" s="100">
        <v>6.5</v>
      </c>
      <c r="C46" s="100">
        <v>11.11</v>
      </c>
      <c r="D46" s="100">
        <v>10.02</v>
      </c>
      <c r="E46" s="100">
        <v>5.37</v>
      </c>
      <c r="F46" s="100">
        <v>3.54</v>
      </c>
      <c r="G46" s="100">
        <v>22.41</v>
      </c>
      <c r="H46" s="100">
        <v>11.06</v>
      </c>
      <c r="I46" s="100">
        <v>8.4700000000000006</v>
      </c>
      <c r="J46" s="100">
        <v>3.99</v>
      </c>
      <c r="K46" s="100">
        <v>200.64</v>
      </c>
      <c r="L46" s="100">
        <v>23.3</v>
      </c>
      <c r="M46" s="100">
        <v>96.98</v>
      </c>
      <c r="N46" s="100">
        <v>93.6</v>
      </c>
      <c r="O46" s="100">
        <v>0</v>
      </c>
      <c r="P46" s="100">
        <v>0.43</v>
      </c>
      <c r="Q46" s="100">
        <v>28.91</v>
      </c>
      <c r="R46" s="6"/>
      <c r="S46" s="6"/>
      <c r="T46" s="156"/>
      <c r="U46" s="6"/>
    </row>
    <row r="47" spans="1:21" customFormat="1">
      <c r="A47" s="163" t="s">
        <v>3158</v>
      </c>
      <c r="B47" s="100">
        <v>6.47</v>
      </c>
      <c r="C47" s="100">
        <v>11.14</v>
      </c>
      <c r="D47" s="100">
        <v>10.01</v>
      </c>
      <c r="E47" s="100">
        <v>5.35</v>
      </c>
      <c r="F47" s="100">
        <v>3.34</v>
      </c>
      <c r="G47" s="100">
        <v>22.41</v>
      </c>
      <c r="H47" s="100">
        <v>11.06</v>
      </c>
      <c r="I47" s="100">
        <v>8.4499999999999993</v>
      </c>
      <c r="J47" s="100">
        <v>5.07</v>
      </c>
      <c r="K47" s="100">
        <v>221.69</v>
      </c>
      <c r="L47" s="100">
        <v>22.98</v>
      </c>
      <c r="M47" s="100">
        <v>97</v>
      </c>
      <c r="N47" s="100">
        <v>121.1</v>
      </c>
      <c r="O47" s="100">
        <v>0</v>
      </c>
      <c r="P47" s="100">
        <v>0.44</v>
      </c>
      <c r="Q47" s="100">
        <v>28.88</v>
      </c>
      <c r="R47" s="6"/>
      <c r="S47" s="6"/>
      <c r="T47" s="156"/>
      <c r="U47" s="6"/>
    </row>
    <row r="48" spans="1:21" customFormat="1">
      <c r="A48" s="163" t="s">
        <v>3159</v>
      </c>
      <c r="B48" s="100">
        <v>6.04</v>
      </c>
      <c r="C48" s="100">
        <v>11.55</v>
      </c>
      <c r="D48" s="100">
        <v>9.8800000000000008</v>
      </c>
      <c r="E48" s="100">
        <v>5.89</v>
      </c>
      <c r="F48" s="100">
        <v>3.8</v>
      </c>
      <c r="G48" s="100">
        <v>21.4</v>
      </c>
      <c r="H48" s="100">
        <v>10.83</v>
      </c>
      <c r="I48" s="100">
        <v>8.6</v>
      </c>
      <c r="J48" s="100">
        <v>4.3499999999999996</v>
      </c>
      <c r="K48" s="100">
        <v>220.56</v>
      </c>
      <c r="L48" s="100">
        <v>22.87</v>
      </c>
      <c r="M48" s="100">
        <v>97</v>
      </c>
      <c r="N48" s="100">
        <v>128</v>
      </c>
      <c r="O48" s="100">
        <v>0</v>
      </c>
      <c r="P48" s="100">
        <v>0.45</v>
      </c>
      <c r="Q48" s="100">
        <v>28.86</v>
      </c>
      <c r="R48" s="6"/>
      <c r="S48" s="6"/>
      <c r="T48" s="156"/>
      <c r="U48" s="6"/>
    </row>
    <row r="49" spans="1:21" customFormat="1">
      <c r="A49" s="163" t="s">
        <v>3160</v>
      </c>
      <c r="B49" s="100">
        <v>5.76</v>
      </c>
      <c r="C49" s="100">
        <v>11.9</v>
      </c>
      <c r="D49" s="100">
        <v>9.84</v>
      </c>
      <c r="E49" s="100">
        <v>5.69</v>
      </c>
      <c r="F49" s="100">
        <v>3.66</v>
      </c>
      <c r="G49" s="100">
        <v>17.649999999999999</v>
      </c>
      <c r="H49" s="100">
        <v>9.9600000000000009</v>
      </c>
      <c r="I49" s="100">
        <v>8.58</v>
      </c>
      <c r="J49" s="100">
        <v>4.34</v>
      </c>
      <c r="K49" s="100">
        <v>223.6</v>
      </c>
      <c r="L49" s="100">
        <v>23.01</v>
      </c>
      <c r="M49" s="100">
        <v>97</v>
      </c>
      <c r="N49" s="100">
        <v>183.1</v>
      </c>
      <c r="O49" s="100">
        <v>0</v>
      </c>
      <c r="P49" s="100">
        <v>0.45</v>
      </c>
      <c r="Q49" s="100">
        <v>28.82</v>
      </c>
      <c r="R49" s="6"/>
      <c r="S49" s="6"/>
      <c r="T49" s="156"/>
      <c r="U49" s="6"/>
    </row>
    <row r="50" spans="1:21" customFormat="1">
      <c r="A50" s="163" t="s">
        <v>3161</v>
      </c>
      <c r="B50" s="100">
        <v>5.57</v>
      </c>
      <c r="C50" s="100">
        <v>11.72</v>
      </c>
      <c r="D50" s="100">
        <v>9.6</v>
      </c>
      <c r="E50" s="100">
        <v>5.36</v>
      </c>
      <c r="F50" s="100">
        <v>3.34</v>
      </c>
      <c r="G50" s="100">
        <v>17.649999999999999</v>
      </c>
      <c r="H50" s="100">
        <v>9.9600000000000009</v>
      </c>
      <c r="I50" s="100">
        <v>8.5299999999999994</v>
      </c>
      <c r="J50" s="100">
        <v>4.01</v>
      </c>
      <c r="K50" s="100">
        <v>209.36</v>
      </c>
      <c r="L50" s="100">
        <v>23.35</v>
      </c>
      <c r="M50" s="100">
        <v>97</v>
      </c>
      <c r="N50" s="100">
        <v>228.3</v>
      </c>
      <c r="O50" s="100">
        <v>0</v>
      </c>
      <c r="P50" s="100">
        <v>0.47</v>
      </c>
      <c r="Q50" s="100">
        <v>28.83</v>
      </c>
      <c r="R50" s="6"/>
      <c r="S50" s="6"/>
      <c r="T50" s="156"/>
      <c r="U50" s="6"/>
    </row>
    <row r="51" spans="1:21" customFormat="1">
      <c r="A51" s="163" t="s">
        <v>3162</v>
      </c>
      <c r="B51" s="100">
        <v>5.38</v>
      </c>
      <c r="C51" s="100">
        <v>11.58</v>
      </c>
      <c r="D51" s="100">
        <v>9.3699999999999992</v>
      </c>
      <c r="E51" s="100">
        <v>5.37</v>
      </c>
      <c r="F51" s="100">
        <v>3.92</v>
      </c>
      <c r="G51" s="100">
        <v>17.649999999999999</v>
      </c>
      <c r="H51" s="100">
        <v>9.9600000000000009</v>
      </c>
      <c r="I51" s="100">
        <v>8.6</v>
      </c>
      <c r="J51" s="100">
        <v>4.58</v>
      </c>
      <c r="K51" s="100">
        <v>210.32</v>
      </c>
      <c r="L51" s="100">
        <v>23.88</v>
      </c>
      <c r="M51" s="100">
        <v>97</v>
      </c>
      <c r="N51" s="100">
        <v>244.1</v>
      </c>
      <c r="O51" s="100">
        <v>0</v>
      </c>
      <c r="P51" s="100">
        <v>0.47</v>
      </c>
      <c r="Q51" s="100">
        <v>28.85</v>
      </c>
      <c r="R51" s="6"/>
      <c r="S51" s="6"/>
      <c r="T51" s="156"/>
      <c r="U51" s="6"/>
    </row>
    <row r="52" spans="1:21" customFormat="1">
      <c r="A52" s="163" t="s">
        <v>3163</v>
      </c>
      <c r="B52" s="100">
        <v>5.21</v>
      </c>
      <c r="C52" s="100">
        <v>13.24</v>
      </c>
      <c r="D52" s="100">
        <v>10.1</v>
      </c>
      <c r="E52" s="100">
        <v>5.18</v>
      </c>
      <c r="F52" s="100">
        <v>3.04</v>
      </c>
      <c r="G52" s="100">
        <v>17.850000000000001</v>
      </c>
      <c r="H52" s="100">
        <v>10.039999999999999</v>
      </c>
      <c r="I52" s="100">
        <v>8.64</v>
      </c>
      <c r="J52" s="100">
        <v>5.68</v>
      </c>
      <c r="K52" s="100">
        <v>218.57</v>
      </c>
      <c r="L52" s="100">
        <v>24.56</v>
      </c>
      <c r="M52" s="100">
        <v>96.99</v>
      </c>
      <c r="N52" s="100">
        <v>293.89999999999998</v>
      </c>
      <c r="O52" s="100">
        <v>0</v>
      </c>
      <c r="P52" s="100">
        <v>0.48</v>
      </c>
      <c r="Q52" s="100">
        <v>28.75</v>
      </c>
      <c r="R52" s="6"/>
      <c r="S52" s="6"/>
      <c r="T52" s="156"/>
      <c r="U52" s="6"/>
    </row>
    <row r="53" spans="1:21" customFormat="1">
      <c r="A53" s="163" t="s">
        <v>3164</v>
      </c>
      <c r="B53" s="100">
        <v>5.19</v>
      </c>
      <c r="C53" s="100">
        <v>13.14</v>
      </c>
      <c r="D53" s="100">
        <v>10.039999999999999</v>
      </c>
      <c r="E53" s="100">
        <v>5.52</v>
      </c>
      <c r="F53" s="100">
        <v>2.91</v>
      </c>
      <c r="G53" s="100">
        <v>18.579999999999998</v>
      </c>
      <c r="H53" s="100">
        <v>10.34</v>
      </c>
      <c r="I53" s="100">
        <v>8.56</v>
      </c>
      <c r="J53" s="100">
        <v>5.03</v>
      </c>
      <c r="K53" s="100">
        <v>218.91</v>
      </c>
      <c r="L53" s="100">
        <v>25.67</v>
      </c>
      <c r="M53" s="100">
        <v>90.94</v>
      </c>
      <c r="N53" s="100">
        <v>391.5</v>
      </c>
      <c r="O53" s="100">
        <v>0</v>
      </c>
      <c r="P53" s="100">
        <v>0.46</v>
      </c>
      <c r="Q53" s="100">
        <v>28.79</v>
      </c>
      <c r="R53" s="6"/>
      <c r="S53" s="6"/>
      <c r="T53" s="156"/>
      <c r="U53" s="6"/>
    </row>
    <row r="54" spans="1:21" customFormat="1">
      <c r="A54" s="163" t="s">
        <v>3165</v>
      </c>
      <c r="B54" s="100">
        <v>5.17</v>
      </c>
      <c r="C54" s="100">
        <v>10.28</v>
      </c>
      <c r="D54" s="100">
        <v>8.52</v>
      </c>
      <c r="E54" s="100">
        <v>5.54</v>
      </c>
      <c r="F54" s="100">
        <v>3.48</v>
      </c>
      <c r="G54" s="100">
        <v>18.579999999999998</v>
      </c>
      <c r="H54" s="100">
        <v>10.34</v>
      </c>
      <c r="I54" s="100">
        <v>8.6999999999999993</v>
      </c>
      <c r="J54" s="100">
        <v>4.58</v>
      </c>
      <c r="K54" s="100">
        <v>209.12</v>
      </c>
      <c r="L54" s="100">
        <v>26.5</v>
      </c>
      <c r="M54" s="100">
        <v>82.44</v>
      </c>
      <c r="N54" s="100">
        <v>358.7</v>
      </c>
      <c r="O54" s="100">
        <v>0</v>
      </c>
      <c r="P54" s="100">
        <v>0.45</v>
      </c>
      <c r="Q54" s="100">
        <v>28.99</v>
      </c>
      <c r="R54" s="6"/>
      <c r="S54" s="6"/>
      <c r="T54" s="156"/>
      <c r="U54" s="6"/>
    </row>
    <row r="55" spans="1:21" customFormat="1">
      <c r="A55" s="163" t="s">
        <v>3166</v>
      </c>
      <c r="B55" s="100">
        <v>5.04</v>
      </c>
      <c r="C55" s="100">
        <v>8.34</v>
      </c>
      <c r="D55" s="100">
        <v>7.4</v>
      </c>
      <c r="E55" s="100">
        <v>5.47</v>
      </c>
      <c r="F55" s="100">
        <v>3.79</v>
      </c>
      <c r="G55" s="100">
        <v>18.579999999999998</v>
      </c>
      <c r="H55" s="100">
        <v>10.34</v>
      </c>
      <c r="I55" s="100">
        <v>8.76</v>
      </c>
      <c r="J55" s="100">
        <v>4.2300000000000004</v>
      </c>
      <c r="K55" s="100">
        <v>199.76</v>
      </c>
      <c r="L55" s="100">
        <v>27.02</v>
      </c>
      <c r="M55" s="100">
        <v>80.45</v>
      </c>
      <c r="N55" s="100">
        <v>379.6</v>
      </c>
      <c r="O55" s="100">
        <v>0</v>
      </c>
      <c r="P55" s="100">
        <v>0.46</v>
      </c>
      <c r="Q55" s="100">
        <v>29.11</v>
      </c>
      <c r="R55" s="6"/>
      <c r="S55" s="6"/>
      <c r="T55" s="156"/>
      <c r="U55" s="6"/>
    </row>
    <row r="56" spans="1:21" customFormat="1">
      <c r="A56" s="163" t="s">
        <v>3167</v>
      </c>
      <c r="B56" s="100">
        <v>4.76</v>
      </c>
      <c r="C56" s="100">
        <v>8.9700000000000006</v>
      </c>
      <c r="D56" s="100">
        <v>7.51</v>
      </c>
      <c r="E56" s="100">
        <v>5.65</v>
      </c>
      <c r="F56" s="100">
        <v>3.57</v>
      </c>
      <c r="G56" s="100">
        <v>19.149999999999999</v>
      </c>
      <c r="H56" s="100">
        <v>11.14</v>
      </c>
      <c r="I56" s="100">
        <v>8.68</v>
      </c>
      <c r="J56" s="100">
        <v>4.72</v>
      </c>
      <c r="K56" s="100">
        <v>223.94</v>
      </c>
      <c r="L56" s="100">
        <v>27.63</v>
      </c>
      <c r="M56" s="100">
        <v>76.87</v>
      </c>
      <c r="N56" s="100">
        <v>549.5</v>
      </c>
      <c r="O56" s="100">
        <v>0</v>
      </c>
      <c r="P56" s="100">
        <v>0.47</v>
      </c>
      <c r="Q56" s="100">
        <v>29.11</v>
      </c>
      <c r="R56" s="6"/>
      <c r="S56" s="6"/>
      <c r="T56" s="156"/>
      <c r="U56" s="6"/>
    </row>
    <row r="57" spans="1:21" customFormat="1">
      <c r="A57" s="163" t="s">
        <v>3168</v>
      </c>
      <c r="B57" s="100">
        <v>4.46</v>
      </c>
      <c r="C57" s="100">
        <v>9.25</v>
      </c>
      <c r="D57" s="100">
        <v>7.42</v>
      </c>
      <c r="E57" s="100">
        <v>5.74</v>
      </c>
      <c r="F57" s="100">
        <v>5.03</v>
      </c>
      <c r="G57" s="100">
        <v>21.28</v>
      </c>
      <c r="H57" s="100">
        <v>14.14</v>
      </c>
      <c r="I57" s="100">
        <v>8.67</v>
      </c>
      <c r="J57" s="100">
        <v>5.05</v>
      </c>
      <c r="K57" s="100">
        <v>215.85</v>
      </c>
      <c r="L57" s="100">
        <v>28.31</v>
      </c>
      <c r="M57" s="100">
        <v>73.58</v>
      </c>
      <c r="N57" s="100">
        <v>545</v>
      </c>
      <c r="O57" s="100">
        <v>0</v>
      </c>
      <c r="P57" s="100">
        <v>0.47</v>
      </c>
      <c r="Q57" s="100">
        <v>29.12</v>
      </c>
      <c r="R57" s="6"/>
      <c r="S57" s="6"/>
      <c r="T57" s="156"/>
      <c r="U57" s="6"/>
    </row>
    <row r="58" spans="1:21" customFormat="1">
      <c r="A58" s="163" t="s">
        <v>3169</v>
      </c>
      <c r="B58" s="100">
        <v>4.09</v>
      </c>
      <c r="C58" s="100">
        <v>8.7200000000000006</v>
      </c>
      <c r="D58" s="100">
        <v>6.84</v>
      </c>
      <c r="E58" s="100">
        <v>5.86</v>
      </c>
      <c r="F58" s="100">
        <v>6.16</v>
      </c>
      <c r="G58" s="100">
        <v>21.28</v>
      </c>
      <c r="H58" s="100">
        <v>14.14</v>
      </c>
      <c r="I58" s="100">
        <v>8.67</v>
      </c>
      <c r="J58" s="100">
        <v>4.66</v>
      </c>
      <c r="K58" s="100">
        <v>219.05</v>
      </c>
      <c r="L58" s="100">
        <v>28.8</v>
      </c>
      <c r="M58" s="100">
        <v>72.260000000000005</v>
      </c>
      <c r="N58" s="100">
        <v>650.1</v>
      </c>
      <c r="O58" s="100">
        <v>0</v>
      </c>
      <c r="P58" s="100">
        <v>0.45</v>
      </c>
      <c r="Q58" s="100">
        <v>29.2</v>
      </c>
      <c r="R58" s="6"/>
      <c r="S58" s="6"/>
      <c r="T58" s="156"/>
      <c r="U58" s="6"/>
    </row>
    <row r="59" spans="1:21" customFormat="1">
      <c r="A59" s="163" t="s">
        <v>3170</v>
      </c>
      <c r="B59" s="100">
        <v>3.68</v>
      </c>
      <c r="C59" s="100">
        <v>8.4700000000000006</v>
      </c>
      <c r="D59" s="100">
        <v>6.38</v>
      </c>
      <c r="E59" s="100">
        <v>6.04</v>
      </c>
      <c r="F59" s="100">
        <v>6.3</v>
      </c>
      <c r="G59" s="100">
        <v>21.28</v>
      </c>
      <c r="H59" s="100">
        <v>14.14</v>
      </c>
      <c r="I59" s="100">
        <v>8.61</v>
      </c>
      <c r="J59" s="100">
        <v>4.3</v>
      </c>
      <c r="K59" s="100">
        <v>203.92</v>
      </c>
      <c r="L59" s="100">
        <v>29.27</v>
      </c>
      <c r="M59" s="100">
        <v>71.459999999999994</v>
      </c>
      <c r="N59" s="100">
        <v>604.6</v>
      </c>
      <c r="O59" s="100">
        <v>0</v>
      </c>
      <c r="P59" s="100">
        <v>0.45</v>
      </c>
      <c r="Q59" s="100">
        <v>29.27</v>
      </c>
      <c r="R59" s="6"/>
      <c r="S59" s="6"/>
      <c r="T59" s="156"/>
      <c r="U59" s="6"/>
    </row>
    <row r="60" spans="1:21" customFormat="1">
      <c r="A60" s="163" t="s">
        <v>3171</v>
      </c>
      <c r="B60" s="100">
        <v>3.35</v>
      </c>
      <c r="C60" s="100">
        <v>8.35</v>
      </c>
      <c r="D60" s="100">
        <v>6.05</v>
      </c>
      <c r="E60" s="100">
        <v>6.06</v>
      </c>
      <c r="F60" s="100">
        <v>5.38</v>
      </c>
      <c r="G60" s="100">
        <v>22.06</v>
      </c>
      <c r="H60" s="100">
        <v>13.86</v>
      </c>
      <c r="I60" s="100">
        <v>8.5</v>
      </c>
      <c r="J60" s="100">
        <v>4.58</v>
      </c>
      <c r="K60" s="100">
        <v>205.18</v>
      </c>
      <c r="L60" s="100">
        <v>29.02</v>
      </c>
      <c r="M60" s="100">
        <v>71.34</v>
      </c>
      <c r="N60" s="100">
        <v>578.5</v>
      </c>
      <c r="O60" s="100">
        <v>0</v>
      </c>
      <c r="P60" s="100">
        <v>0.45</v>
      </c>
      <c r="Q60" s="100">
        <v>29.23</v>
      </c>
      <c r="R60" s="6"/>
      <c r="S60" s="6"/>
      <c r="T60" s="156"/>
      <c r="U60" s="6"/>
    </row>
    <row r="61" spans="1:21" customFormat="1">
      <c r="A61" s="163" t="s">
        <v>3172</v>
      </c>
      <c r="B61" s="100">
        <v>3.07</v>
      </c>
      <c r="C61" s="100">
        <v>8.85</v>
      </c>
      <c r="D61" s="100">
        <v>6.09</v>
      </c>
      <c r="E61" s="100">
        <v>6.09</v>
      </c>
      <c r="F61" s="100">
        <v>5.77</v>
      </c>
      <c r="G61" s="100">
        <v>24.96</v>
      </c>
      <c r="H61" s="100">
        <v>12.82</v>
      </c>
      <c r="I61" s="100">
        <v>8.6</v>
      </c>
      <c r="J61" s="100">
        <v>4.74</v>
      </c>
      <c r="K61" s="100">
        <v>204.06</v>
      </c>
      <c r="L61" s="100">
        <v>28.79</v>
      </c>
      <c r="M61" s="100">
        <v>71.319999999999993</v>
      </c>
      <c r="N61" s="100">
        <v>518.70000000000005</v>
      </c>
      <c r="O61" s="100">
        <v>0</v>
      </c>
      <c r="P61" s="100">
        <v>0.45</v>
      </c>
      <c r="Q61" s="100">
        <v>29.19</v>
      </c>
      <c r="R61" s="6"/>
      <c r="S61" s="6"/>
      <c r="T61" s="156"/>
      <c r="U61" s="6"/>
    </row>
    <row r="62" spans="1:21" customFormat="1">
      <c r="A62" s="163" t="s">
        <v>3173</v>
      </c>
      <c r="B62" s="100">
        <v>2.81</v>
      </c>
      <c r="C62" s="100">
        <v>8.81</v>
      </c>
      <c r="D62" s="100">
        <v>5.86</v>
      </c>
      <c r="E62" s="100">
        <v>5.45</v>
      </c>
      <c r="F62" s="100">
        <v>5.75</v>
      </c>
      <c r="G62" s="100">
        <v>24.96</v>
      </c>
      <c r="H62" s="100">
        <v>12.82</v>
      </c>
      <c r="I62" s="100">
        <v>8.49</v>
      </c>
      <c r="J62" s="100">
        <v>4.5</v>
      </c>
      <c r="K62" s="100">
        <v>209.95</v>
      </c>
      <c r="L62" s="100">
        <v>28.57</v>
      </c>
      <c r="M62" s="100">
        <v>71.64</v>
      </c>
      <c r="N62" s="100">
        <v>351.7</v>
      </c>
      <c r="O62" s="100">
        <v>0</v>
      </c>
      <c r="P62" s="100">
        <v>0.45</v>
      </c>
      <c r="Q62" s="100">
        <v>29.2</v>
      </c>
      <c r="R62" s="6"/>
      <c r="S62" s="6"/>
      <c r="T62" s="156"/>
      <c r="U62" s="6"/>
    </row>
    <row r="63" spans="1:21" customFormat="1">
      <c r="A63" s="163" t="s">
        <v>3174</v>
      </c>
      <c r="B63" s="100">
        <v>2.72</v>
      </c>
      <c r="C63" s="100">
        <v>8.86</v>
      </c>
      <c r="D63" s="100">
        <v>5.82</v>
      </c>
      <c r="E63" s="100">
        <v>5.59</v>
      </c>
      <c r="F63" s="100">
        <v>5.23</v>
      </c>
      <c r="G63" s="100">
        <v>24.96</v>
      </c>
      <c r="H63" s="100">
        <v>12.82</v>
      </c>
      <c r="I63" s="100">
        <v>8.34</v>
      </c>
      <c r="J63" s="100">
        <v>4.57</v>
      </c>
      <c r="K63" s="100">
        <v>202.5</v>
      </c>
      <c r="L63" s="100">
        <v>28.16</v>
      </c>
      <c r="M63" s="100">
        <v>73.62</v>
      </c>
      <c r="N63" s="100">
        <v>227.4</v>
      </c>
      <c r="O63" s="100">
        <v>0</v>
      </c>
      <c r="P63" s="100">
        <v>0.45</v>
      </c>
      <c r="Q63" s="100">
        <v>29.21</v>
      </c>
      <c r="R63" s="6"/>
      <c r="S63" s="6"/>
      <c r="T63" s="156"/>
      <c r="U63" s="6"/>
    </row>
    <row r="64" spans="1:21" customFormat="1">
      <c r="A64" s="163" t="s">
        <v>3175</v>
      </c>
      <c r="B64" s="100">
        <v>2.73</v>
      </c>
      <c r="C64" s="100">
        <v>8.91</v>
      </c>
      <c r="D64" s="100">
        <v>5.85</v>
      </c>
      <c r="E64" s="100">
        <v>5.75</v>
      </c>
      <c r="F64" s="100">
        <v>7.49</v>
      </c>
      <c r="G64" s="100">
        <v>24.48</v>
      </c>
      <c r="H64" s="100">
        <v>12.97</v>
      </c>
      <c r="I64" s="100">
        <v>8.26</v>
      </c>
      <c r="J64" s="100">
        <v>4.04</v>
      </c>
      <c r="K64" s="100">
        <v>203.93</v>
      </c>
      <c r="L64" s="100">
        <v>28.05</v>
      </c>
      <c r="M64" s="100">
        <v>74.67</v>
      </c>
      <c r="N64" s="100">
        <v>158.5</v>
      </c>
      <c r="O64" s="100">
        <v>0</v>
      </c>
      <c r="P64" s="100">
        <v>0.45</v>
      </c>
      <c r="Q64" s="100">
        <v>29.21</v>
      </c>
      <c r="R64" s="6"/>
      <c r="S64" s="6"/>
      <c r="T64" s="156"/>
      <c r="U64" s="6"/>
    </row>
    <row r="65" spans="1:21" customFormat="1">
      <c r="A65" s="163" t="s">
        <v>3176</v>
      </c>
      <c r="B65" s="100">
        <v>2.8</v>
      </c>
      <c r="C65" s="100">
        <v>11.27</v>
      </c>
      <c r="D65" s="100">
        <v>7.14</v>
      </c>
      <c r="E65" s="100">
        <v>5.87</v>
      </c>
      <c r="F65" s="100">
        <v>5.04</v>
      </c>
      <c r="G65" s="100">
        <v>22.67</v>
      </c>
      <c r="H65" s="100">
        <v>13.57</v>
      </c>
      <c r="I65" s="100">
        <v>8.32</v>
      </c>
      <c r="J65" s="100">
        <v>4</v>
      </c>
      <c r="K65" s="100">
        <v>201.08</v>
      </c>
      <c r="L65" s="100">
        <v>27.99</v>
      </c>
      <c r="M65" s="100">
        <v>75.94</v>
      </c>
      <c r="N65" s="100">
        <v>130.80000000000001</v>
      </c>
      <c r="O65" s="100">
        <v>0</v>
      </c>
      <c r="P65" s="100">
        <v>0.46</v>
      </c>
      <c r="Q65" s="100">
        <v>29.1</v>
      </c>
      <c r="R65" s="6"/>
      <c r="S65" s="6"/>
      <c r="T65" s="156"/>
      <c r="U65" s="6"/>
    </row>
    <row r="66" spans="1:21" customFormat="1">
      <c r="A66" s="163" t="s">
        <v>3177</v>
      </c>
      <c r="B66" s="100">
        <v>2.89</v>
      </c>
      <c r="C66" s="100">
        <v>12.28</v>
      </c>
      <c r="D66" s="100">
        <v>7.74</v>
      </c>
      <c r="E66" s="100">
        <v>5.41</v>
      </c>
      <c r="F66" s="100">
        <v>4.05</v>
      </c>
      <c r="G66" s="100">
        <v>22.67</v>
      </c>
      <c r="H66" s="100">
        <v>13.57</v>
      </c>
      <c r="I66" s="100">
        <v>8.2799999999999994</v>
      </c>
      <c r="J66" s="100">
        <v>4.47</v>
      </c>
      <c r="K66" s="100">
        <v>205.95</v>
      </c>
      <c r="L66" s="100">
        <v>28.18</v>
      </c>
      <c r="M66" s="100">
        <v>75.319999999999993</v>
      </c>
      <c r="N66" s="100">
        <v>142</v>
      </c>
      <c r="O66" s="100">
        <v>0</v>
      </c>
      <c r="P66" s="100">
        <v>0.45</v>
      </c>
      <c r="Q66" s="100">
        <v>29.02</v>
      </c>
      <c r="R66" s="6"/>
      <c r="S66" s="6"/>
      <c r="T66" s="156"/>
      <c r="U66" s="6"/>
    </row>
    <row r="67" spans="1:21" customFormat="1">
      <c r="A67" s="163" t="s">
        <v>3178</v>
      </c>
      <c r="B67" s="100">
        <v>2.87</v>
      </c>
      <c r="C67" s="100">
        <v>10.64</v>
      </c>
      <c r="D67" s="100">
        <v>6.87</v>
      </c>
      <c r="E67" s="100">
        <v>5.56</v>
      </c>
      <c r="F67" s="100">
        <v>3.85</v>
      </c>
      <c r="G67" s="100">
        <v>22.67</v>
      </c>
      <c r="H67" s="100">
        <v>13.57</v>
      </c>
      <c r="I67" s="100">
        <v>8.35</v>
      </c>
      <c r="J67" s="100">
        <v>5.16</v>
      </c>
      <c r="K67" s="100">
        <v>218.73</v>
      </c>
      <c r="L67" s="100">
        <v>28.19</v>
      </c>
      <c r="M67" s="100">
        <v>73.5</v>
      </c>
      <c r="N67" s="100">
        <v>140.80000000000001</v>
      </c>
      <c r="O67" s="100">
        <v>0</v>
      </c>
      <c r="P67" s="100">
        <v>0.45</v>
      </c>
      <c r="Q67" s="100">
        <v>29.16</v>
      </c>
      <c r="R67" s="6"/>
      <c r="S67" s="6"/>
      <c r="T67" s="156"/>
      <c r="U67" s="6"/>
    </row>
    <row r="68" spans="1:21" customFormat="1">
      <c r="A68" s="163" t="s">
        <v>3179</v>
      </c>
      <c r="B68" s="100">
        <v>2.8</v>
      </c>
      <c r="C68" s="100">
        <v>10.24</v>
      </c>
      <c r="D68" s="100">
        <v>6.6</v>
      </c>
      <c r="E68" s="100">
        <v>5.92</v>
      </c>
      <c r="F68" s="100">
        <v>4.88</v>
      </c>
      <c r="G68" s="100">
        <v>23.54</v>
      </c>
      <c r="H68" s="100">
        <v>14</v>
      </c>
      <c r="I68" s="100">
        <v>8.4499999999999993</v>
      </c>
      <c r="J68" s="100">
        <v>4.71</v>
      </c>
      <c r="K68" s="100">
        <v>204.88</v>
      </c>
      <c r="L68" s="100">
        <v>28.34</v>
      </c>
      <c r="M68" s="100">
        <v>74.06</v>
      </c>
      <c r="N68" s="100">
        <v>180.5</v>
      </c>
      <c r="O68" s="100">
        <v>0</v>
      </c>
      <c r="P68" s="100">
        <v>0.45</v>
      </c>
      <c r="Q68" s="100">
        <v>29.18</v>
      </c>
      <c r="R68" s="6"/>
      <c r="S68" s="6"/>
      <c r="T68" s="156"/>
      <c r="U68" s="6"/>
    </row>
    <row r="69" spans="1:21" customFormat="1">
      <c r="A69" s="163" t="s">
        <v>3180</v>
      </c>
      <c r="B69" s="100">
        <v>2.81</v>
      </c>
      <c r="C69" s="100">
        <v>8.4</v>
      </c>
      <c r="D69" s="100">
        <v>5.65</v>
      </c>
      <c r="E69" s="100">
        <v>5.54</v>
      </c>
      <c r="F69" s="100">
        <v>6.11</v>
      </c>
      <c r="G69" s="100">
        <v>26.76</v>
      </c>
      <c r="H69" s="100">
        <v>15.62</v>
      </c>
      <c r="I69" s="100">
        <v>8.51</v>
      </c>
      <c r="J69" s="100">
        <v>5.01</v>
      </c>
      <c r="K69" s="100">
        <v>209.9</v>
      </c>
      <c r="L69" s="100">
        <v>28.5</v>
      </c>
      <c r="M69" s="100">
        <v>72.44</v>
      </c>
      <c r="N69" s="100">
        <v>198.2</v>
      </c>
      <c r="O69" s="100">
        <v>0</v>
      </c>
      <c r="P69" s="100">
        <v>0.43</v>
      </c>
      <c r="Q69" s="100">
        <v>29.29</v>
      </c>
      <c r="R69" s="6"/>
      <c r="S69" s="6"/>
      <c r="T69" s="156"/>
      <c r="U69" s="6"/>
    </row>
    <row r="70" spans="1:21" customFormat="1">
      <c r="A70" s="163" t="s">
        <v>3181</v>
      </c>
      <c r="B70" s="100">
        <v>2.73</v>
      </c>
      <c r="C70" s="100">
        <v>8.0299999999999994</v>
      </c>
      <c r="D70" s="100">
        <v>5.39</v>
      </c>
      <c r="E70" s="100">
        <v>5.38</v>
      </c>
      <c r="F70" s="100">
        <v>5.1100000000000003</v>
      </c>
      <c r="G70" s="100">
        <v>26.76</v>
      </c>
      <c r="H70" s="100">
        <v>15.62</v>
      </c>
      <c r="I70" s="100">
        <v>8.5</v>
      </c>
      <c r="J70" s="100">
        <v>4.92</v>
      </c>
      <c r="K70" s="100">
        <v>206.21</v>
      </c>
      <c r="L70" s="100">
        <v>28.48</v>
      </c>
      <c r="M70" s="100">
        <v>73.069999999999993</v>
      </c>
      <c r="N70" s="100">
        <v>196</v>
      </c>
      <c r="O70" s="100">
        <v>0</v>
      </c>
      <c r="P70" s="100">
        <v>0.45</v>
      </c>
      <c r="Q70" s="100">
        <v>29.3</v>
      </c>
      <c r="R70" s="6"/>
      <c r="S70" s="6"/>
      <c r="T70" s="156"/>
      <c r="U70" s="6"/>
    </row>
    <row r="71" spans="1:21" customFormat="1">
      <c r="A71" s="163" t="s">
        <v>3182</v>
      </c>
      <c r="B71" s="100">
        <v>2.61</v>
      </c>
      <c r="C71" s="100">
        <v>8.1300000000000008</v>
      </c>
      <c r="D71" s="100">
        <v>5.34</v>
      </c>
      <c r="E71" s="100">
        <v>5.95</v>
      </c>
      <c r="F71" s="100">
        <v>9.1</v>
      </c>
      <c r="G71" s="100">
        <v>26.76</v>
      </c>
      <c r="H71" s="100">
        <v>15.62</v>
      </c>
      <c r="I71" s="100">
        <v>8.4</v>
      </c>
      <c r="J71" s="100">
        <v>5.12</v>
      </c>
      <c r="K71" s="100">
        <v>213.63</v>
      </c>
      <c r="L71" s="100">
        <v>28.69</v>
      </c>
      <c r="M71" s="100">
        <v>72.8</v>
      </c>
      <c r="N71" s="100">
        <v>240.6</v>
      </c>
      <c r="O71" s="100">
        <v>0</v>
      </c>
      <c r="P71" s="100">
        <v>0.43</v>
      </c>
      <c r="Q71" s="100">
        <v>29.33</v>
      </c>
      <c r="R71" s="6"/>
      <c r="S71" s="6"/>
      <c r="T71" s="156"/>
      <c r="U71" s="6"/>
    </row>
    <row r="72" spans="1:21" customFormat="1">
      <c r="A72" s="163" t="s">
        <v>3183</v>
      </c>
      <c r="B72" s="100">
        <v>2.52</v>
      </c>
      <c r="C72" s="100">
        <v>7.31</v>
      </c>
      <c r="D72" s="100">
        <v>4.8499999999999996</v>
      </c>
      <c r="E72" s="100">
        <v>5.62</v>
      </c>
      <c r="F72" s="100">
        <v>7.19</v>
      </c>
      <c r="G72" s="100">
        <v>27.95</v>
      </c>
      <c r="H72" s="100">
        <v>15.92</v>
      </c>
      <c r="I72" s="100">
        <v>8.43</v>
      </c>
      <c r="J72" s="100">
        <v>5.33</v>
      </c>
      <c r="K72" s="100">
        <v>206.99</v>
      </c>
      <c r="L72" s="100">
        <v>28.84</v>
      </c>
      <c r="M72" s="100">
        <v>72.5</v>
      </c>
      <c r="N72" s="100">
        <v>229.3</v>
      </c>
      <c r="O72" s="100">
        <v>0</v>
      </c>
      <c r="P72" s="100">
        <v>0.43</v>
      </c>
      <c r="Q72" s="100">
        <v>29.36</v>
      </c>
      <c r="R72" s="6"/>
      <c r="S72" s="6"/>
      <c r="T72" s="156"/>
      <c r="U72" s="6"/>
    </row>
    <row r="73" spans="1:21" customFormat="1">
      <c r="A73" s="163" t="s">
        <v>3184</v>
      </c>
      <c r="B73" s="100">
        <v>2.42</v>
      </c>
      <c r="C73" s="100">
        <v>7.27</v>
      </c>
      <c r="D73" s="100">
        <v>4.74</v>
      </c>
      <c r="E73" s="100">
        <v>5.92</v>
      </c>
      <c r="F73" s="100">
        <v>7.46</v>
      </c>
      <c r="G73" s="100">
        <v>32.380000000000003</v>
      </c>
      <c r="H73" s="100">
        <v>17.07</v>
      </c>
      <c r="I73" s="100">
        <v>8.33</v>
      </c>
      <c r="J73" s="100">
        <v>4.49</v>
      </c>
      <c r="K73" s="100">
        <v>199.88</v>
      </c>
      <c r="L73" s="100">
        <v>29.21</v>
      </c>
      <c r="M73" s="100">
        <v>72.09</v>
      </c>
      <c r="N73" s="100">
        <v>294.2</v>
      </c>
      <c r="O73" s="100">
        <v>0</v>
      </c>
      <c r="P73" s="100">
        <v>0.44</v>
      </c>
      <c r="Q73" s="100">
        <v>29.36</v>
      </c>
      <c r="R73" s="6"/>
      <c r="S73" s="6"/>
      <c r="T73" s="156"/>
      <c r="U73" s="6"/>
    </row>
    <row r="74" spans="1:21" customFormat="1">
      <c r="A74" s="163" t="s">
        <v>3185</v>
      </c>
      <c r="B74" s="100">
        <v>2.25</v>
      </c>
      <c r="C74" s="100">
        <v>7.32</v>
      </c>
      <c r="D74" s="100">
        <v>4.63</v>
      </c>
      <c r="E74" s="100">
        <v>6.18</v>
      </c>
      <c r="F74" s="100">
        <v>8.98</v>
      </c>
      <c r="G74" s="100">
        <v>32.380000000000003</v>
      </c>
      <c r="H74" s="100">
        <v>17.07</v>
      </c>
      <c r="I74" s="100">
        <v>8.32</v>
      </c>
      <c r="J74" s="100">
        <v>4.46</v>
      </c>
      <c r="K74" s="100">
        <v>214.17</v>
      </c>
      <c r="L74" s="100">
        <v>29.68</v>
      </c>
      <c r="M74" s="100">
        <v>70.66</v>
      </c>
      <c r="N74" s="100">
        <v>245.8</v>
      </c>
      <c r="O74" s="100">
        <v>0</v>
      </c>
      <c r="P74" s="100">
        <v>0.45</v>
      </c>
      <c r="Q74" s="100">
        <v>29.37</v>
      </c>
      <c r="R74" s="6"/>
      <c r="S74" s="6"/>
      <c r="T74" s="156"/>
      <c r="U74" s="6"/>
    </row>
    <row r="75" spans="1:21" customFormat="1">
      <c r="A75" s="163" t="s">
        <v>3186</v>
      </c>
      <c r="B75" s="100">
        <v>2.09</v>
      </c>
      <c r="C75" s="100">
        <v>7.45</v>
      </c>
      <c r="D75" s="100">
        <v>4.57</v>
      </c>
      <c r="E75" s="100">
        <v>6.02</v>
      </c>
      <c r="F75" s="100">
        <v>5.95</v>
      </c>
      <c r="G75" s="100">
        <v>32.380000000000003</v>
      </c>
      <c r="H75" s="100">
        <v>17.07</v>
      </c>
      <c r="I75" s="100">
        <v>8.24</v>
      </c>
      <c r="J75" s="100">
        <v>4.79</v>
      </c>
      <c r="K75" s="100">
        <v>217.55</v>
      </c>
      <c r="L75" s="100">
        <v>29.42</v>
      </c>
      <c r="M75" s="100">
        <v>70.099999999999994</v>
      </c>
      <c r="N75" s="100">
        <v>143.6</v>
      </c>
      <c r="O75" s="100">
        <v>0</v>
      </c>
      <c r="P75" s="100">
        <v>0.45</v>
      </c>
      <c r="Q75" s="100">
        <v>29.37</v>
      </c>
      <c r="R75" s="6"/>
      <c r="S75" s="6"/>
      <c r="T75" s="156"/>
      <c r="U75" s="6"/>
    </row>
    <row r="76" spans="1:21" customFormat="1">
      <c r="A76" s="163" t="s">
        <v>3187</v>
      </c>
      <c r="B76" s="100">
        <v>2.0699999999999998</v>
      </c>
      <c r="C76" s="100">
        <v>7.28</v>
      </c>
      <c r="D76" s="100">
        <v>4.47</v>
      </c>
      <c r="E76" s="100">
        <v>5.98</v>
      </c>
      <c r="F76" s="100">
        <v>6.62</v>
      </c>
      <c r="G76" s="100">
        <v>33</v>
      </c>
      <c r="H76" s="100">
        <v>17.61</v>
      </c>
      <c r="I76" s="100">
        <v>8.2799999999999994</v>
      </c>
      <c r="J76" s="100">
        <v>5.35</v>
      </c>
      <c r="K76" s="100">
        <v>226.33</v>
      </c>
      <c r="L76" s="100">
        <v>29.05</v>
      </c>
      <c r="M76" s="100">
        <v>70.12</v>
      </c>
      <c r="N76" s="100">
        <v>126.2</v>
      </c>
      <c r="O76" s="100">
        <v>0</v>
      </c>
      <c r="P76" s="100">
        <v>0.45</v>
      </c>
      <c r="Q76" s="100">
        <v>29.37</v>
      </c>
      <c r="R76" s="6"/>
      <c r="S76" s="6"/>
      <c r="T76" s="156"/>
      <c r="U76" s="6"/>
    </row>
    <row r="77" spans="1:21" customFormat="1">
      <c r="A77" s="163" t="s">
        <v>3188</v>
      </c>
      <c r="B77" s="100">
        <v>2.04</v>
      </c>
      <c r="C77" s="100">
        <v>7.5</v>
      </c>
      <c r="D77" s="100">
        <v>4.5599999999999996</v>
      </c>
      <c r="E77" s="100">
        <v>5.8</v>
      </c>
      <c r="F77" s="100">
        <v>7.91</v>
      </c>
      <c r="G77" s="100">
        <v>35.31</v>
      </c>
      <c r="H77" s="100">
        <v>19.62</v>
      </c>
      <c r="I77" s="100">
        <v>8.32</v>
      </c>
      <c r="J77" s="100">
        <v>4.91</v>
      </c>
      <c r="K77" s="100">
        <v>218.74</v>
      </c>
      <c r="L77" s="100">
        <v>28.89</v>
      </c>
      <c r="M77" s="100">
        <v>71.19</v>
      </c>
      <c r="N77" s="100">
        <v>97.9</v>
      </c>
      <c r="O77" s="100">
        <v>0</v>
      </c>
      <c r="P77" s="100">
        <v>0.44</v>
      </c>
      <c r="Q77" s="100">
        <v>29.39</v>
      </c>
      <c r="R77" s="6"/>
      <c r="S77" s="6"/>
      <c r="T77" s="156"/>
      <c r="U77" s="6"/>
    </row>
    <row r="78" spans="1:21" customFormat="1">
      <c r="A78" s="163" t="s">
        <v>3189</v>
      </c>
      <c r="B78" s="100">
        <v>2.08</v>
      </c>
      <c r="C78" s="100">
        <v>9.35</v>
      </c>
      <c r="D78" s="100">
        <v>5.56</v>
      </c>
      <c r="E78" s="100">
        <v>5.96</v>
      </c>
      <c r="F78" s="100">
        <v>6.18</v>
      </c>
      <c r="G78" s="100">
        <v>35.31</v>
      </c>
      <c r="H78" s="100">
        <v>19.62</v>
      </c>
      <c r="I78" s="100">
        <v>8.2799999999999994</v>
      </c>
      <c r="J78" s="100">
        <v>4.75</v>
      </c>
      <c r="K78" s="100">
        <v>233.07</v>
      </c>
      <c r="L78" s="100">
        <v>28.83</v>
      </c>
      <c r="M78" s="100">
        <v>70.59</v>
      </c>
      <c r="N78" s="100">
        <v>74.599999999999994</v>
      </c>
      <c r="O78" s="100">
        <v>0</v>
      </c>
      <c r="P78" s="100">
        <v>0.45</v>
      </c>
      <c r="Q78" s="100">
        <v>29.25</v>
      </c>
      <c r="R78" s="6"/>
      <c r="S78" s="6"/>
      <c r="T78" s="156"/>
      <c r="U78" s="6"/>
    </row>
    <row r="79" spans="1:21" customFormat="1">
      <c r="A79" s="163" t="s">
        <v>3190</v>
      </c>
      <c r="B79" s="100">
        <v>2.09</v>
      </c>
      <c r="C79" s="100">
        <v>10.54</v>
      </c>
      <c r="D79" s="100">
        <v>6.19</v>
      </c>
      <c r="E79" s="100">
        <v>5.53</v>
      </c>
      <c r="F79" s="100">
        <v>5.32</v>
      </c>
      <c r="G79" s="100">
        <v>35.31</v>
      </c>
      <c r="H79" s="100">
        <v>19.62</v>
      </c>
      <c r="I79" s="100">
        <v>8.43</v>
      </c>
      <c r="J79" s="100">
        <v>4.8600000000000003</v>
      </c>
      <c r="K79" s="100">
        <v>216.5</v>
      </c>
      <c r="L79" s="100">
        <v>28.75</v>
      </c>
      <c r="M79" s="100">
        <v>69.92</v>
      </c>
      <c r="N79" s="100">
        <v>65.400000000000006</v>
      </c>
      <c r="O79" s="100">
        <v>0</v>
      </c>
      <c r="P79" s="100">
        <v>0.45</v>
      </c>
      <c r="Q79" s="100">
        <v>29.21</v>
      </c>
      <c r="R79" s="6"/>
      <c r="S79" s="6"/>
      <c r="T79" s="156"/>
      <c r="U79" s="6"/>
    </row>
    <row r="80" spans="1:21" customFormat="1">
      <c r="A80" s="163" t="s">
        <v>3191</v>
      </c>
      <c r="B80" s="100">
        <v>2.11</v>
      </c>
      <c r="C80" s="100">
        <v>9.69</v>
      </c>
      <c r="D80" s="100">
        <v>5.76</v>
      </c>
      <c r="E80" s="100">
        <v>5.77</v>
      </c>
      <c r="F80" s="100">
        <v>7.47</v>
      </c>
      <c r="G80" s="100">
        <v>37.25</v>
      </c>
      <c r="H80" s="100">
        <v>19.829999999999998</v>
      </c>
      <c r="I80" s="100">
        <v>8.4700000000000006</v>
      </c>
      <c r="J80" s="100">
        <v>5</v>
      </c>
      <c r="K80" s="100">
        <v>218.43</v>
      </c>
      <c r="L80" s="100">
        <v>28.66</v>
      </c>
      <c r="M80" s="100">
        <v>70.72</v>
      </c>
      <c r="N80" s="100">
        <v>49.9</v>
      </c>
      <c r="O80" s="100">
        <v>0</v>
      </c>
      <c r="P80" s="100">
        <v>0.45</v>
      </c>
      <c r="Q80" s="100">
        <v>29.29</v>
      </c>
      <c r="R80" s="6"/>
      <c r="S80" s="6"/>
      <c r="T80" s="156"/>
      <c r="U80" s="6"/>
    </row>
    <row r="81" spans="1:21" customFormat="1">
      <c r="A81" s="163" t="s">
        <v>3192</v>
      </c>
      <c r="B81" s="100">
        <v>2.1800000000000002</v>
      </c>
      <c r="C81" s="100">
        <v>7.32</v>
      </c>
      <c r="D81" s="100">
        <v>4.58</v>
      </c>
      <c r="E81" s="100">
        <v>6.36</v>
      </c>
      <c r="F81" s="100">
        <v>6.91</v>
      </c>
      <c r="G81" s="100">
        <v>44.48</v>
      </c>
      <c r="H81" s="100">
        <v>20.62</v>
      </c>
      <c r="I81" s="100">
        <v>8.5</v>
      </c>
      <c r="J81" s="100">
        <v>4.66</v>
      </c>
      <c r="K81" s="100">
        <v>204.68</v>
      </c>
      <c r="L81" s="100">
        <v>28.42</v>
      </c>
      <c r="M81" s="100">
        <v>73.36</v>
      </c>
      <c r="N81" s="100">
        <v>35</v>
      </c>
      <c r="O81" s="100">
        <v>0</v>
      </c>
      <c r="P81" s="100">
        <v>0.44</v>
      </c>
      <c r="Q81" s="100">
        <v>29.45</v>
      </c>
      <c r="R81" s="6"/>
      <c r="S81" s="6"/>
      <c r="T81" s="156"/>
      <c r="U81" s="6"/>
    </row>
    <row r="82" spans="1:21" customFormat="1">
      <c r="A82" s="163" t="s">
        <v>3193</v>
      </c>
      <c r="B82" s="100">
        <v>2.25</v>
      </c>
      <c r="C82" s="100">
        <v>8.44</v>
      </c>
      <c r="D82" s="100">
        <v>5.22</v>
      </c>
      <c r="E82" s="100">
        <v>5.78</v>
      </c>
      <c r="F82" s="100">
        <v>4.8099999999999996</v>
      </c>
      <c r="G82" s="100">
        <v>44.48</v>
      </c>
      <c r="H82" s="100">
        <v>20.62</v>
      </c>
      <c r="I82" s="100">
        <v>8.56</v>
      </c>
      <c r="J82" s="100">
        <v>4.6100000000000003</v>
      </c>
      <c r="K82" s="100">
        <v>185.38</v>
      </c>
      <c r="L82" s="100">
        <v>28.12</v>
      </c>
      <c r="M82" s="100">
        <v>75.930000000000007</v>
      </c>
      <c r="N82" s="100">
        <v>27.5</v>
      </c>
      <c r="O82" s="100">
        <v>0</v>
      </c>
      <c r="P82" s="100">
        <v>0.46</v>
      </c>
      <c r="Q82" s="100">
        <v>29.37</v>
      </c>
      <c r="R82" s="6"/>
      <c r="S82" s="6"/>
      <c r="T82" s="156"/>
      <c r="U82" s="6"/>
    </row>
    <row r="83" spans="1:21" customFormat="1">
      <c r="A83" s="163" t="s">
        <v>3194</v>
      </c>
      <c r="B83" s="100">
        <v>2.35</v>
      </c>
      <c r="C83" s="100">
        <v>8.0299999999999994</v>
      </c>
      <c r="D83" s="100">
        <v>5.09</v>
      </c>
      <c r="E83" s="100">
        <v>5.85</v>
      </c>
      <c r="F83" s="100">
        <v>5.94</v>
      </c>
      <c r="G83" s="100">
        <v>44.48</v>
      </c>
      <c r="H83" s="100">
        <v>20.62</v>
      </c>
      <c r="I83" s="100">
        <v>8.42</v>
      </c>
      <c r="J83" s="100">
        <v>4.75</v>
      </c>
      <c r="K83" s="100">
        <v>206.19</v>
      </c>
      <c r="L83" s="100">
        <v>27.97</v>
      </c>
      <c r="M83" s="100">
        <v>76.7</v>
      </c>
      <c r="N83" s="100">
        <v>24.5</v>
      </c>
      <c r="O83" s="100">
        <v>0</v>
      </c>
      <c r="P83" s="100">
        <v>0.44</v>
      </c>
      <c r="Q83" s="100">
        <v>29.38</v>
      </c>
      <c r="R83" s="6"/>
      <c r="S83" s="6"/>
      <c r="T83" s="156"/>
      <c r="U83" s="6"/>
    </row>
    <row r="84" spans="1:21" customFormat="1">
      <c r="A84" s="163" t="s">
        <v>3195</v>
      </c>
      <c r="B84" s="100">
        <v>2.46</v>
      </c>
      <c r="C84" s="100">
        <v>7.19</v>
      </c>
      <c r="D84" s="100">
        <v>4.7300000000000004</v>
      </c>
      <c r="E84" s="100">
        <v>6.26</v>
      </c>
      <c r="F84" s="100">
        <v>8.6300000000000008</v>
      </c>
      <c r="G84" s="100">
        <v>43.91</v>
      </c>
      <c r="H84" s="100">
        <v>20.59</v>
      </c>
      <c r="I84" s="100">
        <v>8.51</v>
      </c>
      <c r="J84" s="100">
        <v>4.9000000000000004</v>
      </c>
      <c r="K84" s="100">
        <v>179.11</v>
      </c>
      <c r="L84" s="100">
        <v>27.74</v>
      </c>
      <c r="M84" s="100">
        <v>78.040000000000006</v>
      </c>
      <c r="N84" s="100">
        <v>24</v>
      </c>
      <c r="O84" s="100">
        <v>0</v>
      </c>
      <c r="P84" s="100">
        <v>0.43</v>
      </c>
      <c r="Q84" s="100">
        <v>29.43</v>
      </c>
      <c r="R84" s="6"/>
      <c r="S84" s="6"/>
      <c r="T84" s="156"/>
      <c r="U84" s="6"/>
    </row>
    <row r="85" spans="1:21" customFormat="1">
      <c r="A85" s="163" t="s">
        <v>3196</v>
      </c>
      <c r="B85" s="100">
        <v>2.56</v>
      </c>
      <c r="C85" s="100">
        <v>7.21</v>
      </c>
      <c r="D85" s="100">
        <v>4.83</v>
      </c>
      <c r="E85" s="100">
        <v>6.17</v>
      </c>
      <c r="F85" s="100">
        <v>8.73</v>
      </c>
      <c r="G85" s="100">
        <v>41.78</v>
      </c>
      <c r="H85" s="100">
        <v>20.45</v>
      </c>
      <c r="I85" s="100">
        <v>8.41</v>
      </c>
      <c r="J85" s="100">
        <v>4.51</v>
      </c>
      <c r="K85" s="100">
        <v>198.79</v>
      </c>
      <c r="L85" s="100">
        <v>27.56</v>
      </c>
      <c r="M85" s="100">
        <v>77.92</v>
      </c>
      <c r="N85" s="100">
        <v>23.7</v>
      </c>
      <c r="O85" s="100">
        <v>0</v>
      </c>
      <c r="P85" s="100">
        <v>0.44</v>
      </c>
      <c r="Q85" s="100">
        <v>29.41</v>
      </c>
      <c r="R85" s="6"/>
      <c r="S85" s="6"/>
      <c r="T85" s="156"/>
      <c r="U85" s="6"/>
    </row>
    <row r="86" spans="1:21" customFormat="1">
      <c r="A86" s="163" t="s">
        <v>3197</v>
      </c>
      <c r="B86" s="100">
        <v>2.59</v>
      </c>
      <c r="C86" s="100">
        <v>7.35</v>
      </c>
      <c r="D86" s="100">
        <v>4.92</v>
      </c>
      <c r="E86" s="100">
        <v>6.37</v>
      </c>
      <c r="F86" s="100">
        <v>10.23</v>
      </c>
      <c r="G86" s="100">
        <v>41.78</v>
      </c>
      <c r="H86" s="100">
        <v>20.45</v>
      </c>
      <c r="I86" s="100">
        <v>8.31</v>
      </c>
      <c r="J86" s="100">
        <v>4.3</v>
      </c>
      <c r="K86" s="100">
        <v>192.31</v>
      </c>
      <c r="L86" s="100">
        <v>27.51</v>
      </c>
      <c r="M86" s="100">
        <v>78.09</v>
      </c>
      <c r="N86" s="100">
        <v>23.6</v>
      </c>
      <c r="O86" s="100">
        <v>0</v>
      </c>
      <c r="P86" s="100">
        <v>0.44</v>
      </c>
      <c r="Q86" s="100">
        <v>29.38</v>
      </c>
      <c r="R86" s="6"/>
      <c r="S86" s="6"/>
      <c r="T86" s="156"/>
      <c r="U86" s="6"/>
    </row>
    <row r="87" spans="1:21" customFormat="1">
      <c r="A87" s="163" t="s">
        <v>3198</v>
      </c>
      <c r="B87" s="100">
        <v>2.61</v>
      </c>
      <c r="C87" s="100">
        <v>7.66</v>
      </c>
      <c r="D87" s="100">
        <v>5.0999999999999996</v>
      </c>
      <c r="E87" s="100">
        <v>6.51</v>
      </c>
      <c r="F87" s="100">
        <v>8.89</v>
      </c>
      <c r="G87" s="100">
        <v>41.78</v>
      </c>
      <c r="H87" s="100">
        <v>20.45</v>
      </c>
      <c r="I87" s="100">
        <v>8.25</v>
      </c>
      <c r="J87" s="100">
        <v>4.29</v>
      </c>
      <c r="K87" s="100">
        <v>193.77</v>
      </c>
      <c r="L87" s="100">
        <v>27.47</v>
      </c>
      <c r="M87" s="100">
        <v>78.260000000000005</v>
      </c>
      <c r="N87" s="100">
        <v>23.6</v>
      </c>
      <c r="O87" s="100">
        <v>0</v>
      </c>
      <c r="P87" s="100">
        <v>0.45</v>
      </c>
      <c r="Q87" s="100">
        <v>29.37</v>
      </c>
      <c r="R87" s="6"/>
      <c r="S87" s="6"/>
      <c r="T87" s="156"/>
      <c r="U87" s="6"/>
    </row>
    <row r="88" spans="1:21" customFormat="1">
      <c r="A88" s="163" t="s">
        <v>3199</v>
      </c>
      <c r="B88" s="100">
        <v>2.68</v>
      </c>
      <c r="C88" s="100">
        <v>7.66</v>
      </c>
      <c r="D88" s="100">
        <v>5.15</v>
      </c>
      <c r="E88" s="100">
        <v>6.26</v>
      </c>
      <c r="F88" s="100">
        <v>8.4600000000000009</v>
      </c>
      <c r="G88" s="100">
        <v>42.21</v>
      </c>
      <c r="H88" s="100">
        <v>20.2</v>
      </c>
      <c r="I88" s="100">
        <v>8.2200000000000006</v>
      </c>
      <c r="J88" s="100">
        <v>4.45</v>
      </c>
      <c r="K88" s="100">
        <v>184.34</v>
      </c>
      <c r="L88" s="100">
        <v>27.28</v>
      </c>
      <c r="M88" s="100">
        <v>79.02</v>
      </c>
      <c r="N88" s="100">
        <v>23.7</v>
      </c>
      <c r="O88" s="100">
        <v>0</v>
      </c>
      <c r="P88" s="100">
        <v>0.45</v>
      </c>
      <c r="Q88" s="100">
        <v>29.32</v>
      </c>
      <c r="R88" s="6"/>
      <c r="S88" s="6"/>
      <c r="T88" s="156"/>
      <c r="U88" s="6"/>
    </row>
    <row r="89" spans="1:21" customFormat="1">
      <c r="A89" s="163" t="s">
        <v>3200</v>
      </c>
      <c r="B89" s="100">
        <v>2.76</v>
      </c>
      <c r="C89" s="100">
        <v>7.82</v>
      </c>
      <c r="D89" s="100">
        <v>5.31</v>
      </c>
      <c r="E89" s="100">
        <v>6.43</v>
      </c>
      <c r="F89" s="100">
        <v>8.1199999999999992</v>
      </c>
      <c r="G89" s="100">
        <v>43.82</v>
      </c>
      <c r="H89" s="100">
        <v>19.239999999999998</v>
      </c>
      <c r="I89" s="100">
        <v>8.23</v>
      </c>
      <c r="J89" s="100">
        <v>4.7300000000000004</v>
      </c>
      <c r="K89" s="100">
        <v>174.46</v>
      </c>
      <c r="L89" s="100">
        <v>27.15</v>
      </c>
      <c r="M89" s="100">
        <v>79.78</v>
      </c>
      <c r="N89" s="100">
        <v>23.6</v>
      </c>
      <c r="O89" s="100">
        <v>0</v>
      </c>
      <c r="P89" s="100">
        <v>0.44</v>
      </c>
      <c r="Q89" s="100">
        <v>29.29</v>
      </c>
      <c r="R89" s="6"/>
      <c r="S89" s="6"/>
      <c r="T89" s="156"/>
      <c r="U89" s="6"/>
    </row>
    <row r="90" spans="1:21" customFormat="1">
      <c r="A90" s="163" t="s">
        <v>3201</v>
      </c>
      <c r="B90" s="100">
        <v>2.68</v>
      </c>
      <c r="C90" s="100">
        <v>7.64</v>
      </c>
      <c r="D90" s="100">
        <v>5.15</v>
      </c>
      <c r="E90" s="100">
        <v>6.36</v>
      </c>
      <c r="F90" s="100">
        <v>9.81</v>
      </c>
      <c r="G90" s="100">
        <v>43.82</v>
      </c>
      <c r="H90" s="100">
        <v>19.239999999999998</v>
      </c>
      <c r="I90" s="100">
        <v>8.17</v>
      </c>
      <c r="J90" s="100">
        <v>4.26</v>
      </c>
      <c r="K90" s="100">
        <v>182.84</v>
      </c>
      <c r="L90" s="100">
        <v>27.16</v>
      </c>
      <c r="M90" s="100">
        <v>79.45</v>
      </c>
      <c r="N90" s="100">
        <v>23.6</v>
      </c>
      <c r="O90" s="100">
        <v>0</v>
      </c>
      <c r="P90" s="100">
        <v>0.44</v>
      </c>
      <c r="Q90" s="100">
        <v>29.32</v>
      </c>
      <c r="R90" s="6"/>
      <c r="S90" s="6"/>
      <c r="T90" s="156"/>
      <c r="U90" s="6"/>
    </row>
    <row r="91" spans="1:21" customFormat="1">
      <c r="A91" s="163" t="s">
        <v>3202</v>
      </c>
      <c r="B91" s="100">
        <v>3.35</v>
      </c>
      <c r="C91" s="100">
        <v>9.75</v>
      </c>
      <c r="D91" s="100">
        <v>6.78</v>
      </c>
      <c r="E91" s="100">
        <v>6.03</v>
      </c>
      <c r="F91" s="100">
        <v>5.2</v>
      </c>
      <c r="G91" s="100">
        <v>43.82</v>
      </c>
      <c r="H91" s="100">
        <v>19.239999999999998</v>
      </c>
      <c r="I91" s="100">
        <v>8.17</v>
      </c>
      <c r="J91" s="100">
        <v>3.54</v>
      </c>
      <c r="K91" s="100">
        <v>359.4</v>
      </c>
      <c r="L91" s="100">
        <v>27.16</v>
      </c>
      <c r="M91" s="100">
        <v>79.95</v>
      </c>
      <c r="N91" s="100">
        <v>23.5</v>
      </c>
      <c r="O91" s="100">
        <v>0</v>
      </c>
      <c r="P91" s="100">
        <v>0.47</v>
      </c>
      <c r="Q91" s="100">
        <v>29.24</v>
      </c>
      <c r="R91" s="6"/>
      <c r="S91" s="6"/>
      <c r="T91" s="156"/>
      <c r="U91" s="6"/>
    </row>
    <row r="92" spans="1:21" customFormat="1">
      <c r="A92" s="163" t="s">
        <v>3203</v>
      </c>
      <c r="B92" s="100">
        <v>3.46</v>
      </c>
      <c r="C92" s="100">
        <v>11.39</v>
      </c>
      <c r="D92" s="100">
        <v>7.73</v>
      </c>
      <c r="E92" s="100">
        <v>6.91</v>
      </c>
      <c r="F92" s="100">
        <v>6.71</v>
      </c>
      <c r="G92" s="100">
        <v>45.31</v>
      </c>
      <c r="H92" s="100">
        <v>19.7</v>
      </c>
      <c r="I92" s="100">
        <v>8.18</v>
      </c>
      <c r="J92" s="100">
        <v>1.66</v>
      </c>
      <c r="K92" s="100">
        <v>209.3</v>
      </c>
      <c r="L92" s="100">
        <v>27.21</v>
      </c>
      <c r="M92" s="100">
        <v>79.94</v>
      </c>
      <c r="N92" s="100">
        <v>23.3</v>
      </c>
      <c r="O92" s="100">
        <v>0</v>
      </c>
      <c r="P92" s="100">
        <v>0.52</v>
      </c>
      <c r="Q92" s="100">
        <v>29.15</v>
      </c>
      <c r="R92" s="6"/>
      <c r="S92" s="6"/>
      <c r="T92" s="156"/>
      <c r="U92" s="6"/>
    </row>
    <row r="93" spans="1:21" customFormat="1">
      <c r="A93" s="163" t="s">
        <v>3204</v>
      </c>
      <c r="B93" s="100">
        <v>3.6</v>
      </c>
      <c r="C93" s="100">
        <v>9.9</v>
      </c>
      <c r="D93" s="100">
        <v>7.06</v>
      </c>
      <c r="E93" s="100">
        <v>6.79</v>
      </c>
      <c r="F93" s="100">
        <v>5.67</v>
      </c>
      <c r="G93" s="100">
        <v>50.9</v>
      </c>
      <c r="H93" s="100">
        <v>21.39</v>
      </c>
      <c r="I93" s="100">
        <v>8.5299999999999994</v>
      </c>
      <c r="J93" s="100">
        <v>4.5</v>
      </c>
      <c r="K93" s="100">
        <v>225.67</v>
      </c>
      <c r="L93" s="100">
        <v>27.32</v>
      </c>
      <c r="M93" s="100">
        <v>78.92</v>
      </c>
      <c r="N93" s="100">
        <v>23.2</v>
      </c>
      <c r="O93" s="100">
        <v>0</v>
      </c>
      <c r="P93" s="100">
        <v>0.5</v>
      </c>
      <c r="Q93" s="100">
        <v>29.23</v>
      </c>
      <c r="R93" s="6"/>
      <c r="S93" s="6"/>
      <c r="T93" s="156"/>
      <c r="U93" s="6"/>
    </row>
    <row r="94" spans="1:21" customFormat="1">
      <c r="A94" s="163" t="s">
        <v>3205</v>
      </c>
      <c r="B94" s="100">
        <v>3.76</v>
      </c>
      <c r="C94" s="100">
        <v>9.74</v>
      </c>
      <c r="D94" s="100">
        <v>7.11</v>
      </c>
      <c r="E94" s="100">
        <v>6.04</v>
      </c>
      <c r="F94" s="100">
        <v>3.5</v>
      </c>
      <c r="G94" s="100">
        <v>50.9</v>
      </c>
      <c r="H94" s="100">
        <v>21.39</v>
      </c>
      <c r="I94" s="100">
        <v>9.1</v>
      </c>
      <c r="J94" s="100">
        <v>5</v>
      </c>
      <c r="K94" s="100">
        <v>234.68</v>
      </c>
      <c r="L94" s="100">
        <v>27.32</v>
      </c>
      <c r="M94" s="100">
        <v>79</v>
      </c>
      <c r="N94" s="100">
        <v>23.3</v>
      </c>
      <c r="O94" s="100">
        <v>0</v>
      </c>
      <c r="P94" s="100">
        <v>0.5</v>
      </c>
      <c r="Q94" s="100">
        <v>29.19</v>
      </c>
      <c r="R94" s="6"/>
      <c r="S94" s="6"/>
      <c r="T94" s="156"/>
      <c r="U94" s="6"/>
    </row>
    <row r="95" spans="1:21" customFormat="1">
      <c r="A95" s="163" t="s">
        <v>3206</v>
      </c>
      <c r="B95" s="100">
        <v>3.85</v>
      </c>
      <c r="C95" s="100">
        <v>9.1</v>
      </c>
      <c r="D95" s="100">
        <v>6.85</v>
      </c>
      <c r="E95" s="100">
        <v>6.56</v>
      </c>
      <c r="F95" s="100">
        <v>4.8499999999999996</v>
      </c>
      <c r="G95" s="100">
        <v>50.9</v>
      </c>
      <c r="H95" s="100">
        <v>21.39</v>
      </c>
      <c r="I95" s="100">
        <v>9.41</v>
      </c>
      <c r="J95" s="100">
        <v>3.48</v>
      </c>
      <c r="K95" s="100">
        <v>235.76</v>
      </c>
      <c r="L95" s="100">
        <v>27.45</v>
      </c>
      <c r="M95" s="100">
        <v>78.36</v>
      </c>
      <c r="N95" s="100">
        <v>23.2</v>
      </c>
      <c r="O95" s="100">
        <v>0</v>
      </c>
      <c r="P95" s="100">
        <v>0.53</v>
      </c>
      <c r="Q95" s="100">
        <v>29.28</v>
      </c>
      <c r="R95" s="6"/>
      <c r="S95" s="6"/>
      <c r="T95" s="156"/>
      <c r="U95" s="6"/>
    </row>
    <row r="96" spans="1:21" customFormat="1">
      <c r="A96" s="163" t="s">
        <v>3207</v>
      </c>
      <c r="B96" s="100">
        <v>4.04</v>
      </c>
      <c r="C96" s="100">
        <v>9.02</v>
      </c>
      <c r="D96" s="100">
        <v>6.96</v>
      </c>
      <c r="E96" s="100">
        <v>6.57</v>
      </c>
      <c r="F96" s="100">
        <v>4.6500000000000004</v>
      </c>
      <c r="G96" s="100">
        <v>52.83</v>
      </c>
      <c r="H96" s="100">
        <v>20.95</v>
      </c>
      <c r="I96" s="100">
        <v>9.5399999999999991</v>
      </c>
      <c r="J96" s="100">
        <v>4.74</v>
      </c>
      <c r="K96" s="100">
        <v>233.66</v>
      </c>
      <c r="L96" s="100">
        <v>27.34</v>
      </c>
      <c r="M96" s="100">
        <v>78.78</v>
      </c>
      <c r="N96" s="100">
        <v>23.3</v>
      </c>
      <c r="O96" s="100">
        <v>0</v>
      </c>
      <c r="P96" s="100">
        <v>0.53</v>
      </c>
      <c r="Q96" s="100">
        <v>29.34</v>
      </c>
      <c r="R96" s="6"/>
      <c r="S96" s="6"/>
      <c r="T96" s="156"/>
      <c r="U96" s="6"/>
    </row>
    <row r="97" spans="1:28" customFormat="1">
      <c r="A97" s="163" t="s">
        <v>3208</v>
      </c>
      <c r="B97" s="100">
        <v>4.1399999999999997</v>
      </c>
      <c r="C97" s="100">
        <v>8.9600000000000009</v>
      </c>
      <c r="D97" s="100">
        <v>7.01</v>
      </c>
      <c r="E97" s="100">
        <v>6.37</v>
      </c>
      <c r="F97" s="100">
        <v>6.66</v>
      </c>
      <c r="G97" s="100">
        <v>60.05</v>
      </c>
      <c r="H97" s="100">
        <v>19.32</v>
      </c>
      <c r="I97" s="100">
        <v>10.29</v>
      </c>
      <c r="J97" s="100">
        <v>3.86</v>
      </c>
      <c r="K97" s="100">
        <v>228.94</v>
      </c>
      <c r="L97" s="100">
        <v>27.15</v>
      </c>
      <c r="M97" s="100">
        <v>79.47</v>
      </c>
      <c r="N97" s="100">
        <v>23.5</v>
      </c>
      <c r="O97" s="100">
        <v>0</v>
      </c>
      <c r="P97" s="100">
        <v>0.53</v>
      </c>
      <c r="Q97" s="100">
        <v>29.25</v>
      </c>
      <c r="R97" s="6"/>
      <c r="S97" s="6"/>
      <c r="T97" s="156"/>
      <c r="U97" s="6"/>
    </row>
    <row r="98" spans="1:28" customFormat="1">
      <c r="A98" s="163" t="s">
        <v>3209</v>
      </c>
      <c r="B98" s="100">
        <v>4.4400000000000004</v>
      </c>
      <c r="C98" s="100">
        <v>9.1199999999999992</v>
      </c>
      <c r="D98" s="100">
        <v>7.33</v>
      </c>
      <c r="E98" s="100">
        <v>6.84</v>
      </c>
      <c r="F98" s="100">
        <v>5.38</v>
      </c>
      <c r="G98" s="100">
        <v>60.05</v>
      </c>
      <c r="H98" s="100">
        <v>19.32</v>
      </c>
      <c r="I98" s="100">
        <v>10.33</v>
      </c>
      <c r="J98" s="100">
        <v>4.17</v>
      </c>
      <c r="K98" s="100">
        <v>207.05</v>
      </c>
      <c r="L98" s="100">
        <v>27.01</v>
      </c>
      <c r="M98" s="100">
        <v>80.900000000000006</v>
      </c>
      <c r="N98" s="100">
        <v>23.5</v>
      </c>
      <c r="O98" s="100">
        <v>0</v>
      </c>
      <c r="P98" s="100">
        <v>0.53</v>
      </c>
      <c r="Q98" s="100">
        <v>29.21</v>
      </c>
      <c r="R98" s="6"/>
      <c r="S98" s="6"/>
      <c r="T98" s="156"/>
      <c r="U98" s="6"/>
    </row>
    <row r="99" spans="1:28" customFormat="1">
      <c r="A99" s="163" t="s">
        <v>3210</v>
      </c>
      <c r="B99" s="100">
        <v>4.58</v>
      </c>
      <c r="C99" s="100">
        <v>9.18</v>
      </c>
      <c r="D99" s="100">
        <v>7.48</v>
      </c>
      <c r="E99" s="100">
        <v>6.62</v>
      </c>
      <c r="F99" s="100">
        <v>4.83</v>
      </c>
      <c r="G99" s="100">
        <v>60.05</v>
      </c>
      <c r="H99" s="100">
        <v>19.32</v>
      </c>
      <c r="I99" s="100">
        <v>10.210000000000001</v>
      </c>
      <c r="J99" s="100">
        <v>4.6399999999999997</v>
      </c>
      <c r="K99" s="100">
        <v>217.17</v>
      </c>
      <c r="L99" s="100">
        <v>26.85</v>
      </c>
      <c r="M99" s="100">
        <v>81.86</v>
      </c>
      <c r="N99" s="100">
        <v>23.2</v>
      </c>
      <c r="O99" s="100">
        <v>0</v>
      </c>
      <c r="P99" s="100">
        <v>0.53</v>
      </c>
      <c r="Q99" s="100">
        <v>29.13</v>
      </c>
      <c r="R99" s="6"/>
      <c r="S99" s="6"/>
      <c r="T99" s="156"/>
      <c r="U99" s="6"/>
    </row>
    <row r="100" spans="1:28" customFormat="1">
      <c r="A100" s="163" t="s">
        <v>3211</v>
      </c>
      <c r="B100" s="100">
        <v>4.71</v>
      </c>
      <c r="C100" s="100">
        <v>9.33</v>
      </c>
      <c r="D100" s="100">
        <v>7.65</v>
      </c>
      <c r="E100" s="100">
        <v>6.52</v>
      </c>
      <c r="F100" s="100">
        <v>5.12</v>
      </c>
      <c r="G100" s="100">
        <v>60.13</v>
      </c>
      <c r="H100" s="100">
        <v>19.68</v>
      </c>
      <c r="I100" s="100">
        <v>10.37</v>
      </c>
      <c r="J100" s="100">
        <v>4.8099999999999996</v>
      </c>
      <c r="K100" s="100">
        <v>204.72</v>
      </c>
      <c r="L100" s="100">
        <v>26.69</v>
      </c>
      <c r="M100" s="100">
        <v>82.53</v>
      </c>
      <c r="N100" s="100">
        <v>23.4</v>
      </c>
      <c r="O100" s="100">
        <v>0</v>
      </c>
      <c r="P100" s="100">
        <v>0.54</v>
      </c>
      <c r="Q100" s="100">
        <v>29.08</v>
      </c>
      <c r="R100" s="6"/>
      <c r="S100" s="6"/>
      <c r="T100" s="156"/>
      <c r="U100" s="6"/>
      <c r="AB100" s="161"/>
    </row>
    <row r="101" spans="1:28" customFormat="1">
      <c r="A101" s="163" t="s">
        <v>3212</v>
      </c>
      <c r="B101" s="100">
        <v>4.8600000000000003</v>
      </c>
      <c r="C101" s="100">
        <v>9.51</v>
      </c>
      <c r="D101" s="100">
        <v>7.87</v>
      </c>
      <c r="E101" s="100">
        <v>5.14</v>
      </c>
      <c r="F101" s="100">
        <v>5.09</v>
      </c>
      <c r="G101" s="100">
        <v>60.43</v>
      </c>
      <c r="H101" s="100">
        <v>21.04</v>
      </c>
      <c r="I101" s="100">
        <v>10.44</v>
      </c>
      <c r="J101" s="100">
        <v>4.8</v>
      </c>
      <c r="K101" s="100">
        <v>198.03</v>
      </c>
      <c r="L101" s="100">
        <v>26.5</v>
      </c>
      <c r="M101" s="100">
        <v>83.66</v>
      </c>
      <c r="N101" s="100">
        <v>23.5</v>
      </c>
      <c r="O101" s="100">
        <v>0</v>
      </c>
      <c r="P101" s="100">
        <v>0.52</v>
      </c>
      <c r="Q101" s="100">
        <v>29.06</v>
      </c>
      <c r="R101" s="6"/>
      <c r="S101" s="6"/>
      <c r="T101" s="156"/>
      <c r="U101" s="6"/>
    </row>
    <row r="102" spans="1:28" customFormat="1">
      <c r="A102" s="163" t="s">
        <v>3213</v>
      </c>
      <c r="B102" s="100">
        <v>4.9400000000000004</v>
      </c>
      <c r="C102" s="100">
        <v>9.39</v>
      </c>
      <c r="D102" s="100">
        <v>7.87</v>
      </c>
      <c r="E102" s="100">
        <v>6.17</v>
      </c>
      <c r="F102" s="100">
        <v>5.28</v>
      </c>
      <c r="G102" s="100">
        <v>60.43</v>
      </c>
      <c r="H102" s="100">
        <v>21.04</v>
      </c>
      <c r="I102" s="100">
        <v>10.63</v>
      </c>
      <c r="J102" s="100">
        <v>4.8600000000000003</v>
      </c>
      <c r="K102" s="100">
        <v>202.55</v>
      </c>
      <c r="L102" s="100">
        <v>26.45</v>
      </c>
      <c r="M102" s="100">
        <v>82.92</v>
      </c>
      <c r="N102" s="100">
        <v>23.2</v>
      </c>
      <c r="O102" s="100">
        <v>0</v>
      </c>
      <c r="P102" s="100">
        <v>0.55000000000000004</v>
      </c>
      <c r="Q102" s="100">
        <v>29.05</v>
      </c>
      <c r="R102" s="6"/>
      <c r="S102" s="6"/>
      <c r="T102" s="156"/>
      <c r="U102" s="6"/>
    </row>
    <row r="103" spans="1:28" customFormat="1">
      <c r="A103" s="163" t="s">
        <v>3214</v>
      </c>
      <c r="B103" s="100">
        <v>5.13</v>
      </c>
      <c r="C103" s="100">
        <v>9.25</v>
      </c>
      <c r="D103" s="100">
        <v>7.95</v>
      </c>
      <c r="E103" s="100">
        <v>6.07</v>
      </c>
      <c r="F103" s="100">
        <v>4.87</v>
      </c>
      <c r="G103" s="100">
        <v>60.43</v>
      </c>
      <c r="H103" s="100">
        <v>21.04</v>
      </c>
      <c r="I103" s="100">
        <v>11.21</v>
      </c>
      <c r="J103" s="100">
        <v>5.09</v>
      </c>
      <c r="K103" s="100">
        <v>210.7</v>
      </c>
      <c r="L103" s="100">
        <v>26.45</v>
      </c>
      <c r="M103" s="100">
        <v>82.55</v>
      </c>
      <c r="N103" s="100">
        <v>23.2</v>
      </c>
      <c r="O103" s="100">
        <v>0</v>
      </c>
      <c r="P103" s="100">
        <v>0.55000000000000004</v>
      </c>
      <c r="Q103" s="100">
        <v>29.04</v>
      </c>
      <c r="R103" s="6"/>
      <c r="S103" s="6"/>
      <c r="T103" s="156"/>
      <c r="U103" s="6"/>
    </row>
    <row r="104" spans="1:28" customFormat="1">
      <c r="A104" s="163" t="s">
        <v>3215</v>
      </c>
      <c r="B104" s="100">
        <v>5.3</v>
      </c>
      <c r="C104" s="100">
        <v>9.5500000000000007</v>
      </c>
      <c r="D104" s="100">
        <v>8.25</v>
      </c>
      <c r="E104" s="100">
        <v>5.78</v>
      </c>
      <c r="F104" s="100">
        <v>4.17</v>
      </c>
      <c r="G104" s="100">
        <v>61.08</v>
      </c>
      <c r="H104" s="100">
        <v>20.97</v>
      </c>
      <c r="I104" s="100">
        <v>11.7</v>
      </c>
      <c r="J104" s="100">
        <v>5.22</v>
      </c>
      <c r="K104" s="100">
        <v>185.52</v>
      </c>
      <c r="L104" s="100">
        <v>26.26</v>
      </c>
      <c r="M104" s="100">
        <v>83.48</v>
      </c>
      <c r="N104" s="100">
        <v>23.5</v>
      </c>
      <c r="O104" s="100">
        <v>0</v>
      </c>
      <c r="P104" s="100">
        <v>0.55000000000000004</v>
      </c>
      <c r="Q104" s="100">
        <v>29.03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2.04</v>
      </c>
      <c r="C106" s="158">
        <f>MIN(C9:C104)</f>
        <v>6.33</v>
      </c>
      <c r="D106" s="158">
        <f t="shared" ref="D106:Q106" si="0">MIN(D9:D104)</f>
        <v>4.47</v>
      </c>
      <c r="E106" s="158">
        <f t="shared" si="0"/>
        <v>5.14</v>
      </c>
      <c r="F106" s="158">
        <f t="shared" si="0"/>
        <v>2.77</v>
      </c>
      <c r="G106" s="158">
        <f t="shared" si="0"/>
        <v>17.649999999999999</v>
      </c>
      <c r="H106" s="158">
        <f t="shared" si="0"/>
        <v>9.9600000000000009</v>
      </c>
      <c r="I106" s="158">
        <f t="shared" si="0"/>
        <v>7.12</v>
      </c>
      <c r="J106" s="158">
        <f t="shared" si="0"/>
        <v>1.66</v>
      </c>
      <c r="K106" s="158">
        <f t="shared" si="0"/>
        <v>108.89</v>
      </c>
      <c r="L106" s="158">
        <f t="shared" si="0"/>
        <v>22.87</v>
      </c>
      <c r="M106" s="158">
        <f t="shared" si="0"/>
        <v>67.02</v>
      </c>
      <c r="N106" s="158">
        <f t="shared" si="0"/>
        <v>23.2</v>
      </c>
      <c r="O106" s="158">
        <f t="shared" si="0"/>
        <v>0</v>
      </c>
      <c r="P106" s="158">
        <f t="shared" si="0"/>
        <v>0.3</v>
      </c>
      <c r="Q106" s="158">
        <f t="shared" si="0"/>
        <v>28.75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6.5</v>
      </c>
      <c r="C107" s="157">
        <f t="shared" ref="C107:Q107" si="1">MAX(C9:C104)</f>
        <v>13.24</v>
      </c>
      <c r="D107" s="157">
        <f t="shared" si="1"/>
        <v>10.1</v>
      </c>
      <c r="E107" s="157">
        <f t="shared" si="1"/>
        <v>6.91</v>
      </c>
      <c r="F107" s="157">
        <f t="shared" si="1"/>
        <v>10.23</v>
      </c>
      <c r="G107" s="157">
        <f t="shared" si="1"/>
        <v>61.08</v>
      </c>
      <c r="H107" s="157">
        <f t="shared" si="1"/>
        <v>21.39</v>
      </c>
      <c r="I107" s="157">
        <f t="shared" si="1"/>
        <v>11.7</v>
      </c>
      <c r="J107" s="157">
        <f t="shared" si="1"/>
        <v>5.68</v>
      </c>
      <c r="K107" s="157">
        <f t="shared" si="1"/>
        <v>359.4</v>
      </c>
      <c r="L107" s="157">
        <f t="shared" si="1"/>
        <v>29.68</v>
      </c>
      <c r="M107" s="157">
        <f t="shared" si="1"/>
        <v>97</v>
      </c>
      <c r="N107" s="157">
        <f t="shared" si="1"/>
        <v>650.1</v>
      </c>
      <c r="O107" s="157">
        <f t="shared" si="1"/>
        <v>13.2</v>
      </c>
      <c r="P107" s="157">
        <f t="shared" si="1"/>
        <v>0.55000000000000004</v>
      </c>
      <c r="Q107" s="157">
        <f t="shared" si="1"/>
        <v>29.47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3.749895833333333</v>
      </c>
      <c r="C108" s="158">
        <f t="shared" ref="C108:Q108" si="2">AVERAGE(C9:C104)</f>
        <v>9.2147916666666685</v>
      </c>
      <c r="D108" s="158">
        <f t="shared" si="2"/>
        <v>6.8265625000000005</v>
      </c>
      <c r="E108" s="158">
        <f t="shared" si="2"/>
        <v>5.8051041666666672</v>
      </c>
      <c r="F108" s="158">
        <f t="shared" si="2"/>
        <v>5.380208333333333</v>
      </c>
      <c r="G108" s="158">
        <f t="shared" si="2"/>
        <v>32.837708333333353</v>
      </c>
      <c r="H108" s="158">
        <f t="shared" si="2"/>
        <v>15.907812500000006</v>
      </c>
      <c r="I108" s="158">
        <f t="shared" si="2"/>
        <v>8.5040624999999981</v>
      </c>
      <c r="J108" s="158">
        <f t="shared" si="2"/>
        <v>4.2001041666666685</v>
      </c>
      <c r="K108" s="158">
        <f t="shared" si="2"/>
        <v>205.63427083333329</v>
      </c>
      <c r="L108" s="158">
        <f t="shared" si="2"/>
        <v>26.532291666666669</v>
      </c>
      <c r="M108" s="158">
        <f t="shared" si="2"/>
        <v>80.939895833333296</v>
      </c>
      <c r="N108" s="158">
        <f t="shared" si="2"/>
        <v>112.37604166666671</v>
      </c>
      <c r="O108" s="158">
        <f t="shared" si="2"/>
        <v>0.51249999999999996</v>
      </c>
      <c r="P108" s="158">
        <f t="shared" si="2"/>
        <v>0.42999999999999988</v>
      </c>
      <c r="Q108" s="158">
        <f t="shared" si="2"/>
        <v>29.189062499999995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1.2415783628673447</v>
      </c>
      <c r="C109" s="158">
        <f t="shared" ref="C109:Q109" si="3">STDEV(C9:C104)</f>
        <v>1.517790623634542</v>
      </c>
      <c r="D109" s="158">
        <f t="shared" si="3"/>
        <v>1.5891234446601077</v>
      </c>
      <c r="E109" s="158">
        <f t="shared" si="3"/>
        <v>0.39963402940207721</v>
      </c>
      <c r="F109" s="158">
        <f t="shared" si="3"/>
        <v>1.7565971764610357</v>
      </c>
      <c r="G109" s="158">
        <f t="shared" si="3"/>
        <v>11.677816619932457</v>
      </c>
      <c r="H109" s="158">
        <f t="shared" si="3"/>
        <v>3.4177749619875901</v>
      </c>
      <c r="I109" s="158">
        <f t="shared" si="3"/>
        <v>0.79753380146153319</v>
      </c>
      <c r="J109" s="158">
        <f t="shared" si="3"/>
        <v>0.789310818361458</v>
      </c>
      <c r="K109" s="158">
        <f t="shared" si="3"/>
        <v>27.800494003365536</v>
      </c>
      <c r="L109" s="158">
        <f t="shared" si="3"/>
        <v>1.898476108642855</v>
      </c>
      <c r="M109" s="158">
        <f t="shared" si="3"/>
        <v>9.7456653246774572</v>
      </c>
      <c r="N109" s="158">
        <f t="shared" si="3"/>
        <v>152.43067845990066</v>
      </c>
      <c r="O109" s="158">
        <f t="shared" si="3"/>
        <v>1.9790082577418737</v>
      </c>
      <c r="P109" s="158">
        <f t="shared" si="3"/>
        <v>6.4726143745867562E-2</v>
      </c>
      <c r="Q109" s="158">
        <f t="shared" si="3"/>
        <v>0.17282225809986643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01/05/2025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01/05/2025 00:15</v>
      </c>
      <c r="B9" s="83">
        <f>'01'!B108</f>
        <v>6.1047916666666664</v>
      </c>
      <c r="C9" s="83">
        <f>'01'!C108</f>
        <v>33.211354166666673</v>
      </c>
      <c r="D9" s="83">
        <f>'01'!D108</f>
        <v>22.923124999999999</v>
      </c>
      <c r="E9" s="83">
        <f>'01'!E108</f>
        <v>1.6110416666666671</v>
      </c>
      <c r="F9" s="83">
        <f>'01'!F108</f>
        <v>8.3846875000000018</v>
      </c>
      <c r="G9" s="83">
        <f>'01'!G108</f>
        <v>62.136875000000032</v>
      </c>
      <c r="H9" s="83">
        <f>'01'!H108</f>
        <v>19.140729166666656</v>
      </c>
      <c r="I9" s="83">
        <f>'01'!I108</f>
        <v>10.076458333333322</v>
      </c>
      <c r="J9" s="83">
        <f>'01'!J108</f>
        <v>0.84583333333333321</v>
      </c>
      <c r="K9" s="83">
        <f>'01'!K108</f>
        <v>178.3105208333333</v>
      </c>
      <c r="L9" s="83">
        <f>'01'!L108</f>
        <v>28.779062499999998</v>
      </c>
      <c r="M9" s="83">
        <f>'01'!M108</f>
        <v>53.525000000000006</v>
      </c>
      <c r="N9" s="83">
        <f>'01'!N108</f>
        <v>223.48541666666668</v>
      </c>
      <c r="O9" s="83">
        <f>'01'!O108</f>
        <v>4.3750000000000004E-2</v>
      </c>
      <c r="P9" s="83">
        <f>'01'!P108</f>
        <v>0.51072916666666679</v>
      </c>
      <c r="Q9" s="83">
        <f>'01'!Q108</f>
        <v>27.937499999999996</v>
      </c>
      <c r="R9" s="76"/>
      <c r="S9" s="76"/>
      <c r="T9" s="76"/>
      <c r="U9" s="76"/>
    </row>
    <row r="10" spans="1:21">
      <c r="A10" s="139" t="str">
        <f>'02'!$B$2</f>
        <v>02/05/2025 00:15</v>
      </c>
      <c r="B10" s="83">
        <f>'02'!B108</f>
        <v>8.9609375000000036</v>
      </c>
      <c r="C10" s="83">
        <f>'02'!C108</f>
        <v>32.866250000000015</v>
      </c>
      <c r="D10" s="83">
        <f>'02'!D108</f>
        <v>25.02062500000001</v>
      </c>
      <c r="E10" s="83">
        <f>'02'!E108</f>
        <v>2.5824999999999996</v>
      </c>
      <c r="F10" s="83">
        <f>'02'!F108</f>
        <v>12.756874999999999</v>
      </c>
      <c r="G10" s="83">
        <f>'02'!G108</f>
        <v>52.805520833333333</v>
      </c>
      <c r="H10" s="83">
        <f>'02'!H108</f>
        <v>22.249166666666671</v>
      </c>
      <c r="I10" s="83">
        <f>'02'!I108</f>
        <v>11.849629629629632</v>
      </c>
      <c r="J10" s="83">
        <f>'02'!J108</f>
        <v>0.65520833333333328</v>
      </c>
      <c r="K10" s="83">
        <f>'02'!K108</f>
        <v>153.50666666666663</v>
      </c>
      <c r="L10" s="83">
        <f>'02'!L108</f>
        <v>29.49625</v>
      </c>
      <c r="M10" s="83">
        <f>'02'!M108</f>
        <v>52.832187499999975</v>
      </c>
      <c r="N10" s="83">
        <f>'02'!N108</f>
        <v>244.26354166666678</v>
      </c>
      <c r="O10" s="83">
        <f>'02'!O108</f>
        <v>0</v>
      </c>
      <c r="P10" s="83">
        <f>'02'!P108</f>
        <v>0.55531250000000021</v>
      </c>
      <c r="Q10" s="83">
        <f>'02'!Q108</f>
        <v>27.601770833333333</v>
      </c>
      <c r="R10" s="76"/>
      <c r="S10" s="76"/>
      <c r="T10" s="76"/>
      <c r="U10" s="76"/>
    </row>
    <row r="11" spans="1:21">
      <c r="A11" s="139" t="str">
        <f>'03'!$B$2</f>
        <v>03/05/2025 00:15</v>
      </c>
      <c r="B11" s="83">
        <f>'03'!B108</f>
        <v>8.1062499999999993</v>
      </c>
      <c r="C11" s="83">
        <f>'03'!C108</f>
        <v>28.265520833333341</v>
      </c>
      <c r="D11" s="83">
        <f>'03'!D108</f>
        <v>21.944479166666671</v>
      </c>
      <c r="E11" s="83">
        <f>'03'!E108</f>
        <v>1.2864583333333326</v>
      </c>
      <c r="F11" s="83">
        <f>'03'!F108</f>
        <v>7.2064583333333312</v>
      </c>
      <c r="G11" s="83">
        <f>'03'!G108</f>
        <v>39.250937499999971</v>
      </c>
      <c r="H11" s="83">
        <f>'03'!H108</f>
        <v>19.089895833333347</v>
      </c>
      <c r="I11" s="83">
        <f>'03'!I108</f>
        <v>11.610937499999999</v>
      </c>
      <c r="J11" s="83">
        <f>'03'!J108</f>
        <v>1.3089583333333339</v>
      </c>
      <c r="K11" s="83">
        <f>'03'!K108</f>
        <v>175.16468749999993</v>
      </c>
      <c r="L11" s="83">
        <f>'03'!L108</f>
        <v>28.909375000000015</v>
      </c>
      <c r="M11" s="83">
        <f>'03'!M108</f>
        <v>62.83156250000004</v>
      </c>
      <c r="N11" s="83">
        <f>'03'!N108</f>
        <v>180.25937499999989</v>
      </c>
      <c r="O11" s="83">
        <f>'03'!O108</f>
        <v>0.44166666666666665</v>
      </c>
      <c r="P11" s="83">
        <f>'03'!P108</f>
        <v>0.56124999999999992</v>
      </c>
      <c r="Q11" s="83">
        <f>'03'!Q108</f>
        <v>28.039895833333329</v>
      </c>
      <c r="R11" s="76"/>
      <c r="S11" s="76"/>
      <c r="T11" s="76"/>
      <c r="U11" s="76"/>
    </row>
    <row r="12" spans="1:21">
      <c r="A12" s="139" t="str">
        <f>'04'!$B$2</f>
        <v>04/05/2025 00:15</v>
      </c>
      <c r="B12" s="83">
        <f>'04'!B108</f>
        <v>10.504791666666666</v>
      </c>
      <c r="C12" s="83">
        <f>'04'!C108</f>
        <v>31.247708333333325</v>
      </c>
      <c r="D12" s="83">
        <f>'04'!D108</f>
        <v>25.426041666666652</v>
      </c>
      <c r="E12" s="83">
        <f>'04'!E108</f>
        <v>1.3517708333333331</v>
      </c>
      <c r="F12" s="83">
        <f>'04'!F108</f>
        <v>9.0860416666666666</v>
      </c>
      <c r="G12" s="83">
        <f>'04'!G108</f>
        <v>40.105937499999989</v>
      </c>
      <c r="H12" s="83">
        <f>'04'!H108</f>
        <v>19.925000000000001</v>
      </c>
      <c r="I12" s="83">
        <f>'04'!I108</f>
        <v>11.215520833333334</v>
      </c>
      <c r="J12" s="83">
        <f>'04'!J108</f>
        <v>1.0203125</v>
      </c>
      <c r="K12" s="83">
        <f>'04'!K108</f>
        <v>174.74114583333338</v>
      </c>
      <c r="L12" s="83">
        <f>'04'!L108</f>
        <v>30.182395833333342</v>
      </c>
      <c r="M12" s="83">
        <f>'04'!M108</f>
        <v>55.308020833333309</v>
      </c>
      <c r="N12" s="83">
        <f>'04'!N108</f>
        <v>265.41562499999992</v>
      </c>
      <c r="O12" s="83">
        <f>'04'!O108</f>
        <v>0</v>
      </c>
      <c r="P12" s="83">
        <f>'04'!P108</f>
        <v>0.56218750000000006</v>
      </c>
      <c r="Q12" s="83">
        <f>'04'!Q108</f>
        <v>27.525833333333328</v>
      </c>
      <c r="R12" s="76"/>
      <c r="S12" s="76"/>
      <c r="T12" s="76"/>
      <c r="U12" s="76"/>
    </row>
    <row r="13" spans="1:21">
      <c r="A13" s="139" t="str">
        <f>'05'!$B$2</f>
        <v>05/05/2025 00:15</v>
      </c>
      <c r="B13" s="83">
        <f>'05'!B108</f>
        <v>10.108437500000004</v>
      </c>
      <c r="C13" s="83">
        <f>'05'!C108</f>
        <v>30.151874999999993</v>
      </c>
      <c r="D13" s="83">
        <f>'05'!D108</f>
        <v>24.329374999999999</v>
      </c>
      <c r="E13" s="83">
        <f>'05'!E108</f>
        <v>3.1602083333333337</v>
      </c>
      <c r="F13" s="83">
        <f>'05'!F108</f>
        <v>11.618229166666666</v>
      </c>
      <c r="G13" s="83">
        <f>'05'!G108</f>
        <v>46.247717391304306</v>
      </c>
      <c r="H13" s="83">
        <f>'05'!H108</f>
        <v>16.536086956521743</v>
      </c>
      <c r="I13" s="83">
        <f>'05'!I108</f>
        <v>12.429166666666667</v>
      </c>
      <c r="J13" s="83">
        <f>'05'!J108</f>
        <v>1.9830208333333337</v>
      </c>
      <c r="K13" s="83">
        <f>'05'!K108</f>
        <v>172.05479166666666</v>
      </c>
      <c r="L13" s="83">
        <f>'05'!L108</f>
        <v>32.672499999999992</v>
      </c>
      <c r="M13" s="83">
        <f>'05'!M108</f>
        <v>36.864687499999995</v>
      </c>
      <c r="N13" s="83">
        <f>'05'!N108</f>
        <v>252.06874999999991</v>
      </c>
      <c r="O13" s="83">
        <f>'05'!O108</f>
        <v>0</v>
      </c>
      <c r="P13" s="83">
        <f>'05'!P108</f>
        <v>0.57968750000000013</v>
      </c>
      <c r="Q13" s="83">
        <f>'05'!Q108</f>
        <v>27.791979166666668</v>
      </c>
      <c r="R13" s="76"/>
      <c r="S13" s="76"/>
      <c r="T13" s="76"/>
      <c r="U13" s="76"/>
    </row>
    <row r="14" spans="1:21">
      <c r="A14" s="139" t="str">
        <f>'06'!$B$2</f>
        <v>06/05/2025 00:15</v>
      </c>
      <c r="B14" s="83">
        <f>'06'!B108</f>
        <v>5.591354166666668</v>
      </c>
      <c r="C14" s="83">
        <f>'06'!C108</f>
        <v>33.386562500000004</v>
      </c>
      <c r="D14" s="83">
        <f>'06'!D108</f>
        <v>21.927395833333335</v>
      </c>
      <c r="E14" s="83">
        <f>'06'!E108</f>
        <v>3.3812499999999992</v>
      </c>
      <c r="F14" s="83">
        <f>'06'!F108</f>
        <v>12.496041666666676</v>
      </c>
      <c r="G14" s="83">
        <f>'06'!G108</f>
        <v>45.512708333333336</v>
      </c>
      <c r="H14" s="83">
        <f>'06'!H108</f>
        <v>19.024687499999995</v>
      </c>
      <c r="I14" s="83">
        <f>'06'!I108</f>
        <v>11.659687499999999</v>
      </c>
      <c r="J14" s="83">
        <f>'06'!J108</f>
        <v>3.1340624999999993</v>
      </c>
      <c r="K14" s="83">
        <f>'06'!K108</f>
        <v>189.76083333333335</v>
      </c>
      <c r="L14" s="83">
        <f>'06'!L108</f>
        <v>32.779270833333314</v>
      </c>
      <c r="M14" s="83">
        <f>'06'!M108</f>
        <v>36.133020833333333</v>
      </c>
      <c r="N14" s="83">
        <f>'06'!N108</f>
        <v>265.91458333333327</v>
      </c>
      <c r="O14" s="83">
        <f>'06'!O108</f>
        <v>0</v>
      </c>
      <c r="P14" s="83">
        <f>'06'!P108</f>
        <v>0.55281250000000026</v>
      </c>
      <c r="Q14" s="83">
        <f>'06'!Q108</f>
        <v>27.723020833333337</v>
      </c>
      <c r="R14" s="76"/>
      <c r="S14" s="76"/>
      <c r="T14" s="76"/>
      <c r="U14" s="76"/>
    </row>
    <row r="15" spans="1:21">
      <c r="A15" s="139" t="str">
        <f>'07'!$B$2</f>
        <v>07/05/2025 00:15</v>
      </c>
      <c r="B15" s="83">
        <f>'07'!B108</f>
        <v>4.6460416666666644</v>
      </c>
      <c r="C15" s="83">
        <f>'07'!C108</f>
        <v>26.466874999999998</v>
      </c>
      <c r="D15" s="83">
        <f>'07'!D108</f>
        <v>17.544791666666669</v>
      </c>
      <c r="E15" s="83">
        <f>'07'!E108</f>
        <v>3.2266666666666679</v>
      </c>
      <c r="F15" s="83">
        <f>'07'!F108</f>
        <v>14.866562499999993</v>
      </c>
      <c r="G15" s="83">
        <f>'07'!G108</f>
        <v>38.760208333333331</v>
      </c>
      <c r="H15" s="83">
        <f>'07'!H108</f>
        <v>14.115104166666676</v>
      </c>
      <c r="I15" s="83">
        <f>'07'!I108</f>
        <v>9.3582291666666624</v>
      </c>
      <c r="J15" s="83">
        <f>'07'!J108</f>
        <v>3.2618749999999994</v>
      </c>
      <c r="K15" s="83">
        <f>'07'!K108</f>
        <v>208.60197916666667</v>
      </c>
      <c r="L15" s="83">
        <f>'07'!L108</f>
        <v>34.106145833333336</v>
      </c>
      <c r="M15" s="83">
        <f>'07'!M108</f>
        <v>35.608333333333348</v>
      </c>
      <c r="N15" s="83">
        <f>'07'!N108</f>
        <v>262.35104166666679</v>
      </c>
      <c r="O15" s="83">
        <f>'07'!O108</f>
        <v>0</v>
      </c>
      <c r="P15" s="83">
        <f>'07'!P108</f>
        <v>0.45281250000000001</v>
      </c>
      <c r="Q15" s="83">
        <f>'07'!Q108</f>
        <v>28.113020833333326</v>
      </c>
      <c r="R15" s="76"/>
      <c r="S15" s="76"/>
      <c r="T15" s="76"/>
      <c r="U15" s="76"/>
    </row>
    <row r="16" spans="1:21">
      <c r="A16" s="139" t="str">
        <f>'08'!$B$2</f>
        <v>08/05/2025 00:15</v>
      </c>
      <c r="B16" s="83">
        <f>'08'!B108</f>
        <v>4.0189583333333347</v>
      </c>
      <c r="C16" s="83">
        <f>'08'!C108</f>
        <v>24.312604166666663</v>
      </c>
      <c r="D16" s="83">
        <f>'08'!D108</f>
        <v>15.925312500000004</v>
      </c>
      <c r="E16" s="83">
        <f>'08'!E108</f>
        <v>3.5745833333333343</v>
      </c>
      <c r="F16" s="83">
        <f>'08'!F108</f>
        <v>10.069062499999999</v>
      </c>
      <c r="G16" s="83">
        <f>'08'!G108</f>
        <v>41.070416666666645</v>
      </c>
      <c r="H16" s="83">
        <f>'08'!H108</f>
        <v>18.701979166666661</v>
      </c>
      <c r="I16" s="83">
        <f>'08'!I108</f>
        <v>8.6987500000000022</v>
      </c>
      <c r="J16" s="83">
        <f>'08'!J108</f>
        <v>3.6501041666666665</v>
      </c>
      <c r="K16" s="83">
        <f>'08'!K108</f>
        <v>214.49770833333332</v>
      </c>
      <c r="L16" s="83">
        <f>'08'!L108</f>
        <v>33.494687499999998</v>
      </c>
      <c r="M16" s="83">
        <f>'08'!M108</f>
        <v>39.215208333333329</v>
      </c>
      <c r="N16" s="83">
        <f>'08'!N108</f>
        <v>244.85625000000002</v>
      </c>
      <c r="O16" s="83">
        <f>'08'!O108</f>
        <v>0</v>
      </c>
      <c r="P16" s="83">
        <f>'08'!P108</f>
        <v>0.43083333333333318</v>
      </c>
      <c r="Q16" s="83">
        <f>'08'!Q108</f>
        <v>28.365312500000012</v>
      </c>
      <c r="R16" s="76"/>
      <c r="S16" s="76"/>
      <c r="T16" s="76"/>
      <c r="U16" s="76"/>
    </row>
    <row r="17" spans="1:21">
      <c r="A17" s="139" t="str">
        <f>'09'!$B$2</f>
        <v>09/05/2025 00:15</v>
      </c>
      <c r="B17" s="83">
        <f>'09'!B108</f>
        <v>4.6739583333333323</v>
      </c>
      <c r="C17" s="83">
        <f>'09'!C108</f>
        <v>25.313958333333332</v>
      </c>
      <c r="D17" s="83">
        <f>'09'!D108</f>
        <v>16.973854166666666</v>
      </c>
      <c r="E17" s="83">
        <f>'09'!E108</f>
        <v>5.3996874999999989</v>
      </c>
      <c r="F17" s="83">
        <f>'09'!F108</f>
        <v>13.288541666666667</v>
      </c>
      <c r="G17" s="83">
        <f>'09'!G108</f>
        <v>41.644687500000003</v>
      </c>
      <c r="H17" s="83">
        <f>'09'!H108</f>
        <v>19.923854166666658</v>
      </c>
      <c r="I17" s="83">
        <f>'09'!I108</f>
        <v>9.7821875000000009</v>
      </c>
      <c r="J17" s="83">
        <f>'09'!J108</f>
        <v>2.8277083333333342</v>
      </c>
      <c r="K17" s="83">
        <f>'09'!K108</f>
        <v>179.71875</v>
      </c>
      <c r="L17" s="83">
        <f>'09'!L108</f>
        <v>34.926354166666677</v>
      </c>
      <c r="M17" s="83">
        <f>'09'!M108</f>
        <v>38.661666666666683</v>
      </c>
      <c r="N17" s="83">
        <f>'09'!N108</f>
        <v>262.67812499999997</v>
      </c>
      <c r="O17" s="83">
        <f>'09'!O108</f>
        <v>0</v>
      </c>
      <c r="P17" s="83">
        <f>'09'!P108</f>
        <v>0.50812500000000005</v>
      </c>
      <c r="Q17" s="83">
        <f>'09'!Q108</f>
        <v>28.159166666666668</v>
      </c>
      <c r="R17" s="76"/>
      <c r="S17" s="76"/>
      <c r="T17" s="76"/>
      <c r="U17" s="76"/>
    </row>
    <row r="18" spans="1:21">
      <c r="A18" s="139" t="str">
        <f>'10'!$B$2</f>
        <v>10/05/2025 00:15</v>
      </c>
      <c r="B18" s="83">
        <f>'10'!B108</f>
        <v>5.1465624999999955</v>
      </c>
      <c r="C18" s="83">
        <f>'10'!C108</f>
        <v>25.176770833333336</v>
      </c>
      <c r="D18" s="83">
        <f>'10'!D108</f>
        <v>17.281458333333322</v>
      </c>
      <c r="E18" s="83">
        <f>'10'!E108</f>
        <v>7.3079166666666664</v>
      </c>
      <c r="F18" s="83">
        <f>'10'!F108</f>
        <v>16.198645833333334</v>
      </c>
      <c r="G18" s="83">
        <f>'10'!G108</f>
        <v>42.837291666666665</v>
      </c>
      <c r="H18" s="83">
        <f>'10'!H108</f>
        <v>18.983333333333338</v>
      </c>
      <c r="I18" s="83">
        <f>'10'!I108</f>
        <v>10.473229166666668</v>
      </c>
      <c r="J18" s="83">
        <f>'10'!J108</f>
        <v>2.9279166666666665</v>
      </c>
      <c r="K18" s="83">
        <f>'10'!K108</f>
        <v>185.93697916666665</v>
      </c>
      <c r="L18" s="83">
        <f>'10'!L108</f>
        <v>36.972291666666649</v>
      </c>
      <c r="M18" s="83">
        <f>'10'!M108</f>
        <v>34.52739583333333</v>
      </c>
      <c r="N18" s="83">
        <f>'10'!N108</f>
        <v>259.41874999999999</v>
      </c>
      <c r="O18" s="83">
        <f>'10'!O108</f>
        <v>0</v>
      </c>
      <c r="P18" s="83">
        <f>'10'!P108</f>
        <v>0.51427083333333334</v>
      </c>
      <c r="Q18" s="83">
        <f>'10'!Q108</f>
        <v>27.990937500000001</v>
      </c>
      <c r="R18" s="76"/>
      <c r="S18" s="76"/>
      <c r="T18" s="76"/>
      <c r="U18" s="76"/>
    </row>
    <row r="19" spans="1:21">
      <c r="A19" s="139" t="str">
        <f>'11'!$B$2</f>
        <v>11/05/2025 00:15</v>
      </c>
      <c r="B19" s="83">
        <f>'11'!B108</f>
        <v>1.39</v>
      </c>
      <c r="C19" s="83">
        <f>'11'!C108</f>
        <v>15.230000000000013</v>
      </c>
      <c r="D19" s="83">
        <f>'11'!D108</f>
        <v>9.0700000000000163</v>
      </c>
      <c r="E19" s="83">
        <f>'11'!E108</f>
        <v>7.399270833333337</v>
      </c>
      <c r="F19" s="83">
        <f>'11'!F108</f>
        <v>15.983541666666673</v>
      </c>
      <c r="G19" s="83">
        <f>'11'!G108</f>
        <v>52.92114583333332</v>
      </c>
      <c r="H19" s="83">
        <f>'11'!H108</f>
        <v>26.577708333333323</v>
      </c>
      <c r="I19" s="83">
        <f>'11'!I108</f>
        <v>10.119583333333335</v>
      </c>
      <c r="J19" s="83">
        <f>'11'!J108</f>
        <v>3.0967708333333324</v>
      </c>
      <c r="K19" s="83">
        <f>'11'!K108</f>
        <v>212.20677083333331</v>
      </c>
      <c r="L19" s="83">
        <f>'11'!L108</f>
        <v>37.153229166666669</v>
      </c>
      <c r="M19" s="83">
        <f>'11'!M108</f>
        <v>35.704999999999998</v>
      </c>
      <c r="N19" s="83">
        <f>'11'!N108</f>
        <v>231.80416666666659</v>
      </c>
      <c r="O19" s="83">
        <f>'11'!O108</f>
        <v>0</v>
      </c>
      <c r="P19" s="83">
        <f>'11'!P108</f>
        <v>0.51666666666666672</v>
      </c>
      <c r="Q19" s="83">
        <f>'11'!Q108</f>
        <v>28.173749999999995</v>
      </c>
      <c r="R19" s="76"/>
      <c r="S19" s="76"/>
      <c r="T19" s="76"/>
      <c r="U19" s="76"/>
    </row>
    <row r="20" spans="1:21">
      <c r="A20" s="139" t="str">
        <f>'12'!$B$2</f>
        <v>12/05/2025 00:15</v>
      </c>
      <c r="B20" s="83">
        <f>'12'!B108</f>
        <v>2.2358333333333333</v>
      </c>
      <c r="C20" s="83">
        <f>'12'!C108</f>
        <v>20.628750000000014</v>
      </c>
      <c r="D20" s="83">
        <f>'12'!D108</f>
        <v>12.093229166666665</v>
      </c>
      <c r="E20" s="83">
        <f>'12'!E108</f>
        <v>6.995208333333335</v>
      </c>
      <c r="F20" s="83">
        <f>'12'!F108</f>
        <v>16.289374999999996</v>
      </c>
      <c r="G20" s="83">
        <f>'12'!G108</f>
        <v>40.81687500000001</v>
      </c>
      <c r="H20" s="83">
        <f>'12'!H108</f>
        <v>19.129375000000003</v>
      </c>
      <c r="I20" s="83">
        <f>'12'!I108</f>
        <v>8.4740625000000041</v>
      </c>
      <c r="J20" s="83">
        <f>'12'!J108</f>
        <v>3.1118750000000008</v>
      </c>
      <c r="K20" s="83">
        <f>'12'!K108</f>
        <v>225.0906249999999</v>
      </c>
      <c r="L20" s="83">
        <f>'12'!L108</f>
        <v>36.864166666666669</v>
      </c>
      <c r="M20" s="83">
        <f>'12'!M108</f>
        <v>34.008541666666659</v>
      </c>
      <c r="N20" s="83">
        <f>'12'!N108</f>
        <v>233.23541666666657</v>
      </c>
      <c r="O20" s="83">
        <f>'12'!O108</f>
        <v>0</v>
      </c>
      <c r="P20" s="83">
        <f>'12'!P108</f>
        <v>0.46552083333333361</v>
      </c>
      <c r="Q20" s="83">
        <f>'12'!Q108</f>
        <v>28.514479166666671</v>
      </c>
      <c r="R20" s="76"/>
      <c r="S20" s="76"/>
      <c r="T20" s="76"/>
      <c r="U20" s="76"/>
    </row>
    <row r="21" spans="1:21">
      <c r="A21" s="139" t="str">
        <f>'13'!$B$2</f>
        <v>13/05/2025 00:15</v>
      </c>
      <c r="B21" s="83">
        <f>'13'!B108</f>
        <v>6.4556249999999986</v>
      </c>
      <c r="C21" s="83">
        <f>'13'!C108</f>
        <v>27.562604166666677</v>
      </c>
      <c r="D21" s="83">
        <f>'13'!D108</f>
        <v>18.581666666666663</v>
      </c>
      <c r="E21" s="83">
        <f>'13'!E108</f>
        <v>7.827708333333331</v>
      </c>
      <c r="F21" s="83">
        <f>'13'!F108</f>
        <v>15.840312500000003</v>
      </c>
      <c r="G21" s="83">
        <f>'13'!G108</f>
        <v>56.104166666666636</v>
      </c>
      <c r="H21" s="83">
        <f>'13'!H108</f>
        <v>23.65124999999999</v>
      </c>
      <c r="I21" s="83">
        <f>'13'!I108</f>
        <v>13.515625</v>
      </c>
      <c r="J21" s="83">
        <f>'13'!J108</f>
        <v>2.6149999999999998</v>
      </c>
      <c r="K21" s="83">
        <f>'13'!K108</f>
        <v>210.52333333333328</v>
      </c>
      <c r="L21" s="83">
        <f>'13'!L108</f>
        <v>36.444270833333334</v>
      </c>
      <c r="M21" s="83">
        <f>'13'!M108</f>
        <v>33.148958333333333</v>
      </c>
      <c r="N21" s="83">
        <f>'13'!N108</f>
        <v>206.04687500000003</v>
      </c>
      <c r="O21" s="83">
        <f>'13'!O108</f>
        <v>0</v>
      </c>
      <c r="P21" s="83">
        <f>'13'!P108</f>
        <v>0.59375000000000011</v>
      </c>
      <c r="Q21" s="83">
        <f>'13'!Q108</f>
        <v>28.037187500000002</v>
      </c>
      <c r="R21" s="76"/>
      <c r="S21" s="76"/>
      <c r="T21" s="76"/>
      <c r="U21" s="76"/>
    </row>
    <row r="22" spans="1:21">
      <c r="A22" s="139" t="str">
        <f>'14'!$B$2</f>
        <v>14/05/2025 00:15</v>
      </c>
      <c r="B22" s="140">
        <f>'14'!B108</f>
        <v>5.7459374999999993</v>
      </c>
      <c r="C22" s="140">
        <f>'14'!C108</f>
        <v>28.7578125</v>
      </c>
      <c r="D22" s="140">
        <f>'14'!D108</f>
        <v>18.637604166666673</v>
      </c>
      <c r="E22" s="140">
        <f>'14'!E108</f>
        <v>7.4918750000000029</v>
      </c>
      <c r="F22" s="140">
        <f>'14'!F108</f>
        <v>15.821458333333334</v>
      </c>
      <c r="G22" s="140">
        <f>'14'!G108</f>
        <v>56.699895833333329</v>
      </c>
      <c r="H22" s="140">
        <f>'14'!H108</f>
        <v>23.217499999999987</v>
      </c>
      <c r="I22" s="140">
        <f>'14'!I108</f>
        <v>12.804375</v>
      </c>
      <c r="J22" s="140">
        <f>'14'!J108</f>
        <v>2.9273958333333336</v>
      </c>
      <c r="K22" s="140">
        <f>'14'!K108</f>
        <v>208.46812500000001</v>
      </c>
      <c r="L22" s="140">
        <f>'14'!L108</f>
        <v>36.758541666666666</v>
      </c>
      <c r="M22" s="140">
        <f>'14'!M108</f>
        <v>33.47677083333334</v>
      </c>
      <c r="N22" s="140">
        <f>'14'!N108</f>
        <v>203.41562499999986</v>
      </c>
      <c r="O22" s="140">
        <f>'14'!O108</f>
        <v>0</v>
      </c>
      <c r="P22" s="140">
        <f>'14'!P108</f>
        <v>0.62218749999999989</v>
      </c>
      <c r="Q22" s="140">
        <f>'14'!Q108</f>
        <v>27.988749999999985</v>
      </c>
      <c r="R22" s="153"/>
      <c r="S22" s="153"/>
      <c r="T22" s="153"/>
      <c r="U22" s="153"/>
    </row>
    <row r="23" spans="1:21">
      <c r="A23" s="139" t="str">
        <f>'15'!$B$2</f>
        <v>15/05/2025 00:15</v>
      </c>
      <c r="B23" s="83">
        <f>'15'!B108</f>
        <v>3.8571875000000007</v>
      </c>
      <c r="C23" s="83">
        <f>'15'!C108</f>
        <v>20.86437500000001</v>
      </c>
      <c r="D23" s="83">
        <f>'15'!D108</f>
        <v>12.999791666666669</v>
      </c>
      <c r="E23" s="83">
        <f>'15'!E108</f>
        <v>7.6180208333333326</v>
      </c>
      <c r="F23" s="83">
        <f>'15'!F108</f>
        <v>19.368229166666655</v>
      </c>
      <c r="G23" s="83">
        <f>'15'!G108</f>
        <v>55.9944791666667</v>
      </c>
      <c r="H23" s="83">
        <f>'15'!H108</f>
        <v>21.027708333333326</v>
      </c>
      <c r="I23" s="83">
        <f>'15'!I108</f>
        <v>11.130208333333329</v>
      </c>
      <c r="J23" s="83">
        <f>'15'!J108</f>
        <v>3.1430208333333347</v>
      </c>
      <c r="K23" s="83">
        <f>'15'!K108</f>
        <v>208.76187500000003</v>
      </c>
      <c r="L23" s="83">
        <f>'15'!L108</f>
        <v>35.200208333333329</v>
      </c>
      <c r="M23" s="83">
        <f>'15'!M108</f>
        <v>39.957187499999996</v>
      </c>
      <c r="N23" s="83">
        <f>'15'!N108</f>
        <v>194.89791666666667</v>
      </c>
      <c r="O23" s="83">
        <f>'15'!O108</f>
        <v>0</v>
      </c>
      <c r="P23" s="83">
        <f>'15'!P108</f>
        <v>0.55333333333333323</v>
      </c>
      <c r="Q23" s="83">
        <f>'15'!Q108</f>
        <v>28.580416666666654</v>
      </c>
      <c r="R23" s="76"/>
      <c r="S23" s="76"/>
      <c r="T23" s="76"/>
      <c r="U23" s="76"/>
    </row>
    <row r="24" spans="1:21">
      <c r="A24" s="139" t="str">
        <f>'16'!$B$2</f>
        <v>16/05/2025 00:15</v>
      </c>
      <c r="B24" s="83">
        <f>'16'!B108</f>
        <v>3.8160416666666666</v>
      </c>
      <c r="C24" s="83">
        <f>'16'!C108</f>
        <v>15.701979166666673</v>
      </c>
      <c r="D24" s="83">
        <f>'16'!D108</f>
        <v>10.268645833333334</v>
      </c>
      <c r="E24" s="83">
        <f>'16'!E108</f>
        <v>6.8169791666666688</v>
      </c>
      <c r="F24" s="83">
        <f>'16'!F108</f>
        <v>19.265729166666677</v>
      </c>
      <c r="G24" s="83">
        <f>'16'!G108</f>
        <v>48.656666666666702</v>
      </c>
      <c r="H24" s="83">
        <f>'16'!H108</f>
        <v>22.453854166666655</v>
      </c>
      <c r="I24" s="83">
        <f>'16'!I108</f>
        <v>9.6844791666666659</v>
      </c>
      <c r="J24" s="83">
        <f>'16'!J108</f>
        <v>3.265937500000001</v>
      </c>
      <c r="K24" s="83">
        <f>'16'!K108</f>
        <v>215.22875000000002</v>
      </c>
      <c r="L24" s="83">
        <f>'16'!L108</f>
        <v>32.380000000000003</v>
      </c>
      <c r="M24" s="83">
        <f>'16'!M108</f>
        <v>47.858229166666668</v>
      </c>
      <c r="N24" s="83">
        <f>'16'!N108</f>
        <v>199.87083333333331</v>
      </c>
      <c r="O24" s="83">
        <f>'16'!O108</f>
        <v>8.3333333333333332E-3</v>
      </c>
      <c r="P24" s="83">
        <f>'16'!P108</f>
        <v>0.56354166666666639</v>
      </c>
      <c r="Q24" s="83">
        <f>'16'!Q108</f>
        <v>28.823958333333348</v>
      </c>
      <c r="R24" s="76"/>
      <c r="S24" s="76"/>
      <c r="T24" s="76"/>
      <c r="U24" s="76"/>
    </row>
    <row r="25" spans="1:21">
      <c r="A25" s="139" t="str">
        <f>'17'!$B$2</f>
        <v>17/05/2025 00:15</v>
      </c>
      <c r="B25" s="83">
        <f>'17'!B108</f>
        <v>2.503958333333332</v>
      </c>
      <c r="C25" s="83">
        <f>'17'!C108</f>
        <v>13.212916666666672</v>
      </c>
      <c r="D25" s="83">
        <f>'17'!D108</f>
        <v>7.916354166666669</v>
      </c>
      <c r="E25" s="83">
        <f>'17'!E108</f>
        <v>6.4203125000000005</v>
      </c>
      <c r="F25" s="83">
        <f>'17'!F108</f>
        <v>17.926770833333332</v>
      </c>
      <c r="G25" s="83">
        <f>'17'!G108</f>
        <v>35.202291666666703</v>
      </c>
      <c r="H25" s="83">
        <f>'17'!H108</f>
        <v>16.068854166666668</v>
      </c>
      <c r="I25" s="83">
        <f>'17'!I108</f>
        <v>11.191041666666669</v>
      </c>
      <c r="J25" s="83">
        <f>'17'!J108</f>
        <v>4.5086458333333326</v>
      </c>
      <c r="K25" s="83">
        <f>'17'!K108</f>
        <v>216.4588541666667</v>
      </c>
      <c r="L25" s="83">
        <f>'17'!L108</f>
        <v>33.294687499999988</v>
      </c>
      <c r="M25" s="83">
        <f>'17'!M108</f>
        <v>53.580520833333317</v>
      </c>
      <c r="N25" s="83">
        <f>'17'!N108</f>
        <v>189.11770833333335</v>
      </c>
      <c r="O25" s="83">
        <f>'17'!O108</f>
        <v>0</v>
      </c>
      <c r="P25" s="83">
        <f>'17'!P108</f>
        <v>0.55822916666666678</v>
      </c>
      <c r="Q25" s="83">
        <f>'17'!Q108</f>
        <v>29.028854166666665</v>
      </c>
      <c r="R25" s="76"/>
      <c r="S25" s="76"/>
      <c r="T25" s="76"/>
      <c r="U25" s="76"/>
    </row>
    <row r="26" spans="1:21">
      <c r="A26" s="139" t="str">
        <f>'18'!$B$2</f>
        <v>18/05/2025 00:15</v>
      </c>
      <c r="B26" s="83">
        <f>'18'!B108</f>
        <v>3.6463541666666681</v>
      </c>
      <c r="C26" s="83">
        <f>'18'!C108</f>
        <v>15.810520833333337</v>
      </c>
      <c r="D26" s="83">
        <f>'18'!D108</f>
        <v>10.19</v>
      </c>
      <c r="E26" s="83">
        <f>'18'!E108</f>
        <v>6.7719791666666671</v>
      </c>
      <c r="F26" s="83">
        <f>'18'!F108</f>
        <v>18.3828125</v>
      </c>
      <c r="G26" s="83">
        <f>'18'!G108</f>
        <v>55.959479166666661</v>
      </c>
      <c r="H26" s="83">
        <f>'18'!H108</f>
        <v>24.006979166666678</v>
      </c>
      <c r="I26" s="83">
        <f>'18'!I108</f>
        <v>13.261666666666663</v>
      </c>
      <c r="J26" s="83">
        <f>'18'!J108</f>
        <v>2.2210416666666659</v>
      </c>
      <c r="K26" s="83">
        <f>'18'!K108</f>
        <v>144.68218749999997</v>
      </c>
      <c r="L26" s="83">
        <f>'18'!L108</f>
        <v>34.707708333333329</v>
      </c>
      <c r="M26" s="83">
        <f>'18'!M108</f>
        <v>60.267083333333346</v>
      </c>
      <c r="N26" s="83">
        <f>'18'!N108</f>
        <v>137.98333333333338</v>
      </c>
      <c r="O26" s="83">
        <f>'18'!O108</f>
        <v>1.2499999999999999E-2</v>
      </c>
      <c r="P26" s="83">
        <f>'18'!P108</f>
        <v>0.62947916666666659</v>
      </c>
      <c r="Q26" s="83">
        <f>'18'!Q108</f>
        <v>28.760833333333334</v>
      </c>
      <c r="R26" s="76"/>
      <c r="S26" s="76"/>
      <c r="T26" s="76"/>
      <c r="U26" s="76"/>
    </row>
    <row r="27" spans="1:21">
      <c r="A27" s="139" t="str">
        <f>'19'!$B$2</f>
        <v>19/05/2025 00:15</v>
      </c>
      <c r="B27" s="83">
        <f>'19'!B108</f>
        <v>7.1128089887640442</v>
      </c>
      <c r="C27" s="83">
        <f>'19'!C108</f>
        <v>19.20696629213484</v>
      </c>
      <c r="D27" s="83">
        <f>'19'!D108</f>
        <v>14.744494382022474</v>
      </c>
      <c r="E27" s="83">
        <f>'19'!E108</f>
        <v>6.6146874999999996</v>
      </c>
      <c r="F27" s="83">
        <f>'19'!F108</f>
        <v>16.905937500000004</v>
      </c>
      <c r="G27" s="83">
        <f>'19'!G108</f>
        <v>51.174583333333366</v>
      </c>
      <c r="H27" s="83">
        <f>'19'!H108</f>
        <v>20.439270833333332</v>
      </c>
      <c r="I27" s="83">
        <f>'19'!I108</f>
        <v>10.99114583333334</v>
      </c>
      <c r="J27" s="83">
        <f>'19'!J108</f>
        <v>2.3135416666666662</v>
      </c>
      <c r="K27" s="83">
        <f>'19'!K108</f>
        <v>159.71458333333334</v>
      </c>
      <c r="L27" s="83">
        <f>'19'!L108</f>
        <v>36.78864583333332</v>
      </c>
      <c r="M27" s="83">
        <f>'19'!M108</f>
        <v>44.721041666666672</v>
      </c>
      <c r="N27" s="83">
        <f>'19'!N108</f>
        <v>251.0364583333334</v>
      </c>
      <c r="O27" s="83">
        <f>'19'!O108</f>
        <v>0</v>
      </c>
      <c r="P27" s="83">
        <f>'19'!P108</f>
        <v>0.5681250000000001</v>
      </c>
      <c r="Q27" s="83">
        <f>'19'!Q108</f>
        <v>28.815833333333341</v>
      </c>
      <c r="R27" s="76"/>
      <c r="S27" s="76"/>
      <c r="T27" s="76"/>
      <c r="U27" s="76"/>
    </row>
    <row r="28" spans="1:21">
      <c r="A28" s="139" t="str">
        <f>'20'!$B$2</f>
        <v>20/05/2025 00:15</v>
      </c>
      <c r="B28" s="83">
        <f>'20'!B108</f>
        <v>4.6085416666666656</v>
      </c>
      <c r="C28" s="83">
        <f>'20'!C108</f>
        <v>14.724375000000002</v>
      </c>
      <c r="D28" s="83">
        <f>'20'!D108</f>
        <v>10.394479166666668</v>
      </c>
      <c r="E28" s="83">
        <f>'20'!E108</f>
        <v>6.618645833333332</v>
      </c>
      <c r="F28" s="83">
        <f>'20'!F108</f>
        <v>16.961666666666666</v>
      </c>
      <c r="G28" s="83">
        <f>'20'!G108</f>
        <v>49.753333333333309</v>
      </c>
      <c r="H28" s="83">
        <f>'20'!H108</f>
        <v>17.055208333333319</v>
      </c>
      <c r="I28" s="83">
        <f>'20'!I108</f>
        <v>9.5103124999999995</v>
      </c>
      <c r="J28" s="83">
        <f>'20'!J108</f>
        <v>2.1583333333333332</v>
      </c>
      <c r="K28" s="83">
        <f>'20'!K108</f>
        <v>155.49072916666665</v>
      </c>
      <c r="L28" s="83">
        <f>'20'!L108</f>
        <v>35.369375000000005</v>
      </c>
      <c r="M28" s="83">
        <f>'20'!M108</f>
        <v>46.383645833333325</v>
      </c>
      <c r="N28" s="83">
        <f>'20'!N108</f>
        <v>235.36250000000004</v>
      </c>
      <c r="O28" s="83">
        <f>'20'!O108</f>
        <v>1.8749999999999999E-2</v>
      </c>
      <c r="P28" s="83">
        <f>'20'!P108</f>
        <v>0.52124999999999999</v>
      </c>
      <c r="Q28" s="83">
        <f>'20'!Q108</f>
        <v>28.865208333333339</v>
      </c>
      <c r="R28" s="76"/>
      <c r="S28" s="76"/>
      <c r="T28" s="76"/>
      <c r="U28" s="76"/>
    </row>
    <row r="29" spans="1:21">
      <c r="A29" s="139" t="str">
        <f>'21'!$B$2</f>
        <v>21/05/2025 00:15</v>
      </c>
      <c r="B29" s="83">
        <f>'21'!B108</f>
        <v>4.9728124999999999</v>
      </c>
      <c r="C29" s="83">
        <f>'21'!C108</f>
        <v>14.795937500000001</v>
      </c>
      <c r="D29" s="83">
        <f>'21'!D108</f>
        <v>10.72395833333333</v>
      </c>
      <c r="E29" s="83">
        <f>'21'!E108</f>
        <v>7.2453124999999998</v>
      </c>
      <c r="F29" s="83">
        <f>'21'!F108</f>
        <v>17.883437500000003</v>
      </c>
      <c r="G29" s="83">
        <f>'21'!G108</f>
        <v>49.74791666666664</v>
      </c>
      <c r="H29" s="83">
        <f>'21'!H108</f>
        <v>20.745520833333348</v>
      </c>
      <c r="I29" s="83">
        <f>'21'!I108</f>
        <v>11.221145833333329</v>
      </c>
      <c r="J29" s="83">
        <f>'21'!J108</f>
        <v>2.765625</v>
      </c>
      <c r="K29" s="83">
        <f>'21'!K108</f>
        <v>156.5596875</v>
      </c>
      <c r="L29" s="83">
        <f>'21'!L108</f>
        <v>33.806041666666665</v>
      </c>
      <c r="M29" s="83">
        <f>'21'!M108</f>
        <v>50.119583333333338</v>
      </c>
      <c r="N29" s="83">
        <f>'21'!N108</f>
        <v>247.50625000000005</v>
      </c>
      <c r="O29" s="83">
        <f>'21'!O108</f>
        <v>8.3333333333333329E-2</v>
      </c>
      <c r="P29" s="83">
        <f>'21'!P108</f>
        <v>0.56052083333333325</v>
      </c>
      <c r="Q29" s="83">
        <f>'21'!Q108</f>
        <v>28.806041666666683</v>
      </c>
      <c r="R29" s="76"/>
      <c r="S29" s="76"/>
      <c r="T29" s="76"/>
      <c r="U29" s="76"/>
    </row>
    <row r="30" spans="1:21">
      <c r="A30" s="139" t="str">
        <f>'22'!$B$2</f>
        <v>22/05/2025 00:15</v>
      </c>
      <c r="B30" s="83">
        <f>'22'!B108</f>
        <v>5.3689583333333344</v>
      </c>
      <c r="C30" s="83">
        <f>'22'!C108</f>
        <v>16.201458333333331</v>
      </c>
      <c r="D30" s="83">
        <f>'22'!D108</f>
        <v>11.77541666666666</v>
      </c>
      <c r="E30" s="83">
        <f>'22'!E108</f>
        <v>6.2057291666666652</v>
      </c>
      <c r="F30" s="83">
        <f>'22'!F108</f>
        <v>6.6098958333333355</v>
      </c>
      <c r="G30" s="83">
        <f>'22'!G108</f>
        <v>33.117708333333347</v>
      </c>
      <c r="H30" s="83">
        <f>'22'!H108</f>
        <v>13.271145833333328</v>
      </c>
      <c r="I30" s="83">
        <f>'22'!I108</f>
        <v>8.9489583333333318</v>
      </c>
      <c r="J30" s="83">
        <f>'22'!J108</f>
        <v>4.461458333333332</v>
      </c>
      <c r="K30" s="83">
        <f>'22'!K108</f>
        <v>159.18364583333337</v>
      </c>
      <c r="L30" s="83">
        <f>'22'!L108</f>
        <v>26.260520833333327</v>
      </c>
      <c r="M30" s="83">
        <f>'22'!M108</f>
        <v>73.774687499999985</v>
      </c>
      <c r="N30" s="83">
        <f>'22'!N108</f>
        <v>111.54270833333334</v>
      </c>
      <c r="O30" s="83">
        <f>'22'!O108</f>
        <v>0.14166666666666658</v>
      </c>
      <c r="P30" s="83">
        <f>'22'!P108</f>
        <v>0.5320833333333338</v>
      </c>
      <c r="Q30" s="83">
        <f>'22'!Q108</f>
        <v>28.664583333333344</v>
      </c>
      <c r="R30" s="76"/>
      <c r="S30" s="76"/>
      <c r="T30" s="76"/>
      <c r="U30" s="76"/>
    </row>
    <row r="31" spans="1:21">
      <c r="A31" s="139" t="str">
        <f>'23'!$B$2</f>
        <v>23/05/2025 00:15</v>
      </c>
      <c r="B31" s="83">
        <f>'23'!B108</f>
        <v>4.5535416666666686</v>
      </c>
      <c r="C31" s="83">
        <f>'23'!C108</f>
        <v>13.133958333333332</v>
      </c>
      <c r="D31" s="83">
        <f>'23'!D108</f>
        <v>9.5201041666666644</v>
      </c>
      <c r="E31" s="83">
        <f>'23'!E108</f>
        <v>6.2189583333333305</v>
      </c>
      <c r="F31" s="83">
        <f>'23'!F108</f>
        <v>11.322187500000005</v>
      </c>
      <c r="G31" s="83">
        <f>'23'!G108</f>
        <v>36.792187500000018</v>
      </c>
      <c r="H31" s="83">
        <f>'23'!H108</f>
        <v>16.701666666666672</v>
      </c>
      <c r="I31" s="83">
        <f>'23'!I108</f>
        <v>9.2014583333333295</v>
      </c>
      <c r="J31" s="83">
        <f>'23'!J108</f>
        <v>4.3260416666666677</v>
      </c>
      <c r="K31" s="83">
        <f>'23'!K108</f>
        <v>195.84802083333332</v>
      </c>
      <c r="L31" s="83">
        <f>'23'!L108</f>
        <v>27.618124999999981</v>
      </c>
      <c r="M31" s="83">
        <f>'23'!M108</f>
        <v>68.579791666666694</v>
      </c>
      <c r="N31" s="83">
        <f>'23'!N108</f>
        <v>151.63333333333335</v>
      </c>
      <c r="O31" s="83">
        <f>'23'!O108</f>
        <v>0</v>
      </c>
      <c r="P31" s="83">
        <f>'23'!P108</f>
        <v>0.48270833333333329</v>
      </c>
      <c r="Q31" s="83">
        <f>'23'!Q108</f>
        <v>28.932499999999994</v>
      </c>
      <c r="R31" s="76"/>
      <c r="S31" s="154"/>
      <c r="T31" s="76"/>
      <c r="U31" s="76"/>
    </row>
    <row r="32" spans="1:21">
      <c r="A32" s="139" t="str">
        <f>'24'!$B$2</f>
        <v>24/05/2025 00:15</v>
      </c>
      <c r="B32" s="83">
        <f>'24'!B108</f>
        <v>9.0002083333333349</v>
      </c>
      <c r="C32" s="83">
        <f>'24'!C108</f>
        <v>12.2659375</v>
      </c>
      <c r="D32" s="83">
        <f>'24'!D108</f>
        <v>12.631666666666662</v>
      </c>
      <c r="E32" s="83">
        <f>'24'!E108</f>
        <v>5.7195833333333326</v>
      </c>
      <c r="F32" s="83">
        <f>'24'!F108</f>
        <v>4.708541666666668</v>
      </c>
      <c r="G32" s="83">
        <f>'24'!G108</f>
        <v>23.490208333333317</v>
      </c>
      <c r="H32" s="83">
        <f>'24'!H108</f>
        <v>7.1430208333333338</v>
      </c>
      <c r="I32" s="83">
        <f>'24'!I108</f>
        <v>11.708124999999997</v>
      </c>
      <c r="J32" s="83">
        <f>'24'!J108</f>
        <v>3.6161458333333329</v>
      </c>
      <c r="K32" s="83">
        <f>'24'!K108</f>
        <v>205.76312500000003</v>
      </c>
      <c r="L32" s="83">
        <f>'24'!L108</f>
        <v>26.348437500000003</v>
      </c>
      <c r="M32" s="83">
        <f>'24'!M108</f>
        <v>78.909479166666628</v>
      </c>
      <c r="N32" s="83">
        <f>'24'!N108</f>
        <v>134.18437499999999</v>
      </c>
      <c r="O32" s="83">
        <f>'24'!O108</f>
        <v>0.28333333333333333</v>
      </c>
      <c r="P32" s="83">
        <f>'24'!P108</f>
        <v>0.55958333333333343</v>
      </c>
      <c r="Q32" s="83">
        <f>'24'!Q108</f>
        <v>28.653854166666665</v>
      </c>
      <c r="R32" s="76"/>
      <c r="S32" s="76"/>
      <c r="T32" s="76"/>
      <c r="U32" s="76"/>
    </row>
    <row r="33" spans="1:21">
      <c r="A33" s="139" t="str">
        <f>'25'!$B$2</f>
        <v>25/05/2025 00:15</v>
      </c>
      <c r="B33" s="83">
        <f>'25'!B108</f>
        <v>7.0210416666666688</v>
      </c>
      <c r="C33" s="83">
        <f>'25'!C108</f>
        <v>10.5434375</v>
      </c>
      <c r="D33" s="83">
        <f>'25'!D108</f>
        <v>10.144583333333335</v>
      </c>
      <c r="E33" s="83">
        <f>'25'!E108</f>
        <v>6.3786458333333327</v>
      </c>
      <c r="F33" s="83">
        <f>'25'!F108</f>
        <v>6.5160416666666654</v>
      </c>
      <c r="G33" s="83">
        <f>'25'!G108</f>
        <v>31.221458333333334</v>
      </c>
      <c r="H33" s="83">
        <f>'25'!H108</f>
        <v>12.231562500000001</v>
      </c>
      <c r="I33" s="83">
        <f>'25'!I108</f>
        <v>10.389270833333335</v>
      </c>
      <c r="J33" s="83">
        <f>'25'!J108</f>
        <v>3.0470833333333336</v>
      </c>
      <c r="K33" s="83">
        <f>'25'!K108</f>
        <v>173.49937499999996</v>
      </c>
      <c r="L33" s="83">
        <f>'25'!L108</f>
        <v>27.340416666666673</v>
      </c>
      <c r="M33" s="83">
        <f>'25'!M108</f>
        <v>73.271249999999995</v>
      </c>
      <c r="N33" s="83">
        <f>'25'!N108</f>
        <v>165.35104166666662</v>
      </c>
      <c r="O33" s="83">
        <f>'25'!O108</f>
        <v>2.0833333333333333E-3</v>
      </c>
      <c r="P33" s="83">
        <f>'25'!P108</f>
        <v>0.50114583333333329</v>
      </c>
      <c r="Q33" s="83">
        <f>'25'!Q108</f>
        <v>28.898020833333334</v>
      </c>
      <c r="R33" s="76"/>
      <c r="S33" s="154"/>
      <c r="T33" s="76"/>
      <c r="U33" s="76"/>
    </row>
    <row r="34" spans="1:21">
      <c r="A34" s="139" t="str">
        <f>'26'!$B$2</f>
        <v>26/05/2025 00:15</v>
      </c>
      <c r="B34" s="83">
        <f>'26'!B108</f>
        <v>6.6237499999999985</v>
      </c>
      <c r="C34" s="83">
        <f>'26'!C108</f>
        <v>10.919583333333334</v>
      </c>
      <c r="D34" s="83">
        <f>'26'!D108</f>
        <v>10.022187500000003</v>
      </c>
      <c r="E34" s="83">
        <f>'26'!E108</f>
        <v>6.0955208333333353</v>
      </c>
      <c r="F34" s="83">
        <f>'26'!F108</f>
        <v>8.2740624999999994</v>
      </c>
      <c r="G34" s="83">
        <f>'26'!G108</f>
        <v>38.532604166666658</v>
      </c>
      <c r="H34" s="83">
        <f>'26'!H108</f>
        <v>16.727187500000007</v>
      </c>
      <c r="I34" s="83">
        <f>'26'!I108</f>
        <v>11.881458333333335</v>
      </c>
      <c r="J34" s="83">
        <f>'26'!J108</f>
        <v>3.3050000000000002</v>
      </c>
      <c r="K34" s="83">
        <f>'26'!K108</f>
        <v>160.42333333333329</v>
      </c>
      <c r="L34" s="83">
        <f>'26'!L108</f>
        <v>28.066145833333351</v>
      </c>
      <c r="M34" s="83">
        <f>'26'!M108</f>
        <v>72.42729166666669</v>
      </c>
      <c r="N34" s="83">
        <f>'26'!N108</f>
        <v>132.7104166666667</v>
      </c>
      <c r="O34" s="83">
        <f>'26'!O108</f>
        <v>8.3333333333333332E-3</v>
      </c>
      <c r="P34" s="83">
        <f>'26'!P108</f>
        <v>0.56708333333333316</v>
      </c>
      <c r="Q34" s="83">
        <f>'26'!Q108</f>
        <v>28.960104166666664</v>
      </c>
      <c r="R34" s="76"/>
      <c r="S34" s="76"/>
      <c r="T34" s="76"/>
      <c r="U34" s="76"/>
    </row>
    <row r="35" spans="1:21">
      <c r="A35" s="139" t="str">
        <f>'27'!$B$2</f>
        <v>27/05/2025 00:15</v>
      </c>
      <c r="B35" s="83">
        <f>'27'!B108</f>
        <v>5.8696875000000004</v>
      </c>
      <c r="C35" s="83">
        <f>'27'!C108</f>
        <v>9.7156249999999957</v>
      </c>
      <c r="D35" s="83">
        <f>'27'!D108</f>
        <v>8.7887500000000056</v>
      </c>
      <c r="E35" s="83">
        <f>'27'!E108</f>
        <v>6.0343750000000016</v>
      </c>
      <c r="F35" s="83">
        <f>'27'!F108</f>
        <v>6.8096874999999981</v>
      </c>
      <c r="G35" s="83">
        <f>'27'!G108</f>
        <v>25.305625000000003</v>
      </c>
      <c r="H35" s="83">
        <f>'27'!H108</f>
        <v>11.030416666666675</v>
      </c>
      <c r="I35" s="83">
        <f>'27'!I108</f>
        <v>10.259895833333335</v>
      </c>
      <c r="J35" s="83">
        <f>'27'!J108</f>
        <v>3.299583333333334</v>
      </c>
      <c r="K35" s="83">
        <f>'27'!K108</f>
        <v>211.7779166666667</v>
      </c>
      <c r="L35" s="83">
        <f>'27'!L108</f>
        <v>27.326145833333328</v>
      </c>
      <c r="M35" s="83">
        <f>'27'!M108</f>
        <v>74.349583333333342</v>
      </c>
      <c r="N35" s="83">
        <f>'27'!N108</f>
        <v>161.14166666666659</v>
      </c>
      <c r="O35" s="83">
        <f>'27'!O108</f>
        <v>1.2499999999999999E-2</v>
      </c>
      <c r="P35" s="83">
        <f>'27'!P108</f>
        <v>0.45749999999999985</v>
      </c>
      <c r="Q35" s="83">
        <f>'27'!Q108</f>
        <v>29.01229166666667</v>
      </c>
      <c r="R35" s="76"/>
      <c r="S35" s="76"/>
      <c r="T35" s="76"/>
      <c r="U35" s="76"/>
    </row>
    <row r="36" spans="1:21">
      <c r="A36" s="139" t="str">
        <f>'28'!$B$2</f>
        <v>28/05/2025 00:15</v>
      </c>
      <c r="B36" s="83">
        <f>'28'!B108</f>
        <v>4.4640624999999998</v>
      </c>
      <c r="C36" s="83">
        <f>'28'!C108</f>
        <v>11.91072916666667</v>
      </c>
      <c r="D36" s="83">
        <f>'28'!D108</f>
        <v>8.8082291666666652</v>
      </c>
      <c r="E36" s="83">
        <f>'28'!E108</f>
        <v>6.8163541666666676</v>
      </c>
      <c r="F36" s="83">
        <f>'28'!F108</f>
        <v>10.886666666666663</v>
      </c>
      <c r="G36" s="83">
        <f>'28'!G108</f>
        <v>58.73572916666663</v>
      </c>
      <c r="H36" s="83">
        <f>'28'!H108</f>
        <v>29.180624999999996</v>
      </c>
      <c r="I36" s="83">
        <f>'28'!I108</f>
        <v>13.051770833333334</v>
      </c>
      <c r="J36" s="83">
        <f>'28'!J108</f>
        <v>3.4388541666666677</v>
      </c>
      <c r="K36" s="83">
        <f>'28'!K108</f>
        <v>178.1223958333334</v>
      </c>
      <c r="L36" s="83">
        <f>'28'!L108</f>
        <v>28.591354166666672</v>
      </c>
      <c r="M36" s="83">
        <f>'28'!M108</f>
        <v>66.739687500000016</v>
      </c>
      <c r="N36" s="83">
        <f>'28'!N108</f>
        <v>183.01354166666667</v>
      </c>
      <c r="O36" s="83">
        <f>'28'!O108</f>
        <v>0</v>
      </c>
      <c r="P36" s="83">
        <f>'28'!P108</f>
        <v>0.60302083333333345</v>
      </c>
      <c r="Q36" s="83">
        <f>'28'!Q108</f>
        <v>29.005937500000005</v>
      </c>
      <c r="R36" s="76"/>
      <c r="S36" s="76"/>
      <c r="T36" s="76"/>
      <c r="U36" s="76"/>
    </row>
    <row r="37" spans="1:21" s="2" customFormat="1">
      <c r="A37" s="139" t="str">
        <f>'29'!$B$2</f>
        <v>29/05/2025 00:15</v>
      </c>
      <c r="B37" s="83">
        <f>'29'!B108</f>
        <v>3.9308333333333336</v>
      </c>
      <c r="C37" s="83">
        <f>'29'!C108</f>
        <v>10.603541666666668</v>
      </c>
      <c r="D37" s="83">
        <f>'29'!D108</f>
        <v>7.6976041666666655</v>
      </c>
      <c r="E37" s="83">
        <f>'29'!E108</f>
        <v>6.117708333333332</v>
      </c>
      <c r="F37" s="83">
        <f>'29'!F108</f>
        <v>8.0357291666666644</v>
      </c>
      <c r="G37" s="83">
        <f>'29'!G108</f>
        <v>33.44250000000001</v>
      </c>
      <c r="H37" s="83">
        <f>'29'!H108</f>
        <v>15.803541666666673</v>
      </c>
      <c r="I37" s="83">
        <f>'29'!I108</f>
        <v>11.511562499999998</v>
      </c>
      <c r="J37" s="83">
        <f>'29'!J108</f>
        <v>4.0411458333333341</v>
      </c>
      <c r="K37" s="83">
        <f>'29'!K108</f>
        <v>214.85916666666662</v>
      </c>
      <c r="L37" s="83">
        <f>'29'!L108</f>
        <v>27.782604166666648</v>
      </c>
      <c r="M37" s="83">
        <f>'29'!M108</f>
        <v>68.764583333333363</v>
      </c>
      <c r="N37" s="83">
        <f>'29'!N108</f>
        <v>224.63958333333332</v>
      </c>
      <c r="O37" s="83">
        <f>'29'!O108</f>
        <v>5.2083333333333336E-2</v>
      </c>
      <c r="P37" s="83">
        <f>'29'!P108</f>
        <v>0.51229166666666681</v>
      </c>
      <c r="Q37" s="83">
        <f>'29'!Q108</f>
        <v>29.173958333333346</v>
      </c>
      <c r="R37" s="76"/>
      <c r="S37" s="76"/>
      <c r="T37" s="76"/>
      <c r="U37" s="76"/>
    </row>
    <row r="38" spans="1:21" s="2" customFormat="1">
      <c r="A38" s="139" t="str">
        <f>'30'!$B$2</f>
        <v>30/05/2025 00:15</v>
      </c>
      <c r="B38" s="83">
        <f>'30'!B108</f>
        <v>3.7736458333333349</v>
      </c>
      <c r="C38" s="83">
        <f>'30'!C108</f>
        <v>10.169895833333337</v>
      </c>
      <c r="D38" s="83">
        <f>'30'!D108</f>
        <v>7.345208333333332</v>
      </c>
      <c r="E38" s="83">
        <f>'30'!E108</f>
        <v>6.4735416666666667</v>
      </c>
      <c r="F38" s="83">
        <f>'30'!F108</f>
        <v>8.3648958333333283</v>
      </c>
      <c r="G38" s="83">
        <f>'30'!G108</f>
        <v>38.502395833333338</v>
      </c>
      <c r="H38" s="83">
        <f>'30'!H108</f>
        <v>15.896874999999996</v>
      </c>
      <c r="I38" s="83">
        <f>'30'!I108</f>
        <v>11.90072916666667</v>
      </c>
      <c r="J38" s="83">
        <f>'30'!J108</f>
        <v>4.0957291666666675</v>
      </c>
      <c r="K38" s="83">
        <f>'30'!K108</f>
        <v>209.47437500000004</v>
      </c>
      <c r="L38" s="83">
        <f>'30'!L108</f>
        <v>28.621250000000018</v>
      </c>
      <c r="M38" s="83">
        <f>'30'!M108</f>
        <v>64.032708333333304</v>
      </c>
      <c r="N38" s="83">
        <f>'30'!N108</f>
        <v>216.22916666666663</v>
      </c>
      <c r="O38" s="83">
        <f>'30'!O108</f>
        <v>0</v>
      </c>
      <c r="P38" s="83">
        <f>'30'!P108</f>
        <v>0.50395833333333351</v>
      </c>
      <c r="Q38" s="83">
        <f>'30'!Q108</f>
        <v>29.155208333333345</v>
      </c>
      <c r="R38" s="76"/>
      <c r="S38" s="76"/>
      <c r="T38" s="76"/>
      <c r="U38" s="76"/>
    </row>
    <row r="39" spans="1:21" s="2" customFormat="1">
      <c r="A39" s="139" t="str">
        <f>'31'!$B$2</f>
        <v>31/05/2025 00:15</v>
      </c>
      <c r="B39" s="83">
        <f>'31'!B108</f>
        <v>3.749895833333333</v>
      </c>
      <c r="C39" s="83">
        <f>'31'!C108</f>
        <v>9.2147916666666685</v>
      </c>
      <c r="D39" s="83">
        <f>'31'!D108</f>
        <v>6.8265625000000005</v>
      </c>
      <c r="E39" s="83">
        <f>'31'!E108</f>
        <v>5.8051041666666672</v>
      </c>
      <c r="F39" s="83">
        <f>'31'!F108</f>
        <v>5.380208333333333</v>
      </c>
      <c r="G39" s="83">
        <f>'31'!G108</f>
        <v>32.837708333333353</v>
      </c>
      <c r="H39" s="83">
        <f>'31'!H108</f>
        <v>15.907812500000006</v>
      </c>
      <c r="I39" s="83">
        <f>'31'!I108</f>
        <v>8.5040624999999981</v>
      </c>
      <c r="J39" s="83">
        <f>'31'!J108</f>
        <v>4.2001041666666685</v>
      </c>
      <c r="K39" s="83">
        <f>'31'!K108</f>
        <v>205.63427083333329</v>
      </c>
      <c r="L39" s="83">
        <f>'31'!L108</f>
        <v>26.532291666666669</v>
      </c>
      <c r="M39" s="83">
        <f>'31'!M108</f>
        <v>80.939895833333296</v>
      </c>
      <c r="N39" s="83">
        <f>'31'!N108</f>
        <v>112.37604166666671</v>
      </c>
      <c r="O39" s="83">
        <f>'31'!O108</f>
        <v>0.51249999999999996</v>
      </c>
      <c r="P39" s="83">
        <f>'31'!P108</f>
        <v>0.42999999999999988</v>
      </c>
      <c r="Q39" s="83">
        <f>'31'!Q108</f>
        <v>29.189062499999995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1.39</v>
      </c>
      <c r="C41" s="141">
        <f t="shared" si="0"/>
        <v>9.2147916666666685</v>
      </c>
      <c r="D41" s="141">
        <f t="shared" si="0"/>
        <v>6.8265625000000005</v>
      </c>
      <c r="E41" s="141">
        <f t="shared" si="0"/>
        <v>1.2864583333333326</v>
      </c>
      <c r="F41" s="141">
        <f t="shared" si="0"/>
        <v>4.708541666666668</v>
      </c>
      <c r="G41" s="141">
        <f t="shared" si="0"/>
        <v>23.490208333333317</v>
      </c>
      <c r="H41" s="141">
        <f t="shared" si="0"/>
        <v>7.1430208333333338</v>
      </c>
      <c r="I41" s="141">
        <f t="shared" si="0"/>
        <v>8.4740625000000041</v>
      </c>
      <c r="J41" s="141">
        <f t="shared" si="0"/>
        <v>0.65520833333333328</v>
      </c>
      <c r="K41" s="141">
        <f t="shared" si="0"/>
        <v>144.68218749999997</v>
      </c>
      <c r="L41" s="141">
        <f t="shared" si="0"/>
        <v>26.260520833333327</v>
      </c>
      <c r="M41" s="141">
        <f t="shared" si="0"/>
        <v>33.148958333333333</v>
      </c>
      <c r="N41" s="141">
        <f t="shared" si="0"/>
        <v>111.54270833333334</v>
      </c>
      <c r="O41" s="141">
        <f t="shared" si="0"/>
        <v>0</v>
      </c>
      <c r="P41" s="141">
        <f t="shared" si="0"/>
        <v>0.42999999999999988</v>
      </c>
      <c r="Q41" s="141">
        <f t="shared" si="0"/>
        <v>27.525833333333328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10.504791666666666</v>
      </c>
      <c r="C42" s="141">
        <f t="shared" si="1"/>
        <v>33.386562500000004</v>
      </c>
      <c r="D42" s="141">
        <f t="shared" si="1"/>
        <v>25.426041666666652</v>
      </c>
      <c r="E42" s="141">
        <f t="shared" si="1"/>
        <v>7.827708333333331</v>
      </c>
      <c r="F42" s="141">
        <f t="shared" si="1"/>
        <v>19.368229166666655</v>
      </c>
      <c r="G42" s="141">
        <f t="shared" si="1"/>
        <v>62.136875000000032</v>
      </c>
      <c r="H42" s="141">
        <f t="shared" si="1"/>
        <v>29.180624999999996</v>
      </c>
      <c r="I42" s="141">
        <f t="shared" si="1"/>
        <v>13.515625</v>
      </c>
      <c r="J42" s="141">
        <f t="shared" si="1"/>
        <v>4.5086458333333326</v>
      </c>
      <c r="K42" s="141">
        <f t="shared" si="1"/>
        <v>225.0906249999999</v>
      </c>
      <c r="L42" s="141">
        <f t="shared" si="1"/>
        <v>37.153229166666669</v>
      </c>
      <c r="M42" s="141">
        <f t="shared" si="1"/>
        <v>80.939895833333296</v>
      </c>
      <c r="N42" s="141">
        <f t="shared" si="1"/>
        <v>265.91458333333327</v>
      </c>
      <c r="O42" s="141">
        <f t="shared" si="1"/>
        <v>0.51249999999999996</v>
      </c>
      <c r="P42" s="141">
        <f t="shared" si="1"/>
        <v>0.62947916666666659</v>
      </c>
      <c r="Q42" s="141">
        <f t="shared" si="1"/>
        <v>29.189062499999995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5.4375099673794871</v>
      </c>
      <c r="C43" s="141">
        <f t="shared" si="2"/>
        <v>19.728215310498971</v>
      </c>
      <c r="D43" s="141">
        <f t="shared" si="2"/>
        <v>14.144419173613629</v>
      </c>
      <c r="E43" s="141">
        <f t="shared" si="2"/>
        <v>5.5666969086021512</v>
      </c>
      <c r="F43" s="141">
        <f t="shared" si="2"/>
        <v>12.371236559139785</v>
      </c>
      <c r="G43" s="141">
        <f t="shared" si="2"/>
        <v>43.721976098644241</v>
      </c>
      <c r="H43" s="141">
        <f t="shared" si="2"/>
        <v>18.57925549322113</v>
      </c>
      <c r="I43" s="141">
        <f t="shared" si="2"/>
        <v>10.852088186977301</v>
      </c>
      <c r="J43" s="141">
        <f t="shared" si="2"/>
        <v>2.953978494623656</v>
      </c>
      <c r="K43" s="141">
        <f t="shared" si="2"/>
        <v>189.03436155913982</v>
      </c>
      <c r="L43" s="141">
        <f t="shared" si="2"/>
        <v>31.792661290322581</v>
      </c>
      <c r="M43" s="141">
        <f t="shared" si="2"/>
        <v>53.113632392473129</v>
      </c>
      <c r="N43" s="141">
        <f t="shared" si="2"/>
        <v>205.92936827956987</v>
      </c>
      <c r="O43" s="141">
        <f t="shared" si="2"/>
        <v>5.2284946236559132E-2</v>
      </c>
      <c r="P43" s="141">
        <f t="shared" si="2"/>
        <v>0.53322580645161299</v>
      </c>
      <c r="Q43" s="141">
        <f t="shared" si="2"/>
        <v>28.493202284946239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2.2033049417970569</v>
      </c>
      <c r="C44" s="141">
        <f t="shared" si="3"/>
        <v>8.1475449201843428</v>
      </c>
      <c r="D44" s="141">
        <f t="shared" si="3"/>
        <v>5.7961287253121734</v>
      </c>
      <c r="E44" s="141">
        <f t="shared" si="3"/>
        <v>1.9635165298629653</v>
      </c>
      <c r="F44" s="141">
        <f t="shared" si="3"/>
        <v>4.5822107393164071</v>
      </c>
      <c r="G44" s="141">
        <f t="shared" si="3"/>
        <v>10.017167080031243</v>
      </c>
      <c r="H44" s="141">
        <f t="shared" si="3"/>
        <v>4.540656546769605</v>
      </c>
      <c r="I44" s="141">
        <f t="shared" si="3"/>
        <v>1.4213353266037649</v>
      </c>
      <c r="J44" s="141">
        <f t="shared" si="3"/>
        <v>1.0196429129178191</v>
      </c>
      <c r="K44" s="141">
        <f t="shared" si="3"/>
        <v>23.787023500522299</v>
      </c>
      <c r="L44" s="141">
        <f t="shared" si="3"/>
        <v>3.7972129590521533</v>
      </c>
      <c r="M44" s="141">
        <f t="shared" si="3"/>
        <v>15.727684920589166</v>
      </c>
      <c r="N44" s="141">
        <f t="shared" si="3"/>
        <v>48.077251527816969</v>
      </c>
      <c r="O44" s="141">
        <f t="shared" si="3"/>
        <v>0.12724074363152874</v>
      </c>
      <c r="P44" s="141">
        <f t="shared" si="3"/>
        <v>5.1908585205897861E-2</v>
      </c>
      <c r="Q44" s="141">
        <f t="shared" si="3"/>
        <v>0.50936235141628339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31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5" t="s">
        <v>56</v>
      </c>
      <c r="C50" s="165"/>
      <c r="D50" s="16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opLeftCell="A91" zoomScale="85" zoomScaleNormal="85" workbookViewId="0">
      <selection activeCell="H112" sqref="H112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2" t="s">
        <v>61</v>
      </c>
      <c r="E1" s="172"/>
      <c r="F1" s="172"/>
      <c r="G1" s="172"/>
      <c r="H1" s="172"/>
      <c r="I1" s="172"/>
      <c r="J1" s="173"/>
    </row>
    <row r="2" spans="2:24" ht="22.5" customHeight="1">
      <c r="B2" s="2"/>
      <c r="C2" s="79" t="s">
        <v>2</v>
      </c>
      <c r="D2" s="174" t="s">
        <v>62</v>
      </c>
      <c r="E2" s="175"/>
      <c r="F2" s="175"/>
      <c r="G2" s="175"/>
      <c r="H2" s="175"/>
      <c r="I2" s="175"/>
      <c r="J2" s="176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0" t="s">
        <v>63</v>
      </c>
      <c r="H5" s="170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45779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>
        <v>200.1</v>
      </c>
      <c r="I8" s="6">
        <v>0</v>
      </c>
      <c r="J8" s="83">
        <f>F8/H8</f>
        <v>0.99950024987506247</v>
      </c>
      <c r="K8" s="83">
        <f>(H8-F8)*100/F8</f>
        <v>4.9999999999997158E-2</v>
      </c>
      <c r="L8" s="6" t="s">
        <v>81</v>
      </c>
      <c r="M8" s="103" t="s">
        <v>239</v>
      </c>
      <c r="O8" s="72">
        <v>45779.523611111108</v>
      </c>
      <c r="P8" s="100" t="s">
        <v>64</v>
      </c>
      <c r="Q8" s="100">
        <v>4414.7299999999996</v>
      </c>
      <c r="R8" s="100">
        <v>3417.35</v>
      </c>
      <c r="S8" s="100" t="s">
        <v>82</v>
      </c>
      <c r="T8" s="100">
        <v>882.86</v>
      </c>
      <c r="U8" s="117">
        <v>0.97970000000000002</v>
      </c>
      <c r="V8" s="117">
        <v>0.9587</v>
      </c>
      <c r="W8" s="6" t="s">
        <v>81</v>
      </c>
      <c r="X8" s="103" t="s">
        <v>239</v>
      </c>
    </row>
    <row r="9" spans="2:24" ht="15.75">
      <c r="B9" s="72">
        <v>45797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>
        <v>204.31</v>
      </c>
      <c r="I9" s="6">
        <v>0</v>
      </c>
      <c r="J9" s="83">
        <f t="shared" ref="J9:J14" si="0">F9/H9</f>
        <v>0.97890460574617</v>
      </c>
      <c r="K9" s="83">
        <f t="shared" ref="K9:K14" si="1">(H9-F9)*100/F9</f>
        <v>2.1550000000000011</v>
      </c>
      <c r="L9" s="6" t="s">
        <v>81</v>
      </c>
      <c r="M9" s="103" t="s">
        <v>239</v>
      </c>
      <c r="O9" s="72">
        <v>45797.472222222219</v>
      </c>
      <c r="P9" s="100" t="s">
        <v>64</v>
      </c>
      <c r="Q9" s="100">
        <v>4565.4399999999996</v>
      </c>
      <c r="R9" s="100">
        <v>3516.45</v>
      </c>
      <c r="S9" s="100" t="s">
        <v>82</v>
      </c>
      <c r="T9" s="100">
        <v>850.61</v>
      </c>
      <c r="U9" s="117">
        <v>0.9587</v>
      </c>
      <c r="V9" s="117">
        <v>0.9738</v>
      </c>
      <c r="W9" s="6" t="s">
        <v>81</v>
      </c>
      <c r="X9" s="103" t="s">
        <v>239</v>
      </c>
    </row>
    <row r="10" spans="2:24" ht="15.75">
      <c r="B10" s="72">
        <v>45805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>
        <v>201.9</v>
      </c>
      <c r="I10" s="6">
        <v>0</v>
      </c>
      <c r="J10" s="83">
        <f t="shared" si="0"/>
        <v>0.9905894006934125</v>
      </c>
      <c r="K10" s="83">
        <f t="shared" si="1"/>
        <v>0.95000000000000284</v>
      </c>
      <c r="L10" s="6" t="s">
        <v>81</v>
      </c>
      <c r="M10" s="103" t="s">
        <v>239</v>
      </c>
      <c r="O10" s="72">
        <v>45805.510416666664</v>
      </c>
      <c r="P10" s="100" t="s">
        <v>64</v>
      </c>
      <c r="Q10" s="100">
        <v>4867.22</v>
      </c>
      <c r="R10" s="100">
        <v>3758.11</v>
      </c>
      <c r="S10" s="100" t="s">
        <v>82</v>
      </c>
      <c r="T10" s="100">
        <v>847.55</v>
      </c>
      <c r="U10" s="117">
        <v>0.9738</v>
      </c>
      <c r="V10" s="117">
        <v>0.99270000000000003</v>
      </c>
      <c r="W10" s="6" t="s">
        <v>81</v>
      </c>
      <c r="X10" s="103" t="s">
        <v>239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239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239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239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239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239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239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239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239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8" t="s">
        <v>83</v>
      </c>
      <c r="D21" s="168"/>
      <c r="E21" s="168"/>
      <c r="F21" s="168"/>
      <c r="G21" s="168"/>
      <c r="H21" s="168"/>
      <c r="I21" s="106">
        <f>COUNT(B8:B20)</f>
        <v>3</v>
      </c>
      <c r="J21" s="107"/>
      <c r="K21" s="107"/>
      <c r="L21" s="94"/>
      <c r="M21" s="108"/>
      <c r="O21" s="109"/>
      <c r="P21" s="171" t="s">
        <v>84</v>
      </c>
      <c r="Q21" s="171"/>
      <c r="R21" s="171"/>
      <c r="S21" s="171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9" t="s">
        <v>85</v>
      </c>
      <c r="H24" s="169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45779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>
        <v>200.1</v>
      </c>
      <c r="I27" s="6">
        <v>0</v>
      </c>
      <c r="J27" s="83">
        <f>F27/H27</f>
        <v>0.99950024987506247</v>
      </c>
      <c r="K27" s="83">
        <f>(H27-F27)*100/F27</f>
        <v>4.9999999999997158E-2</v>
      </c>
      <c r="L27" s="6" t="s">
        <v>81</v>
      </c>
      <c r="M27" s="103" t="s">
        <v>239</v>
      </c>
      <c r="O27" s="72">
        <v>45779.523611111108</v>
      </c>
      <c r="P27" s="100" t="s">
        <v>29</v>
      </c>
      <c r="Q27" s="100">
        <v>4550.8900000000003</v>
      </c>
      <c r="R27" s="100">
        <v>3540.58</v>
      </c>
      <c r="S27" s="100" t="s">
        <v>87</v>
      </c>
      <c r="T27" s="100">
        <v>791.29</v>
      </c>
      <c r="U27" s="117">
        <v>0.93540000000000001</v>
      </c>
      <c r="V27" s="117">
        <v>0.93269999999999997</v>
      </c>
      <c r="W27" s="6" t="s">
        <v>81</v>
      </c>
      <c r="X27" s="103" t="s">
        <v>239</v>
      </c>
    </row>
    <row r="28" spans="2:24" ht="15.75">
      <c r="B28" s="72">
        <v>45797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>
        <v>199.4</v>
      </c>
      <c r="I28" s="6">
        <v>0</v>
      </c>
      <c r="J28" s="83">
        <f t="shared" ref="J28:J33" si="2">F28/H28</f>
        <v>1.0030090270812437</v>
      </c>
      <c r="K28" s="83">
        <f t="shared" ref="K28:K33" si="3">(H28-F28)*100/F28</f>
        <v>-0.29999999999999716</v>
      </c>
      <c r="L28" s="6" t="s">
        <v>81</v>
      </c>
      <c r="M28" s="103" t="s">
        <v>239</v>
      </c>
      <c r="O28" s="72">
        <v>45797.486111111109</v>
      </c>
      <c r="P28" s="100" t="s">
        <v>29</v>
      </c>
      <c r="Q28" s="100">
        <v>4549.72</v>
      </c>
      <c r="R28" s="100">
        <v>3536.06</v>
      </c>
      <c r="S28" s="100" t="s">
        <v>87</v>
      </c>
      <c r="T28" s="100">
        <v>798.21</v>
      </c>
      <c r="U28" s="117">
        <v>0.93269999999999997</v>
      </c>
      <c r="V28" s="117">
        <v>0.92190000000000005</v>
      </c>
      <c r="W28" s="6" t="s">
        <v>81</v>
      </c>
      <c r="X28" s="103" t="s">
        <v>239</v>
      </c>
    </row>
    <row r="29" spans="2:24" ht="15.75">
      <c r="B29" s="72">
        <v>45805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>
        <v>199.8</v>
      </c>
      <c r="I29" s="6">
        <v>0</v>
      </c>
      <c r="J29" s="83">
        <f t="shared" si="2"/>
        <v>1.0010010010010009</v>
      </c>
      <c r="K29" s="83">
        <f t="shared" si="3"/>
        <v>-9.9999999999994316E-2</v>
      </c>
      <c r="L29" s="6" t="s">
        <v>81</v>
      </c>
      <c r="M29" s="103" t="s">
        <v>239</v>
      </c>
      <c r="O29" s="72">
        <v>45805.511111111111</v>
      </c>
      <c r="P29" s="100" t="s">
        <v>29</v>
      </c>
      <c r="Q29" s="100">
        <v>4289.42</v>
      </c>
      <c r="R29" s="100">
        <v>3339.98</v>
      </c>
      <c r="S29" s="100" t="s">
        <v>87</v>
      </c>
      <c r="T29" s="100">
        <v>775.56</v>
      </c>
      <c r="U29" s="117">
        <v>0.92190000000000005</v>
      </c>
      <c r="V29" s="117">
        <v>0.93789999999999996</v>
      </c>
      <c r="W29" s="6" t="s">
        <v>81</v>
      </c>
      <c r="X29" s="103" t="s">
        <v>239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239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239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239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239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239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239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239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239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1" t="s">
        <v>88</v>
      </c>
      <c r="Q40" s="171"/>
      <c r="R40" s="171"/>
      <c r="S40" s="171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68" t="s">
        <v>89</v>
      </c>
      <c r="E41" s="168"/>
      <c r="F41" s="168"/>
      <c r="G41" s="168"/>
      <c r="H41" s="168"/>
      <c r="I41" s="168"/>
      <c r="J41" s="113">
        <f>COUNT(B27:B39)</f>
        <v>3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9" t="s">
        <v>38</v>
      </c>
      <c r="H44" s="169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>
        <v>45779</v>
      </c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>
        <v>0</v>
      </c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239</v>
      </c>
    </row>
    <row r="48" spans="2:24" ht="15.75">
      <c r="B48" s="72">
        <v>45797</v>
      </c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>
        <v>0</v>
      </c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239</v>
      </c>
    </row>
    <row r="49" spans="2:13" ht="15.75">
      <c r="B49" s="72">
        <v>45805</v>
      </c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>
        <v>0</v>
      </c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239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239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239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239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239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8" t="s">
        <v>90</v>
      </c>
      <c r="E61" s="168"/>
      <c r="F61" s="168"/>
      <c r="G61" s="168"/>
      <c r="H61" s="168"/>
      <c r="I61" s="168"/>
      <c r="J61" s="113">
        <f>COUNT(B47:B59)</f>
        <v>3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9" t="s">
        <v>37</v>
      </c>
      <c r="H64" s="169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45779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5.0999999999999996</v>
      </c>
      <c r="I67" s="6">
        <v>0</v>
      </c>
      <c r="J67" s="83">
        <f>F67/H67</f>
        <v>0.98039215686274517</v>
      </c>
      <c r="K67" s="83">
        <f>(H67-F67)*100/F67</f>
        <v>1.9999999999999929</v>
      </c>
      <c r="L67" s="6" t="s">
        <v>81</v>
      </c>
      <c r="M67" s="103" t="s">
        <v>239</v>
      </c>
    </row>
    <row r="68" spans="2:13" ht="15.75">
      <c r="B68" s="72">
        <v>45797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4.9800000000000004</v>
      </c>
      <c r="I68" s="6">
        <v>0</v>
      </c>
      <c r="J68" s="83">
        <f t="shared" ref="J68:J73" si="4">F68/H68</f>
        <v>1.0040160642570279</v>
      </c>
      <c r="K68" s="83">
        <f t="shared" ref="K68:K73" si="5">(H68-F68)*100/F68</f>
        <v>-0.39999999999999147</v>
      </c>
      <c r="L68" s="6" t="s">
        <v>81</v>
      </c>
      <c r="M68" s="103" t="s">
        <v>239</v>
      </c>
    </row>
    <row r="69" spans="2:13" ht="15.75">
      <c r="B69" s="72">
        <v>45805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5.0999999999999996</v>
      </c>
      <c r="I69" s="6">
        <v>0</v>
      </c>
      <c r="J69" s="83">
        <f t="shared" si="4"/>
        <v>0.98039215686274517</v>
      </c>
      <c r="K69" s="83">
        <f t="shared" si="5"/>
        <v>1.9999999999999929</v>
      </c>
      <c r="L69" s="6" t="s">
        <v>81</v>
      </c>
      <c r="M69" s="103" t="s">
        <v>239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239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239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239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239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8" t="s">
        <v>91</v>
      </c>
      <c r="E81" s="168"/>
      <c r="F81" s="168"/>
      <c r="G81" s="168"/>
      <c r="H81" s="168"/>
      <c r="I81" s="168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9" t="s">
        <v>92</v>
      </c>
      <c r="H84" s="169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>
        <v>45779</v>
      </c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239</v>
      </c>
    </row>
    <row r="88" spans="2:13" ht="15.75">
      <c r="B88" s="72">
        <v>45797</v>
      </c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239</v>
      </c>
    </row>
    <row r="89" spans="2:13" ht="15.75">
      <c r="B89" s="72">
        <v>45805</v>
      </c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239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239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239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239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239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8" t="s">
        <v>93</v>
      </c>
      <c r="E101" s="168"/>
      <c r="F101" s="168"/>
      <c r="G101" s="168"/>
      <c r="H101" s="168"/>
      <c r="I101" s="168"/>
      <c r="J101" s="113">
        <f>COUNT(B87:B99)</f>
        <v>3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0" t="s">
        <v>94</v>
      </c>
      <c r="H104" s="170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>
        <v>45779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>
        <v>319.87</v>
      </c>
      <c r="I107" s="6">
        <f>G107-E107</f>
        <v>0</v>
      </c>
      <c r="J107" s="83">
        <f>F107/H107</f>
        <v>1.0004064151061369</v>
      </c>
      <c r="K107" s="83">
        <f>(H107-F107)*100/F107</f>
        <v>-4.0624999999998579E-2</v>
      </c>
      <c r="L107" s="6" t="s">
        <v>81</v>
      </c>
      <c r="M107" s="103" t="s">
        <v>239</v>
      </c>
    </row>
    <row r="108" spans="2:13" ht="15.75">
      <c r="B108" s="72">
        <v>45797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>
        <v>320.48</v>
      </c>
      <c r="I108" s="6">
        <f>G108-E108</f>
        <v>0</v>
      </c>
      <c r="J108" s="83">
        <f>F108/H108</f>
        <v>0.99850224663005482</v>
      </c>
      <c r="K108" s="83">
        <f>(H108-F108)*100/F108</f>
        <v>0.15000000000000568</v>
      </c>
      <c r="L108" s="6" t="s">
        <v>81</v>
      </c>
      <c r="M108" s="103" t="s">
        <v>239</v>
      </c>
    </row>
    <row r="109" spans="2:13" ht="15.75">
      <c r="B109" s="72">
        <v>45805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>
        <v>318.39999999999998</v>
      </c>
      <c r="I109" s="6">
        <f t="shared" ref="I109:I115" si="8">G109-E109</f>
        <v>0</v>
      </c>
      <c r="J109" s="83">
        <f t="shared" ref="J109:J115" si="9">F109/H109</f>
        <v>1.0050251256281408</v>
      </c>
      <c r="K109" s="83">
        <f t="shared" ref="K109:K115" si="10">(H109-F109)*100/F109</f>
        <v>-0.50000000000000711</v>
      </c>
      <c r="L109" s="6" t="s">
        <v>81</v>
      </c>
      <c r="M109" s="103" t="s">
        <v>239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239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239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239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239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8" t="s">
        <v>95</v>
      </c>
      <c r="D119" s="168"/>
      <c r="E119" s="168"/>
      <c r="F119" s="168"/>
      <c r="G119" s="168"/>
      <c r="H119" s="168"/>
      <c r="I119" s="113">
        <f>COUNT(B107:B118)</f>
        <v>3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7" t="s">
        <v>96</v>
      </c>
      <c r="C2" s="177"/>
      <c r="D2" s="179" t="str">
        <f>'MONTHLY 31'!$B$2</f>
        <v>01/05/2025 00:15</v>
      </c>
      <c r="E2" s="179"/>
    </row>
    <row r="3" spans="2:5">
      <c r="B3" s="177" t="s">
        <v>97</v>
      </c>
      <c r="C3" s="177"/>
      <c r="D3" s="179"/>
      <c r="E3" s="179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8" t="s">
        <v>101</v>
      </c>
      <c r="C44" s="178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0" t="s">
        <v>102</v>
      </c>
      <c r="C2" s="180"/>
      <c r="D2" s="180"/>
      <c r="E2" s="180"/>
      <c r="F2" s="181">
        <v>1</v>
      </c>
      <c r="G2" s="182"/>
      <c r="H2" s="182"/>
    </row>
    <row r="3" spans="2:24" customFormat="1" ht="15" customHeight="1">
      <c r="B3" s="180"/>
      <c r="C3" s="180"/>
      <c r="D3" s="180"/>
      <c r="E3" s="180"/>
      <c r="F3" s="182"/>
      <c r="G3" s="182"/>
      <c r="H3" s="182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5" t="s">
        <v>94</v>
      </c>
      <c r="C12" s="196" t="s">
        <v>103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40"/>
      <c r="U12" s="39"/>
    </row>
    <row r="13" spans="2:24" ht="15" customHeight="1">
      <c r="B13" s="186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6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6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6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6"/>
      <c r="C17" s="10"/>
      <c r="P17" s="1"/>
      <c r="Q17" s="1"/>
      <c r="R17" s="45"/>
      <c r="X17" s="42"/>
    </row>
    <row r="18" spans="2:28" ht="15.75" customHeight="1">
      <c r="B18" s="186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7" t="s">
        <v>85</v>
      </c>
      <c r="C25" s="198" t="s">
        <v>103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83"/>
      <c r="S25" s="49"/>
      <c r="T25" s="50"/>
    </row>
    <row r="26" spans="2:28" ht="15" customHeight="1">
      <c r="B26" s="187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7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8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9" t="s">
        <v>37</v>
      </c>
      <c r="C36" s="200" t="s">
        <v>103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1"/>
    </row>
    <row r="37" spans="2:25" ht="15.75" customHeight="1">
      <c r="B37" s="190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0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0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1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2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2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2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7" t="s">
        <v>197</v>
      </c>
      <c r="C61" s="198" t="s">
        <v>103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83"/>
      <c r="S61" s="57"/>
      <c r="T61" s="58"/>
    </row>
    <row r="62" spans="2:20" ht="15.75">
      <c r="B62" s="187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3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8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7" t="s">
        <v>214</v>
      </c>
      <c r="C69" s="198" t="s">
        <v>103</v>
      </c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83"/>
      <c r="S69" s="57"/>
      <c r="T69" s="58"/>
    </row>
    <row r="70" spans="2:20" ht="15.75">
      <c r="B70" s="187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7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8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4" t="s">
        <v>92</v>
      </c>
      <c r="C77" s="183" t="s">
        <v>103</v>
      </c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61"/>
      <c r="S77" s="61"/>
      <c r="T77" s="13"/>
    </row>
    <row r="78" spans="2:20">
      <c r="B78" s="195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5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5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5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2026-01-10T17:13:59Z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